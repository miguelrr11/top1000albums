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odriguezmbp/Desktop/ytDown/top1000albums/"/>
    </mc:Choice>
  </mc:AlternateContent>
  <xr:revisionPtr revIDLastSave="0" documentId="13_ncr:1_{6B454200-E20F-0F44-8EBA-1448510767A9}" xr6:coauthVersionLast="47" xr6:coauthVersionMax="47" xr10:uidLastSave="{00000000-0000-0000-0000-000000000000}"/>
  <bookViews>
    <workbookView xWindow="0" yWindow="600" windowWidth="38400" windowHeight="21000" tabRatio="767" activeTab="2" xr2:uid="{0EA344FB-F653-8A4E-9162-CD1E4229299E}"/>
  </bookViews>
  <sheets>
    <sheet name="GUÍA" sheetId="14" r:id="rId1"/>
    <sheet name="Albums" sheetId="4" r:id="rId2"/>
    <sheet name="Tabla Albums" sheetId="6" r:id="rId3"/>
    <sheet name="Tablas TOP" sheetId="7" r:id="rId4"/>
    <sheet name="TOP Canciones" sheetId="9" r:id="rId5"/>
    <sheet name="TOP Generos" sheetId="12" r:id="rId6"/>
    <sheet name="Mapeo Generos" sheetId="10" r:id="rId7"/>
    <sheet name="Graficos" sheetId="15" r:id="rId8"/>
    <sheet name="Resumen" sheetId="8" r:id="rId9"/>
    <sheet name="video" sheetId="18" r:id="rId10"/>
  </sheets>
  <definedNames>
    <definedName name="RangoDinamico" comment="para la grafica">DESREF(Albums!#REF!,0,0,Albums!$AF$3,1)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8" i="4" l="1"/>
  <c r="N843" i="4"/>
  <c r="H839" i="4"/>
  <c r="K836" i="4"/>
  <c r="N826" i="4"/>
  <c r="H826" i="4"/>
  <c r="E876" i="4"/>
  <c r="E870" i="4"/>
  <c r="E864" i="4"/>
  <c r="E846" i="4"/>
  <c r="E834" i="4"/>
  <c r="E820" i="4"/>
  <c r="B818" i="4"/>
  <c r="B807" i="4" s="1"/>
  <c r="K817" i="4"/>
  <c r="N812" i="4"/>
  <c r="H807" i="4"/>
  <c r="K804" i="4"/>
  <c r="E804" i="4"/>
  <c r="N802" i="4"/>
  <c r="K798" i="4"/>
  <c r="B795" i="4"/>
  <c r="H786" i="4"/>
  <c r="E786" i="4"/>
  <c r="B786" i="4"/>
  <c r="K783" i="4"/>
  <c r="E780" i="4"/>
  <c r="H778" i="4"/>
  <c r="B773" i="4"/>
  <c r="N772" i="4"/>
  <c r="E770" i="4"/>
  <c r="K769" i="4"/>
  <c r="N765" i="4"/>
  <c r="G83" i="18"/>
  <c r="D83" i="18"/>
  <c r="D33" i="18"/>
  <c r="D2" i="18"/>
  <c r="D7" i="18"/>
  <c r="D9" i="18"/>
  <c r="D4" i="18"/>
  <c r="D11" i="18"/>
  <c r="D6" i="18"/>
  <c r="D12" i="18"/>
  <c r="D13" i="18"/>
  <c r="D5" i="18"/>
  <c r="D45" i="18"/>
  <c r="D31" i="18"/>
  <c r="D14" i="18"/>
  <c r="D107" i="18"/>
  <c r="D28" i="18"/>
  <c r="D15" i="18"/>
  <c r="D10" i="18"/>
  <c r="D8" i="18"/>
  <c r="D16" i="18"/>
  <c r="D72" i="18"/>
  <c r="D17" i="18"/>
  <c r="D24" i="18"/>
  <c r="D20" i="18"/>
  <c r="D23" i="18"/>
  <c r="D36" i="18"/>
  <c r="D21" i="18"/>
  <c r="D26" i="18"/>
  <c r="D25" i="18"/>
  <c r="D32" i="18"/>
  <c r="D96" i="18"/>
  <c r="D34" i="18"/>
  <c r="D118" i="18"/>
  <c r="D18" i="18"/>
  <c r="D19" i="18"/>
  <c r="D37" i="18"/>
  <c r="D38" i="18"/>
  <c r="D39" i="18"/>
  <c r="D41" i="18"/>
  <c r="D84" i="18"/>
  <c r="D42" i="18"/>
  <c r="D46" i="18"/>
  <c r="D47" i="18"/>
  <c r="D49" i="18"/>
  <c r="D50" i="18"/>
  <c r="D44" i="18"/>
  <c r="D52" i="18"/>
  <c r="D53" i="18"/>
  <c r="D55" i="18"/>
  <c r="D56" i="18"/>
  <c r="D76" i="18"/>
  <c r="D57" i="18"/>
  <c r="D58" i="18"/>
  <c r="D59" i="18"/>
  <c r="D29" i="18"/>
  <c r="D61" i="18"/>
  <c r="D62" i="18"/>
  <c r="D63" i="18"/>
  <c r="D65" i="18"/>
  <c r="D67" i="18"/>
  <c r="D70" i="18"/>
  <c r="D71" i="18"/>
  <c r="D73" i="18"/>
  <c r="D74" i="18"/>
  <c r="D75" i="18"/>
  <c r="D77" i="18"/>
  <c r="D78" i="18"/>
  <c r="D79" i="18"/>
  <c r="D43" i="18"/>
  <c r="D81" i="18"/>
  <c r="D22" i="18"/>
  <c r="D82" i="18"/>
  <c r="D64" i="18"/>
  <c r="D85" i="18"/>
  <c r="D86" i="18"/>
  <c r="D87" i="18"/>
  <c r="D88" i="18"/>
  <c r="D89" i="18"/>
  <c r="D48" i="18"/>
  <c r="D91" i="18"/>
  <c r="D94" i="18"/>
  <c r="D97" i="18"/>
  <c r="D98" i="18"/>
  <c r="D100" i="18"/>
  <c r="D101" i="18"/>
  <c r="D102" i="18"/>
  <c r="D103" i="18"/>
  <c r="D66" i="18"/>
  <c r="D104" i="18"/>
  <c r="D105" i="18"/>
  <c r="D106" i="18"/>
  <c r="D108" i="18"/>
  <c r="D109" i="18"/>
  <c r="D54" i="18"/>
  <c r="D92" i="18"/>
  <c r="D93" i="18"/>
  <c r="D110" i="18"/>
  <c r="D112" i="18"/>
  <c r="D113" i="18"/>
  <c r="D114" i="18"/>
  <c r="D115" i="18"/>
  <c r="D116" i="18"/>
  <c r="D117" i="18"/>
  <c r="D119" i="18"/>
  <c r="D123" i="18"/>
  <c r="D3" i="18"/>
  <c r="G82" i="18"/>
  <c r="G22" i="18"/>
  <c r="G101" i="18"/>
  <c r="G3" i="18"/>
  <c r="G33" i="18"/>
  <c r="G7" i="18"/>
  <c r="G9" i="18"/>
  <c r="G4" i="18"/>
  <c r="G11" i="18"/>
  <c r="G6" i="18"/>
  <c r="G12" i="18"/>
  <c r="G13" i="18"/>
  <c r="G5" i="18"/>
  <c r="G45" i="18"/>
  <c r="G31" i="18"/>
  <c r="G14" i="18"/>
  <c r="G107" i="18"/>
  <c r="G28" i="18"/>
  <c r="G15" i="18"/>
  <c r="G10" i="18"/>
  <c r="G8" i="18"/>
  <c r="G16" i="18"/>
  <c r="G72" i="18"/>
  <c r="G17" i="18"/>
  <c r="G24" i="18"/>
  <c r="G20" i="18"/>
  <c r="G23" i="18"/>
  <c r="G36" i="18"/>
  <c r="G21" i="18"/>
  <c r="G26" i="18"/>
  <c r="G25" i="18"/>
  <c r="G32" i="18"/>
  <c r="G96" i="18"/>
  <c r="G34" i="18"/>
  <c r="G118" i="18"/>
  <c r="G18" i="18"/>
  <c r="G19" i="18"/>
  <c r="G37" i="18"/>
  <c r="G38" i="18"/>
  <c r="G39" i="18"/>
  <c r="G41" i="18"/>
  <c r="G84" i="18"/>
  <c r="G42" i="18"/>
  <c r="G46" i="18"/>
  <c r="G47" i="18"/>
  <c r="G49" i="18"/>
  <c r="G50" i="18"/>
  <c r="G51" i="18"/>
  <c r="G44" i="18"/>
  <c r="G52" i="18"/>
  <c r="G53" i="18"/>
  <c r="G55" i="18"/>
  <c r="G56" i="18"/>
  <c r="G76" i="18"/>
  <c r="G57" i="18"/>
  <c r="G58" i="18"/>
  <c r="G59" i="18"/>
  <c r="G29" i="18"/>
  <c r="G61" i="18"/>
  <c r="G62" i="18"/>
  <c r="G63" i="18"/>
  <c r="G65" i="18"/>
  <c r="G67" i="18"/>
  <c r="G70" i="18"/>
  <c r="G71" i="18"/>
  <c r="G73" i="18"/>
  <c r="G74" i="18"/>
  <c r="G75" i="18"/>
  <c r="G77" i="18"/>
  <c r="G78" i="18"/>
  <c r="G79" i="18"/>
  <c r="G43" i="18"/>
  <c r="G80" i="18"/>
  <c r="G81" i="18"/>
  <c r="G64" i="18"/>
  <c r="G85" i="18"/>
  <c r="G86" i="18"/>
  <c r="G87" i="18"/>
  <c r="G88" i="18"/>
  <c r="G89" i="18"/>
  <c r="G48" i="18"/>
  <c r="G91" i="18"/>
  <c r="G94" i="18"/>
  <c r="G97" i="18"/>
  <c r="G98" i="18"/>
  <c r="G100" i="18"/>
  <c r="G102" i="18"/>
  <c r="G103" i="18"/>
  <c r="G66" i="18"/>
  <c r="G104" i="18"/>
  <c r="G105" i="18"/>
  <c r="G106" i="18"/>
  <c r="G108" i="18"/>
  <c r="G109" i="18"/>
  <c r="G54" i="18"/>
  <c r="G92" i="18"/>
  <c r="G93" i="18"/>
  <c r="G110" i="18"/>
  <c r="G112" i="18"/>
  <c r="G113" i="18"/>
  <c r="G114" i="18"/>
  <c r="G115" i="18"/>
  <c r="G116" i="18"/>
  <c r="G117" i="18"/>
  <c r="G119" i="18"/>
  <c r="G120" i="18"/>
  <c r="G121" i="18"/>
  <c r="G122" i="18"/>
  <c r="G123" i="18"/>
  <c r="G124" i="18"/>
  <c r="G125" i="18"/>
  <c r="G126" i="18"/>
  <c r="H764" i="4"/>
  <c r="K759" i="4"/>
  <c r="B759" i="4"/>
  <c r="N757" i="4"/>
  <c r="H754" i="4"/>
  <c r="N752" i="4"/>
  <c r="E751" i="4"/>
  <c r="K747" i="4"/>
  <c r="B747" i="4"/>
  <c r="N740" i="4"/>
  <c r="H741" i="4"/>
  <c r="K731" i="4"/>
  <c r="K739" i="4"/>
  <c r="E738" i="4"/>
  <c r="B735" i="4"/>
  <c r="H728" i="4"/>
  <c r="N727" i="4"/>
  <c r="B725" i="4"/>
  <c r="E722" i="4"/>
  <c r="K724" i="4"/>
  <c r="B717" i="4"/>
  <c r="K719" i="4"/>
  <c r="H718" i="4"/>
  <c r="N712" i="4"/>
  <c r="N702" i="4" s="1"/>
  <c r="E711" i="4"/>
  <c r="H707" i="4"/>
  <c r="B704" i="4"/>
  <c r="K703" i="4"/>
  <c r="E701" i="4"/>
  <c r="H696" i="4"/>
  <c r="K691" i="4"/>
  <c r="N688" i="4"/>
  <c r="B688" i="4"/>
  <c r="E687" i="4"/>
  <c r="H685" i="4"/>
  <c r="H681" i="4"/>
  <c r="N676" i="4"/>
  <c r="K676" i="4"/>
  <c r="E676" i="4"/>
  <c r="B673" i="4"/>
  <c r="H670" i="4"/>
  <c r="B663" i="4"/>
  <c r="K661" i="4"/>
  <c r="N660" i="4"/>
  <c r="N652" i="4"/>
  <c r="K652" i="4"/>
  <c r="H657" i="4"/>
  <c r="E652" i="4"/>
  <c r="B649" i="4"/>
  <c r="E647" i="4"/>
  <c r="H646" i="4"/>
  <c r="K638" i="4"/>
  <c r="N635" i="4"/>
  <c r="H636" i="4"/>
  <c r="E635" i="4"/>
  <c r="B630" i="4"/>
  <c r="B634" i="4"/>
  <c r="K625" i="4"/>
  <c r="N624" i="4"/>
  <c r="E623" i="4"/>
  <c r="K612" i="4"/>
  <c r="N614" i="4"/>
  <c r="B613" i="4"/>
  <c r="E610" i="4"/>
  <c r="H604" i="4"/>
  <c r="B601" i="4"/>
  <c r="N603" i="4"/>
  <c r="E599" i="4"/>
  <c r="K597" i="4"/>
  <c r="N591" i="4"/>
  <c r="H596" i="4"/>
  <c r="B589" i="4"/>
  <c r="H587" i="4"/>
  <c r="K585" i="4"/>
  <c r="E583" i="4"/>
  <c r="N580" i="4"/>
  <c r="H572" i="4"/>
  <c r="K571" i="4"/>
  <c r="E571" i="4"/>
  <c r="N566" i="4"/>
  <c r="H562" i="4"/>
  <c r="B561" i="4"/>
  <c r="N559" i="4"/>
  <c r="B555" i="4"/>
  <c r="B543" i="4" s="1"/>
  <c r="E554" i="4"/>
  <c r="N546" i="4"/>
  <c r="K545" i="4"/>
  <c r="H544" i="4"/>
  <c r="E542" i="4"/>
  <c r="N536" i="4"/>
  <c r="H530" i="4"/>
  <c r="H521" i="4" s="1"/>
  <c r="K528" i="4"/>
  <c r="E528" i="4"/>
  <c r="N525" i="4"/>
  <c r="B524" i="4"/>
  <c r="K519" i="4"/>
  <c r="B515" i="4"/>
  <c r="E514" i="4"/>
  <c r="N512" i="4"/>
  <c r="H512" i="4"/>
  <c r="B503" i="4"/>
  <c r="N500" i="4"/>
  <c r="H500" i="4"/>
  <c r="K499" i="4"/>
  <c r="E499" i="4"/>
  <c r="K491" i="4"/>
  <c r="N488" i="4"/>
  <c r="H488" i="4"/>
  <c r="E487" i="4"/>
  <c r="B487" i="4"/>
  <c r="N480" i="4" l="1"/>
  <c r="K479" i="4"/>
  <c r="H474" i="4"/>
  <c r="B473" i="4"/>
  <c r="N468" i="4"/>
  <c r="H467" i="4"/>
  <c r="K465" i="4"/>
  <c r="E459" i="4"/>
  <c r="B457" i="4"/>
  <c r="H451" i="4"/>
  <c r="K445" i="4"/>
  <c r="N443" i="4"/>
  <c r="B448" i="4"/>
  <c r="B441" i="4" l="1"/>
  <c r="E436" i="4"/>
  <c r="H434" i="4"/>
  <c r="K431" i="4"/>
  <c r="N430" i="4"/>
  <c r="B428" i="4"/>
  <c r="E425" i="4"/>
  <c r="K421" i="4"/>
  <c r="N417" i="4"/>
  <c r="N412" i="4" s="1"/>
  <c r="H421" i="4"/>
  <c r="E415" i="4"/>
  <c r="H415" i="4"/>
  <c r="K412" i="4"/>
  <c r="B409" i="4"/>
  <c r="B401" i="4" s="1"/>
  <c r="E403" i="4"/>
  <c r="H401" i="4"/>
  <c r="K399" i="4"/>
  <c r="N397" i="4"/>
  <c r="K391" i="4"/>
  <c r="K380" i="4" s="1"/>
  <c r="B389" i="4"/>
  <c r="B379" i="4" s="1"/>
  <c r="E388" i="4"/>
  <c r="H387" i="4"/>
  <c r="N384" i="4"/>
  <c r="E383" i="4"/>
  <c r="N374" i="4" l="1"/>
  <c r="H374" i="4"/>
  <c r="E372" i="4"/>
  <c r="N367" i="4"/>
  <c r="K365" i="4"/>
  <c r="H365" i="4"/>
  <c r="E360" i="4"/>
  <c r="B360" i="4"/>
  <c r="K356" i="4"/>
  <c r="N355" i="4"/>
  <c r="H353" i="4"/>
  <c r="B343" i="4"/>
  <c r="K340" i="4"/>
  <c r="H339" i="4"/>
  <c r="N338" i="4"/>
  <c r="H329" i="4"/>
  <c r="N328" i="4"/>
  <c r="K328" i="4"/>
  <c r="E328" i="4"/>
  <c r="B322" i="4"/>
  <c r="N318" i="4"/>
  <c r="K318" i="4"/>
  <c r="E320" i="4"/>
  <c r="E310" i="4"/>
  <c r="H309" i="4"/>
  <c r="B309" i="4"/>
  <c r="E14" i="4"/>
  <c r="N306" i="4"/>
  <c r="K304" i="4"/>
  <c r="E299" i="4"/>
  <c r="N297" i="4"/>
  <c r="K296" i="4"/>
  <c r="H296" i="4"/>
  <c r="H288" i="4"/>
  <c r="E288" i="4"/>
  <c r="K286" i="4"/>
  <c r="N284" i="4"/>
  <c r="B279" i="4"/>
  <c r="N277" i="4"/>
  <c r="E278" i="4"/>
  <c r="K276" i="4"/>
  <c r="H276" i="4"/>
  <c r="B272" i="4"/>
  <c r="H265" i="4"/>
  <c r="E266" i="4"/>
  <c r="K264" i="4"/>
  <c r="B260" i="4"/>
  <c r="H258" i="4"/>
  <c r="E254" i="4"/>
  <c r="K252" i="4"/>
  <c r="N249" i="4"/>
  <c r="B246" i="4"/>
  <c r="H246" i="4"/>
  <c r="N240" i="4"/>
  <c r="K237" i="4"/>
  <c r="E237" i="4"/>
  <c r="B235" i="4"/>
  <c r="H229" i="4"/>
  <c r="N228" i="4"/>
  <c r="E229" i="4"/>
  <c r="B226" i="4"/>
  <c r="K219" i="4"/>
  <c r="H215" i="4"/>
  <c r="B213" i="4"/>
  <c r="E213" i="4"/>
  <c r="K208" i="4"/>
  <c r="N211" i="4"/>
  <c r="H202" i="4"/>
  <c r="E201" i="4"/>
  <c r="B114" i="4"/>
  <c r="K199" i="4"/>
  <c r="B196" i="4"/>
  <c r="H191" i="4"/>
  <c r="K189" i="4"/>
  <c r="N185" i="4"/>
  <c r="E186" i="4"/>
  <c r="B185" i="4"/>
  <c r="K182" i="4"/>
  <c r="H177" i="4"/>
  <c r="H125" i="4"/>
  <c r="K175" i="4"/>
  <c r="N182" i="4"/>
  <c r="B172" i="4"/>
  <c r="E172" i="4"/>
  <c r="K165" i="4"/>
  <c r="H165" i="4"/>
  <c r="B162" i="4"/>
  <c r="N161" i="4"/>
  <c r="E161" i="4"/>
  <c r="N152" i="4"/>
  <c r="K136" i="4"/>
  <c r="H149" i="4"/>
  <c r="K149" i="4"/>
  <c r="N144" i="4"/>
  <c r="E146" i="4"/>
  <c r="B145" i="4"/>
  <c r="N137" i="4"/>
  <c r="B134" i="4"/>
  <c r="H131" i="4"/>
  <c r="N127" i="4"/>
  <c r="E128" i="4"/>
  <c r="E117" i="4" s="1"/>
  <c r="K124" i="4"/>
  <c r="K111" i="4" s="1"/>
  <c r="H97" i="4"/>
  <c r="N112" i="4"/>
  <c r="H110" i="4"/>
  <c r="B103" i="4"/>
  <c r="E101" i="4"/>
  <c r="K98" i="4"/>
  <c r="N93" i="4"/>
  <c r="B93" i="4"/>
  <c r="K90" i="4"/>
  <c r="H83" i="4"/>
  <c r="N79" i="4"/>
  <c r="E80" i="4"/>
  <c r="B79" i="4"/>
  <c r="K77" i="4"/>
  <c r="B70" i="4"/>
  <c r="H69" i="4"/>
  <c r="N67" i="4"/>
  <c r="K66" i="4"/>
  <c r="E65" i="4"/>
  <c r="N28" i="4"/>
  <c r="B2" i="4"/>
  <c r="H57" i="4"/>
  <c r="K54" i="4"/>
  <c r="N54" i="4"/>
  <c r="B59" i="4"/>
  <c r="E54" i="4"/>
  <c r="B47" i="4"/>
  <c r="E2" i="4"/>
  <c r="H2" i="4"/>
  <c r="K2" i="4"/>
  <c r="N2" i="4"/>
  <c r="K14" i="4"/>
  <c r="N14" i="4"/>
  <c r="B16" i="4"/>
  <c r="H17" i="4"/>
  <c r="K25" i="4"/>
  <c r="B26" i="4"/>
  <c r="E30" i="4"/>
  <c r="H30" i="4"/>
  <c r="B33" i="4"/>
  <c r="E39" i="4"/>
  <c r="N39" i="4"/>
  <c r="K40" i="4"/>
  <c r="H47" i="4"/>
</calcChain>
</file>

<file path=xl/sharedStrings.xml><?xml version="1.0" encoding="utf-8"?>
<sst xmlns="http://schemas.openxmlformats.org/spreadsheetml/2006/main" count="10294" uniqueCount="6034">
  <si>
    <t>The Grudge</t>
  </si>
  <si>
    <t>Eon Blue Apocalypse</t>
  </si>
  <si>
    <t>The Patient</t>
  </si>
  <si>
    <t>Mantra</t>
  </si>
  <si>
    <t>Schsim</t>
  </si>
  <si>
    <t>Parabol(a)</t>
  </si>
  <si>
    <t>Ticks &amp; Leeches</t>
  </si>
  <si>
    <t>Lateralus</t>
  </si>
  <si>
    <t>Disposition</t>
  </si>
  <si>
    <t>Reflection</t>
  </si>
  <si>
    <t>Triad</t>
  </si>
  <si>
    <t>Faaip De Oiad</t>
  </si>
  <si>
    <t>15 Step</t>
  </si>
  <si>
    <t>Bodysnatchers</t>
  </si>
  <si>
    <t>Nude</t>
  </si>
  <si>
    <t>All I Need</t>
  </si>
  <si>
    <t>Weird Fishes / Arpeggi</t>
  </si>
  <si>
    <t>Faust Arp</t>
  </si>
  <si>
    <t>Reckoner</t>
  </si>
  <si>
    <t>House Of Cards</t>
  </si>
  <si>
    <t>Jigsaw Fallin Into Place</t>
  </si>
  <si>
    <t>Videotape</t>
  </si>
  <si>
    <t>Conversation of Two</t>
  </si>
  <si>
    <t>Air Supply</t>
  </si>
  <si>
    <t>Forever</t>
  </si>
  <si>
    <t>Acting</t>
  </si>
  <si>
    <t>Milk</t>
  </si>
  <si>
    <t>Darkness</t>
  </si>
  <si>
    <t>To the Moon</t>
  </si>
  <si>
    <t>Song About a Sea</t>
  </si>
  <si>
    <t>Song About a Sun</t>
  </si>
  <si>
    <t>No Words to Be Found</t>
  </si>
  <si>
    <t>Pretending</t>
  </si>
  <si>
    <t>Misfortunes are Cruel</t>
  </si>
  <si>
    <t>Your World is Eternally Complete</t>
  </si>
  <si>
    <t>Sirius</t>
  </si>
  <si>
    <t>Eye In The Sky</t>
  </si>
  <si>
    <t>Children of the Moon</t>
  </si>
  <si>
    <t>Gemini</t>
  </si>
  <si>
    <t>Silence and I</t>
  </si>
  <si>
    <t>You're Gonna Get Your Fingers Burned</t>
  </si>
  <si>
    <t>Psychobabble</t>
  </si>
  <si>
    <t>Mammagamma</t>
  </si>
  <si>
    <t>Step by Step</t>
  </si>
  <si>
    <t>Old And Wise</t>
  </si>
  <si>
    <t>Speak to Me</t>
  </si>
  <si>
    <t>Breath (In the Air)</t>
  </si>
  <si>
    <t>On the Run</t>
  </si>
  <si>
    <t>Time</t>
  </si>
  <si>
    <t>The Great Gig in the Sky</t>
  </si>
  <si>
    <t>Money</t>
  </si>
  <si>
    <t>Us and Them</t>
  </si>
  <si>
    <t>Any Colour You Like</t>
  </si>
  <si>
    <t>Brain Damage</t>
  </si>
  <si>
    <t>Eclipse</t>
  </si>
  <si>
    <t>Battery</t>
  </si>
  <si>
    <t>Master Of Puppets</t>
  </si>
  <si>
    <t>The Thing That Should Not Be</t>
  </si>
  <si>
    <t>Welcome Home (Sanitarium)</t>
  </si>
  <si>
    <t>Disposable Heroes</t>
  </si>
  <si>
    <t>Leper Messiah</t>
  </si>
  <si>
    <t>Orion</t>
  </si>
  <si>
    <t>Damage, Inc.</t>
  </si>
  <si>
    <t>One More Time</t>
  </si>
  <si>
    <t>Aerodynamic</t>
  </si>
  <si>
    <t>Digital Love</t>
  </si>
  <si>
    <t>Harder, Better, Faster, Stonger</t>
  </si>
  <si>
    <t>Crescendolls</t>
  </si>
  <si>
    <t>Nightvision</t>
  </si>
  <si>
    <t>Superheroes</t>
  </si>
  <si>
    <t>High Life</t>
  </si>
  <si>
    <t>Something About Us</t>
  </si>
  <si>
    <t>Voyager</t>
  </si>
  <si>
    <t>Veridis Quo</t>
  </si>
  <si>
    <t>Short Circuit</t>
  </si>
  <si>
    <t>Face to Face</t>
  </si>
  <si>
    <t>Angel</t>
  </si>
  <si>
    <t>Risingson</t>
  </si>
  <si>
    <t>Teardrop</t>
  </si>
  <si>
    <t>Inertia Creeps</t>
  </si>
  <si>
    <t>Exchange</t>
  </si>
  <si>
    <t>Dissolved Girl</t>
  </si>
  <si>
    <t>Man Next Door</t>
  </si>
  <si>
    <t>Black Milk</t>
  </si>
  <si>
    <t>Mezzazine</t>
  </si>
  <si>
    <t>Group Four</t>
  </si>
  <si>
    <t>(Exchange)</t>
  </si>
  <si>
    <t>So Far Away</t>
  </si>
  <si>
    <t>Money For Nothing</t>
  </si>
  <si>
    <t>Walk Of Life</t>
  </si>
  <si>
    <t>Your Latest Trick</t>
  </si>
  <si>
    <t>Why Worry?</t>
  </si>
  <si>
    <t>Ride Across The River</t>
  </si>
  <si>
    <t>The Man's Too Strong</t>
  </si>
  <si>
    <t>One World</t>
  </si>
  <si>
    <t>Brothers In Arms</t>
  </si>
  <si>
    <t>Second Hand News</t>
  </si>
  <si>
    <t>Dreams</t>
  </si>
  <si>
    <t>Never Going Back Again</t>
  </si>
  <si>
    <t>Don't Stop</t>
  </si>
  <si>
    <t>Go Your Own Way</t>
  </si>
  <si>
    <t>Songbird</t>
  </si>
  <si>
    <t>The Chain</t>
  </si>
  <si>
    <t>You Make Loving Fun</t>
  </si>
  <si>
    <t>I Don't Want to Know</t>
  </si>
  <si>
    <t>Oh Daddy</t>
  </si>
  <si>
    <t>Gold Dust Woman</t>
  </si>
  <si>
    <t>Silver Springs</t>
  </si>
  <si>
    <t>21st Century Schizoid Man</t>
  </si>
  <si>
    <t>I Talk To The Wind</t>
  </si>
  <si>
    <t>Moonchild</t>
  </si>
  <si>
    <t>The Court Of The Crimson King</t>
  </si>
  <si>
    <t>Papercut</t>
  </si>
  <si>
    <t>One Step Closer</t>
  </si>
  <si>
    <t xml:space="preserve">With You </t>
  </si>
  <si>
    <t>Points of Authority</t>
  </si>
  <si>
    <t>Crawling</t>
  </si>
  <si>
    <t>Runaway</t>
  </si>
  <si>
    <t>By Myself</t>
  </si>
  <si>
    <t>In The End</t>
  </si>
  <si>
    <t>A Place for My Head</t>
  </si>
  <si>
    <t>Forgotten</t>
  </si>
  <si>
    <t>Cure For The Itch</t>
  </si>
  <si>
    <t>Pushing Me Away</t>
  </si>
  <si>
    <t>My December</t>
  </si>
  <si>
    <t>The Lepper Affinity</t>
  </si>
  <si>
    <t>Bleak</t>
  </si>
  <si>
    <t>Harvest</t>
  </si>
  <si>
    <t>The Drapery Falls</t>
  </si>
  <si>
    <t>Dirge For November</t>
  </si>
  <si>
    <t>The Funeral Portrait</t>
  </si>
  <si>
    <t>Blackwater Park</t>
  </si>
  <si>
    <t>The Adults Are Talking</t>
  </si>
  <si>
    <t>Selfless</t>
  </si>
  <si>
    <t>Brooklyn Bridge To Chorus</t>
  </si>
  <si>
    <t>Bad Decisions</t>
  </si>
  <si>
    <t>Eternal Summer</t>
  </si>
  <si>
    <t>At The Door</t>
  </si>
  <si>
    <t>Why Are Sundays So Depressing</t>
  </si>
  <si>
    <t>Not The Same Anymore</t>
  </si>
  <si>
    <t>Ode To The Mets</t>
  </si>
  <si>
    <t>Stinkfist</t>
  </si>
  <si>
    <t>Eulogy</t>
  </si>
  <si>
    <t>H.</t>
  </si>
  <si>
    <t>Airbag</t>
  </si>
  <si>
    <t>Paranoid Android</t>
  </si>
  <si>
    <t>Subterranean Homesick Alien</t>
  </si>
  <si>
    <t>Exit Music (For a Film)</t>
  </si>
  <si>
    <t>Let Down</t>
  </si>
  <si>
    <t>Karma Police</t>
  </si>
  <si>
    <t>Fitter Happier</t>
  </si>
  <si>
    <t>Electioneering</t>
  </si>
  <si>
    <t>Climbing Up the Walls</t>
  </si>
  <si>
    <t>No Surprises</t>
  </si>
  <si>
    <t>Lucky</t>
  </si>
  <si>
    <t>The Tourist</t>
  </si>
  <si>
    <t>Ænima</t>
  </si>
  <si>
    <t>Discovery</t>
  </si>
  <si>
    <t>X&amp;Y</t>
  </si>
  <si>
    <t>Rumours</t>
  </si>
  <si>
    <t>Dirt</t>
  </si>
  <si>
    <t>Square One</t>
  </si>
  <si>
    <t>What If</t>
  </si>
  <si>
    <t>White Shadows</t>
  </si>
  <si>
    <t>Fix You</t>
  </si>
  <si>
    <t>Talk</t>
  </si>
  <si>
    <t>Speed of Sound</t>
  </si>
  <si>
    <t>A Message</t>
  </si>
  <si>
    <t>Low</t>
  </si>
  <si>
    <t>The Hardest Part</t>
  </si>
  <si>
    <t>Swallowed in the Sea</t>
  </si>
  <si>
    <t>Twisted Logic</t>
  </si>
  <si>
    <t>Til Kingdom Come</t>
  </si>
  <si>
    <t>A Quick One Before the Eternal Worm Devours Connecticut</t>
  </si>
  <si>
    <t>Bloodhail</t>
  </si>
  <si>
    <t>The Big Gloom</t>
  </si>
  <si>
    <t>Hunter</t>
  </si>
  <si>
    <t>Telephony</t>
  </si>
  <si>
    <t>Who Would Leave Their Son Out in the Sun?</t>
  </si>
  <si>
    <t>There Is No Food</t>
  </si>
  <si>
    <t>Waiting for Black Metal Records to Come in the Mail</t>
  </si>
  <si>
    <t>Holy Fucking Shit: 40,000</t>
  </si>
  <si>
    <t>The Future</t>
  </si>
  <si>
    <t>Deep, Deep</t>
  </si>
  <si>
    <t>I Don't Love</t>
  </si>
  <si>
    <t>Earthmover</t>
  </si>
  <si>
    <t>Deathconsciousness</t>
  </si>
  <si>
    <t>Them Bones</t>
  </si>
  <si>
    <t>Dam That River</t>
  </si>
  <si>
    <t>Rain When I Die</t>
  </si>
  <si>
    <t>Down In A Hole</t>
  </si>
  <si>
    <t>Sickman</t>
  </si>
  <si>
    <t>Rooster</t>
  </si>
  <si>
    <t>Junkhead</t>
  </si>
  <si>
    <t>God Smack</t>
  </si>
  <si>
    <t>Hate To Feel</t>
  </si>
  <si>
    <t>Angry Chair</t>
  </si>
  <si>
    <t>Would?</t>
  </si>
  <si>
    <t>Useful Idiot</t>
  </si>
  <si>
    <t>Forty Six &amp; 2</t>
  </si>
  <si>
    <t>Message To Harry Manback</t>
  </si>
  <si>
    <t>Hooker With A Penis</t>
  </si>
  <si>
    <t>Intermission</t>
  </si>
  <si>
    <t>Jimmy</t>
  </si>
  <si>
    <t>Die Eir Von Satan</t>
  </si>
  <si>
    <t>Pushit</t>
  </si>
  <si>
    <t>Cesaro Summability</t>
  </si>
  <si>
    <t>Ænema</t>
  </si>
  <si>
    <t>(-) Ions</t>
  </si>
  <si>
    <t>Third Eye</t>
  </si>
  <si>
    <t>Black Dog</t>
  </si>
  <si>
    <t>Rock and Roll</t>
  </si>
  <si>
    <t>The Battle of Evermore</t>
  </si>
  <si>
    <t>Stairway to Heaven</t>
  </si>
  <si>
    <t>Misty Mountain Hop</t>
  </si>
  <si>
    <t>Four Sticks</t>
  </si>
  <si>
    <t>Going to California</t>
  </si>
  <si>
    <t>When the Levee Breaks</t>
  </si>
  <si>
    <t>Mezzanine</t>
  </si>
  <si>
    <t>The Genesis</t>
  </si>
  <si>
    <t>N.Y. State of Mind</t>
  </si>
  <si>
    <t>Life's a Bitch</t>
  </si>
  <si>
    <t>The World Is Yours</t>
  </si>
  <si>
    <t>Halftime</t>
  </si>
  <si>
    <t>Memory Lane</t>
  </si>
  <si>
    <t>One Love</t>
  </si>
  <si>
    <t>One Time 4 Your Mind</t>
  </si>
  <si>
    <t>Represent</t>
  </si>
  <si>
    <t>It Ain't Hard to Tell</t>
  </si>
  <si>
    <t>Rust In Peace</t>
  </si>
  <si>
    <t>Holy Wars…The Punishment Due</t>
  </si>
  <si>
    <t>Hangar 18</t>
  </si>
  <si>
    <t>Take No Prisoners</t>
  </si>
  <si>
    <t>Five Magics</t>
  </si>
  <si>
    <t>Poison Was The Cure</t>
  </si>
  <si>
    <t>Lucretia</t>
  </si>
  <si>
    <t>Tornado Of Souls</t>
  </si>
  <si>
    <t>Dawn Patrol</t>
  </si>
  <si>
    <t>Rust In Peace…Polaris</t>
  </si>
  <si>
    <t>Led Zeppelin IV</t>
  </si>
  <si>
    <t>Illmatic</t>
  </si>
  <si>
    <t>Shame On a Nuh</t>
  </si>
  <si>
    <t>Clan In Da Front</t>
  </si>
  <si>
    <t>Can It Be All So Simple</t>
  </si>
  <si>
    <t>Method Man</t>
  </si>
  <si>
    <t>Da Mystery of Cheesboxin'</t>
  </si>
  <si>
    <t>Wu-Tang Clan Ain't Nothing Ta F'Wit</t>
  </si>
  <si>
    <t>C.R.E.A.M.</t>
  </si>
  <si>
    <t>Protet Ya Neck</t>
  </si>
  <si>
    <t>Tearz</t>
  </si>
  <si>
    <t>Everything In Its Right Place</t>
  </si>
  <si>
    <t>Kid A</t>
  </si>
  <si>
    <t>The National Anthem</t>
  </si>
  <si>
    <t>How to Disappear Completely</t>
  </si>
  <si>
    <t>Treefingers</t>
  </si>
  <si>
    <t>Optimistic</t>
  </si>
  <si>
    <t>In Limbo</t>
  </si>
  <si>
    <t>Idioteque</t>
  </si>
  <si>
    <t>Morning Bell</t>
  </si>
  <si>
    <t>Motion Picture Sountrack</t>
  </si>
  <si>
    <t>Untitled</t>
  </si>
  <si>
    <t>Disorder</t>
  </si>
  <si>
    <t>Day of the Lords</t>
  </si>
  <si>
    <t>Candidate</t>
  </si>
  <si>
    <t>Insight</t>
  </si>
  <si>
    <t>New Dawn Fades</t>
  </si>
  <si>
    <t>She's Lost Control</t>
  </si>
  <si>
    <t>Shadowplay</t>
  </si>
  <si>
    <t>Wilderness</t>
  </si>
  <si>
    <t>Interzone</t>
  </si>
  <si>
    <t>I Remember Nothing</t>
  </si>
  <si>
    <t>Unknown Pleasures</t>
  </si>
  <si>
    <t>Intolerance</t>
  </si>
  <si>
    <t>Prison Sex</t>
  </si>
  <si>
    <t>Sober</t>
  </si>
  <si>
    <t>Bottom</t>
  </si>
  <si>
    <t>Crawl Away</t>
  </si>
  <si>
    <t>Swamp Song</t>
  </si>
  <si>
    <t>Undertow</t>
  </si>
  <si>
    <t>4º</t>
  </si>
  <si>
    <t>Flood</t>
  </si>
  <si>
    <t>Disgustipated</t>
  </si>
  <si>
    <r>
      <rPr>
        <sz val="12"/>
        <color theme="0"/>
        <rFont val="Aptos Narrow"/>
        <scheme val="minor"/>
      </rPr>
      <t>* Pink Floyd</t>
    </r>
    <r>
      <rPr>
        <b/>
        <sz val="12"/>
        <color theme="0"/>
        <rFont val="Aptos Narrow"/>
        <scheme val="minor"/>
      </rPr>
      <t xml:space="preserve"> - The Dark Side Of The Moon</t>
    </r>
  </si>
  <si>
    <r>
      <rPr>
        <sz val="14"/>
        <color rgb="FFFFFF00"/>
        <rFont val="Aptos Narrow"/>
        <scheme val="minor"/>
      </rPr>
      <t>* The Strokes</t>
    </r>
    <r>
      <rPr>
        <b/>
        <sz val="14"/>
        <color rgb="FFFFFF00"/>
        <rFont val="Aptos Narrow"/>
        <scheme val="minor"/>
      </rPr>
      <t xml:space="preserve"> - The New Abnormal</t>
    </r>
  </si>
  <si>
    <r>
      <rPr>
        <sz val="11"/>
        <color rgb="FFDFB87E"/>
        <rFont val="Aptos Narrow"/>
        <scheme val="minor"/>
      </rPr>
      <t>* Have A Nice Life</t>
    </r>
    <r>
      <rPr>
        <b/>
        <sz val="11"/>
        <color rgb="FFDFB87E"/>
        <rFont val="Aptos Narrow"/>
        <scheme val="minor"/>
      </rPr>
      <t xml:space="preserve"> - Deathconsciousness</t>
    </r>
  </si>
  <si>
    <t>Artista</t>
  </si>
  <si>
    <t>Álbum</t>
  </si>
  <si>
    <t>Media</t>
  </si>
  <si>
    <t>Desv. Típica</t>
  </si>
  <si>
    <t>Notas ≥10</t>
  </si>
  <si>
    <t>Total Canciones</t>
  </si>
  <si>
    <t>Interludios</t>
  </si>
  <si>
    <t>TOOL</t>
  </si>
  <si>
    <t>Radiohead</t>
  </si>
  <si>
    <t>In Rainbows</t>
  </si>
  <si>
    <t>OK Computer</t>
  </si>
  <si>
    <t>Led Zeppelin</t>
  </si>
  <si>
    <t>King Crimson</t>
  </si>
  <si>
    <t>Pink Floyd</t>
  </si>
  <si>
    <t>The Dark Side Of The Moon</t>
  </si>
  <si>
    <t>Opeth</t>
  </si>
  <si>
    <t>Metallica</t>
  </si>
  <si>
    <t>Have A Nice Life</t>
  </si>
  <si>
    <t>Daft Punk</t>
  </si>
  <si>
    <t>Megadeth</t>
  </si>
  <si>
    <t>The Strokes</t>
  </si>
  <si>
    <t>The New Abnormal</t>
  </si>
  <si>
    <t>Dire Straits</t>
  </si>
  <si>
    <t>Nas</t>
  </si>
  <si>
    <t>Massive Attack</t>
  </si>
  <si>
    <t>Fleetwood Mac</t>
  </si>
  <si>
    <t>Coldplay</t>
  </si>
  <si>
    <t>Sweet Trip</t>
  </si>
  <si>
    <t>Alice In Chains</t>
  </si>
  <si>
    <t>Joy Division</t>
  </si>
  <si>
    <t>Linkin Park</t>
  </si>
  <si>
    <t>Hybrid Theory</t>
  </si>
  <si>
    <r>
      <t xml:space="preserve">* Wu Tang Clan - </t>
    </r>
    <r>
      <rPr>
        <b/>
        <sz val="9.5"/>
        <color rgb="FFFFD100"/>
        <rFont val="Aptos Narrow"/>
        <scheme val="minor"/>
      </rPr>
      <t>Enter the Wu-Tang (36 Chambers)</t>
    </r>
  </si>
  <si>
    <t>#</t>
  </si>
  <si>
    <t>Wu Tang Clan</t>
  </si>
  <si>
    <t>Enter the Wu-Tang (36 Chambers)</t>
  </si>
  <si>
    <t>Come Back to Earth</t>
  </si>
  <si>
    <t>Hurt Feelings</t>
  </si>
  <si>
    <t>What's the Use?</t>
  </si>
  <si>
    <t>Perfecto</t>
  </si>
  <si>
    <t>Self Care</t>
  </si>
  <si>
    <t>Wings</t>
  </si>
  <si>
    <t>Ladders</t>
  </si>
  <si>
    <t>Small Worlds</t>
  </si>
  <si>
    <t>Conversation Pt. 1</t>
  </si>
  <si>
    <t>Dunno</t>
  </si>
  <si>
    <t>Jet Fuel</t>
  </si>
  <si>
    <t>So It Goes</t>
  </si>
  <si>
    <t>2009.</t>
  </si>
  <si>
    <t>Mac Miller</t>
  </si>
  <si>
    <t>Swimming</t>
  </si>
  <si>
    <t>After</t>
  </si>
  <si>
    <t>Volta-face</t>
  </si>
  <si>
    <t>Conceiving You</t>
  </si>
  <si>
    <t>Second Life Syndrome</t>
  </si>
  <si>
    <t>Artificial Smile</t>
  </si>
  <si>
    <t>I Turned You Down</t>
  </si>
  <si>
    <t>Reality Dream III</t>
  </si>
  <si>
    <t>Dance With The Shadows</t>
  </si>
  <si>
    <t>Before</t>
  </si>
  <si>
    <r>
      <t xml:space="preserve">* </t>
    </r>
    <r>
      <rPr>
        <sz val="13"/>
        <color rgb="FFE79200"/>
        <rFont val="Aptos Narrow"/>
        <scheme val="minor"/>
      </rPr>
      <t>Riverside</t>
    </r>
    <r>
      <rPr>
        <b/>
        <sz val="13"/>
        <color rgb="FFE79200"/>
        <rFont val="Aptos Narrow"/>
        <scheme val="minor"/>
      </rPr>
      <t xml:space="preserve"> - Second Life Syndrome</t>
    </r>
  </si>
  <si>
    <t>Riverside</t>
  </si>
  <si>
    <t>Cherry-coloured Funk</t>
  </si>
  <si>
    <t>Pitch the Baby</t>
  </si>
  <si>
    <t>Iceblink Luck</t>
  </si>
  <si>
    <t>Fifty-fifty Clown</t>
  </si>
  <si>
    <t>Heaven or Las Vegas</t>
  </si>
  <si>
    <t>I Wear Your Ring</t>
  </si>
  <si>
    <t>Fotzepolitic</t>
  </si>
  <si>
    <t>Wolf in the Breast</t>
  </si>
  <si>
    <t>Road, River and Rail</t>
  </si>
  <si>
    <t>Frou-frou Foxes in Midsummer Fires</t>
  </si>
  <si>
    <t>Cocteau Twins</t>
  </si>
  <si>
    <r>
      <rPr>
        <sz val="13"/>
        <color theme="0"/>
        <rFont val="Aptos Narrow"/>
        <family val="2"/>
        <scheme val="minor"/>
      </rPr>
      <t>* Joy Division</t>
    </r>
    <r>
      <rPr>
        <b/>
        <sz val="13"/>
        <color theme="0"/>
        <rFont val="Aptos Narrow"/>
        <family val="2"/>
        <scheme val="minor"/>
      </rPr>
      <t xml:space="preserve"> - Unknown Pleasures</t>
    </r>
  </si>
  <si>
    <t>Plainsong</t>
  </si>
  <si>
    <t>Pictures Of You</t>
  </si>
  <si>
    <t>Closedown</t>
  </si>
  <si>
    <t>Lovesong</t>
  </si>
  <si>
    <t>Last Dance</t>
  </si>
  <si>
    <t>Lullaby</t>
  </si>
  <si>
    <t>Fascination Street</t>
  </si>
  <si>
    <t>Prayers For Rain</t>
  </si>
  <si>
    <t>The Same Deep Water As You</t>
  </si>
  <si>
    <t>Disintegration</t>
  </si>
  <si>
    <t>Homesick</t>
  </si>
  <si>
    <t>The Cure</t>
  </si>
  <si>
    <t>Nosotros</t>
  </si>
  <si>
    <t>Fuego, Fuego</t>
  </si>
  <si>
    <t>Cuestión de Fe</t>
  </si>
  <si>
    <t>Sudores fríos</t>
  </si>
  <si>
    <t>Más Alcohol</t>
  </si>
  <si>
    <t>A la tumba</t>
  </si>
  <si>
    <t>Dime que sí</t>
  </si>
  <si>
    <t>Hijos de la Ruina</t>
  </si>
  <si>
    <t>Hijos de la ruina, vol. 3</t>
  </si>
  <si>
    <t>Tipping Point</t>
  </si>
  <si>
    <t>I Don't Care</t>
  </si>
  <si>
    <t>Hey God?!</t>
  </si>
  <si>
    <t>Let There Be Shred</t>
  </si>
  <si>
    <t>Puppet Parade</t>
  </si>
  <si>
    <t>Another Bad Day</t>
  </si>
  <si>
    <t>Made To Kill</t>
  </si>
  <si>
    <t>Obey The Call</t>
  </si>
  <si>
    <t>I Am War</t>
  </si>
  <si>
    <t>The Last Note</t>
  </si>
  <si>
    <t>Ride The Lightning (Bonus Track)</t>
  </si>
  <si>
    <t>Epitaph</t>
  </si>
  <si>
    <t>Planet Telex</t>
  </si>
  <si>
    <t>The Bends</t>
  </si>
  <si>
    <t>High And Dry</t>
  </si>
  <si>
    <t>Fake Plastic Trees</t>
  </si>
  <si>
    <t>Bones</t>
  </si>
  <si>
    <t>(Nice Dream)</t>
  </si>
  <si>
    <t>Just</t>
  </si>
  <si>
    <t>My Iron Lung</t>
  </si>
  <si>
    <t>Bullet Proof… I Wish I Was</t>
  </si>
  <si>
    <t>Black Star</t>
  </si>
  <si>
    <t>Sulk</t>
  </si>
  <si>
    <t>Street Spirit (Fade Out)</t>
  </si>
  <si>
    <r>
      <rPr>
        <sz val="12"/>
        <color theme="5" tint="-0.499984740745262"/>
        <rFont val="Aptos Narrow"/>
        <scheme val="minor"/>
      </rPr>
      <t>* The Alan Parsons Project</t>
    </r>
    <r>
      <rPr>
        <b/>
        <sz val="12"/>
        <color theme="5" tint="-0.499984740745262"/>
        <rFont val="Aptos Narrow"/>
        <scheme val="minor"/>
      </rPr>
      <t xml:space="preserve"> - Eye In The Sky</t>
    </r>
  </si>
  <si>
    <t>The Alan Parsons Project</t>
  </si>
  <si>
    <t>HYAENA</t>
  </si>
  <si>
    <t>THANK GOD</t>
  </si>
  <si>
    <t>MODERN JAM</t>
  </si>
  <si>
    <t>MY EYES</t>
  </si>
  <si>
    <t>GOD'S COUNTRY</t>
  </si>
  <si>
    <t>SIRENS</t>
  </si>
  <si>
    <t>METLDOWN</t>
  </si>
  <si>
    <t>FE!N</t>
  </si>
  <si>
    <t>DELRESTO (ECHOES)</t>
  </si>
  <si>
    <t>I KNOW?</t>
  </si>
  <si>
    <t>TOPIA TWINS</t>
  </si>
  <si>
    <t>CIRCUS MAXIMUS</t>
  </si>
  <si>
    <t>PARASAIL</t>
  </si>
  <si>
    <t>SKITZO</t>
  </si>
  <si>
    <t>LOST FOREVER</t>
  </si>
  <si>
    <t>LOOOOVE</t>
  </si>
  <si>
    <t>K-POP</t>
  </si>
  <si>
    <t>TELEKINESIS</t>
  </si>
  <si>
    <t>TIL FURHTER NOTICE</t>
  </si>
  <si>
    <r>
      <rPr>
        <sz val="12"/>
        <color theme="0"/>
        <rFont val="Aptos Narrow"/>
        <family val="2"/>
        <scheme val="minor"/>
      </rPr>
      <t>* Hijos de la Ruina</t>
    </r>
    <r>
      <rPr>
        <b/>
        <sz val="12"/>
        <color theme="0"/>
        <rFont val="Aptos Narrow"/>
        <family val="2"/>
        <scheme val="minor"/>
      </rPr>
      <t xml:space="preserve"> - Hijos de la ruina, vol. 3</t>
    </r>
  </si>
  <si>
    <t>Travis Scott</t>
  </si>
  <si>
    <t>UTOPIA</t>
  </si>
  <si>
    <t>Blackest Eyes</t>
  </si>
  <si>
    <t>Trains</t>
  </si>
  <si>
    <t>Lips Of Ashes</t>
  </si>
  <si>
    <t>The Sound Of Muzak</t>
  </si>
  <si>
    <t>Gravity Eyelids</t>
  </si>
  <si>
    <t>Wedding Nails</t>
  </si>
  <si>
    <t>Prodigal</t>
  </si>
  <si>
    <t>.3</t>
  </si>
  <si>
    <t>The Creator Has A Mastertape</t>
  </si>
  <si>
    <t>Heartattack In A Layby</t>
  </si>
  <si>
    <t>Strip The Soul</t>
  </si>
  <si>
    <t>Collapse The Light Into Earth</t>
  </si>
  <si>
    <r>
      <t xml:space="preserve">* </t>
    </r>
    <r>
      <rPr>
        <sz val="14"/>
        <color rgb="FFFFD7D6"/>
        <rFont val="Aptos Narrow"/>
        <scheme val="minor"/>
      </rPr>
      <t>Radiohead</t>
    </r>
    <r>
      <rPr>
        <b/>
        <sz val="14"/>
        <color rgb="FFFFD7D6"/>
        <rFont val="Aptos Narrow"/>
        <scheme val="minor"/>
      </rPr>
      <t xml:space="preserve"> - The Bends</t>
    </r>
  </si>
  <si>
    <t>Porcupine Tree</t>
  </si>
  <si>
    <t>In Absentia</t>
  </si>
  <si>
    <r>
      <rPr>
        <sz val="12"/>
        <color rgb="FFFF47CC"/>
        <rFont val="Aptos Narrow"/>
        <scheme val="minor"/>
      </rPr>
      <t>* Dave</t>
    </r>
    <r>
      <rPr>
        <b/>
        <sz val="12"/>
        <color rgb="FFFF47CC"/>
        <rFont val="Aptos Narrow"/>
        <scheme val="minor"/>
      </rPr>
      <t xml:space="preserve"> - We're All Alone In This Together</t>
    </r>
  </si>
  <si>
    <t>We're All Alone</t>
  </si>
  <si>
    <t>Verdansk</t>
  </si>
  <si>
    <t>Clash</t>
  </si>
  <si>
    <t>In The Fire</t>
  </si>
  <si>
    <t>Three Rivers</t>
  </si>
  <si>
    <t>System</t>
  </si>
  <si>
    <t>Lazarus</t>
  </si>
  <si>
    <t>Law Of Attraction</t>
  </si>
  <si>
    <t>Both Sides Of A Smile</t>
  </si>
  <si>
    <t>Twenty To One</t>
  </si>
  <si>
    <t>Heart Attack</t>
  </si>
  <si>
    <t>Survivor's Guilt</t>
  </si>
  <si>
    <t>Dave</t>
  </si>
  <si>
    <t>We're All Alone In This Together</t>
  </si>
  <si>
    <r>
      <rPr>
        <sz val="12"/>
        <color rgb="FF2D80D5"/>
        <rFont val="Aptos Narrow"/>
        <scheme val="minor"/>
      </rPr>
      <t>* Porcupine Tree</t>
    </r>
    <r>
      <rPr>
        <b/>
        <sz val="12"/>
        <color rgb="FF2D80D5"/>
        <rFont val="Aptos Narrow"/>
        <scheme val="minor"/>
      </rPr>
      <t xml:space="preserve"> - Fear of a Blank Planet</t>
    </r>
  </si>
  <si>
    <t>Fear of a Blank Planet</t>
  </si>
  <si>
    <t>My Ashes</t>
  </si>
  <si>
    <t>Anesthetize</t>
  </si>
  <si>
    <t>Sentimental</t>
  </si>
  <si>
    <t>Way out of Here</t>
  </si>
  <si>
    <t>Sleep Together</t>
  </si>
  <si>
    <t>Windowpane</t>
  </si>
  <si>
    <t>In My Time of Need</t>
  </si>
  <si>
    <t>Death Whispered a Lullaby</t>
  </si>
  <si>
    <t>Closure</t>
  </si>
  <si>
    <t>Hope Leaves</t>
  </si>
  <si>
    <t>To Rid the Disease</t>
  </si>
  <si>
    <t>Ending Credits</t>
  </si>
  <si>
    <t>Weakness</t>
  </si>
  <si>
    <t>Damnation</t>
  </si>
  <si>
    <t>Mediana</t>
  </si>
  <si>
    <t>Álbumes</t>
  </si>
  <si>
    <t>Nikes</t>
  </si>
  <si>
    <t>Ivy</t>
  </si>
  <si>
    <t>Pink + White</t>
  </si>
  <si>
    <t>Be Yourself</t>
  </si>
  <si>
    <t>Solo</t>
  </si>
  <si>
    <t>Skyline To</t>
  </si>
  <si>
    <t>Self Control</t>
  </si>
  <si>
    <t>Nights</t>
  </si>
  <si>
    <t>Solo (Reprise)</t>
  </si>
  <si>
    <t>Pretty Sweet</t>
  </si>
  <si>
    <t>Facebook Story</t>
  </si>
  <si>
    <t>Close To You</t>
  </si>
  <si>
    <t>White Ferrari</t>
  </si>
  <si>
    <t>Seigfried</t>
  </si>
  <si>
    <t>Godspeed</t>
  </si>
  <si>
    <t>Future Free</t>
  </si>
  <si>
    <t>Good Guy</t>
  </si>
  <si>
    <t>Frank Ocean</t>
  </si>
  <si>
    <t>Blonde</t>
  </si>
  <si>
    <t>Burn The Witch</t>
  </si>
  <si>
    <t>Daydreaming</t>
  </si>
  <si>
    <t>Decks Dark</t>
  </si>
  <si>
    <t>Desert Island Disk</t>
  </si>
  <si>
    <t>Ful Stop</t>
  </si>
  <si>
    <t>Glass Eyes</t>
  </si>
  <si>
    <t>Identikit</t>
  </si>
  <si>
    <t>The Numbers</t>
  </si>
  <si>
    <t>Present Tense</t>
  </si>
  <si>
    <t>Tinker Tailor Soldier Sailor Rich Man Poor Man Beggar Man Thief</t>
  </si>
  <si>
    <r>
      <rPr>
        <sz val="14"/>
        <color theme="1" tint="0.249977111117893"/>
        <rFont val="Aptos Narrow"/>
        <family val="2"/>
        <scheme val="minor"/>
      </rPr>
      <t>* Radiohead</t>
    </r>
    <r>
      <rPr>
        <b/>
        <sz val="14"/>
        <color theme="1" tint="0.249977111117893"/>
        <rFont val="Aptos Narrow"/>
        <family val="2"/>
        <scheme val="minor"/>
      </rPr>
      <t xml:space="preserve"> - A Moon Shaped Pool</t>
    </r>
  </si>
  <si>
    <t>Vicarious</t>
  </si>
  <si>
    <t>Jambi</t>
  </si>
  <si>
    <t>Wings For Marie (Pt 1)</t>
  </si>
  <si>
    <t>10,000 Days (Wings Pt 2)</t>
  </si>
  <si>
    <t>The Pot</t>
  </si>
  <si>
    <t>Lipan Conjuring</t>
  </si>
  <si>
    <t>Lost Keys</t>
  </si>
  <si>
    <t>Rosetta Stoned</t>
  </si>
  <si>
    <t>Intension</t>
  </si>
  <si>
    <t>Right In Two</t>
  </si>
  <si>
    <t>Viginiti Tres</t>
  </si>
  <si>
    <t>10,000 Days</t>
  </si>
  <si>
    <t>A Moon Shaped Pool</t>
  </si>
  <si>
    <t>True Love Waits</t>
  </si>
  <si>
    <t>Intro (Neon City)</t>
  </si>
  <si>
    <t>Cold Blooded</t>
  </si>
  <si>
    <t>In the Morning</t>
  </si>
  <si>
    <t>Secret Weapon</t>
  </si>
  <si>
    <t>Electrify Me</t>
  </si>
  <si>
    <t>Numb</t>
  </si>
  <si>
    <t>Palm of My Hand</t>
  </si>
  <si>
    <t>One Minute to Midnight</t>
  </si>
  <si>
    <t>Reaching</t>
  </si>
  <si>
    <t>Hometown Girl</t>
  </si>
  <si>
    <t>Good Life</t>
  </si>
  <si>
    <t>Generationwhy</t>
  </si>
  <si>
    <t>Working For It</t>
  </si>
  <si>
    <t>ZHU</t>
  </si>
  <si>
    <t>GENERATIONWHY</t>
  </si>
  <si>
    <r>
      <rPr>
        <sz val="13"/>
        <color rgb="FF0070C0"/>
        <rFont val="Aptos Narrow"/>
        <family val="2"/>
        <scheme val="minor"/>
      </rPr>
      <t>* Talking Heads</t>
    </r>
    <r>
      <rPr>
        <b/>
        <sz val="13"/>
        <color rgb="FF0070C0"/>
        <rFont val="Aptos Narrow"/>
        <family val="2"/>
        <scheme val="minor"/>
      </rPr>
      <t xml:space="preserve"> - Speaking in Tongues</t>
    </r>
  </si>
  <si>
    <t>Burning Down The House</t>
  </si>
  <si>
    <t>Making Flippy Floppy</t>
  </si>
  <si>
    <t>Girlfriend Is Better</t>
  </si>
  <si>
    <t>Slippery People</t>
  </si>
  <si>
    <t>I Get Wild / Wild Gravity</t>
  </si>
  <si>
    <t>Swamp</t>
  </si>
  <si>
    <t>Moon Rocks</t>
  </si>
  <si>
    <t>Pull up the Roots</t>
  </si>
  <si>
    <t>This Must Be the Place</t>
  </si>
  <si>
    <t>Talking Heads</t>
  </si>
  <si>
    <t>Speaking in Tongues</t>
  </si>
  <si>
    <t>Let It Happen</t>
  </si>
  <si>
    <t>Nangs</t>
  </si>
  <si>
    <t>The Moment</t>
  </si>
  <si>
    <t>Yes I'm Changing</t>
  </si>
  <si>
    <t>Eventually</t>
  </si>
  <si>
    <t>Gossip</t>
  </si>
  <si>
    <t>The Less I Know The Better</t>
  </si>
  <si>
    <t>Past Life</t>
  </si>
  <si>
    <t>Disciples</t>
  </si>
  <si>
    <t>Cause I'm A Man</t>
  </si>
  <si>
    <t>Reality In Motion</t>
  </si>
  <si>
    <t>Love/Paranoia</t>
  </si>
  <si>
    <t>New Person, Same Old Mistakes</t>
  </si>
  <si>
    <t>Tame Impala</t>
  </si>
  <si>
    <t>Currents</t>
  </si>
  <si>
    <t>Packt Like Sardines In a Crushed Tin Box</t>
  </si>
  <si>
    <t>Pyramid Song</t>
  </si>
  <si>
    <t>Pulk/Pull Revolving Doors</t>
  </si>
  <si>
    <t>You And Whose Army?</t>
  </si>
  <si>
    <t>I Might Be Wrong</t>
  </si>
  <si>
    <t>Knives Out</t>
  </si>
  <si>
    <t>Morning Bell/Amnesiac</t>
  </si>
  <si>
    <t>Dollars and Cents</t>
  </si>
  <si>
    <t>Hunting Bears</t>
  </si>
  <si>
    <t>Like Spinning Plates</t>
  </si>
  <si>
    <t>Life In a Glasshouse</t>
  </si>
  <si>
    <t>Amnesiac</t>
  </si>
  <si>
    <r>
      <t>* Daft Punk -</t>
    </r>
    <r>
      <rPr>
        <b/>
        <sz val="12"/>
        <color rgb="FFF7E2AD"/>
        <rFont val="Aptos Narrow"/>
        <family val="2"/>
        <scheme val="minor"/>
      </rPr>
      <t xml:space="preserve"> Random Access Memories</t>
    </r>
  </si>
  <si>
    <t>Give Life Back to Music</t>
  </si>
  <si>
    <t>The Game of Love</t>
  </si>
  <si>
    <t>Giorgio By Moroder</t>
  </si>
  <si>
    <t>Within</t>
  </si>
  <si>
    <t>Instant Crush</t>
  </si>
  <si>
    <t>Lose Yourself</t>
  </si>
  <si>
    <t>Touch</t>
  </si>
  <si>
    <t>Get Lucky</t>
  </si>
  <si>
    <t>Beyond</t>
  </si>
  <si>
    <t>Motherboard</t>
  </si>
  <si>
    <t>Fragments of Time</t>
  </si>
  <si>
    <t>Doin' it Right</t>
  </si>
  <si>
    <t>Contact</t>
  </si>
  <si>
    <t>Random Access Memories</t>
  </si>
  <si>
    <t>E85</t>
  </si>
  <si>
    <t>Body</t>
  </si>
  <si>
    <t>Rendevouz</t>
  </si>
  <si>
    <t>Secondhand</t>
  </si>
  <si>
    <t>Tiramisu</t>
  </si>
  <si>
    <t>ATM</t>
  </si>
  <si>
    <t>Long Way To Calabasas</t>
  </si>
  <si>
    <t>Rosary</t>
  </si>
  <si>
    <t>All The Signs</t>
  </si>
  <si>
    <t>Call Back</t>
  </si>
  <si>
    <t>Tuition</t>
  </si>
  <si>
    <t>K9</t>
  </si>
  <si>
    <t>Excavator</t>
  </si>
  <si>
    <t>Gemstone</t>
  </si>
  <si>
    <t>OPPOSITE</t>
  </si>
  <si>
    <t>TMU</t>
  </si>
  <si>
    <t>Pleasure's Mine</t>
  </si>
  <si>
    <t>Sweet Home</t>
  </si>
  <si>
    <t>Don Toliver</t>
  </si>
  <si>
    <t>OCTANE</t>
  </si>
  <si>
    <t>Deadwing</t>
  </si>
  <si>
    <t>Shallow</t>
  </si>
  <si>
    <t>Halo</t>
  </si>
  <si>
    <t>Arriving Somewhere But Not Here</t>
  </si>
  <si>
    <t>Mellotron Scratch</t>
  </si>
  <si>
    <t>Open Car</t>
  </si>
  <si>
    <t>Start Of Something Beautiful</t>
  </si>
  <si>
    <t>Glass Arm Shattering</t>
  </si>
  <si>
    <t>The Departure</t>
  </si>
  <si>
    <t>Riders of Rohan</t>
  </si>
  <si>
    <t>The Uruk-Hai</t>
  </si>
  <si>
    <t>Make Hast to Edoras</t>
  </si>
  <si>
    <t>Battle of Helms Deep</t>
  </si>
  <si>
    <t>Isengard &amp; The Voice of Saruman</t>
  </si>
  <si>
    <t>The Palantir</t>
  </si>
  <si>
    <t>The Dead Marshes</t>
  </si>
  <si>
    <t>The Black Gate</t>
  </si>
  <si>
    <t>Cirith Ungol</t>
  </si>
  <si>
    <r>
      <rPr>
        <sz val="14"/>
        <color rgb="FFFF0000"/>
        <rFont val="Aptos Narrow"/>
        <scheme val="minor"/>
      </rPr>
      <t xml:space="preserve">* Jake Weber </t>
    </r>
    <r>
      <rPr>
        <b/>
        <sz val="14"/>
        <color rgb="FFFF0000"/>
        <rFont val="Aptos Narrow"/>
        <scheme val="minor"/>
      </rPr>
      <t>- Middle Earth Vol. 2</t>
    </r>
  </si>
  <si>
    <t>Jake Weber</t>
  </si>
  <si>
    <t>Middle Earth Vol. 2</t>
  </si>
  <si>
    <t>Storm</t>
  </si>
  <si>
    <t>Static</t>
  </si>
  <si>
    <t>Sleep</t>
  </si>
  <si>
    <t>Antennas to Heaven</t>
  </si>
  <si>
    <t>Lift Yr. Skinny Fists Like Antennas to Heaven!</t>
  </si>
  <si>
    <t>Daftendirekt</t>
  </si>
  <si>
    <t>WDPK 83.7 FM</t>
  </si>
  <si>
    <t>Revolution 909</t>
  </si>
  <si>
    <t>Da Funk</t>
  </si>
  <si>
    <t>Phoenix</t>
  </si>
  <si>
    <t>Fresh</t>
  </si>
  <si>
    <t>Around The World</t>
  </si>
  <si>
    <t>Rollin' &amp; Scratchin'</t>
  </si>
  <si>
    <t>Teachers</t>
  </si>
  <si>
    <t>High Fidelity</t>
  </si>
  <si>
    <t>Rock'n Roll</t>
  </si>
  <si>
    <t>Oh Yeah</t>
  </si>
  <si>
    <t>Burnin'</t>
  </si>
  <si>
    <t>Indo Silver Club</t>
  </si>
  <si>
    <t>Alive</t>
  </si>
  <si>
    <t>Funk Ad</t>
  </si>
  <si>
    <t>Homework</t>
  </si>
  <si>
    <t>Fight With Fire</t>
  </si>
  <si>
    <t>Ride The Lightning</t>
  </si>
  <si>
    <t>For Whom The Bell Tolls</t>
  </si>
  <si>
    <t>Fade To Black</t>
  </si>
  <si>
    <t>Trapped Under Ice</t>
  </si>
  <si>
    <t>Escape</t>
  </si>
  <si>
    <t>Creeping Death</t>
  </si>
  <si>
    <t>The Call of Ktulu</t>
  </si>
  <si>
    <r>
      <rPr>
        <sz val="14"/>
        <color theme="3" tint="0.749992370372631"/>
        <rFont val="Aptos Narrow"/>
        <scheme val="minor"/>
      </rPr>
      <t xml:space="preserve">* Metallica </t>
    </r>
    <r>
      <rPr>
        <b/>
        <sz val="14"/>
        <color theme="3" tint="0.749992370372631"/>
        <rFont val="Aptos Narrow"/>
        <scheme val="minor"/>
      </rPr>
      <t>- Ride The Lightning</t>
    </r>
  </si>
  <si>
    <t>Orchestral Intro</t>
  </si>
  <si>
    <t>Welcome to the World of the Plastic Beach</t>
  </si>
  <si>
    <t>White Flag</t>
  </si>
  <si>
    <t>Rhinestone Eyes</t>
  </si>
  <si>
    <t>Stylo</t>
  </si>
  <si>
    <t>Superfast Jellyfish</t>
  </si>
  <si>
    <t>Empire Ants</t>
  </si>
  <si>
    <t>Glitter Freeze</t>
  </si>
  <si>
    <t>Some Kind of Nature</t>
  </si>
  <si>
    <t>On Melancholy Hill</t>
  </si>
  <si>
    <t>Broken</t>
  </si>
  <si>
    <t>Sweepstakes</t>
  </si>
  <si>
    <t>Plastic Beach</t>
  </si>
  <si>
    <t>To Binge</t>
  </si>
  <si>
    <t>Cloud of Unkowing</t>
  </si>
  <si>
    <t>Pirate Jet</t>
  </si>
  <si>
    <t>Gorillaz</t>
  </si>
  <si>
    <t>No Ordinary Love</t>
  </si>
  <si>
    <t>Feel No Pain</t>
  </si>
  <si>
    <t>I Couldn't Love You More</t>
  </si>
  <si>
    <t>Like a Tatoo</t>
  </si>
  <si>
    <t>Kiss of Life</t>
  </si>
  <si>
    <t>Cherish the Day</t>
  </si>
  <si>
    <t>Pearls</t>
  </si>
  <si>
    <t>Bullet Proof Soul</t>
  </si>
  <si>
    <t>Mermaid</t>
  </si>
  <si>
    <t>Sade</t>
  </si>
  <si>
    <t>Love Deluxe</t>
  </si>
  <si>
    <t>Obstacle 1</t>
  </si>
  <si>
    <t>NYC</t>
  </si>
  <si>
    <t>PDA</t>
  </si>
  <si>
    <t>Say Hello to the Angels</t>
  </si>
  <si>
    <t>Hands Away</t>
  </si>
  <si>
    <t>Obstacle 2</t>
  </si>
  <si>
    <t>Stella was a diver and she was always down</t>
  </si>
  <si>
    <t>Roland</t>
  </si>
  <si>
    <t>The New</t>
  </si>
  <si>
    <t>Leif Erikson</t>
  </si>
  <si>
    <t>Interpol</t>
  </si>
  <si>
    <t>Turn On The Bright Lights</t>
  </si>
  <si>
    <t>Pigs on the Wing 1</t>
  </si>
  <si>
    <t>Dogs</t>
  </si>
  <si>
    <t>Pigs (Three Different Ones)</t>
  </si>
  <si>
    <t>Sheep</t>
  </si>
  <si>
    <t>Pigs on the Wing 2</t>
  </si>
  <si>
    <t>The Stargate [Tablet I]</t>
  </si>
  <si>
    <t>The Stargate [Tablet II]</t>
  </si>
  <si>
    <t>The Stargate [Tablet III]</t>
  </si>
  <si>
    <t>The Message [Tablet I]</t>
  </si>
  <si>
    <t>The Message [Tablet II]</t>
  </si>
  <si>
    <t>The Message [Tablet III]</t>
  </si>
  <si>
    <t>progressive metal, alternative metal</t>
  </si>
  <si>
    <t>art rock, alternative rock</t>
  </si>
  <si>
    <t>progressive rock, art rock</t>
  </si>
  <si>
    <t>progressive rock, psychedelic rock</t>
  </si>
  <si>
    <t>progressive rock, progressive metal</t>
  </si>
  <si>
    <t>shoegaze, slowcore</t>
  </si>
  <si>
    <t>french house, electronic</t>
  </si>
  <si>
    <t>garage rock, indie rock</t>
  </si>
  <si>
    <t>classic rock</t>
  </si>
  <si>
    <t>old school hip hop, east coast hip hop</t>
  </si>
  <si>
    <t>dream pop, shoegaze</t>
  </si>
  <si>
    <t>trip hop, downtempo</t>
  </si>
  <si>
    <t>edm</t>
  </si>
  <si>
    <t>nu metal, rap metal</t>
  </si>
  <si>
    <t>grime, uk grime</t>
  </si>
  <si>
    <t>Animals</t>
  </si>
  <si>
    <t>Blood Incantation</t>
  </si>
  <si>
    <t>Absolute Elsewhere</t>
  </si>
  <si>
    <t>death metal, progressive metal</t>
  </si>
  <si>
    <t>alternative metal</t>
  </si>
  <si>
    <t>alternative rock</t>
  </si>
  <si>
    <t>progressive metal</t>
  </si>
  <si>
    <t>thrash metal</t>
  </si>
  <si>
    <t>progressive metal, death metal</t>
  </si>
  <si>
    <t>electropop, art pop</t>
  </si>
  <si>
    <t>smooth soul</t>
  </si>
  <si>
    <t>experimental hip hop, trap</t>
  </si>
  <si>
    <t>trap</t>
  </si>
  <si>
    <t>spanish rap</t>
  </si>
  <si>
    <t>art pop, pop rock</t>
  </si>
  <si>
    <t>alternative R&amp;B, trap</t>
  </si>
  <si>
    <r>
      <t xml:space="preserve">* Blood Incantation - </t>
    </r>
    <r>
      <rPr>
        <b/>
        <sz val="12"/>
        <color rgb="FFF9FF01"/>
        <rFont val="Aptos Narrow"/>
        <family val="2"/>
        <scheme val="minor"/>
      </rPr>
      <t>Absolute Elsewhere</t>
    </r>
  </si>
  <si>
    <t>It's Gonna Be A Long Time</t>
  </si>
  <si>
    <t>Zoloft</t>
  </si>
  <si>
    <t>Transdermal Celebration</t>
  </si>
  <si>
    <t>Among His Tribe</t>
  </si>
  <si>
    <t>So Many People In The Neighborhood</t>
  </si>
  <si>
    <t>Tried And True</t>
  </si>
  <si>
    <t>Happy Colored Marbles</t>
  </si>
  <si>
    <t>Hey There Fancypants</t>
  </si>
  <si>
    <t>Captain</t>
  </si>
  <si>
    <t>Chocolate Town</t>
  </si>
  <si>
    <t>I Don't Want It</t>
  </si>
  <si>
    <t>The Fucked Jam</t>
  </si>
  <si>
    <t>Alcan Road</t>
  </si>
  <si>
    <t>The Argus</t>
  </si>
  <si>
    <t>If You Could Save Yourself</t>
  </si>
  <si>
    <t>Ween</t>
  </si>
  <si>
    <t>Quebec</t>
  </si>
  <si>
    <t>Dark Fantasy</t>
  </si>
  <si>
    <t>Gorgeous</t>
  </si>
  <si>
    <t>POWER</t>
  </si>
  <si>
    <t>All Of The Lights (Interlude)</t>
  </si>
  <si>
    <t>All Of The Lights</t>
  </si>
  <si>
    <t>Monster</t>
  </si>
  <si>
    <t>So Apalled</t>
  </si>
  <si>
    <t>Devil In A New Dress</t>
  </si>
  <si>
    <t>Hell Of A Life</t>
  </si>
  <si>
    <t>Blame Game</t>
  </si>
  <si>
    <t>Lost In The World</t>
  </si>
  <si>
    <t>Who Will Survive In America</t>
  </si>
  <si>
    <r>
      <t>* Kanye West -</t>
    </r>
    <r>
      <rPr>
        <b/>
        <sz val="10"/>
        <color theme="3" tint="0.249977111117893"/>
        <rFont val="Aptos Narrow"/>
        <family val="2"/>
        <scheme val="minor"/>
      </rPr>
      <t xml:space="preserve"> My Beautiful Dark Twisted Fantasy</t>
    </r>
  </si>
  <si>
    <t>Kanye West</t>
  </si>
  <si>
    <t>My Beautiful Dark Twisted Fantasy</t>
  </si>
  <si>
    <t>pop rap, hip hop</t>
  </si>
  <si>
    <t>new wave, post punk</t>
  </si>
  <si>
    <t>neo psychedelic, indie</t>
  </si>
  <si>
    <t>grunge, post grunge</t>
  </si>
  <si>
    <t>neo psychedelic, art rock</t>
  </si>
  <si>
    <t>post punk, new wave</t>
  </si>
  <si>
    <t>Feather</t>
  </si>
  <si>
    <t>ordinary joe</t>
  </si>
  <si>
    <t>reflection eternal</t>
  </si>
  <si>
    <t>Luv(sic.) pt3</t>
  </si>
  <si>
    <t>Music is mine</t>
  </si>
  <si>
    <t>The Sign</t>
  </si>
  <si>
    <t>Thank you</t>
  </si>
  <si>
    <t>World's end Rhapsody</t>
  </si>
  <si>
    <t>Modal Soul</t>
  </si>
  <si>
    <t>flowers</t>
  </si>
  <si>
    <t>sea of cloud</t>
  </si>
  <si>
    <t>Light on the land</t>
  </si>
  <si>
    <t>Horizon</t>
  </si>
  <si>
    <t>Nujabes</t>
  </si>
  <si>
    <t>jazz rap, instrumental hip hop</t>
  </si>
  <si>
    <t>indie rock, post punk</t>
  </si>
  <si>
    <r>
      <t xml:space="preserve">* Radiohead - </t>
    </r>
    <r>
      <rPr>
        <b/>
        <sz val="14"/>
        <color theme="3" tint="0.499984740745262"/>
        <rFont val="Aptos Narrow"/>
        <scheme val="minor"/>
      </rPr>
      <t>Hail To the Thief</t>
    </r>
  </si>
  <si>
    <t>2 + 2 = 5</t>
  </si>
  <si>
    <t>Sit Down. Stand Up</t>
  </si>
  <si>
    <t>Sail To The Moon</t>
  </si>
  <si>
    <t>Backdrifts</t>
  </si>
  <si>
    <t>Go To Sleep</t>
  </si>
  <si>
    <t>Where I End and You Begin</t>
  </si>
  <si>
    <t>We Suck Young Blood</t>
  </si>
  <si>
    <t>The Gloaming</t>
  </si>
  <si>
    <t>There, There</t>
  </si>
  <si>
    <t>I Will</t>
  </si>
  <si>
    <t>A Punch Up at a Wedding</t>
  </si>
  <si>
    <t>Myxomatosis</t>
  </si>
  <si>
    <t>Scatterbrain</t>
  </si>
  <si>
    <t>A Wolf At the Door</t>
  </si>
  <si>
    <t>Hail To the Thief</t>
  </si>
  <si>
    <t>art rock, electronic</t>
  </si>
  <si>
    <r>
      <t xml:space="preserve">* Opeth - </t>
    </r>
    <r>
      <rPr>
        <b/>
        <sz val="14"/>
        <color rgb="FFFF0000"/>
        <rFont val="Aptos Narrow"/>
        <scheme val="minor"/>
      </rPr>
      <t>Still Life</t>
    </r>
  </si>
  <si>
    <t>The Moor</t>
  </si>
  <si>
    <t>Godhead's Lament</t>
  </si>
  <si>
    <t>Benighted</t>
  </si>
  <si>
    <t>Moonlapse Vertigo</t>
  </si>
  <si>
    <t>Serenity Painted Death</t>
  </si>
  <si>
    <t>White Cluster</t>
  </si>
  <si>
    <r>
      <t xml:space="preserve">* Nujabes - </t>
    </r>
    <r>
      <rPr>
        <b/>
        <sz val="14"/>
        <color rgb="FFF23B27"/>
        <rFont val="Aptos Narrow"/>
        <scheme val="minor"/>
      </rPr>
      <t>Modal Soul</t>
    </r>
  </si>
  <si>
    <r>
      <t xml:space="preserve">* Ween - </t>
    </r>
    <r>
      <rPr>
        <b/>
        <sz val="14"/>
        <color theme="0"/>
        <rFont val="Aptos Narrow"/>
        <family val="2"/>
        <scheme val="minor"/>
      </rPr>
      <t>Quebec</t>
    </r>
  </si>
  <si>
    <r>
      <t xml:space="preserve">* Pink Floyd - </t>
    </r>
    <r>
      <rPr>
        <b/>
        <sz val="14"/>
        <color theme="5" tint="-0.499984740745262"/>
        <rFont val="Aptos Narrow"/>
        <family val="2"/>
        <scheme val="minor"/>
      </rPr>
      <t>Animals</t>
    </r>
  </si>
  <si>
    <r>
      <rPr>
        <sz val="14"/>
        <color theme="9" tint="-0.249977111117893"/>
        <rFont val="Aptos Narrow"/>
        <scheme val="minor"/>
      </rPr>
      <t xml:space="preserve">* Gorillaz - </t>
    </r>
    <r>
      <rPr>
        <b/>
        <sz val="14"/>
        <color theme="9" tint="-0.249977111117893"/>
        <rFont val="Aptos Narrow"/>
        <scheme val="minor"/>
      </rPr>
      <t>Plastic Beach</t>
    </r>
  </si>
  <si>
    <r>
      <rPr>
        <sz val="14"/>
        <color rgb="FFFF0000"/>
        <rFont val="Aptos Narrow"/>
        <scheme val="minor"/>
      </rPr>
      <t>* Daft Punk</t>
    </r>
    <r>
      <rPr>
        <b/>
        <sz val="14"/>
        <color rgb="FFFF0000"/>
        <rFont val="Aptos Narrow"/>
        <scheme val="minor"/>
      </rPr>
      <t xml:space="preserve"> - Homework</t>
    </r>
  </si>
  <si>
    <r>
      <rPr>
        <sz val="14"/>
        <color rgb="FF273005"/>
        <rFont val="Aptos Narrow"/>
        <scheme val="minor"/>
      </rPr>
      <t>* Porcupine Tree</t>
    </r>
    <r>
      <rPr>
        <b/>
        <sz val="14"/>
        <color rgb="FF273005"/>
        <rFont val="Aptos Narrow"/>
        <scheme val="minor"/>
      </rPr>
      <t xml:space="preserve"> - Deadwing</t>
    </r>
  </si>
  <si>
    <r>
      <rPr>
        <sz val="14"/>
        <color theme="0" tint="-0.14999847407452621"/>
        <rFont val="Aptos Narrow"/>
        <scheme val="minor"/>
      </rPr>
      <t>* Don Toliver</t>
    </r>
    <r>
      <rPr>
        <b/>
        <sz val="14"/>
        <color theme="0" tint="-0.14999847407452621"/>
        <rFont val="Aptos Narrow"/>
        <scheme val="minor"/>
      </rPr>
      <t xml:space="preserve"> - OCTANE</t>
    </r>
  </si>
  <si>
    <r>
      <rPr>
        <sz val="14"/>
        <color rgb="FF360000"/>
        <rFont val="Aptos Narrow"/>
        <family val="2"/>
        <scheme val="minor"/>
      </rPr>
      <t>* Radiohead</t>
    </r>
    <r>
      <rPr>
        <b/>
        <sz val="14"/>
        <color rgb="FF360000"/>
        <rFont val="Aptos Narrow"/>
        <family val="2"/>
        <scheme val="minor"/>
      </rPr>
      <t xml:space="preserve"> - Amnesiac</t>
    </r>
  </si>
  <si>
    <r>
      <rPr>
        <sz val="14"/>
        <color rgb="FFFFC000"/>
        <rFont val="Aptos Narrow"/>
        <family val="2"/>
        <scheme val="minor"/>
      </rPr>
      <t>* Tame Impala</t>
    </r>
    <r>
      <rPr>
        <b/>
        <sz val="14"/>
        <color rgb="FFFFC000"/>
        <rFont val="Aptos Narrow"/>
        <family val="2"/>
        <scheme val="minor"/>
      </rPr>
      <t xml:space="preserve"> - Currents</t>
    </r>
  </si>
  <si>
    <r>
      <rPr>
        <sz val="14"/>
        <color rgb="FF623FE1"/>
        <rFont val="Aptos Narrow"/>
        <family val="2"/>
        <scheme val="minor"/>
      </rPr>
      <t>* ZHU</t>
    </r>
    <r>
      <rPr>
        <b/>
        <sz val="14"/>
        <color rgb="FF623FE1"/>
        <rFont val="Aptos Narrow"/>
        <family val="2"/>
        <scheme val="minor"/>
      </rPr>
      <t xml:space="preserve"> - GENERATIONWHY</t>
    </r>
  </si>
  <si>
    <r>
      <rPr>
        <sz val="14"/>
        <color theme="0" tint="-0.249977111117893"/>
        <rFont val="Aptos Narrow"/>
        <scheme val="minor"/>
      </rPr>
      <t>* Travis Scott</t>
    </r>
    <r>
      <rPr>
        <b/>
        <sz val="14"/>
        <color theme="0" tint="-0.249977111117893"/>
        <rFont val="Aptos Narrow"/>
        <scheme val="minor"/>
      </rPr>
      <t xml:space="preserve"> - UTOPIA</t>
    </r>
  </si>
  <si>
    <r>
      <rPr>
        <sz val="14"/>
        <color theme="8" tint="0.79998168889431442"/>
        <rFont val="Aptos Narrow"/>
        <family val="2"/>
        <scheme val="minor"/>
      </rPr>
      <t>* The Cure</t>
    </r>
    <r>
      <rPr>
        <b/>
        <sz val="14"/>
        <color theme="8" tint="0.79998168889431442"/>
        <rFont val="Aptos Narrow"/>
        <family val="2"/>
        <scheme val="minor"/>
      </rPr>
      <t xml:space="preserve"> - Disintegration</t>
    </r>
  </si>
  <si>
    <r>
      <rPr>
        <sz val="14"/>
        <color theme="8" tint="0.39997558519241921"/>
        <rFont val="Aptos Narrow"/>
        <scheme val="minor"/>
      </rPr>
      <t>* Mac Miller</t>
    </r>
    <r>
      <rPr>
        <b/>
        <sz val="14"/>
        <color theme="8" tint="0.39997558519241921"/>
        <rFont val="Aptos Narrow"/>
        <scheme val="minor"/>
      </rPr>
      <t xml:space="preserve"> - Swimming</t>
    </r>
  </si>
  <si>
    <r>
      <rPr>
        <sz val="14"/>
        <color rgb="FFFF0000"/>
        <rFont val="Aptos Narrow"/>
        <scheme val="minor"/>
      </rPr>
      <t>* Radiohead</t>
    </r>
    <r>
      <rPr>
        <b/>
        <sz val="14"/>
        <color rgb="FFFF0000"/>
        <rFont val="Aptos Narrow"/>
        <scheme val="minor"/>
      </rPr>
      <t xml:space="preserve"> - Kid A</t>
    </r>
  </si>
  <si>
    <r>
      <rPr>
        <sz val="14"/>
        <color rgb="FFFFC000"/>
        <rFont val="Aptos Narrow"/>
        <family val="2"/>
        <scheme val="minor"/>
      </rPr>
      <t>* Megadeth</t>
    </r>
    <r>
      <rPr>
        <b/>
        <sz val="14"/>
        <color rgb="FFFFC000"/>
        <rFont val="Aptos Narrow"/>
        <family val="2"/>
        <scheme val="minor"/>
      </rPr>
      <t xml:space="preserve"> - Rust In Peace</t>
    </r>
  </si>
  <si>
    <r>
      <rPr>
        <sz val="14"/>
        <color rgb="FF9C0000"/>
        <rFont val="Aptos Narrow"/>
        <scheme val="minor"/>
      </rPr>
      <t>* Nas</t>
    </r>
    <r>
      <rPr>
        <b/>
        <sz val="14"/>
        <color rgb="FF9C0000"/>
        <rFont val="Aptos Narrow"/>
        <scheme val="minor"/>
      </rPr>
      <t xml:space="preserve"> - Illmatic</t>
    </r>
  </si>
  <si>
    <r>
      <rPr>
        <sz val="14"/>
        <color theme="3" tint="0.749992370372631"/>
        <rFont val="Aptos Narrow"/>
        <scheme val="minor"/>
      </rPr>
      <t>* Coldplay</t>
    </r>
    <r>
      <rPr>
        <b/>
        <sz val="14"/>
        <color theme="3" tint="0.749992370372631"/>
        <rFont val="Aptos Narrow"/>
        <scheme val="minor"/>
      </rPr>
      <t xml:space="preserve"> - X&amp;Y</t>
    </r>
  </si>
  <si>
    <r>
      <rPr>
        <sz val="14"/>
        <color theme="4"/>
        <rFont val="Aptos Narrow"/>
        <scheme val="minor"/>
      </rPr>
      <t>* TOOL</t>
    </r>
    <r>
      <rPr>
        <b/>
        <sz val="14"/>
        <color theme="4"/>
        <rFont val="Aptos Narrow"/>
        <scheme val="minor"/>
      </rPr>
      <t xml:space="preserve"> - Ænima</t>
    </r>
  </si>
  <si>
    <r>
      <rPr>
        <sz val="14"/>
        <color rgb="FF00B0F0"/>
        <rFont val="Aptos Narrow"/>
        <scheme val="minor"/>
      </rPr>
      <t>* Radiohead</t>
    </r>
    <r>
      <rPr>
        <b/>
        <sz val="14"/>
        <color rgb="FF00B0F0"/>
        <rFont val="Aptos Narrow"/>
        <scheme val="minor"/>
      </rPr>
      <t xml:space="preserve"> - OK Computer</t>
    </r>
  </si>
  <si>
    <r>
      <rPr>
        <sz val="14"/>
        <color theme="5" tint="0.79998168889431442"/>
        <rFont val="Aptos Narrow"/>
        <scheme val="minor"/>
      </rPr>
      <t>* Opeth</t>
    </r>
    <r>
      <rPr>
        <b/>
        <sz val="14"/>
        <color theme="5" tint="0.79998168889431442"/>
        <rFont val="Aptos Narrow"/>
        <scheme val="minor"/>
      </rPr>
      <t xml:space="preserve"> - Blackwater Park</t>
    </r>
  </si>
  <si>
    <r>
      <rPr>
        <sz val="14"/>
        <color rgb="FF592B22"/>
        <rFont val="Aptos Narrow"/>
        <scheme val="minor"/>
      </rPr>
      <t>* Alice In Chains</t>
    </r>
    <r>
      <rPr>
        <b/>
        <sz val="14"/>
        <color rgb="FF592B22"/>
        <rFont val="Aptos Narrow"/>
        <scheme val="minor"/>
      </rPr>
      <t xml:space="preserve"> - Dirt</t>
    </r>
  </si>
  <si>
    <r>
      <rPr>
        <sz val="14"/>
        <color theme="8" tint="-0.249977111117893"/>
        <rFont val="Aptos Narrow"/>
        <scheme val="minor"/>
      </rPr>
      <t>* Led Zeppelin</t>
    </r>
    <r>
      <rPr>
        <b/>
        <sz val="14"/>
        <color theme="8" tint="-0.249977111117893"/>
        <rFont val="Aptos Narrow"/>
        <scheme val="minor"/>
      </rPr>
      <t xml:space="preserve"> - Led Zeppelin IV</t>
    </r>
  </si>
  <si>
    <r>
      <rPr>
        <sz val="14"/>
        <color theme="5" tint="-0.499984740745262"/>
        <rFont val="Aptos Narrow"/>
        <scheme val="minor"/>
      </rPr>
      <t xml:space="preserve">* Linkin Park </t>
    </r>
    <r>
      <rPr>
        <b/>
        <sz val="14"/>
        <color theme="5" tint="-0.499984740745262"/>
        <rFont val="Aptos Narrow"/>
        <scheme val="minor"/>
      </rPr>
      <t>- Hybrid Theory</t>
    </r>
  </si>
  <si>
    <r>
      <rPr>
        <sz val="14"/>
        <color theme="0" tint="-0.14999847407452621"/>
        <rFont val="Aptos Narrow"/>
        <scheme val="minor"/>
      </rPr>
      <t xml:space="preserve">* Daft Punk </t>
    </r>
    <r>
      <rPr>
        <b/>
        <sz val="14"/>
        <color theme="0" tint="-0.14999847407452621"/>
        <rFont val="Aptos Narrow"/>
        <scheme val="minor"/>
      </rPr>
      <t>- Discovery</t>
    </r>
  </si>
  <si>
    <r>
      <rPr>
        <sz val="14"/>
        <color theme="0"/>
        <rFont val="Aptos Narrow"/>
        <scheme val="minor"/>
      </rPr>
      <t>* Metallica</t>
    </r>
    <r>
      <rPr>
        <b/>
        <sz val="14"/>
        <color theme="0"/>
        <rFont val="Aptos Narrow"/>
        <scheme val="minor"/>
      </rPr>
      <t xml:space="preserve"> - Master Of Puppets</t>
    </r>
  </si>
  <si>
    <r>
      <rPr>
        <sz val="14"/>
        <color theme="5" tint="-0.499984740745262"/>
        <rFont val="Aptos Narrow"/>
        <scheme val="minor"/>
      </rPr>
      <t xml:space="preserve">* Dire Straits </t>
    </r>
    <r>
      <rPr>
        <b/>
        <sz val="14"/>
        <color theme="5" tint="-0.499984740745262"/>
        <rFont val="Aptos Narrow"/>
        <scheme val="minor"/>
      </rPr>
      <t>- Brothers In Arms</t>
    </r>
  </si>
  <si>
    <r>
      <rPr>
        <sz val="14"/>
        <color theme="1" tint="0.14999847407452621"/>
        <rFont val="Aptos Narrow"/>
        <scheme val="minor"/>
      </rPr>
      <t>* Fleetwood Mac</t>
    </r>
    <r>
      <rPr>
        <b/>
        <sz val="14"/>
        <color theme="1" tint="0.14999847407452621"/>
        <rFont val="Aptos Narrow"/>
        <scheme val="minor"/>
      </rPr>
      <t xml:space="preserve"> - Rumours</t>
    </r>
  </si>
  <si>
    <r>
      <rPr>
        <sz val="14"/>
        <color theme="5" tint="0.79998168889431442"/>
        <rFont val="Aptos Narrow"/>
        <scheme val="minor"/>
      </rPr>
      <t>* TOOL</t>
    </r>
    <r>
      <rPr>
        <b/>
        <sz val="14"/>
        <color theme="5" tint="0.79998168889431442"/>
        <rFont val="Aptos Narrow"/>
        <scheme val="minor"/>
      </rPr>
      <t xml:space="preserve"> - Lateralus</t>
    </r>
  </si>
  <si>
    <r>
      <rPr>
        <sz val="14"/>
        <color theme="7" tint="-0.249977111117893"/>
        <rFont val="Aptos Narrow"/>
        <scheme val="minor"/>
      </rPr>
      <t>* Radiohead</t>
    </r>
    <r>
      <rPr>
        <b/>
        <sz val="14"/>
        <color theme="7" tint="-0.249977111117893"/>
        <rFont val="Aptos Narrow"/>
        <scheme val="minor"/>
      </rPr>
      <t xml:space="preserve"> - In Rainbows</t>
    </r>
  </si>
  <si>
    <r>
      <rPr>
        <sz val="14"/>
        <color theme="0" tint="-0.499984740745262"/>
        <rFont val="Aptos Narrow"/>
        <family val="2"/>
        <scheme val="minor"/>
      </rPr>
      <t>* Megadeth</t>
    </r>
    <r>
      <rPr>
        <b/>
        <sz val="14"/>
        <color theme="0" tint="-0.499984740745262"/>
        <rFont val="Aptos Narrow"/>
        <family val="2"/>
        <scheme val="minor"/>
      </rPr>
      <t xml:space="preserve"> - Megadeth</t>
    </r>
  </si>
  <si>
    <r>
      <rPr>
        <sz val="14"/>
        <color theme="1" tint="0.249977111117893"/>
        <rFont val="Aptos Narrow"/>
        <scheme val="minor"/>
      </rPr>
      <t>* Opeth</t>
    </r>
    <r>
      <rPr>
        <b/>
        <sz val="14"/>
        <color theme="1" tint="0.249977111117893"/>
        <rFont val="Aptos Narrow"/>
        <scheme val="minor"/>
      </rPr>
      <t xml:space="preserve"> - Damnation</t>
    </r>
  </si>
  <si>
    <r>
      <rPr>
        <sz val="14"/>
        <color rgb="FF210000"/>
        <rFont val="Aptos Narrow"/>
        <scheme val="minor"/>
      </rPr>
      <t xml:space="preserve">* Sade </t>
    </r>
    <r>
      <rPr>
        <b/>
        <sz val="14"/>
        <color rgb="FF210000"/>
        <rFont val="Aptos Narrow"/>
        <scheme val="minor"/>
      </rPr>
      <t>- Love Deluxe</t>
    </r>
  </si>
  <si>
    <t>Face of Melinda</t>
  </si>
  <si>
    <t>Still Life</t>
  </si>
  <si>
    <r>
      <t xml:space="preserve">* Marvin Gaye - </t>
    </r>
    <r>
      <rPr>
        <b/>
        <sz val="14"/>
        <color rgb="FFFFCC00"/>
        <rFont val="Aptos Narrow"/>
        <family val="2"/>
        <scheme val="minor"/>
      </rPr>
      <t>What's Going On</t>
    </r>
  </si>
  <si>
    <t>What's Going On</t>
  </si>
  <si>
    <t>What's Happening Brother</t>
  </si>
  <si>
    <t>Flyin' High (In The Friendly Sky)</t>
  </si>
  <si>
    <t>Save The Children</t>
  </si>
  <si>
    <t>God Is Love</t>
  </si>
  <si>
    <t>Mercy Mercy Me (The Ecology)</t>
  </si>
  <si>
    <t>Right On</t>
  </si>
  <si>
    <t>Wholy Holy</t>
  </si>
  <si>
    <t>Inner City Blues (Make Me Wanna Holler)</t>
  </si>
  <si>
    <t>Marvin Gaye</t>
  </si>
  <si>
    <t>soul, progressive soul</t>
  </si>
  <si>
    <r>
      <t>* The Clash -</t>
    </r>
    <r>
      <rPr>
        <b/>
        <sz val="14"/>
        <color theme="0" tint="-0.14999847407452621"/>
        <rFont val="Aptos Narrow"/>
        <family val="2"/>
        <scheme val="minor"/>
      </rPr>
      <t xml:space="preserve"> London Calling</t>
    </r>
  </si>
  <si>
    <t>London Calling</t>
  </si>
  <si>
    <t>Brand New Cadillac</t>
  </si>
  <si>
    <t>Jimmy Jazz</t>
  </si>
  <si>
    <t>Hateful</t>
  </si>
  <si>
    <t>Rudie Can't Fail</t>
  </si>
  <si>
    <t>Spanish Bombs</t>
  </si>
  <si>
    <t>The Right Profile</t>
  </si>
  <si>
    <t>Lost In The Supermarket</t>
  </si>
  <si>
    <t>Clampdown</t>
  </si>
  <si>
    <t>The Guns of Brixton</t>
  </si>
  <si>
    <t>Wrong 'Em Boyo</t>
  </si>
  <si>
    <t>Death or Glory</t>
  </si>
  <si>
    <t>Kola Kola</t>
  </si>
  <si>
    <t>The Card Cheat</t>
  </si>
  <si>
    <t>Lover's Rock</t>
  </si>
  <si>
    <t>Four Horsemen</t>
  </si>
  <si>
    <t>I'm Not Down</t>
  </si>
  <si>
    <t>Revolution Rock</t>
  </si>
  <si>
    <t>Train in Vain [unlisted]</t>
  </si>
  <si>
    <t>The Clash</t>
  </si>
  <si>
    <t>new wave, punk rock</t>
  </si>
  <si>
    <r>
      <t xml:space="preserve">* Radiohead - </t>
    </r>
    <r>
      <rPr>
        <b/>
        <sz val="14"/>
        <color rgb="FFFFC000"/>
        <rFont val="Aptos Narrow"/>
        <family val="2"/>
        <scheme val="minor"/>
      </rPr>
      <t>The King Of Limbs</t>
    </r>
  </si>
  <si>
    <t>Bloom</t>
  </si>
  <si>
    <t>Morning Mr Magpie</t>
  </si>
  <si>
    <t>Little By Little</t>
  </si>
  <si>
    <t>Feral</t>
  </si>
  <si>
    <t>Lotus Flower</t>
  </si>
  <si>
    <t>Codex</t>
  </si>
  <si>
    <t>Give Up The Ghost</t>
  </si>
  <si>
    <t>Separator</t>
  </si>
  <si>
    <t>The King Of Limbs</t>
  </si>
  <si>
    <t>electronic, experimental rock</t>
  </si>
  <si>
    <r>
      <t>* Sigur Rós -</t>
    </r>
    <r>
      <rPr>
        <b/>
        <sz val="14"/>
        <color theme="0"/>
        <rFont val="Aptos Narrow"/>
        <family val="2"/>
        <scheme val="minor"/>
      </rPr>
      <t xml:space="preserve"> Ágætis byrjun</t>
    </r>
  </si>
  <si>
    <t>Title</t>
  </si>
  <si>
    <t>Svefn-g-englar</t>
  </si>
  <si>
    <t>Starálfur</t>
  </si>
  <si>
    <t>Flugufrelsarinn</t>
  </si>
  <si>
    <t>Ný batterí</t>
  </si>
  <si>
    <t>Hjartað hamast (Bamm bamm bamm)</t>
  </si>
  <si>
    <t>Viðrar vel til loftárása</t>
  </si>
  <si>
    <t>Olsen Olsen</t>
  </si>
  <si>
    <t>Ágætis byrjun</t>
  </si>
  <si>
    <t>Avalon</t>
  </si>
  <si>
    <t>Sigur Rós</t>
  </si>
  <si>
    <t>post rock, dream pop</t>
  </si>
  <si>
    <r>
      <t>* Opeth -</t>
    </r>
    <r>
      <rPr>
        <b/>
        <sz val="14"/>
        <color rgb="FFCC9900"/>
        <rFont val="Aptos Narrow"/>
        <family val="2"/>
        <scheme val="minor"/>
      </rPr>
      <t xml:space="preserve"> Ghost Reveries</t>
    </r>
  </si>
  <si>
    <t>Ghost of Perdition</t>
  </si>
  <si>
    <t>Beneath the Mire</t>
  </si>
  <si>
    <t>Atonement</t>
  </si>
  <si>
    <t>Reverie / Harlequin Forest</t>
  </si>
  <si>
    <t>Hours of Wealth</t>
  </si>
  <si>
    <t>The Grand Conjuration</t>
  </si>
  <si>
    <t>Isolation Years</t>
  </si>
  <si>
    <t>Ghost Reveries</t>
  </si>
  <si>
    <r>
      <t>* Radiohead -</t>
    </r>
    <r>
      <rPr>
        <b/>
        <sz val="14"/>
        <rFont val="Aptos Narrow"/>
        <family val="2"/>
        <scheme val="minor"/>
      </rPr>
      <t xml:space="preserve"> Pablo Honey</t>
    </r>
  </si>
  <si>
    <t>You</t>
  </si>
  <si>
    <t>Creep</t>
  </si>
  <si>
    <t>How Do You?</t>
  </si>
  <si>
    <t>Stop Whispering</t>
  </si>
  <si>
    <t>Thinking About You</t>
  </si>
  <si>
    <t>Anyone Can Play Guitar</t>
  </si>
  <si>
    <t>Ripcord</t>
  </si>
  <si>
    <t>Vegetable</t>
  </si>
  <si>
    <t>Prove Yourself</t>
  </si>
  <si>
    <t>I Can't</t>
  </si>
  <si>
    <t>Lurgee</t>
  </si>
  <si>
    <t>Blow Out</t>
  </si>
  <si>
    <t>Pablo Honey</t>
  </si>
  <si>
    <r>
      <t>* Coldplay -</t>
    </r>
    <r>
      <rPr>
        <b/>
        <sz val="12"/>
        <color theme="1" tint="0.249977111117893"/>
        <rFont val="Aptos Narrow"/>
        <scheme val="minor"/>
      </rPr>
      <t xml:space="preserve"> A Rush of Blood to the Head</t>
    </r>
  </si>
  <si>
    <t>Politik</t>
  </si>
  <si>
    <t>In My Place</t>
  </si>
  <si>
    <t>God Put a Smile upon Your Face</t>
  </si>
  <si>
    <t>The Scientist</t>
  </si>
  <si>
    <t>Clocks</t>
  </si>
  <si>
    <t>Daylight</t>
  </si>
  <si>
    <t>Green Eyes</t>
  </si>
  <si>
    <t>Warning Sign</t>
  </si>
  <si>
    <t>A Whisper</t>
  </si>
  <si>
    <t>A Rush of Blood to the Head</t>
  </si>
  <si>
    <t>Amsterdam</t>
  </si>
  <si>
    <t>LONG SEASON</t>
  </si>
  <si>
    <r>
      <t>* Fishmans -</t>
    </r>
    <r>
      <rPr>
        <b/>
        <sz val="14"/>
        <color rgb="FFFF6A00"/>
        <rFont val="Aptos Narrow"/>
        <scheme val="minor"/>
      </rPr>
      <t xml:space="preserve"> LONG SEASON</t>
    </r>
  </si>
  <si>
    <t>Fishmans</t>
  </si>
  <si>
    <t>neo psychedelic, dream pop</t>
  </si>
  <si>
    <t>post britpop, art rock</t>
  </si>
  <si>
    <r>
      <rPr>
        <sz val="14"/>
        <color theme="1"/>
        <rFont val="Aptos Narrow"/>
        <family val="2"/>
        <scheme val="minor"/>
      </rPr>
      <t>* Frank Ocean</t>
    </r>
    <r>
      <rPr>
        <b/>
        <sz val="14"/>
        <color theme="1"/>
        <rFont val="Aptos Narrow"/>
        <family val="2"/>
        <scheme val="minor"/>
      </rPr>
      <t xml:space="preserve"> - Blonde</t>
    </r>
  </si>
  <si>
    <r>
      <rPr>
        <sz val="14"/>
        <color theme="3" tint="0.499984740745262"/>
        <rFont val="Aptos Narrow"/>
        <scheme val="minor"/>
      </rPr>
      <t>* Porcupine Tree</t>
    </r>
    <r>
      <rPr>
        <b/>
        <sz val="14"/>
        <color theme="3" tint="0.499984740745262"/>
        <rFont val="Aptos Narrow"/>
        <scheme val="minor"/>
      </rPr>
      <t xml:space="preserve"> - In Absentia</t>
    </r>
  </si>
  <si>
    <r>
      <rPr>
        <sz val="12"/>
        <color rgb="FFFF2905"/>
        <rFont val="Aptos Narrow"/>
        <family val="2"/>
        <scheme val="minor"/>
      </rPr>
      <t>* Cocteau Twins</t>
    </r>
    <r>
      <rPr>
        <b/>
        <sz val="12"/>
        <color rgb="FFFF2905"/>
        <rFont val="Aptos Narrow"/>
        <family val="2"/>
        <scheme val="minor"/>
      </rPr>
      <t xml:space="preserve"> - Heaven or Las Vegas</t>
    </r>
  </si>
  <si>
    <t>3rd EYE SCORE</t>
  </si>
  <si>
    <r>
      <t xml:space="preserve">* King Crimson - </t>
    </r>
    <r>
      <rPr>
        <b/>
        <sz val="14"/>
        <color rgb="FFB40000"/>
        <rFont val="Aptos Narrow"/>
        <family val="2"/>
        <scheme val="minor"/>
      </rPr>
      <t>Red</t>
    </r>
  </si>
  <si>
    <t>Red</t>
  </si>
  <si>
    <t>Fallen Angel</t>
  </si>
  <si>
    <t>One More Red Nightmare</t>
  </si>
  <si>
    <t>Providence</t>
  </si>
  <si>
    <t>Starless</t>
  </si>
  <si>
    <t>Scene One: Regression</t>
  </si>
  <si>
    <t>Scene Two: I. Overture 1928</t>
  </si>
  <si>
    <t>Scene Two: II. Strange Déjà Vu</t>
  </si>
  <si>
    <t>Scene Three: I. Through My Words</t>
  </si>
  <si>
    <t>Scene Three: II. Fatal Tragedy</t>
  </si>
  <si>
    <t>Scene Four: Beyond This Life</t>
  </si>
  <si>
    <t>Scene Five: Through Her Eyes</t>
  </si>
  <si>
    <t>Scene Six: Home</t>
  </si>
  <si>
    <t>Scene Seven: I. The Dance of Eternity</t>
  </si>
  <si>
    <t>Scene Seven: II. One Last Time</t>
  </si>
  <si>
    <t>Scene Eight: The Spirit Carries On</t>
  </si>
  <si>
    <t>Scene Nine: Finally Free</t>
  </si>
  <si>
    <t>Dream Theater</t>
  </si>
  <si>
    <t>Metropolis, Pt. 2: Scenes from a Memory</t>
  </si>
  <si>
    <t>Shine On You Crazy Diamond (Pts. 1-5)</t>
  </si>
  <si>
    <t>Welcome to the Machine</t>
  </si>
  <si>
    <t>Have a Cigar</t>
  </si>
  <si>
    <t>Wish You Were Here</t>
  </si>
  <si>
    <t>Shine On You Crazy Diamond (Pts. 6-9)</t>
  </si>
  <si>
    <r>
      <t>* Pink Floyd -</t>
    </r>
    <r>
      <rPr>
        <b/>
        <sz val="14"/>
        <color theme="0"/>
        <rFont val="Aptos Narrow"/>
        <family val="2"/>
        <scheme val="minor"/>
      </rPr>
      <t xml:space="preserve"> Wish You Were Here</t>
    </r>
  </si>
  <si>
    <t>psychedelic rock</t>
  </si>
  <si>
    <t>dream pop</t>
  </si>
  <si>
    <t>neo psychedelic</t>
  </si>
  <si>
    <t>progressive rock</t>
  </si>
  <si>
    <t>art rock</t>
  </si>
  <si>
    <t>slowcore</t>
  </si>
  <si>
    <t>soul</t>
  </si>
  <si>
    <t>progressive soul</t>
  </si>
  <si>
    <t>shoegaze</t>
  </si>
  <si>
    <t>garage rock</t>
  </si>
  <si>
    <t>pop rap</t>
  </si>
  <si>
    <t>hip hop</t>
  </si>
  <si>
    <t>indie rock</t>
  </si>
  <si>
    <t>death metal</t>
  </si>
  <si>
    <t>post britpop</t>
  </si>
  <si>
    <t>indie</t>
  </si>
  <si>
    <t>jazz rap</t>
  </si>
  <si>
    <t>instrumental hip hop</t>
  </si>
  <si>
    <t>trip hop</t>
  </si>
  <si>
    <t>downtempo</t>
  </si>
  <si>
    <t>electropop</t>
  </si>
  <si>
    <t>post rock</t>
  </si>
  <si>
    <t>art pop</t>
  </si>
  <si>
    <t>pop rock</t>
  </si>
  <si>
    <t>post punk</t>
  </si>
  <si>
    <t>french house</t>
  </si>
  <si>
    <t>new wave</t>
  </si>
  <si>
    <t>electronic</t>
  </si>
  <si>
    <t>old school hip hop</t>
  </si>
  <si>
    <t>east coast hip hop</t>
  </si>
  <si>
    <t>punk rock</t>
  </si>
  <si>
    <t>alternative R&amp;B</t>
  </si>
  <si>
    <t>grunge</t>
  </si>
  <si>
    <t>post grunge</t>
  </si>
  <si>
    <t>nu metal</t>
  </si>
  <si>
    <t>rap metal</t>
  </si>
  <si>
    <t>experimental hip hop</t>
  </si>
  <si>
    <t>experimental rock</t>
  </si>
  <si>
    <t>grime</t>
  </si>
  <si>
    <t>uk grime</t>
  </si>
  <si>
    <r>
      <t xml:space="preserve">* Metallica - </t>
    </r>
    <r>
      <rPr>
        <b/>
        <sz val="14"/>
        <color rgb="FF449010"/>
        <rFont val="Aptos Narrow"/>
        <family val="2"/>
        <scheme val="minor"/>
      </rPr>
      <t>…And Justice For All</t>
    </r>
  </si>
  <si>
    <t>Blackened</t>
  </si>
  <si>
    <t>…And Justice For All</t>
  </si>
  <si>
    <t>Eye of the Beholder</t>
  </si>
  <si>
    <t>One</t>
  </si>
  <si>
    <t>The Shortest Straw</t>
  </si>
  <si>
    <t>Harvester of Sorrow</t>
  </si>
  <si>
    <t>The Frayed Ends of Sanity</t>
  </si>
  <si>
    <t>To Live is to Die</t>
  </si>
  <si>
    <t>Dyers Eve</t>
  </si>
  <si>
    <r>
      <t>* The Smashing Pumpkins -</t>
    </r>
    <r>
      <rPr>
        <b/>
        <sz val="11"/>
        <color rgb="FFFF6A00"/>
        <rFont val="Aptos Narrow"/>
        <family val="2"/>
        <scheme val="minor"/>
      </rPr>
      <t xml:space="preserve"> Siamese Dream</t>
    </r>
  </si>
  <si>
    <t>Chreub Rock</t>
  </si>
  <si>
    <t>Quiet</t>
  </si>
  <si>
    <t>Today</t>
  </si>
  <si>
    <t>Hummer</t>
  </si>
  <si>
    <t>Rocket</t>
  </si>
  <si>
    <t>Disarm</t>
  </si>
  <si>
    <t>Soma</t>
  </si>
  <si>
    <t>Geek U.S.A.</t>
  </si>
  <si>
    <t>Mayonaise</t>
  </si>
  <si>
    <t>Spaceboy</t>
  </si>
  <si>
    <t>Silverfuck</t>
  </si>
  <si>
    <t>Sweet Sweet</t>
  </si>
  <si>
    <t>Luna</t>
  </si>
  <si>
    <t>The Smashing Pumpkins</t>
  </si>
  <si>
    <t>Siamese Dream</t>
  </si>
  <si>
    <t>alternative rock, shoegaze</t>
  </si>
  <si>
    <t>Key</t>
  </si>
  <si>
    <t>Door</t>
  </si>
  <si>
    <t>Subwoofer Lullaby</t>
  </si>
  <si>
    <t>Death</t>
  </si>
  <si>
    <t>Living Mice</t>
  </si>
  <si>
    <t>Moog City</t>
  </si>
  <si>
    <t>Haggstrom</t>
  </si>
  <si>
    <t>Minecraft</t>
  </si>
  <si>
    <t>Oxygène</t>
  </si>
  <si>
    <t>Équinoxe</t>
  </si>
  <si>
    <t>Mice On Venus</t>
  </si>
  <si>
    <t>Dry Hands</t>
  </si>
  <si>
    <t>Wet Hands</t>
  </si>
  <si>
    <t>Clark</t>
  </si>
  <si>
    <t>Chris</t>
  </si>
  <si>
    <t>Thirteen</t>
  </si>
  <si>
    <t>Excuse</t>
  </si>
  <si>
    <t>Sweeden</t>
  </si>
  <si>
    <t>Cat</t>
  </si>
  <si>
    <t>Dog</t>
  </si>
  <si>
    <t>Danny</t>
  </si>
  <si>
    <t>Beggining</t>
  </si>
  <si>
    <t>Droopy Likes Ricochet</t>
  </si>
  <si>
    <t>Droppy Likes Your Face</t>
  </si>
  <si>
    <t>C418</t>
  </si>
  <si>
    <r>
      <rPr>
        <sz val="12"/>
        <color theme="1"/>
        <rFont val="Aptos Narrow"/>
        <family val="2"/>
        <scheme val="minor"/>
      </rPr>
      <t>* Sweet Trip</t>
    </r>
    <r>
      <rPr>
        <b/>
        <sz val="12"/>
        <color theme="1"/>
        <rFont val="Aptos Narrow"/>
        <family val="2"/>
        <scheme val="minor"/>
      </rPr>
      <t xml:space="preserve"> - You Will Never Know Why</t>
    </r>
  </si>
  <si>
    <r>
      <rPr>
        <sz val="14"/>
        <color theme="1"/>
        <rFont val="Aptos Narrow"/>
        <family val="2"/>
        <scheme val="minor"/>
      </rPr>
      <t>* Massive Attack</t>
    </r>
    <r>
      <rPr>
        <b/>
        <sz val="14"/>
        <color theme="1"/>
        <rFont val="Aptos Narrow"/>
        <family val="2"/>
        <scheme val="minor"/>
      </rPr>
      <t xml:space="preserve"> - Mezzanine</t>
    </r>
  </si>
  <si>
    <r>
      <rPr>
        <sz val="10"/>
        <color theme="1"/>
        <rFont val="Aptos Narrow"/>
        <family val="2"/>
        <scheme val="minor"/>
      </rPr>
      <t>* King Crimson</t>
    </r>
    <r>
      <rPr>
        <b/>
        <sz val="10"/>
        <color theme="1"/>
        <rFont val="Aptos Narrow"/>
        <family val="2"/>
        <scheme val="minor"/>
      </rPr>
      <t xml:space="preserve"> - In The Court Of The Crimson King</t>
    </r>
  </si>
  <si>
    <t>In The Court Of The Crimson King</t>
  </si>
  <si>
    <t>You Will Never Know Why</t>
  </si>
  <si>
    <t>ambient</t>
  </si>
  <si>
    <t>dream pop, indie pop</t>
  </si>
  <si>
    <r>
      <t xml:space="preserve">* DELLAFUENTE - </t>
    </r>
    <r>
      <rPr>
        <b/>
        <sz val="14"/>
        <color rgb="FFFF6A00"/>
        <rFont val="Aptos Narrow"/>
        <family val="2"/>
        <scheme val="minor"/>
      </rPr>
      <t>Ep.01-Causa</t>
    </r>
  </si>
  <si>
    <t>Taifa</t>
  </si>
  <si>
    <t>La Verdad</t>
  </si>
  <si>
    <t>Corazón de Agua</t>
  </si>
  <si>
    <t>El Bosque</t>
  </si>
  <si>
    <t>400 Demonios</t>
  </si>
  <si>
    <t>El Barco</t>
  </si>
  <si>
    <t>Yallah</t>
  </si>
  <si>
    <t>Causa</t>
  </si>
  <si>
    <t>DELLAFUENTE</t>
  </si>
  <si>
    <t>Ep.01-Causa</t>
  </si>
  <si>
    <t>indie pop</t>
  </si>
  <si>
    <t>andalusian rock</t>
  </si>
  <si>
    <r>
      <t xml:space="preserve">* Dire Straits - </t>
    </r>
    <r>
      <rPr>
        <b/>
        <sz val="14"/>
        <color rgb="FF663300"/>
        <rFont val="Aptos Narrow"/>
        <family val="2"/>
        <scheme val="minor"/>
      </rPr>
      <t>Dire Straits</t>
    </r>
  </si>
  <si>
    <t>Down To The Waterline</t>
  </si>
  <si>
    <t>Water Of Love</t>
  </si>
  <si>
    <t>Setting Me Up</t>
  </si>
  <si>
    <t>Six Blade Knife</t>
  </si>
  <si>
    <t>Southbound Again</t>
  </si>
  <si>
    <t>Sultans Of Swing</t>
  </si>
  <si>
    <t>In The Gallery</t>
  </si>
  <si>
    <t>Wild West End</t>
  </si>
  <si>
    <t>Lions</t>
  </si>
  <si>
    <t>roots rock, blues rock</t>
  </si>
  <si>
    <t>Club classics</t>
  </si>
  <si>
    <t>Sympathy is a knife</t>
  </si>
  <si>
    <t>I might say something stupid</t>
  </si>
  <si>
    <t>Talk talk</t>
  </si>
  <si>
    <t>Von dutch</t>
  </si>
  <si>
    <t>Everything is romantic</t>
  </si>
  <si>
    <t>Rewind</t>
  </si>
  <si>
    <t>So I</t>
  </si>
  <si>
    <t>Girl, so confusing</t>
  </si>
  <si>
    <t>Apple</t>
  </si>
  <si>
    <t>B2b</t>
  </si>
  <si>
    <t>Mean girls</t>
  </si>
  <si>
    <t>I think about it all the time</t>
  </si>
  <si>
    <r>
      <t xml:space="preserve">* Charli xcx - </t>
    </r>
    <r>
      <rPr>
        <b/>
        <sz val="14"/>
        <color theme="1"/>
        <rFont val="Aptos Narrow"/>
        <family val="2"/>
        <scheme val="minor"/>
      </rPr>
      <t>BRAT</t>
    </r>
  </si>
  <si>
    <t>Charli xcx</t>
  </si>
  <si>
    <t>BRAT</t>
  </si>
  <si>
    <t>roots rock</t>
  </si>
  <si>
    <t>blues rock</t>
  </si>
  <si>
    <t>electropop, edm</t>
  </si>
  <si>
    <r>
      <t xml:space="preserve">* Deafheaven - </t>
    </r>
    <r>
      <rPr>
        <b/>
        <sz val="14"/>
        <color theme="0"/>
        <rFont val="Aptos Narrow"/>
        <scheme val="minor"/>
      </rPr>
      <t>Sunbather</t>
    </r>
  </si>
  <si>
    <t>Dream House</t>
  </si>
  <si>
    <t>Irresistible</t>
  </si>
  <si>
    <t>Sunbather</t>
  </si>
  <si>
    <t>Please Remember</t>
  </si>
  <si>
    <t>Vertigo</t>
  </si>
  <si>
    <t>Windows</t>
  </si>
  <si>
    <t>The Pecan Tree</t>
  </si>
  <si>
    <t>Deafheaven</t>
  </si>
  <si>
    <t>blackgaze, post metal</t>
  </si>
  <si>
    <t>blackgaze</t>
  </si>
  <si>
    <t>post metal</t>
  </si>
  <si>
    <t>Fear Inoculum</t>
  </si>
  <si>
    <t>Pneuma</t>
  </si>
  <si>
    <t>Litanie contre la Peur</t>
  </si>
  <si>
    <t>Invincible</t>
  </si>
  <si>
    <t>Legion Inoculant</t>
  </si>
  <si>
    <t>Descending</t>
  </si>
  <si>
    <t>Culling Voices</t>
  </si>
  <si>
    <t>Chocolate Chip Trip</t>
  </si>
  <si>
    <t>7empest</t>
  </si>
  <si>
    <t>Mockingbeat</t>
  </si>
  <si>
    <r>
      <t xml:space="preserve">* TOOL - </t>
    </r>
    <r>
      <rPr>
        <b/>
        <sz val="14"/>
        <color rgb="FFEFC849"/>
        <rFont val="Aptos Narrow"/>
        <scheme val="minor"/>
      </rPr>
      <t>Fear Inoculum</t>
    </r>
  </si>
  <si>
    <r>
      <t xml:space="preserve">* Dream Theater - </t>
    </r>
    <r>
      <rPr>
        <b/>
        <sz val="10"/>
        <color rgb="FFCCCC00"/>
        <rFont val="Aptos Narrow"/>
        <family val="2"/>
        <scheme val="minor"/>
      </rPr>
      <t>Metropolis, Pt. 2: Scenes from a Memory</t>
    </r>
  </si>
  <si>
    <t>progressive metal, post metal</t>
  </si>
  <si>
    <r>
      <t xml:space="preserve">* berlioz - </t>
    </r>
    <r>
      <rPr>
        <b/>
        <sz val="14"/>
        <color theme="3" tint="0.499984740745262"/>
        <rFont val="Aptos Narrow"/>
        <scheme val="minor"/>
      </rPr>
      <t>open this wall</t>
    </r>
  </si>
  <si>
    <t>ascension</t>
  </si>
  <si>
    <t>open this wall</t>
  </si>
  <si>
    <t>peace</t>
  </si>
  <si>
    <t>hot slow</t>
  </si>
  <si>
    <t>ode to rahsaan</t>
  </si>
  <si>
    <t>nytmp</t>
  </si>
  <si>
    <t>joycelyn's dance</t>
  </si>
  <si>
    <t>indigo dream</t>
  </si>
  <si>
    <t>free fall</t>
  </si>
  <si>
    <t>something will happen</t>
  </si>
  <si>
    <t>outro</t>
  </si>
  <si>
    <t>berlioz</t>
  </si>
  <si>
    <t>nu jazz, deep house</t>
  </si>
  <si>
    <t>Combustion</t>
  </si>
  <si>
    <t>Electric Red</t>
  </si>
  <si>
    <t>Bleed</t>
  </si>
  <si>
    <t>Lethargica</t>
  </si>
  <si>
    <t>Obzen</t>
  </si>
  <si>
    <t>This Spiteful Snake</t>
  </si>
  <si>
    <t>Pineal Gland Optics</t>
  </si>
  <si>
    <t>Pravus</t>
  </si>
  <si>
    <t>Dancers to a Discordant System</t>
  </si>
  <si>
    <t>Meshuggah</t>
  </si>
  <si>
    <t>obZen</t>
  </si>
  <si>
    <t>nu jazz</t>
  </si>
  <si>
    <t>deep house</t>
  </si>
  <si>
    <t>djent, progressive metal</t>
  </si>
  <si>
    <t>djent</t>
  </si>
  <si>
    <t>The Mountain</t>
  </si>
  <si>
    <t>The Moon Cave</t>
  </si>
  <si>
    <t>The Happy Dictator</t>
  </si>
  <si>
    <t>The Hardest Thing</t>
  </si>
  <si>
    <t>Orange County</t>
  </si>
  <si>
    <t>The God of Lying</t>
  </si>
  <si>
    <t>The Empty Dream Machine</t>
  </si>
  <si>
    <t>The Manifesto</t>
  </si>
  <si>
    <t>The Plastic Guru</t>
  </si>
  <si>
    <t>Delirium</t>
  </si>
  <si>
    <t>Damascus</t>
  </si>
  <si>
    <t>The Shadowy Light</t>
  </si>
  <si>
    <t>Casablanca</t>
  </si>
  <si>
    <t>The Sweet Prince</t>
  </si>
  <si>
    <t>The Sad God</t>
  </si>
  <si>
    <r>
      <t>* Gorillaz -</t>
    </r>
    <r>
      <rPr>
        <b/>
        <sz val="14"/>
        <color rgb="FFE7442F"/>
        <rFont val="Aptos Narrow"/>
        <scheme val="minor"/>
      </rPr>
      <t xml:space="preserve"> The Mountain</t>
    </r>
  </si>
  <si>
    <t>art pop, neo psychedelia</t>
  </si>
  <si>
    <t>neo psychedelia</t>
  </si>
  <si>
    <r>
      <t xml:space="preserve">* Queens of the Stone Age - </t>
    </r>
    <r>
      <rPr>
        <b/>
        <sz val="10.5"/>
        <color theme="1"/>
        <rFont val="Aptos Narrow"/>
        <family val="2"/>
        <scheme val="minor"/>
      </rPr>
      <t>Songs For The Deaf</t>
    </r>
  </si>
  <si>
    <t>You Think I Ain't Worth A Dollar, But I Feel Like A Millionaire</t>
  </si>
  <si>
    <t>No One Knows</t>
  </si>
  <si>
    <t>First It Giveth</t>
  </si>
  <si>
    <t>Song For The Dead</t>
  </si>
  <si>
    <t>The Sky Is Fallin'</t>
  </si>
  <si>
    <t>Six Shooter</t>
  </si>
  <si>
    <t>Hanging Tree</t>
  </si>
  <si>
    <t>Go With The Flow</t>
  </si>
  <si>
    <t>Gonna Leave You</t>
  </si>
  <si>
    <t>Do It Again</t>
  </si>
  <si>
    <t>God Is In The Radio</t>
  </si>
  <si>
    <t>Another Love Song</t>
  </si>
  <si>
    <t>Song For The Deaf</t>
  </si>
  <si>
    <t>Mosquito Song</t>
  </si>
  <si>
    <r>
      <t xml:space="preserve">* Geese - </t>
    </r>
    <r>
      <rPr>
        <b/>
        <sz val="14"/>
        <color rgb="FF97C0E9"/>
        <rFont val="Aptos Narrow"/>
        <family val="2"/>
        <scheme val="minor"/>
      </rPr>
      <t>Getting Killed</t>
    </r>
  </si>
  <si>
    <t>Trinidad</t>
  </si>
  <si>
    <t>Cobra</t>
  </si>
  <si>
    <t>Husbands</t>
  </si>
  <si>
    <t>Getting Killed</t>
  </si>
  <si>
    <t>Islands of Men</t>
  </si>
  <si>
    <t>100 Horses</t>
  </si>
  <si>
    <t>Half Real</t>
  </si>
  <si>
    <t>Au Pays du Cocaine</t>
  </si>
  <si>
    <t>Bow Down</t>
  </si>
  <si>
    <t>Taxes</t>
  </si>
  <si>
    <t>Long Island City Here I Come</t>
  </si>
  <si>
    <t>ÁLBUMES</t>
  </si>
  <si>
    <t>Geese</t>
  </si>
  <si>
    <t>Queens of the Stone Age</t>
  </si>
  <si>
    <t>Songs For The Deaf</t>
  </si>
  <si>
    <t>RESUMEN ARTISTAS REPETIDOS</t>
  </si>
  <si>
    <t>art rock, indie rock</t>
  </si>
  <si>
    <t>alternative rock, stoner rock</t>
  </si>
  <si>
    <t>stoner rock</t>
  </si>
  <si>
    <r>
      <t xml:space="preserve">* Meshuggah - </t>
    </r>
    <r>
      <rPr>
        <b/>
        <sz val="14"/>
        <color rgb="FFEA251F"/>
        <rFont val="Aptos Narrow"/>
        <family val="2"/>
        <scheme val="minor"/>
      </rPr>
      <t>obZen</t>
    </r>
  </si>
  <si>
    <r>
      <t xml:space="preserve">* Metallica - </t>
    </r>
    <r>
      <rPr>
        <b/>
        <sz val="14"/>
        <color theme="1" tint="0.34998626667073579"/>
        <rFont val="Aptos Narrow"/>
        <family val="2"/>
        <scheme val="minor"/>
      </rPr>
      <t>Metallica</t>
    </r>
  </si>
  <si>
    <t>Enter Sandman</t>
  </si>
  <si>
    <t>Sad But True</t>
  </si>
  <si>
    <t>Holier Than Thou</t>
  </si>
  <si>
    <t>The Unforgiven</t>
  </si>
  <si>
    <t>Wherever I May Roam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</si>
  <si>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</si>
  <si>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</si>
  <si>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</si>
  <si>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</si>
  <si>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</si>
  <si>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</si>
  <si>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</si>
  <si>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heavy metal</t>
  </si>
  <si>
    <r>
      <t xml:space="preserve">* Kendrick Lamar - </t>
    </r>
    <r>
      <rPr>
        <b/>
        <sz val="12"/>
        <color theme="1" tint="0.14999847407452621"/>
        <rFont val="Aptos Narrow"/>
        <family val="2"/>
        <scheme val="minor"/>
      </rPr>
      <t>To Pimp A Butterfly</t>
    </r>
  </si>
  <si>
    <t>Wesley's Theory</t>
  </si>
  <si>
    <t>For Free ? - Interlude</t>
  </si>
  <si>
    <t>King Kunta</t>
  </si>
  <si>
    <t>Institutionalized</t>
  </si>
  <si>
    <t>These Walls</t>
  </si>
  <si>
    <t>u</t>
  </si>
  <si>
    <t>Alright</t>
  </si>
  <si>
    <t>For Sale? - Interlude</t>
  </si>
  <si>
    <t>Momma</t>
  </si>
  <si>
    <t>Hood Politics</t>
  </si>
  <si>
    <t>How Much A Dollar Cost</t>
  </si>
  <si>
    <t>Complexion (A Zulu Love)</t>
  </si>
  <si>
    <t>The Blacker The Berry</t>
  </si>
  <si>
    <t>You Ain't Gotta Lie (Momma Said)</t>
  </si>
  <si>
    <t xml:space="preserve">i </t>
  </si>
  <si>
    <t>Mortal Man</t>
  </si>
  <si>
    <t>Kendrick Lamar</t>
  </si>
  <si>
    <t>To Pimp A Butterfly</t>
  </si>
  <si>
    <t>conscious hip hop, jazz rap</t>
  </si>
  <si>
    <r>
      <t xml:space="preserve">* Funkadelic - </t>
    </r>
    <r>
      <rPr>
        <b/>
        <sz val="14"/>
        <color rgb="FFFCA304"/>
        <rFont val="Aptos Narrow"/>
        <family val="2"/>
        <scheme val="minor"/>
      </rPr>
      <t>Maggot Brain</t>
    </r>
  </si>
  <si>
    <t>Maggot Brain</t>
  </si>
  <si>
    <t>Can You Get To That</t>
  </si>
  <si>
    <t>Hit It and Quit It</t>
  </si>
  <si>
    <t>You And Your Folks, Me And My Folks</t>
  </si>
  <si>
    <t>Super Stupid</t>
  </si>
  <si>
    <t>Back In Our Minds</t>
  </si>
  <si>
    <t>Wars Of Armageddon</t>
  </si>
  <si>
    <t>Funkadelic</t>
  </si>
  <si>
    <t>conscious hip hop</t>
  </si>
  <si>
    <t>funk rock, psychedelic rock</t>
  </si>
  <si>
    <r>
      <t xml:space="preserve">* King Crimson - </t>
    </r>
    <r>
      <rPr>
        <b/>
        <sz val="12"/>
        <color theme="3" tint="0.499984740745262"/>
        <rFont val="Aptos Narrow"/>
        <family val="2"/>
        <scheme val="minor"/>
      </rPr>
      <t>Larks' Tongues In Aspic</t>
    </r>
  </si>
  <si>
    <t>Lark's Tongues In Aspic (Part I)</t>
  </si>
  <si>
    <t>Book Of Saturday</t>
  </si>
  <si>
    <t>Exiles</t>
  </si>
  <si>
    <t>Easy Money</t>
  </si>
  <si>
    <t>The Talking Drum</t>
  </si>
  <si>
    <t>Lark's Tongues In Aspic (Part II)</t>
  </si>
  <si>
    <t>Larks' Tongues In Aspic</t>
  </si>
  <si>
    <t>funk rock</t>
  </si>
  <si>
    <t>progressive rock, avant prog</t>
  </si>
  <si>
    <t>avant prog</t>
  </si>
  <si>
    <t>Ghost</t>
  </si>
  <si>
    <t>Drone</t>
  </si>
  <si>
    <t>Aozora</t>
  </si>
  <si>
    <t>Animation</t>
  </si>
  <si>
    <t>Conversations</t>
  </si>
  <si>
    <t>Reanimation</t>
  </si>
  <si>
    <t>All It Takes</t>
  </si>
  <si>
    <t>Remote Self Control</t>
  </si>
  <si>
    <t>Opal</t>
  </si>
  <si>
    <t>Salva</t>
  </si>
  <si>
    <t>Karnivool</t>
  </si>
  <si>
    <t>In Verses</t>
  </si>
  <si>
    <r>
      <t>* Karnivool -</t>
    </r>
    <r>
      <rPr>
        <b/>
        <sz val="14"/>
        <color theme="1" tint="0.249977111117893"/>
        <rFont val="Aptos Narrow"/>
        <family val="2"/>
        <scheme val="minor"/>
      </rPr>
      <t xml:space="preserve"> In Verses</t>
    </r>
  </si>
  <si>
    <r>
      <t xml:space="preserve">* Gorillaz - </t>
    </r>
    <r>
      <rPr>
        <b/>
        <sz val="14"/>
        <color theme="0"/>
        <rFont val="Aptos Narrow"/>
        <family val="2"/>
        <scheme val="minor"/>
      </rPr>
      <t>Demon Days</t>
    </r>
  </si>
  <si>
    <t>Intro</t>
  </si>
  <si>
    <t>Last Living Souls</t>
  </si>
  <si>
    <t>Kids With Guns</t>
  </si>
  <si>
    <t>O Green World</t>
  </si>
  <si>
    <t>Dirty Harry</t>
  </si>
  <si>
    <t>Feel Good Inc.</t>
  </si>
  <si>
    <t>El Mañana</t>
  </si>
  <si>
    <t>Every Planet We Reach Is Dead</t>
  </si>
  <si>
    <t>November Has Come</t>
  </si>
  <si>
    <t>All Gone</t>
  </si>
  <si>
    <t>White Light</t>
  </si>
  <si>
    <t>DARE</t>
  </si>
  <si>
    <t>Fire Coming out of the Monkey's Head</t>
  </si>
  <si>
    <t>Don't Get Lost in Heaven</t>
  </si>
  <si>
    <t>Demon Days</t>
  </si>
  <si>
    <t>alternative rock, art pop</t>
  </si>
  <si>
    <r>
      <t xml:space="preserve">* Agalloch - </t>
    </r>
    <r>
      <rPr>
        <b/>
        <sz val="14"/>
        <color theme="1" tint="0.14999847407452621"/>
        <rFont val="Aptos Narrow"/>
        <scheme val="minor"/>
      </rPr>
      <t>The Mantle</t>
    </r>
  </si>
  <si>
    <t>A Celebration For The Death Of Man…</t>
  </si>
  <si>
    <t>In The Shadow Of Our Pale Companion</t>
  </si>
  <si>
    <t>Odal</t>
  </si>
  <si>
    <t>I Am The Wooden Doors</t>
  </si>
  <si>
    <t>The Lodge</t>
  </si>
  <si>
    <t>You Were But A Ghost In My Arms</t>
  </si>
  <si>
    <t>The Hawthrone Passage</t>
  </si>
  <si>
    <t>…And The Great Cold Death Of The Earth</t>
  </si>
  <si>
    <t>A Desolation Song</t>
  </si>
  <si>
    <t>Agalloch</t>
  </si>
  <si>
    <t>The Mantle</t>
  </si>
  <si>
    <t>post metal, folk metal</t>
  </si>
  <si>
    <t>Summer Knights</t>
  </si>
  <si>
    <t>Waves</t>
  </si>
  <si>
    <t>FromdaTomb$</t>
  </si>
  <si>
    <t>Survival Tactics</t>
  </si>
  <si>
    <t>Killuminati</t>
  </si>
  <si>
    <t>Hardknock</t>
  </si>
  <si>
    <t>World Domination</t>
  </si>
  <si>
    <t>Pennyroyal</t>
  </si>
  <si>
    <t>Funky Ho'$</t>
  </si>
  <si>
    <t>Daily Routine</t>
  </si>
  <si>
    <t>Snakes</t>
  </si>
  <si>
    <t>Don't Front</t>
  </si>
  <si>
    <t>Righteous Minds</t>
  </si>
  <si>
    <t>Where It'$ At?</t>
  </si>
  <si>
    <t>Third Eye Sh*t</t>
  </si>
  <si>
    <t>Joey Bada$$</t>
  </si>
  <si>
    <t>folk metal</t>
  </si>
  <si>
    <t>boom bap, jazz rap</t>
  </si>
  <si>
    <t>boom bap</t>
  </si>
  <si>
    <r>
      <t xml:space="preserve">* Joey Bada$$ - </t>
    </r>
    <r>
      <rPr>
        <b/>
        <sz val="14"/>
        <color rgb="FF40298B"/>
        <rFont val="Aptos Narrow"/>
        <family val="2"/>
        <scheme val="minor"/>
      </rPr>
      <t>1999 (mixtape)</t>
    </r>
  </si>
  <si>
    <t>1999 (mixtape)</t>
  </si>
  <si>
    <r>
      <t xml:space="preserve">* Aphex Twin - </t>
    </r>
    <r>
      <rPr>
        <b/>
        <sz val="10.5"/>
        <color theme="1"/>
        <rFont val="Aptos Narrow"/>
        <family val="2"/>
        <scheme val="minor"/>
      </rPr>
      <t>Selected Ambient Works 85-92</t>
    </r>
  </si>
  <si>
    <t>Tha</t>
  </si>
  <si>
    <t>Pulsewidth</t>
  </si>
  <si>
    <t>Ageispolis</t>
  </si>
  <si>
    <t>I</t>
  </si>
  <si>
    <t>Green Calx</t>
  </si>
  <si>
    <t>Heliospan</t>
  </si>
  <si>
    <t>We Are the Music Makers</t>
  </si>
  <si>
    <t>Schottkey 7th Path</t>
  </si>
  <si>
    <t>Ptolemy</t>
  </si>
  <si>
    <t>Hedphelym</t>
  </si>
  <si>
    <t>Delphium</t>
  </si>
  <si>
    <t>Actium</t>
  </si>
  <si>
    <t>Xtal</t>
  </si>
  <si>
    <t>Aphex Twin</t>
  </si>
  <si>
    <t>Selected Ambient Works 85-92</t>
  </si>
  <si>
    <r>
      <t>* Panchiko -</t>
    </r>
    <r>
      <rPr>
        <b/>
        <sz val="12"/>
        <color theme="3" tint="0.499984740745262"/>
        <rFont val="Aptos Narrow"/>
        <family val="2"/>
        <scheme val="minor"/>
      </rPr>
      <t xml:space="preserve"> D&gt;E&gt;A&gt;T&gt;H&gt;M&gt;E&gt;T&gt;A&gt;L</t>
    </r>
  </si>
  <si>
    <t xml:space="preserve"> D&gt;E&gt;A&gt;T&gt;H&gt;M&gt;E&gt;T&gt;A&gt;L</t>
  </si>
  <si>
    <t>Stabilisers For Big Boys</t>
  </si>
  <si>
    <t>Laputa</t>
  </si>
  <si>
    <t>The Eyes of Ibad</t>
  </si>
  <si>
    <t>CUT</t>
  </si>
  <si>
    <t>Sodium Chloride</t>
  </si>
  <si>
    <t>Kicking Cars</t>
  </si>
  <si>
    <t>Panchiko</t>
  </si>
  <si>
    <t>D&gt;E&gt;A&gt;T&gt;H&gt;M&gt;E&gt;T&gt;A&gt;L</t>
  </si>
  <si>
    <t>ambient techno</t>
  </si>
  <si>
    <t>IDM</t>
  </si>
  <si>
    <t>indie rock, dream pop</t>
  </si>
  <si>
    <t>La femme d'argent</t>
  </si>
  <si>
    <t>Sexy Boy</t>
  </si>
  <si>
    <t>Kelly Watch the Stars</t>
  </si>
  <si>
    <t>Talisman</t>
  </si>
  <si>
    <t>Remember</t>
  </si>
  <si>
    <t>You Make It Easy</t>
  </si>
  <si>
    <t>Ce matin-là</t>
  </si>
  <si>
    <t>New Star in the Sky</t>
  </si>
  <si>
    <t>Le voyage de Pénélope</t>
  </si>
  <si>
    <r>
      <t xml:space="preserve">* Air - </t>
    </r>
    <r>
      <rPr>
        <b/>
        <sz val="14"/>
        <color theme="0"/>
        <rFont val="Aptos Narrow"/>
        <family val="2"/>
        <scheme val="minor"/>
      </rPr>
      <t>Moon Safari</t>
    </r>
  </si>
  <si>
    <t>Air</t>
  </si>
  <si>
    <t>Moon Safari</t>
  </si>
  <si>
    <t>downtempo, ambient pop</t>
  </si>
  <si>
    <t>ambient pop</t>
  </si>
  <si>
    <t>Ocean Planet</t>
  </si>
  <si>
    <t>Backbone</t>
  </si>
  <si>
    <t>From The Sky</t>
  </si>
  <si>
    <t>Unicorn</t>
  </si>
  <si>
    <t>Where Dragons Dwell</t>
  </si>
  <si>
    <t>The Heaviest Matter of the Universe</t>
  </si>
  <si>
    <t>Flying Whales</t>
  </si>
  <si>
    <t>In The Wilderness</t>
  </si>
  <si>
    <t>World To Come</t>
  </si>
  <si>
    <t>From Mars</t>
  </si>
  <si>
    <t>To Sirius</t>
  </si>
  <si>
    <t>Global Warming</t>
  </si>
  <si>
    <r>
      <t xml:space="preserve">* Gojira - </t>
    </r>
    <r>
      <rPr>
        <b/>
        <sz val="14"/>
        <color theme="1"/>
        <rFont val="Aptos Narrow"/>
        <scheme val="minor"/>
      </rPr>
      <t>From Mars to Sirius</t>
    </r>
  </si>
  <si>
    <t>Gojira</t>
  </si>
  <si>
    <t>From Mars to Sirius</t>
  </si>
  <si>
    <r>
      <t>* C418 -</t>
    </r>
    <r>
      <rPr>
        <b/>
        <sz val="12"/>
        <color rgb="FF663300"/>
        <rFont val="Aptos Narrow"/>
        <family val="2"/>
        <scheme val="minor"/>
      </rPr>
      <t xml:space="preserve"> Minecraft Volume Alpha</t>
    </r>
    <r>
      <rPr>
        <sz val="12"/>
        <color rgb="FF663300"/>
        <rFont val="Aptos Narrow"/>
        <family val="2"/>
        <scheme val="minor"/>
      </rPr>
      <t xml:space="preserve"> [OST]</t>
    </r>
  </si>
  <si>
    <t>Enter Hallownest</t>
  </si>
  <si>
    <r>
      <t>* Christopher Larkin -</t>
    </r>
    <r>
      <rPr>
        <b/>
        <sz val="12"/>
        <color theme="0"/>
        <rFont val="Aptos Narrow"/>
        <family val="2"/>
        <scheme val="minor"/>
      </rPr>
      <t xml:space="preserve"> Hollow Knight </t>
    </r>
    <r>
      <rPr>
        <sz val="12"/>
        <color theme="0"/>
        <rFont val="Aptos Narrow"/>
        <family val="2"/>
        <scheme val="minor"/>
      </rPr>
      <t>[OST]</t>
    </r>
  </si>
  <si>
    <t>Dirtmouth</t>
  </si>
  <si>
    <t>Crossroads</t>
  </si>
  <si>
    <t>False Knight</t>
  </si>
  <si>
    <t>Greenpath</t>
  </si>
  <si>
    <t>Hornet</t>
  </si>
  <si>
    <t>Mantis Lords</t>
  </si>
  <si>
    <t>City of Tears</t>
  </si>
  <si>
    <t>Dung Defender</t>
  </si>
  <si>
    <t>Crystal Peak</t>
  </si>
  <si>
    <t>Fungal Wastes</t>
  </si>
  <si>
    <t>Decisive Battle</t>
  </si>
  <si>
    <t>Soul Sanctum</t>
  </si>
  <si>
    <t>Resting Grounds</t>
  </si>
  <si>
    <t>Queen's Gardens</t>
  </si>
  <si>
    <t>The White Lady</t>
  </si>
  <si>
    <t>Broken Vessel</t>
  </si>
  <si>
    <t>Kingdom's Edge</t>
  </si>
  <si>
    <t>Nosk</t>
  </si>
  <si>
    <t>Dream</t>
  </si>
  <si>
    <t>Dream Battle</t>
  </si>
  <si>
    <t>White Palace</t>
  </si>
  <si>
    <t>Sealed Vessel</t>
  </si>
  <si>
    <t>Radiance</t>
  </si>
  <si>
    <t>Hollow Knight</t>
  </si>
  <si>
    <t>Minecraft Volume Alpha [OST]</t>
  </si>
  <si>
    <t>Christopher Larkin</t>
  </si>
  <si>
    <t>Hollow Knight [OST]</t>
  </si>
  <si>
    <t>ambient, video game music</t>
  </si>
  <si>
    <t>video game music</t>
  </si>
  <si>
    <t>Human After All</t>
  </si>
  <si>
    <t>The Prime Time of Your Life</t>
  </si>
  <si>
    <t>Robot Rock</t>
  </si>
  <si>
    <t>Steam Machine</t>
  </si>
  <si>
    <t>Make Love</t>
  </si>
  <si>
    <t>The Brainwasher</t>
  </si>
  <si>
    <t>On / Off</t>
  </si>
  <si>
    <t>Television Rules the Nation</t>
  </si>
  <si>
    <t>Technologic</t>
  </si>
  <si>
    <t>Emotion</t>
  </si>
  <si>
    <r>
      <t xml:space="preserve">* Daft Punk - </t>
    </r>
    <r>
      <rPr>
        <b/>
        <sz val="14"/>
        <color rgb="FF002E25"/>
        <rFont val="Aptos Narrow"/>
        <family val="2"/>
        <scheme val="minor"/>
      </rPr>
      <t>Human After All</t>
    </r>
  </si>
  <si>
    <t>electroclash, post industrial</t>
  </si>
  <si>
    <t>electroclash</t>
  </si>
  <si>
    <t>post industrial</t>
  </si>
  <si>
    <r>
      <t xml:space="preserve">* Gojira - </t>
    </r>
    <r>
      <rPr>
        <b/>
        <sz val="14"/>
        <color theme="1"/>
        <rFont val="Aptos Narrow"/>
        <scheme val="minor"/>
      </rPr>
      <t>Magma</t>
    </r>
  </si>
  <si>
    <t>The Shooting Star</t>
  </si>
  <si>
    <t>Silvera</t>
  </si>
  <si>
    <t>The Cell</t>
  </si>
  <si>
    <t>Stranded</t>
  </si>
  <si>
    <t>Yellow Stone</t>
  </si>
  <si>
    <t>Magma</t>
  </si>
  <si>
    <t>Pray</t>
  </si>
  <si>
    <t>Only Pain</t>
  </si>
  <si>
    <t>Low Lands</t>
  </si>
  <si>
    <t>Liberation</t>
  </si>
  <si>
    <t>groove metal, progressive metal</t>
  </si>
  <si>
    <t>groove metal</t>
  </si>
  <si>
    <r>
      <t xml:space="preserve">* Camel - </t>
    </r>
    <r>
      <rPr>
        <b/>
        <sz val="14"/>
        <color rgb="FF3E2A22"/>
        <rFont val="Aptos Narrow"/>
        <scheme val="minor"/>
      </rPr>
      <t>Mirage</t>
    </r>
  </si>
  <si>
    <t>Freefall</t>
  </si>
  <si>
    <t>Supertwister</t>
  </si>
  <si>
    <t>Nimrodel / The Procession / The White Rider</t>
  </si>
  <si>
    <t>Earthrise</t>
  </si>
  <si>
    <t>Lady Fantasy: Encounter / Smiles For You / Lady Fantasy</t>
  </si>
  <si>
    <t>Camel</t>
  </si>
  <si>
    <t>Mirage</t>
  </si>
  <si>
    <t>symphonic prog, progressive rock</t>
  </si>
  <si>
    <r>
      <t xml:space="preserve">* Supertramp - </t>
    </r>
    <r>
      <rPr>
        <b/>
        <sz val="12"/>
        <color rgb="FFFFA800"/>
        <rFont val="Aptos Narrow"/>
        <scheme val="minor"/>
      </rPr>
      <t>Breakfast In America</t>
    </r>
  </si>
  <si>
    <t>Gone Hollywood</t>
  </si>
  <si>
    <t>The Logical Song</t>
  </si>
  <si>
    <t>Goodbye Stranger</t>
  </si>
  <si>
    <t>Breakfast In America</t>
  </si>
  <si>
    <t>Oh Darling</t>
  </si>
  <si>
    <t>Take The Long Way Home</t>
  </si>
  <si>
    <t>Lord Is It Mine</t>
  </si>
  <si>
    <t>Just Another Nervous Wreck</t>
  </si>
  <si>
    <t>Casual Conversations</t>
  </si>
  <si>
    <t>Child Of Vision</t>
  </si>
  <si>
    <t>Supertramp</t>
  </si>
  <si>
    <t>symphonic prog</t>
  </si>
  <si>
    <t>progressive pop, pop rock</t>
  </si>
  <si>
    <t>progressive pop</t>
  </si>
  <si>
    <r>
      <t xml:space="preserve">* Coldplay - </t>
    </r>
    <r>
      <rPr>
        <b/>
        <sz val="14"/>
        <color rgb="FFF8D006"/>
        <rFont val="Aptos Narrow"/>
        <family val="2"/>
        <scheme val="minor"/>
      </rPr>
      <t>Parachutes</t>
    </r>
  </si>
  <si>
    <t>Don't Panic</t>
  </si>
  <si>
    <t>Shiver</t>
  </si>
  <si>
    <t>Spies</t>
  </si>
  <si>
    <t>Sparks</t>
  </si>
  <si>
    <t>Yellow</t>
  </si>
  <si>
    <t>Trouble</t>
  </si>
  <si>
    <t>Parachutes</t>
  </si>
  <si>
    <t>High Speed</t>
  </si>
  <si>
    <t>We Never Change</t>
  </si>
  <si>
    <t>Everything's Not Lost</t>
  </si>
  <si>
    <r>
      <t xml:space="preserve">* Slowdive - </t>
    </r>
    <r>
      <rPr>
        <b/>
        <sz val="14"/>
        <color theme="1"/>
        <rFont val="Aptos Narrow"/>
        <scheme val="minor"/>
      </rPr>
      <t>Souvlaki</t>
    </r>
  </si>
  <si>
    <t>Alison</t>
  </si>
  <si>
    <t>Machine Gun</t>
  </si>
  <si>
    <t>40 Days</t>
  </si>
  <si>
    <t>Sing</t>
  </si>
  <si>
    <t>Here She Comes</t>
  </si>
  <si>
    <t>Souvlaki Space Station</t>
  </si>
  <si>
    <t>When the Sun Hits</t>
  </si>
  <si>
    <t>Altogether</t>
  </si>
  <si>
    <t>Melon Yellow</t>
  </si>
  <si>
    <t>Dagger</t>
  </si>
  <si>
    <t>Slowdive</t>
  </si>
  <si>
    <t>Souvlaki</t>
  </si>
  <si>
    <t>post britpop, pop rock</t>
  </si>
  <si>
    <t>Vinum Sabbathi</t>
  </si>
  <si>
    <t>Funeralopolis</t>
  </si>
  <si>
    <t>Barbarian</t>
  </si>
  <si>
    <t>I,The Witchfinder</t>
  </si>
  <si>
    <t>The Hills Have Eyes</t>
  </si>
  <si>
    <t>We Hate You</t>
  </si>
  <si>
    <t>Dopethrone</t>
  </si>
  <si>
    <t>Mind Transferal</t>
  </si>
  <si>
    <t>Weird Tales</t>
  </si>
  <si>
    <r>
      <t xml:space="preserve">* Electric Wizard - </t>
    </r>
    <r>
      <rPr>
        <b/>
        <sz val="14"/>
        <color theme="2"/>
        <rFont val="Aptos Narrow"/>
        <family val="2"/>
        <scheme val="minor"/>
      </rPr>
      <t>Dopethrone</t>
    </r>
  </si>
  <si>
    <t>Electric Wizard</t>
  </si>
  <si>
    <t>doom metal, stoner metal</t>
  </si>
  <si>
    <t>doom metal</t>
  </si>
  <si>
    <t>stoner metal</t>
  </si>
  <si>
    <r>
      <t xml:space="preserve">* Miserere Luminis - </t>
    </r>
    <r>
      <rPr>
        <b/>
        <sz val="14"/>
        <color rgb="FFC00000"/>
        <rFont val="Aptos Narrow"/>
        <family val="2"/>
        <scheme val="minor"/>
      </rPr>
      <t>Sidera</t>
    </r>
  </si>
  <si>
    <t>Les fleurs de l'exil</t>
  </si>
  <si>
    <t>De cris &amp; de cendres</t>
  </si>
  <si>
    <t>Aux bras des vagues &amp; des vomissures</t>
  </si>
  <si>
    <t>À la douleur de l'aube</t>
  </si>
  <si>
    <t>Dans la voie de nos lumières</t>
  </si>
  <si>
    <t>Miserere Luminis</t>
  </si>
  <si>
    <t>Sidera</t>
  </si>
  <si>
    <t>atmospheric black metal, post metal</t>
  </si>
  <si>
    <t>atmospheric black metal</t>
  </si>
  <si>
    <r>
      <t xml:space="preserve">* Swans - </t>
    </r>
    <r>
      <rPr>
        <b/>
        <sz val="14"/>
        <color theme="0"/>
        <rFont val="Aptos Narrow"/>
        <family val="2"/>
        <scheme val="minor"/>
      </rPr>
      <t>To Be Kind</t>
    </r>
  </si>
  <si>
    <t>Screen Shot</t>
  </si>
  <si>
    <t>Just a Little Boy (For Chester Burnett)</t>
  </si>
  <si>
    <t>A Little God In My Hands</t>
  </si>
  <si>
    <t>Bring the Sun / Toussaint L'Overture</t>
  </si>
  <si>
    <t>Some Things We Do</t>
  </si>
  <si>
    <t>She Loves Us</t>
  </si>
  <si>
    <t>Kirsten Supine</t>
  </si>
  <si>
    <t>Oxygen</t>
  </si>
  <si>
    <t>Nathalie Neal</t>
  </si>
  <si>
    <t>To Be Kind</t>
  </si>
  <si>
    <t>Swans</t>
  </si>
  <si>
    <t>experimental rock, post rock</t>
  </si>
  <si>
    <t>Limbs</t>
  </si>
  <si>
    <t>Falling Snow</t>
  </si>
  <si>
    <t>This White Mountain On Which You Will Die</t>
  </si>
  <si>
    <t>Fire Above, Ice Below</t>
  </si>
  <si>
    <t>Not Unlike The Waves</t>
  </si>
  <si>
    <t>Our Fortress Is Burning…I</t>
  </si>
  <si>
    <t>Our Fortress Is Burning…II - Bloodbirds</t>
  </si>
  <si>
    <t>Our Fortress Is Burning…III - The Grain</t>
  </si>
  <si>
    <t>Ashes Against The Grain</t>
  </si>
  <si>
    <t>post metal, atmospheric black metal</t>
  </si>
  <si>
    <r>
      <t xml:space="preserve">* Agalloch - </t>
    </r>
    <r>
      <rPr>
        <b/>
        <sz val="12"/>
        <color theme="1" tint="0.249977111117893"/>
        <rFont val="Aptos Narrow"/>
        <family val="2"/>
        <scheme val="minor"/>
      </rPr>
      <t>Ashes Against The Grain</t>
    </r>
  </si>
  <si>
    <r>
      <t xml:space="preserve">* Iron Maiden - </t>
    </r>
    <r>
      <rPr>
        <b/>
        <sz val="12"/>
        <color rgb="FFFF0000"/>
        <rFont val="Aptos Narrow"/>
        <family val="2"/>
        <scheme val="minor"/>
      </rPr>
      <t>The Number of the Beast</t>
    </r>
  </si>
  <si>
    <t>Invaders</t>
  </si>
  <si>
    <t>Children of the Dammed</t>
  </si>
  <si>
    <t>The Prisoner</t>
  </si>
  <si>
    <t>22 Acacia Avenue</t>
  </si>
  <si>
    <t>The Number of the Beast</t>
  </si>
  <si>
    <t>Run to the Hills</t>
  </si>
  <si>
    <t>Gangland</t>
  </si>
  <si>
    <t>Hallowed Be Thy Name</t>
  </si>
  <si>
    <t>Iron Maiden</t>
  </si>
  <si>
    <r>
      <t xml:space="preserve">* Opeth - </t>
    </r>
    <r>
      <rPr>
        <b/>
        <sz val="14"/>
        <color theme="1" tint="0.249977111117893"/>
        <rFont val="Aptos Narrow"/>
        <scheme val="minor"/>
      </rPr>
      <t>Morningrise</t>
    </r>
  </si>
  <si>
    <t>Advent</t>
  </si>
  <si>
    <t>The Night And The Silent Water</t>
  </si>
  <si>
    <t>Nectar</t>
  </si>
  <si>
    <t>Black Rose Immortal</t>
  </si>
  <si>
    <t>To Bid You Farewell</t>
  </si>
  <si>
    <t>Morningrise</t>
  </si>
  <si>
    <r>
      <t xml:space="preserve">* The Smashing Pumpkins - </t>
    </r>
    <r>
      <rPr>
        <b/>
        <sz val="10"/>
        <color rgb="FFFFFF00"/>
        <rFont val="Aptos Narrow"/>
        <family val="2"/>
        <scheme val="minor"/>
      </rPr>
      <t>Mellon Collie And The Infinite Sadness</t>
    </r>
  </si>
  <si>
    <t>Mellon Collie And The Infinite Sadness</t>
  </si>
  <si>
    <t>Tonight, Tonight</t>
  </si>
  <si>
    <t>Jellybelly</t>
  </si>
  <si>
    <t>Zero</t>
  </si>
  <si>
    <t>Here Is No Why</t>
  </si>
  <si>
    <t>Bullet With Butterfly Wings</t>
  </si>
  <si>
    <t>To Forgive</t>
  </si>
  <si>
    <t>An Ode To No One</t>
  </si>
  <si>
    <t>Love</t>
  </si>
  <si>
    <t>Cupid De Locke</t>
  </si>
  <si>
    <t>Galapagos</t>
  </si>
  <si>
    <t>Muzzle</t>
  </si>
  <si>
    <t>Porcelina Of The Vast Oceans</t>
  </si>
  <si>
    <t>Take Me Down</t>
  </si>
  <si>
    <t>Where Boys Fear To Tread</t>
  </si>
  <si>
    <t>Bodies</t>
  </si>
  <si>
    <t>Thirty-Three</t>
  </si>
  <si>
    <t>In The Arms Of Sheep</t>
  </si>
  <si>
    <t>Tales Of A Scorched Earth</t>
  </si>
  <si>
    <t>Thru The Eyes Of Ruby</t>
  </si>
  <si>
    <t>Stumbleine</t>
  </si>
  <si>
    <t>X.Y.U.</t>
  </si>
  <si>
    <t>We Only Come At Night</t>
  </si>
  <si>
    <t>Beautiful</t>
  </si>
  <si>
    <t>Lily (My One And Only)</t>
  </si>
  <si>
    <t>By Starlight</t>
  </si>
  <si>
    <t>Farewell And Goodnight</t>
  </si>
  <si>
    <t>alternative rock, art rock</t>
  </si>
  <si>
    <r>
      <t xml:space="preserve">* Portishead - </t>
    </r>
    <r>
      <rPr>
        <b/>
        <sz val="14"/>
        <color theme="0"/>
        <rFont val="Aptos Narrow"/>
        <family val="2"/>
        <scheme val="minor"/>
      </rPr>
      <t>Dummy</t>
    </r>
  </si>
  <si>
    <t>Mysterons</t>
  </si>
  <si>
    <t>Sour Times</t>
  </si>
  <si>
    <t>Strangers</t>
  </si>
  <si>
    <t>It Could Be Sweet</t>
  </si>
  <si>
    <t>Wandering Star</t>
  </si>
  <si>
    <t>It's A Fire</t>
  </si>
  <si>
    <t>Roads</t>
  </si>
  <si>
    <t>Pedestal</t>
  </si>
  <si>
    <t>Biscuit</t>
  </si>
  <si>
    <t>Glory Box</t>
  </si>
  <si>
    <t>Portishead</t>
  </si>
  <si>
    <t>Dummy</t>
  </si>
  <si>
    <t>Eternal Rains Will Come</t>
  </si>
  <si>
    <t>Cusp of Eternity</t>
  </si>
  <si>
    <t>Moon Above, Sun Below</t>
  </si>
  <si>
    <t>Elysian Woes</t>
  </si>
  <si>
    <t>Goblin</t>
  </si>
  <si>
    <t>River</t>
  </si>
  <si>
    <t>Voice of Treason</t>
  </si>
  <si>
    <t>Faith in Others</t>
  </si>
  <si>
    <r>
      <t xml:space="preserve">* Opeth - </t>
    </r>
    <r>
      <rPr>
        <b/>
        <sz val="14"/>
        <color rgb="FFEACF04"/>
        <rFont val="Aptos Narrow"/>
        <family val="2"/>
        <scheme val="minor"/>
      </rPr>
      <t>Pale Communion</t>
    </r>
  </si>
  <si>
    <t>Pale Communion</t>
  </si>
  <si>
    <r>
      <t xml:space="preserve">* underscores - </t>
    </r>
    <r>
      <rPr>
        <b/>
        <sz val="14"/>
        <color theme="1" tint="0.14999847407452621"/>
        <rFont val="Aptos Narrow"/>
        <family val="2"/>
        <scheme val="minor"/>
      </rPr>
      <t>U</t>
    </r>
  </si>
  <si>
    <t>Tell Me (U Want It)</t>
  </si>
  <si>
    <t>Music</t>
  </si>
  <si>
    <t>Hollywood Forever</t>
  </si>
  <si>
    <t>The Peace</t>
  </si>
  <si>
    <t>Innuendo (I Get U)</t>
  </si>
  <si>
    <t>Lovefield</t>
  </si>
  <si>
    <t>Do It</t>
  </si>
  <si>
    <t>Bodyfeeling</t>
  </si>
  <si>
    <t>Wish U Well</t>
  </si>
  <si>
    <t>underscores</t>
  </si>
  <si>
    <t>U</t>
  </si>
  <si>
    <t>Breadcrumb Trail</t>
  </si>
  <si>
    <t>Nosferatu Man</t>
  </si>
  <si>
    <t>Don, Aman</t>
  </si>
  <si>
    <t>Washer</t>
  </si>
  <si>
    <t>For Dinner…</t>
  </si>
  <si>
    <t>Good Morning, Captain</t>
  </si>
  <si>
    <t>Slint</t>
  </si>
  <si>
    <t>Spiderland</t>
  </si>
  <si>
    <t>post rock, post hardcore</t>
  </si>
  <si>
    <t>post hardcore</t>
  </si>
  <si>
    <r>
      <t xml:space="preserve">* Metallica - </t>
    </r>
    <r>
      <rPr>
        <b/>
        <sz val="14"/>
        <color rgb="FFCC0000"/>
        <rFont val="Aptos Narrow"/>
        <family val="2"/>
        <scheme val="minor"/>
      </rPr>
      <t>St. Anger</t>
    </r>
  </si>
  <si>
    <t>Frantic</t>
  </si>
  <si>
    <t>St. Anger</t>
  </si>
  <si>
    <t>Some Kind Of Monster</t>
  </si>
  <si>
    <t>Dirty Window</t>
  </si>
  <si>
    <t>Invisible Kid</t>
  </si>
  <si>
    <t>My World</t>
  </si>
  <si>
    <t>Shoot Me Again</t>
  </si>
  <si>
    <t>Sweet Amber</t>
  </si>
  <si>
    <t>The Unnamed Feeling</t>
  </si>
  <si>
    <t>Purify</t>
  </si>
  <si>
    <t>All Within My Hands</t>
  </si>
  <si>
    <r>
      <t>* Interpol -</t>
    </r>
    <r>
      <rPr>
        <b/>
        <sz val="12"/>
        <color theme="1"/>
        <rFont val="Aptos Narrow"/>
        <family val="2"/>
        <scheme val="minor"/>
      </rPr>
      <t xml:space="preserve"> Turn On The Bright Lights</t>
    </r>
  </si>
  <si>
    <r>
      <t xml:space="preserve">* Pink Floyd - </t>
    </r>
    <r>
      <rPr>
        <b/>
        <sz val="14"/>
        <color rgb="FF9B032E"/>
        <rFont val="Aptos Narrow"/>
        <family val="2"/>
        <scheme val="minor"/>
      </rPr>
      <t>Meddle</t>
    </r>
  </si>
  <si>
    <t>One of These Days</t>
  </si>
  <si>
    <t>A Pillow of Winds</t>
  </si>
  <si>
    <t>Fearless</t>
  </si>
  <si>
    <t>San Tropez</t>
  </si>
  <si>
    <t>Seamus</t>
  </si>
  <si>
    <t>Echoes</t>
  </si>
  <si>
    <t>Meddle</t>
  </si>
  <si>
    <t>Feel The Love</t>
  </si>
  <si>
    <t>Fire</t>
  </si>
  <si>
    <t>4th Dimension</t>
  </si>
  <si>
    <t>Freeee (Ghost Town Pt. 2)</t>
  </si>
  <si>
    <t>Reborn</t>
  </si>
  <si>
    <t>Kids See Ghosts</t>
  </si>
  <si>
    <t>Cudi Montage</t>
  </si>
  <si>
    <r>
      <t xml:space="preserve">* KIDS SEE GHOSTS - </t>
    </r>
    <r>
      <rPr>
        <b/>
        <sz val="12"/>
        <color rgb="FFFF0066"/>
        <rFont val="Aptos Narrow"/>
        <family val="2"/>
        <scheme val="minor"/>
      </rPr>
      <t>KIDS SEE GHOSTS</t>
    </r>
  </si>
  <si>
    <t>KIDS SEE GHOSTS</t>
  </si>
  <si>
    <t>pop rap, experimental hip hop</t>
  </si>
  <si>
    <r>
      <t xml:space="preserve">* Opeth - </t>
    </r>
    <r>
      <rPr>
        <b/>
        <sz val="14"/>
        <color rgb="FF90AEDA"/>
        <rFont val="Aptos Narrow"/>
        <scheme val="minor"/>
      </rPr>
      <t>My Arms, Your Hearse</t>
    </r>
  </si>
  <si>
    <t>Prologue</t>
  </si>
  <si>
    <t>April Ethereal</t>
  </si>
  <si>
    <t>When</t>
  </si>
  <si>
    <t>Madrigal</t>
  </si>
  <si>
    <t>The Amen Corner</t>
  </si>
  <si>
    <t>Demon Of The Fall</t>
  </si>
  <si>
    <t>Credence</t>
  </si>
  <si>
    <t>Karma</t>
  </si>
  <si>
    <t>Epilogue</t>
  </si>
  <si>
    <t>My Arms, Your Hearse</t>
  </si>
  <si>
    <t>Tekka</t>
  </si>
  <si>
    <t>Dsco</t>
  </si>
  <si>
    <t>Velocity</t>
  </si>
  <si>
    <t>Fruitcake and Cookies</t>
  </si>
  <si>
    <t>Sept</t>
  </si>
  <si>
    <t>Pro: Lov: Ad</t>
  </si>
  <si>
    <t>Design: I</t>
  </si>
  <si>
    <t>International</t>
  </si>
  <si>
    <t>Dedicated</t>
  </si>
  <si>
    <t>Chocolate Matter</t>
  </si>
  <si>
    <t>To All Dancers of the World, A Round Form of Fantasy</t>
  </si>
  <si>
    <t>Design: 2: 3</t>
  </si>
  <si>
    <r>
      <t xml:space="preserve">* Sweet Trip - </t>
    </r>
    <r>
      <rPr>
        <b/>
        <sz val="12"/>
        <color rgb="FF0070C0"/>
        <rFont val="Aptos Narrow"/>
        <family val="2"/>
        <scheme val="minor"/>
      </rPr>
      <t>Velocity: Design: Comfort.</t>
    </r>
  </si>
  <si>
    <t>Velocity: Design: Comfort.</t>
  </si>
  <si>
    <t>idm</t>
  </si>
  <si>
    <r>
      <t xml:space="preserve">* Billie Eilish - </t>
    </r>
    <r>
      <rPr>
        <b/>
        <sz val="12"/>
        <color theme="0" tint="-0.14999847407452621"/>
        <rFont val="Aptos Narrow"/>
        <family val="2"/>
        <scheme val="minor"/>
      </rPr>
      <t>HIT ME HARD AND SOFT</t>
    </r>
  </si>
  <si>
    <t>SKINNY</t>
  </si>
  <si>
    <t>LUNCH</t>
  </si>
  <si>
    <t>CHIHIRO</t>
  </si>
  <si>
    <t>BIRDS OF A FEATHER</t>
  </si>
  <si>
    <t>WILDFLOWER</t>
  </si>
  <si>
    <t>THE GREATEST</t>
  </si>
  <si>
    <t>L'AMOUR DE MA VIE</t>
  </si>
  <si>
    <t>THE DINER</t>
  </si>
  <si>
    <t>BITTERSUITE</t>
  </si>
  <si>
    <t>BLUE</t>
  </si>
  <si>
    <t>Billie Eilish</t>
  </si>
  <si>
    <t>HIT ME HARD AND SOFT</t>
  </si>
  <si>
    <t>alt pop</t>
  </si>
  <si>
    <t>Too Long</t>
  </si>
  <si>
    <r>
      <t>* The Strokes -</t>
    </r>
    <r>
      <rPr>
        <b/>
        <sz val="14"/>
        <color rgb="FF422100"/>
        <rFont val="Aptos Narrow"/>
        <family val="2"/>
        <scheme val="minor"/>
      </rPr>
      <t xml:space="preserve"> Is This It</t>
    </r>
  </si>
  <si>
    <t>Is This It</t>
  </si>
  <si>
    <t>The Modern Age</t>
  </si>
  <si>
    <t>Barely Legal</t>
  </si>
  <si>
    <t>Someday</t>
  </si>
  <si>
    <t>Alone, Together</t>
  </si>
  <si>
    <t>Last Nite</t>
  </si>
  <si>
    <t>Hard To Explain</t>
  </si>
  <si>
    <t>New York City Cops</t>
  </si>
  <si>
    <t>Trying Your Luck</t>
  </si>
  <si>
    <t>Take It Or Leave It</t>
  </si>
  <si>
    <t>garage rock revival, indie rock</t>
  </si>
  <si>
    <t>KING</t>
  </si>
  <si>
    <t>THIS IS A MUST</t>
  </si>
  <si>
    <t>FATHER</t>
  </si>
  <si>
    <t>ALL THE LOVE</t>
  </si>
  <si>
    <t>PUNCH DRINK</t>
  </si>
  <si>
    <t>WHATEVER WORKS</t>
  </si>
  <si>
    <t>MAMA'S FAVORITE</t>
  </si>
  <si>
    <t>SISTERS AND BROTHERS</t>
  </si>
  <si>
    <t>BULLY</t>
  </si>
  <si>
    <t>HIGHS AND LOWS</t>
  </si>
  <si>
    <t>I CAN'T WAIT</t>
  </si>
  <si>
    <t>WHILE LINES</t>
  </si>
  <si>
    <t>CIRCLES</t>
  </si>
  <si>
    <t>PREACHER MAN</t>
  </si>
  <si>
    <t>BEAUTY AND THE BEAST</t>
  </si>
  <si>
    <t>DAMN</t>
  </si>
  <si>
    <t>LAST BREATH</t>
  </si>
  <si>
    <t>THIS ONE HERE</t>
  </si>
  <si>
    <r>
      <t xml:space="preserve">* Kanye West - </t>
    </r>
    <r>
      <rPr>
        <b/>
        <sz val="14"/>
        <color theme="0" tint="-0.14999847407452621"/>
        <rFont val="Aptos Narrow"/>
        <family val="2"/>
        <scheme val="minor"/>
      </rPr>
      <t>BULLY</t>
    </r>
  </si>
  <si>
    <t>garage rock revival</t>
  </si>
  <si>
    <t>35m</t>
  </si>
  <si>
    <t>1h 16m</t>
  </si>
  <si>
    <t>44m</t>
  </si>
  <si>
    <t>42m</t>
  </si>
  <si>
    <t>1h 15m</t>
  </si>
  <si>
    <t>1h 17m</t>
  </si>
  <si>
    <t>53m</t>
  </si>
  <si>
    <t>1h 26m</t>
  </si>
  <si>
    <t>41m</t>
  </si>
  <si>
    <t>1h 7m</t>
  </si>
  <si>
    <t>54m</t>
  </si>
  <si>
    <t>47m</t>
  </si>
  <si>
    <t>38m</t>
  </si>
  <si>
    <t>1h 24m</t>
  </si>
  <si>
    <t>51m</t>
  </si>
  <si>
    <t>1h 1m</t>
  </si>
  <si>
    <t>40m</t>
  </si>
  <si>
    <t>1h 5m</t>
  </si>
  <si>
    <t>59m</t>
  </si>
  <si>
    <t>1h 6m</t>
  </si>
  <si>
    <t>48m</t>
  </si>
  <si>
    <t>46m</t>
  </si>
  <si>
    <t>1h 13m</t>
  </si>
  <si>
    <t>58m</t>
  </si>
  <si>
    <t>1h 19m</t>
  </si>
  <si>
    <t>49m</t>
  </si>
  <si>
    <t>45m</t>
  </si>
  <si>
    <t>36m</t>
  </si>
  <si>
    <t>1h 14m</t>
  </si>
  <si>
    <t>1h 8m</t>
  </si>
  <si>
    <t>52m</t>
  </si>
  <si>
    <t>2h 1m</t>
  </si>
  <si>
    <t>39m</t>
  </si>
  <si>
    <t>57m</t>
  </si>
  <si>
    <t>1h 3m</t>
  </si>
  <si>
    <t>56m</t>
  </si>
  <si>
    <t>1h 2m</t>
  </si>
  <si>
    <t>37m</t>
  </si>
  <si>
    <t>1h 12m</t>
  </si>
  <si>
    <t>43m</t>
  </si>
  <si>
    <t>1h 0m</t>
  </si>
  <si>
    <t>1h 11m</t>
  </si>
  <si>
    <t>34m</t>
  </si>
  <si>
    <t>55m</t>
  </si>
  <si>
    <t>23m</t>
  </si>
  <si>
    <t>24m</t>
  </si>
  <si>
    <t>29m</t>
  </si>
  <si>
    <t>50m</t>
  </si>
  <si>
    <t>Año</t>
  </si>
  <si>
    <t>Duración</t>
  </si>
  <si>
    <t>1969 - 2024</t>
  </si>
  <si>
    <t>2003 - 2009</t>
  </si>
  <si>
    <t>1978 - 1985</t>
  </si>
  <si>
    <t>2000 - 2005</t>
  </si>
  <si>
    <t>1h 4m</t>
  </si>
  <si>
    <t>1993 - 2016</t>
  </si>
  <si>
    <t>2005 - 2016</t>
  </si>
  <si>
    <t>1993 - 1995</t>
  </si>
  <si>
    <t>1h 32m</t>
  </si>
  <si>
    <t>1997 - 2013</t>
  </si>
  <si>
    <t>1990 - 2026</t>
  </si>
  <si>
    <t>1960s</t>
  </si>
  <si>
    <t>1970s</t>
  </si>
  <si>
    <t>1980s</t>
  </si>
  <si>
    <t>1990s</t>
  </si>
  <si>
    <t>2000s</t>
  </si>
  <si>
    <t>2010s</t>
  </si>
  <si>
    <t>2020s</t>
  </si>
  <si>
    <r>
      <t xml:space="preserve">* Opeth - </t>
    </r>
    <r>
      <rPr>
        <b/>
        <sz val="12"/>
        <color rgb="FFE8D4C2"/>
        <rFont val="Aptos Narrow"/>
        <family val="2"/>
        <scheme val="minor"/>
      </rPr>
      <t>The Last Will And Testament</t>
    </r>
  </si>
  <si>
    <t>§1</t>
  </si>
  <si>
    <t>§2</t>
  </si>
  <si>
    <t>§3</t>
  </si>
  <si>
    <t>§4</t>
  </si>
  <si>
    <t>§5</t>
  </si>
  <si>
    <t>§6</t>
  </si>
  <si>
    <t>§7</t>
  </si>
  <si>
    <t>A Story Never Told</t>
  </si>
  <si>
    <t>The Last Will And Testament</t>
  </si>
  <si>
    <r>
      <t>* Steven Wilson -</t>
    </r>
    <r>
      <rPr>
        <b/>
        <sz val="10"/>
        <color rgb="FFE8D4C2"/>
        <rFont val="Aptos Narrow"/>
        <family val="2"/>
        <scheme val="minor"/>
      </rPr>
      <t xml:space="preserve"> The Raven That Refused to Sing (and Other Stories)</t>
    </r>
  </si>
  <si>
    <t>Luminol</t>
  </si>
  <si>
    <t>Drive Home</t>
  </si>
  <si>
    <t>The Holy Drinker</t>
  </si>
  <si>
    <t>The Pin Drop</t>
  </si>
  <si>
    <t>The Watchmaker</t>
  </si>
  <si>
    <t>The Raven That Refused to Sing</t>
  </si>
  <si>
    <t>Steven Wilson</t>
  </si>
  <si>
    <t>The Raven That Refused to Sing (and Other Stories)</t>
  </si>
  <si>
    <t>3rd EYE SCORE *</t>
  </si>
  <si>
    <t>We Are Torn Wide Open</t>
  </si>
  <si>
    <t>Mirror Deep</t>
  </si>
  <si>
    <t>First Red Rays</t>
  </si>
  <si>
    <t>Blind</t>
  </si>
  <si>
    <t>Seething and Scattered</t>
  </si>
  <si>
    <t>Untethered</t>
  </si>
  <si>
    <t>In the Waiting Hours</t>
  </si>
  <si>
    <t>Last Night</t>
  </si>
  <si>
    <t>Neurosis</t>
  </si>
  <si>
    <t>An Undying Love for a Burning World</t>
  </si>
  <si>
    <t>atmospheric sludge metal</t>
  </si>
  <si>
    <r>
      <t xml:space="preserve">* Black Sabbath - </t>
    </r>
    <r>
      <rPr>
        <b/>
        <sz val="14"/>
        <color rgb="FFFD698C"/>
        <rFont val="Aptos Narrow"/>
        <family val="2"/>
        <scheme val="minor"/>
      </rPr>
      <t>Paranoid</t>
    </r>
  </si>
  <si>
    <t>War Pigs</t>
  </si>
  <si>
    <t>Paranoid</t>
  </si>
  <si>
    <t>Planet Caravan</t>
  </si>
  <si>
    <t>Iron Man</t>
  </si>
  <si>
    <t>Electric Funeral</t>
  </si>
  <si>
    <t>Hand of Doom</t>
  </si>
  <si>
    <t>Rat Salad</t>
  </si>
  <si>
    <t>Fairies Wear Boots</t>
  </si>
  <si>
    <t>Black Sabbath</t>
  </si>
  <si>
    <t>heavy metal, hard rock</t>
  </si>
  <si>
    <r>
      <t xml:space="preserve">* The Notorious B.I.G. - </t>
    </r>
    <r>
      <rPr>
        <b/>
        <sz val="12"/>
        <color rgb="FFFF0000"/>
        <rFont val="Aptos Narrow"/>
        <family val="2"/>
        <scheme val="minor"/>
      </rPr>
      <t>Ready to Die</t>
    </r>
  </si>
  <si>
    <t>Things Done Changed</t>
  </si>
  <si>
    <t>Gimmie the Loot</t>
  </si>
  <si>
    <t>Machine Gun Funk</t>
  </si>
  <si>
    <t>Warning</t>
  </si>
  <si>
    <t>Ready to Die</t>
  </si>
  <si>
    <t>One More Chance</t>
  </si>
  <si>
    <t>Fuck Me (Interlude)</t>
  </si>
  <si>
    <t>The What</t>
  </si>
  <si>
    <t>Juicy</t>
  </si>
  <si>
    <t>Everyday Struggle</t>
  </si>
  <si>
    <t>Me and My Bitch</t>
  </si>
  <si>
    <t>Big Poppa</t>
  </si>
  <si>
    <t>Respect</t>
  </si>
  <si>
    <t>Friend of Mine</t>
  </si>
  <si>
    <t>Unbelievable</t>
  </si>
  <si>
    <t>Suicidal Thoughts</t>
  </si>
  <si>
    <t>Who Shot Ya?</t>
  </si>
  <si>
    <t>Just Playing (Dreams)</t>
  </si>
  <si>
    <t>The Notorious B.I.G.</t>
  </si>
  <si>
    <t>hard rock</t>
  </si>
  <si>
    <t>gangsta rap, boom bap</t>
  </si>
  <si>
    <r>
      <rPr>
        <sz val="14"/>
        <color rgb="FFD50000"/>
        <rFont val="Aptos Narrow"/>
        <family val="2"/>
        <scheme val="minor"/>
      </rPr>
      <t>* TOOL</t>
    </r>
    <r>
      <rPr>
        <b/>
        <sz val="14"/>
        <color rgb="FFD50000"/>
        <rFont val="Aptos Narrow"/>
        <family val="2"/>
        <scheme val="minor"/>
      </rPr>
      <t xml:space="preserve"> - Undertow</t>
    </r>
  </si>
  <si>
    <r>
      <t xml:space="preserve">* C418 - </t>
    </r>
    <r>
      <rPr>
        <b/>
        <sz val="12"/>
        <color rgb="FFFD5E1F"/>
        <rFont val="Aptos Narrow"/>
        <family val="2"/>
        <scheme val="minor"/>
      </rPr>
      <t>Minecraft Volume Beta [OST]</t>
    </r>
  </si>
  <si>
    <t>Ki</t>
  </si>
  <si>
    <t>Alpha</t>
  </si>
  <si>
    <t>Dead Voxel</t>
  </si>
  <si>
    <t>Blind Spots</t>
  </si>
  <si>
    <t>Flake</t>
  </si>
  <si>
    <t>Moog City 2</t>
  </si>
  <si>
    <t>Concrete Halls</t>
  </si>
  <si>
    <t>Biome Fest</t>
  </si>
  <si>
    <t>Mutation</t>
  </si>
  <si>
    <t>Haunt Muskie</t>
  </si>
  <si>
    <t>Warmth</t>
  </si>
  <si>
    <t>Floating Trees</t>
  </si>
  <si>
    <t>Aria Math</t>
  </si>
  <si>
    <t>Kyoto</t>
  </si>
  <si>
    <t>Ballad of the Cats</t>
  </si>
  <si>
    <t>Taswell</t>
  </si>
  <si>
    <t>Beginning 2</t>
  </si>
  <si>
    <t>Dreiton</t>
  </si>
  <si>
    <t>The End</t>
  </si>
  <si>
    <t>Chirp</t>
  </si>
  <si>
    <t>Wait</t>
  </si>
  <si>
    <t>Mellohi</t>
  </si>
  <si>
    <t>Stal</t>
  </si>
  <si>
    <t>Strad</t>
  </si>
  <si>
    <t>Eleven</t>
  </si>
  <si>
    <t>Ward</t>
  </si>
  <si>
    <t>Mall</t>
  </si>
  <si>
    <t>Blocks</t>
  </si>
  <si>
    <t>Far</t>
  </si>
  <si>
    <t>Minecraft Volume Beta [OST]</t>
  </si>
  <si>
    <t>gangsta rap</t>
  </si>
  <si>
    <t>2h 20m</t>
  </si>
  <si>
    <t>Immigrant Song</t>
  </si>
  <si>
    <t>Friends</t>
  </si>
  <si>
    <t>Celebration Day</t>
  </si>
  <si>
    <t>Since I've Been Loving You</t>
  </si>
  <si>
    <t>Out on the Tiles</t>
  </si>
  <si>
    <t>Gallows Pole</t>
  </si>
  <si>
    <t>Tangerine</t>
  </si>
  <si>
    <t>That's the Way</t>
  </si>
  <si>
    <t>Bron-Y-Aur Stomp</t>
  </si>
  <si>
    <t>Hats off To (Roy) Harper</t>
  </si>
  <si>
    <t>Led Zeppelin III</t>
  </si>
  <si>
    <t>2011 - 2013</t>
  </si>
  <si>
    <t>1h 39m</t>
  </si>
  <si>
    <t>folk rock, hard rock</t>
  </si>
  <si>
    <t>folk rock</t>
  </si>
  <si>
    <r>
      <t>* Iron Maiden -</t>
    </r>
    <r>
      <rPr>
        <b/>
        <sz val="11"/>
        <color rgb="FFC00000"/>
        <rFont val="Aptos Narrow"/>
        <family val="2"/>
        <scheme val="minor"/>
      </rPr>
      <t xml:space="preserve"> Seventh Son of a Seventh Son</t>
    </r>
  </si>
  <si>
    <t>Infinite Dreams</t>
  </si>
  <si>
    <t>Can I Play with Madness</t>
  </si>
  <si>
    <t>The Evil Than Men Do</t>
  </si>
  <si>
    <t>Seventh Son of a Seventh Son</t>
  </si>
  <si>
    <t>The Prophecy</t>
  </si>
  <si>
    <t>The Clairvoyant</t>
  </si>
  <si>
    <t>Only the Good Die Young</t>
  </si>
  <si>
    <t>Fecha de review</t>
  </si>
  <si>
    <t>1982 - 1988</t>
  </si>
  <si>
    <t>10/04/2026</t>
  </si>
  <si>
    <t>09/04/2026</t>
  </si>
  <si>
    <t>08/04/2026</t>
  </si>
  <si>
    <t>07/04/2026</t>
  </si>
  <si>
    <t>06/04/2026</t>
  </si>
  <si>
    <t>01/04/2026</t>
  </si>
  <si>
    <t>31/03/2026</t>
  </si>
  <si>
    <t>30/03/2026</t>
  </si>
  <si>
    <t>29/03/2026</t>
  </si>
  <si>
    <t>27/03/2026</t>
  </si>
  <si>
    <t>26/03/2026</t>
  </si>
  <si>
    <t>25/03/2026</t>
  </si>
  <si>
    <t>23/03/2026</t>
  </si>
  <si>
    <t>22/03/2026</t>
  </si>
  <si>
    <t>20/03/2026</t>
  </si>
  <si>
    <t>19/03/2026</t>
  </si>
  <si>
    <t>18/03/2026</t>
  </si>
  <si>
    <t>17/03/2026</t>
  </si>
  <si>
    <t>16/03/2026</t>
  </si>
  <si>
    <t>15/03/2026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</si>
  <si>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</si>
  <si>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</si>
  <si>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</si>
  <si>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</si>
  <si>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</si>
  <si>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</si>
  <si>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</si>
  <si>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</si>
  <si>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</si>
  <si>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</si>
  <si>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</si>
  <si>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</si>
  <si>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</si>
  <si>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</si>
  <si>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</si>
  <si>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</si>
  <si>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</si>
  <si>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</si>
  <si>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</si>
  <si>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20/02/2026</t>
  </si>
  <si>
    <t>19/02/2026</t>
  </si>
  <si>
    <t>18/02/2026</t>
  </si>
  <si>
    <t>17/02/2026</t>
  </si>
  <si>
    <t>16/02/2026</t>
  </si>
  <si>
    <t>15/02/2026</t>
  </si>
  <si>
    <t>13/02/2026</t>
  </si>
  <si>
    <t>12/02/2026</t>
  </si>
  <si>
    <t>11/02/2026</t>
  </si>
  <si>
    <t>10/02/2026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</si>
  <si>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</si>
  <si>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</si>
  <si>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</si>
  <si>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</si>
  <si>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</si>
  <si>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</si>
  <si>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</si>
  <si>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</si>
  <si>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</si>
  <si>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</si>
  <si>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</si>
  <si>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</si>
  <si>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</si>
  <si>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</si>
  <si>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</si>
  <si>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</si>
  <si>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</si>
  <si>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</si>
  <si>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</si>
  <si>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-</t>
  </si>
  <si>
    <r>
      <t xml:space="preserve">* Edge of Sanity - </t>
    </r>
    <r>
      <rPr>
        <b/>
        <sz val="14"/>
        <color rgb="FFFF0066"/>
        <rFont val="Aptos Narrow"/>
        <family val="2"/>
        <scheme val="minor"/>
      </rPr>
      <t>Crimson</t>
    </r>
  </si>
  <si>
    <r>
      <t xml:space="preserve">* Led Zeppelin - </t>
    </r>
    <r>
      <rPr>
        <b/>
        <sz val="14"/>
        <color theme="1"/>
        <rFont val="Aptos Narrow"/>
        <family val="2"/>
        <scheme val="minor"/>
      </rPr>
      <t>Led Zeppelin III</t>
    </r>
  </si>
  <si>
    <t>Crimson, Pt. 1</t>
  </si>
  <si>
    <t>Crimson, Pt. 2</t>
  </si>
  <si>
    <t>Crimson, Pt. 3</t>
  </si>
  <si>
    <t>Crimson, Pt. 4</t>
  </si>
  <si>
    <t>Crimson, Pt. 5</t>
  </si>
  <si>
    <t>Crimson, Pt. 6</t>
  </si>
  <si>
    <t>Crimson, Pt. 7</t>
  </si>
  <si>
    <t>Crimson, Pt. 8</t>
  </si>
  <si>
    <t>Edge of Sanity</t>
  </si>
  <si>
    <t>Crimson</t>
  </si>
  <si>
    <t>melodic death metal</t>
  </si>
  <si>
    <r>
      <t>* Magdalena Bay -</t>
    </r>
    <r>
      <rPr>
        <b/>
        <sz val="14"/>
        <color theme="0"/>
        <rFont val="Aptos Narrow"/>
        <family val="2"/>
        <scheme val="minor"/>
      </rPr>
      <t xml:space="preserve"> Imaginal Disk</t>
    </r>
  </si>
  <si>
    <t>She Looked Like Me!</t>
  </si>
  <si>
    <t>Killing Time</t>
  </si>
  <si>
    <t>True Blue Interlude</t>
  </si>
  <si>
    <t>Image</t>
  </si>
  <si>
    <t>Death &amp; Romance</t>
  </si>
  <si>
    <t>Fear, Sex</t>
  </si>
  <si>
    <t>Vampire in the Corner</t>
  </si>
  <si>
    <t>Watching T.V.</t>
  </si>
  <si>
    <t>Tunnel Vision</t>
  </si>
  <si>
    <t>Love Is Everywhere</t>
  </si>
  <si>
    <t>Feeling DiskInserted?</t>
  </si>
  <si>
    <t>That's My Floor</t>
  </si>
  <si>
    <t>Cry for Me</t>
  </si>
  <si>
    <t>Angel on a Satellite</t>
  </si>
  <si>
    <t>The Ballad of Matt &amp; Mica</t>
  </si>
  <si>
    <t>Magdalena Bay</t>
  </si>
  <si>
    <t>Imaginal Disk</t>
  </si>
  <si>
    <t>13/04/2026</t>
  </si>
  <si>
    <r>
      <t xml:space="preserve">* Soda Stereo - </t>
    </r>
    <r>
      <rPr>
        <b/>
        <sz val="14"/>
        <color rgb="FF360000"/>
        <rFont val="Aptos Narrow"/>
        <family val="2"/>
        <scheme val="minor"/>
      </rPr>
      <t>Dynamo</t>
    </r>
  </si>
  <si>
    <t>Secuencia Inicial</t>
  </si>
  <si>
    <t>Toma La Ruta</t>
  </si>
  <si>
    <t>En Remolinos</t>
  </si>
  <si>
    <t>Primavera 0</t>
  </si>
  <si>
    <t>Camaleón</t>
  </si>
  <si>
    <t>Luna Roja</t>
  </si>
  <si>
    <t>Sweet Sahumerio</t>
  </si>
  <si>
    <t>Ameba</t>
  </si>
  <si>
    <t>Nuestra Fe</t>
  </si>
  <si>
    <t>Claroscuro</t>
  </si>
  <si>
    <t>Fue</t>
  </si>
  <si>
    <t>Texturas</t>
  </si>
  <si>
    <t>Soda Stereo</t>
  </si>
  <si>
    <t>Dynamo</t>
  </si>
  <si>
    <t>neo Psychedelia</t>
  </si>
  <si>
    <t>synthpop</t>
  </si>
  <si>
    <t>shoegaze, alternative rock</t>
  </si>
  <si>
    <t>Excursions</t>
  </si>
  <si>
    <t>Buggin' Out</t>
  </si>
  <si>
    <t>Rap Promoter</t>
  </si>
  <si>
    <t>Butter</t>
  </si>
  <si>
    <t>Verses from the Abstract</t>
  </si>
  <si>
    <t>Show Business</t>
  </si>
  <si>
    <t>Vibes and Stuff</t>
  </si>
  <si>
    <t>Infamous Date Rape</t>
  </si>
  <si>
    <t>Check the Rhime</t>
  </si>
  <si>
    <t>Everything Is Fair</t>
  </si>
  <si>
    <t>Jazz (We've Got)</t>
  </si>
  <si>
    <t>Skypager</t>
  </si>
  <si>
    <t>What?</t>
  </si>
  <si>
    <t>Scenario</t>
  </si>
  <si>
    <r>
      <t>* A Tribe Called Quest -</t>
    </r>
    <r>
      <rPr>
        <b/>
        <sz val="11"/>
        <color rgb="FF00CC99"/>
        <rFont val="Aptos Narrow"/>
        <family val="2"/>
        <scheme val="minor"/>
      </rPr>
      <t xml:space="preserve"> The Low End Theory</t>
    </r>
  </si>
  <si>
    <t>A Tribe Called Quest</t>
  </si>
  <si>
    <t>The Low End Theory</t>
  </si>
  <si>
    <t>jazz rap, conscious hip hop</t>
  </si>
  <si>
    <r>
      <rPr>
        <sz val="14"/>
        <color theme="1"/>
        <rFont val="Aptos Narrow"/>
        <family val="2"/>
        <scheme val="minor"/>
      </rPr>
      <t xml:space="preserve">* TOOL </t>
    </r>
    <r>
      <rPr>
        <b/>
        <sz val="14"/>
        <color theme="1"/>
        <rFont val="Aptos Narrow"/>
        <family val="2"/>
        <scheme val="minor"/>
      </rPr>
      <t>- 10,000 Days</t>
    </r>
  </si>
  <si>
    <r>
      <t xml:space="preserve">* Nujabes - </t>
    </r>
    <r>
      <rPr>
        <b/>
        <sz val="14"/>
        <color rgb="FF61D59E"/>
        <rFont val="Aptos Narrow"/>
        <family val="2"/>
        <scheme val="minor"/>
      </rPr>
      <t>Metaphorical Music</t>
    </r>
  </si>
  <si>
    <t>Blessing It -remix</t>
  </si>
  <si>
    <t>Horn in the middle</t>
  </si>
  <si>
    <t>Lady Brown</t>
  </si>
  <si>
    <t>Kunomi</t>
  </si>
  <si>
    <t>Highs 2 Lows</t>
  </si>
  <si>
    <t>Beat laments the world</t>
  </si>
  <si>
    <t>Letter from Yokosuka</t>
  </si>
  <si>
    <t>Think Different</t>
  </si>
  <si>
    <t>A day by atmosphere supreme</t>
  </si>
  <si>
    <t>Next view</t>
  </si>
  <si>
    <t>Latitude -remix</t>
  </si>
  <si>
    <t>F.I.LO.</t>
  </si>
  <si>
    <t>Summer Gypsy</t>
  </si>
  <si>
    <t>The Final View</t>
  </si>
  <si>
    <t>Peaceland</t>
  </si>
  <si>
    <t>14/04/2026</t>
  </si>
  <si>
    <t>Metaphorical Music</t>
  </si>
  <si>
    <t>15/04/2026</t>
  </si>
  <si>
    <r>
      <t xml:space="preserve">* Metallica - </t>
    </r>
    <r>
      <rPr>
        <b/>
        <sz val="14"/>
        <color rgb="FFFF0000"/>
        <rFont val="Aptos Narrow"/>
        <family val="2"/>
        <scheme val="minor"/>
      </rPr>
      <t>Kill 'Em All</t>
    </r>
  </si>
  <si>
    <t>Hit The Lights</t>
  </si>
  <si>
    <t>The Four Horsemen</t>
  </si>
  <si>
    <t>Motorbreath</t>
  </si>
  <si>
    <t>Jump In The Fire</t>
  </si>
  <si>
    <t>(Anesthesia) Pulling Teeth</t>
  </si>
  <si>
    <t>Whiplash</t>
  </si>
  <si>
    <t>Phantom Lord</t>
  </si>
  <si>
    <t>No Remorse</t>
  </si>
  <si>
    <t>Seek &amp; Destroy</t>
  </si>
  <si>
    <t>Metal Militia</t>
  </si>
  <si>
    <t>Kill 'Em All</t>
  </si>
  <si>
    <t>2003 - 2005</t>
  </si>
  <si>
    <t>1983 - 2021</t>
  </si>
  <si>
    <t>The Rain</t>
  </si>
  <si>
    <t>Destiny</t>
  </si>
  <si>
    <t>Lay Down</t>
  </si>
  <si>
    <t>Smoking Gun</t>
  </si>
  <si>
    <t>Happy Song</t>
  </si>
  <si>
    <t>Reach Out</t>
  </si>
  <si>
    <t>8:30 p.m.</t>
  </si>
  <si>
    <t>Fly Today</t>
  </si>
  <si>
    <t>Tryna Get By</t>
  </si>
  <si>
    <t>Let My Love Shine</t>
  </si>
  <si>
    <r>
      <t xml:space="preserve">* Cabin Beat - </t>
    </r>
    <r>
      <rPr>
        <b/>
        <sz val="14"/>
        <color rgb="FF533F01"/>
        <rFont val="Aptos Narrow"/>
        <family val="2"/>
        <scheme val="minor"/>
      </rPr>
      <t>Busy Being Born</t>
    </r>
  </si>
  <si>
    <t>Cabin Beat</t>
  </si>
  <si>
    <t>Busy Being Born</t>
  </si>
  <si>
    <r>
      <t xml:space="preserve">* Opeth - </t>
    </r>
    <r>
      <rPr>
        <b/>
        <sz val="14"/>
        <color rgb="FF8DF735"/>
        <rFont val="Aptos Narrow"/>
        <family val="2"/>
        <scheme val="minor"/>
      </rPr>
      <t>Watershed</t>
    </r>
  </si>
  <si>
    <t>Coil</t>
  </si>
  <si>
    <t>Heir Apparent</t>
  </si>
  <si>
    <t>The Lotus Eater</t>
  </si>
  <si>
    <t>Burden</t>
  </si>
  <si>
    <t>Porcelain Heart</t>
  </si>
  <si>
    <t>Hessian Peel</t>
  </si>
  <si>
    <t>Hex Omega</t>
  </si>
  <si>
    <t>Watershed</t>
  </si>
  <si>
    <r>
      <t xml:space="preserve">* The Beatles - </t>
    </r>
    <r>
      <rPr>
        <b/>
        <sz val="14"/>
        <color rgb="FF002060"/>
        <rFont val="Aptos Narrow"/>
        <family val="2"/>
        <scheme val="minor"/>
      </rPr>
      <t>Abbey Road</t>
    </r>
  </si>
  <si>
    <t>Come Together</t>
  </si>
  <si>
    <t>Something</t>
  </si>
  <si>
    <t>Maxwell's Silver Hammer</t>
  </si>
  <si>
    <t>Oh! Darling</t>
  </si>
  <si>
    <t>Octopus's Garden</t>
  </si>
  <si>
    <t>I Want You (She's So Heavy)</t>
  </si>
  <si>
    <t>Here Comes The Sun</t>
  </si>
  <si>
    <t>Because</t>
  </si>
  <si>
    <t>You Never Give Me Your Money</t>
  </si>
  <si>
    <t>Sun King</t>
  </si>
  <si>
    <t>Mean Mr Mustard</t>
  </si>
  <si>
    <t>Polythene Pam</t>
  </si>
  <si>
    <t>She Came In Through The Bathroom Window</t>
  </si>
  <si>
    <t>Golden Slumbers</t>
  </si>
  <si>
    <t>Carry The Weight</t>
  </si>
  <si>
    <t>Her Majesty</t>
  </si>
  <si>
    <t>The Beatles</t>
  </si>
  <si>
    <t>Abbey Road</t>
  </si>
  <si>
    <t>16/04/2026</t>
  </si>
  <si>
    <r>
      <t xml:space="preserve">* Caspian - </t>
    </r>
    <r>
      <rPr>
        <b/>
        <sz val="14"/>
        <color rgb="FFD0CAC2"/>
        <rFont val="Aptos Narrow"/>
        <family val="2"/>
        <scheme val="minor"/>
      </rPr>
      <t>Dust and Disquiet</t>
    </r>
  </si>
  <si>
    <t>Separation No. 2</t>
  </si>
  <si>
    <t>Rioseco</t>
  </si>
  <si>
    <t>Arcs of Command</t>
  </si>
  <si>
    <t>Echo and Abyss</t>
  </si>
  <si>
    <t>Run Dry</t>
  </si>
  <si>
    <t>Equal Night</t>
  </si>
  <si>
    <t>Sad Heart of Mine</t>
  </si>
  <si>
    <t>Darkfield</t>
  </si>
  <si>
    <t>Aetenum Vale</t>
  </si>
  <si>
    <t>Dust and Disquiet</t>
  </si>
  <si>
    <t>Caspian</t>
  </si>
  <si>
    <t>post rock, post metal</t>
  </si>
  <si>
    <t>17/04/2026</t>
  </si>
  <si>
    <r>
      <t>* Supertramp -</t>
    </r>
    <r>
      <rPr>
        <b/>
        <sz val="10"/>
        <color theme="1"/>
        <rFont val="Aptos Narrow"/>
        <family val="2"/>
        <scheme val="minor"/>
      </rPr>
      <t xml:space="preserve"> Even In The Quietest Moments...</t>
    </r>
  </si>
  <si>
    <t>Give A Little Bit</t>
  </si>
  <si>
    <t>Lover Boy</t>
  </si>
  <si>
    <t>Even In The Quietest Moments</t>
  </si>
  <si>
    <t>Downstream</t>
  </si>
  <si>
    <t>Babaji</t>
  </si>
  <si>
    <t>From Now On</t>
  </si>
  <si>
    <t>Fool's Overture</t>
  </si>
  <si>
    <t>Even In The Quietest Moments...</t>
  </si>
  <si>
    <t>20/04/2026</t>
  </si>
  <si>
    <t>1977 - 1979</t>
  </si>
  <si>
    <r>
      <t xml:space="preserve">* Linkin Park - </t>
    </r>
    <r>
      <rPr>
        <b/>
        <sz val="14"/>
        <color theme="1"/>
        <rFont val="Aptos Narrow"/>
        <family val="2"/>
        <scheme val="minor"/>
      </rPr>
      <t>Meteora</t>
    </r>
  </si>
  <si>
    <t>Foreword</t>
  </si>
  <si>
    <t>Don't Stay</t>
  </si>
  <si>
    <t>Somewhere I Belong</t>
  </si>
  <si>
    <t>Lying from You</t>
  </si>
  <si>
    <t>Hit the Floor</t>
  </si>
  <si>
    <t>Easier to Run</t>
  </si>
  <si>
    <t>Faint</t>
  </si>
  <si>
    <t>Figure.09</t>
  </si>
  <si>
    <t>Breaking the Habit</t>
  </si>
  <si>
    <t>From the Inside</t>
  </si>
  <si>
    <t>Nobody's Listening</t>
  </si>
  <si>
    <t>Session</t>
  </si>
  <si>
    <t>Meteora</t>
  </si>
  <si>
    <r>
      <t xml:space="preserve">* Lady Twostar - </t>
    </r>
    <r>
      <rPr>
        <b/>
        <sz val="14"/>
        <color theme="8" tint="0.39997558519241921"/>
        <rFont val="Aptos Narrow"/>
        <family val="2"/>
        <scheme val="minor"/>
      </rPr>
      <t>The Great Plains</t>
    </r>
  </si>
  <si>
    <t>Fortunes Found</t>
  </si>
  <si>
    <t>Muddy Water</t>
  </si>
  <si>
    <t>Abattoir</t>
  </si>
  <si>
    <t>Paint it Gold</t>
  </si>
  <si>
    <t>Remembered My Lines</t>
  </si>
  <si>
    <r>
      <t xml:space="preserve">* Depeche Mode - </t>
    </r>
    <r>
      <rPr>
        <b/>
        <sz val="14"/>
        <color rgb="FFC00000"/>
        <rFont val="Aptos Narrow"/>
        <family val="2"/>
        <scheme val="minor"/>
      </rPr>
      <t>Violator</t>
    </r>
  </si>
  <si>
    <t>World In My Eyes</t>
  </si>
  <si>
    <t>Sweetest Perfection</t>
  </si>
  <si>
    <t>Personal Jesus</t>
  </si>
  <si>
    <t>Waiting for the Night</t>
  </si>
  <si>
    <t>Enjoy the Silence</t>
  </si>
  <si>
    <t>Policy of Truth</t>
  </si>
  <si>
    <t>Blue Dress</t>
  </si>
  <si>
    <t>Clean</t>
  </si>
  <si>
    <t>Depeche Mode</t>
  </si>
  <si>
    <t>Violator</t>
  </si>
  <si>
    <t>Lady Twostar</t>
  </si>
  <si>
    <t>The Great Plains</t>
  </si>
  <si>
    <t>22/04/2026</t>
  </si>
  <si>
    <r>
      <t xml:space="preserve">* Jeff Buckley - </t>
    </r>
    <r>
      <rPr>
        <b/>
        <sz val="14"/>
        <color rgb="FFCCECFF"/>
        <rFont val="Aptos Narrow"/>
        <family val="2"/>
        <scheme val="minor"/>
      </rPr>
      <t>Grace</t>
    </r>
  </si>
  <si>
    <t>Mojo Pin</t>
  </si>
  <si>
    <t>Grace</t>
  </si>
  <si>
    <t>Last Goodbye</t>
  </si>
  <si>
    <t>Lilac Wine</t>
  </si>
  <si>
    <t>So Real</t>
  </si>
  <si>
    <t>Hallelujah</t>
  </si>
  <si>
    <t>Lover, You Should've Come Over</t>
  </si>
  <si>
    <t>Corpus Christi Carol</t>
  </si>
  <si>
    <t>Eternal Life</t>
  </si>
  <si>
    <t>Dream Brother</t>
  </si>
  <si>
    <t>Forget Her</t>
  </si>
  <si>
    <t>Jeff Buckley</t>
  </si>
  <si>
    <t>alternative rock, singer songwriter</t>
  </si>
  <si>
    <t>23/04/2026</t>
  </si>
  <si>
    <t>2000 - 2003</t>
  </si>
  <si>
    <t>singer songwriter</t>
  </si>
  <si>
    <t>Oh! Tengo suerte</t>
  </si>
  <si>
    <t>トーキョー　レギー</t>
  </si>
  <si>
    <t>蜃気楼の島へ</t>
  </si>
  <si>
    <t>憧れのセーシェル諸島</t>
  </si>
  <si>
    <t>Funkee Mah-Chan</t>
  </si>
  <si>
    <t>サヨナラ・・・・・・Fujiさん</t>
  </si>
  <si>
    <t>バードアイランド急行</t>
  </si>
  <si>
    <t>Tropic Birds</t>
  </si>
  <si>
    <r>
      <t xml:space="preserve">* Masayoshi Takanaka - </t>
    </r>
    <r>
      <rPr>
        <b/>
        <sz val="13"/>
        <color rgb="FF584F42"/>
        <rFont val="Aptos Narrow"/>
        <family val="2"/>
        <scheme val="minor"/>
      </rPr>
      <t>SEYCHELLES</t>
    </r>
  </si>
  <si>
    <t>Masayoshi Takanaka</t>
  </si>
  <si>
    <t>SEYCHELLES</t>
  </si>
  <si>
    <t>jazz fusion, city pop</t>
  </si>
  <si>
    <t>24/04/2026</t>
  </si>
  <si>
    <t>Third Eye (Live)</t>
  </si>
  <si>
    <t>Part of Me (Live)</t>
  </si>
  <si>
    <t>Message to Harry Manback II</t>
  </si>
  <si>
    <t>You Lied (Live)</t>
  </si>
  <si>
    <t>Merkaba (Live)</t>
  </si>
  <si>
    <t>No Quarter</t>
  </si>
  <si>
    <t>Pushit (Live)</t>
  </si>
  <si>
    <t>L.A.M.C.</t>
  </si>
  <si>
    <t>jazz fusion</t>
  </si>
  <si>
    <t>city pop</t>
  </si>
  <si>
    <r>
      <t xml:space="preserve">* Death - </t>
    </r>
    <r>
      <rPr>
        <b/>
        <sz val="13"/>
        <color rgb="FF3A0000"/>
        <rFont val="Aptos Narrow"/>
        <scheme val="minor"/>
      </rPr>
      <t>The Sound of Perseverance</t>
    </r>
  </si>
  <si>
    <t>Scavanger of Human Sorrow</t>
  </si>
  <si>
    <t>Bite the Pain</t>
  </si>
  <si>
    <t>Spirit Crusher</t>
  </si>
  <si>
    <t>Story to Tell</t>
  </si>
  <si>
    <t>Flesh and the Power It Holds</t>
  </si>
  <si>
    <t>Voice of the Soul</t>
  </si>
  <si>
    <t>To Forgive is to Suffer</t>
  </si>
  <si>
    <t>A Moment of Clarity</t>
  </si>
  <si>
    <t>Painkiller</t>
  </si>
  <si>
    <r>
      <t xml:space="preserve">* Yes - </t>
    </r>
    <r>
      <rPr>
        <b/>
        <sz val="14"/>
        <color rgb="FFBCDE85"/>
        <rFont val="Aptos Narrow"/>
        <scheme val="minor"/>
      </rPr>
      <t>Close to the Edge</t>
    </r>
  </si>
  <si>
    <t>Close to the Edge</t>
  </si>
  <si>
    <t>Siberian Khatru</t>
  </si>
  <si>
    <r>
      <t xml:space="preserve">* Opeth - </t>
    </r>
    <r>
      <rPr>
        <b/>
        <sz val="14"/>
        <color rgb="FF002060"/>
        <rFont val="Aptos Narrow"/>
        <family val="2"/>
        <scheme val="minor"/>
      </rPr>
      <t>Sorceress</t>
    </r>
  </si>
  <si>
    <t>Persephone</t>
  </si>
  <si>
    <t>Sorceress</t>
  </si>
  <si>
    <t>The Wilde Flowers</t>
  </si>
  <si>
    <t>Will O the Wisp</t>
  </si>
  <si>
    <t>Chrysalis</t>
  </si>
  <si>
    <t>Sorceress 2</t>
  </si>
  <si>
    <t>The Seventh Sojurn</t>
  </si>
  <si>
    <t>Strange Brew</t>
  </si>
  <si>
    <t>A Fleeting Glance</t>
  </si>
  <si>
    <t>Era</t>
  </si>
  <si>
    <t>Persephone (Slight Return)</t>
  </si>
  <si>
    <t>The Sound of Perseverance</t>
  </si>
  <si>
    <t>Yes</t>
  </si>
  <si>
    <r>
      <t xml:space="preserve">* Arctic Monkeys - </t>
    </r>
    <r>
      <rPr>
        <b/>
        <sz val="14"/>
        <color theme="0"/>
        <rFont val="Aptos Narrow"/>
        <family val="2"/>
        <scheme val="minor"/>
      </rPr>
      <t>AM</t>
    </r>
  </si>
  <si>
    <t>Do I Wanna Know?</t>
  </si>
  <si>
    <t>R U Mine?</t>
  </si>
  <si>
    <t>One For The Road</t>
  </si>
  <si>
    <t>Arabella</t>
  </si>
  <si>
    <t>I Want It All</t>
  </si>
  <si>
    <t>No. 1 Party Anthem</t>
  </si>
  <si>
    <t>Mad Sounds</t>
  </si>
  <si>
    <t>Fireside</t>
  </si>
  <si>
    <t>Why'd You Only Call Me When You're High?</t>
  </si>
  <si>
    <t>Snap Out Of It</t>
  </si>
  <si>
    <t>Knee Socks</t>
  </si>
  <si>
    <t>I Wanna Be Yours</t>
  </si>
  <si>
    <t>Arctic Monkeys</t>
  </si>
  <si>
    <t>AM</t>
  </si>
  <si>
    <t>26/04/2026</t>
  </si>
  <si>
    <t>25/04/2026</t>
  </si>
  <si>
    <t>27/04/2026</t>
  </si>
  <si>
    <t>pop rock, indie rock</t>
  </si>
  <si>
    <r>
      <t xml:space="preserve">* The Beatles - </t>
    </r>
    <r>
      <rPr>
        <b/>
        <sz val="9.5"/>
        <color rgb="FFFF6699"/>
        <rFont val="Aptos Narrow"/>
        <family val="2"/>
        <scheme val="minor"/>
      </rPr>
      <t>Sgt. Pepper's Lonely Hearts Club Band</t>
    </r>
  </si>
  <si>
    <t>Sgt. Pepper's Lonely Hearts Club Band</t>
  </si>
  <si>
    <t>With A Little Help From My Friends</t>
  </si>
  <si>
    <t>Lucy In The Sky With Diamonds</t>
  </si>
  <si>
    <t>Getting Better</t>
  </si>
  <si>
    <t>Fixing A Hole</t>
  </si>
  <si>
    <t>She's Leaving Home</t>
  </si>
  <si>
    <t>Being For The Benefit Of Mr. Kite!</t>
  </si>
  <si>
    <t>Within You Without You</t>
  </si>
  <si>
    <t>When I'm Sixty Four</t>
  </si>
  <si>
    <t>Lovely Rita</t>
  </si>
  <si>
    <t>Good Morning Good Morning</t>
  </si>
  <si>
    <t>Sgt. Pepper's Lonely Hearts Club Band - Reprise</t>
  </si>
  <si>
    <t>A Day In The Life</t>
  </si>
  <si>
    <t>psychedelic pop, pop rock</t>
  </si>
  <si>
    <t>28/04/2026</t>
  </si>
  <si>
    <t>psychedelic pop</t>
  </si>
  <si>
    <t>Lightbulb Sun</t>
  </si>
  <si>
    <t>How Is Your Life Today?</t>
  </si>
  <si>
    <t>Four Chords That Made A Million</t>
  </si>
  <si>
    <t>Shesmovedon</t>
  </si>
  <si>
    <t>Last Chance To Evacuate Planet Earth Before It Is Recycled</t>
  </si>
  <si>
    <t>The Rest Will Flow</t>
  </si>
  <si>
    <t>Hatesong</t>
  </si>
  <si>
    <t>Where We Would Be</t>
  </si>
  <si>
    <t>Russia On Ice</t>
  </si>
  <si>
    <t>Feel So Low</t>
  </si>
  <si>
    <r>
      <t xml:space="preserve">* Porcupine Tree - </t>
    </r>
    <r>
      <rPr>
        <b/>
        <sz val="14"/>
        <color rgb="FFFE5002"/>
        <rFont val="Aptos Narrow"/>
        <family val="2"/>
        <scheme val="minor"/>
      </rPr>
      <t>Lightbulb Sun</t>
    </r>
  </si>
  <si>
    <t>2000 - 2007</t>
  </si>
  <si>
    <t>post brit pop</t>
  </si>
  <si>
    <r>
      <t xml:space="preserve">* Opeth - </t>
    </r>
    <r>
      <rPr>
        <b/>
        <sz val="14"/>
        <color theme="1" tint="0.499984740745262"/>
        <rFont val="Aptos Narrow"/>
        <family val="2"/>
        <scheme val="minor"/>
      </rPr>
      <t>Deliverance</t>
    </r>
  </si>
  <si>
    <t>Wreath</t>
  </si>
  <si>
    <t>Deliverance</t>
  </si>
  <si>
    <t>A Fair Judgement</t>
  </si>
  <si>
    <t>For Absent Friends</t>
  </si>
  <si>
    <t>Master's Apprentices</t>
  </si>
  <si>
    <t>By the Pain I See in Others</t>
  </si>
  <si>
    <t>29/04/2026</t>
  </si>
  <si>
    <t>Robot Rock / Oh Yeah</t>
  </si>
  <si>
    <t>Touch It / Technologic</t>
  </si>
  <si>
    <t>Television Rules the Nation / Crescendolls</t>
  </si>
  <si>
    <t>Too Long / Steam Machine</t>
  </si>
  <si>
    <t>Around the World / Harder, Better, Faster, Stronger</t>
  </si>
  <si>
    <t>Burnin' / Too Long</t>
  </si>
  <si>
    <t>Face to Face / Short Circuit</t>
  </si>
  <si>
    <t>One More Time / Aerodynamic</t>
  </si>
  <si>
    <t>Aerodynamic Beats / Gabrielle, Forget About the World</t>
  </si>
  <si>
    <t>Prime Time of Your Life / Brainwasher / Rollin' &amp; Scratchin' / Alive</t>
  </si>
  <si>
    <t>Da Funk / Daftendirekt</t>
  </si>
  <si>
    <t>Superheroes / Human After All / Rock'n Roll</t>
  </si>
  <si>
    <t>Human After All / Together / One More Time / Music Sounds Better With You</t>
  </si>
  <si>
    <r>
      <t xml:space="preserve">* Daft Punk - </t>
    </r>
    <r>
      <rPr>
        <b/>
        <sz val="14"/>
        <color rgb="FF00B0F0"/>
        <rFont val="Aptos Narrow"/>
        <family val="2"/>
        <scheme val="minor"/>
      </rPr>
      <t>Alive 2007</t>
    </r>
    <r>
      <rPr>
        <sz val="14"/>
        <color rgb="FF00B0F0"/>
        <rFont val="Aptos Narrow"/>
        <family val="2"/>
        <scheme val="minor"/>
      </rPr>
      <t xml:space="preserve"> [LIVE]</t>
    </r>
  </si>
  <si>
    <r>
      <t xml:space="preserve">* TOOL - </t>
    </r>
    <r>
      <rPr>
        <b/>
        <sz val="14"/>
        <color rgb="FFEA7204"/>
        <rFont val="Aptos Narrow"/>
        <family val="2"/>
        <scheme val="minor"/>
      </rPr>
      <t>Salival</t>
    </r>
    <r>
      <rPr>
        <sz val="14"/>
        <color rgb="FFEA7204"/>
        <rFont val="Aptos Narrow"/>
        <family val="2"/>
        <scheme val="minor"/>
      </rPr>
      <t xml:space="preserve"> [LIVE]</t>
    </r>
  </si>
  <si>
    <t>Alive 2007 [LIVE]</t>
  </si>
  <si>
    <t>Salival [LIVE]</t>
  </si>
  <si>
    <t>alternative metal, progressive metal</t>
  </si>
  <si>
    <r>
      <t xml:space="preserve">* Pearl Jam - </t>
    </r>
    <r>
      <rPr>
        <b/>
        <sz val="14"/>
        <color theme="0"/>
        <rFont val="Aptos Narrow"/>
        <family val="2"/>
        <scheme val="minor"/>
      </rPr>
      <t>Ten</t>
    </r>
  </si>
  <si>
    <t>Once</t>
  </si>
  <si>
    <t>Even Flow</t>
  </si>
  <si>
    <t>Why Go</t>
  </si>
  <si>
    <t>Black</t>
  </si>
  <si>
    <t>Jeremy</t>
  </si>
  <si>
    <t>Oceans</t>
  </si>
  <si>
    <t>Porch</t>
  </si>
  <si>
    <t>Garden</t>
  </si>
  <si>
    <t>Deep</t>
  </si>
  <si>
    <t>Release</t>
  </si>
  <si>
    <t>french house, mashup</t>
  </si>
  <si>
    <t>Pearl Jam</t>
  </si>
  <si>
    <t>Ten</t>
  </si>
  <si>
    <t>mashup</t>
  </si>
  <si>
    <t>grunge, alternative rock</t>
  </si>
  <si>
    <t>30/04/2026</t>
  </si>
  <si>
    <r>
      <t>* honeydip -</t>
    </r>
    <r>
      <rPr>
        <b/>
        <sz val="14"/>
        <color rgb="FFFF6600"/>
        <rFont val="Aptos Narrow"/>
        <family val="2"/>
        <scheme val="minor"/>
      </rPr>
      <t xml:space="preserve"> Another Sunny Day</t>
    </r>
  </si>
  <si>
    <t>P.J.</t>
  </si>
  <si>
    <t>Summer's Gone -second season ver-</t>
  </si>
  <si>
    <t>Evening Calm</t>
  </si>
  <si>
    <t>Waiting For The Light</t>
  </si>
  <si>
    <t>d-31</t>
  </si>
  <si>
    <t>Stargazer</t>
  </si>
  <si>
    <r>
      <t>* Aphex Twin -</t>
    </r>
    <r>
      <rPr>
        <b/>
        <sz val="12"/>
        <color theme="5" tint="-0.499984740745262"/>
        <rFont val="Aptos Narrow"/>
        <family val="2"/>
        <scheme val="minor"/>
      </rPr>
      <t xml:space="preserve"> …I Care Because You Do</t>
    </r>
  </si>
  <si>
    <t>Acrid Avid Jam Shred</t>
  </si>
  <si>
    <t>The Waxen Pith</t>
  </si>
  <si>
    <t>Wax The Nip</t>
  </si>
  <si>
    <t>Icct Hedral</t>
  </si>
  <si>
    <t>Ventolin</t>
  </si>
  <si>
    <t>Come On You Slags</t>
  </si>
  <si>
    <t>Start As You Mean To Go On</t>
  </si>
  <si>
    <t>Wet Tip Hen Ax</t>
  </si>
  <si>
    <t>Mookid</t>
  </si>
  <si>
    <t>Alberto Balsalm</t>
  </si>
  <si>
    <t>Cow Cud Is A Twin</t>
  </si>
  <si>
    <t>Next Heap With</t>
  </si>
  <si>
    <t>Sorry I'm Here For Someone Else</t>
  </si>
  <si>
    <t>Mr Electric Blue</t>
  </si>
  <si>
    <t>Man In Me</t>
  </si>
  <si>
    <t>Mystical Magical</t>
  </si>
  <si>
    <t>Reminds Me Of You</t>
  </si>
  <si>
    <t>Momma Song</t>
  </si>
  <si>
    <t>I Wanna Be The One You Call</t>
  </si>
  <si>
    <t>Wanted Man</t>
  </si>
  <si>
    <t>Take Me Home</t>
  </si>
  <si>
    <t>Young American Heart</t>
  </si>
  <si>
    <r>
      <t>* Benson Boone -</t>
    </r>
    <r>
      <rPr>
        <b/>
        <sz val="14"/>
        <color theme="5" tint="0.79998168889431442"/>
        <rFont val="Aptos Narrow"/>
        <family val="2"/>
        <scheme val="minor"/>
      </rPr>
      <t xml:space="preserve"> American Heart</t>
    </r>
  </si>
  <si>
    <t>…I Care Because You Do</t>
  </si>
  <si>
    <t>honeydip</t>
  </si>
  <si>
    <t>Another Sunny Day</t>
  </si>
  <si>
    <t>Benson Boone</t>
  </si>
  <si>
    <t>American Heart</t>
  </si>
  <si>
    <t>shoegaze, space rock revival</t>
  </si>
  <si>
    <t>33m</t>
  </si>
  <si>
    <t>04/05/2026</t>
  </si>
  <si>
    <t>05/05/2026</t>
  </si>
  <si>
    <t>30m</t>
  </si>
  <si>
    <t>space rock revival</t>
  </si>
  <si>
    <r>
      <t xml:space="preserve">* Gorillaz - </t>
    </r>
    <r>
      <rPr>
        <b/>
        <sz val="14"/>
        <color theme="9" tint="-0.249977111117893"/>
        <rFont val="Aptos Narrow"/>
        <family val="2"/>
        <scheme val="minor"/>
      </rPr>
      <t>Gorillaz</t>
    </r>
  </si>
  <si>
    <t>Re-Hash</t>
  </si>
  <si>
    <t>5/4</t>
  </si>
  <si>
    <t>Tomorrow Comes Today</t>
  </si>
  <si>
    <t>New Genius (Brother)</t>
  </si>
  <si>
    <t>Clint Eastwood</t>
  </si>
  <si>
    <t>Man Research (Clapper)</t>
  </si>
  <si>
    <t>Punk</t>
  </si>
  <si>
    <t>Sound Check (Gravity)</t>
  </si>
  <si>
    <t>Double Bass</t>
  </si>
  <si>
    <t>Rock the House</t>
  </si>
  <si>
    <t>19-2000</t>
  </si>
  <si>
    <t>Latin Simone (Que Pasa Contigo)</t>
  </si>
  <si>
    <t>Starshine</t>
  </si>
  <si>
    <t>Slow Country</t>
  </si>
  <si>
    <t>M1 A1</t>
  </si>
  <si>
    <t>Clint Eastwood - Ed Case / Sweetie Irie Refix</t>
  </si>
  <si>
    <t>19-200 -  Soulchild Remix</t>
  </si>
  <si>
    <t>alternative rock, hip hop</t>
  </si>
  <si>
    <t>06/05/2026</t>
  </si>
  <si>
    <r>
      <t xml:space="preserve">* King Crimson - </t>
    </r>
    <r>
      <rPr>
        <b/>
        <sz val="14"/>
        <color rgb="FFA3A3A3"/>
        <rFont val="Aptos Narrow"/>
        <scheme val="minor"/>
      </rPr>
      <t>Discipline</t>
    </r>
  </si>
  <si>
    <t>Elephant Talk</t>
  </si>
  <si>
    <t>Frame By Frame</t>
  </si>
  <si>
    <t>Matte Kudasai</t>
  </si>
  <si>
    <t>Indiscipline</t>
  </si>
  <si>
    <t>Thela Hun Ginjeet</t>
  </si>
  <si>
    <t>The Sheltering Sky</t>
  </si>
  <si>
    <t>Discipline</t>
  </si>
  <si>
    <t>2001 - 2026</t>
  </si>
  <si>
    <r>
      <t>* Godspeed You! Black Emperor -</t>
    </r>
    <r>
      <rPr>
        <b/>
        <sz val="12"/>
        <color rgb="FFABABAB"/>
        <rFont val="Aptos Narrow"/>
        <family val="2"/>
        <scheme val="minor"/>
      </rPr>
      <t xml:space="preserve"> F♯A♯∞</t>
    </r>
  </si>
  <si>
    <t>Dead Flag Blues</t>
  </si>
  <si>
    <t>East Hastings</t>
  </si>
  <si>
    <t>Godspeed You! Black Emperor</t>
  </si>
  <si>
    <t>F♯A♯∞</t>
  </si>
  <si>
    <t>07/05/2026</t>
  </si>
  <si>
    <t>08/05/2026</t>
  </si>
  <si>
    <r>
      <rPr>
        <sz val="11"/>
        <color rgb="FFC00000"/>
        <rFont val="Aptos Narrow"/>
        <scheme val="minor"/>
      </rPr>
      <t>* Godspeed You! Black Emperor</t>
    </r>
    <r>
      <rPr>
        <b/>
        <sz val="11"/>
        <color rgb="FFC00000"/>
        <rFont val="Aptos Narrow"/>
        <scheme val="minor"/>
      </rPr>
      <t xml:space="preserve"> - Lift Yr. Skinny Fists Like Antennas to Heaven!</t>
    </r>
  </si>
  <si>
    <t>1h 27m</t>
  </si>
  <si>
    <r>
      <t xml:space="preserve">* Aphex Twin - </t>
    </r>
    <r>
      <rPr>
        <b/>
        <sz val="14"/>
        <color theme="1" tint="0.34998626667073579"/>
        <rFont val="Aptos Narrow"/>
        <scheme val="minor"/>
      </rPr>
      <t>Come To Daddy</t>
    </r>
  </si>
  <si>
    <t>Come To Daddy</t>
  </si>
  <si>
    <t>Flim</t>
  </si>
  <si>
    <t>Come To Daddy - Little Lord Faulteroy Mix</t>
  </si>
  <si>
    <t xml:space="preserve">Bucephalus Bouncing Ball </t>
  </si>
  <si>
    <t>To Cure A Weakling Child</t>
  </si>
  <si>
    <t>Funny Little Man</t>
  </si>
  <si>
    <t>Come To Daddy - Mummy Mix</t>
  </si>
  <si>
    <t>IZ-US</t>
  </si>
  <si>
    <t>09/05/2026</t>
  </si>
  <si>
    <r>
      <t xml:space="preserve">* Boris - </t>
    </r>
    <r>
      <rPr>
        <b/>
        <sz val="14"/>
        <color theme="0"/>
        <rFont val="Aptos Narrow"/>
        <family val="2"/>
        <scheme val="minor"/>
      </rPr>
      <t>flood</t>
    </r>
  </si>
  <si>
    <t>flood</t>
  </si>
  <si>
    <t>Boris</t>
  </si>
  <si>
    <t>d&amp;b</t>
  </si>
  <si>
    <t>flood I</t>
  </si>
  <si>
    <t>flood II</t>
  </si>
  <si>
    <t>flood III</t>
  </si>
  <si>
    <t>flood IV</t>
  </si>
  <si>
    <r>
      <t xml:space="preserve">* my bloody valentine - </t>
    </r>
    <r>
      <rPr>
        <b/>
        <sz val="14"/>
        <color rgb="FF820041"/>
        <rFont val="Aptos Narrow"/>
        <family val="2"/>
        <scheme val="minor"/>
      </rPr>
      <t>loveless</t>
    </r>
  </si>
  <si>
    <t>only shallow</t>
  </si>
  <si>
    <t>loomer</t>
  </si>
  <si>
    <t>touched</t>
  </si>
  <si>
    <t>to here knows when</t>
  </si>
  <si>
    <t>when you sleep</t>
  </si>
  <si>
    <t>i only said</t>
  </si>
  <si>
    <t xml:space="preserve">come in alone </t>
  </si>
  <si>
    <t>sometimes</t>
  </si>
  <si>
    <t>blown a wish</t>
  </si>
  <si>
    <t>what you want</t>
  </si>
  <si>
    <t>soon</t>
  </si>
  <si>
    <t>Where Do The Children Play?</t>
  </si>
  <si>
    <t>Hard Headed Woman</t>
  </si>
  <si>
    <t>Wild World</t>
  </si>
  <si>
    <t>Sad Lisa</t>
  </si>
  <si>
    <t>Miles From Nowhere</t>
  </si>
  <si>
    <t>But I Might Die Tonight</t>
  </si>
  <si>
    <t>Longer Boats</t>
  </si>
  <si>
    <t>Into White</t>
  </si>
  <si>
    <t>On The Road To Find Out</t>
  </si>
  <si>
    <t>Father And Son</t>
  </si>
  <si>
    <t>Tea For The Tillerman</t>
  </si>
  <si>
    <r>
      <t xml:space="preserve">* Cat Stevens - </t>
    </r>
    <r>
      <rPr>
        <b/>
        <sz val="13"/>
        <color theme="3" tint="0.499984740745262"/>
        <rFont val="Aptos Narrow"/>
        <family val="2"/>
        <scheme val="minor"/>
      </rPr>
      <t>Tea For The Tillerman</t>
    </r>
  </si>
  <si>
    <t>my bloody valentine</t>
  </si>
  <si>
    <t>loveless</t>
  </si>
  <si>
    <t>Cat Stevens</t>
  </si>
  <si>
    <t>singer songwriter, folk pop</t>
  </si>
  <si>
    <t>12/05/2026</t>
  </si>
  <si>
    <t>folk pop</t>
  </si>
  <si>
    <t>post rock, drone</t>
  </si>
  <si>
    <t>1h 10m</t>
  </si>
  <si>
    <t>11/05/2026</t>
  </si>
  <si>
    <t>drone</t>
  </si>
  <si>
    <r>
      <t>* The Pineapple Thief -</t>
    </r>
    <r>
      <rPr>
        <b/>
        <sz val="12"/>
        <color theme="3" tint="0.499984740745262"/>
        <rFont val="Aptos Narrow"/>
        <family val="2"/>
        <scheme val="minor"/>
      </rPr>
      <t xml:space="preserve"> Your Wilderness</t>
    </r>
  </si>
  <si>
    <t>In Exile</t>
  </si>
  <si>
    <t>No Man's Land</t>
  </si>
  <si>
    <t>Tear You Up</t>
  </si>
  <si>
    <t>That Stone</t>
  </si>
  <si>
    <t>Take Your Shot</t>
  </si>
  <si>
    <t>Fend for Yourself</t>
  </si>
  <si>
    <t>The Final Thing on My Mind</t>
  </si>
  <si>
    <t>Where We Stood</t>
  </si>
  <si>
    <t>The Pineapple Thief</t>
  </si>
  <si>
    <t>Your Wilderness</t>
  </si>
  <si>
    <t>13/05/2026</t>
  </si>
  <si>
    <t>Wanna Be Startin' Somethin'</t>
  </si>
  <si>
    <t>Baby Be Mine</t>
  </si>
  <si>
    <t>The Girl Is Mine</t>
  </si>
  <si>
    <t>Thriller</t>
  </si>
  <si>
    <t>Beat It</t>
  </si>
  <si>
    <t>Billie Jean</t>
  </si>
  <si>
    <t>Human Nature</t>
  </si>
  <si>
    <t>P.Y.T. (Pretty Young Thing)</t>
  </si>
  <si>
    <t>The Lady in My Life</t>
  </si>
  <si>
    <r>
      <t xml:space="preserve">* Michael Jackson - </t>
    </r>
    <r>
      <rPr>
        <b/>
        <sz val="14"/>
        <color rgb="FFFDCA0F"/>
        <rFont val="Aptos Narrow"/>
        <family val="2"/>
        <scheme val="minor"/>
      </rPr>
      <t>Thriller</t>
    </r>
  </si>
  <si>
    <t>Michael Jackson</t>
  </si>
  <si>
    <t>shoegaze, noise pop</t>
  </si>
  <si>
    <t>contemporary r&amp;b, dance pop</t>
  </si>
  <si>
    <t>14/05/2026</t>
  </si>
  <si>
    <r>
      <t xml:space="preserve">* David Bowie - </t>
    </r>
    <r>
      <rPr>
        <b/>
        <sz val="14"/>
        <color rgb="FFF4E71C"/>
        <rFont val="Aptos Narrow"/>
        <scheme val="minor"/>
      </rPr>
      <t>Low</t>
    </r>
  </si>
  <si>
    <t>Speed of Life</t>
  </si>
  <si>
    <t>Breaking Glass</t>
  </si>
  <si>
    <t>What in the World</t>
  </si>
  <si>
    <t>Sound and Vision</t>
  </si>
  <si>
    <t>Always Crashing in the Same Car</t>
  </si>
  <si>
    <t>Be My Wife</t>
  </si>
  <si>
    <t>A New Career in a New Town</t>
  </si>
  <si>
    <t>Warszawa</t>
  </si>
  <si>
    <t>Art Decade</t>
  </si>
  <si>
    <t>Weeping Wall</t>
  </si>
  <si>
    <t>Subterraneans</t>
  </si>
  <si>
    <t>David Bowie</t>
  </si>
  <si>
    <t>contemporary r&amp;b</t>
  </si>
  <si>
    <t>dance pop</t>
  </si>
  <si>
    <t>noise pop</t>
  </si>
  <si>
    <t>art rock, ambient</t>
  </si>
  <si>
    <t>15/05/2026</t>
  </si>
  <si>
    <t>TOP 25 (sin reglas)</t>
  </si>
  <si>
    <t>In The Court Of The Crimson King, Red</t>
  </si>
  <si>
    <t>In Rainbows, OK Computer, Kid A</t>
  </si>
  <si>
    <t>Even In The Quietest Moments..., Breakfast In America</t>
  </si>
  <si>
    <t>Master Of Puppets, Ride The Lightning, …And Justice For All, Kill 'Em All</t>
  </si>
  <si>
    <t>Rust In Peace, Megadeth</t>
  </si>
  <si>
    <t>Modal Soul, Metaphorical Music</t>
  </si>
  <si>
    <t>TOP  Jazz Rap (5 álbumes)</t>
  </si>
  <si>
    <t>pop rock, soft rock</t>
  </si>
  <si>
    <r>
      <t xml:space="preserve">* Portishead - </t>
    </r>
    <r>
      <rPr>
        <b/>
        <sz val="14"/>
        <color theme="0"/>
        <rFont val="Aptos Narrow"/>
        <scheme val="minor"/>
      </rPr>
      <t>Third</t>
    </r>
  </si>
  <si>
    <t>Silence</t>
  </si>
  <si>
    <t>Nylon Smile</t>
  </si>
  <si>
    <t>The Rip</t>
  </si>
  <si>
    <t>Plastic</t>
  </si>
  <si>
    <t>We Carry On</t>
  </si>
  <si>
    <t>Deep Water</t>
  </si>
  <si>
    <t>Small</t>
  </si>
  <si>
    <t>Magic Doors</t>
  </si>
  <si>
    <t>Threads</t>
  </si>
  <si>
    <t>Third</t>
  </si>
  <si>
    <t>soft rock</t>
  </si>
  <si>
    <t>16/05/2026</t>
  </si>
  <si>
    <r>
      <t xml:space="preserve">* Justice - </t>
    </r>
    <r>
      <rPr>
        <b/>
        <sz val="14"/>
        <color rgb="FFE8C80A"/>
        <rFont val="Aptos Narrow"/>
        <family val="2"/>
        <scheme val="minor"/>
      </rPr>
      <t>Justice</t>
    </r>
  </si>
  <si>
    <t>Genesis</t>
  </si>
  <si>
    <t>Let There Be Light</t>
  </si>
  <si>
    <t>D.A.N.C.E.</t>
  </si>
  <si>
    <t>Newjack</t>
  </si>
  <si>
    <t>Phantom</t>
  </si>
  <si>
    <t>Phanto Pt. II</t>
  </si>
  <si>
    <t>Valentine</t>
  </si>
  <si>
    <t>TTHEE PPAARRTTYY</t>
  </si>
  <si>
    <t>DVNO</t>
  </si>
  <si>
    <t>Stress</t>
  </si>
  <si>
    <t>Waters of Nazareth</t>
  </si>
  <si>
    <t>Justice</t>
  </si>
  <si>
    <t>1994 - 2008</t>
  </si>
  <si>
    <t>french electro</t>
  </si>
  <si>
    <t>18/05/2026</t>
  </si>
  <si>
    <r>
      <t xml:space="preserve">* System Of A Down - </t>
    </r>
    <r>
      <rPr>
        <b/>
        <sz val="14"/>
        <color rgb="FFFF0000"/>
        <rFont val="Aptos Narrow"/>
        <family val="2"/>
        <scheme val="minor"/>
      </rPr>
      <t>Toxicity</t>
    </r>
  </si>
  <si>
    <t>Prison Song</t>
  </si>
  <si>
    <t>Needles</t>
  </si>
  <si>
    <t>Deer Dance</t>
  </si>
  <si>
    <t>Jet Pilot</t>
  </si>
  <si>
    <t>X</t>
  </si>
  <si>
    <t>Chop Suey!</t>
  </si>
  <si>
    <t>Bounce</t>
  </si>
  <si>
    <t>Forest</t>
  </si>
  <si>
    <t>ATWA</t>
  </si>
  <si>
    <t>Science</t>
  </si>
  <si>
    <t>Shimmy</t>
  </si>
  <si>
    <t>Toxicity</t>
  </si>
  <si>
    <t>Psycho</t>
  </si>
  <si>
    <t>Aerials</t>
  </si>
  <si>
    <t>Arto</t>
  </si>
  <si>
    <t>System Of A Down</t>
  </si>
  <si>
    <r>
      <t xml:space="preserve">* Kanye West - </t>
    </r>
    <r>
      <rPr>
        <b/>
        <sz val="14"/>
        <color rgb="FFE8C80A"/>
        <rFont val="Aptos Narrow"/>
        <family val="2"/>
        <scheme val="minor"/>
      </rPr>
      <t>The College Dropout</t>
    </r>
  </si>
  <si>
    <t>We Don't Care</t>
  </si>
  <si>
    <t>Graduation Day</t>
  </si>
  <si>
    <t>All Falls Down</t>
  </si>
  <si>
    <t>I'll Fly Away</t>
  </si>
  <si>
    <t>Spaceship</t>
  </si>
  <si>
    <t>Jesus Walks</t>
  </si>
  <si>
    <t>Never Let Me Down</t>
  </si>
  <si>
    <t>Get Em High</t>
  </si>
  <si>
    <t>Workout Plan</t>
  </si>
  <si>
    <t>The New Workout Plan</t>
  </si>
  <si>
    <t>Slow Jamz</t>
  </si>
  <si>
    <t>Breath In Breath Out</t>
  </si>
  <si>
    <t>School Spirit Skit 1</t>
  </si>
  <si>
    <t>School Spirit</t>
  </si>
  <si>
    <t>School Spirit Skit 2</t>
  </si>
  <si>
    <t>Lil Jimmy Skit</t>
  </si>
  <si>
    <t>Two Words</t>
  </si>
  <si>
    <t>Through The Wire</t>
  </si>
  <si>
    <t>Family Business</t>
  </si>
  <si>
    <t>Last Call</t>
  </si>
  <si>
    <t>The College Dropout</t>
  </si>
  <si>
    <t>chipmunk soul, pop rap</t>
  </si>
  <si>
    <t>Telegraph Road</t>
  </si>
  <si>
    <t>Private Investigations</t>
  </si>
  <si>
    <t>Industrial Disease</t>
  </si>
  <si>
    <t>Love Over Gold</t>
  </si>
  <si>
    <t>It Never Rains</t>
  </si>
  <si>
    <t>2004 - 2026</t>
  </si>
  <si>
    <t>chipmunk soul</t>
  </si>
  <si>
    <t>19/05/2026</t>
  </si>
  <si>
    <r>
      <t xml:space="preserve">* Boards of Canada - </t>
    </r>
    <r>
      <rPr>
        <b/>
        <sz val="14"/>
        <color rgb="FFFEDC0E"/>
        <rFont val="Aptos Narrow"/>
        <family val="2"/>
        <scheme val="minor"/>
      </rPr>
      <t>Geogaddi</t>
    </r>
  </si>
  <si>
    <t>Ready Lets Go</t>
  </si>
  <si>
    <t>Music Is Math</t>
  </si>
  <si>
    <t>Beware The Friendly Stranger</t>
  </si>
  <si>
    <t>Gyroscope</t>
  </si>
  <si>
    <t>Dandelion</t>
  </si>
  <si>
    <t>Sunshine Recorder</t>
  </si>
  <si>
    <t>In The Annexe</t>
  </si>
  <si>
    <t>Julie And Candy</t>
  </si>
  <si>
    <t>The Smallest Weird Number</t>
  </si>
  <si>
    <t>Energy Warning</t>
  </si>
  <si>
    <t>The Beach At Redpoint</t>
  </si>
  <si>
    <t>Opening The Mouth</t>
  </si>
  <si>
    <t>Alpha And Omega</t>
  </si>
  <si>
    <t>I Saw Drones</t>
  </si>
  <si>
    <t>The Devil Is In The Details</t>
  </si>
  <si>
    <t>A Is To B As B Is To C</t>
  </si>
  <si>
    <t>Over The Horizon Radar</t>
  </si>
  <si>
    <t>Dawn Chorus</t>
  </si>
  <si>
    <t>Diving Station</t>
  </si>
  <si>
    <t>You Could Feel The Sky</t>
  </si>
  <si>
    <t>Corsair</t>
  </si>
  <si>
    <t>Magic Window</t>
  </si>
  <si>
    <r>
      <t xml:space="preserve">* Enigma - </t>
    </r>
    <r>
      <rPr>
        <b/>
        <sz val="14"/>
        <color rgb="FFCC0066"/>
        <rFont val="Aptos Narrow"/>
        <family val="2"/>
        <scheme val="minor"/>
      </rPr>
      <t>MCMXC a.D.</t>
    </r>
  </si>
  <si>
    <t>The Voice Of Enigma</t>
  </si>
  <si>
    <t>Principles Of Lust</t>
  </si>
  <si>
    <t>Callas Went Away</t>
  </si>
  <si>
    <t>Mea Culpa</t>
  </si>
  <si>
    <t>The Voice &amp; The Snake</t>
  </si>
  <si>
    <t>Knocking On Forbidden Doors</t>
  </si>
  <si>
    <t>Back To The Rivers Of Belief</t>
  </si>
  <si>
    <r>
      <t xml:space="preserve">* Boards of Canada - </t>
    </r>
    <r>
      <rPr>
        <b/>
        <sz val="10"/>
        <color rgb="FF007660"/>
        <rFont val="Aptos Narrow"/>
        <family val="2"/>
        <scheme val="minor"/>
      </rPr>
      <t>Music Has The Right To Children</t>
    </r>
  </si>
  <si>
    <t>Wildlife Analysis</t>
  </si>
  <si>
    <t>An Eagle In Your Mind</t>
  </si>
  <si>
    <t>The Color Of The Fire</t>
  </si>
  <si>
    <t>Telephasic Workshop</t>
  </si>
  <si>
    <t>Triangles &amp; Rhombuses</t>
  </si>
  <si>
    <t>Sixtyteen</t>
  </si>
  <si>
    <t>Turqoise Hexagon Sun</t>
  </si>
  <si>
    <t>Kaini Industries</t>
  </si>
  <si>
    <t>Bocuma</t>
  </si>
  <si>
    <t>Roygbiv</t>
  </si>
  <si>
    <t>Rue The Whirl</t>
  </si>
  <si>
    <t>Aquarius</t>
  </si>
  <si>
    <t>Olson</t>
  </si>
  <si>
    <t>Pete Standing Alone</t>
  </si>
  <si>
    <t>Smokes Quantity</t>
  </si>
  <si>
    <t>Open The Light</t>
  </si>
  <si>
    <t>One Very Important Thought</t>
  </si>
  <si>
    <t>Happy Cycling</t>
  </si>
  <si>
    <t>Boards of Canada</t>
  </si>
  <si>
    <t>Music Has The Right To Children</t>
  </si>
  <si>
    <t>Geogaddi</t>
  </si>
  <si>
    <t>Enigma</t>
  </si>
  <si>
    <t>MCMXC a.D.</t>
  </si>
  <si>
    <t>new age, downtempo</t>
  </si>
  <si>
    <t>idm, downtempo</t>
  </si>
  <si>
    <t>10/05/2026</t>
  </si>
  <si>
    <t>new age</t>
  </si>
  <si>
    <r>
      <t xml:space="preserve">* Slayyyter - </t>
    </r>
    <r>
      <rPr>
        <b/>
        <sz val="12"/>
        <color rgb="FFFF0000"/>
        <rFont val="Aptos Narrow"/>
        <family val="2"/>
        <scheme val="minor"/>
      </rPr>
      <t>WOR$T GIRL IN AMERICA</t>
    </r>
  </si>
  <si>
    <t>DANCE…</t>
  </si>
  <si>
    <t>BEAT UP CHANEL$</t>
  </si>
  <si>
    <t>CANNIBALISM!</t>
  </si>
  <si>
    <t>OLD TECHNOLOGY</t>
  </si>
  <si>
    <t>CRANK</t>
  </si>
  <si>
    <t>GAS STATION</t>
  </si>
  <si>
    <t>YES GODDD</t>
  </si>
  <si>
    <t>UNKNOWN LOVERZ</t>
  </si>
  <si>
    <t>I'M ACTUALLY KINDA FAMOUS</t>
  </si>
  <si>
    <t>$T. LOSER</t>
  </si>
  <si>
    <t>WHAT IS IT LIKE, TO BE LIKED?</t>
  </si>
  <si>
    <t>BRITTANY MURPHY.</t>
  </si>
  <si>
    <t>OLD FLING$</t>
  </si>
  <si>
    <t>Slayyyter</t>
  </si>
  <si>
    <t>WOR$T GIRL IN AMERICA</t>
  </si>
  <si>
    <t>electropop, electroclash</t>
  </si>
  <si>
    <t>20/05/2026</t>
  </si>
  <si>
    <t>pop rock, psychedelic pop</t>
  </si>
  <si>
    <r>
      <t xml:space="preserve">* The Beatles - </t>
    </r>
    <r>
      <rPr>
        <b/>
        <sz val="14"/>
        <color theme="1"/>
        <rFont val="Aptos Narrow"/>
        <family val="2"/>
        <scheme val="minor"/>
      </rPr>
      <t>Revolver</t>
    </r>
  </si>
  <si>
    <t>Taxman</t>
  </si>
  <si>
    <t>Eleanor Rigby</t>
  </si>
  <si>
    <t>I'm Only Sleeping</t>
  </si>
  <si>
    <t>Love You To</t>
  </si>
  <si>
    <t>Here, There And Everywhere</t>
  </si>
  <si>
    <t>Yellow Submarine</t>
  </si>
  <si>
    <t>She Said She Said</t>
  </si>
  <si>
    <t>Good Day Sunshine</t>
  </si>
  <si>
    <t>And Your Bird Can Sing</t>
  </si>
  <si>
    <t>For No One</t>
  </si>
  <si>
    <t xml:space="preserve">Doctor Robert </t>
  </si>
  <si>
    <t>I Want To Tell You</t>
  </si>
  <si>
    <t>Got To Get You Into My Life</t>
  </si>
  <si>
    <t>Tomorrow Never Knows</t>
  </si>
  <si>
    <t>Revolver</t>
  </si>
  <si>
    <t>21/05/2026</t>
  </si>
  <si>
    <r>
      <t xml:space="preserve">* Pink Floyd - </t>
    </r>
    <r>
      <rPr>
        <b/>
        <sz val="14"/>
        <color rgb="FFDE0000"/>
        <rFont val="Aptos Narrow"/>
        <family val="2"/>
        <scheme val="minor"/>
      </rPr>
      <t>The Wall</t>
    </r>
  </si>
  <si>
    <t>In The Flesh?</t>
  </si>
  <si>
    <t>The Thin Ice</t>
  </si>
  <si>
    <t>Another Brick in the Wall, Pt. 1</t>
  </si>
  <si>
    <t>The Happiest Days of Our Lives</t>
  </si>
  <si>
    <t>Another Brick in the Wall, Pt. 2</t>
  </si>
  <si>
    <t>Mother</t>
  </si>
  <si>
    <t>Goodbye Blue Sky</t>
  </si>
  <si>
    <t>Empty Spaces</t>
  </si>
  <si>
    <t>Young Lust</t>
  </si>
  <si>
    <t>One of My Turns</t>
  </si>
  <si>
    <t>Don't Leave Me Now</t>
  </si>
  <si>
    <t>Another Brick in the Wall, Pt. 3</t>
  </si>
  <si>
    <t>Goodbye Cruel World</t>
  </si>
  <si>
    <t>Hey You</t>
  </si>
  <si>
    <t>Is There Anybody Out There?</t>
  </si>
  <si>
    <t>Nobody Home</t>
  </si>
  <si>
    <t>Vera</t>
  </si>
  <si>
    <t>Bring the Boys Back Home</t>
  </si>
  <si>
    <t>Comfortably Numb</t>
  </si>
  <si>
    <t>The Show Must Go On</t>
  </si>
  <si>
    <t xml:space="preserve">In The Flesh </t>
  </si>
  <si>
    <t>Run Like Hell</t>
  </si>
  <si>
    <t>Waiting for the Worms</t>
  </si>
  <si>
    <t>Stop</t>
  </si>
  <si>
    <t>The Trial</t>
  </si>
  <si>
    <t>Outside the Wall</t>
  </si>
  <si>
    <t>The Wall</t>
  </si>
  <si>
    <t>1966 - 1969</t>
  </si>
  <si>
    <t>PRAYER</t>
  </si>
  <si>
    <t>rock opera, art rock</t>
  </si>
  <si>
    <t>1h 21m</t>
  </si>
  <si>
    <t>1971 - 1979</t>
  </si>
  <si>
    <t>Wish You Were Here, The Wall</t>
  </si>
  <si>
    <t>rock opera</t>
  </si>
  <si>
    <r>
      <t xml:space="preserve">* Barry B - </t>
    </r>
    <r>
      <rPr>
        <b/>
        <sz val="14"/>
        <color theme="1"/>
        <rFont val="Aptos Narrow"/>
        <family val="2"/>
        <scheme val="minor"/>
      </rPr>
      <t>CHATO</t>
    </r>
  </si>
  <si>
    <t>El efímero arte de perdonar</t>
  </si>
  <si>
    <t>Todo ese dolor</t>
  </si>
  <si>
    <t>TK</t>
  </si>
  <si>
    <t>Joga Bonito</t>
  </si>
  <si>
    <t>Si alguna vez</t>
  </si>
  <si>
    <t>Se hizo complicado</t>
  </si>
  <si>
    <t>Yo pensaba que me había tocado Dios</t>
  </si>
  <si>
    <t>TUSSI</t>
  </si>
  <si>
    <t>Corazón vaquero</t>
  </si>
  <si>
    <t>El lago de mi pena</t>
  </si>
  <si>
    <t>Vis a Vis</t>
  </si>
  <si>
    <t>A tus pies</t>
  </si>
  <si>
    <t>Barry B</t>
  </si>
  <si>
    <t>CHATO</t>
  </si>
  <si>
    <t>This Time</t>
  </si>
  <si>
    <t>Backwards</t>
  </si>
  <si>
    <t>Starting Over</t>
  </si>
  <si>
    <t>22/05/2026</t>
  </si>
  <si>
    <t>LSD and the Search for God</t>
  </si>
  <si>
    <t>22m</t>
  </si>
  <si>
    <r>
      <t xml:space="preserve">* black midi - </t>
    </r>
    <r>
      <rPr>
        <b/>
        <sz val="14"/>
        <color rgb="FF000066"/>
        <rFont val="Aptos Narrow"/>
        <family val="2"/>
        <scheme val="minor"/>
      </rPr>
      <t>Hellfire</t>
    </r>
  </si>
  <si>
    <t>Hellfire</t>
  </si>
  <si>
    <t>Sugur/Tzu</t>
  </si>
  <si>
    <t>Eat Men Eat</t>
  </si>
  <si>
    <t>Welcome to Hell</t>
  </si>
  <si>
    <t>Still</t>
  </si>
  <si>
    <t>Half Time</t>
  </si>
  <si>
    <t>The Race Is About To Begin</t>
  </si>
  <si>
    <t>Dangerous Liaisons</t>
  </si>
  <si>
    <t>The Defence</t>
  </si>
  <si>
    <t>27 Questions</t>
  </si>
  <si>
    <t>black midi</t>
  </si>
  <si>
    <t>avant prog, brutal prog</t>
  </si>
  <si>
    <t>The Package</t>
  </si>
  <si>
    <t>Weak And Powerless</t>
  </si>
  <si>
    <t>The Noose</t>
  </si>
  <si>
    <t>Blue</t>
  </si>
  <si>
    <t>Vanishing</t>
  </si>
  <si>
    <t>A Stranger</t>
  </si>
  <si>
    <t>The Outsider</t>
  </si>
  <si>
    <t>Crimes</t>
  </si>
  <si>
    <t>The Nurse Who Loved Me</t>
  </si>
  <si>
    <t>Pet</t>
  </si>
  <si>
    <t>Gravity</t>
  </si>
  <si>
    <r>
      <t xml:space="preserve">* A Perfect Circle - </t>
    </r>
    <r>
      <rPr>
        <b/>
        <sz val="14"/>
        <color rgb="FFFFE000"/>
        <rFont val="Aptos Narrow"/>
        <scheme val="minor"/>
      </rPr>
      <t>Thirteenth Step</t>
    </r>
  </si>
  <si>
    <t>A Perfect Circle</t>
  </si>
  <si>
    <t>Thirteenth Step</t>
  </si>
  <si>
    <t>brutal prog</t>
  </si>
  <si>
    <t>alternative rock, alternative metal</t>
  </si>
  <si>
    <t>24/05/2026</t>
  </si>
  <si>
    <t>Back To School</t>
  </si>
  <si>
    <t>Feiticeira</t>
  </si>
  <si>
    <t>Digital Bath</t>
  </si>
  <si>
    <t>Elite</t>
  </si>
  <si>
    <t>Rx Queen</t>
  </si>
  <si>
    <t>Street Carp</t>
  </si>
  <si>
    <t>Teenager</t>
  </si>
  <si>
    <t>Knife Prty</t>
  </si>
  <si>
    <t>Korea</t>
  </si>
  <si>
    <t>Passenger</t>
  </si>
  <si>
    <t>Change (In The House of Flies)</t>
  </si>
  <si>
    <t>Pink Maggit</t>
  </si>
  <si>
    <r>
      <t xml:space="preserve">* Deftones - </t>
    </r>
    <r>
      <rPr>
        <b/>
        <sz val="14"/>
        <color theme="0"/>
        <rFont val="Aptos Narrow"/>
        <scheme val="minor"/>
      </rPr>
      <t>White Pony</t>
    </r>
  </si>
  <si>
    <t>Deftones</t>
  </si>
  <si>
    <t>White Pony</t>
  </si>
  <si>
    <r>
      <t xml:space="preserve">* Dire Straits - </t>
    </r>
    <r>
      <rPr>
        <b/>
        <sz val="14"/>
        <color rgb="FFABA6FF"/>
        <rFont val="Aptos Narrow"/>
        <family val="2"/>
        <scheme val="minor"/>
      </rPr>
      <t>Love Over Gold</t>
    </r>
  </si>
  <si>
    <r>
      <t xml:space="preserve">* Foreigner - </t>
    </r>
    <r>
      <rPr>
        <b/>
        <sz val="14"/>
        <color theme="1" tint="0.249977111117893"/>
        <rFont val="Aptos Narrow"/>
        <family val="2"/>
        <scheme val="minor"/>
      </rPr>
      <t>4</t>
    </r>
  </si>
  <si>
    <t>Night Life</t>
  </si>
  <si>
    <t>Juke Box Hero</t>
  </si>
  <si>
    <t>Break It Up</t>
  </si>
  <si>
    <t>Waiting for a Girl like You</t>
  </si>
  <si>
    <t>Luanne</t>
  </si>
  <si>
    <t>Urgent</t>
  </si>
  <si>
    <t>I'm Gonna Win</t>
  </si>
  <si>
    <t>Woman in Black</t>
  </si>
  <si>
    <t>Girl on the Moon</t>
  </si>
  <si>
    <t>Don't Let Go</t>
  </si>
  <si>
    <t>Foreigner</t>
  </si>
  <si>
    <t>aor, hard rock</t>
  </si>
  <si>
    <t>25/05/2026</t>
  </si>
  <si>
    <r>
      <t xml:space="preserve">* Rainbow - </t>
    </r>
    <r>
      <rPr>
        <b/>
        <sz val="14"/>
        <color rgb="FFFDEB03"/>
        <rFont val="Aptos Narrow"/>
        <family val="2"/>
        <scheme val="minor"/>
      </rPr>
      <t>Rising</t>
    </r>
  </si>
  <si>
    <t>Tarot Woman</t>
  </si>
  <si>
    <t>Run With The Wolf</t>
  </si>
  <si>
    <t>Starstruck</t>
  </si>
  <si>
    <t>Do You Close Your Eyes</t>
  </si>
  <si>
    <t>A Light In The Black</t>
  </si>
  <si>
    <t>Rainbow</t>
  </si>
  <si>
    <t>Rising</t>
  </si>
  <si>
    <t>aor</t>
  </si>
  <si>
    <t>hard rock, heavy metal</t>
  </si>
  <si>
    <t>Seventh Son of a Seventh Son, The Number of the Beast</t>
  </si>
  <si>
    <t>Pilgrimage</t>
  </si>
  <si>
    <t>Porcelain</t>
  </si>
  <si>
    <t>Horo</t>
  </si>
  <si>
    <t>Easter Lily</t>
  </si>
  <si>
    <t>Parfun d'étoiles</t>
  </si>
  <si>
    <t>Kirinakijima</t>
  </si>
  <si>
    <t>Sagu Palm's Song</t>
  </si>
  <si>
    <t>chinuhaji</t>
  </si>
  <si>
    <t>Red Silence</t>
  </si>
  <si>
    <t>Hagupit</t>
  </si>
  <si>
    <t>Dawn in the Adan</t>
  </si>
  <si>
    <t>ohayashi</t>
  </si>
  <si>
    <t>Adan no Shima no Tanjyosai</t>
  </si>
  <si>
    <r>
      <t>* The Smiths -</t>
    </r>
    <r>
      <rPr>
        <b/>
        <sz val="14"/>
        <color rgb="FFFF6699"/>
        <rFont val="Aptos Narrow"/>
        <family val="2"/>
        <scheme val="minor"/>
      </rPr>
      <t xml:space="preserve"> The Queen Is Dead</t>
    </r>
  </si>
  <si>
    <t>The Queen Is Dead</t>
  </si>
  <si>
    <t>Frankly, Mr. Shankly</t>
  </si>
  <si>
    <t>I Know It's Over</t>
  </si>
  <si>
    <t>Never Had No One Ever</t>
  </si>
  <si>
    <t>Cementary Gates</t>
  </si>
  <si>
    <t>Bigmouth Strikes Again</t>
  </si>
  <si>
    <t>The Boy with the Thorn in His Side</t>
  </si>
  <si>
    <t>Vicar in a Tutu</t>
  </si>
  <si>
    <t>There Is a Light That Never Goes Out</t>
  </si>
  <si>
    <t>Some Girls Are Bigger Than Others</t>
  </si>
  <si>
    <t>Ichiko Aoba</t>
  </si>
  <si>
    <t>Windswept Adan</t>
  </si>
  <si>
    <t>singer songwriter, chamber folk</t>
  </si>
  <si>
    <t>26/05/2026</t>
  </si>
  <si>
    <r>
      <t xml:space="preserve">* Ichiko Aoba - </t>
    </r>
    <r>
      <rPr>
        <b/>
        <sz val="14"/>
        <color rgb="FFDBFDF1"/>
        <rFont val="Aptos Narrow"/>
        <family val="2"/>
        <scheme val="minor"/>
      </rPr>
      <t>Windswept Adan</t>
    </r>
  </si>
  <si>
    <t>The Smiths</t>
  </si>
  <si>
    <t>chamber folk</t>
  </si>
  <si>
    <t>jangle pop, indie pop</t>
  </si>
  <si>
    <r>
      <t xml:space="preserve">* Morbid Angel - </t>
    </r>
    <r>
      <rPr>
        <b/>
        <sz val="14"/>
        <color rgb="FFEA0000"/>
        <rFont val="Aptos Narrow"/>
        <family val="2"/>
        <scheme val="minor"/>
      </rPr>
      <t>Altars of Madness</t>
    </r>
  </si>
  <si>
    <t>Immortal Rites</t>
  </si>
  <si>
    <t>Suffocation</t>
  </si>
  <si>
    <t>Visions from the Dark Side</t>
  </si>
  <si>
    <t>Maze of Torment</t>
  </si>
  <si>
    <t>Lord of All Fevers &amp; Plague</t>
  </si>
  <si>
    <t>Chapel of Ghouls</t>
  </si>
  <si>
    <t>Bleed for the Devil</t>
  </si>
  <si>
    <t>Blasphemy</t>
  </si>
  <si>
    <t>Evil Spells</t>
  </si>
  <si>
    <t>Morbid Angel</t>
  </si>
  <si>
    <t>Altars of Madness</t>
  </si>
  <si>
    <t>jangle pop</t>
  </si>
  <si>
    <t>27/05/2026</t>
  </si>
  <si>
    <r>
      <t xml:space="preserve">* Slayer - </t>
    </r>
    <r>
      <rPr>
        <b/>
        <sz val="14"/>
        <color rgb="FFC00000"/>
        <rFont val="Aptos Narrow"/>
        <family val="2"/>
        <scheme val="minor"/>
      </rPr>
      <t>Reign In Blood</t>
    </r>
  </si>
  <si>
    <t>Angel Of Death</t>
  </si>
  <si>
    <t>Piece By Piece</t>
  </si>
  <si>
    <t>Necrophobic</t>
  </si>
  <si>
    <t>Altar Of Sacrifice</t>
  </si>
  <si>
    <t>Jesus Saves</t>
  </si>
  <si>
    <t>Criminally Insane</t>
  </si>
  <si>
    <t>Epidemic</t>
  </si>
  <si>
    <t>Postmortem</t>
  </si>
  <si>
    <t>Raining Blood</t>
  </si>
  <si>
    <t>Slayer</t>
  </si>
  <si>
    <t>Reign In Blood</t>
  </si>
  <si>
    <t>28m</t>
  </si>
  <si>
    <t>28/05/2026</t>
  </si>
  <si>
    <t>Sweat</t>
  </si>
  <si>
    <t>Hush</t>
  </si>
  <si>
    <t>Part Of Me</t>
  </si>
  <si>
    <t>Cold And Ugly</t>
  </si>
  <si>
    <t>Jerk-Off</t>
  </si>
  <si>
    <t>Opiate</t>
  </si>
  <si>
    <r>
      <t xml:space="preserve">* TOOL - </t>
    </r>
    <r>
      <rPr>
        <b/>
        <sz val="14"/>
        <color rgb="FFC8C364"/>
        <rFont val="Aptos Narrow"/>
        <family val="2"/>
        <scheme val="minor"/>
      </rPr>
      <t>Opiate</t>
    </r>
  </si>
  <si>
    <t>TOP  Thrash Metal (7 álbumes)</t>
  </si>
  <si>
    <t>My Old Man</t>
  </si>
  <si>
    <t>This Old Dog</t>
  </si>
  <si>
    <t>Baby You're Out</t>
  </si>
  <si>
    <t>For the First Time</t>
  </si>
  <si>
    <t>One Another</t>
  </si>
  <si>
    <t>Still Beating</t>
  </si>
  <si>
    <t>Sister</t>
  </si>
  <si>
    <t>Dreams from Yesterday</t>
  </si>
  <si>
    <t>A Wolf Who Wears Sheeps Clothes</t>
  </si>
  <si>
    <t>One More Love Song</t>
  </si>
  <si>
    <t>On the Level</t>
  </si>
  <si>
    <t>Moonlight on the River</t>
  </si>
  <si>
    <t>Watching Him Fade Away</t>
  </si>
  <si>
    <t>Mac DeMarco</t>
  </si>
  <si>
    <t>singer songwriter, indie pop</t>
  </si>
  <si>
    <r>
      <t xml:space="preserve">* Boards of Canada - </t>
    </r>
    <r>
      <rPr>
        <b/>
        <sz val="14"/>
        <color rgb="FFE4C52C"/>
        <rFont val="Aptos Narrow"/>
        <family val="2"/>
        <scheme val="minor"/>
      </rPr>
      <t>Inferno</t>
    </r>
  </si>
  <si>
    <t>Introit</t>
  </si>
  <si>
    <t>Prophecy At 1420 MHz</t>
  </si>
  <si>
    <t>Hydrogen Helium Lithium Leviathan</t>
  </si>
  <si>
    <t>Age Of Capricorn</t>
  </si>
  <si>
    <t>Somewhere Right Now In The Future</t>
  </si>
  <si>
    <t>Naraka</t>
  </si>
  <si>
    <t>Acts Of Magic</t>
  </si>
  <si>
    <t>Memory Death</t>
  </si>
  <si>
    <t>The Word Becomes Flesh</t>
  </si>
  <si>
    <t>Into The Magic Land</t>
  </si>
  <si>
    <t>Blood In The Labyrinth</t>
  </si>
  <si>
    <t>Deep Time</t>
  </si>
  <si>
    <t>All Reason Departs</t>
  </si>
  <si>
    <t>Arena Americanada</t>
  </si>
  <si>
    <t>The Process</t>
  </si>
  <si>
    <t>You Retreat In Time And Space</t>
  </si>
  <si>
    <t>I Saw Through Platonia</t>
  </si>
  <si>
    <t>Inferno</t>
  </si>
  <si>
    <t>1h 9m</t>
  </si>
  <si>
    <t>29/05/2026</t>
  </si>
  <si>
    <t>1998 - 2026</t>
  </si>
  <si>
    <t>Canción</t>
  </si>
  <si>
    <t>1979</t>
  </si>
  <si>
    <t>4</t>
  </si>
  <si>
    <r>
      <t xml:space="preserve">* Helmet - </t>
    </r>
    <r>
      <rPr>
        <b/>
        <sz val="14"/>
        <color rgb="FF0040C0"/>
        <rFont val="Aptos Narrow"/>
        <scheme val="minor"/>
      </rPr>
      <t>Meantime</t>
    </r>
  </si>
  <si>
    <t>In The Meantime</t>
  </si>
  <si>
    <t>Iron Head</t>
  </si>
  <si>
    <t>Give It</t>
  </si>
  <si>
    <t>Unsung</t>
  </si>
  <si>
    <t>Turned Out</t>
  </si>
  <si>
    <t>He Feels Bad</t>
  </si>
  <si>
    <t>Better</t>
  </si>
  <si>
    <t>You Borrowed</t>
  </si>
  <si>
    <t>FBLA II</t>
  </si>
  <si>
    <t>Role Model</t>
  </si>
  <si>
    <t>Helmet</t>
  </si>
  <si>
    <t>Meantime</t>
  </si>
  <si>
    <t>alternative metal, post hardcore</t>
  </si>
  <si>
    <t>30/05/2026</t>
  </si>
  <si>
    <r>
      <t xml:space="preserve">* The Prodigy - </t>
    </r>
    <r>
      <rPr>
        <b/>
        <sz val="14"/>
        <color rgb="FFFF4A23"/>
        <rFont val="Aptos Narrow"/>
        <scheme val="minor"/>
      </rPr>
      <t>The Fat of the Land</t>
    </r>
  </si>
  <si>
    <t>Smack My Bitch Up</t>
  </si>
  <si>
    <t>Breathe</t>
  </si>
  <si>
    <t>Diesel Power</t>
  </si>
  <si>
    <t>Funky Shit</t>
  </si>
  <si>
    <t>Serial Thrilla</t>
  </si>
  <si>
    <t>Mindfields</t>
  </si>
  <si>
    <t>Narayan</t>
  </si>
  <si>
    <t>Firestarter</t>
  </si>
  <si>
    <t>Climbatize</t>
  </si>
  <si>
    <t>Fuel My Fire</t>
  </si>
  <si>
    <t>The Prodigy</t>
  </si>
  <si>
    <t>The Fat of the Land</t>
  </si>
  <si>
    <t>big beat</t>
  </si>
  <si>
    <t>31/05/2026</t>
  </si>
  <si>
    <r>
      <t>* Opeth -</t>
    </r>
    <r>
      <rPr>
        <b/>
        <sz val="14"/>
        <color rgb="FFFEDB2A"/>
        <rFont val="Aptos Narrow"/>
        <family val="2"/>
        <scheme val="minor"/>
      </rPr>
      <t xml:space="preserve"> In Cauda Venenum</t>
    </r>
  </si>
  <si>
    <t>Garden of Earthly Delights</t>
  </si>
  <si>
    <t>Dignity</t>
  </si>
  <si>
    <t xml:space="preserve">Heart In Hand </t>
  </si>
  <si>
    <t>Next of Kin</t>
  </si>
  <si>
    <t>Lovelorn Crime</t>
  </si>
  <si>
    <t>Charlatan</t>
  </si>
  <si>
    <t>Universal Truth</t>
  </si>
  <si>
    <t>The Garroter</t>
  </si>
  <si>
    <t>Continuum</t>
  </si>
  <si>
    <t>All Things Will Pass</t>
  </si>
  <si>
    <t>26m</t>
  </si>
  <si>
    <t>In Cauda Venenum</t>
  </si>
  <si>
    <t>1992 - 2019</t>
  </si>
  <si>
    <t>01/06/2026</t>
  </si>
  <si>
    <r>
      <t xml:space="preserve">* Ne Obliviscaris  - </t>
    </r>
    <r>
      <rPr>
        <b/>
        <sz val="14"/>
        <color rgb="FFFF3300"/>
        <rFont val="Aptos Narrow"/>
        <family val="2"/>
        <scheme val="minor"/>
      </rPr>
      <t>Portal of I</t>
    </r>
  </si>
  <si>
    <t>Tapestry of the Starless Abstract</t>
  </si>
  <si>
    <t>Xenoflux</t>
  </si>
  <si>
    <t>Of the Leper Butterflies</t>
  </si>
  <si>
    <t>Forget Not</t>
  </si>
  <si>
    <t>And Plague Flowers the Kaleidoscope</t>
  </si>
  <si>
    <t>As Icicles Fall</t>
  </si>
  <si>
    <t>Of Petrichor Weaves Black Noise</t>
  </si>
  <si>
    <t>Ne Obliviscaris</t>
  </si>
  <si>
    <t>Portal of I</t>
  </si>
  <si>
    <t>rock</t>
  </si>
  <si>
    <t>r&amp;b</t>
  </si>
  <si>
    <t>pop</t>
  </si>
  <si>
    <t>folk</t>
  </si>
  <si>
    <t>metal</t>
  </si>
  <si>
    <t>psychedelia</t>
  </si>
  <si>
    <t>singer-songwriter</t>
  </si>
  <si>
    <t>punk</t>
  </si>
  <si>
    <t>jazz</t>
  </si>
  <si>
    <t>industrial &amp; noise</t>
  </si>
  <si>
    <t>SUBGÉNERO</t>
  </si>
  <si>
    <t>GÉNERO PADRE</t>
  </si>
  <si>
    <t>GÉNEROS ÚNICOS</t>
  </si>
  <si>
    <t>Subgéneros</t>
  </si>
  <si>
    <t>TOP New Age (1 álbumes)</t>
  </si>
  <si>
    <t>Subgénero</t>
  </si>
  <si>
    <t>Swerve City</t>
  </si>
  <si>
    <t>Romantic Dreams</t>
  </si>
  <si>
    <t>Leathers</t>
  </si>
  <si>
    <t>Poltergeist</t>
  </si>
  <si>
    <t>Entombed</t>
  </si>
  <si>
    <t>Graphic Nature</t>
  </si>
  <si>
    <t>Tempest</t>
  </si>
  <si>
    <t>Gauze</t>
  </si>
  <si>
    <t>Rosemary</t>
  </si>
  <si>
    <t>Goon Squad</t>
  </si>
  <si>
    <t>What Happened to You?</t>
  </si>
  <si>
    <r>
      <t xml:space="preserve">* Deftones - </t>
    </r>
    <r>
      <rPr>
        <b/>
        <sz val="14"/>
        <color rgb="FFD82222"/>
        <rFont val="Aptos Narrow"/>
        <family val="2"/>
        <scheme val="minor"/>
      </rPr>
      <t>Koi No Yokan</t>
    </r>
  </si>
  <si>
    <t>Koi No Yokan</t>
  </si>
  <si>
    <t>02/06/2026</t>
  </si>
  <si>
    <t>Speed Trials</t>
  </si>
  <si>
    <t>Alameda</t>
  </si>
  <si>
    <t>Ballad Of Big Nothing</t>
  </si>
  <si>
    <t>Between The Bars</t>
  </si>
  <si>
    <t>Pictures Of Me</t>
  </si>
  <si>
    <t>No Name No. 5</t>
  </si>
  <si>
    <t>Rose Parade</t>
  </si>
  <si>
    <t>Punch And Judy</t>
  </si>
  <si>
    <t>Angeles</t>
  </si>
  <si>
    <t>Cupid's Trick</t>
  </si>
  <si>
    <t>2:45 AM</t>
  </si>
  <si>
    <t>Say Yes</t>
  </si>
  <si>
    <r>
      <t xml:space="preserve">* Mac DeMarco - </t>
    </r>
    <r>
      <rPr>
        <b/>
        <sz val="14"/>
        <color rgb="FF716B00"/>
        <rFont val="Aptos Narrow"/>
        <family val="2"/>
        <scheme val="minor"/>
      </rPr>
      <t>This Old Dog</t>
    </r>
  </si>
  <si>
    <r>
      <t xml:space="preserve">* Elliott Smith - </t>
    </r>
    <r>
      <rPr>
        <b/>
        <sz val="14"/>
        <color rgb="FF392E4C"/>
        <rFont val="Aptos Narrow"/>
        <family val="2"/>
        <scheme val="minor"/>
      </rPr>
      <t>Either/Or</t>
    </r>
  </si>
  <si>
    <r>
      <t xml:space="preserve">* Slint - </t>
    </r>
    <r>
      <rPr>
        <b/>
        <sz val="14"/>
        <color theme="0" tint="-0.249977111117893"/>
        <rFont val="Aptos Narrow"/>
        <family val="2"/>
        <scheme val="minor"/>
      </rPr>
      <t>Spiderland</t>
    </r>
  </si>
  <si>
    <t>Elliott Smith</t>
  </si>
  <si>
    <t>Either/Or</t>
  </si>
  <si>
    <t>singer songwriter, indie folk</t>
  </si>
  <si>
    <t>indie folk</t>
  </si>
  <si>
    <t>★</t>
  </si>
  <si>
    <t>Tis A Pity She Was A Whore</t>
  </si>
  <si>
    <t>Sue (Or In A Season Of Crime)</t>
  </si>
  <si>
    <t>Girl Loves Me</t>
  </si>
  <si>
    <t>Dollar Days</t>
  </si>
  <si>
    <t>I Can't Give Everything Away</t>
  </si>
  <si>
    <r>
      <t xml:space="preserve">* David Bowie - </t>
    </r>
    <r>
      <rPr>
        <b/>
        <sz val="14"/>
        <color theme="1" tint="0.14999847407452621"/>
        <rFont val="Aptos Narrow"/>
        <family val="2"/>
        <scheme val="minor"/>
      </rPr>
      <t>★ [Blackstar]</t>
    </r>
  </si>
  <si>
    <t>★ [Blackstar]</t>
  </si>
  <si>
    <t>03/06/2026</t>
  </si>
  <si>
    <t>1977 - 2016</t>
  </si>
  <si>
    <r>
      <t xml:space="preserve">* Opeth - </t>
    </r>
    <r>
      <rPr>
        <b/>
        <sz val="14"/>
        <color rgb="FFFF158A"/>
        <rFont val="Aptos Narrow"/>
        <family val="2"/>
        <scheme val="minor"/>
      </rPr>
      <t>Orchid</t>
    </r>
  </si>
  <si>
    <t>In Mist She Was Standing</t>
  </si>
  <si>
    <t>Under The Weeping Moon</t>
  </si>
  <si>
    <t>Silhouette</t>
  </si>
  <si>
    <t>Forest Of October</t>
  </si>
  <si>
    <t>The Twilight Is My Robe</t>
  </si>
  <si>
    <t>Requiem</t>
  </si>
  <si>
    <t>The Apostle In Triumph</t>
  </si>
  <si>
    <t>Orchid</t>
  </si>
  <si>
    <t>progressive metal, melodic death metal</t>
  </si>
  <si>
    <t>04/06/2026</t>
  </si>
  <si>
    <t>1995 - 2024</t>
  </si>
  <si>
    <r>
      <t>* Dragged Into Sunlight -</t>
    </r>
    <r>
      <rPr>
        <b/>
        <sz val="11"/>
        <color theme="0" tint="-0.249977111117893"/>
        <rFont val="Aptos Narrow"/>
        <family val="2"/>
        <scheme val="minor"/>
      </rPr>
      <t xml:space="preserve"> Hatred for Mankind</t>
    </r>
  </si>
  <si>
    <t>Boiled Angel</t>
  </si>
  <si>
    <t>Buried With Leeches</t>
  </si>
  <si>
    <t>Volcanic Birth</t>
  </si>
  <si>
    <t>To Hieron</t>
  </si>
  <si>
    <t>Lashed to the Grinder and Stoned to Death</t>
  </si>
  <si>
    <t>I, Aurora</t>
  </si>
  <si>
    <t>Totem of Skulls</t>
  </si>
  <si>
    <t>Dragged Into Sunlight</t>
  </si>
  <si>
    <t>Hatred for Mankind</t>
  </si>
  <si>
    <t>death metal, death doom metal</t>
  </si>
  <si>
    <t>05/06/2026</t>
  </si>
  <si>
    <t>Blackwater Park, Ghost Reveries, Deliverance, Still Life, Damnation</t>
  </si>
  <si>
    <t>death doom metal</t>
  </si>
  <si>
    <r>
      <t xml:space="preserve">* Bad Bunny - </t>
    </r>
    <r>
      <rPr>
        <b/>
        <sz val="12"/>
        <color theme="6" tint="-0.249977111117893"/>
        <rFont val="Aptos Narrow"/>
        <family val="2"/>
        <scheme val="minor"/>
      </rPr>
      <t>DeBÍ TiRAR MáS FOToS</t>
    </r>
  </si>
  <si>
    <t>NUEVAYoL</t>
  </si>
  <si>
    <t>VOY A LLeVARTE PA PR</t>
  </si>
  <si>
    <t>BAILE INoLVIDABLE</t>
  </si>
  <si>
    <t>PERFuMITO NUEVO</t>
  </si>
  <si>
    <t>WELTiTA</t>
  </si>
  <si>
    <t>VeLDÁ</t>
  </si>
  <si>
    <t>EL CLúB</t>
  </si>
  <si>
    <t>KETU TeCRÉ</t>
  </si>
  <si>
    <t>BOKeTE</t>
  </si>
  <si>
    <t>KLOuFRENS</t>
  </si>
  <si>
    <t>TURiSTA</t>
  </si>
  <si>
    <t>CAFé CON RON</t>
  </si>
  <si>
    <t>PIToRRO DE COCO</t>
  </si>
  <si>
    <t>LO QUE LE PASÓ A HAWAii</t>
  </si>
  <si>
    <t>EoO</t>
  </si>
  <si>
    <t>DtMF</t>
  </si>
  <si>
    <t>LA MuDANZA</t>
  </si>
  <si>
    <t>Bad Bunny</t>
  </si>
  <si>
    <t>DeBÍ TiRAR MáS FOToS</t>
  </si>
  <si>
    <t>reggaetón</t>
  </si>
  <si>
    <r>
      <t xml:space="preserve">* Yes - </t>
    </r>
    <r>
      <rPr>
        <b/>
        <sz val="14"/>
        <color rgb="FFA2E145"/>
        <rFont val="Aptos Narrow"/>
        <scheme val="minor"/>
      </rPr>
      <t>Fragile</t>
    </r>
  </si>
  <si>
    <t>Roundabout</t>
  </si>
  <si>
    <t>Cans and Brahms</t>
  </si>
  <si>
    <t>We Have Heaven</t>
  </si>
  <si>
    <t>South Side of the Sky</t>
  </si>
  <si>
    <t>Five Per Cent for Nothing</t>
  </si>
  <si>
    <t>Long Distance Runaround</t>
  </si>
  <si>
    <t>The Fish (Schindleria Praematurus)</t>
  </si>
  <si>
    <t>Mood for a Day</t>
  </si>
  <si>
    <t>Heart of the Sunrise</t>
  </si>
  <si>
    <t>Fragile</t>
  </si>
  <si>
    <t>06/06/2026</t>
  </si>
  <si>
    <t>regional music</t>
  </si>
  <si>
    <t>Lateralus, 10,000 Days, Ænima, Salival [LIVE], Fear Inoculum</t>
  </si>
  <si>
    <t>TOP Regional Music (1 álbumes)</t>
  </si>
  <si>
    <t>Blackwater Park, Ghost Reveries, Deliverance, Still Life</t>
  </si>
  <si>
    <t>The Baying of the Hounds</t>
  </si>
  <si>
    <t>And You and I</t>
  </si>
  <si>
    <r>
      <t>* Gojira -</t>
    </r>
    <r>
      <rPr>
        <b/>
        <sz val="14"/>
        <color theme="0" tint="-4.9989318521683403E-2"/>
        <rFont val="Aptos Narrow"/>
        <scheme val="minor"/>
      </rPr>
      <t xml:space="preserve"> The way of all flesh</t>
    </r>
  </si>
  <si>
    <t>Oroborus</t>
  </si>
  <si>
    <t>A sight to behold</t>
  </si>
  <si>
    <t>Toxic garbage island</t>
  </si>
  <si>
    <t>Yama's messengers</t>
  </si>
  <si>
    <t>The silver cord</t>
  </si>
  <si>
    <t>All the tears</t>
  </si>
  <si>
    <t>Adoration for none</t>
  </si>
  <si>
    <t>The art of dying</t>
  </si>
  <si>
    <t>Esoteric surgery</t>
  </si>
  <si>
    <t>Vacuity</t>
  </si>
  <si>
    <t>Wolf down the earth</t>
  </si>
  <si>
    <t>The way of all flesh</t>
  </si>
  <si>
    <r>
      <t xml:space="preserve">* Justice - </t>
    </r>
    <r>
      <rPr>
        <b/>
        <sz val="14"/>
        <color rgb="FFFBF5D9"/>
        <rFont val="Aptos Narrow"/>
        <family val="2"/>
        <scheme val="minor"/>
      </rPr>
      <t>Woman Worldwide</t>
    </r>
  </si>
  <si>
    <t>Canon x Love S.O.S.</t>
  </si>
  <si>
    <t>Genesis x Phantom</t>
  </si>
  <si>
    <t>Pleasure x Newjack x Civilization</t>
  </si>
  <si>
    <t>Heavy Metal x DVNO</t>
  </si>
  <si>
    <t>Love S.O.S.</t>
  </si>
  <si>
    <t>Alakazam ! x Fire</t>
  </si>
  <si>
    <t>Waters of Nazareth x We Are your Friends x Phantom 2</t>
  </si>
  <si>
    <t>Chorus</t>
  </si>
  <si>
    <t>Audio, Video, Disco</t>
  </si>
  <si>
    <t>Randy</t>
  </si>
  <si>
    <t>D.A.N.C.E. x Fire x Safe and Sound</t>
  </si>
  <si>
    <t>Safe and Sound</t>
  </si>
  <si>
    <t>Este excel lo empecé el 17 de enero de 2026 con el objetivo de hacer 1000 reviews de álbumes</t>
  </si>
  <si>
    <t>Escribo esta guía por si en algún futuro se me olvida como funciona</t>
  </si>
  <si>
    <t>FLUJO DE REVIEW</t>
  </si>
  <si>
    <t>1.2 El asterisco es obligatorio, sin él, el script ignora el álbum</t>
  </si>
  <si>
    <t>1.4 Esto implica que ni el artista ni el álbum pueden contener esos dos símbolos</t>
  </si>
  <si>
    <t>2.1 Se hace en la pestaña Automatización -&gt; Ver Scripts -&gt; Scripts Recientes -&gt; Create Tables -&gt; Run</t>
  </si>
  <si>
    <t>2.3 Si por alguna razón no está visible, el script está también guardado en un repo de GitHub: https://github.com/miguelrr11/top1000albums</t>
  </si>
  <si>
    <t>Resumen Hojas:</t>
  </si>
  <si>
    <t>Albums</t>
  </si>
  <si>
    <t>MANUAL</t>
  </si>
  <si>
    <t>Tabla Albums</t>
  </si>
  <si>
    <t>Tablas TOP</t>
  </si>
  <si>
    <t>TOP Canciones</t>
  </si>
  <si>
    <t>TOP Generos</t>
  </si>
  <si>
    <t>Resumen</t>
  </si>
  <si>
    <t>SEMIAUTOMÁTICO</t>
  </si>
  <si>
    <t>AUTOMÁTICO</t>
  </si>
  <si>
    <t>Mapeo Generos</t>
  </si>
  <si>
    <t>Hoja</t>
  </si>
  <si>
    <t>Tipo</t>
  </si>
  <si>
    <t>Razón</t>
  </si>
  <si>
    <t>Se rellana manualmente metadatos</t>
  </si>
  <si>
    <t>Se rellena manualmente subgeneros sin genero padre</t>
  </si>
  <si>
    <t>Se hacen las reviews</t>
  </si>
  <si>
    <t>Si ningún genero padre existente aplica (la tercera columna), se puede incluir un nuevo género padre,</t>
  </si>
  <si>
    <t>NOTAS</t>
  </si>
  <si>
    <t>El thirdEyeScore fue un intento de mejorar la nota de un álbum, en vez de ser simplemente la media de las canciones, también penaliza si</t>
  </si>
  <si>
    <t>la desviación es grande y recompensa álbumes con dieces</t>
  </si>
  <si>
    <t>La tabla de la hoja Tabla Albums se ordena por defecto por el valor thirdEyeScore, pero si se quiere ordenar por cualquier otra cosa, hay que</t>
  </si>
  <si>
    <t>quitar el asterisco del header de thirdeyescore, ponerlo en el header por el que se quiere ordenar la tabla, y ejecutar el script</t>
  </si>
  <si>
    <t>Algunas hojas no pasa nada si se modifican y otras no:</t>
  </si>
  <si>
    <t>VULNERABLE</t>
  </si>
  <si>
    <t>SEMI-VULNERABLE</t>
  </si>
  <si>
    <t>INVULNERABLE</t>
  </si>
  <si>
    <t>Es la fuente de verdad, si le pasa algo el resto de hojas se ven afectadas</t>
  </si>
  <si>
    <t>Las columnas que se rellenan manualmente son vulnerables, si se eliminan, no hay manera de recuperarlas</t>
  </si>
  <si>
    <t>Generada automaticamente</t>
  </si>
  <si>
    <t>Es la fuente de verdad de generos padre</t>
  </si>
  <si>
    <t>Si por lo que sea has borrado algo que no deberías, puedes revertir el excel a través del repo de github</t>
  </si>
  <si>
    <t>Aclaración script: al empezar, el script guarda localmente los metadatos de la tabla de albums, y despues procede a BORRAR todas las hojas menos</t>
  </si>
  <si>
    <t>(Si algo es invulnerable significa que no pasa nada si modificas la hoja, el script la va a borrar igualmente para volver a generarla)</t>
  </si>
  <si>
    <t>IMPORTANTE: no cambiar el nombre de las hojas</t>
  </si>
  <si>
    <t>la de Albums y Mapeo Generos. Es decir, todo viene desde ese guardado local y la hoja Albums (y mapeo generos), de eso genera otra vez todas las hojas</t>
  </si>
  <si>
    <t>Woman Worldwide</t>
  </si>
  <si>
    <t>french electro, mashup</t>
  </si>
  <si>
    <t>08/06/2026</t>
  </si>
  <si>
    <t>07/06/2026</t>
  </si>
  <si>
    <t>2007 - 2018</t>
  </si>
  <si>
    <t>From Mars to Sirius, The way of all flesh</t>
  </si>
  <si>
    <t>I Wanna Be Adored</t>
  </si>
  <si>
    <t>She Bangs the Drums</t>
  </si>
  <si>
    <t>Waterfall</t>
  </si>
  <si>
    <t>Bye Bye Bad Man</t>
  </si>
  <si>
    <t>Elizabeth My Dear</t>
  </si>
  <si>
    <t>(Song for My) Sugar Spun Sister</t>
  </si>
  <si>
    <t>Made of Stone</t>
  </si>
  <si>
    <t>Shoot You Down</t>
  </si>
  <si>
    <t>This Is the One</t>
  </si>
  <si>
    <t>I Am the Resurrection</t>
  </si>
  <si>
    <t>Fools Gold</t>
  </si>
  <si>
    <r>
      <t xml:space="preserve">* The Stone Roses - </t>
    </r>
    <r>
      <rPr>
        <b/>
        <sz val="14"/>
        <color rgb="FFF7F171"/>
        <rFont val="Aptos Narrow"/>
        <family val="2"/>
        <scheme val="minor"/>
      </rPr>
      <t>The Stone Roses</t>
    </r>
  </si>
  <si>
    <r>
      <t xml:space="preserve">* Dissection - </t>
    </r>
    <r>
      <rPr>
        <b/>
        <sz val="12"/>
        <color rgb="FFD3A7FF"/>
        <rFont val="Aptos Narrow"/>
        <family val="2"/>
        <scheme val="minor"/>
      </rPr>
      <t>Storm of the Light's Bane</t>
    </r>
  </si>
  <si>
    <t>At the Fathomless Depths</t>
  </si>
  <si>
    <t>Night's Blood</t>
  </si>
  <si>
    <t>Unhallowed</t>
  </si>
  <si>
    <t>Where Dead Angels Lie</t>
  </si>
  <si>
    <t>Thorns of Crimson Death</t>
  </si>
  <si>
    <t>Soulreaper</t>
  </si>
  <si>
    <t>No Dreams Breed in Breathless Sleep</t>
  </si>
  <si>
    <t>The Stone Roses</t>
  </si>
  <si>
    <t>jangle pop, baggy</t>
  </si>
  <si>
    <t>09/06/2026</t>
  </si>
  <si>
    <t>baggy</t>
  </si>
  <si>
    <t>La columa de Subgenero se rellena automaticamente, coge los subgeneros de la tabla de la hoja Tabla Albums</t>
  </si>
  <si>
    <t>Manualmente se rellana la columa a su derecha, para asociar subgéneros con géneros padre</t>
  </si>
  <si>
    <t>(automaticamente se pondrá en la tercera columna)</t>
  </si>
  <si>
    <t>Retribution</t>
  </si>
  <si>
    <t>Dissection</t>
  </si>
  <si>
    <t>Storm of the Light's Bane</t>
  </si>
  <si>
    <t>melodic black metal, melodic death metal</t>
  </si>
  <si>
    <t>melodic black metal</t>
  </si>
  <si>
    <r>
      <t xml:space="preserve">* Meshuggah - </t>
    </r>
    <r>
      <rPr>
        <b/>
        <sz val="14"/>
        <color theme="1"/>
        <rFont val="Aptos Narrow"/>
        <family val="2"/>
        <scheme val="minor"/>
      </rPr>
      <t>Nothing</t>
    </r>
  </si>
  <si>
    <t>Stengah</t>
  </si>
  <si>
    <t>Rational Gaze</t>
  </si>
  <si>
    <t>Perpetual Black Second</t>
  </si>
  <si>
    <t>Closed Eye Visuals</t>
  </si>
  <si>
    <t>Glints Collide</t>
  </si>
  <si>
    <t>Organic Shadows</t>
  </si>
  <si>
    <t>Straws Pulled at Random</t>
  </si>
  <si>
    <t>Spasm</t>
  </si>
  <si>
    <t>Nebulous</t>
  </si>
  <si>
    <t>Obsidian</t>
  </si>
  <si>
    <r>
      <t xml:space="preserve">* Aphex Twin - </t>
    </r>
    <r>
      <rPr>
        <b/>
        <sz val="12"/>
        <color theme="5" tint="0.39997558519241921"/>
        <rFont val="Aptos Narrow"/>
        <family val="2"/>
        <scheme val="minor"/>
      </rPr>
      <t>Richard D. James Album</t>
    </r>
  </si>
  <si>
    <t>Cornish Acid</t>
  </si>
  <si>
    <t>Peek 82454201</t>
  </si>
  <si>
    <t>Fingerbib</t>
  </si>
  <si>
    <t>Carn Marth</t>
  </si>
  <si>
    <t>Goon Gumpas</t>
  </si>
  <si>
    <t>Yellow Calx</t>
  </si>
  <si>
    <t>Girl/Boy Song</t>
  </si>
  <si>
    <t>Logan Rock Witch</t>
  </si>
  <si>
    <t>Richard D. James Album</t>
  </si>
  <si>
    <t>Nothing</t>
  </si>
  <si>
    <t>djent, groove metal</t>
  </si>
  <si>
    <t>10/06/2026</t>
  </si>
  <si>
    <t>idm, drill and bass</t>
  </si>
  <si>
    <t>32m</t>
  </si>
  <si>
    <t>drill and bass</t>
  </si>
  <si>
    <r>
      <t xml:space="preserve">* Don Toliver - </t>
    </r>
    <r>
      <rPr>
        <b/>
        <sz val="14"/>
        <color theme="0" tint="-0.14999847407452621"/>
        <rFont val="Aptos Narrow"/>
        <family val="2"/>
        <scheme val="minor"/>
      </rPr>
      <t>HARDSTONE PSYCHO</t>
    </r>
  </si>
  <si>
    <t>KRYPTONITE</t>
  </si>
  <si>
    <t>TORE UP</t>
  </si>
  <si>
    <t>BROTHER STONE</t>
  </si>
  <si>
    <t>ATTITUDE</t>
  </si>
  <si>
    <t>BANDIT</t>
  </si>
  <si>
    <t>GLOCK</t>
  </si>
  <si>
    <t>ICE AGE</t>
  </si>
  <si>
    <t>4X4</t>
  </si>
  <si>
    <t>PURPLE RAIN</t>
  </si>
  <si>
    <t>NEW DROP</t>
  </si>
  <si>
    <t>BACKSTREETS</t>
  </si>
  <si>
    <t>DEEP IN THE WATER</t>
  </si>
  <si>
    <t>INSIDE</t>
  </si>
  <si>
    <t>5 TO 10</t>
  </si>
  <si>
    <t>LAST LAUGH</t>
  </si>
  <si>
    <t>HARDSTONE NATIONAL ANTHEM</t>
  </si>
  <si>
    <t>HARDSTONE PSYCHO</t>
  </si>
  <si>
    <t>11/06/2026</t>
  </si>
  <si>
    <r>
      <t xml:space="preserve">* Aphex Twin - </t>
    </r>
    <r>
      <rPr>
        <b/>
        <sz val="10"/>
        <color rgb="FFF7DCBB"/>
        <rFont val="Aptos Narrow"/>
        <family val="2"/>
        <scheme val="minor"/>
      </rPr>
      <t>Selected Ambient Works Volume II</t>
    </r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</si>
  <si>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</si>
  <si>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</si>
  <si>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</si>
  <si>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</si>
  <si>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</si>
  <si>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</si>
  <si>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</si>
  <si>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</si>
  <si>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</si>
  <si>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</si>
  <si>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</si>
  <si>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</si>
  <si>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</si>
  <si>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</si>
  <si>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</si>
  <si>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</si>
  <si>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</si>
  <si>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</si>
  <si>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</si>
  <si>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</si>
  <si>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</si>
  <si>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</si>
  <si>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</si>
  <si>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</si>
  <si>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Selected Ambient Works Volume II</t>
  </si>
  <si>
    <t>2024 - 2026</t>
  </si>
  <si>
    <t>HARDSTONE PSYCHO, OCTANE</t>
  </si>
  <si>
    <r>
      <t xml:space="preserve">* Boris - </t>
    </r>
    <r>
      <rPr>
        <b/>
        <sz val="14"/>
        <color rgb="FFFF89E6"/>
        <rFont val="Aptos Narrow"/>
        <family val="2"/>
        <scheme val="minor"/>
      </rPr>
      <t>Pink</t>
    </r>
  </si>
  <si>
    <t>Farewell</t>
  </si>
  <si>
    <t>Pink</t>
  </si>
  <si>
    <t>Woman on the Screen</t>
  </si>
  <si>
    <t>Nothing Special</t>
  </si>
  <si>
    <t>Blackout</t>
  </si>
  <si>
    <t>Electric</t>
  </si>
  <si>
    <t>Pseudo Bread</t>
  </si>
  <si>
    <t>Afterburner</t>
  </si>
  <si>
    <t>Six, Three Times</t>
  </si>
  <si>
    <t>My Machine</t>
  </si>
  <si>
    <t>Just Abandoned Myself</t>
  </si>
  <si>
    <t>ambient, electronic</t>
  </si>
  <si>
    <t>2h 36m</t>
  </si>
  <si>
    <t>12/06/2026</t>
  </si>
  <si>
    <t>noise rock, stoner metal</t>
  </si>
  <si>
    <t>Minecraft Volume Beta [OST], Minecraft Volume Alpha [OST]</t>
  </si>
  <si>
    <t>noise rock</t>
  </si>
  <si>
    <t>Aphex Twin - Selected Ambient Works Volume II (2h 36m)</t>
  </si>
  <si>
    <t>(sic)</t>
  </si>
  <si>
    <t>Eyeless</t>
  </si>
  <si>
    <t>Wait and Bleed</t>
  </si>
  <si>
    <t>Surfacing</t>
  </si>
  <si>
    <t>Spit It Out</t>
  </si>
  <si>
    <t>Tattered &amp; Torn</t>
  </si>
  <si>
    <t>Me Inside</t>
  </si>
  <si>
    <t>Liberate</t>
  </si>
  <si>
    <t>Prosthetics</t>
  </si>
  <si>
    <t>No Life</t>
  </si>
  <si>
    <t>Diluted</t>
  </si>
  <si>
    <t>Only One</t>
  </si>
  <si>
    <t>Scissors</t>
  </si>
  <si>
    <t>Eeyore</t>
  </si>
  <si>
    <t>742617000027</t>
  </si>
  <si>
    <t xml:space="preserve"> </t>
  </si>
  <si>
    <r>
      <t xml:space="preserve">* Slipknot - </t>
    </r>
    <r>
      <rPr>
        <b/>
        <sz val="14"/>
        <color rgb="FFFF0000"/>
        <rFont val="Aptos Narrow"/>
        <scheme val="minor"/>
      </rPr>
      <t>Slipknot</t>
    </r>
  </si>
  <si>
    <t>Slipknot</t>
  </si>
  <si>
    <t>13/06/2026</t>
  </si>
  <si>
    <r>
      <t xml:space="preserve">* Talk Talk - </t>
    </r>
    <r>
      <rPr>
        <b/>
        <sz val="14"/>
        <color rgb="FF00B0F0"/>
        <rFont val="Aptos Narrow"/>
        <scheme val="minor"/>
      </rPr>
      <t>Spirit of Eden</t>
    </r>
  </si>
  <si>
    <t>Inheritance</t>
  </si>
  <si>
    <t>I Believe in You</t>
  </si>
  <si>
    <t>Wealth</t>
  </si>
  <si>
    <t>The Rainbow / Eden / Desire</t>
  </si>
  <si>
    <t>Talk Talk</t>
  </si>
  <si>
    <t>Spirit of Eden</t>
  </si>
  <si>
    <t>post rock, art rock</t>
  </si>
  <si>
    <t>14/06/2026</t>
  </si>
  <si>
    <t>Entonces si se ha incluido un subgenero nuevo, hay que introducir su asociación.</t>
  </si>
  <si>
    <r>
      <t xml:space="preserve">* Godspeed You! Black Emperor - </t>
    </r>
    <r>
      <rPr>
        <b/>
        <sz val="11"/>
        <color theme="1" tint="0.14999847407452621"/>
        <rFont val="Aptos Narrow"/>
        <family val="2"/>
        <scheme val="minor"/>
      </rPr>
      <t>Yanqui U.X.O.</t>
    </r>
  </si>
  <si>
    <t>09-15-00 [part I]</t>
  </si>
  <si>
    <t>09-15-00 [part II]</t>
  </si>
  <si>
    <t>Rocket Falls on Rocket Falls</t>
  </si>
  <si>
    <t>Motherfucker=Redeemer [part I]</t>
  </si>
  <si>
    <t>Motherfucker=Redeemer [part II]</t>
  </si>
  <si>
    <r>
      <t xml:space="preserve">* Swans - </t>
    </r>
    <r>
      <rPr>
        <b/>
        <sz val="12"/>
        <color rgb="FF9EB6DA"/>
        <rFont val="Aptos Narrow"/>
        <family val="2"/>
        <scheme val="minor"/>
      </rPr>
      <t>Soundtracks for the Blind</t>
    </r>
  </si>
  <si>
    <t>Red Velvet Corridor</t>
  </si>
  <si>
    <t>I Was a Prisoner In Your Skull</t>
  </si>
  <si>
    <t>Helpless Child</t>
  </si>
  <si>
    <t>Live Through Me</t>
  </si>
  <si>
    <t>Yum-Yab Killers</t>
  </si>
  <si>
    <t>The Beautiful Days</t>
  </si>
  <si>
    <t>Volcano</t>
  </si>
  <si>
    <t>Mellothumb</t>
  </si>
  <si>
    <t>All Lined Up</t>
  </si>
  <si>
    <t>Surrogate 2</t>
  </si>
  <si>
    <t>How They Suffer</t>
  </si>
  <si>
    <t>Animus</t>
  </si>
  <si>
    <t>Red Velvet Wound</t>
  </si>
  <si>
    <t>The Sound</t>
  </si>
  <si>
    <t>Her Mouth Is Filled With Honey</t>
  </si>
  <si>
    <t>Blood Section</t>
  </si>
  <si>
    <t>Hypogirl</t>
  </si>
  <si>
    <t>Minus Something</t>
  </si>
  <si>
    <t>Empathy</t>
  </si>
  <si>
    <t>I Love You This Much</t>
  </si>
  <si>
    <t>YRP</t>
  </si>
  <si>
    <t>Fan's Lament</t>
  </si>
  <si>
    <t>Secret Friends</t>
  </si>
  <si>
    <t>The Final Sacrifice</t>
  </si>
  <si>
    <t>Surrogate Drone</t>
  </si>
  <si>
    <t>YRP 2</t>
  </si>
  <si>
    <t>Yanqui U.X.O.</t>
  </si>
  <si>
    <t>15/06/2026</t>
  </si>
  <si>
    <t>Dancing with the Moonlit Knight</t>
  </si>
  <si>
    <t>I Know What I Like (In Your Wardrobe)</t>
  </si>
  <si>
    <t>Firth of Fifth</t>
  </si>
  <si>
    <t>More Fool Me</t>
  </si>
  <si>
    <t>The Battle of Epping Forest</t>
  </si>
  <si>
    <t>After the Ordeal</t>
  </si>
  <si>
    <t>The Cinema Show</t>
  </si>
  <si>
    <t>Aisle of Plenty</t>
  </si>
  <si>
    <r>
      <t>* Genesis -</t>
    </r>
    <r>
      <rPr>
        <b/>
        <sz val="12"/>
        <color rgb="FF93C359"/>
        <rFont val="Aptos Narrow"/>
        <family val="2"/>
        <scheme val="minor"/>
      </rPr>
      <t xml:space="preserve"> Selling England by the Pound</t>
    </r>
  </si>
  <si>
    <t>Selling England by the Pound</t>
  </si>
  <si>
    <t>Soundtracks for the Blind</t>
  </si>
  <si>
    <t>1997 - 2002</t>
  </si>
  <si>
    <t>Lift Yr. Skinny Fists Like Antennas to Heaven!, Yanqui U.X.O., F♯A♯∞</t>
  </si>
  <si>
    <t>progressive rock, symphonic prog</t>
  </si>
  <si>
    <t>16/06/2026</t>
  </si>
  <si>
    <r>
      <t xml:space="preserve">* A Perfect Circle - </t>
    </r>
    <r>
      <rPr>
        <b/>
        <sz val="14"/>
        <color rgb="FFFB9103"/>
        <rFont val="Aptos Narrow"/>
        <family val="2"/>
        <scheme val="minor"/>
      </rPr>
      <t>Mer De Noms</t>
    </r>
  </si>
  <si>
    <t>The Hollow</t>
  </si>
  <si>
    <t>Magdalena</t>
  </si>
  <si>
    <t>Rose</t>
  </si>
  <si>
    <t>Judith</t>
  </si>
  <si>
    <t>Orestes</t>
  </si>
  <si>
    <t>3 Libras</t>
  </si>
  <si>
    <t>Sleeping Beauty</t>
  </si>
  <si>
    <t>Thomas</t>
  </si>
  <si>
    <t>Renholdër</t>
  </si>
  <si>
    <t>Thinking Of You</t>
  </si>
  <si>
    <t>Breña</t>
  </si>
  <si>
    <t>Over</t>
  </si>
  <si>
    <t>Mer De Noms</t>
  </si>
  <si>
    <t>17/06/2026</t>
  </si>
  <si>
    <t>Heritage</t>
  </si>
  <si>
    <t>The Devil's Orchard</t>
  </si>
  <si>
    <t>I Feel the Dark</t>
  </si>
  <si>
    <t>Slither</t>
  </si>
  <si>
    <t>Nepenthe</t>
  </si>
  <si>
    <t>Häxprocess</t>
  </si>
  <si>
    <t>Famine</t>
  </si>
  <si>
    <t>The Lines in My Hand</t>
  </si>
  <si>
    <t>Folklore</t>
  </si>
  <si>
    <t>Marrow of the Earth</t>
  </si>
  <si>
    <r>
      <t xml:space="preserve">* Opeth - </t>
    </r>
    <r>
      <rPr>
        <b/>
        <sz val="14"/>
        <color rgb="FFFFC000"/>
        <rFont val="Aptos Narrow"/>
        <family val="2"/>
        <scheme val="minor"/>
      </rPr>
      <t>Heritage</t>
    </r>
  </si>
  <si>
    <r>
      <t xml:space="preserve">* Karnivool - </t>
    </r>
    <r>
      <rPr>
        <b/>
        <sz val="14"/>
        <color rgb="FF8E823A"/>
        <rFont val="Aptos Narrow"/>
        <family val="2"/>
        <scheme val="minor"/>
      </rPr>
      <t>Themata</t>
    </r>
  </si>
  <si>
    <t>C.O.T.E.</t>
  </si>
  <si>
    <t>Themata</t>
  </si>
  <si>
    <t>Shutterspeed</t>
  </si>
  <si>
    <t>Fear of the Sky</t>
  </si>
  <si>
    <t>Roquefort</t>
  </si>
  <si>
    <t>L1FEl1KE</t>
  </si>
  <si>
    <t>Scarabs</t>
  </si>
  <si>
    <t>Sewn and Silent</t>
  </si>
  <si>
    <t>Mauseum</t>
  </si>
  <si>
    <t>Synops</t>
  </si>
  <si>
    <t>Ommitted For Clarity</t>
  </si>
  <si>
    <t>Change (Part 1)</t>
  </si>
  <si>
    <t>2h 21m</t>
  </si>
  <si>
    <t>18/06/2026</t>
  </si>
  <si>
    <t>1996 - 2014</t>
  </si>
  <si>
    <t>2h 11m</t>
  </si>
  <si>
    <t>2005 - 2026</t>
  </si>
  <si>
    <t>Lateralus, 10,000 Days, Ænima, Salival [LIVE]</t>
  </si>
  <si>
    <t>Archangel</t>
  </si>
  <si>
    <t>Near Dark</t>
  </si>
  <si>
    <t>Ghost Hardware</t>
  </si>
  <si>
    <t>Endorphin</t>
  </si>
  <si>
    <t>Etched Headplate</t>
  </si>
  <si>
    <t>In McDonalds</t>
  </si>
  <si>
    <t>Untrue</t>
  </si>
  <si>
    <t>Shell of Light</t>
  </si>
  <si>
    <t>Dog Shelter</t>
  </si>
  <si>
    <t>Homeless</t>
  </si>
  <si>
    <t>UK</t>
  </si>
  <si>
    <t>Raver</t>
  </si>
  <si>
    <r>
      <t xml:space="preserve">* Burial - </t>
    </r>
    <r>
      <rPr>
        <b/>
        <sz val="14"/>
        <color theme="1" tint="0.14999847407452621"/>
        <rFont val="Aptos Narrow"/>
        <family val="2"/>
        <scheme val="minor"/>
      </rPr>
      <t>Untrue</t>
    </r>
  </si>
  <si>
    <t>Burial</t>
  </si>
  <si>
    <t>future garage, dubstep</t>
  </si>
  <si>
    <t>dubstep</t>
  </si>
  <si>
    <t>future garage</t>
  </si>
  <si>
    <t>Symbolic</t>
  </si>
  <si>
    <t>Zero Tolerance</t>
  </si>
  <si>
    <t>Empty Words</t>
  </si>
  <si>
    <t>Sacred Serenity</t>
  </si>
  <si>
    <t>1,000 Days</t>
  </si>
  <si>
    <t>Without Jugdement</t>
  </si>
  <si>
    <t>Crystal Mountain</t>
  </si>
  <si>
    <t>Misanthrope</t>
  </si>
  <si>
    <t>Perennial Quest</t>
  </si>
  <si>
    <r>
      <t xml:space="preserve">* Death - </t>
    </r>
    <r>
      <rPr>
        <b/>
        <sz val="14"/>
        <color rgb="FFDE0000"/>
        <rFont val="Aptos Narrow"/>
        <family val="2"/>
        <scheme val="minor"/>
      </rPr>
      <t>Symbolic</t>
    </r>
  </si>
  <si>
    <t>19/06/2026</t>
  </si>
  <si>
    <t>Ain't My Bitch</t>
  </si>
  <si>
    <t>2 x 4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</si>
  <si>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</si>
  <si>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</si>
  <si>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</si>
  <si>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</si>
  <si>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</si>
  <si>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</si>
  <si>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</si>
  <si>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Wasting My Hate</t>
  </si>
  <si>
    <t>Mama Said</t>
  </si>
  <si>
    <t>Thorn Within</t>
  </si>
  <si>
    <t>Ronnie</t>
  </si>
  <si>
    <t>The Outlaw Torn</t>
  </si>
  <si>
    <t>Load</t>
  </si>
  <si>
    <t>1995 - 1998</t>
  </si>
  <si>
    <t>1h 18m</t>
  </si>
  <si>
    <t>22/06/2026</t>
  </si>
  <si>
    <t>Beautiful World</t>
  </si>
  <si>
    <t>Analog Sentimentalism</t>
  </si>
  <si>
    <t>White Ceiling</t>
  </si>
  <si>
    <r>
      <t xml:space="preserve">* Parannoul - </t>
    </r>
    <r>
      <rPr>
        <b/>
        <sz val="10"/>
        <color theme="0"/>
        <rFont val="Aptos Narrow"/>
        <family val="2"/>
        <scheme val="minor"/>
      </rPr>
      <t>To See the Next Part of the Dream</t>
    </r>
  </si>
  <si>
    <t>To See the Next Part of the Dream</t>
  </si>
  <si>
    <t>Age of Fluctuation</t>
  </si>
  <si>
    <t>Youth Rebellion</t>
  </si>
  <si>
    <t>Extra Story</t>
  </si>
  <si>
    <t>Chicken</t>
  </si>
  <si>
    <t>I Can Feel My Heart Touching You</t>
  </si>
  <si>
    <t>Parannoul</t>
  </si>
  <si>
    <t>TOP  Heavy Metal (6 álbumes)</t>
  </si>
  <si>
    <t>Metallica, Load</t>
  </si>
  <si>
    <t>shoegaze, emo</t>
  </si>
  <si>
    <t>emo</t>
  </si>
  <si>
    <r>
      <t xml:space="preserve">* Rush - </t>
    </r>
    <r>
      <rPr>
        <b/>
        <sz val="14"/>
        <color rgb="FFD40000"/>
        <rFont val="Aptos Narrow"/>
        <scheme val="minor"/>
      </rPr>
      <t>Moving Pictures</t>
    </r>
  </si>
  <si>
    <t>Tom Sawyer</t>
  </si>
  <si>
    <t>Red Barchetta</t>
  </si>
  <si>
    <t>YYZ</t>
  </si>
  <si>
    <t>Limelight</t>
  </si>
  <si>
    <t>The Camera Eye</t>
  </si>
  <si>
    <t>Witch Hunt</t>
  </si>
  <si>
    <t>Vital Signs</t>
  </si>
  <si>
    <r>
      <t xml:space="preserve">* Metallica - </t>
    </r>
    <r>
      <rPr>
        <b/>
        <sz val="14"/>
        <color rgb="FFFF9966"/>
        <rFont val="Aptos Narrow"/>
        <family val="2"/>
        <scheme val="minor"/>
      </rPr>
      <t>Load</t>
    </r>
  </si>
  <si>
    <t>For Residue</t>
  </si>
  <si>
    <t xml:space="preserve">Bumpy </t>
  </si>
  <si>
    <t>LifeWorld</t>
  </si>
  <si>
    <t xml:space="preserve">Measuring Ruins </t>
  </si>
  <si>
    <t xml:space="preserve">Modern Lust </t>
  </si>
  <si>
    <t xml:space="preserve">Fear of Symmetry </t>
  </si>
  <si>
    <t xml:space="preserve">Vestigel </t>
  </si>
  <si>
    <t xml:space="preserve">Cherry Blue </t>
  </si>
  <si>
    <t>Bell Scanner</t>
  </si>
  <si>
    <t>D.I.S.</t>
  </si>
  <si>
    <r>
      <t xml:space="preserve">* Oneohtrix Point Never - </t>
    </r>
    <r>
      <rPr>
        <b/>
        <sz val="12"/>
        <color rgb="FF63FB44"/>
        <rFont val="Aptos Narrow"/>
        <scheme val="minor"/>
      </rPr>
      <t>Tranquilizer</t>
    </r>
  </si>
  <si>
    <t>Oneohtrix Point Never</t>
  </si>
  <si>
    <t>Tranquilizer</t>
  </si>
  <si>
    <t>Rush</t>
  </si>
  <si>
    <t>Moving Pictures</t>
  </si>
  <si>
    <t>progressive rock, hard rock</t>
  </si>
  <si>
    <t>progressive electronic, ambient</t>
  </si>
  <si>
    <t>23/06/2026</t>
  </si>
  <si>
    <t>progressive electronic</t>
  </si>
  <si>
    <r>
      <t xml:space="preserve">* Fiona Apple - </t>
    </r>
    <r>
      <rPr>
        <b/>
        <sz val="14"/>
        <color rgb="FFFF0000"/>
        <rFont val="Aptos Narrow"/>
        <family val="2"/>
        <scheme val="minor"/>
      </rPr>
      <t>When The Pawn...</t>
    </r>
  </si>
  <si>
    <t>On The Bound</t>
  </si>
  <si>
    <t>To Your Love</t>
  </si>
  <si>
    <t>Limp</t>
  </si>
  <si>
    <t>Love Ridden</t>
  </si>
  <si>
    <t>Paper Bag</t>
  </si>
  <si>
    <t>A Mistake</t>
  </si>
  <si>
    <t>Fast As You Can</t>
  </si>
  <si>
    <t>The Way Things Are</t>
  </si>
  <si>
    <t>Get Gone</t>
  </si>
  <si>
    <t>I Know</t>
  </si>
  <si>
    <t>Fiona Apple</t>
  </si>
  <si>
    <t>When The Pawn...</t>
  </si>
  <si>
    <t>singer songwriter, alternative rock</t>
  </si>
  <si>
    <t>24/06/2026</t>
  </si>
  <si>
    <r>
      <t xml:space="preserve">* Frank Zappa - </t>
    </r>
    <r>
      <rPr>
        <b/>
        <sz val="14"/>
        <color theme="0"/>
        <rFont val="Aptos Narrow"/>
        <family val="2"/>
        <scheme val="minor"/>
      </rPr>
      <t>Hot Rats</t>
    </r>
  </si>
  <si>
    <t>Peaches En Regalia</t>
  </si>
  <si>
    <t>Willie The Pimp</t>
  </si>
  <si>
    <t>Son Of Mr. Green Genes</t>
  </si>
  <si>
    <t>Little Umbrellas</t>
  </si>
  <si>
    <t>The Gumbo Variations</t>
  </si>
  <si>
    <t>It Must Be A Camel</t>
  </si>
  <si>
    <t>Annihilate</t>
  </si>
  <si>
    <t>Am I Dreaming</t>
  </si>
  <si>
    <t>All The Way Live</t>
  </si>
  <si>
    <t>Danger</t>
  </si>
  <si>
    <t>Hummingbird</t>
  </si>
  <si>
    <t>Calling</t>
  </si>
  <si>
    <t>Silk &amp; Cologne</t>
  </si>
  <si>
    <t>Link Up</t>
  </si>
  <si>
    <t>Self Love</t>
  </si>
  <si>
    <t>Home</t>
  </si>
  <si>
    <t>Nonviolent</t>
  </si>
  <si>
    <t>Givin' Up</t>
  </si>
  <si>
    <t>Nas Morales</t>
  </si>
  <si>
    <r>
      <t xml:space="preserve">* Metro Boomin - </t>
    </r>
    <r>
      <rPr>
        <b/>
        <sz val="11"/>
        <color rgb="FFFF00D7"/>
        <rFont val="Aptos Narrow"/>
        <scheme val="minor"/>
      </rPr>
      <t>Spider-Man: Across The Spider-Verse</t>
    </r>
    <r>
      <rPr>
        <sz val="11"/>
        <color rgb="FFFF00D7"/>
        <rFont val="Aptos Narrow"/>
        <scheme val="minor"/>
      </rPr>
      <t xml:space="preserve"> [OST]</t>
    </r>
  </si>
  <si>
    <t>Never Meant</t>
  </si>
  <si>
    <t>The Summer Ends</t>
  </si>
  <si>
    <t>Honestly?</t>
  </si>
  <si>
    <t>For Sure</t>
  </si>
  <si>
    <t>You Know I Should Be Leaving Soon</t>
  </si>
  <si>
    <t>But the Regrets Are Killing Me</t>
  </si>
  <si>
    <t>I'll See You When We're Both Not So Emotional</t>
  </si>
  <si>
    <t>Stay Home</t>
  </si>
  <si>
    <t>The One With The Wurlitzer</t>
  </si>
  <si>
    <r>
      <t xml:space="preserve">* American Football - </t>
    </r>
    <r>
      <rPr>
        <b/>
        <sz val="12"/>
        <color rgb="FFF2F0C0"/>
        <rFont val="Aptos Narrow"/>
        <scheme val="minor"/>
      </rPr>
      <t>American Football</t>
    </r>
  </si>
  <si>
    <t>Frank Zappa</t>
  </si>
  <si>
    <t>Hot Rats</t>
  </si>
  <si>
    <t>Metro Boomin</t>
  </si>
  <si>
    <t>Spider-Man: Across The Spider-Verse [OST]</t>
  </si>
  <si>
    <t>American Football</t>
  </si>
  <si>
    <t>jazz rock, jazz fusion</t>
  </si>
  <si>
    <t>midwest emo, post rock</t>
  </si>
  <si>
    <t>25/06/2026</t>
  </si>
  <si>
    <t>pop rap, trap</t>
  </si>
  <si>
    <r>
      <t xml:space="preserve">* Blue Öyster Cult - </t>
    </r>
    <r>
      <rPr>
        <b/>
        <sz val="12"/>
        <color theme="5" tint="-0.499984740745262"/>
        <rFont val="Aptos Narrow"/>
        <family val="2"/>
        <scheme val="minor"/>
      </rPr>
      <t>Fire of Unknown Origin</t>
    </r>
  </si>
  <si>
    <t>Fire of Unknown Origin</t>
  </si>
  <si>
    <t>Burnin' for You</t>
  </si>
  <si>
    <t>Veteran of the Psychic Wars</t>
  </si>
  <si>
    <t>Sole Survivor</t>
  </si>
  <si>
    <t>Heavy Metal: The Black and Silver</t>
  </si>
  <si>
    <t>Vengeance</t>
  </si>
  <si>
    <t>After Dark</t>
  </si>
  <si>
    <t>Joan Crawford</t>
  </si>
  <si>
    <t>Don't Turn Your Back</t>
  </si>
  <si>
    <t>TOP  Trap (6 álbumes)</t>
  </si>
  <si>
    <t>jazz rock</t>
  </si>
  <si>
    <t>midwest emo</t>
  </si>
  <si>
    <t>Blue Öyster Cult</t>
  </si>
  <si>
    <t>hard rock, occult rock</t>
  </si>
  <si>
    <t>26/06/2026</t>
  </si>
  <si>
    <t>occult rock</t>
  </si>
  <si>
    <t>Mes</t>
  </si>
  <si>
    <t>Reviews acumuladas</t>
  </si>
  <si>
    <t>2026-01</t>
  </si>
  <si>
    <t>2026-02</t>
  </si>
  <si>
    <t>2026-03</t>
  </si>
  <si>
    <t>2026-04</t>
  </si>
  <si>
    <t>2026-05</t>
  </si>
  <si>
    <t>2026-06</t>
  </si>
  <si>
    <t>Reviews del mes</t>
  </si>
  <si>
    <t>Nota</t>
  </si>
  <si>
    <t>Frecuencia</t>
  </si>
  <si>
    <t>0.0</t>
  </si>
  <si>
    <t>0.5</t>
  </si>
  <si>
    <t>1.0</t>
  </si>
  <si>
    <t>1.5</t>
  </si>
  <si>
    <t>2.0</t>
  </si>
  <si>
    <t>2.5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</si>
  <si>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</si>
  <si>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</si>
  <si>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</si>
  <si>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</si>
  <si>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</si>
  <si>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</si>
  <si>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</si>
  <si>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</si>
  <si>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</si>
  <si>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</si>
  <si>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</si>
  <si>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</si>
  <si>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</si>
  <si>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</si>
  <si>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</si>
  <si>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10.5</t>
  </si>
  <si>
    <t>Década</t>
  </si>
  <si>
    <t>3rd EYE SCORE medio</t>
  </si>
  <si>
    <t>1966</t>
  </si>
  <si>
    <t>1967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</si>
  <si>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</si>
  <si>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</si>
  <si>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</si>
  <si>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</si>
  <si>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</si>
  <si>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</si>
  <si>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</si>
  <si>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</si>
  <si>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</si>
  <si>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</si>
  <si>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1981</t>
  </si>
  <si>
    <t>1982</t>
  </si>
  <si>
    <t>1983</t>
  </si>
  <si>
    <t>1984</t>
  </si>
  <si>
    <t>1985</t>
  </si>
  <si>
    <t>1986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</si>
  <si>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</si>
  <si>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</si>
  <si>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</si>
  <si>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</si>
  <si>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</si>
  <si>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</si>
  <si>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</si>
  <si>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</si>
  <si>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</si>
  <si>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</si>
  <si>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</si>
  <si>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</si>
  <si>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</si>
  <si>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</si>
  <si>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</si>
  <si>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</si>
  <si>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</si>
  <si>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</si>
  <si>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</si>
  <si>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</si>
  <si>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</si>
  <si>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</si>
  <si>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</si>
  <si>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</si>
  <si>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</si>
  <si>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</si>
  <si>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</si>
  <si>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</si>
  <si>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</si>
  <si>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</si>
  <si>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</si>
  <si>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</si>
  <si>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</si>
  <si>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</si>
  <si>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</si>
  <si>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</si>
  <si>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</si>
  <si>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</si>
  <si>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</si>
  <si>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Género padre</t>
  </si>
  <si>
    <t>Géneros padre</t>
  </si>
  <si>
    <t>1</t>
  </si>
  <si>
    <t>2</t>
  </si>
  <si>
    <t>Nº de canción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</si>
  <si>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</si>
  <si>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</si>
  <si>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</si>
  <si>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</si>
  <si>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</si>
  <si>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</si>
  <si>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</si>
  <si>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</si>
  <si>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</si>
  <si>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</si>
  <si>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</si>
  <si>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</si>
  <si>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</si>
  <si>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% del álbum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</si>
  <si>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</si>
  <si>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</si>
  <si>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</si>
  <si>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</si>
  <si>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</si>
  <si>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</si>
  <si>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</si>
  <si>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</si>
  <si>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</si>
  <si>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</si>
  <si>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11.0</t>
  </si>
  <si>
    <t>Duración (min)</t>
  </si>
  <si>
    <t>Nº canciones</t>
  </si>
  <si>
    <t>Desv. típica</t>
  </si>
  <si>
    <t>Opeth - Blackwater Park</t>
  </si>
  <si>
    <t>King Crimson - In The Court Of The Crimson King</t>
  </si>
  <si>
    <t>Led Zeppelin - Led Zeppelin IV</t>
  </si>
  <si>
    <t>Pink Floyd - Animals</t>
  </si>
  <si>
    <t>TOOL - Ænima</t>
  </si>
  <si>
    <t>TOOL - 10,000 Days</t>
  </si>
  <si>
    <t>Pink Floyd - The Dark Side Of The Moon</t>
  </si>
  <si>
    <t>Radiohead - OK Computer</t>
  </si>
  <si>
    <t>Godspeed You! Black Emperor - Lift Yr. Skinny Fists Like Antennas to Heaven!</t>
  </si>
  <si>
    <t>Radiohead - In Rainbows</t>
  </si>
  <si>
    <t>Pink Floyd - Wish You Were Here</t>
  </si>
  <si>
    <t>Yes - Close to the Edge</t>
  </si>
  <si>
    <t>Fishmans - LONG SEASON</t>
  </si>
  <si>
    <t>TOOL - Lateralus</t>
  </si>
  <si>
    <t>Dire Straits (3)</t>
  </si>
  <si>
    <t>Sweet Trip (2)</t>
  </si>
  <si>
    <t>David Bowie (2)</t>
  </si>
  <si>
    <t>Supertramp (2)</t>
  </si>
  <si>
    <t>Porcupine Tree (4)</t>
  </si>
  <si>
    <t>Godspeed You! Black Emperor (3)</t>
  </si>
  <si>
    <t>Pink Floyd (5)</t>
  </si>
  <si>
    <r>
      <t xml:space="preserve">* Car Seat Headrest - </t>
    </r>
    <r>
      <rPr>
        <b/>
        <sz val="12"/>
        <color theme="1"/>
        <rFont val="Aptos Narrow"/>
        <family val="2"/>
        <scheme val="minor"/>
      </rPr>
      <t>Twin Fantasy</t>
    </r>
  </si>
  <si>
    <t>My Boy - Twin Fantasy</t>
  </si>
  <si>
    <t>Beach Life-In-Death</t>
  </si>
  <si>
    <t>Stop Smoking (We Love You)</t>
  </si>
  <si>
    <t>Sober to Death</t>
  </si>
  <si>
    <t>Nervous Young Inhumans</t>
  </si>
  <si>
    <t>Bodys</t>
  </si>
  <si>
    <t>Cute Thing</t>
  </si>
  <si>
    <t>High to Death</t>
  </si>
  <si>
    <t>Famous Prophets (Stars)</t>
  </si>
  <si>
    <t>Twin Fantasy (Those Boys)</t>
  </si>
  <si>
    <t>Car Seat Headrest</t>
  </si>
  <si>
    <t>Twin Fantasy</t>
  </si>
  <si>
    <t>29/06/2026</t>
  </si>
  <si>
    <t>idm, glitch pop</t>
  </si>
  <si>
    <t>glitch pop</t>
  </si>
  <si>
    <r>
      <t xml:space="preserve">* Aphex Twin - </t>
    </r>
    <r>
      <rPr>
        <b/>
        <sz val="14"/>
        <color rgb="FFFAC062"/>
        <rFont val="Aptos Narrow"/>
        <family val="2"/>
        <scheme val="minor"/>
      </rPr>
      <t>Drukqs</t>
    </r>
  </si>
  <si>
    <t>Jynweythek</t>
  </si>
  <si>
    <t>Vordhosbn</t>
  </si>
  <si>
    <t>Kladfvgbung Mischk</t>
  </si>
  <si>
    <t>Omgyjya-Switch7</t>
  </si>
  <si>
    <t>Strotha Tynhe</t>
  </si>
  <si>
    <t>Gwely Mernans</t>
  </si>
  <si>
    <t>Bdydhyonchord</t>
  </si>
  <si>
    <t>Cock/ver10</t>
  </si>
  <si>
    <t>Avril 14th</t>
  </si>
  <si>
    <t>Mt Saint Michel + Saint Michaels Mount</t>
  </si>
  <si>
    <t>Gwarek2</t>
  </si>
  <si>
    <t>Orban Eq Trx 4</t>
  </si>
  <si>
    <t>Aussois</t>
  </si>
  <si>
    <t>Hy A Scullyas Lyf Adhagrow</t>
  </si>
  <si>
    <t>Kesson Dalek</t>
  </si>
  <si>
    <t>54 Cymru Beats</t>
  </si>
  <si>
    <t>Btoum-Roumada</t>
  </si>
  <si>
    <t>Lornaderek</t>
  </si>
  <si>
    <t>QKThr</t>
  </si>
  <si>
    <t>Meltphace 6</t>
  </si>
  <si>
    <t>Bit 4</t>
  </si>
  <si>
    <t>Prep Gwarek 36</t>
  </si>
  <si>
    <t>Father</t>
  </si>
  <si>
    <t>Taking Control</t>
  </si>
  <si>
    <t>Petiatil Cx Htdui</t>
  </si>
  <si>
    <t>Ruglen Holon</t>
  </si>
  <si>
    <t>Afx237 v.7</t>
  </si>
  <si>
    <t>Ziggomatic 17</t>
  </si>
  <si>
    <t>Beskhu3epnm</t>
  </si>
  <si>
    <t>Nanou2</t>
  </si>
  <si>
    <t>Drukqs</t>
  </si>
  <si>
    <t>progressive metal, death metal, groove metal</t>
  </si>
  <si>
    <t>drill and bass, idm</t>
  </si>
  <si>
    <t>1h 40m</t>
  </si>
  <si>
    <t>30/06/2026</t>
  </si>
  <si>
    <r>
      <t xml:space="preserve">* Deftones - </t>
    </r>
    <r>
      <rPr>
        <b/>
        <sz val="14"/>
        <color rgb="FFFFCCCC"/>
        <rFont val="Aptos Narrow"/>
        <family val="2"/>
        <scheme val="minor"/>
      </rPr>
      <t>Adrenaline</t>
    </r>
  </si>
  <si>
    <t>Bored</t>
  </si>
  <si>
    <t>Minus Blindfold</t>
  </si>
  <si>
    <t>One Weak</t>
  </si>
  <si>
    <t>Nosebleed</t>
  </si>
  <si>
    <t>Lifter</t>
  </si>
  <si>
    <t>Root</t>
  </si>
  <si>
    <t>7 Words</t>
  </si>
  <si>
    <t>Birthmark</t>
  </si>
  <si>
    <t>Engine No. 9</t>
  </si>
  <si>
    <t>Fireal</t>
  </si>
  <si>
    <t>Fist</t>
  </si>
  <si>
    <t>Adrenaline</t>
  </si>
  <si>
    <t>nu metal, alternative metal</t>
  </si>
  <si>
    <t>Blinded by Fear</t>
  </si>
  <si>
    <t>Slaughter of the Soul</t>
  </si>
  <si>
    <t>Cold</t>
  </si>
  <si>
    <t>Under a Serpent Sun</t>
  </si>
  <si>
    <t>Into the Dead Sky</t>
  </si>
  <si>
    <t>Suicide Nation</t>
  </si>
  <si>
    <t>World of Lies</t>
  </si>
  <si>
    <t>Unto Others</t>
  </si>
  <si>
    <t>Nausea</t>
  </si>
  <si>
    <t>Need</t>
  </si>
  <si>
    <t>The Flames of the End</t>
  </si>
  <si>
    <r>
      <t xml:space="preserve">* At The Gates - </t>
    </r>
    <r>
      <rPr>
        <b/>
        <sz val="12"/>
        <color rgb="FFF79C09"/>
        <rFont val="Aptos Narrow"/>
        <family val="2"/>
        <scheme val="minor"/>
      </rPr>
      <t>Slaughter Of The Soul</t>
    </r>
  </si>
  <si>
    <t>At The Gates</t>
  </si>
  <si>
    <t>Slaughter Of The Soul</t>
  </si>
  <si>
    <t>alternative metal, nu metal</t>
  </si>
  <si>
    <t>1995 - 2012</t>
  </si>
  <si>
    <t>melodic death metal, gothenburg sound</t>
  </si>
  <si>
    <r>
      <t xml:space="preserve">* Boards of Canada - </t>
    </r>
    <r>
      <rPr>
        <b/>
        <sz val="11"/>
        <color rgb="FFCBF339"/>
        <rFont val="Aptos Narrow"/>
        <family val="2"/>
        <scheme val="minor"/>
      </rPr>
      <t>The Campfire Headphase</t>
    </r>
  </si>
  <si>
    <t>Into the Rainbow Vein</t>
  </si>
  <si>
    <t>Chromakey Dreamcoat</t>
  </si>
  <si>
    <t>Satellite Anthem Icarus</t>
  </si>
  <si>
    <t>Peacock Tail</t>
  </si>
  <si>
    <t>Dayvan Cowboy</t>
  </si>
  <si>
    <t>84 Pontiac Dream</t>
  </si>
  <si>
    <t>Sherbet Head</t>
  </si>
  <si>
    <t>Oscar See Through Red Eye</t>
  </si>
  <si>
    <t>Ataronchronon</t>
  </si>
  <si>
    <t>Hey Saturday Sun</t>
  </si>
  <si>
    <t>Constants Are Changing</t>
  </si>
  <si>
    <t>Slow This Bird Down</t>
  </si>
  <si>
    <t>Tears From the Compound Eye</t>
  </si>
  <si>
    <t>Farewell Fire</t>
  </si>
  <si>
    <t>The Campfire Headphase</t>
  </si>
  <si>
    <t>TOP  Melodic Death Metal (5 álbumes)</t>
  </si>
  <si>
    <t>gothenburg sound</t>
  </si>
  <si>
    <t>downtempo, folktronica</t>
  </si>
  <si>
    <t>01/07/2026</t>
  </si>
  <si>
    <t>Concatenation</t>
  </si>
  <si>
    <t>New Millennium Cyanide Christ</t>
  </si>
  <si>
    <t>Corridor of Chameleons</t>
  </si>
  <si>
    <t>Neurotica</t>
  </si>
  <si>
    <t>The Mouth Licking What You've Bled</t>
  </si>
  <si>
    <t>Sane</t>
  </si>
  <si>
    <t>The Exquisite Machinery of Torture</t>
  </si>
  <si>
    <t>Elastic</t>
  </si>
  <si>
    <r>
      <t xml:space="preserve">* Meshuggah - </t>
    </r>
    <r>
      <rPr>
        <b/>
        <sz val="14"/>
        <color rgb="FF7E8434"/>
        <rFont val="Aptos Narrow"/>
        <family val="2"/>
        <scheme val="minor"/>
      </rPr>
      <t>Chaosphere</t>
    </r>
  </si>
  <si>
    <t>Chaosphere</t>
  </si>
  <si>
    <t>TOP  Downtempo (7 álbumes)</t>
  </si>
  <si>
    <t>Music Has The Right To Children, Geogaddi, The Campfire Headphase, Inferno</t>
  </si>
  <si>
    <t>folktronica</t>
  </si>
  <si>
    <t>2026-07</t>
  </si>
  <si>
    <t>djent, technical thrash metal</t>
  </si>
  <si>
    <t>1998 - 2008</t>
  </si>
  <si>
    <t>technical thrash metal</t>
  </si>
  <si>
    <r>
      <t xml:space="preserve">* Sunny Day Real Estate - </t>
    </r>
    <r>
      <rPr>
        <b/>
        <sz val="10"/>
        <color rgb="FFD96937"/>
        <rFont val="Aptos Narrow"/>
        <family val="2"/>
        <scheme val="minor"/>
      </rPr>
      <t>How It Feels To Be Something On</t>
    </r>
  </si>
  <si>
    <t>Pillars</t>
  </si>
  <si>
    <t>Roses In Water</t>
  </si>
  <si>
    <t>Every Shining Time You Arrive</t>
  </si>
  <si>
    <t>Two Promises</t>
  </si>
  <si>
    <t>100 Million</t>
  </si>
  <si>
    <t>How It Feels To Be Something On</t>
  </si>
  <si>
    <t>The Prophet</t>
  </si>
  <si>
    <t>Guitar And Video Games</t>
  </si>
  <si>
    <t>The Shark's Own Private Fuck</t>
  </si>
  <si>
    <t>Days Were Golden</t>
  </si>
  <si>
    <t>Sunny Day Real Estate</t>
  </si>
  <si>
    <t>midwest emo, indie rock</t>
  </si>
  <si>
    <t>Gimme Shelter</t>
  </si>
  <si>
    <t>Love In Vain</t>
  </si>
  <si>
    <t>Country Honk</t>
  </si>
  <si>
    <t>Live With Me</t>
  </si>
  <si>
    <t>Let It Bleed</t>
  </si>
  <si>
    <t>Midnight Rambler</t>
  </si>
  <si>
    <t>You Got The Silver</t>
  </si>
  <si>
    <t>Monkey Man</t>
  </si>
  <si>
    <t>You Can't Always Get What You Want</t>
  </si>
  <si>
    <t>The Rolling Stones</t>
  </si>
  <si>
    <t>blues rock, country rock</t>
  </si>
  <si>
    <t>02/07/2026</t>
  </si>
  <si>
    <t>country rock</t>
  </si>
  <si>
    <r>
      <t xml:space="preserve">* The Rolling Stones - </t>
    </r>
    <r>
      <rPr>
        <b/>
        <sz val="14"/>
        <color theme="1"/>
        <rFont val="Aptos Narrow"/>
        <family val="2"/>
        <scheme val="minor"/>
      </rPr>
      <t>Let It Bleed</t>
    </r>
  </si>
  <si>
    <t>Simple Boy</t>
  </si>
  <si>
    <t>Goliath</t>
  </si>
  <si>
    <t>New Day</t>
  </si>
  <si>
    <t>Set Fire to the Hive</t>
  </si>
  <si>
    <t>Umbra</t>
  </si>
  <si>
    <t>All I Know</t>
  </si>
  <si>
    <t>The Medicine Wears Off</t>
  </si>
  <si>
    <t>The Caudal Lure</t>
  </si>
  <si>
    <t>Illumine</t>
  </si>
  <si>
    <t>Deadman</t>
  </si>
  <si>
    <t>Change</t>
  </si>
  <si>
    <t>Sound Awake</t>
  </si>
  <si>
    <t>progressive rock, alternative metal</t>
  </si>
  <si>
    <r>
      <t xml:space="preserve">* Karnivool - </t>
    </r>
    <r>
      <rPr>
        <b/>
        <sz val="14"/>
        <color rgb="FFCBF339"/>
        <rFont val="Aptos Narrow"/>
        <family val="2"/>
        <scheme val="minor"/>
      </rPr>
      <t>Sound Awake</t>
    </r>
  </si>
  <si>
    <r>
      <t xml:space="preserve">* Sleep - </t>
    </r>
    <r>
      <rPr>
        <b/>
        <sz val="14"/>
        <color rgb="FF00B800"/>
        <rFont val="Aptos Narrow"/>
        <family val="2"/>
        <scheme val="minor"/>
      </rPr>
      <t>Dopesmoker</t>
    </r>
  </si>
  <si>
    <t>Dopesmoker</t>
  </si>
  <si>
    <t>Hot Lava Man</t>
  </si>
  <si>
    <t>stoner metal, doom metal</t>
  </si>
  <si>
    <t>03/07/2026</t>
  </si>
  <si>
    <t>Seventh Wave</t>
  </si>
  <si>
    <t>Life</t>
  </si>
  <si>
    <t>Night</t>
  </si>
  <si>
    <t>Hide Nowhere</t>
  </si>
  <si>
    <t>3 A.M.</t>
  </si>
  <si>
    <t>Voices in the Fan</t>
  </si>
  <si>
    <t>Greetings</t>
  </si>
  <si>
    <t>Regulator</t>
  </si>
  <si>
    <t>Funeral</t>
  </si>
  <si>
    <t>Bastard</t>
  </si>
  <si>
    <t>The Death of Music</t>
  </si>
  <si>
    <t>Thing Beyond Things</t>
  </si>
  <si>
    <r>
      <t xml:space="preserve">* Converge - </t>
    </r>
    <r>
      <rPr>
        <b/>
        <sz val="14"/>
        <color rgb="FFFBDF11"/>
        <rFont val="Aptos Narrow"/>
        <family val="2"/>
        <scheme val="minor"/>
      </rPr>
      <t>Hum of Hurt</t>
    </r>
  </si>
  <si>
    <t>Slip the Noose</t>
  </si>
  <si>
    <t>Doom in Bloom</t>
  </si>
  <si>
    <t>It Only Gets Worse</t>
  </si>
  <si>
    <t>Detonator</t>
  </si>
  <si>
    <t>I Won't Let You Go</t>
  </si>
  <si>
    <t>It's Not Up To Us</t>
  </si>
  <si>
    <t>Dream Debris</t>
  </si>
  <si>
    <t>It Used to Matter</t>
  </si>
  <si>
    <t>Hum of Hurt</t>
  </si>
  <si>
    <t>Nothing is Over</t>
  </si>
  <si>
    <r>
      <t xml:space="preserve">* Led Zeppelin - </t>
    </r>
    <r>
      <rPr>
        <b/>
        <sz val="14"/>
        <color rgb="FFFF6600"/>
        <rFont val="Aptos Narrow"/>
        <family val="2"/>
        <scheme val="minor"/>
      </rPr>
      <t>Houses of the Holy</t>
    </r>
  </si>
  <si>
    <t>The Song Reamains the Same</t>
  </si>
  <si>
    <t>The Rain Song</t>
  </si>
  <si>
    <t>Over the Hills and Far Away</t>
  </si>
  <si>
    <t>The Crunge</t>
  </si>
  <si>
    <t>Dancing Days</t>
  </si>
  <si>
    <t>D'yer Mak'er</t>
  </si>
  <si>
    <t>The Ocean</t>
  </si>
  <si>
    <t>Converge</t>
  </si>
  <si>
    <t>Houses of the Holy</t>
  </si>
  <si>
    <t>Ocean Machine</t>
  </si>
  <si>
    <t>Devin Townsend</t>
  </si>
  <si>
    <t>metalcore, post hardcore</t>
  </si>
  <si>
    <t>06/07/2026</t>
  </si>
  <si>
    <t>05/07/2026</t>
  </si>
  <si>
    <t>1970 - 1973</t>
  </si>
  <si>
    <t>metalcore</t>
  </si>
  <si>
    <t>Debaser</t>
  </si>
  <si>
    <t>Tame</t>
  </si>
  <si>
    <t>Wave of Mutilation</t>
  </si>
  <si>
    <t>I Bleed</t>
  </si>
  <si>
    <t>Here Comes Your Man</t>
  </si>
  <si>
    <t>Dead</t>
  </si>
  <si>
    <t>Monkey Gone to Heaven</t>
  </si>
  <si>
    <t>Mr. Grieves</t>
  </si>
  <si>
    <t>Crackity Jones</t>
  </si>
  <si>
    <t>La La Love You</t>
  </si>
  <si>
    <t>No 13 Baby</t>
  </si>
  <si>
    <t>There Goes My Gun</t>
  </si>
  <si>
    <t>Hey</t>
  </si>
  <si>
    <t>Silver</t>
  </si>
  <si>
    <t>Gouge Away</t>
  </si>
  <si>
    <r>
      <t xml:space="preserve">* Pixies - </t>
    </r>
    <r>
      <rPr>
        <b/>
        <sz val="14"/>
        <color rgb="FF329252"/>
        <rFont val="Aptos Narrow"/>
        <family val="2"/>
        <scheme val="minor"/>
      </rPr>
      <t>Doolittle</t>
    </r>
  </si>
  <si>
    <t>Pixies</t>
  </si>
  <si>
    <t>Doolittle</t>
  </si>
  <si>
    <t>alternative rock, indie rock</t>
  </si>
  <si>
    <r>
      <t xml:space="preserve">* Aphex Twin - </t>
    </r>
    <r>
      <rPr>
        <b/>
        <sz val="14"/>
        <color theme="0"/>
        <rFont val="Aptos Narrow"/>
        <family val="2"/>
        <scheme val="minor"/>
      </rPr>
      <t>Syro</t>
    </r>
  </si>
  <si>
    <t>minipops 67 [120.2][source field mix]</t>
  </si>
  <si>
    <t>XMAS_EVET10 [120][thanaton3 mix]</t>
  </si>
  <si>
    <t>produk 29 [101]</t>
  </si>
  <si>
    <t>4 bit 9d api+e+6 [126.26]</t>
  </si>
  <si>
    <t>180db_[130]</t>
  </si>
  <si>
    <t>CIRCLONT6A [141.98][syrobonkus mix]</t>
  </si>
  <si>
    <t>fz pseudotimestrech+e+3 [138.85]</t>
  </si>
  <si>
    <t>CIRCLONT14 [152.97][shrymoming mix]</t>
  </si>
  <si>
    <t>syro u473t8+e [141.98][piezoluminesence mix]</t>
  </si>
  <si>
    <t>PAPAT4 [155][pinneal mix]</t>
  </si>
  <si>
    <t>s950tx16wasr10 [163.97][earth portal mix]</t>
  </si>
  <si>
    <t>aisatsana [102]</t>
  </si>
  <si>
    <t>Syro</t>
  </si>
  <si>
    <t>ambient techno, idm</t>
  </si>
  <si>
    <t>07/07/2026</t>
  </si>
  <si>
    <t>1992 - 2014</t>
  </si>
  <si>
    <t>Hammer Smashed Face</t>
  </si>
  <si>
    <t>I Cum Blood</t>
  </si>
  <si>
    <t>Addicted to Vaginal Skin</t>
  </si>
  <si>
    <t>Split Wide Open</t>
  </si>
  <si>
    <t>Necropedophile</t>
  </si>
  <si>
    <t>The Cryptic Stench</t>
  </si>
  <si>
    <t>Entrails Ripped From A Virgin's Cunt</t>
  </si>
  <si>
    <t>Post Mortal Ejaculation</t>
  </si>
  <si>
    <t>Beyond the Cementary</t>
  </si>
  <si>
    <r>
      <t xml:space="preserve">* Cannibal Corpse - </t>
    </r>
    <r>
      <rPr>
        <b/>
        <sz val="12"/>
        <color theme="3" tint="0.89999084444715716"/>
        <rFont val="Aptos Narrow"/>
        <family val="2"/>
        <scheme val="minor"/>
      </rPr>
      <t>Tomb of the Mutilated</t>
    </r>
  </si>
  <si>
    <t>Cannibal Corpse</t>
  </si>
  <si>
    <t>Tomb of the Mutilated</t>
  </si>
  <si>
    <t>death metal, brutal death metal</t>
  </si>
  <si>
    <t>08/07/2026</t>
  </si>
  <si>
    <t>TOP  Death Metal (13 álbumes)</t>
  </si>
  <si>
    <t>brutal death metal</t>
  </si>
  <si>
    <t>Windowlicker</t>
  </si>
  <si>
    <t>Nannou</t>
  </si>
  <si>
    <t>TOP 25 (sin repetir artistas y sin incluir OSTs, LIVEs y SINGLEs)</t>
  </si>
  <si>
    <t>Led Zeppelin (3)</t>
  </si>
  <si>
    <t>ΔMi-1=-αΣDi[n][ΣFji[n-1]+Fexti[n-1]]</t>
  </si>
  <si>
    <r>
      <t xml:space="preserve">* Aphex Twin - </t>
    </r>
    <r>
      <rPr>
        <b/>
        <sz val="14"/>
        <color theme="0"/>
        <rFont val="Aptos Narrow"/>
        <family val="2"/>
        <scheme val="minor"/>
      </rPr>
      <t>Windowlicker</t>
    </r>
    <r>
      <rPr>
        <sz val="14"/>
        <color theme="0"/>
        <rFont val="Aptos Narrow"/>
        <family val="2"/>
        <scheme val="minor"/>
      </rPr>
      <t xml:space="preserve"> [SINGLE]</t>
    </r>
  </si>
  <si>
    <t>Windowlicker [SINGLE]</t>
  </si>
  <si>
    <t>TOOL (6)</t>
  </si>
  <si>
    <r>
      <t xml:space="preserve">* Nirvana - </t>
    </r>
    <r>
      <rPr>
        <b/>
        <sz val="14"/>
        <color theme="1"/>
        <rFont val="Aptos Narrow"/>
        <family val="2"/>
        <scheme val="minor"/>
      </rPr>
      <t>Nevermind</t>
    </r>
  </si>
  <si>
    <t>Smells Like Teen Spirit</t>
  </si>
  <si>
    <t>In Bloom</t>
  </si>
  <si>
    <t>Come As You Are</t>
  </si>
  <si>
    <t>Breed</t>
  </si>
  <si>
    <t>Lithium</t>
  </si>
  <si>
    <t>Polly</t>
  </si>
  <si>
    <t>Territorial Pissings</t>
  </si>
  <si>
    <t>Drain You</t>
  </si>
  <si>
    <t>Lounge Act</t>
  </si>
  <si>
    <t>Stay Away</t>
  </si>
  <si>
    <t>Something In The Way</t>
  </si>
  <si>
    <t>On A Plain</t>
  </si>
  <si>
    <t>Nirvana</t>
  </si>
  <si>
    <t>Nevermind</t>
  </si>
  <si>
    <t>16m</t>
  </si>
  <si>
    <t>09/07/2026</t>
  </si>
  <si>
    <t>In Rainbows, OK Computer, The Bends</t>
  </si>
  <si>
    <t>Selected Ambient Works 85-92, Windowlicker [SINGLE], Drukqs, Richard D. James Album, …I Care Because You Do, Syro, Come To Daddy</t>
  </si>
  <si>
    <t>Stereo Madness</t>
  </si>
  <si>
    <t>Back On Track</t>
  </si>
  <si>
    <t>Polargeist</t>
  </si>
  <si>
    <t>Dry Out</t>
  </si>
  <si>
    <t>Base After Base</t>
  </si>
  <si>
    <t>Can't Let Go</t>
  </si>
  <si>
    <t>Jumper</t>
  </si>
  <si>
    <t>Time Machine</t>
  </si>
  <si>
    <t>Cicles</t>
  </si>
  <si>
    <t>xStep</t>
  </si>
  <si>
    <t>Clutterfunk</t>
  </si>
  <si>
    <t>Theory of Everything</t>
  </si>
  <si>
    <t>Electroman Adventures</t>
  </si>
  <si>
    <t>Electrodynamix</t>
  </si>
  <si>
    <t>Hexagon Force</t>
  </si>
  <si>
    <t>Blast Processing</t>
  </si>
  <si>
    <t>Theory of Everything 2</t>
  </si>
  <si>
    <t>Geometrical Dominator</t>
  </si>
  <si>
    <t>Clubstep</t>
  </si>
  <si>
    <r>
      <t xml:space="preserve">* Geometry Dash - </t>
    </r>
    <r>
      <rPr>
        <b/>
        <sz val="12"/>
        <color rgb="FFFFE700"/>
        <rFont val="Aptos Narrow"/>
        <scheme val="minor"/>
      </rPr>
      <t>Geometry Dash</t>
    </r>
    <r>
      <rPr>
        <sz val="12"/>
        <color rgb="FFFFE700"/>
        <rFont val="Aptos Narrow"/>
        <scheme val="minor"/>
      </rPr>
      <t xml:space="preserve"> [OST]</t>
    </r>
  </si>
  <si>
    <t>Deadlocked</t>
  </si>
  <si>
    <t>Fingerdash</t>
  </si>
  <si>
    <t>Dash</t>
  </si>
  <si>
    <r>
      <t xml:space="preserve">* Oasis - </t>
    </r>
    <r>
      <rPr>
        <b/>
        <sz val="14"/>
        <color theme="3" tint="0.499984740745262"/>
        <rFont val="Aptos Narrow"/>
        <scheme val="minor"/>
      </rPr>
      <t>Definitely Maybe</t>
    </r>
  </si>
  <si>
    <t>Rock 'n' Roll Star</t>
  </si>
  <si>
    <t>Shakermaker</t>
  </si>
  <si>
    <t>Live Forever</t>
  </si>
  <si>
    <t>Up In The Sky</t>
  </si>
  <si>
    <t>Columbia</t>
  </si>
  <si>
    <t>Supersonic</t>
  </si>
  <si>
    <t>Bring It On Down</t>
  </si>
  <si>
    <t>Cigarettes &amp; Alcohol</t>
  </si>
  <si>
    <t>Digsy's Dinner</t>
  </si>
  <si>
    <t>Slide Away</t>
  </si>
  <si>
    <t>Married With Children</t>
  </si>
  <si>
    <t>Geometry Dash</t>
  </si>
  <si>
    <t>Geometry Dash [OST]</t>
  </si>
  <si>
    <t>Oasis</t>
  </si>
  <si>
    <t>Definitely Maybe</t>
  </si>
  <si>
    <t>britpop</t>
  </si>
  <si>
    <t>12/07/2026</t>
  </si>
  <si>
    <t>1h</t>
  </si>
  <si>
    <t>11/07/2026</t>
  </si>
  <si>
    <r>
      <t xml:space="preserve">* ISIS - </t>
    </r>
    <r>
      <rPr>
        <b/>
        <sz val="14"/>
        <color theme="0"/>
        <rFont val="Aptos Narrow"/>
        <scheme val="minor"/>
      </rPr>
      <t>Panopticon</t>
    </r>
  </si>
  <si>
    <t>So Did We</t>
  </si>
  <si>
    <t>Backlit</t>
  </si>
  <si>
    <t>In Fiction</t>
  </si>
  <si>
    <t>Wills Dissolve</t>
  </si>
  <si>
    <t>Syndic Calls</t>
  </si>
  <si>
    <t>Altered Course</t>
  </si>
  <si>
    <t>Grinning Mouths</t>
  </si>
  <si>
    <t>ISIS</t>
  </si>
  <si>
    <t>Panopticon</t>
  </si>
  <si>
    <t>AJUSTES</t>
  </si>
  <si>
    <t>Canciones totales</t>
  </si>
  <si>
    <t>Canciones por álbum</t>
  </si>
  <si>
    <t>Canciones por artista</t>
  </si>
  <si>
    <t>Randomizar en empate</t>
  </si>
  <si>
    <t>SI</t>
  </si>
  <si>
    <t>atmospheric sludge metal, post metal</t>
  </si>
  <si>
    <t>Exercises in Futility I</t>
  </si>
  <si>
    <t>Exercises in Futility II</t>
  </si>
  <si>
    <t>Exercises in Futility III</t>
  </si>
  <si>
    <t>Exercises in Futility IV</t>
  </si>
  <si>
    <t>Exercises in Futility V</t>
  </si>
  <si>
    <t>Exercises in Futility VI</t>
  </si>
  <si>
    <r>
      <t xml:space="preserve">* Mgła - </t>
    </r>
    <r>
      <rPr>
        <b/>
        <sz val="14"/>
        <color theme="0" tint="-0.34998626667073579"/>
        <rFont val="Aptos Narrow"/>
        <scheme val="minor"/>
      </rPr>
      <t>Exercises in Futility</t>
    </r>
  </si>
  <si>
    <t>Mgła</t>
  </si>
  <si>
    <t>Exercises in Futility</t>
  </si>
  <si>
    <t>black metal, melodic black metal</t>
  </si>
  <si>
    <t>15/07/2026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</si>
  <si>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</si>
  <si>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</si>
  <si>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</si>
  <si>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</si>
  <si>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</si>
  <si>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</si>
  <si>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</si>
  <si>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</si>
  <si>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Agressive</t>
  </si>
  <si>
    <t>A Small Victory</t>
  </si>
  <si>
    <t>Crack Hitler</t>
  </si>
  <si>
    <t>Jizzlobber</t>
  </si>
  <si>
    <t>Minight Cowboy (Theme From)</t>
  </si>
  <si>
    <t>Easy</t>
  </si>
  <si>
    <t>Faith No More</t>
  </si>
  <si>
    <t>Angel Dust</t>
  </si>
  <si>
    <t>black metal</t>
  </si>
  <si>
    <r>
      <t xml:space="preserve">* Faith No More - </t>
    </r>
    <r>
      <rPr>
        <b/>
        <sz val="14"/>
        <color rgb="FFC1EAF8"/>
        <rFont val="Aptos Narrow"/>
        <scheme val="minor"/>
      </rPr>
      <t>Angel Dust</t>
    </r>
  </si>
  <si>
    <r>
      <t xml:space="preserve">* Olivia Rodrigo - </t>
    </r>
    <r>
      <rPr>
        <b/>
        <sz val="11"/>
        <color rgb="FFEF81B5"/>
        <rFont val="Aptos Narrow"/>
        <scheme val="minor"/>
      </rPr>
      <t>you seem pretty sad for a girl so in love</t>
    </r>
  </si>
  <si>
    <t>drop dead</t>
  </si>
  <si>
    <t>stupid song</t>
  </si>
  <si>
    <t>honeybee</t>
  </si>
  <si>
    <t>maggots for brains</t>
  </si>
  <si>
    <t>u + me = &lt;3</t>
  </si>
  <si>
    <t>my way</t>
  </si>
  <si>
    <t>purple</t>
  </si>
  <si>
    <t>the cure</t>
  </si>
  <si>
    <t>begged</t>
  </si>
  <si>
    <t>what's wrong with me</t>
  </si>
  <si>
    <t>less</t>
  </si>
  <si>
    <t>expectations</t>
  </si>
  <si>
    <t>cigarette smoke</t>
  </si>
  <si>
    <t>Jeff Besos</t>
  </si>
  <si>
    <t>All i see is Poop</t>
  </si>
  <si>
    <t>What's the AQI of this Bong Rip?</t>
  </si>
  <si>
    <t>(Drake Diss)</t>
  </si>
  <si>
    <t>sorry i can't look you in the eyes</t>
  </si>
  <si>
    <t>Villian Of Himself</t>
  </si>
  <si>
    <t>Why Socialism by Albert Einstein (edited for length)</t>
  </si>
  <si>
    <t>Outro</t>
  </si>
  <si>
    <r>
      <t xml:space="preserve">* Hobo Johnson - </t>
    </r>
    <r>
      <rPr>
        <b/>
        <sz val="12"/>
        <color rgb="FF5EBB5A"/>
        <rFont val="Aptos Narrow"/>
        <scheme val="minor"/>
      </rPr>
      <t>Hobo Johnson Alienates His Fanbase</t>
    </r>
  </si>
  <si>
    <r>
      <t xml:space="preserve">* LCD Soundsystem - </t>
    </r>
    <r>
      <rPr>
        <b/>
        <sz val="12"/>
        <color theme="1"/>
        <rFont val="Aptos Narrow"/>
        <scheme val="minor"/>
      </rPr>
      <t>Sound of Silver</t>
    </r>
  </si>
  <si>
    <t>Get Innocuous!</t>
  </si>
  <si>
    <t>Time to Get Away</t>
  </si>
  <si>
    <t>North American Scum</t>
  </si>
  <si>
    <t>Someone Great</t>
  </si>
  <si>
    <t>All My Friends</t>
  </si>
  <si>
    <t>Us V Them</t>
  </si>
  <si>
    <t>Watch the Tapes</t>
  </si>
  <si>
    <t>Sound of Silver</t>
  </si>
  <si>
    <t>New York, I Love You but You're Bringing Me Down</t>
  </si>
  <si>
    <t>Olivia Rodrigo</t>
  </si>
  <si>
    <t>you seem pretty sad for a girl so in love</t>
  </si>
  <si>
    <t>Hobo Johnson</t>
  </si>
  <si>
    <t>Hobo Johnson Alienates His Fanbase</t>
  </si>
  <si>
    <t>comedy rap</t>
  </si>
  <si>
    <t>17/07/2026</t>
  </si>
  <si>
    <t>LCD Soundsystem</t>
  </si>
  <si>
    <t>pop rock, singer songwriter</t>
  </si>
  <si>
    <t>16/07/2026</t>
  </si>
  <si>
    <t>indietronica, alternative dance</t>
  </si>
  <si>
    <t>alternative dance</t>
  </si>
  <si>
    <t>indietronica</t>
  </si>
  <si>
    <r>
      <t>* Neurosis -</t>
    </r>
    <r>
      <rPr>
        <b/>
        <sz val="10.5"/>
        <color rgb="FF8E490A"/>
        <rFont val="Aptos Narrow"/>
        <family val="2"/>
        <scheme val="minor"/>
      </rPr>
      <t xml:space="preserve"> An Undying Love for a Burning World</t>
    </r>
  </si>
  <si>
    <r>
      <t>* Arctic Monkeys -</t>
    </r>
    <r>
      <rPr>
        <b/>
        <sz val="11"/>
        <color rgb="FFACC1C3"/>
        <rFont val="Aptos Narrow"/>
        <scheme val="minor"/>
      </rPr>
      <t xml:space="preserve"> Whatever People Say I Am, That's What I'm Not</t>
    </r>
  </si>
  <si>
    <t>The View From The Afternoon</t>
  </si>
  <si>
    <t>I Bet You Look Good On The Dancefloor</t>
  </si>
  <si>
    <t>Fake Tales Of San Francisco</t>
  </si>
  <si>
    <t>Dancing Shoes</t>
  </si>
  <si>
    <t>You Probably Couldn't See For The Lights But You Were Staring Straight At Me</t>
  </si>
  <si>
    <t>Still Take You Home</t>
  </si>
  <si>
    <t>Riot Van</t>
  </si>
  <si>
    <t>Red Light Indicates Doors Are Secured</t>
  </si>
  <si>
    <t>Mardy Bum</t>
  </si>
  <si>
    <t>Perhaps Vampires Is A Bit Strong But…</t>
  </si>
  <si>
    <t>When The Sun Goes Down</t>
  </si>
  <si>
    <t>From The Ritz To The Rubble</t>
  </si>
  <si>
    <t>A Certain Romance</t>
  </si>
  <si>
    <t>Whatever People Say I Am, That's What I'm Not</t>
  </si>
  <si>
    <t>2006 - 2013</t>
  </si>
  <si>
    <t>Duración media (min)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</si>
  <si>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</si>
  <si>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</si>
  <si>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</si>
  <si>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</si>
  <si>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</si>
  <si>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</si>
  <si>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</si>
  <si>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</si>
  <si>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</si>
  <si>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</si>
  <si>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</si>
  <si>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</si>
  <si>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</si>
  <si>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</si>
  <si>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</si>
  <si>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</si>
  <si>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</si>
  <si>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</si>
  <si>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</si>
  <si>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</si>
  <si>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</si>
  <si>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</si>
  <si>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</si>
  <si>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</si>
  <si>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</si>
  <si>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</si>
  <si>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</si>
  <si>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</si>
  <si>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</si>
  <si>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Metallica - Load (1h 18m)</t>
  </si>
  <si>
    <t>Kendrick Lamar - To Pimp A Butterfly (1h 19m)</t>
  </si>
  <si>
    <t>Pink Floyd - The Wall (1h 21m)</t>
  </si>
  <si>
    <t>Justice - Woman Worldwide (1h 24m)</t>
  </si>
  <si>
    <t>Have A Nice Life - Deathconsciousness (1h 24m)</t>
  </si>
  <si>
    <t>TOOL - Fear Inoculum (1h 26m)</t>
  </si>
  <si>
    <t>Godspeed You! Black Emperor - Lift Yr. Skinny Fists Like Antennas to Heaven! (1h 27m)</t>
  </si>
  <si>
    <t>Aphex Twin - Drukqs (1h 40m)</t>
  </si>
  <si>
    <t>The Smashing Pumpkins - Mellon Collie And The Infinite Sadness (2h 1m)</t>
  </si>
  <si>
    <t>Swans - To Be Kind (2h 1m)</t>
  </si>
  <si>
    <t>Swans - Soundtracks for the Blind (2h 21m)</t>
  </si>
  <si>
    <t>Metallica (1h 2m)</t>
  </si>
  <si>
    <t>Daft Punk (1h 4m)</t>
  </si>
  <si>
    <t>Sweet Trip (1h 5m)</t>
  </si>
  <si>
    <t>Justice (1h 6m)</t>
  </si>
  <si>
    <t>TOOL (1h 8m)</t>
  </si>
  <si>
    <t>Aphex Twin (1h 15m)</t>
  </si>
  <si>
    <t>Godspeed You! Black Emperor (1h 15m)</t>
  </si>
  <si>
    <t>The Smashing Pumpkins (1h 32m)</t>
  </si>
  <si>
    <t>Swans (2h 11m)</t>
  </si>
  <si>
    <r>
      <t xml:space="preserve">* ISIS - </t>
    </r>
    <r>
      <rPr>
        <b/>
        <sz val="14"/>
        <color rgb="FFCAD78A"/>
        <rFont val="Aptos Narrow"/>
        <scheme val="minor"/>
      </rPr>
      <t>Oceanic</t>
    </r>
  </si>
  <si>
    <t>The Beginning and the End</t>
  </si>
  <si>
    <t>The Other</t>
  </si>
  <si>
    <t>False Light</t>
  </si>
  <si>
    <t>Carry</t>
  </si>
  <si>
    <t>Maritime</t>
  </si>
  <si>
    <t>Weight</t>
  </si>
  <si>
    <t>From Sinking</t>
  </si>
  <si>
    <t>Hym</t>
  </si>
  <si>
    <t>Oceanic</t>
  </si>
  <si>
    <t>18/07/2026</t>
  </si>
  <si>
    <r>
      <t xml:space="preserve">* Incubus - </t>
    </r>
    <r>
      <rPr>
        <b/>
        <sz val="14"/>
        <color rgb="FF7DE879"/>
        <rFont val="Aptos Narrow"/>
        <scheme val="minor"/>
      </rPr>
      <t>Make Yourself</t>
    </r>
  </si>
  <si>
    <t>Privilege</t>
  </si>
  <si>
    <t>Nowhere Fast</t>
  </si>
  <si>
    <t>Consequence</t>
  </si>
  <si>
    <t>The Warmth</t>
  </si>
  <si>
    <t>When It Comes</t>
  </si>
  <si>
    <t>Stellar</t>
  </si>
  <si>
    <t>Make Yourself</t>
  </si>
  <si>
    <t>Drive</t>
  </si>
  <si>
    <t>Battlestar Scralatchtica</t>
  </si>
  <si>
    <t>I Miss You</t>
  </si>
  <si>
    <t>Pardon Me</t>
  </si>
  <si>
    <t>Out From Under</t>
  </si>
  <si>
    <t>Incubus</t>
  </si>
  <si>
    <t>2002 - 2004</t>
  </si>
  <si>
    <t>TOP  Post Metal (8 álbumes)</t>
  </si>
  <si>
    <t>Panopticon, Oceanic</t>
  </si>
  <si>
    <r>
      <t xml:space="preserve">* Deftones - </t>
    </r>
    <r>
      <rPr>
        <b/>
        <sz val="14"/>
        <color theme="3" tint="0.249977111117893"/>
        <rFont val="Aptos Narrow"/>
        <scheme val="minor"/>
      </rPr>
      <t>Around the Fur</t>
    </r>
  </si>
  <si>
    <t>My Own Summer (Shove It)</t>
  </si>
  <si>
    <t>Lhabia</t>
  </si>
  <si>
    <t>Mascara</t>
  </si>
  <si>
    <t>Around the Fur</t>
  </si>
  <si>
    <t>Rickets</t>
  </si>
  <si>
    <t>Be Quiet and Drive (Far Away)</t>
  </si>
  <si>
    <t>Lotion</t>
  </si>
  <si>
    <t>Dai the Flu</t>
  </si>
  <si>
    <t>Headup</t>
  </si>
  <si>
    <t>MX</t>
  </si>
  <si>
    <t>20/07/2026</t>
  </si>
  <si>
    <t>TOP  Nu Metal (5 álbumes)</t>
  </si>
  <si>
    <t>Meteora, Hybrid Theory</t>
  </si>
  <si>
    <t>Around the Fur, Adrenaline</t>
  </si>
  <si>
    <r>
      <t xml:space="preserve">* Jethro Tull - </t>
    </r>
    <r>
      <rPr>
        <b/>
        <sz val="14"/>
        <color theme="1"/>
        <rFont val="Aptos Narrow"/>
        <scheme val="minor"/>
      </rPr>
      <t>Thick as a Brick</t>
    </r>
  </si>
  <si>
    <t>Thick as a Brick I</t>
  </si>
  <si>
    <t>Thick as a Brick II</t>
  </si>
  <si>
    <r>
      <t xml:space="preserve">* Emerson Lake &amp; Palmer - </t>
    </r>
    <r>
      <rPr>
        <b/>
        <sz val="14"/>
        <color rgb="FF795A3B"/>
        <rFont val="Aptos Narrow"/>
        <scheme val="minor"/>
      </rPr>
      <t>Trilogy</t>
    </r>
  </si>
  <si>
    <t>The Endless Enigma I</t>
  </si>
  <si>
    <t>Fugue</t>
  </si>
  <si>
    <t>The Endless Enigma II</t>
  </si>
  <si>
    <t>From the Beginning</t>
  </si>
  <si>
    <t>The Sheriff</t>
  </si>
  <si>
    <t>Hoedown</t>
  </si>
  <si>
    <t>Trilogy</t>
  </si>
  <si>
    <t>Living Sin</t>
  </si>
  <si>
    <t>Abaddon's Bolero</t>
  </si>
  <si>
    <t>Emerson Lake &amp; Palmer</t>
  </si>
  <si>
    <t>Jethro Tull</t>
  </si>
  <si>
    <t>Thick as a Brick</t>
  </si>
  <si>
    <t>Ashes Against The Grain, The Mantle</t>
  </si>
  <si>
    <t>21/07/2026</t>
  </si>
  <si>
    <t>New Born</t>
  </si>
  <si>
    <t>Bliss</t>
  </si>
  <si>
    <t>Space Dementia</t>
  </si>
  <si>
    <t>Hyper Music</t>
  </si>
  <si>
    <t>Plug in Baby</t>
  </si>
  <si>
    <t>Citizen Erased</t>
  </si>
  <si>
    <t>Micro Cuts</t>
  </si>
  <si>
    <t>Screenager</t>
  </si>
  <si>
    <t>Darkshines</t>
  </si>
  <si>
    <t>Feeling Good</t>
  </si>
  <si>
    <t>Megalomania</t>
  </si>
  <si>
    <t>Futurism</t>
  </si>
  <si>
    <r>
      <t xml:space="preserve">* Muse - </t>
    </r>
    <r>
      <rPr>
        <b/>
        <sz val="14"/>
        <color theme="0" tint="-0.14999847407452621"/>
        <rFont val="Aptos Narrow"/>
        <scheme val="minor"/>
      </rPr>
      <t>Origin of Symmetry</t>
    </r>
  </si>
  <si>
    <t>Muse</t>
  </si>
  <si>
    <t>Origin of Symmetry</t>
  </si>
  <si>
    <t>22/07/2026</t>
  </si>
  <si>
    <r>
      <t xml:space="preserve">* Kanye West - </t>
    </r>
    <r>
      <rPr>
        <b/>
        <sz val="14"/>
        <color rgb="FFF423E1"/>
        <rFont val="Aptos Narrow"/>
        <scheme val="minor"/>
      </rPr>
      <t>Graduation</t>
    </r>
  </si>
  <si>
    <t>Good Morning</t>
  </si>
  <si>
    <t>Champion</t>
  </si>
  <si>
    <t>Stronger</t>
  </si>
  <si>
    <t>I Wonder</t>
  </si>
  <si>
    <t>Can't Tell Me Nothing</t>
  </si>
  <si>
    <t>Barry Bonds</t>
  </si>
  <si>
    <t>Drunk and Hot Girls</t>
  </si>
  <si>
    <t>Flashing Lights</t>
  </si>
  <si>
    <t>Everything I Am</t>
  </si>
  <si>
    <t>The Glory</t>
  </si>
  <si>
    <t>Homecoming</t>
  </si>
  <si>
    <t>Big Brother</t>
  </si>
  <si>
    <t>Good Night</t>
  </si>
  <si>
    <t>Graduation</t>
  </si>
  <si>
    <t>Running Up That Hill</t>
  </si>
  <si>
    <t>Hounds of Love</t>
  </si>
  <si>
    <t>The Big Sky</t>
  </si>
  <si>
    <t>Cloudbusting</t>
  </si>
  <si>
    <t>And Dream of Sheep</t>
  </si>
  <si>
    <t>Under Ice</t>
  </si>
  <si>
    <t>Waking the Witch</t>
  </si>
  <si>
    <t>Watching You Without Me</t>
  </si>
  <si>
    <t>Jig of Life</t>
  </si>
  <si>
    <t>Hello Earth</t>
  </si>
  <si>
    <t>The Morning Fog</t>
  </si>
  <si>
    <r>
      <t xml:space="preserve">* The Mars Volta - </t>
    </r>
    <r>
      <rPr>
        <b/>
        <sz val="11"/>
        <color rgb="FFDAB252"/>
        <rFont val="Aptos Narrow"/>
        <scheme val="minor"/>
      </rPr>
      <t>Deloused in the Comatorium</t>
    </r>
  </si>
  <si>
    <t>Son Et Lumiere</t>
  </si>
  <si>
    <t>Inertiatic Esp</t>
  </si>
  <si>
    <t>Roulette Dares (The Haunt Of)</t>
  </si>
  <si>
    <t>Tira Me A Las Arañas</t>
  </si>
  <si>
    <t>Drunkship of Lanterns</t>
  </si>
  <si>
    <t>Eriatarka</t>
  </si>
  <si>
    <t>Cicatriz Esp</t>
  </si>
  <si>
    <t>This Apparatus Must Be Unearthed</t>
  </si>
  <si>
    <t>Televators</t>
  </si>
  <si>
    <t>Take The Veil Cerpin Taxt</t>
  </si>
  <si>
    <t>The Mars Volta</t>
  </si>
  <si>
    <t>Deloused in the Comatorium</t>
  </si>
  <si>
    <t>TOP  Pop Rap (5 álbumes)</t>
  </si>
  <si>
    <t>Graduation, My Beautiful Dark Twisted Fantasy, The College Dropout</t>
  </si>
  <si>
    <t>progressive rock, post hardcore</t>
  </si>
  <si>
    <t>23/07/2026</t>
  </si>
  <si>
    <r>
      <t xml:space="preserve">* Kate Bush - </t>
    </r>
    <r>
      <rPr>
        <b/>
        <sz val="14"/>
        <color theme="0"/>
        <rFont val="Aptos Narrow"/>
        <scheme val="minor"/>
      </rPr>
      <t>Hounds of Love</t>
    </r>
  </si>
  <si>
    <t>Kate Bush</t>
  </si>
  <si>
    <t>art pop, progressive pop</t>
  </si>
  <si>
    <t>Mother Stands for Comfort</t>
  </si>
  <si>
    <t>Opponent</t>
  </si>
  <si>
    <t>Lascivious</t>
  </si>
  <si>
    <t>Martyrs</t>
  </si>
  <si>
    <t>Lotus</t>
  </si>
  <si>
    <t>Covenant</t>
  </si>
  <si>
    <t>Penance</t>
  </si>
  <si>
    <t>Rival</t>
  </si>
  <si>
    <t>Lunacy</t>
  </si>
  <si>
    <t>Soen</t>
  </si>
  <si>
    <t>progressive metal, progressive rock</t>
  </si>
  <si>
    <t>24/07/2026</t>
  </si>
  <si>
    <r>
      <t xml:space="preserve">* Fishmans - </t>
    </r>
    <r>
      <rPr>
        <b/>
        <sz val="12"/>
        <color rgb="FFFFFF00"/>
        <rFont val="Aptos Narrow"/>
        <scheme val="minor"/>
      </rPr>
      <t>宇宙 日本 世田谷</t>
    </r>
  </si>
  <si>
    <t>Pokka Pokka</t>
  </si>
  <si>
    <t>Weather Report</t>
  </si>
  <si>
    <t>うしろ姿</t>
  </si>
  <si>
    <t>In The Flight</t>
  </si>
  <si>
    <t>Magic Love</t>
  </si>
  <si>
    <t>バックビートにのっかって</t>
  </si>
  <si>
    <t>Walking in the Rhythm</t>
  </si>
  <si>
    <t>Daydream</t>
  </si>
  <si>
    <t>宇宙 日本 世田谷</t>
  </si>
  <si>
    <t>Fishmans (2)</t>
  </si>
  <si>
    <t>dream pop, dowmtempo</t>
  </si>
  <si>
    <t>25/07/2026</t>
  </si>
  <si>
    <r>
      <t xml:space="preserve">* Soen - </t>
    </r>
    <r>
      <rPr>
        <b/>
        <sz val="14"/>
        <color rgb="FFC95B6E"/>
        <rFont val="Aptos Narrow"/>
        <scheme val="minor"/>
      </rPr>
      <t>Lotus</t>
    </r>
  </si>
  <si>
    <t>1996 - 1997</t>
  </si>
  <si>
    <t>LONG SEASON, 宇宙 日本 世田谷</t>
  </si>
  <si>
    <t>dowmtempo</t>
  </si>
  <si>
    <t>()voooooooooo☼☼◉࿃ूੂ࿃ूੂੂ ʅ()Ʃ ꐑ(ఠీੂo)࿃ूੂ✧✧) ():::(</t>
  </si>
  <si>
    <t>༼༭ຶཬɷծㅍㅍ)Აِّّْٕٔٓٓ ˓˚✧+*❝ົཽ*ೃ:(꒡ ❝ົཽ ꉺლ༽::()(　҈ L Oʅ()vo)) ☼◞⊖◟ ∷፨◉☼◞⊖◟☼ꉂꆭ(☼❁)ᕗ ʅ</t>
  </si>
  <si>
    <t>☼☼ ☼☼:::()(ㅍ◟ㅍ)Აِّّْٕٔٓٓ ˓˚✧+*❝ົཽ*ೃ:(꒡ ❝ົཽ ꉺლ༽༼இ•)ྀ◞ ༎ຶ 　҈ ⦁ ⦁ ⦁ ༽ৣৢ؞ৢ؞ؖ ཥ••ཤꉺ༽♡(•ིᴗ') Ἴृ ((༽۩۪؞ءؙۜؖۛ ّّٕٓٔٓٙٓ༼ծɷ༼</t>
  </si>
  <si>
    <t>☼☼◉ o☼⊖☼☼❁ ☼☼ ☼☼:::()(　҈ L Oʅ()vo)</t>
  </si>
  <si>
    <t>☼☼◉ O◉◖ƪ⊁◞..◟⊀　҈ ⦁ ⦁ ⦁ ❍|◗щ (*ㅇ△ Φ☆)/☼⊖☼☼❁ ☼☼ ☼☼______oOo___________+-_.:._-*"+-_.:._-*"+-_.:._-*"+-_.:._-*"+-_.:._-*"+-_.: ⦁ ⦁ ⦁ ❍</t>
  </si>
  <si>
    <t>o *,.·* '¨・*・ . o。·'¨'゜࿃ूੂ✧✧::()(　҈ L *'¨ ∷፨◉☼◞⊖◟☼ ∷፨◉☼◞⊖◟☼ ∷፨◉☼◞⊖◟☼ ∷፨◉☼◞⊖◟☼ ∷፨◉☼◞⊖◟☼ ∷፨◉☼◞⊖◟☼ ∷፨◉☼◞⊖◟☼ ∷፨◉☼◞⊖◟☼ ∷፨◉☼◞⊖◟☼ ∷፨◉☼◞⊖◟☼ ∷፨◉☼◞⊖◟☼</t>
  </si>
  <si>
    <t>Oʅ()vo)) ☼◞⊖◟ ʅ()o)vo)) ():::() vvv</t>
  </si>
  <si>
    <t>҉ ● o ● o ●  ҈҈҈҈҈ ● o ● o ●  ҈҈҈҈҈ ● o ● o ●</t>
  </si>
  <si>
    <r>
      <t xml:space="preserve">* ⣎⡇ꉺლ༽இ•̛)ྀ◞ ༎ຶ ༽ৣৢ؞ৢ؞ؖ ꉺლ - </t>
    </r>
    <r>
      <rPr>
        <b/>
        <sz val="11"/>
        <color theme="4" tint="0.59999389629810485"/>
        <rFont val="Aptos Narrow"/>
        <scheme val="minor"/>
      </rPr>
      <t>ʅ():: ● o ● o ●  ҈҈҈҈҈ :()(</t>
    </r>
  </si>
  <si>
    <t>I'm Dancing in the Show Tonight</t>
  </si>
  <si>
    <t>The Mollusk</t>
  </si>
  <si>
    <t>Polka Dot Tail</t>
  </si>
  <si>
    <t>I'll Be Your Jonny on the Spot</t>
  </si>
  <si>
    <t>Mutilated Lips</t>
  </si>
  <si>
    <t>The Blarney Stone</t>
  </si>
  <si>
    <t>It's Gonna Be (Alright)</t>
  </si>
  <si>
    <t>The Golden Eel</t>
  </si>
  <si>
    <t>Cold Blows the Wind</t>
  </si>
  <si>
    <t>Pink Eye On My Leg</t>
  </si>
  <si>
    <t>Waving My Dick in the Wind</t>
  </si>
  <si>
    <t>Buckingham Green</t>
  </si>
  <si>
    <t>Ocean Man</t>
  </si>
  <si>
    <t>She Wanted to Leave</t>
  </si>
  <si>
    <r>
      <t xml:space="preserve">* Ween - </t>
    </r>
    <r>
      <rPr>
        <b/>
        <sz val="14"/>
        <color rgb="FF3DD177"/>
        <rFont val="Aptos Narrow"/>
        <scheme val="minor"/>
      </rPr>
      <t>The Mollusk</t>
    </r>
  </si>
  <si>
    <t>⣎⡇ꉺლ༽இ•̛)ྀ◞ ༎ຶ ༽ৣৢ؞ৢ؞ؖ ꉺლ</t>
  </si>
  <si>
    <t>ʅ():: ● o ● o ●  ҈҈҈҈҈ :()(</t>
  </si>
  <si>
    <t>microhouse, idm</t>
  </si>
  <si>
    <t>26/07/2026</t>
  </si>
  <si>
    <t>microhouse</t>
  </si>
  <si>
    <t>neo psychedelic, synthpop</t>
  </si>
  <si>
    <t>1997 - 2003</t>
  </si>
  <si>
    <t>TOP  Neo Psychedelic (5 álbumes)</t>
  </si>
  <si>
    <t>The Mollusk, Quebec</t>
  </si>
  <si>
    <t>TOP Psychedelia (1 álbumes)</t>
  </si>
  <si>
    <t>反逆する風景</t>
  </si>
  <si>
    <t>孤独の発明</t>
  </si>
  <si>
    <t>Tremolo + Delay</t>
  </si>
  <si>
    <t>むこう岸が視る夢</t>
  </si>
  <si>
    <t>All I Understand Is That I Don't Understand</t>
  </si>
  <si>
    <t>C</t>
  </si>
  <si>
    <t>Past and Language</t>
  </si>
  <si>
    <t>Music for You</t>
  </si>
  <si>
    <t>I Do Still Wrong</t>
  </si>
  <si>
    <t>メトロノーム</t>
  </si>
  <si>
    <t>Everything Means Nothing</t>
  </si>
  <si>
    <r>
      <t>* toe - t</t>
    </r>
    <r>
      <rPr>
        <b/>
        <sz val="9.5"/>
        <color rgb="FF52A3E8"/>
        <rFont val="Aptos Narrow"/>
        <scheme val="minor"/>
      </rPr>
      <t>he Book About My Idle Plot on a Vague Anxiety</t>
    </r>
  </si>
  <si>
    <t>Three of a Perfect Pair</t>
  </si>
  <si>
    <t>Model Man</t>
  </si>
  <si>
    <t>Sleepless</t>
  </si>
  <si>
    <t>Man With An Open Heart</t>
  </si>
  <si>
    <t>Nuages (That Which Passes, Passes Like Clouds)</t>
  </si>
  <si>
    <t>Industry</t>
  </si>
  <si>
    <t>Dig Me</t>
  </si>
  <si>
    <t>No Warning</t>
  </si>
  <si>
    <t>Larks' Tongues In Aspic, Pt. 3</t>
  </si>
  <si>
    <r>
      <t xml:space="preserve">* King Crimson - </t>
    </r>
    <r>
      <rPr>
        <b/>
        <sz val="12"/>
        <color rgb="FF0084C8"/>
        <rFont val="Aptos Narrow"/>
        <scheme val="minor"/>
      </rPr>
      <t>Three of a Perfect Pair</t>
    </r>
  </si>
  <si>
    <t>toe</t>
  </si>
  <si>
    <t>the Book About My Idle Plot on a Vague Anxiety</t>
  </si>
  <si>
    <t>King Crimson (5)</t>
  </si>
  <si>
    <r>
      <t xml:space="preserve">* The Strokes - </t>
    </r>
    <r>
      <rPr>
        <b/>
        <sz val="14"/>
        <color rgb="FFAE7058"/>
        <rFont val="Aptos Narrow"/>
        <scheme val="minor"/>
      </rPr>
      <t>Reality Awaits</t>
    </r>
  </si>
  <si>
    <t>Psycho Shit</t>
  </si>
  <si>
    <t>Dine N'Dash</t>
  </si>
  <si>
    <t>Lonely in the Future</t>
  </si>
  <si>
    <t>Falling out of Love</t>
  </si>
  <si>
    <t>Going to Babble On</t>
  </si>
  <si>
    <t>Going Shopping</t>
  </si>
  <si>
    <t>Liar's Remorse</t>
  </si>
  <si>
    <t>The Fruits of Conquest</t>
  </si>
  <si>
    <t>Tyrants of the Mellow Moon</t>
  </si>
  <si>
    <t>math rock, post rock</t>
  </si>
  <si>
    <t>27/07/2026</t>
  </si>
  <si>
    <t>art rock, progressive rock</t>
  </si>
  <si>
    <t>28/07/2026</t>
  </si>
  <si>
    <t>Reality Awaits</t>
  </si>
  <si>
    <t>math rock</t>
  </si>
  <si>
    <t>Nutshell</t>
  </si>
  <si>
    <t>Brother</t>
  </si>
  <si>
    <t>No Excuses</t>
  </si>
  <si>
    <t>Sludge Factory</t>
  </si>
  <si>
    <t>Got Me Wrong</t>
  </si>
  <si>
    <t>Heaven Beside You</t>
  </si>
  <si>
    <t>Frogs</t>
  </si>
  <si>
    <t>Over Now</t>
  </si>
  <si>
    <t>The Killer Is Me</t>
  </si>
  <si>
    <r>
      <t xml:space="preserve">* Alice In Chains - </t>
    </r>
    <r>
      <rPr>
        <b/>
        <sz val="12"/>
        <color rgb="FFE77206"/>
        <rFont val="Aptos Narrow"/>
        <scheme val="minor"/>
      </rPr>
      <t>Unplugged</t>
    </r>
    <r>
      <rPr>
        <sz val="12"/>
        <color rgb="FFE77206"/>
        <rFont val="Aptos Narrow"/>
        <scheme val="minor"/>
      </rPr>
      <t xml:space="preserve"> (AiC) [LIVE]</t>
    </r>
  </si>
  <si>
    <r>
      <t>* Radiohead -</t>
    </r>
    <r>
      <rPr>
        <b/>
        <sz val="12"/>
        <color rgb="FFFFC000"/>
        <rFont val="Aptos Narrow"/>
        <scheme val="minor"/>
      </rPr>
      <t xml:space="preserve"> In Rainbows Disk 2</t>
    </r>
    <r>
      <rPr>
        <sz val="12"/>
        <color rgb="FFFFC000"/>
        <rFont val="Aptos Narrow"/>
        <scheme val="minor"/>
      </rPr>
      <t xml:space="preserve"> [SINGLE]</t>
    </r>
  </si>
  <si>
    <t>MK 1</t>
  </si>
  <si>
    <t>Down Is The New Up</t>
  </si>
  <si>
    <t>Go Slowly</t>
  </si>
  <si>
    <t>MK 2</t>
  </si>
  <si>
    <t>Last Flowers</t>
  </si>
  <si>
    <t>Up On The Ladder</t>
  </si>
  <si>
    <t>Bangers + Mash</t>
  </si>
  <si>
    <t>4 Minute Warning</t>
  </si>
  <si>
    <r>
      <t xml:space="preserve">* Yes - </t>
    </r>
    <r>
      <rPr>
        <b/>
        <sz val="14"/>
        <color theme="0"/>
        <rFont val="Aptos Narrow"/>
        <scheme val="minor"/>
      </rPr>
      <t>Relayer</t>
    </r>
  </si>
  <si>
    <t>The Gates Of Delirium</t>
  </si>
  <si>
    <t>Sound Chaser</t>
  </si>
  <si>
    <t>To Be Over</t>
  </si>
  <si>
    <t>Dulce introducción al caos</t>
  </si>
  <si>
    <t>Primer movimiento: el sueño</t>
  </si>
  <si>
    <t>Segundo movimiento: lo de fuera</t>
  </si>
  <si>
    <t>Tercer movimiento: lo de dentro</t>
  </si>
  <si>
    <t>Cuarto movimiento: la realidad</t>
  </si>
  <si>
    <t>Coda flamenca (Otra realidad)</t>
  </si>
  <si>
    <t>Unplugged (AiC) [LIVE]</t>
  </si>
  <si>
    <t>Extremoduro</t>
  </si>
  <si>
    <t>La ley innata</t>
  </si>
  <si>
    <t>In Rainbows Disk 2 [SINGLE]</t>
  </si>
  <si>
    <t>Relayer</t>
  </si>
  <si>
    <t>Yes (3)</t>
  </si>
  <si>
    <t>grunge, acoustic rock</t>
  </si>
  <si>
    <t>29/07/2026</t>
  </si>
  <si>
    <t>hard rock, progressive rock</t>
  </si>
  <si>
    <t>31/07/2026</t>
  </si>
  <si>
    <t>30/07/2026</t>
  </si>
  <si>
    <t>1971 - 1974</t>
  </si>
  <si>
    <t>1992 - 1996</t>
  </si>
  <si>
    <t>TOP  Hard Rock (9 álbumes)</t>
  </si>
  <si>
    <t>acoustic rock</t>
  </si>
  <si>
    <t>Wish You Were Here, The Dark Side Of The Moon, Animals</t>
  </si>
  <si>
    <r>
      <t xml:space="preserve">* Extremoduro - </t>
    </r>
    <r>
      <rPr>
        <b/>
        <sz val="14"/>
        <color rgb="FFC00000"/>
        <rFont val="Aptos Narrow"/>
        <scheme val="minor"/>
      </rPr>
      <t>La ley innata</t>
    </r>
  </si>
  <si>
    <t>Theme</t>
  </si>
  <si>
    <t>Aggressive Evolution</t>
  </si>
  <si>
    <t>Broken Vision Ryhthm</t>
  </si>
  <si>
    <t>Two-Way Mirror</t>
  </si>
  <si>
    <t>451 Days</t>
  </si>
  <si>
    <t>New Faces in the Dark</t>
  </si>
  <si>
    <t>Red Room</t>
  </si>
  <si>
    <t>Screaming</t>
  </si>
  <si>
    <t>Is It Really You?</t>
  </si>
  <si>
    <t>Gored</t>
  </si>
  <si>
    <t>Heavy Is the Head That Falls with the Weight of a Thousand Thoughts</t>
  </si>
  <si>
    <t>A Sad Cartoon</t>
  </si>
  <si>
    <t>A Sad Cartoon (Reprise)</t>
  </si>
  <si>
    <t>I Let It in and it Took Everything…</t>
  </si>
  <si>
    <r>
      <t xml:space="preserve">* Loathe - </t>
    </r>
    <r>
      <rPr>
        <b/>
        <sz val="12"/>
        <color rgb="FFEFE680"/>
        <rFont val="Aptos Narrow"/>
        <scheme val="minor"/>
      </rPr>
      <t>I Let It in and It Took Everything</t>
    </r>
  </si>
  <si>
    <t>Un Momento Oportuno</t>
  </si>
  <si>
    <r>
      <t xml:space="preserve">* La Paloma - </t>
    </r>
    <r>
      <rPr>
        <b/>
        <sz val="12"/>
        <color rgb="FFFA7804"/>
        <rFont val="Aptos Narrow"/>
        <scheme val="minor"/>
      </rPr>
      <t>Una idea, pero es triste</t>
    </r>
    <r>
      <rPr>
        <sz val="12"/>
        <color rgb="FFFA7804"/>
        <rFont val="Aptos Narrow"/>
        <scheme val="minor"/>
      </rPr>
      <t xml:space="preserve"> [EP]</t>
    </r>
  </si>
  <si>
    <t>Bravo Murillo</t>
  </si>
  <si>
    <t>Ya Está</t>
  </si>
  <si>
    <t>Siempre Así</t>
  </si>
  <si>
    <t>Palos</t>
  </si>
  <si>
    <t>Loathe</t>
  </si>
  <si>
    <t>I Let It in and It Took Everything</t>
  </si>
  <si>
    <t>alternative metal, metalcore</t>
  </si>
  <si>
    <t>09/08/2026</t>
  </si>
  <si>
    <t>2026-08</t>
  </si>
  <si>
    <t>La Paloma</t>
  </si>
  <si>
    <t>Una idea, pero es triste [EP]</t>
  </si>
  <si>
    <t>NOTA: si el nombre del álbum contiene [OST], [LIVE] o [SINGLE], [EP], ese album no se incluirá en el calculo de determinadas tablas y/o estadisticas</t>
  </si>
  <si>
    <r>
      <t>* The Smile -</t>
    </r>
    <r>
      <rPr>
        <b/>
        <sz val="14"/>
        <color rgb="FF00B0F0"/>
        <rFont val="Aptos Narrow"/>
        <scheme val="minor"/>
      </rPr>
      <t xml:space="preserve"> Wall Of Eyes</t>
    </r>
  </si>
  <si>
    <t>Wall Of Eyes</t>
  </si>
  <si>
    <t>Teleharmonic</t>
  </si>
  <si>
    <t>Read The Room</t>
  </si>
  <si>
    <t>Under Our Pillows</t>
  </si>
  <si>
    <t>Friend Of A Friend</t>
  </si>
  <si>
    <t>I Quit</t>
  </si>
  <si>
    <t>Bending Hectic</t>
  </si>
  <si>
    <t>You Know Me!</t>
  </si>
  <si>
    <t>The Smile</t>
  </si>
  <si>
    <t>art rock, post rock</t>
  </si>
  <si>
    <t>indie rock, noise pop</t>
  </si>
  <si>
    <t>14m</t>
  </si>
  <si>
    <t>TOP  Indie Rock (15 álbumes)</t>
  </si>
  <si>
    <r>
      <t xml:space="preserve">* LSD and the Search for God - </t>
    </r>
    <r>
      <rPr>
        <b/>
        <sz val="9"/>
        <color rgb="FFFEDC0E"/>
        <rFont val="Aptos Narrow"/>
        <family val="2"/>
        <scheme val="minor"/>
      </rPr>
      <t>LSD and the Search for God</t>
    </r>
    <r>
      <rPr>
        <sz val="9"/>
        <color rgb="FFFEDC0E"/>
        <rFont val="Aptos Narrow"/>
        <family val="2"/>
        <scheme val="minor"/>
      </rPr>
      <t xml:space="preserve"> [EP]</t>
    </r>
  </si>
  <si>
    <t>LSD and the Search for God [EP]</t>
  </si>
  <si>
    <r>
      <t xml:space="preserve">* LATIN MAFIA - </t>
    </r>
    <r>
      <rPr>
        <b/>
        <sz val="11"/>
        <color rgb="FFC00000"/>
        <rFont val="Aptos Narrow"/>
        <scheme val="minor"/>
      </rPr>
      <t>TODOS LOS DÍAS TODO EL DÍA</t>
    </r>
  </si>
  <si>
    <t>Siento que merezco más</t>
  </si>
  <si>
    <t>y como te digo que</t>
  </si>
  <si>
    <t>nunca he sido honesto.</t>
  </si>
  <si>
    <t>Me estoy cayendo</t>
  </si>
  <si>
    <t>sentado aquí,</t>
  </si>
  <si>
    <t>vivo si me exiges</t>
  </si>
  <si>
    <t>pero me estoy acabando.</t>
  </si>
  <si>
    <t>Qué vamos a hacer?</t>
  </si>
  <si>
    <t>Yo siempre contesto.</t>
  </si>
  <si>
    <t>Ven,</t>
  </si>
  <si>
    <t>tengo mucho ruido.</t>
  </si>
  <si>
    <t>LATIN MAFIA</t>
  </si>
  <si>
    <t>TODOS LOS DÍAS TODO EL DÍA</t>
  </si>
  <si>
    <t>art pop, indietronica</t>
  </si>
  <si>
    <t>31m</t>
  </si>
  <si>
    <t>Reel Around the Fountain</t>
  </si>
  <si>
    <t>You've Got Everything Now</t>
  </si>
  <si>
    <t>Miserable Lie</t>
  </si>
  <si>
    <t>Pretty Girls Make Graves</t>
  </si>
  <si>
    <t>The Hand That Rocks the Cradle</t>
  </si>
  <si>
    <t>This Charming Man</t>
  </si>
  <si>
    <t>Still Ill</t>
  </si>
  <si>
    <t>Hand in Glove</t>
  </si>
  <si>
    <t>What Difference Does It Make?</t>
  </si>
  <si>
    <t>I Don't Owe You Anything</t>
  </si>
  <si>
    <t>Suffer Little Children</t>
  </si>
  <si>
    <r>
      <t xml:space="preserve">* The Smiths - </t>
    </r>
    <r>
      <rPr>
        <b/>
        <sz val="14"/>
        <color rgb="FF7E326F"/>
        <rFont val="Aptos Narrow"/>
        <scheme val="minor"/>
      </rPr>
      <t>The Smiths</t>
    </r>
  </si>
  <si>
    <t>shoegaze, dream pop</t>
  </si>
  <si>
    <t>12/08/2026</t>
  </si>
  <si>
    <t>1984 - 1986</t>
  </si>
  <si>
    <t>TOP  Shoegaze (9 álbumes)</t>
  </si>
  <si>
    <t>Extremoduro - La ley innata</t>
  </si>
  <si>
    <r>
      <t xml:space="preserve">* Talk Talk - </t>
    </r>
    <r>
      <rPr>
        <b/>
        <sz val="14"/>
        <color theme="3" tint="0.499984740745262"/>
        <rFont val="Aptos Narrow"/>
        <scheme val="minor"/>
      </rPr>
      <t>Laughing Stock</t>
    </r>
  </si>
  <si>
    <t>Myrrhman</t>
  </si>
  <si>
    <t>Ascension Day</t>
  </si>
  <si>
    <t>After The Flood</t>
  </si>
  <si>
    <t>Taphead</t>
  </si>
  <si>
    <t>New Grass</t>
  </si>
  <si>
    <t>Runeii</t>
  </si>
  <si>
    <r>
      <t xml:space="preserve">* Weezer - </t>
    </r>
    <r>
      <rPr>
        <b/>
        <sz val="14"/>
        <color theme="0"/>
        <rFont val="Aptos Narrow"/>
        <scheme val="minor"/>
      </rPr>
      <t>Weezer</t>
    </r>
  </si>
  <si>
    <t>My Name Is Jonas</t>
  </si>
  <si>
    <t>No One Else</t>
  </si>
  <si>
    <t>The World Has Turned And Left Me Here</t>
  </si>
  <si>
    <t>Buddy Holly</t>
  </si>
  <si>
    <t>Surf Wax America</t>
  </si>
  <si>
    <t>Say It Ain't So</t>
  </si>
  <si>
    <t>In The Garage</t>
  </si>
  <si>
    <t>Holiday</t>
  </si>
  <si>
    <t>Only In Dreams</t>
  </si>
  <si>
    <t>Laughing Stock</t>
  </si>
  <si>
    <t>Weezer</t>
  </si>
  <si>
    <t>Talk Talk (2)</t>
  </si>
  <si>
    <t>15/08/2026</t>
  </si>
  <si>
    <t>power pop, alternative rock</t>
  </si>
  <si>
    <t>1988 - 1991</t>
  </si>
  <si>
    <t>TOP  Post Rock (14 álbumes)</t>
  </si>
  <si>
    <t>Spirit of Eden, Laughing Stock</t>
  </si>
  <si>
    <t>power pop</t>
  </si>
  <si>
    <t>Diamond Eyes</t>
  </si>
  <si>
    <t>Royal</t>
  </si>
  <si>
    <t>CMND/CTRL</t>
  </si>
  <si>
    <t>You've Seen the Butcher</t>
  </si>
  <si>
    <t>Prince</t>
  </si>
  <si>
    <t>Beauty School</t>
  </si>
  <si>
    <t>Rocket Skates</t>
  </si>
  <si>
    <t>Sextape</t>
  </si>
  <si>
    <t>Risk</t>
  </si>
  <si>
    <t>976-EVIL</t>
  </si>
  <si>
    <t>This Place Is Death</t>
  </si>
  <si>
    <t>Undone - The Sweater Song</t>
  </si>
  <si>
    <t>19/08/2026</t>
  </si>
  <si>
    <r>
      <t xml:space="preserve">* Robe - </t>
    </r>
    <r>
      <rPr>
        <b/>
        <sz val="14"/>
        <color theme="0"/>
        <rFont val="Aptos Narrow"/>
        <scheme val="minor"/>
      </rPr>
      <t>Mayéutica</t>
    </r>
  </si>
  <si>
    <r>
      <t xml:space="preserve">* Deftones - </t>
    </r>
    <r>
      <rPr>
        <b/>
        <sz val="14"/>
        <color theme="0" tint="-0.14999847407452621"/>
        <rFont val="Aptos Narrow"/>
        <scheme val="minor"/>
      </rPr>
      <t>Diamond Eyes</t>
    </r>
  </si>
  <si>
    <t>Interludio</t>
  </si>
  <si>
    <t>Primer movimiento: Después de la catarsis</t>
  </si>
  <si>
    <t>Segundo movimiento: Mierda de filosofía</t>
  </si>
  <si>
    <t>Tercer movimiento: Un instante de luz</t>
  </si>
  <si>
    <t>Cuarto movimiento: Yo no soy el dueño de mis emociones</t>
  </si>
  <si>
    <t>Coda feliz</t>
  </si>
  <si>
    <t>Robe</t>
  </si>
  <si>
    <t>Mayéutica</t>
  </si>
  <si>
    <t>White Pony, Koi No Yokan, Around the Fur, Diamond Eyes</t>
  </si>
  <si>
    <t>ingydar</t>
  </si>
  <si>
    <t>anything</t>
  </si>
  <si>
    <t>two reverse</t>
  </si>
  <si>
    <t>forwards beckon rebound</t>
  </si>
  <si>
    <t>heavy focus</t>
  </si>
  <si>
    <t>half return</t>
  </si>
  <si>
    <t>come</t>
  </si>
  <si>
    <t>zombie girl</t>
  </si>
  <si>
    <t>not a lot, just forever</t>
  </si>
  <si>
    <t>dragon eyes</t>
  </si>
  <si>
    <t>my angel</t>
  </si>
  <si>
    <r>
      <t>* Stereolab -</t>
    </r>
    <r>
      <rPr>
        <b/>
        <sz val="14"/>
        <color rgb="FF1AB098"/>
        <rFont val="Aptos Narrow"/>
        <scheme val="minor"/>
      </rPr>
      <t xml:space="preserve"> Dots and Loops</t>
    </r>
  </si>
  <si>
    <t>Brakhage</t>
  </si>
  <si>
    <t>Miss Modular</t>
  </si>
  <si>
    <t>The Flower Called Nowhere</t>
  </si>
  <si>
    <t>Diagonals</t>
  </si>
  <si>
    <t>Prisoner of Mars</t>
  </si>
  <si>
    <t>Rainbo Conversation</t>
  </si>
  <si>
    <t>Refractions in the Plastic Pulse</t>
  </si>
  <si>
    <t>Parsec</t>
  </si>
  <si>
    <t>Ticker-tape of the Unconscious</t>
  </si>
  <si>
    <t>Contronatura</t>
  </si>
  <si>
    <r>
      <t xml:space="preserve">* The Doors - </t>
    </r>
    <r>
      <rPr>
        <b/>
        <sz val="14"/>
        <color rgb="FFE8E900"/>
        <rFont val="Aptos Narrow"/>
        <scheme val="minor"/>
      </rPr>
      <t>L.A. Woman</t>
    </r>
  </si>
  <si>
    <t>The Changeling</t>
  </si>
  <si>
    <t>Love Her Madly</t>
  </si>
  <si>
    <t>Been down so Long</t>
  </si>
  <si>
    <t>Cars Hiss by My Window</t>
  </si>
  <si>
    <t>L.A. Woman</t>
  </si>
  <si>
    <t>L'America</t>
  </si>
  <si>
    <t>Hyacinth House</t>
  </si>
  <si>
    <t>Crawling King Snake</t>
  </si>
  <si>
    <t>The WASP (Texas Radio and the Big Beat)</t>
  </si>
  <si>
    <t>Riders on the Storm</t>
  </si>
  <si>
    <r>
      <t xml:space="preserve">* Beach House - </t>
    </r>
    <r>
      <rPr>
        <b/>
        <sz val="14"/>
        <color theme="0"/>
        <rFont val="Aptos Narrow"/>
        <scheme val="minor"/>
      </rPr>
      <t>Bloom</t>
    </r>
  </si>
  <si>
    <t>Myth</t>
  </si>
  <si>
    <t>Wild</t>
  </si>
  <si>
    <t>Lazuli</t>
  </si>
  <si>
    <t>Other People</t>
  </si>
  <si>
    <t>The Hours</t>
  </si>
  <si>
    <t>Troublemaker</t>
  </si>
  <si>
    <t>New Year</t>
  </si>
  <si>
    <t>Wishes</t>
  </si>
  <si>
    <t>On the Sea</t>
  </si>
  <si>
    <t>Irene</t>
  </si>
  <si>
    <t>Stereolab</t>
  </si>
  <si>
    <t>Dots and Loops</t>
  </si>
  <si>
    <t>The Doors</t>
  </si>
  <si>
    <t>Beach House</t>
  </si>
  <si>
    <t>songs</t>
  </si>
  <si>
    <t>Adrianne Lenker</t>
  </si>
  <si>
    <t>22/08/2026</t>
  </si>
  <si>
    <t>singer songwriter, contemporary folk</t>
  </si>
  <si>
    <t>24/08/2026</t>
  </si>
  <si>
    <t>blues rock, psychedelic rock</t>
  </si>
  <si>
    <t>21/08/2026</t>
  </si>
  <si>
    <t>20/08/2026</t>
  </si>
  <si>
    <t>TOP  Singer Songwriter (8 álbumes)</t>
  </si>
  <si>
    <t>contemporary folk</t>
  </si>
  <si>
    <t>TOP Singer-songwriter (8 álbumes)</t>
  </si>
  <si>
    <t>TOP Folk (5 álbumes)</t>
  </si>
  <si>
    <r>
      <t xml:space="preserve">* Nujabes - </t>
    </r>
    <r>
      <rPr>
        <b/>
        <sz val="10"/>
        <color rgb="FFE498B4"/>
        <rFont val="Aptos Narrow"/>
        <scheme val="minor"/>
      </rPr>
      <t>samurai champloo music record departure</t>
    </r>
  </si>
  <si>
    <t>624 part1 </t>
  </si>
  <si>
    <t>Shiki no Uta</t>
  </si>
  <si>
    <t xml:space="preserve">battlecry </t>
  </si>
  <si>
    <t xml:space="preserve">the space between two world </t>
  </si>
  <si>
    <t xml:space="preserve">aruarian dance </t>
  </si>
  <si>
    <t xml:space="preserve">transcendence </t>
  </si>
  <si>
    <t>mystline</t>
  </si>
  <si>
    <t xml:space="preserve">1st samurai </t>
  </si>
  <si>
    <t>ole</t>
  </si>
  <si>
    <t xml:space="preserve">624 part2 </t>
  </si>
  <si>
    <t>genome</t>
  </si>
  <si>
    <t xml:space="preserve">no way back </t>
  </si>
  <si>
    <t xml:space="preserve">funkin </t>
  </si>
  <si>
    <t>stay</t>
  </si>
  <si>
    <t xml:space="preserve">chambers </t>
  </si>
  <si>
    <t xml:space="preserve">ask </t>
  </si>
  <si>
    <t xml:space="preserve">how you feel </t>
  </si>
  <si>
    <r>
      <t xml:space="preserve">* Steve Roach - </t>
    </r>
    <r>
      <rPr>
        <b/>
        <sz val="12"/>
        <color rgb="FF70CECD"/>
        <rFont val="Aptos Narrow"/>
        <scheme val="minor"/>
      </rPr>
      <t>Structures From Silence</t>
    </r>
  </si>
  <si>
    <t>Reflections in Suspension</t>
  </si>
  <si>
    <t>Quiet Friend</t>
  </si>
  <si>
    <t>Structures From Silence</t>
  </si>
  <si>
    <t>Steve Roach</t>
  </si>
  <si>
    <t>samurai champloo music record departure</t>
  </si>
  <si>
    <t>space ambient</t>
  </si>
  <si>
    <t>26/08/2026</t>
  </si>
  <si>
    <t>COPYCAT</t>
  </si>
  <si>
    <t>idontwannabeyouanymore</t>
  </si>
  <si>
    <t>my boy</t>
  </si>
  <si>
    <t>watch</t>
  </si>
  <si>
    <t>party favor</t>
  </si>
  <si>
    <t>bellyache</t>
  </si>
  <si>
    <t>ocean eyes</t>
  </si>
  <si>
    <t>hostage</t>
  </si>
  <si>
    <r>
      <t xml:space="preserve">* Billie Eilish - </t>
    </r>
    <r>
      <rPr>
        <b/>
        <sz val="14"/>
        <color rgb="FFC33434"/>
        <rFont val="Aptos Narrow"/>
        <scheme val="minor"/>
      </rPr>
      <t>dont smile at me</t>
    </r>
    <r>
      <rPr>
        <sz val="14"/>
        <color rgb="FFC33434"/>
        <rFont val="Aptos Narrow"/>
        <scheme val="minor"/>
      </rPr>
      <t xml:space="preserve"> [EP]</t>
    </r>
  </si>
  <si>
    <t>dont smile at me [EP]</t>
  </si>
  <si>
    <t>alt pop, electropop</t>
  </si>
  <si>
    <t>25m</t>
  </si>
  <si>
    <r>
      <t xml:space="preserve">* Burzum - </t>
    </r>
    <r>
      <rPr>
        <b/>
        <sz val="14"/>
        <color rgb="FFEEDFBB"/>
        <rFont val="Aptos Narrow"/>
        <scheme val="minor"/>
      </rPr>
      <t>Filosofem</t>
    </r>
  </si>
  <si>
    <t>Dunkelheit</t>
  </si>
  <si>
    <t>Jesus' Tod</t>
  </si>
  <si>
    <t>Erblicket die Töchter des Firmaments</t>
  </si>
  <si>
    <t>Gebrechlichkeit .I.</t>
  </si>
  <si>
    <t>Rundgang um die transzendentale Säule der Singularität</t>
  </si>
  <si>
    <t>Gebrechlichkeit .II.</t>
  </si>
  <si>
    <t>progressive rock, post britpop</t>
  </si>
  <si>
    <t>La tercera columna es simplemente de referencia, para saber que generos padres existen</t>
  </si>
  <si>
    <t>Burzum</t>
  </si>
  <si>
    <t>Filosofem</t>
  </si>
  <si>
    <t>2017 - 2024</t>
  </si>
  <si>
    <t>TOP  Electropop (5 álbumes)</t>
  </si>
  <si>
    <t>atmospheric black metal, ambient</t>
  </si>
  <si>
    <r>
      <t xml:space="preserve">* Carissa's Wierd - </t>
    </r>
    <r>
      <rPr>
        <b/>
        <sz val="12"/>
        <color rgb="FFF9E952"/>
        <rFont val="Aptos Narrow"/>
        <scheme val="minor"/>
      </rPr>
      <t>Songs About Leaving</t>
    </r>
  </si>
  <si>
    <t>You Should Be Hated Here</t>
  </si>
  <si>
    <t>Silently Leaving the Room</t>
  </si>
  <si>
    <t xml:space="preserve">So You Wanna Be A Superhero </t>
  </si>
  <si>
    <t xml:space="preserve">September Come Take His Heart Away </t>
  </si>
  <si>
    <t xml:space="preserve">Ignorant Piece of Shit </t>
  </si>
  <si>
    <t xml:space="preserve">The Piano Song </t>
  </si>
  <si>
    <t xml:space="preserve">They’ll Only Miss You When You Leave </t>
  </si>
  <si>
    <t xml:space="preserve">A New Holiday (November 16th) </t>
  </si>
  <si>
    <t>Farewell to All These Rotten Teeth</t>
  </si>
  <si>
    <t xml:space="preserve">Sofisticated Fuck Princess Please Leave Me Alone </t>
  </si>
  <si>
    <t>Low Budget Slow Motion Soundtrack Song for the Leaving Scene</t>
  </si>
  <si>
    <t>(March 19th 1983) It Was Probably Green</t>
  </si>
  <si>
    <t>Carissa's Wierd</t>
  </si>
  <si>
    <t>Songs About Leaving</t>
  </si>
  <si>
    <t>instrumental hip hop, television music</t>
  </si>
  <si>
    <t>28/08/2026</t>
  </si>
  <si>
    <t>television music</t>
  </si>
  <si>
    <t>Nujabes (1h 4m)</t>
  </si>
  <si>
    <t>soundtrack</t>
  </si>
  <si>
    <t>TOP Soundtrack (1 álbumes)</t>
  </si>
  <si>
    <r>
      <t xml:space="preserve">* Talking Heads - </t>
    </r>
    <r>
      <rPr>
        <b/>
        <sz val="14"/>
        <color rgb="FFF34F33"/>
        <rFont val="Aptos Narrow"/>
        <scheme val="minor"/>
      </rPr>
      <t>Remain in Light</t>
    </r>
  </si>
  <si>
    <t>Born Under Punches (The Heat Goes On)</t>
  </si>
  <si>
    <t>Crosseyed and Painless</t>
  </si>
  <si>
    <t>The Great Curve</t>
  </si>
  <si>
    <t>Once In A Lifetime</t>
  </si>
  <si>
    <t>Houses In Motion</t>
  </si>
  <si>
    <t>Seen And Not Seen</t>
  </si>
  <si>
    <t>Listening Wind</t>
  </si>
  <si>
    <t>The Overload</t>
  </si>
  <si>
    <t>Remain in Light</t>
  </si>
  <si>
    <t>29/08/2026</t>
  </si>
  <si>
    <t>This Mirror Weighs a Ton</t>
  </si>
  <si>
    <t>See Out Loud</t>
  </si>
  <si>
    <t>Iron City</t>
  </si>
  <si>
    <t>Wounded Soldier</t>
  </si>
  <si>
    <t>Wings On Fire</t>
  </si>
  <si>
    <t>Ever the Actor</t>
  </si>
  <si>
    <t>So Rides the Reindeer</t>
  </si>
  <si>
    <t>Darling Thoughts</t>
  </si>
  <si>
    <t>Wake Up</t>
  </si>
  <si>
    <t>Enemy</t>
  </si>
  <si>
    <t>Bird and The Serpent</t>
  </si>
  <si>
    <t>Sudden</t>
  </si>
  <si>
    <r>
      <t xml:space="preserve">* Interpol - </t>
    </r>
    <r>
      <rPr>
        <b/>
        <sz val="14"/>
        <color rgb="FF0F0C0B"/>
        <rFont val="Aptos Narrow"/>
        <scheme val="minor"/>
      </rPr>
      <t>This Mirror Weighs a Ton</t>
    </r>
  </si>
  <si>
    <t>1980 - 1983</t>
  </si>
  <si>
    <t>TOP  Post Punk (5 álbumes)</t>
  </si>
  <si>
    <t>Speaking in Tongues, Remain in Light</t>
  </si>
  <si>
    <t>TOP  New Wave (5 álbumes)</t>
  </si>
  <si>
    <t>1980</t>
  </si>
  <si>
    <t>post punk revival</t>
  </si>
  <si>
    <t>30/08/2026</t>
  </si>
  <si>
    <t>2002 - 2026</t>
  </si>
  <si>
    <t>TOP Punk (11 álbumes)</t>
  </si>
  <si>
    <t>Trip hop masterpiece</t>
  </si>
  <si>
    <t>This 7/8 section is my favorite part of the song (along with the drum solo)</t>
  </si>
  <si>
    <t>Perfect song, idk what else to say</t>
  </si>
  <si>
    <t>Peak drumming</t>
  </si>
  <si>
    <t>THE album opener</t>
  </si>
  <si>
    <t>Extremely underrated Joey song</t>
  </si>
  <si>
    <t>But where is that large automobile though</t>
  </si>
  <si>
    <t>Holy goosebumps</t>
  </si>
  <si>
    <t>This is how you make melodic black metal</t>
  </si>
  <si>
    <t>Insanely good track from a pretty overrated album</t>
  </si>
  <si>
    <t>The perfect chill out song</t>
  </si>
  <si>
    <t>i</t>
  </si>
  <si>
    <t>I could've chosen literally any song from the album</t>
  </si>
  <si>
    <t>So dreamy and ethereal</t>
  </si>
  <si>
    <t>Genuinely one of the best metal songs ever recorded</t>
  </si>
  <si>
    <t>Devastating. Just like life itself sometimes.</t>
  </si>
  <si>
    <t>"My heart is frozen still as I try to find the will to forget her somehow"</t>
  </si>
  <si>
    <t>He indeed knew how to start that shit</t>
  </si>
  <si>
    <t>This is everything I want from a shoegaze song</t>
  </si>
  <si>
    <t>Swans' music evokes such weird feelings in me</t>
  </si>
  <si>
    <t>If you talk during the guitar solo, I'm throwing you out of the window</t>
  </si>
  <si>
    <t>Not a single second wasted on this hour-long song</t>
  </si>
  <si>
    <t>I have definitely not cried to this song. Definitely.</t>
  </si>
  <si>
    <t>Whoever says this album is overrated is just plain wrong</t>
  </si>
  <si>
    <t>And they say guitars can't cry</t>
  </si>
  <si>
    <t>It flows so damn well. Whole album is excellent.</t>
  </si>
  <si>
    <t>Wall of Eyes</t>
  </si>
  <si>
    <r>
      <t>* Devin Townsend -</t>
    </r>
    <r>
      <rPr>
        <b/>
        <sz val="14"/>
        <color theme="0"/>
        <rFont val="Aptos Narrow"/>
        <scheme val="minor"/>
      </rPr>
      <t xml:space="preserve"> Ocean Machine</t>
    </r>
  </si>
  <si>
    <t>Jean-Luc Ponty</t>
  </si>
  <si>
    <t>Choral Chambers</t>
  </si>
  <si>
    <t>Hollow Knight: Silksong</t>
  </si>
  <si>
    <t>Catch The Rainbow</t>
  </si>
  <si>
    <t>Ritchie Blackmore's Rainbow</t>
  </si>
  <si>
    <t>Psychedelic Rock</t>
  </si>
  <si>
    <t xml:space="preserve">Flowers </t>
  </si>
  <si>
    <t>Let's Go</t>
  </si>
  <si>
    <t>In Love With A Ghost</t>
  </si>
  <si>
    <t>Stationary Traveller</t>
  </si>
  <si>
    <t xml:space="preserve">symphonic prog </t>
  </si>
  <si>
    <t>Legendary album</t>
  </si>
  <si>
    <t>This song being only 3 minutes long makes me so sad</t>
  </si>
  <si>
    <t>Imagine if that one guy never found the CD…</t>
  </si>
  <si>
    <t>I can't get enough of this album</t>
  </si>
  <si>
    <t>Insanely ahead of its time</t>
  </si>
  <si>
    <t xml:space="preserve">The Rainbow </t>
  </si>
  <si>
    <t>This is the purest definition of art</t>
  </si>
  <si>
    <t>The first time I found this album, I listened to it 5 times in a row</t>
  </si>
  <si>
    <t>"Hunger hurts but starving works when it costs too much to love."</t>
  </si>
  <si>
    <t>Favorite album cover of all time</t>
  </si>
  <si>
    <t>If you hate Geese you can click out of the video</t>
  </si>
  <si>
    <t>Criminally underrated post-rock track (and album)</t>
  </si>
  <si>
    <t>Child of Vision</t>
  </si>
  <si>
    <t>That 3-minute long piano solo is the best thing Supertramp ever did</t>
  </si>
  <si>
    <t>One of the greatest artists to come out of Spain. Rest in peace Robe.</t>
  </si>
  <si>
    <t>That drum breakdown always reminds me of When The Leeve Breaks, so damn good</t>
  </si>
  <si>
    <t>Those flutes elevate me to the fucking sky. Literal perfection of a song.</t>
  </si>
  <si>
    <t>It doesn't get much more metal than this. God I love Meshuggah</t>
  </si>
  <si>
    <t>For A Better Day</t>
  </si>
  <si>
    <t>Avicii</t>
  </si>
  <si>
    <t>Stories</t>
  </si>
  <si>
    <t>dance pop, house</t>
  </si>
  <si>
    <t>Hauntingly beautiful</t>
  </si>
  <si>
    <t>The only guitar solo that always makes me cry</t>
  </si>
  <si>
    <t>Shoegaze is such a magical genre</t>
  </si>
  <si>
    <t>This song hits me in a way no other song does</t>
  </si>
  <si>
    <t>They don't make music like this anymore</t>
  </si>
  <si>
    <t>I love how the drummer uses space in the grooves, it's so tight</t>
  </si>
  <si>
    <t>That outro is SO DAMN GOOOOOD</t>
  </si>
  <si>
    <r>
      <t xml:space="preserve">* Chris Squire - </t>
    </r>
    <r>
      <rPr>
        <b/>
        <sz val="14"/>
        <color rgb="FFA3C4DE"/>
        <rFont val="Aptos Narrow"/>
        <scheme val="minor"/>
      </rPr>
      <t>Fish Out of Water</t>
    </r>
  </si>
  <si>
    <t>Hold Out Your Hand</t>
  </si>
  <si>
    <t>You By My Side</t>
  </si>
  <si>
    <t>Silently Falling</t>
  </si>
  <si>
    <t>Lucky Seven</t>
  </si>
  <si>
    <t>Safe (Canon Song)</t>
  </si>
  <si>
    <t>Chris Squire</t>
  </si>
  <si>
    <t>Fish Out of Water</t>
  </si>
  <si>
    <t>01/09/2026</t>
  </si>
  <si>
    <t>2026-09</t>
  </si>
  <si>
    <r>
      <t>* Adrianne Lenker -</t>
    </r>
    <r>
      <rPr>
        <b/>
        <sz val="14"/>
        <color rgb="FFD8442C"/>
        <rFont val="Aptos Narrow"/>
        <scheme val="minor"/>
      </rPr>
      <t xml:space="preserve"> songs</t>
    </r>
  </si>
  <si>
    <r>
      <t xml:space="preserve">* Linkin Park - </t>
    </r>
    <r>
      <rPr>
        <b/>
        <sz val="14"/>
        <color theme="1"/>
        <rFont val="Aptos Narrow"/>
        <scheme val="minor"/>
      </rPr>
      <t>Minutes to Midnight</t>
    </r>
  </si>
  <si>
    <t>Valentine’s Day</t>
  </si>
  <si>
    <t>In Between</t>
  </si>
  <si>
    <t>In Pieces</t>
  </si>
  <si>
    <t>The Little Things You Give Away</t>
  </si>
  <si>
    <t>Wake</t>
  </si>
  <si>
    <t xml:space="preserve">Given Up </t>
  </si>
  <si>
    <t xml:space="preserve">Leave Out All The Rest </t>
  </si>
  <si>
    <t>Bleed It Out</t>
  </si>
  <si>
    <t>Shadow of the Day</t>
  </si>
  <si>
    <t>What I’ve Done</t>
  </si>
  <si>
    <t>Hands Held High</t>
  </si>
  <si>
    <t>No More Sorrow</t>
  </si>
  <si>
    <t>Minutes to Midnight</t>
  </si>
  <si>
    <t>RESUMEN GLOBAL</t>
  </si>
  <si>
    <t>GENERAL</t>
  </si>
  <si>
    <t>Total álbumes</t>
  </si>
  <si>
    <t>Artistas únicos</t>
  </si>
  <si>
    <t>Total canciones</t>
  </si>
  <si>
    <t>Canciones con nota</t>
  </si>
  <si>
    <t>Canciones/álbum (media)</t>
  </si>
  <si>
    <t>% Interludios</t>
  </si>
  <si>
    <t>NOTAS - TENDENCIA CENTRAL</t>
  </si>
  <si>
    <t>Media global</t>
  </si>
  <si>
    <t>Mediana global</t>
  </si>
  <si>
    <t>Moda (nota más frecuente)</t>
  </si>
  <si>
    <t>NOTAS - DISPERSIÓN</t>
  </si>
  <si>
    <t>Desviación típica</t>
  </si>
  <si>
    <t>Coef. de variación</t>
  </si>
  <si>
    <t>Rango (máx - mín)</t>
  </si>
  <si>
    <t>10.5 (0 - 10.5)</t>
  </si>
  <si>
    <t>Rango intercuartílico (Q3-Q1)</t>
  </si>
  <si>
    <t>1 (8 - 9)</t>
  </si>
  <si>
    <t>NOTAS - FORMA DE LA DISTRIBUCIÓN</t>
  </si>
  <si>
    <t>Asimetría (skewness)</t>
  </si>
  <si>
    <t>Curtosis (excess)</t>
  </si>
  <si>
    <t>DISTRIBUCIÓN POR RANGOS</t>
  </si>
  <si>
    <t>[0, 5)</t>
  </si>
  <si>
    <t>[5, 7)</t>
  </si>
  <si>
    <t>[7, 8)</t>
  </si>
  <si>
    <t>[8, 9)</t>
  </si>
  <si>
    <t>[9, 10)</t>
  </si>
  <si>
    <t>[10, 10.5]</t>
  </si>
  <si>
    <t>DESTACADOS</t>
  </si>
  <si>
    <t>Mejor álbum</t>
  </si>
  <si>
    <t>Fishmans - LONG SEASON (10.5)</t>
  </si>
  <si>
    <t>Peor álbum</t>
  </si>
  <si>
    <t>Hobo Johnson - Hobo Johnson Alienates His Fanbase (0.81)</t>
  </si>
  <si>
    <t>Más consistente (menor desv.)</t>
  </si>
  <si>
    <t>Más irregular (mayor desv.)</t>
  </si>
  <si>
    <t>SUBGÉNEROS</t>
  </si>
  <si>
    <t>Álbumes con subgénero</t>
  </si>
  <si>
    <t>Subgéneros únicos</t>
  </si>
  <si>
    <t>Más frecuente</t>
  </si>
  <si>
    <t>Mejor media</t>
  </si>
  <si>
    <t>Peor media</t>
  </si>
  <si>
    <t>comedy rap (0.81)</t>
  </si>
  <si>
    <t>DESGLOSE POR SUBGÉNERO</t>
  </si>
  <si>
    <t>2 · media 9.16 · score 9.28</t>
  </si>
  <si>
    <t>4 · media 9.13 · score 9.27</t>
  </si>
  <si>
    <t>1 · media 9.06 · score 9.02</t>
  </si>
  <si>
    <t>1 · media 9.06 · score 9.1</t>
  </si>
  <si>
    <t>5 · media 9.04 · score 9.06</t>
  </si>
  <si>
    <t>1 · media 9 · score 8.91</t>
  </si>
  <si>
    <t>1 · media 9 · score 8.96</t>
  </si>
  <si>
    <t>3 · media 8.89 · score 8.84</t>
  </si>
  <si>
    <t>1 · media 8.89 · score 8.87</t>
  </si>
  <si>
    <t>1 · media 8.88 · score 8.77</t>
  </si>
  <si>
    <t>14 · media 8.86 · score 8.8</t>
  </si>
  <si>
    <t>1 · media 8.86 · score 8.83</t>
  </si>
  <si>
    <t>1 · media 8.85 · score 8.72</t>
  </si>
  <si>
    <t>3 · media 8.84 · score 8.89</t>
  </si>
  <si>
    <t>2 · media 8.84 · score 8.77</t>
  </si>
  <si>
    <t>1 · media 8.83 · score 8.71</t>
  </si>
  <si>
    <t>1 · media 8.83 · score 8.86</t>
  </si>
  <si>
    <t>1 · media 8.82 · score 8.69</t>
  </si>
  <si>
    <t>1 · media 8.82 · score 8.83</t>
  </si>
  <si>
    <t>9 · media 8.8 · score 8.79</t>
  </si>
  <si>
    <t>8 · media 8.8 · score 8.76</t>
  </si>
  <si>
    <t>1 · media 8.8 · score 8.68</t>
  </si>
  <si>
    <t>1 · media 8.8 · score 8.97</t>
  </si>
  <si>
    <t>3 · media 8.77 · score 8.8</t>
  </si>
  <si>
    <t>1 · media 8.77 · score 8.65</t>
  </si>
  <si>
    <t>7 · media 8.76 · score 8.76</t>
  </si>
  <si>
    <t>8 · media 8.75 · score 8.7</t>
  </si>
  <si>
    <t>3 · media 8.75 · score 8.68</t>
  </si>
  <si>
    <t>1 · media 8.75 · score 8.7</t>
  </si>
  <si>
    <t>1 · media 8.75 · score 8.78</t>
  </si>
  <si>
    <t>1 · media 8.75 · score 8.67</t>
  </si>
  <si>
    <t>1 · media 8.75 · score 8.63</t>
  </si>
  <si>
    <t>7 · media 8.73 · score 8.71</t>
  </si>
  <si>
    <t>1 · media 8.73 · score 8.62</t>
  </si>
  <si>
    <t>1 · media 8.73 · score 8.76</t>
  </si>
  <si>
    <t>3 · media 8.72 · score 8.64</t>
  </si>
  <si>
    <t>13 · media 8.71 · score 8.7</t>
  </si>
  <si>
    <t>3 · media 8.71 · score 8.65</t>
  </si>
  <si>
    <t>1 · media 8.71 · score 8.65</t>
  </si>
  <si>
    <t>5 · media 8.7 · score 8.66</t>
  </si>
  <si>
    <t>1 · media 8.7 · score 8.61</t>
  </si>
  <si>
    <t>1 · media 8.69 · score 8.53</t>
  </si>
  <si>
    <t>5 · media 8.68 · score 8.61</t>
  </si>
  <si>
    <t>4 · media 8.68 · score 8.62</t>
  </si>
  <si>
    <t>1 · media 8.68 · score 8.71</t>
  </si>
  <si>
    <t>6 · media 8.67 · score 8.68</t>
  </si>
  <si>
    <t>2 · media 8.67 · score 8.67</t>
  </si>
  <si>
    <t>2 · media 8.67 · score 8.59</t>
  </si>
  <si>
    <t>1 · media 8.67 · score 8.57</t>
  </si>
  <si>
    <t>1 · media 8.67 · score 8.58</t>
  </si>
  <si>
    <t>8 · media 8.66 · score 8.57</t>
  </si>
  <si>
    <t>3 · media 8.66 · score 8.61</t>
  </si>
  <si>
    <t>2 · media 8.66 · score 8.56</t>
  </si>
  <si>
    <t>1 · media 8.65 · score 8.56</t>
  </si>
  <si>
    <t>2 · media 8.64 · score 8.58</t>
  </si>
  <si>
    <t>1 · media 8.64 · score 8.53</t>
  </si>
  <si>
    <t>5 · media 8.63 · score 8.6</t>
  </si>
  <si>
    <t>2 · media 8.63 · score 8.54</t>
  </si>
  <si>
    <t>1 · media 8.63 · score 8.53</t>
  </si>
  <si>
    <t>4 · media 8.62 · score 8.54</t>
  </si>
  <si>
    <t>3 · media 8.61 · score 8.61</t>
  </si>
  <si>
    <t>1 · media 8.6 · score 8.6</t>
  </si>
  <si>
    <t>1 · media 8.6 · score 8.54</t>
  </si>
  <si>
    <t>4 · media 8.59 · score 8.55</t>
  </si>
  <si>
    <t>2 · media 8.59 · score 8.63</t>
  </si>
  <si>
    <t>2 · media 8.59 · score 8.5</t>
  </si>
  <si>
    <t>1 · media 8.59 · score 8.51</t>
  </si>
  <si>
    <t>1 · media 8.58 · score 8.51</t>
  </si>
  <si>
    <t>7 · media 8.57 · score 8.58</t>
  </si>
  <si>
    <t>1 · media 8.57 · score 8.59</t>
  </si>
  <si>
    <t>2 · media 8.56 · score 8.47</t>
  </si>
  <si>
    <t>1 · media 8.56 · score 8.48</t>
  </si>
  <si>
    <t>1 · media 8.55 · score 8.47</t>
  </si>
  <si>
    <t>1 · media 8.55 · score 8.6</t>
  </si>
  <si>
    <t>2 · media 8.52 · score 8.5</t>
  </si>
  <si>
    <t>1 · media 8.5 · score 8.43</t>
  </si>
  <si>
    <t>4 · media 8.49 · score 8.44</t>
  </si>
  <si>
    <t>5 · media 8.48 · score 8.41</t>
  </si>
  <si>
    <t>4 · media 8.46 · score 8.38</t>
  </si>
  <si>
    <t>3 · media 8.45 · score 8.35</t>
  </si>
  <si>
    <t>2 · media 8.45 · score 8.4</t>
  </si>
  <si>
    <t>1 · media 8.45 · score 8.38</t>
  </si>
  <si>
    <t>3 · media 8.44 · score 8.4</t>
  </si>
  <si>
    <t>1 · media 8.44 · score 8.39</t>
  </si>
  <si>
    <t>2 · media 8.43 · score 8.35</t>
  </si>
  <si>
    <t>5 · media 8.41 · score 8.37</t>
  </si>
  <si>
    <t>2 · media 8.41 · score 8.38</t>
  </si>
  <si>
    <t>1 · media 8.4 · score 8.37</t>
  </si>
  <si>
    <t>1 · media 8.38 · score 8.4</t>
  </si>
  <si>
    <t>1 · media 8.38 · score 8.25</t>
  </si>
  <si>
    <t>1 · media 8.38 · score 8.33</t>
  </si>
  <si>
    <t>1 · media 8.35 · score 8.19</t>
  </si>
  <si>
    <t>2 · media 8.32 · score 8.28</t>
  </si>
  <si>
    <t>2 · media 8.32 · score 8.18</t>
  </si>
  <si>
    <t>2 · media 8.31 · score 8.26</t>
  </si>
  <si>
    <t>13 · media 8.26 · score 8.2</t>
  </si>
  <si>
    <t>5 · media 8.25 · score 8.17</t>
  </si>
  <si>
    <t>1 · media 8.25 · score 8.18</t>
  </si>
  <si>
    <t>1 · media 8.17 · score 8.07</t>
  </si>
  <si>
    <t>1 · media 8.11 · score 8</t>
  </si>
  <si>
    <t>1 · media 8.03 · score 7.94</t>
  </si>
  <si>
    <t>1 · media 8 · score 7.79</t>
  </si>
  <si>
    <t>3 · media 7.93 · score 7.81</t>
  </si>
  <si>
    <t>1 · media 7.88 · score 7.84</t>
  </si>
  <si>
    <t>1 · media 7.71 · score 7.61</t>
  </si>
  <si>
    <t>1 · media 7.67 · score 7.66</t>
  </si>
  <si>
    <t>1 · media 7.29 · score 7.16</t>
  </si>
  <si>
    <t>1 · media 4.79 · score 4.62</t>
  </si>
  <si>
    <t>1 · media 0.81 · score 0.76</t>
  </si>
  <si>
    <t>GÉNEROS PADRE</t>
  </si>
  <si>
    <t>Álbumes con género padre</t>
  </si>
  <si>
    <t>Géneros padre únicos</t>
  </si>
  <si>
    <t>regional music (4.79)</t>
  </si>
  <si>
    <t>Mejor 3rd EYE SCORE</t>
  </si>
  <si>
    <t>Peor 3rd EYE SCORE</t>
  </si>
  <si>
    <t>regional music (4.62)</t>
  </si>
  <si>
    <t>Más variado (nº subgéneros)</t>
  </si>
  <si>
    <t>DESGLOSE POR GÉNERO PADRE</t>
  </si>
  <si>
    <t>8 álb · 1 subg · media 8.66 · score 8.57</t>
  </si>
  <si>
    <t>11 álb · 4 subg · media 8.57 · score 8.53</t>
  </si>
  <si>
    <t>1 álb · 1 subg · media 8.4 · score 8.37</t>
  </si>
  <si>
    <t>1 álb · 2 subg · media 8.11 · score 8</t>
  </si>
  <si>
    <t>1 álb · 1 subg · media 8.03 · score 7.94</t>
  </si>
  <si>
    <t>1 álb · 1 subg · media 4.79 · score 4.62</t>
  </si>
  <si>
    <t>MEJOR ÁLBUM POR GÉNERO PADRE</t>
  </si>
  <si>
    <t>Marvin Gaye - What's Going On (9.1)</t>
  </si>
  <si>
    <t>Fishmans - LONG SEASON (10.85)</t>
  </si>
  <si>
    <t>David Bowie - Low (8.94)</t>
  </si>
  <si>
    <t>Fiona Apple - When The Pawn... (8.95)</t>
  </si>
  <si>
    <t>TOOL - Lateralus (10.99)</t>
  </si>
  <si>
    <t>Radiohead - Kid A (9.37)</t>
  </si>
  <si>
    <t>Interpol - Turn On The Bright Lights (8.93)</t>
  </si>
  <si>
    <t>Enigma - MCMXC a.D. (8.37)</t>
  </si>
  <si>
    <t>Gorillaz - The Mountain (8)</t>
  </si>
  <si>
    <t>Kanye West - Graduation (8.92)</t>
  </si>
  <si>
    <t>Nujabes - samurai champloo music record departure (7.94)</t>
  </si>
  <si>
    <t>Bad Bunny - DeBÍ TiRAR MáS FOToS (4.62)</t>
  </si>
  <si>
    <t>AÑO</t>
  </si>
  <si>
    <t>Álbumes con año</t>
  </si>
  <si>
    <t>Año más antiguo</t>
  </si>
  <si>
    <t>Año más reciente</t>
  </si>
  <si>
    <t>Décadas con más álbumes</t>
  </si>
  <si>
    <t>Década mejor puntuada</t>
  </si>
  <si>
    <t>ÁLBUMES POR DÉCADA</t>
  </si>
  <si>
    <t>6 álbumes · media 8.86</t>
  </si>
  <si>
    <t>DURACIÓN</t>
  </si>
  <si>
    <t>Álbumes con duración</t>
  </si>
  <si>
    <t>Duración media</t>
  </si>
  <si>
    <t>Más largo</t>
  </si>
  <si>
    <t>Más corto</t>
  </si>
  <si>
    <t>Hobo Johnson - Hobo Johnson Alienates His Fanbase (22m)</t>
  </si>
  <si>
    <t>CORRELACIONES CON 3RD EYE SCORE</t>
  </si>
  <si>
    <t>(r: −1 negativa · 0 nula · +1 positiva)</t>
  </si>
  <si>
    <t>Interludios (absoluto)</t>
  </si>
  <si>
    <t>Año de publicación</t>
  </si>
  <si>
    <t>Duración (minutos)</t>
  </si>
  <si>
    <t>Mayor correlación</t>
  </si>
  <si>
    <t>Menor correlación</t>
  </si>
  <si>
    <t>MEDIA DE NOTAS POR NÚMERO DE CANCIÓN</t>
  </si>
  <si>
    <t>MEDIA DE NOTAS POR PORCENTAJE DE CANCIÓN</t>
  </si>
  <si>
    <t>Media canciones al 10% del álbum</t>
  </si>
  <si>
    <t>Media canciones al 20% del álbum</t>
  </si>
  <si>
    <t>Media canciones al 30% del álbum</t>
  </si>
  <si>
    <t>Media canciones al 40% del álbum</t>
  </si>
  <si>
    <t>Media canciones al 50% del álbum</t>
  </si>
  <si>
    <t>Media canciones al 60% del álbum</t>
  </si>
  <si>
    <t>Media canciones al 70% del álbum</t>
  </si>
  <si>
    <t>Media canciones al 80% del álbum</t>
  </si>
  <si>
    <t>Media canciones al 90% del álbum</t>
  </si>
  <si>
    <t>Media canciones al 100% del álbum</t>
  </si>
  <si>
    <t>alternative rock, pop rock</t>
  </si>
  <si>
    <t>02/09/2026</t>
  </si>
  <si>
    <t>idm, downtempo, folktronica</t>
  </si>
  <si>
    <r>
      <t xml:space="preserve">* Agalloch - </t>
    </r>
    <r>
      <rPr>
        <b/>
        <sz val="14"/>
        <color rgb="FFD1A461"/>
        <rFont val="Aptos Narrow"/>
        <scheme val="minor"/>
      </rPr>
      <t>Pale Folklore</t>
    </r>
  </si>
  <si>
    <t>She Painted Fire Across the Skyline</t>
  </si>
  <si>
    <t>She Painted Fire Across the Skyline Pt. 2</t>
  </si>
  <si>
    <t>She Painted Fire Across the Skyline Pt. 3</t>
  </si>
  <si>
    <t>The Misshapen Sted</t>
  </si>
  <si>
    <t>Hallways of Enchanted Ebony</t>
  </si>
  <si>
    <t>Dead Winter Days</t>
  </si>
  <si>
    <t>As Embers  Dress The Sky</t>
  </si>
  <si>
    <t>The Melancholy Spirit</t>
  </si>
  <si>
    <t>&gt;8,9</t>
  </si>
  <si>
    <t>&gt;8,7</t>
  </si>
  <si>
    <t>&gt;8</t>
  </si>
  <si>
    <t>&gt;8,8</t>
  </si>
  <si>
    <t>Pale Folklore</t>
  </si>
  <si>
    <t>atmospheric black metal, folk metal</t>
  </si>
  <si>
    <t>I don't why this song is so good, but it is</t>
  </si>
  <si>
    <t>The art of drumming</t>
  </si>
  <si>
    <t>That rain sound effect is what makes this song so special to me</t>
  </si>
  <si>
    <t>Enigmatic Ocean</t>
  </si>
  <si>
    <t>What a song. You don't even need lyrics</t>
  </si>
  <si>
    <t>Holy fucking goosebumps. These guys are on another level.</t>
  </si>
  <si>
    <t>Pictures of You</t>
  </si>
  <si>
    <t xml:space="preserve">A song with 2:30 minutes of intro. And not just any intro. </t>
  </si>
  <si>
    <t>Heavenly song that hurts like hell</t>
  </si>
  <si>
    <t>Such a unique sounding prog rock band, they have so many materpieces</t>
  </si>
  <si>
    <t>Once you learn the chorus, it will be stuck in your head forever</t>
  </si>
  <si>
    <t>Literally one of the best guitar solos I know. Insanely tasteful.</t>
  </si>
  <si>
    <t>Electronic music's Stairway to Heaven</t>
  </si>
  <si>
    <t>10/10 shoegaze track. Unfortunate that it's not really known in the States.</t>
  </si>
  <si>
    <t>There are very few artists that I consider to be genius. Aphex Twin is one of them.</t>
  </si>
  <si>
    <t>I'll never ever get tired of this masterpiece</t>
  </si>
  <si>
    <t>Perfect Deftones song, it has it all</t>
  </si>
  <si>
    <t>So many iconic moments in just 4 minutes</t>
  </si>
  <si>
    <t>That bass sounds so nice</t>
  </si>
  <si>
    <t>I LIKE JUICE FINISH YOUR JUICE</t>
  </si>
  <si>
    <t>This didn't need to go that hard</t>
  </si>
  <si>
    <t>Progressive rock at its finest</t>
  </si>
  <si>
    <t>Heartbeat City</t>
  </si>
  <si>
    <t>The Cars</t>
  </si>
  <si>
    <t>Sublime synth riff</t>
  </si>
  <si>
    <t>I'll never forget the first time I listened the outro of this song</t>
  </si>
  <si>
    <t>That high pitched voice in the background scratches my brain sooo good</t>
  </si>
  <si>
    <t>Whole songs feels like a buildup that explodes beautifully</t>
  </si>
  <si>
    <t>Those voice cracks give me the biggest chills. Legendary track.</t>
  </si>
  <si>
    <t>Cry For Me</t>
  </si>
  <si>
    <t>Why is this so damn good</t>
  </si>
  <si>
    <t>The Orb of Dreamers</t>
  </si>
  <si>
    <t>Daniel Pemberton</t>
  </si>
  <si>
    <t>Little Big Planet OST</t>
  </si>
  <si>
    <t>videogame music</t>
  </si>
  <si>
    <t>There is something so extremely magical about this song</t>
  </si>
  <si>
    <t>I wish I had just a fraction of Kate Bush's talent</t>
  </si>
  <si>
    <r>
      <t xml:space="preserve">* Andrew Prahlow - </t>
    </r>
    <r>
      <rPr>
        <b/>
        <sz val="12"/>
        <color rgb="FFF18C24"/>
        <rFont val="Aptos Narrow"/>
        <scheme val="minor"/>
      </rPr>
      <t>Outer Wilds</t>
    </r>
    <r>
      <rPr>
        <sz val="12"/>
        <color rgb="FFF18C24"/>
        <rFont val="Aptos Narrow"/>
        <scheme val="minor"/>
      </rPr>
      <t xml:space="preserve"> [OST]</t>
    </r>
  </si>
  <si>
    <t>Timber Hearth</t>
  </si>
  <si>
    <t>Outer Wilds</t>
  </si>
  <si>
    <t>The Museum</t>
  </si>
  <si>
    <t>Space</t>
  </si>
  <si>
    <t>Castaways</t>
  </si>
  <si>
    <t>The Sun Station</t>
  </si>
  <si>
    <t>Main Title</t>
  </si>
  <si>
    <t>The Search</t>
  </si>
  <si>
    <t>The Uncertainty Principle</t>
  </si>
  <si>
    <t>End Times</t>
  </si>
  <si>
    <t>22 Minutes</t>
  </si>
  <si>
    <t>The Nomai</t>
  </si>
  <si>
    <t>The Ash Twin Project</t>
  </si>
  <si>
    <t>Dark Bramble</t>
  </si>
  <si>
    <t>Giant's Deep</t>
  </si>
  <si>
    <t>Nomai Ruins</t>
  </si>
  <si>
    <t>Final Voyage</t>
  </si>
  <si>
    <t>The Ancient Glade</t>
  </si>
  <si>
    <t>Curiosity</t>
  </si>
  <si>
    <t>Travelers</t>
  </si>
  <si>
    <t>14.3 Billion Years</t>
  </si>
  <si>
    <t>Morning</t>
  </si>
  <si>
    <t>Campfire Song</t>
  </si>
  <si>
    <t>Into The Wilds</t>
  </si>
  <si>
    <t>Arrow of Time</t>
  </si>
  <si>
    <t>We Have Liftoff</t>
  </si>
  <si>
    <t>A Terrible Fate</t>
  </si>
  <si>
    <r>
      <t xml:space="preserve">* Phantogram - </t>
    </r>
    <r>
      <rPr>
        <b/>
        <sz val="14"/>
        <color rgb="FFDBC24C"/>
        <rFont val="Aptos Narrow"/>
        <scheme val="minor"/>
      </rPr>
      <t>Eyelid Movies</t>
    </r>
  </si>
  <si>
    <t>Mouthful of Diamonds</t>
  </si>
  <si>
    <t>When I'm Small</t>
  </si>
  <si>
    <t>Turn It Off</t>
  </si>
  <si>
    <t>Running From The Cops</t>
  </si>
  <si>
    <t>All Dried Up</t>
  </si>
  <si>
    <t>As Far As I Can See</t>
  </si>
  <si>
    <t>You Are The Ocean</t>
  </si>
  <si>
    <t>Bloody Palms</t>
  </si>
  <si>
    <t>Futuristic Casket</t>
  </si>
  <si>
    <t>Let Me Go</t>
  </si>
  <si>
    <t>10,000 Caps</t>
  </si>
  <si>
    <t>Phantogram</t>
  </si>
  <si>
    <t>Eyelid Movies</t>
  </si>
  <si>
    <t>Andrew Prahlow</t>
  </si>
  <si>
    <t>Outer Wilds [OST]</t>
  </si>
  <si>
    <t>1999 - 2006</t>
  </si>
  <si>
    <t>4 · media 8.58 · score 8.53</t>
  </si>
  <si>
    <t>Agalloch (1h 3m)</t>
  </si>
  <si>
    <t>05/09/2026</t>
  </si>
  <si>
    <t>04/09/2026</t>
  </si>
  <si>
    <t>What a gem of a song</t>
  </si>
  <si>
    <t>Best grunge singer. Fight me.</t>
  </si>
  <si>
    <t>The bassline, the drumming, the slow pacing… masterpiece</t>
  </si>
  <si>
    <t xml:space="preserve">I can't think of a modern artist that influenced more childhoods </t>
  </si>
  <si>
    <t>I love every inch of this album with all my soul</t>
  </si>
  <si>
    <t>When the synth finally breaks free…. sooo damn good</t>
  </si>
  <si>
    <t xml:space="preserve">Heavenly  </t>
  </si>
  <si>
    <t>I don't know how to put into words how much I enjoy this song</t>
  </si>
  <si>
    <t>Best track of both games</t>
  </si>
  <si>
    <t>Best outro of all time. Makes me cry everytime.</t>
  </si>
  <si>
    <t>So catchy and so addictive</t>
  </si>
  <si>
    <t>Those violins destroy me</t>
  </si>
  <si>
    <t>How It Feels to Be Something On</t>
  </si>
  <si>
    <t>So beautiful</t>
  </si>
  <si>
    <t>The only kind of nu metal that I really dig</t>
  </si>
  <si>
    <t>Resurrections</t>
  </si>
  <si>
    <t>Celest OST</t>
  </si>
  <si>
    <t>Lena Raine</t>
  </si>
  <si>
    <t>Celeste wouldn't be such a masterpiece if it weren't for its music</t>
  </si>
  <si>
    <t>Tunnel of Love</t>
  </si>
  <si>
    <t>Their most emotional song, and my most listened song by them</t>
  </si>
  <si>
    <t>My favorite BOC song</t>
  </si>
  <si>
    <t>Way Out Of Here</t>
  </si>
  <si>
    <t>I'd put Anesthetize here but I already put it in my other top 100 songs video</t>
  </si>
  <si>
    <t>In My Darkest Hour</t>
  </si>
  <si>
    <t>So Far, So Good… So What!</t>
  </si>
  <si>
    <t>Peak thrash</t>
  </si>
  <si>
    <t>So bittersweet. My body wants to dance, but my heart wants to cry.</t>
  </si>
  <si>
    <t>Absolutely timeless</t>
  </si>
  <si>
    <t>Contender for best album closer of all time</t>
  </si>
  <si>
    <t>There's no enough volume for this shit</t>
  </si>
  <si>
    <t>Metallica's grooviest riff, I can't get enough of it</t>
  </si>
  <si>
    <t>The violin is genuinely one of humanity's most beautiful creations</t>
  </si>
  <si>
    <t>The sands for me are running loooooooooooooooooooooooooooooooooooooooow</t>
  </si>
  <si>
    <t>If Pink Floyd made death metal</t>
  </si>
  <si>
    <t>Gotta be the most underrated song of all time</t>
  </si>
  <si>
    <t>Perfect definition of masterpiece</t>
  </si>
  <si>
    <t>Fade to Black</t>
  </si>
  <si>
    <t>This was my favorite song of all time for a very long time</t>
  </si>
  <si>
    <t>Burnin' For You</t>
  </si>
  <si>
    <t>This song improves my mood every time I listen to it</t>
  </si>
  <si>
    <t>Once you acquire the taste for Opeth, there's no going back</t>
  </si>
  <si>
    <t>Desarraigo</t>
  </si>
  <si>
    <t>Mi espíritu imperecedero</t>
  </si>
  <si>
    <t>Otra inútil canción para la paz</t>
  </si>
  <si>
    <t>Si te vas…</t>
  </si>
  <si>
    <t>Tango suicida</t>
  </si>
  <si>
    <t>Calle esperanza s/n</t>
  </si>
  <si>
    <r>
      <t xml:space="preserve">* Extremoduro - </t>
    </r>
    <r>
      <rPr>
        <b/>
        <sz val="12"/>
        <color rgb="FFC00000"/>
        <rFont val="Aptos Narrow"/>
        <scheme val="minor"/>
      </rPr>
      <t>Material Defectuoso</t>
    </r>
  </si>
  <si>
    <t>Material Defectuoso</t>
  </si>
  <si>
    <t>Extremoduro (2)</t>
  </si>
  <si>
    <t>06/09/2026</t>
  </si>
  <si>
    <t>This song comes from Heaven</t>
  </si>
  <si>
    <t>Insane drumming</t>
  </si>
  <si>
    <t>TOOL will always be my favorite band of all time</t>
  </si>
  <si>
    <t>Perfect closure of a perfect album</t>
  </si>
  <si>
    <t>Motion Picture Soundtrack</t>
  </si>
  <si>
    <t>I still don't know how toavoid crying to this song</t>
  </si>
  <si>
    <t>Why do I connect so deeply with depressing music if I'm such a happy person?</t>
  </si>
  <si>
    <t>Holy fucking solo. Pink Floyd's best album.</t>
  </si>
  <si>
    <t>The most complete metal song ever made. Masterpiece among masterpieces.</t>
  </si>
  <si>
    <t>The levels of dopamine this song gives me cannot be healthy</t>
  </si>
  <si>
    <t>Music so out of this world I don't feel like I deserve to listen to it</t>
  </si>
  <si>
    <t>This album thouches my soul in places no other album can</t>
  </si>
  <si>
    <t>There is nothing more beautiful in the entire world than this song. Makes me cry instantly.</t>
  </si>
  <si>
    <t>If Extremoduro were american, they'd be globally famous</t>
  </si>
  <si>
    <t>TOOL is the closest thing I've ever had to a true spiritual experience</t>
  </si>
  <si>
    <t>Music doesn't get better than this</t>
  </si>
  <si>
    <t>Easily one of my favorite drum intros of all time</t>
  </si>
  <si>
    <t xml:space="preserve">song  </t>
  </si>
  <si>
    <t>album</t>
  </si>
  <si>
    <t>artist</t>
  </si>
  <si>
    <t>genre</t>
  </si>
  <si>
    <t>year</t>
  </si>
  <si>
    <t>commentary</t>
  </si>
  <si>
    <t>Banger</t>
  </si>
  <si>
    <t>2008 - 2011</t>
  </si>
  <si>
    <t>TOP  Art Rock (27 álbumes)</t>
  </si>
  <si>
    <t>26 · media 8.9 · score 8.97</t>
  </si>
  <si>
    <t>17</t>
  </si>
  <si>
    <r>
      <t xml:space="preserve">* M|O|O|N - </t>
    </r>
    <r>
      <rPr>
        <b/>
        <sz val="14"/>
        <color theme="1" tint="0.249977111117893"/>
        <rFont val="Aptos Narrow"/>
        <scheme val="minor"/>
      </rPr>
      <t>Moon</t>
    </r>
    <r>
      <rPr>
        <sz val="14"/>
        <color theme="1" tint="0.249977111117893"/>
        <rFont val="Aptos Narrow"/>
        <scheme val="minor"/>
      </rPr>
      <t xml:space="preserve"> [EP]</t>
    </r>
  </si>
  <si>
    <t>Paris</t>
  </si>
  <si>
    <t>Crystals</t>
  </si>
  <si>
    <t>Hydrogen</t>
  </si>
  <si>
    <t>M|O|O|N</t>
  </si>
  <si>
    <t>Moon [EP]</t>
  </si>
  <si>
    <t>tech house, electro house</t>
  </si>
  <si>
    <t>20m</t>
  </si>
  <si>
    <t>09/09/2026</t>
  </si>
  <si>
    <r>
      <t xml:space="preserve">* Primus - </t>
    </r>
    <r>
      <rPr>
        <b/>
        <sz val="14"/>
        <color theme="3" tint="0.249977111117893"/>
        <rFont val="Aptos Narrow"/>
        <scheme val="minor"/>
      </rPr>
      <t>Frizzle Fry</t>
    </r>
  </si>
  <si>
    <t>To Defy The Laws Of Tradition</t>
  </si>
  <si>
    <t>Groundhog's day</t>
  </si>
  <si>
    <t>Too Many Puppies</t>
  </si>
  <si>
    <t>Mr. Knowitall</t>
  </si>
  <si>
    <t>Frizzle Fry</t>
  </si>
  <si>
    <t>John The Fisherman</t>
  </si>
  <si>
    <t>You Can't Kill Michael Malloy</t>
  </si>
  <si>
    <t>The Toys Go Winding Down</t>
  </si>
  <si>
    <t>Pudding Time</t>
  </si>
  <si>
    <t>Sathington Willoughby</t>
  </si>
  <si>
    <t>Spegetti Western</t>
  </si>
  <si>
    <t>Harold Of The Rocks</t>
  </si>
  <si>
    <t xml:space="preserve">To Defy  </t>
  </si>
  <si>
    <r>
      <t xml:space="preserve">* Kaátaìra - </t>
    </r>
    <r>
      <rPr>
        <b/>
        <sz val="14"/>
        <color rgb="FFF5C39C"/>
        <rFont val="Aptos Narrow"/>
        <scheme val="minor"/>
      </rPr>
      <t>Caminhos de Água</t>
    </r>
  </si>
  <si>
    <t>Rio Preto</t>
  </si>
  <si>
    <t>Rio sem Nome</t>
  </si>
  <si>
    <t>Aguas Passadas</t>
  </si>
  <si>
    <t>Rio Jovem</t>
  </si>
  <si>
    <t>Ritmo Corredeiro</t>
  </si>
  <si>
    <t>Caminhos de Água</t>
  </si>
  <si>
    <t>Remanso de Maria</t>
  </si>
  <si>
    <t>Primus</t>
  </si>
  <si>
    <t>Kaátaìra</t>
  </si>
  <si>
    <t>electro house</t>
  </si>
  <si>
    <t>tech house</t>
  </si>
  <si>
    <t>folk metal, avant garde metal</t>
  </si>
  <si>
    <t>11/09/2026</t>
  </si>
  <si>
    <t>avant garde metal</t>
  </si>
  <si>
    <t>3 · media 8.66 · score 8.58</t>
  </si>
  <si>
    <t>1 · media 8.6 · score 8.51</t>
  </si>
  <si>
    <r>
      <t xml:space="preserve">* Ms. Lauryn Hill - </t>
    </r>
    <r>
      <rPr>
        <b/>
        <sz val="10"/>
        <color rgb="FF7F413E"/>
        <rFont val="Aptos Narrow"/>
        <scheme val="minor"/>
      </rPr>
      <t>The Miseducation of Lauryn Hill</t>
    </r>
  </si>
  <si>
    <t>Lost Ones</t>
  </si>
  <si>
    <t>Ex-Factor</t>
  </si>
  <si>
    <t>To Zion</t>
  </si>
  <si>
    <t>Doo Wop</t>
  </si>
  <si>
    <t>Superstar</t>
  </si>
  <si>
    <t>Final Hour</t>
  </si>
  <si>
    <t>When It Hurts so Bad</t>
  </si>
  <si>
    <t>Forgive Them Father</t>
  </si>
  <si>
    <t>Every Ghetto, Every City</t>
  </si>
  <si>
    <t>Nothing Ever Matters</t>
  </si>
  <si>
    <t>Everything Is Everything</t>
  </si>
  <si>
    <t>The Miseducation of Lauryn Hill</t>
  </si>
  <si>
    <t>Tell Him</t>
  </si>
  <si>
    <t>I Used to Love Him</t>
  </si>
  <si>
    <t>Can't Take My Eyes Off of You - (I Love You Baby)</t>
  </si>
  <si>
    <t>Ms. Lauryn Hill</t>
  </si>
  <si>
    <t>neo soul, hip hop</t>
  </si>
  <si>
    <t>14/09/2026</t>
  </si>
  <si>
    <t>funk metal</t>
  </si>
  <si>
    <t>neo soul</t>
  </si>
  <si>
    <t>TOP Hip Hop (25 álbumes)</t>
  </si>
  <si>
    <t>1 · media 8.8 · score 8.69</t>
  </si>
  <si>
    <t>3 · media 8.62 · score 8.57</t>
  </si>
  <si>
    <t>24 álb · 16 subg · media 8.04 · score 7.97</t>
  </si>
  <si>
    <t>Horse Steppin'</t>
  </si>
  <si>
    <t>Deep Cover</t>
  </si>
  <si>
    <t>Hotline</t>
  </si>
  <si>
    <t>Miami</t>
  </si>
  <si>
    <t>Knock Knock</t>
  </si>
  <si>
    <t>Miami Disco</t>
  </si>
  <si>
    <t>Flatline</t>
  </si>
  <si>
    <t>Silver Lights</t>
  </si>
  <si>
    <t>Daisuke</t>
  </si>
  <si>
    <t>Turf</t>
  </si>
  <si>
    <t>Crush</t>
  </si>
  <si>
    <t>Electric Dreams</t>
  </si>
  <si>
    <t>Inner Animal</t>
  </si>
  <si>
    <t>It's Safe Now</t>
  </si>
  <si>
    <r>
      <t xml:space="preserve">* Hotline Miami - </t>
    </r>
    <r>
      <rPr>
        <b/>
        <sz val="12"/>
        <color rgb="FFFF59A1"/>
        <rFont val="Aptos Narrow"/>
        <scheme val="minor"/>
      </rPr>
      <t>Hotline Miami</t>
    </r>
    <r>
      <rPr>
        <sz val="12"/>
        <color rgb="FFFF59A1"/>
        <rFont val="Aptos Narrow"/>
        <scheme val="minor"/>
      </rPr>
      <t xml:space="preserve"> [OST]</t>
    </r>
  </si>
  <si>
    <t>Hotline Miami</t>
  </si>
  <si>
    <t>Hotline Miami [OST]</t>
  </si>
  <si>
    <t>15/09/2026</t>
  </si>
  <si>
    <r>
      <t xml:space="preserve">* Mort Garson - </t>
    </r>
    <r>
      <rPr>
        <b/>
        <sz val="12"/>
        <color rgb="FF009C36"/>
        <rFont val="Aptos Narrow"/>
        <scheme val="minor"/>
      </rPr>
      <t>Mother Earth's Plantasia</t>
    </r>
  </si>
  <si>
    <t>Plantasia</t>
  </si>
  <si>
    <t>Symphony for a Spider Plant</t>
  </si>
  <si>
    <t>Baby's Tears Blues</t>
  </si>
  <si>
    <t>Ode to an African Violet</t>
  </si>
  <si>
    <t>Concerto for Philodendron &amp; Pothos</t>
  </si>
  <si>
    <t>Rhapsody in Green</t>
  </si>
  <si>
    <t>Swingin' Spathiphyllums</t>
  </si>
  <si>
    <t>You Don't Have to Walk a Begonia</t>
  </si>
  <si>
    <t>A Mellow Mood for Maidenhair</t>
  </si>
  <si>
    <t>Music to Soothe the Savage Snake Plant</t>
  </si>
  <si>
    <t>Mort Garson</t>
  </si>
  <si>
    <t>Mother Earth's Plantasia</t>
  </si>
  <si>
    <t>TOP  Electronic (9 álbumes)</t>
  </si>
  <si>
    <t>Discovery, Random Access Memories</t>
  </si>
  <si>
    <t>progressive electronic, space age pop</t>
  </si>
  <si>
    <t>16/09/2026</t>
  </si>
  <si>
    <r>
      <t xml:space="preserve">* Herbie Hancock - </t>
    </r>
    <r>
      <rPr>
        <b/>
        <sz val="14"/>
        <color rgb="FFE8C717"/>
        <rFont val="Aptos Narrow"/>
        <scheme val="minor"/>
      </rPr>
      <t>Head Hunters</t>
    </r>
  </si>
  <si>
    <t>Chamaleon</t>
  </si>
  <si>
    <t>Watermelon Man</t>
  </si>
  <si>
    <t>Sly</t>
  </si>
  <si>
    <t>Vein Melter</t>
  </si>
  <si>
    <t>Herbie Hancock</t>
  </si>
  <si>
    <t>Head Hunters</t>
  </si>
  <si>
    <t>space age pop</t>
  </si>
  <si>
    <t>1 · media 8.75 · score 8.64</t>
  </si>
  <si>
    <t>2 · media 8.55 · score 8.46</t>
  </si>
  <si>
    <t>jazz funk, jazz fusion</t>
  </si>
  <si>
    <r>
      <t xml:space="preserve">* Songs: Ohia - </t>
    </r>
    <r>
      <rPr>
        <b/>
        <sz val="12"/>
        <color theme="0" tint="-4.9989318521683403E-2"/>
        <rFont val="Aptos Narrow"/>
        <scheme val="minor"/>
      </rPr>
      <t>Magnolia Electric Co.</t>
    </r>
  </si>
  <si>
    <t>Farewell Transmission</t>
  </si>
  <si>
    <t>I've Been Riding With the Ghost</t>
  </si>
  <si>
    <t>Just Be Simple</t>
  </si>
  <si>
    <t>Almost Was Good Enough</t>
  </si>
  <si>
    <t>The Old Black Hen</t>
  </si>
  <si>
    <t>Peoria Lunch Box Blues</t>
  </si>
  <si>
    <t>John Henry Split My Heart</t>
  </si>
  <si>
    <t>Hold On Magnolia</t>
  </si>
  <si>
    <t>Songs: Ohia</t>
  </si>
  <si>
    <t>Magnolia Electric Co.</t>
  </si>
  <si>
    <t>Fear of a Blank Planet, Deadwing</t>
  </si>
  <si>
    <t>jazz funk</t>
  </si>
  <si>
    <t>TOP Jazz (4 álbumes)</t>
  </si>
  <si>
    <t>1 · media 9 · score 9.03</t>
  </si>
  <si>
    <t>3 · media 8.81 · score 8.78</t>
  </si>
  <si>
    <t>3 · media 8.43 · score 8.48</t>
  </si>
  <si>
    <t>Herbie Hancock - Head Hunters (9.03)</t>
  </si>
  <si>
    <t>alt country, country rock</t>
  </si>
  <si>
    <t>19/09/2026</t>
  </si>
  <si>
    <t>alt country</t>
  </si>
  <si>
    <t>4 álb · 3 subg · media 8.72 · score 8.68</t>
  </si>
  <si>
    <t>Entrance</t>
  </si>
  <si>
    <t>Block Of Flats</t>
  </si>
  <si>
    <t>Fortress Down</t>
  </si>
  <si>
    <t>Nothing Like The Knife</t>
  </si>
  <si>
    <t>Harder To Pretend</t>
  </si>
  <si>
    <t>اثينا</t>
  </si>
  <si>
    <t>Revenant</t>
  </si>
  <si>
    <t>The Way It Breaks</t>
  </si>
  <si>
    <t>Meet My Maker</t>
  </si>
  <si>
    <t>Fangs</t>
  </si>
  <si>
    <t>The Ladder</t>
  </si>
  <si>
    <t>Gifted Every Strength</t>
  </si>
  <si>
    <t>No Stranger To You…</t>
  </si>
  <si>
    <r>
      <t xml:space="preserve">* Loathe - </t>
    </r>
    <r>
      <rPr>
        <b/>
        <sz val="14"/>
        <color rgb="FF030D0A"/>
        <rFont val="Aptos Narrow"/>
        <scheme val="minor"/>
      </rPr>
      <t>A Stranger To You</t>
    </r>
  </si>
  <si>
    <t>A Stranger To You</t>
  </si>
  <si>
    <t>alternative metal, alternative rock</t>
  </si>
  <si>
    <t>20/09/2026</t>
  </si>
  <si>
    <r>
      <t xml:space="preserve">* Crowbar - </t>
    </r>
    <r>
      <rPr>
        <b/>
        <sz val="11"/>
        <color rgb="FFF2AF3F"/>
        <rFont val="Aptos Narrow"/>
        <scheme val="minor"/>
      </rPr>
      <t>Sonic Excess In Its Purest Form</t>
    </r>
  </si>
  <si>
    <t>Failure to Delay Gratification</t>
  </si>
  <si>
    <t>Empty Room</t>
  </si>
  <si>
    <t xml:space="preserve">The Lasting Dose </t>
  </si>
  <si>
    <t xml:space="preserve">To Build a Mountain </t>
  </si>
  <si>
    <t xml:space="preserve">Thru the Ashes (I’ve Watched You Burn) </t>
  </si>
  <si>
    <t xml:space="preserve">Awakening </t>
  </si>
  <si>
    <t xml:space="preserve">Repulsive in its Splendid Beauty </t>
  </si>
  <si>
    <t xml:space="preserve">Counting Daze </t>
  </si>
  <si>
    <t>In Times of Sorrow</t>
  </si>
  <si>
    <t xml:space="preserve">It Pours From Me </t>
  </si>
  <si>
    <t xml:space="preserve">Suffering Brings Wisdom </t>
  </si>
  <si>
    <t>Crowbar</t>
  </si>
  <si>
    <t>Sonic Excess In Its Purest Form</t>
  </si>
  <si>
    <t>2020 - 2026</t>
  </si>
  <si>
    <t>TOP  Alternative Metal (23 álbumes)</t>
  </si>
  <si>
    <t>22 · media 8.46 · score 8.47</t>
  </si>
  <si>
    <t>sludge metal, doom metal</t>
  </si>
  <si>
    <t>21/09/2026</t>
  </si>
  <si>
    <t>The Headmaster Ritual</t>
  </si>
  <si>
    <t>Rusholme Ruffians</t>
  </si>
  <si>
    <t>I Want the One I Can't Have</t>
  </si>
  <si>
    <t>What She Said</t>
  </si>
  <si>
    <t>That Joke Isn't Funny Anymore</t>
  </si>
  <si>
    <t>Well I Wonder</t>
  </si>
  <si>
    <t>Barbarism Begins at Home</t>
  </si>
  <si>
    <t>Meat Is Murder</t>
  </si>
  <si>
    <t>sludge metal</t>
  </si>
  <si>
    <t>1 · media 8.91 · score 8.88</t>
  </si>
  <si>
    <t>3 · media 8.8 · score 8.75</t>
  </si>
  <si>
    <t>2000s (77)</t>
  </si>
  <si>
    <t>23/09/2026</t>
  </si>
  <si>
    <r>
      <rPr>
        <sz val="14"/>
        <color theme="9" tint="-0.499984740745262"/>
        <rFont val="Aptos Narrow"/>
        <scheme val="minor"/>
      </rPr>
      <t xml:space="preserve">* The Smiths - </t>
    </r>
    <r>
      <rPr>
        <b/>
        <sz val="14"/>
        <color theme="9" tint="-0.499984740745262"/>
        <rFont val="Aptos Narrow"/>
        <scheme val="minor"/>
      </rPr>
      <t>Meat Is Murder</t>
    </r>
  </si>
  <si>
    <r>
      <t xml:space="preserve">* Boards of Canada - </t>
    </r>
    <r>
      <rPr>
        <b/>
        <sz val="12"/>
        <color theme="1"/>
        <rFont val="Aptos Narrow"/>
        <scheme val="minor"/>
      </rPr>
      <t>Tomorrow's Harvest</t>
    </r>
  </si>
  <si>
    <t>Reach for the Dead</t>
  </si>
  <si>
    <t>White Cyclosa</t>
  </si>
  <si>
    <t>Jacquard Causeway</t>
  </si>
  <si>
    <t>Telepath</t>
  </si>
  <si>
    <t>Cold Earth</t>
  </si>
  <si>
    <t>Transmisiones Ferox</t>
  </si>
  <si>
    <t>Sick Times</t>
  </si>
  <si>
    <t>Collapse</t>
  </si>
  <si>
    <t>Palace Posy</t>
  </si>
  <si>
    <t>Split Your Infinities</t>
  </si>
  <si>
    <t>Uritual</t>
  </si>
  <si>
    <t>Nothing Is Real</t>
  </si>
  <si>
    <t>Sundown</t>
  </si>
  <si>
    <t>New Seeds</t>
  </si>
  <si>
    <t>Come to Dust</t>
  </si>
  <si>
    <t>Semena Mertvykh</t>
  </si>
  <si>
    <t>&gt;8,5</t>
  </si>
  <si>
    <t>&gt;7,5</t>
  </si>
  <si>
    <t>&gt;7</t>
  </si>
  <si>
    <t>Tomorrow's Harvest</t>
  </si>
  <si>
    <t>TOP  Indie Pop (6 álbumes)</t>
  </si>
  <si>
    <t>The Queen Is Dead, The Smiths, Meat Is Murder</t>
  </si>
  <si>
    <t>4 · media 8.72 · score 8.69</t>
  </si>
  <si>
    <r>
      <t xml:space="preserve">* Imagine Dragons - </t>
    </r>
    <r>
      <rPr>
        <b/>
        <sz val="14"/>
        <color theme="0"/>
        <rFont val="Aptos Narrow"/>
        <scheme val="minor"/>
      </rPr>
      <t>Evolve</t>
    </r>
  </si>
  <si>
    <t>Next To Me</t>
  </si>
  <si>
    <t>I Don't Know Why</t>
  </si>
  <si>
    <t>Whatever It Takes</t>
  </si>
  <si>
    <t>Believer</t>
  </si>
  <si>
    <t>Walking The Wire</t>
  </si>
  <si>
    <t>Rise Up</t>
  </si>
  <si>
    <t>I'll Make It Up To You</t>
  </si>
  <si>
    <t>Yesterday</t>
  </si>
  <si>
    <t>Mouth Of The River</t>
  </si>
  <si>
    <t>Thunder</t>
  </si>
  <si>
    <t>Start Over</t>
  </si>
  <si>
    <t>Dancing In The Dark</t>
  </si>
  <si>
    <t>Imagine Dragons</t>
  </si>
  <si>
    <t>Evolve</t>
  </si>
  <si>
    <t>TOP  Idm (13 álbumes)</t>
  </si>
  <si>
    <t>Music Has The Right To Children, Geogaddi, Inferno, Tomorrow's Harvest</t>
  </si>
  <si>
    <t>TOP Electronic (50 álbumes)</t>
  </si>
  <si>
    <t>Imagine Dragons - Evolve (σ=1.98)</t>
  </si>
  <si>
    <t>12 · media 8.66 · score 8.63</t>
  </si>
  <si>
    <t>41 álb · 26 subg · media 8.6 · score 8.54</t>
  </si>
  <si>
    <t>Boards of Canada (1h 4m)</t>
  </si>
  <si>
    <t>24/09/2026</t>
  </si>
  <si>
    <t>Moon Age</t>
  </si>
  <si>
    <t>Heading for the Door</t>
  </si>
  <si>
    <t>Gold Dust</t>
  </si>
  <si>
    <t>Topical Solution</t>
  </si>
  <si>
    <t>Docking the Pod</t>
  </si>
  <si>
    <t>The Landing</t>
  </si>
  <si>
    <t>Echo, Bravo</t>
  </si>
  <si>
    <t>Constellations</t>
  </si>
  <si>
    <t>The Queen of Hearts</t>
  </si>
  <si>
    <t>Two Way Radio</t>
  </si>
  <si>
    <t>Inside Out</t>
  </si>
  <si>
    <t>Stratosphere</t>
  </si>
  <si>
    <t>Reed to Hillsborough</t>
  </si>
  <si>
    <t>Shadows of Planes</t>
  </si>
  <si>
    <t>Earth Moon Transit</t>
  </si>
  <si>
    <t>The Twins / Romantica</t>
  </si>
  <si>
    <t>Sideria</t>
  </si>
  <si>
    <r>
      <t xml:space="preserve">* Duster - </t>
    </r>
    <r>
      <rPr>
        <b/>
        <sz val="14"/>
        <color rgb="FF495D44"/>
        <rFont val="Aptos Narrow"/>
        <scheme val="minor"/>
      </rPr>
      <t>Stratosphere</t>
    </r>
  </si>
  <si>
    <t>Multinational Corporations</t>
  </si>
  <si>
    <t>Instinct of Survival</t>
  </si>
  <si>
    <t>The Kill</t>
  </si>
  <si>
    <t>Scum</t>
  </si>
  <si>
    <t>Caught... in a Dream</t>
  </si>
  <si>
    <t>Polluted Minds</t>
  </si>
  <si>
    <t>Sacrificed</t>
  </si>
  <si>
    <t>Siege of Power</t>
  </si>
  <si>
    <t>Control</t>
  </si>
  <si>
    <t>Born on Your Knees</t>
  </si>
  <si>
    <t>Human Garbage</t>
  </si>
  <si>
    <t>You Suffer</t>
  </si>
  <si>
    <t>Life?</t>
  </si>
  <si>
    <t>Prison Without Walls</t>
  </si>
  <si>
    <t>Point of No Return</t>
  </si>
  <si>
    <t>Negative Approach</t>
  </si>
  <si>
    <t>Success?</t>
  </si>
  <si>
    <t>Deceiver</t>
  </si>
  <si>
    <t>C.S.</t>
  </si>
  <si>
    <t>Parasites</t>
  </si>
  <si>
    <t>Pseudo Youth</t>
  </si>
  <si>
    <t>Divine Death</t>
  </si>
  <si>
    <t>As the Machine Rolls On</t>
  </si>
  <si>
    <t>Common Enemy</t>
  </si>
  <si>
    <t>Moral Crusade</t>
  </si>
  <si>
    <t>Stigmatized</t>
  </si>
  <si>
    <t>M.A.D.</t>
  </si>
  <si>
    <t>Dragnet</t>
  </si>
  <si>
    <r>
      <t xml:space="preserve">* Napalm Death - </t>
    </r>
    <r>
      <rPr>
        <b/>
        <sz val="14"/>
        <color rgb="FFFFEC00"/>
        <rFont val="Aptos Narrow"/>
        <scheme val="minor"/>
      </rPr>
      <t>Scum</t>
    </r>
  </si>
  <si>
    <t>Duster</t>
  </si>
  <si>
    <t>Napalm Death</t>
  </si>
  <si>
    <t>Álbumes con al menos 17 canciones: 15</t>
  </si>
  <si>
    <t>8.13, [+0.10]</t>
  </si>
  <si>
    <t>slowcore, slacker rock</t>
  </si>
  <si>
    <t>grindore</t>
  </si>
  <si>
    <t>26/09/2026</t>
  </si>
  <si>
    <t>25/09/2026</t>
  </si>
  <si>
    <t>slacker rock</t>
  </si>
  <si>
    <t>1 · media 7.13 · score 6.97</t>
  </si>
  <si>
    <t>75 álbumes · media 8.59</t>
  </si>
  <si>
    <t>1987</t>
  </si>
  <si>
    <r>
      <t xml:space="preserve">* The Caretaker - </t>
    </r>
    <r>
      <rPr>
        <b/>
        <sz val="11"/>
        <color theme="0" tint="-0.249977111117893"/>
        <rFont val="Aptos Narrow"/>
        <scheme val="minor"/>
      </rPr>
      <t>Everywhere at the End of Time (Stage 1)</t>
    </r>
  </si>
  <si>
    <t>A1 - It's just a burning memory</t>
  </si>
  <si>
    <t>A2 - We don't have many days</t>
  </si>
  <si>
    <t>A3 - Late afternoon drifting</t>
  </si>
  <si>
    <t>A4 - Childishly fresh eyes</t>
  </si>
  <si>
    <t>A5 - Slightly bewildered</t>
  </si>
  <si>
    <t>A6 - Things that are beautiful and transient</t>
  </si>
  <si>
    <t>B1 - All that follows is true</t>
  </si>
  <si>
    <t>B2 - An autumnal equinox</t>
  </si>
  <si>
    <t>B3 - Quiet internal rebellions</t>
  </si>
  <si>
    <t>B4 - The loves of my entire life</t>
  </si>
  <si>
    <t>B5 - Into each others eyes</t>
  </si>
  <si>
    <t>B6 - My heart will stop in joy</t>
  </si>
  <si>
    <r>
      <t xml:space="preserve">* The Caretaker - </t>
    </r>
    <r>
      <rPr>
        <b/>
        <sz val="11"/>
        <color rgb="FF293334"/>
        <rFont val="Aptos Narrow"/>
        <scheme val="minor"/>
      </rPr>
      <t>Everywhere at the End of Time (Stage 2)</t>
    </r>
  </si>
  <si>
    <t>C1 - A losing battle is raging</t>
  </si>
  <si>
    <t>C2 - Misplaced in time</t>
  </si>
  <si>
    <t>C3 - What does it matter how my heart breaks</t>
  </si>
  <si>
    <t>C4 - Glimpses of hope in trying times</t>
  </si>
  <si>
    <t>C5 - Surrendering to despair</t>
  </si>
  <si>
    <t>D1 - I still feel as though I am me</t>
  </si>
  <si>
    <t>D2 - Quiet dusk coming early</t>
  </si>
  <si>
    <t>D3 - Last moments of pure recall</t>
  </si>
  <si>
    <t>D4 - Denial unravelling</t>
  </si>
  <si>
    <t>D5 - The way ahead feels lonely</t>
  </si>
  <si>
    <r>
      <t xml:space="preserve">* The Caretaker - </t>
    </r>
    <r>
      <rPr>
        <b/>
        <sz val="11"/>
        <color rgb="FF293334"/>
        <rFont val="Aptos Narrow"/>
        <scheme val="minor"/>
      </rPr>
      <t>Everywhere at the End of Time (Stage 3)</t>
    </r>
  </si>
  <si>
    <t>E1 - Back there Benjamin</t>
  </si>
  <si>
    <t>E2 - And heart breaks</t>
  </si>
  <si>
    <t>E3 - Hidden sea buried deep</t>
  </si>
  <si>
    <t>E5 - To the minimal great hidden</t>
  </si>
  <si>
    <r>
      <t xml:space="preserve">* The Caretaker - </t>
    </r>
    <r>
      <rPr>
        <b/>
        <sz val="11"/>
        <color rgb="FF34AAD0"/>
        <rFont val="Aptos Narrow"/>
        <scheme val="minor"/>
      </rPr>
      <t>Everywhere at the End of Time (Stage 4)</t>
    </r>
  </si>
  <si>
    <r>
      <t xml:space="preserve">* The Caretaker - </t>
    </r>
    <r>
      <rPr>
        <b/>
        <sz val="11"/>
        <color rgb="FF393D3C"/>
        <rFont val="Aptos Narrow"/>
        <scheme val="minor"/>
      </rPr>
      <t>Everywhere at the End of Time (Stage 5)</t>
    </r>
  </si>
  <si>
    <t>E6 - Sublime beyond loss</t>
  </si>
  <si>
    <t>E7 - Bewildered in other eyes</t>
  </si>
  <si>
    <t>E8 - Long term dusk glimpses</t>
  </si>
  <si>
    <t>F1 - Gradations of arms length</t>
  </si>
  <si>
    <t>F2 - Drifting time misplaced</t>
  </si>
  <si>
    <t>F3 - Internal bewildered World</t>
  </si>
  <si>
    <t>F4 - Burning despair does ache</t>
  </si>
  <si>
    <t>F5 - Aching cavern without lucidity</t>
  </si>
  <si>
    <t>F6 - An empty bliss beyond this World</t>
  </si>
  <si>
    <t>F7 - Libet delay</t>
  </si>
  <si>
    <t>F8 - Mournful cameraderie</t>
  </si>
  <si>
    <t>E4 - Libet's all joyful cameraderie</t>
  </si>
  <si>
    <t>H1 - Stage 4 Post Awareness Confusions</t>
  </si>
  <si>
    <t>G1 - Stage 4 Post awareness confusions</t>
  </si>
  <si>
    <t>I1 - Stage 4 Temporary Bliss State</t>
  </si>
  <si>
    <t>J1 - Stage 4 Post Awareness Confusions</t>
  </si>
  <si>
    <t>K1 - Stage 5 Advanced plaque entanglements</t>
  </si>
  <si>
    <t>L1 - Stage 5 Advanced plaque entanglements</t>
  </si>
  <si>
    <t>M1 - Stage 5 Synapse retrogenesis</t>
  </si>
  <si>
    <t>N1 - Stage 5 Sudden time regression into isolation</t>
  </si>
  <si>
    <r>
      <t xml:space="preserve">* The Caretaker - </t>
    </r>
    <r>
      <rPr>
        <b/>
        <sz val="11"/>
        <color rgb="FF34AAD0"/>
        <rFont val="Aptos Narrow"/>
        <scheme val="minor"/>
      </rPr>
      <t>Everywhere at the End of Time (Stage 6)</t>
    </r>
  </si>
  <si>
    <t>O1 - Stage 6 A confusion so thick you forget forgetting</t>
  </si>
  <si>
    <t>P1 - Stage 6 A brutal bliss beyond this empty defeat</t>
  </si>
  <si>
    <t>Q1 - Stage 6 Long decline is over</t>
  </si>
  <si>
    <t>R1 - Stage 6 Place in the World fades away</t>
  </si>
  <si>
    <t>The Caretaker</t>
  </si>
  <si>
    <t>Everywhere at the End of Time (Stage 2)</t>
  </si>
  <si>
    <t>Everywhere at the End of Time (Stage 1)</t>
  </si>
  <si>
    <t>8.24, [-0.18]</t>
  </si>
  <si>
    <t>ambient, hauntology</t>
  </si>
  <si>
    <t>hauntology</t>
  </si>
  <si>
    <t>27/09/2026</t>
  </si>
  <si>
    <t>Everywhere at the End of Time (Stage 3)</t>
  </si>
  <si>
    <t>TOP  Progressive Metal (31 álbumes)</t>
  </si>
  <si>
    <t>TOP Metal (92 álbumes)</t>
  </si>
  <si>
    <t>30 · media 8.74 · score 8.78</t>
  </si>
  <si>
    <t>91 álb · 29 subg · media 8.56 · score 8.55</t>
  </si>
  <si>
    <t>8.72, [+0.18]</t>
  </si>
  <si>
    <t>8.11, [-0.33]</t>
  </si>
  <si>
    <t>8.27, [-0.08]</t>
  </si>
  <si>
    <t>Álbumes con al menos 16 canciones: 19</t>
  </si>
  <si>
    <t>7.66, [-0.47]</t>
  </si>
  <si>
    <t>TOP  Ambient (11 álbumes)</t>
  </si>
  <si>
    <t>7 · media 8.43 · score 8.37</t>
  </si>
  <si>
    <t>1. Hacer la review en la hoja Albums</t>
  </si>
  <si>
    <t>1.1 Todos los álbumes empiezan con un header así: * &lt;Artista&gt; - &lt;Nombre álbum&gt;</t>
  </si>
  <si>
    <t>1.3 El guion separando el artista y el álbum también es obligatorio</t>
  </si>
  <si>
    <t>1.5 En la celda justo debajo de la última canción (la que antes se dejaba vacía) escribir la línea de info:</t>
  </si>
  <si>
    <t xml:space="preserve">    &lt;año&gt;, &lt;subgéneros separados por comas&gt;, &lt;duración&gt;</t>
  </si>
  <si>
    <t xml:space="preserve">    Ejemplo: 1972, progressive rock, art rock, 1h 2m</t>
  </si>
  <si>
    <t>1.6 Subgéneros: suelo poner los géneros principales del álbum que salgan en RYM.com (el script los pasa a minúsculas)</t>
  </si>
  <si>
    <t>1.7 Duración con el formato &lt;horas&gt;h &lt;minutos&gt;m, o solo &lt;minutos&gt;m si dura menos de una hora</t>
  </si>
  <si>
    <t>1.8 Las tres partes son obligatorias: si falta alguna, el script no rellena nada, deja la línea en su celda y avisa en el log</t>
  </si>
  <si>
    <t>2. Ejecutar el script</t>
  </si>
  <si>
    <t>2.2 Este script está guardado en mi cuenta de OneDrive</t>
  </si>
  <si>
    <t>2.4 El script añade el álbum a Tabla Albums con año, subgéneros, duración y fecha de review (la de hoy, dd/mm/aaaa), y vacía la celda de la línea de info</t>
  </si>
  <si>
    <t>2.5 Revisar el log: debe salir "Línea de info aplicada → ...". Si sale "AVISO: línea de info incompleta", corregir la línea y volver a ejecutar</t>
  </si>
  <si>
    <t>3. Revisar la hoja Mapeo Géneros</t>
  </si>
  <si>
    <t>3.1 Comprobar que no hay ningún subgénero sin género padre (el log también los avisa)</t>
  </si>
  <si>
    <t>3.2 Si lo hay (eso significa que el último álbum que has hecho review tiene un subgénero que nunca se ha visto), poner al lado el género padre</t>
  </si>
  <si>
    <t>3.3 Los géneros padres son los géneros principales en RYM.com</t>
  </si>
  <si>
    <t>3.4 Si has añadido algún género padre, volver a ejecutar el script para que TOP Generos, Resumen y Graficos lo tengan en cuenta</t>
  </si>
  <si>
    <t>4. Hacer push en el repo de GitHub (el repo contiene el script pero también contiene el Excel)</t>
  </si>
  <si>
    <t>- La fecha de review es el día en que ejecutas el script. Si hiciste la review otro día, cámbiala a mano en Tabla Albums.</t>
  </si>
  <si>
    <t>- Para corregir un álbum ya reseñado: edita Tabla Albums directamente o escribe otra línea de info debajo del álbum.</t>
  </si>
  <si>
    <t xml:space="preserve">  La línea nueva sobrescribe año, subgéneros y duración, pero mantiene la fecha de review original.</t>
  </si>
  <si>
    <t>NOTAS: No es obligatorio ejecutar el script, se puede hacer cuando se quiera, no hay problema por hacer 5 reviews y luego ejecutarlo</t>
  </si>
  <si>
    <t>Everywhere at the End of Time (Stage 6)</t>
  </si>
  <si>
    <t>dark ambient, drone</t>
  </si>
  <si>
    <t>1h 25m</t>
  </si>
  <si>
    <t>Everywhere at the End of Time (Stage 4)</t>
  </si>
  <si>
    <t>dark ambient, hauntology</t>
  </si>
  <si>
    <t>Everywhere at the End of Time (Stage 5)</t>
  </si>
  <si>
    <t>dark ambient, noise</t>
  </si>
  <si>
    <t>1h 28m</t>
  </si>
  <si>
    <t>2016 - 2019</t>
  </si>
  <si>
    <t>dark ambient</t>
  </si>
  <si>
    <t>noise</t>
  </si>
  <si>
    <t>2 · media 8.76 · score 8.66</t>
  </si>
  <si>
    <t>1 · media 7.88 · score 7.8</t>
  </si>
  <si>
    <t>8.80, [+0.26]</t>
  </si>
  <si>
    <t>The Caretaker - Everywhere at the End of Time (Stage 6) (1h 25m)</t>
  </si>
  <si>
    <t>The Caretaker - Everywhere at the End of Time (Stage 4) (1h 27m)</t>
  </si>
  <si>
    <t>The Caretaker - Everywhere at the End of Time (Stage 5) (1h 28m)</t>
  </si>
  <si>
    <t>The Caretaker (1h 5m)</t>
  </si>
  <si>
    <r>
      <t xml:space="preserve">* Childish Gambino - </t>
    </r>
    <r>
      <rPr>
        <b/>
        <sz val="12"/>
        <color rgb="FF38BBE5"/>
        <rFont val="Aptos Narrow"/>
        <scheme val="minor"/>
      </rPr>
      <t>"Awaken, My Love!"</t>
    </r>
  </si>
  <si>
    <t>Me and Your Mama</t>
  </si>
  <si>
    <t>Have Some Love</t>
  </si>
  <si>
    <t>Boogieman</t>
  </si>
  <si>
    <t>Zombies</t>
  </si>
  <si>
    <t>Riot</t>
  </si>
  <si>
    <t>Redbone</t>
  </si>
  <si>
    <t>California</t>
  </si>
  <si>
    <t>Terrified</t>
  </si>
  <si>
    <t>Baby Boy</t>
  </si>
  <si>
    <t>The Night Me and Your Mama Met</t>
  </si>
  <si>
    <t>Stand Tall</t>
  </si>
  <si>
    <t>Childish Gambino</t>
  </si>
  <si>
    <t>"Awaken, My Love!"</t>
  </si>
  <si>
    <t>psychedelic soul, funk</t>
  </si>
  <si>
    <t>funk</t>
  </si>
  <si>
    <t>psychedelic soul</t>
  </si>
  <si>
    <t>1 · media 8.23 · score 8.21</t>
  </si>
  <si>
    <t>3 · media 8.17 · score 8.09</t>
  </si>
  <si>
    <t>4 · media 8.16 · score 8.1</t>
  </si>
  <si>
    <t>8.26, [-0.21]</t>
  </si>
  <si>
    <t>8.29, [-0.16]</t>
  </si>
  <si>
    <t>8.93, [+0.39]</t>
  </si>
  <si>
    <t>TOP  Progressive Rock (35 álbumes)</t>
  </si>
  <si>
    <t>progressive rock (35)</t>
  </si>
  <si>
    <t>35 · media 8.79 · score 8.8</t>
  </si>
  <si>
    <t>Bajo de la Piel</t>
  </si>
  <si>
    <t>Niño</t>
  </si>
  <si>
    <t>Gil</t>
  </si>
  <si>
    <t>Ama de mi Sol</t>
  </si>
  <si>
    <t>Solifican12</t>
  </si>
  <si>
    <t>Lucía</t>
  </si>
  <si>
    <t>MmmM</t>
  </si>
  <si>
    <t>Llora Llora</t>
  </si>
  <si>
    <t>Recordé</t>
  </si>
  <si>
    <t>Cuando El Agua Hirviendo</t>
  </si>
  <si>
    <t>La Vida Era Más Corta</t>
  </si>
  <si>
    <t>Radamel</t>
  </si>
  <si>
    <t>El Invisible</t>
  </si>
  <si>
    <t>Luciérnagas</t>
  </si>
  <si>
    <t>Jangadero</t>
  </si>
  <si>
    <r>
      <t xml:space="preserve">* Milo J - </t>
    </r>
    <r>
      <rPr>
        <b/>
        <sz val="14"/>
        <color rgb="FFD0A656"/>
        <rFont val="Aptos Narrow"/>
        <scheme val="minor"/>
      </rPr>
      <t>La Vida Era Más Corta</t>
    </r>
  </si>
  <si>
    <t>Fecha de review *</t>
  </si>
  <si>
    <t>Milo J</t>
  </si>
  <si>
    <t>29/09/2026</t>
  </si>
  <si>
    <t>ambient, hauntology, dark ambient, noise, drone</t>
  </si>
  <si>
    <t>TOP  Art Pop (8 álbumes)</t>
  </si>
  <si>
    <t>Demon Days, Plastic Beach</t>
  </si>
  <si>
    <t>TOP Pop (33 álbumes)</t>
  </si>
  <si>
    <t>TOP Ambient (16 álbumes)</t>
  </si>
  <si>
    <t>TOP R&amp;b (6 álbumes)</t>
  </si>
  <si>
    <t>TOP Industrial &amp; Noise (2 álbumes)</t>
  </si>
  <si>
    <t>3 · media 9.06 · score 9.15</t>
  </si>
  <si>
    <t>1 · media 9 · score 9.09</t>
  </si>
  <si>
    <t>r&amp;b (8.72)</t>
  </si>
  <si>
    <t>jazz (8.68)</t>
  </si>
  <si>
    <t>6 álb · 7 subg · media 8.72 · score 8.67</t>
  </si>
  <si>
    <t>12 álb · 5 subg · media 8.44 · score 8.37</t>
  </si>
  <si>
    <t>2 álb · 2 subg · media 7.94 · score 7.8</t>
  </si>
  <si>
    <t>The Caretaker - Everywhere at the End of Time (Stage 5) (7.8)</t>
  </si>
  <si>
    <t>50 álbumes · media 7.88</t>
  </si>
  <si>
    <t>Karnivool (1h 1m)</t>
  </si>
  <si>
    <t>Keep Your Eyes Peeled</t>
  </si>
  <si>
    <t>I Sat by the Ocean</t>
  </si>
  <si>
    <t>The Vampyre of Time and Memory</t>
  </si>
  <si>
    <t>If I Had a Tail</t>
  </si>
  <si>
    <t>My God Is the Sun</t>
  </si>
  <si>
    <t>Kalopsia</t>
  </si>
  <si>
    <t>Fairweather Friends</t>
  </si>
  <si>
    <t>Smooth Sailing</t>
  </si>
  <si>
    <t>I Appear Missing</t>
  </si>
  <si>
    <t>...Like Clockwork</t>
  </si>
  <si>
    <t>8 · media 8.54 · score 8.48</t>
  </si>
  <si>
    <t>Álbumes con al menos 11 canciones: 132</t>
  </si>
  <si>
    <t>Álbumes con al menos 12 canciones: 90</t>
  </si>
  <si>
    <t>Álbumes con al menos 13 canciones: 61</t>
  </si>
  <si>
    <t>Álbumes con al menos 14 canciones: 42</t>
  </si>
  <si>
    <t>8.27, [-0.07]</t>
  </si>
  <si>
    <t>Álbumes con al menos 15 canciones: 32</t>
  </si>
  <si>
    <t>1 · media 8.91 · score 8.79</t>
  </si>
  <si>
    <t>5 álb · 5 subg · media 8.7 · score 8.61</t>
  </si>
  <si>
    <t>Adrianne Lenker - songs (8.79)</t>
  </si>
  <si>
    <r>
      <t xml:space="preserve">* Queens of the Stone Age - </t>
    </r>
    <r>
      <rPr>
        <b/>
        <sz val="11"/>
        <color theme="1"/>
        <rFont val="Aptos Narrow"/>
        <scheme val="minor"/>
      </rPr>
      <t>…Like Clockwork</t>
    </r>
  </si>
  <si>
    <t>…Like Clockwork</t>
  </si>
  <si>
    <t>Queens of the Stone Age (2)</t>
  </si>
  <si>
    <t>30/09/2026</t>
  </si>
  <si>
    <t>2002 - 2013</t>
  </si>
  <si>
    <t>TOP  Alternative Rock (26 álbumes)</t>
  </si>
  <si>
    <t>26 · media 8.6 · score 8.59</t>
  </si>
  <si>
    <t>rock (47)</t>
  </si>
  <si>
    <t>47 álbumes · media 8.3</t>
  </si>
  <si>
    <r>
      <t xml:space="preserve">* Electric Light Orchestra - </t>
    </r>
    <r>
      <rPr>
        <b/>
        <sz val="14"/>
        <color rgb="FFFFCD1D"/>
        <rFont val="Aptos Narrow"/>
        <scheme val="minor"/>
      </rPr>
      <t>Discovery</t>
    </r>
  </si>
  <si>
    <t>Shine a Little Love</t>
  </si>
  <si>
    <t>Confusion</t>
  </si>
  <si>
    <t>Need Her Love</t>
  </si>
  <si>
    <t>The Diary of Horace Wimp</t>
  </si>
  <si>
    <t>Last Train to London</t>
  </si>
  <si>
    <t>Midnight Blue</t>
  </si>
  <si>
    <t>Wishing</t>
  </si>
  <si>
    <t>Don't Bring Me Down</t>
  </si>
  <si>
    <t>Electric Light Orchestra</t>
  </si>
  <si>
    <t>02/10/2026</t>
  </si>
  <si>
    <t>-2 ← sesgo alto</t>
  </si>
  <si>
    <t>1970s (8.92)</t>
  </si>
  <si>
    <t>33 álbumes · media 8.92</t>
  </si>
  <si>
    <t>8.50, [-0.03]</t>
  </si>
  <si>
    <t>8.74, [+0.20]</t>
  </si>
  <si>
    <t>8.63, [+0.08]</t>
  </si>
  <si>
    <t>8.44, [-0.10]</t>
  </si>
  <si>
    <t>2026-10</t>
  </si>
  <si>
    <r>
      <t xml:space="preserve">* Cocteau Twins - </t>
    </r>
    <r>
      <rPr>
        <b/>
        <sz val="14"/>
        <color rgb="FFD4D5DB"/>
        <rFont val="Aptos Narrow"/>
        <scheme val="minor"/>
      </rPr>
      <t>Treasure</t>
    </r>
  </si>
  <si>
    <t>Ivo</t>
  </si>
  <si>
    <t>Lorelei</t>
  </si>
  <si>
    <t>Beatrix</t>
  </si>
  <si>
    <t>Pandora (for Cindy)</t>
  </si>
  <si>
    <t>Amelia</t>
  </si>
  <si>
    <t>Aloysius</t>
  </si>
  <si>
    <t>Cicely</t>
  </si>
  <si>
    <t>Otterley</t>
  </si>
  <si>
    <t>Donimo</t>
  </si>
  <si>
    <t>Treasure</t>
  </si>
  <si>
    <t>dream pop, ethereal wave</t>
  </si>
  <si>
    <t>04/10/2026</t>
  </si>
  <si>
    <t>1984 - 1990</t>
  </si>
  <si>
    <t>TOP  Dream Pop (10 álbumes)</t>
  </si>
  <si>
    <t>ethereal wave</t>
  </si>
  <si>
    <t>41   (1.27%)</t>
  </si>
  <si>
    <t>9 · media 8.98 · score 9</t>
  </si>
  <si>
    <t>6 · media 8.69 · score 8.69</t>
  </si>
  <si>
    <t>32 álb · 14 subg · media 8.65 · score 8.6</t>
  </si>
  <si>
    <t>Sweet Trip - You Will Never Know Why (9.14)</t>
  </si>
  <si>
    <t>77 álbumes · media 8.72</t>
  </si>
  <si>
    <t>8.60, [+0.07]</t>
  </si>
  <si>
    <t>Álbumes con al menos 10 canciones: 179</t>
  </si>
  <si>
    <t>8.22, [-0.23]</t>
  </si>
  <si>
    <t>8.36, [-0.18]</t>
  </si>
  <si>
    <t>r=-0.12   · ≈ nula</t>
  </si>
  <si>
    <t>8.34, [-0.20]</t>
  </si>
  <si>
    <t>neo psychedelic, dream pop, dowmtempo</t>
  </si>
  <si>
    <t>progressive rock, psychedelic rock, art rock, rock opera</t>
  </si>
  <si>
    <t>progressive metal, alternative metal, post metal</t>
  </si>
  <si>
    <t>hard rock, progressive rock, art rock</t>
  </si>
  <si>
    <t>classic rock, folk rock, hard rock</t>
  </si>
  <si>
    <t>dream pop, indie pop, idm, glitch pop</t>
  </si>
  <si>
    <t>progressive rock, progressive metal, post britpop</t>
  </si>
  <si>
    <t>classic rock, roots rock, blues rock, art rock</t>
  </si>
  <si>
    <t>progressive rock, art rock, avant prog</t>
  </si>
  <si>
    <t>art rock, alternative rock, electronic, experimental rock, indie rock</t>
  </si>
  <si>
    <t>art pop, pop rock, post britpop, art rock</t>
  </si>
  <si>
    <t>dream pop, shoegaze, ethereal wave</t>
  </si>
  <si>
    <t>post metal, folk metal, atmospheric black metal</t>
  </si>
  <si>
    <t>post rock, drone, noise rock, stoner metal</t>
  </si>
  <si>
    <t>trip hop, electronic, experimental rock</t>
  </si>
  <si>
    <t>ambient techno, idm, drill and bass, ambient, electronic</t>
  </si>
  <si>
    <t>progressive metal, death metal, melodic death metal</t>
  </si>
  <si>
    <t>alternative metal, metalcore, alternative rock</t>
  </si>
  <si>
    <t>french house, electronic, electroclash, post industrial, mashup</t>
  </si>
  <si>
    <t>indie rock, post punk, post punk revival</t>
  </si>
  <si>
    <t>grunge, post grunge, acoustic rock</t>
  </si>
  <si>
    <t>djent, progressive metal, groove metal, technical thrash metal</t>
  </si>
  <si>
    <t>electropop, art pop, neo psychedelia, alternative rock, hip hop</t>
  </si>
  <si>
    <t>progressive metal, death metal, progressive rock, melodic death metal</t>
  </si>
  <si>
    <t>alternative rock, shoegaze, art rock</t>
  </si>
  <si>
    <t>jazz rap, instrumental hip hop, television music</t>
  </si>
  <si>
    <t>pop rap, hip hop, experimental hip hop, chipmunk soul</t>
  </si>
  <si>
    <t>progressive metal, alternative metal, progressive rock</t>
  </si>
  <si>
    <t>nu metal, rap metal, alternative rock, pop rock</t>
  </si>
  <si>
    <t>thrash metal, heavy metal, alternative metal, hard rock</t>
  </si>
  <si>
    <t>pop rock, indie rock, garage rock revival</t>
  </si>
  <si>
    <t>garage rock, indie rock, garage rock revival</t>
  </si>
  <si>
    <t>Lady Twostar - The Great Plains (σ=0.24)</t>
  </si>
  <si>
    <t>4 · media 8.43 · score 8.33</t>
  </si>
  <si>
    <t>Opeth (1h 1m)</t>
  </si>
  <si>
    <t>Incluir Géneros</t>
  </si>
  <si>
    <t>Excluir Subgéneros</t>
  </si>
  <si>
    <t>alt country (9.25)</t>
  </si>
  <si>
    <t>1 · media 9.25 · score 9.33</t>
  </si>
  <si>
    <t>2 · media 9.04 · score 9.09</t>
  </si>
  <si>
    <t>Géneros: separados por comas</t>
  </si>
  <si>
    <t>MAYÚSCULAS = género padre (ej: METAL)</t>
  </si>
  <si>
    <t>minúsculas = subgénero (ej: thrash metal)</t>
  </si>
  <si>
    <t>Let's Go Crazy</t>
  </si>
  <si>
    <t>Take Me with U</t>
  </si>
  <si>
    <t>The Beautiful Ones</t>
  </si>
  <si>
    <t>Computer Blue</t>
  </si>
  <si>
    <t>Darling Nikki</t>
  </si>
  <si>
    <t>When Doves Cry</t>
  </si>
  <si>
    <t>I Would Die 4 U</t>
  </si>
  <si>
    <t>Baby I'm Star</t>
  </si>
  <si>
    <t>Purple Rain</t>
  </si>
  <si>
    <r>
      <t xml:space="preserve">* Prince - </t>
    </r>
    <r>
      <rPr>
        <b/>
        <sz val="14"/>
        <color rgb="FFAC89FF"/>
        <rFont val="Aptos Narrow"/>
        <scheme val="minor"/>
      </rPr>
      <t>Purple Rain</t>
    </r>
  </si>
  <si>
    <t>TOP 100 CANCIONES [10.5: 100] (máx. 2 por álbum)</t>
  </si>
  <si>
    <t>8 (×790)</t>
  </si>
  <si>
    <t>11.21 ← colas pesadas</t>
  </si>
  <si>
    <t>63   (1.95%)</t>
  </si>
  <si>
    <t>397   (12.29%)</t>
  </si>
  <si>
    <t>1513   (46.84%)</t>
  </si>
  <si>
    <t>737  (22.82%)</t>
  </si>
  <si>
    <t>479(14.83%)</t>
  </si>
  <si>
    <t>r=-0.257         · ↓ débil</t>
  </si>
  <si>
    <t>r=0.512      · ↑ moderada</t>
  </si>
  <si>
    <t>Notas ≥10 (r=0.512)</t>
  </si>
  <si>
    <t>Álbumes con al menos 1 cancion: 319</t>
  </si>
  <si>
    <t>8.94, [+0.40]</t>
  </si>
  <si>
    <t>Álbumes con al menos 2 canciones: 318</t>
  </si>
  <si>
    <t>Álbumes con al menos 3 canciones: 316</t>
  </si>
  <si>
    <t>Álbumes con al menos 4 canciones: 312</t>
  </si>
  <si>
    <t>Álbumes con al menos 5 canciones: 304</t>
  </si>
  <si>
    <t>Álbumes con al menos 6 canciones: 290</t>
  </si>
  <si>
    <t>8.45, [-0.06]</t>
  </si>
  <si>
    <t>Álbumes con al menos 7 canciones: 273</t>
  </si>
  <si>
    <t>8.37, [-0.13]</t>
  </si>
  <si>
    <t>Álbumes con al menos 8 canciones: 253</t>
  </si>
  <si>
    <t>Álbumes con al menos 9 canciones: 222</t>
  </si>
  <si>
    <t>8.25, [-0.23]</t>
  </si>
  <si>
    <t>8.40, [-0.15]</t>
  </si>
  <si>
    <t>8.28, [-0.25]</t>
  </si>
  <si>
    <t>05/10/2026</t>
  </si>
  <si>
    <t>TOP  Pop Rock (15 álbumes)</t>
  </si>
  <si>
    <t>Sgt. Pepper's Lonely Hearts Club Band, Abbey Road</t>
  </si>
  <si>
    <t>TOP Rock (157 álbumes)</t>
  </si>
  <si>
    <t>319 de 319</t>
  </si>
  <si>
    <t>15 · media 7.75 · score 7.69</t>
  </si>
  <si>
    <t>rock (153)</t>
  </si>
  <si>
    <t>153 álb · 47 subg · media 8.63 · score 8.62</t>
  </si>
  <si>
    <t>31 álbumes · media 8.7</t>
  </si>
  <si>
    <t>r=0.098 · ≈ nula</t>
  </si>
  <si>
    <t>r=0.103 · ≈ nula</t>
  </si>
  <si>
    <t>r=-0.309 · ↓ débil</t>
  </si>
  <si>
    <t>r=0.113 · ≈ nula</t>
  </si>
  <si>
    <t>Interludios   (r=0.098)</t>
  </si>
  <si>
    <t>8.36, [-0.16]</t>
  </si>
  <si>
    <t>Media acumulada</t>
  </si>
  <si>
    <t>3rd EYE acumulado</t>
  </si>
  <si>
    <t>Media últimos 20</t>
  </si>
  <si>
    <t>Media del mes</t>
  </si>
  <si>
    <t>Percentil</t>
  </si>
  <si>
    <t>0%</t>
  </si>
  <si>
    <t>2%</t>
  </si>
  <si>
    <t>4%</t>
  </si>
  <si>
    <t>6%</t>
  </si>
  <si>
    <t>8%</t>
  </si>
  <si>
    <t>12%</t>
  </si>
  <si>
    <t>14%</t>
  </si>
  <si>
    <t>16%</t>
  </si>
  <si>
    <t>18%</t>
  </si>
  <si>
    <t>22%</t>
  </si>
  <si>
    <t>24%</t>
  </si>
  <si>
    <t>26%</t>
  </si>
  <si>
    <t>28%</t>
  </si>
  <si>
    <t>32%</t>
  </si>
  <si>
    <t>34%</t>
  </si>
  <si>
    <t>36%</t>
  </si>
  <si>
    <t>38%</t>
  </si>
  <si>
    <t>42%</t>
  </si>
  <si>
    <t>44%</t>
  </si>
  <si>
    <t>46%</t>
  </si>
  <si>
    <t>48%</t>
  </si>
  <si>
    <t>52%</t>
  </si>
  <si>
    <t>54%</t>
  </si>
  <si>
    <t>56%</t>
  </si>
  <si>
    <t>58%</t>
  </si>
  <si>
    <t>62%</t>
  </si>
  <si>
    <t>64%</t>
  </si>
  <si>
    <t>66%</t>
  </si>
  <si>
    <t>68%</t>
  </si>
  <si>
    <t>72%</t>
  </si>
  <si>
    <t>74%</t>
  </si>
  <si>
    <t>76%</t>
  </si>
  <si>
    <t>78%</t>
  </si>
  <si>
    <t>82%</t>
  </si>
  <si>
    <t>84%</t>
  </si>
  <si>
    <t>86%</t>
  </si>
  <si>
    <t>88%</t>
  </si>
  <si>
    <t>92%</t>
  </si>
  <si>
    <t>94%</t>
  </si>
  <si>
    <t>96%</t>
  </si>
  <si>
    <t>98%</t>
  </si>
  <si>
    <t>Nº de canciones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</si>
  <si>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</si>
  <si>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</si>
  <si>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</si>
  <si>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</si>
  <si>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</si>
  <si>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</si>
  <si>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</si>
  <si>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</si>
  <si>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</si>
  <si>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</si>
  <si>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% notas ≥10</t>
  </si>
  <si>
    <t>&lt; 7</t>
  </si>
  <si>
    <t>≥ 10</t>
  </si>
  <si>
    <t>Año del álbum</t>
  </si>
  <si>
    <t>Variable</t>
  </si>
  <si>
    <t>r</t>
  </si>
  <si>
    <t>% interludios</t>
  </si>
  <si>
    <t>Coldplay (3)</t>
  </si>
  <si>
    <t>Radiohead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</si>
</sst>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FFFF00"/>
      <name val="Aptos Narrow"/>
      <scheme val="minor"/>
    </font>
    <font>
      <sz val="14"/>
      <color rgb="FFFFFF00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11"/>
      <color rgb="FFDFB87E"/>
      <name val="Aptos Narrow"/>
      <scheme val="minor"/>
    </font>
    <font>
      <sz val="11"/>
      <color rgb="FFDFB87E"/>
      <name val="Aptos Narrow"/>
      <scheme val="minor"/>
    </font>
    <font>
      <sz val="9.5"/>
      <color rgb="FFFFD100"/>
      <name val="Aptos Narrow"/>
      <scheme val="minor"/>
    </font>
    <font>
      <b/>
      <sz val="9.5"/>
      <color rgb="FFFFD1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color rgb="FFE79200"/>
      <name val="Aptos Narrow"/>
      <scheme val="minor"/>
    </font>
    <font>
      <sz val="13"/>
      <color rgb="FFE79200"/>
      <name val="Aptos Narrow"/>
      <scheme val="minor"/>
    </font>
    <font>
      <b/>
      <sz val="13"/>
      <color theme="0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5" tint="-0.499984740745262"/>
      <name val="Aptos Narrow"/>
      <scheme val="minor"/>
    </font>
    <font>
      <sz val="12"/>
      <color theme="5" tint="-0.499984740745262"/>
      <name val="Aptos Narrow"/>
      <scheme val="minor"/>
    </font>
    <font>
      <b/>
      <sz val="14"/>
      <color rgb="FFFFD7D6"/>
      <name val="Aptos Narrow"/>
      <scheme val="minor"/>
    </font>
    <font>
      <sz val="14"/>
      <color rgb="FFFFD7D6"/>
      <name val="Aptos Narrow"/>
      <scheme val="minor"/>
    </font>
    <font>
      <b/>
      <sz val="12"/>
      <color rgb="FFFF47CC"/>
      <name val="Aptos Narrow"/>
      <scheme val="minor"/>
    </font>
    <font>
      <sz val="12"/>
      <color rgb="FFFF47CC"/>
      <name val="Aptos Narrow"/>
      <scheme val="minor"/>
    </font>
    <font>
      <b/>
      <sz val="12"/>
      <color rgb="FF2D80D5"/>
      <name val="Aptos Narrow"/>
      <scheme val="minor"/>
    </font>
    <font>
      <sz val="12"/>
      <color rgb="FF2D80D5"/>
      <name val="Aptos Narrow"/>
      <scheme val="minor"/>
    </font>
    <font>
      <b/>
      <sz val="14"/>
      <color theme="1" tint="0.249977111117893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  <font>
      <b/>
      <sz val="12"/>
      <color rgb="FF2D80D5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sz val="13"/>
      <color rgb="FF0070C0"/>
      <name val="Aptos Narrow"/>
      <family val="2"/>
      <scheme val="minor"/>
    </font>
    <font>
      <sz val="12"/>
      <color rgb="FFF7E2AD"/>
      <name val="Aptos Narrow"/>
      <family val="2"/>
      <scheme val="minor"/>
    </font>
    <font>
      <b/>
      <sz val="12"/>
      <color rgb="FFF7E2AD"/>
      <name val="Aptos Narrow"/>
      <family val="2"/>
      <scheme val="minor"/>
    </font>
    <font>
      <b/>
      <sz val="14"/>
      <color rgb="FFFF0000"/>
      <name val="Aptos Narrow"/>
      <scheme val="minor"/>
    </font>
    <font>
      <sz val="14"/>
      <color rgb="FFFF0000"/>
      <name val="Aptos Narrow"/>
      <scheme val="minor"/>
    </font>
    <font>
      <b/>
      <sz val="14"/>
      <color theme="3" tint="0.749992370372631"/>
      <name val="Aptos Narrow"/>
      <scheme val="minor"/>
    </font>
    <font>
      <sz val="14"/>
      <color theme="3" tint="0.749992370372631"/>
      <name val="Aptos Narrow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F9FF01"/>
      <name val="Aptos Narrow"/>
      <family val="2"/>
      <scheme val="minor"/>
    </font>
    <font>
      <b/>
      <sz val="12"/>
      <color rgb="FFF9FF01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b/>
      <sz val="10"/>
      <color theme="3" tint="0.249977111117893"/>
      <name val="Aptos Narrow"/>
      <family val="2"/>
      <scheme val="minor"/>
    </font>
    <font>
      <sz val="14"/>
      <color theme="3" tint="0.499984740745262"/>
      <name val="Aptos Narrow"/>
      <scheme val="minor"/>
    </font>
    <font>
      <b/>
      <sz val="14"/>
      <color theme="3" tint="0.499984740745262"/>
      <name val="Aptos Narrow"/>
      <scheme val="minor"/>
    </font>
    <font>
      <sz val="14"/>
      <color rgb="FFF23B27"/>
      <name val="Aptos Narrow"/>
      <scheme val="minor"/>
    </font>
    <font>
      <b/>
      <sz val="14"/>
      <color rgb="FFF23B27"/>
      <name val="Aptos Narrow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b/>
      <sz val="14"/>
      <color theme="9" tint="-0.249977111117893"/>
      <name val="Aptos Narrow"/>
      <scheme val="minor"/>
    </font>
    <font>
      <sz val="14"/>
      <color theme="9" tint="-0.249977111117893"/>
      <name val="Aptos Narrow"/>
      <scheme val="minor"/>
    </font>
    <font>
      <b/>
      <sz val="14"/>
      <color rgb="FF273005"/>
      <name val="Aptos Narrow"/>
      <scheme val="minor"/>
    </font>
    <font>
      <sz val="14"/>
      <color rgb="FF273005"/>
      <name val="Aptos Narrow"/>
      <scheme val="minor"/>
    </font>
    <font>
      <b/>
      <sz val="14"/>
      <color theme="0" tint="-0.14999847407452621"/>
      <name val="Aptos Narrow"/>
      <scheme val="minor"/>
    </font>
    <font>
      <sz val="14"/>
      <color theme="0" tint="-0.14999847407452621"/>
      <name val="Aptos Narrow"/>
      <scheme val="minor"/>
    </font>
    <font>
      <b/>
      <sz val="14"/>
      <color rgb="FF360000"/>
      <name val="Aptos Narrow"/>
      <family val="2"/>
      <scheme val="minor"/>
    </font>
    <font>
      <sz val="14"/>
      <color rgb="FF36000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14"/>
      <color rgb="FFFFC000"/>
      <name val="Aptos Narrow"/>
      <family val="2"/>
      <scheme val="minor"/>
    </font>
    <font>
      <b/>
      <sz val="14"/>
      <color rgb="FF623FE1"/>
      <name val="Aptos Narrow"/>
      <family val="2"/>
      <scheme val="minor"/>
    </font>
    <font>
      <sz val="14"/>
      <color rgb="FF623FE1"/>
      <name val="Aptos Narrow"/>
      <family val="2"/>
      <scheme val="minor"/>
    </font>
    <font>
      <b/>
      <sz val="14"/>
      <color theme="0" tint="-0.249977111117893"/>
      <name val="Aptos Narrow"/>
      <scheme val="minor"/>
    </font>
    <font>
      <sz val="14"/>
      <color theme="0" tint="-0.249977111117893"/>
      <name val="Aptos Narrow"/>
      <scheme val="minor"/>
    </font>
    <font>
      <b/>
      <sz val="14"/>
      <color theme="8" tint="0.79998168889431442"/>
      <name val="Aptos Narrow"/>
      <family val="2"/>
      <scheme val="minor"/>
    </font>
    <font>
      <sz val="14"/>
      <color theme="8" tint="0.79998168889431442"/>
      <name val="Aptos Narrow"/>
      <family val="2"/>
      <scheme val="minor"/>
    </font>
    <font>
      <b/>
      <sz val="14"/>
      <color theme="8" tint="0.39997558519241921"/>
      <name val="Aptos Narrow"/>
      <scheme val="minor"/>
    </font>
    <font>
      <sz val="14"/>
      <color theme="8" tint="0.39997558519241921"/>
      <name val="Aptos Narrow"/>
      <scheme val="minor"/>
    </font>
    <font>
      <b/>
      <sz val="14"/>
      <color rgb="FF9C0000"/>
      <name val="Aptos Narrow"/>
      <scheme val="minor"/>
    </font>
    <font>
      <sz val="14"/>
      <color rgb="FF9C0000"/>
      <name val="Aptos Narrow"/>
      <scheme val="minor"/>
    </font>
    <font>
      <b/>
      <sz val="14"/>
      <color theme="4"/>
      <name val="Aptos Narrow"/>
      <scheme val="minor"/>
    </font>
    <font>
      <sz val="14"/>
      <color theme="4"/>
      <name val="Aptos Narrow"/>
      <scheme val="minor"/>
    </font>
    <font>
      <b/>
      <sz val="14"/>
      <color rgb="FF00B0F0"/>
      <name val="Aptos Narrow"/>
      <scheme val="minor"/>
    </font>
    <font>
      <sz val="14"/>
      <color rgb="FF00B0F0"/>
      <name val="Aptos Narrow"/>
      <scheme val="minor"/>
    </font>
    <font>
      <b/>
      <sz val="14"/>
      <color theme="5" tint="0.79998168889431442"/>
      <name val="Aptos Narrow"/>
      <scheme val="minor"/>
    </font>
    <font>
      <sz val="14"/>
      <color theme="5" tint="0.79998168889431442"/>
      <name val="Aptos Narrow"/>
      <scheme val="minor"/>
    </font>
    <font>
      <b/>
      <sz val="14"/>
      <color rgb="FF592B22"/>
      <name val="Aptos Narrow"/>
      <scheme val="minor"/>
    </font>
    <font>
      <sz val="14"/>
      <color rgb="FF592B22"/>
      <name val="Aptos Narrow"/>
      <scheme val="minor"/>
    </font>
    <font>
      <b/>
      <sz val="14"/>
      <color theme="8" tint="-0.249977111117893"/>
      <name val="Aptos Narrow"/>
      <scheme val="minor"/>
    </font>
    <font>
      <sz val="14"/>
      <color theme="8" tint="-0.249977111117893"/>
      <name val="Aptos Narrow"/>
      <scheme val="minor"/>
    </font>
    <font>
      <b/>
      <sz val="14"/>
      <color theme="5" tint="-0.499984740745262"/>
      <name val="Aptos Narrow"/>
      <scheme val="minor"/>
    </font>
    <font>
      <sz val="14"/>
      <color theme="5" tint="-0.499984740745262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4"/>
      <color theme="1" tint="0.14999847407452621"/>
      <name val="Aptos Narrow"/>
      <scheme val="minor"/>
    </font>
    <font>
      <sz val="14"/>
      <color theme="1" tint="0.14999847407452621"/>
      <name val="Aptos Narrow"/>
      <scheme val="minor"/>
    </font>
    <font>
      <b/>
      <sz val="14"/>
      <color theme="7" tint="-0.249977111117893"/>
      <name val="Aptos Narrow"/>
      <scheme val="minor"/>
    </font>
    <font>
      <sz val="14"/>
      <color theme="7" tint="-0.249977111117893"/>
      <name val="Aptos Narrow"/>
      <scheme val="minor"/>
    </font>
    <font>
      <b/>
      <sz val="14"/>
      <color theme="0" tint="-0.499984740745262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  <font>
      <b/>
      <sz val="14"/>
      <color theme="1" tint="0.249977111117893"/>
      <name val="Aptos Narrow"/>
      <scheme val="minor"/>
    </font>
    <font>
      <sz val="14"/>
      <color theme="1" tint="0.249977111117893"/>
      <name val="Aptos Narrow"/>
      <scheme val="minor"/>
    </font>
    <font>
      <b/>
      <sz val="14"/>
      <color rgb="FF210000"/>
      <name val="Aptos Narrow"/>
      <scheme val="minor"/>
    </font>
    <font>
      <sz val="14"/>
      <color rgb="FF210000"/>
      <name val="Aptos Narrow"/>
      <scheme val="minor"/>
    </font>
    <font>
      <sz val="14"/>
      <color rgb="FFFFCC00"/>
      <name val="Aptos Narrow"/>
      <family val="2"/>
      <scheme val="minor"/>
    </font>
    <font>
      <b/>
      <sz val="14"/>
      <color rgb="FFFFCC00"/>
      <name val="Aptos Narrow"/>
      <family val="2"/>
      <scheme val="minor"/>
    </font>
    <font>
      <sz val="14"/>
      <color theme="0" tint="-0.14999847407452621"/>
      <name val="Aptos Narrow"/>
      <family val="2"/>
      <scheme val="minor"/>
    </font>
    <font>
      <b/>
      <sz val="14"/>
      <color theme="0" tint="-0.14999847407452621"/>
      <name val="Aptos Narrow"/>
      <family val="2"/>
      <scheme val="minor"/>
    </font>
    <font>
      <sz val="14"/>
      <color rgb="FFCC9900"/>
      <name val="Aptos Narrow"/>
      <family val="2"/>
      <scheme val="minor"/>
    </font>
    <font>
      <b/>
      <sz val="14"/>
      <color rgb="FFCC99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 tint="0.249977111117893"/>
      <name val="Aptos Narrow"/>
      <scheme val="minor"/>
    </font>
    <font>
      <b/>
      <sz val="12"/>
      <color theme="1" tint="0.249977111117893"/>
      <name val="Aptos Narrow"/>
      <scheme val="minor"/>
    </font>
    <font>
      <sz val="14"/>
      <color rgb="FFFF6A00"/>
      <name val="Aptos Narrow"/>
      <scheme val="minor"/>
    </font>
    <font>
      <b/>
      <sz val="14"/>
      <color rgb="FFFF6A00"/>
      <name val="Aptos Narrow"/>
      <scheme val="minor"/>
    </font>
    <font>
      <b/>
      <sz val="12"/>
      <color rgb="FFFF2905"/>
      <name val="Aptos Narrow"/>
      <family val="2"/>
      <scheme val="minor"/>
    </font>
    <font>
      <sz val="12"/>
      <color rgb="FFFF2905"/>
      <name val="Aptos Narrow"/>
      <family val="2"/>
      <scheme val="minor"/>
    </font>
    <font>
      <sz val="14"/>
      <color rgb="FFB40000"/>
      <name val="Aptos Narrow"/>
      <family val="2"/>
      <scheme val="minor"/>
    </font>
    <font>
      <b/>
      <sz val="14"/>
      <color rgb="FFB4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4"/>
      <color rgb="FF449010"/>
      <name val="Aptos Narrow"/>
      <family val="2"/>
      <scheme val="minor"/>
    </font>
    <font>
      <b/>
      <sz val="14"/>
      <color rgb="FF449010"/>
      <name val="Aptos Narrow"/>
      <family val="2"/>
      <scheme val="minor"/>
    </font>
    <font>
      <sz val="11"/>
      <color rgb="FFFF6A00"/>
      <name val="Aptos Narrow"/>
      <family val="2"/>
      <scheme val="minor"/>
    </font>
    <font>
      <b/>
      <sz val="11"/>
      <color rgb="FFFF6A00"/>
      <name val="Aptos Narrow"/>
      <family val="2"/>
      <scheme val="minor"/>
    </font>
    <font>
      <sz val="14"/>
      <color rgb="FF663300"/>
      <name val="Aptos Narrow"/>
      <family val="2"/>
      <scheme val="minor"/>
    </font>
    <font>
      <b/>
      <sz val="14"/>
      <color rgb="FF6633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6A00"/>
      <name val="Aptos Narrow"/>
      <family val="2"/>
      <scheme val="minor"/>
    </font>
    <font>
      <b/>
      <sz val="14"/>
      <color rgb="FFFF6A00"/>
      <name val="Aptos Narrow"/>
      <family val="2"/>
      <scheme val="minor"/>
    </font>
    <font>
      <b/>
      <sz val="11"/>
      <color rgb="FFC00000"/>
      <name val="Aptos Narrow"/>
      <scheme val="minor"/>
    </font>
    <font>
      <sz val="11"/>
      <color rgb="FFC00000"/>
      <name val="Aptos Narrow"/>
      <scheme val="minor"/>
    </font>
    <font>
      <sz val="14"/>
      <color rgb="FFEFC849"/>
      <name val="Aptos Narrow"/>
      <scheme val="minor"/>
    </font>
    <font>
      <b/>
      <sz val="14"/>
      <color rgb="FFEFC849"/>
      <name val="Aptos Narrow"/>
      <scheme val="minor"/>
    </font>
    <font>
      <sz val="10"/>
      <color rgb="FFCCCC00"/>
      <name val="Aptos Narrow"/>
      <family val="2"/>
      <scheme val="minor"/>
    </font>
    <font>
      <b/>
      <sz val="10"/>
      <color rgb="FFCCCC00"/>
      <name val="Aptos Narrow"/>
      <family val="2"/>
      <scheme val="minor"/>
    </font>
    <font>
      <sz val="14"/>
      <color rgb="FFE7442F"/>
      <name val="Aptos Narrow"/>
      <scheme val="minor"/>
    </font>
    <font>
      <b/>
      <sz val="14"/>
      <color rgb="FFE7442F"/>
      <name val="Aptos Narrow"/>
      <scheme val="minor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4"/>
      <color rgb="FF97C0E9"/>
      <name val="Aptos Narrow"/>
      <family val="2"/>
      <scheme val="minor"/>
    </font>
    <font>
      <b/>
      <sz val="14"/>
      <color rgb="FF97C0E9"/>
      <name val="Aptos Narrow"/>
      <family val="2"/>
      <scheme val="minor"/>
    </font>
    <font>
      <sz val="14"/>
      <color rgb="FFEA251F"/>
      <name val="Aptos Narrow"/>
      <family val="2"/>
      <scheme val="minor"/>
    </font>
    <font>
      <b/>
      <sz val="14"/>
      <color rgb="FFEA251F"/>
      <name val="Aptos Narrow"/>
      <family val="2"/>
      <scheme val="minor"/>
    </font>
    <font>
      <sz val="14"/>
      <color theme="1" tint="0.34998626667073579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4"/>
      <color rgb="FFFCA304"/>
      <name val="Aptos Narrow"/>
      <family val="2"/>
      <scheme val="minor"/>
    </font>
    <font>
      <b/>
      <sz val="14"/>
      <color rgb="FFFCA304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sz val="14"/>
      <color rgb="FF40298B"/>
      <name val="Aptos Narrow"/>
      <family val="2"/>
      <scheme val="minor"/>
    </font>
    <font>
      <b/>
      <sz val="14"/>
      <color rgb="FF40298B"/>
      <name val="Aptos Narrow"/>
      <family val="2"/>
      <scheme val="minor"/>
    </font>
    <font>
      <sz val="14"/>
      <color theme="1"/>
      <name val="Aptos Narrow"/>
      <scheme val="minor"/>
    </font>
    <font>
      <sz val="12"/>
      <color rgb="FF663300"/>
      <name val="Aptos Narrow"/>
      <family val="2"/>
      <scheme val="minor"/>
    </font>
    <font>
      <b/>
      <sz val="12"/>
      <color rgb="FF663300"/>
      <name val="Aptos Narrow"/>
      <family val="2"/>
      <scheme val="minor"/>
    </font>
    <font>
      <sz val="14"/>
      <color rgb="FF002E25"/>
      <name val="Aptos Narrow"/>
      <family val="2"/>
      <scheme val="minor"/>
    </font>
    <font>
      <b/>
      <sz val="14"/>
      <color rgb="FF002E25"/>
      <name val="Aptos Narrow"/>
      <family val="2"/>
      <scheme val="minor"/>
    </font>
    <font>
      <sz val="14"/>
      <color rgb="FF3E2A22"/>
      <name val="Aptos Narrow"/>
      <scheme val="minor"/>
    </font>
    <font>
      <b/>
      <sz val="14"/>
      <color rgb="FF3E2A22"/>
      <name val="Aptos Narrow"/>
      <scheme val="minor"/>
    </font>
    <font>
      <sz val="12"/>
      <color rgb="FFFFA800"/>
      <name val="Aptos Narrow"/>
      <scheme val="minor"/>
    </font>
    <font>
      <b/>
      <sz val="12"/>
      <color rgb="FFFFA800"/>
      <name val="Aptos Narrow"/>
      <scheme val="minor"/>
    </font>
    <font>
      <sz val="14"/>
      <color rgb="FFF8D006"/>
      <name val="Aptos Narrow"/>
      <family val="2"/>
      <scheme val="minor"/>
    </font>
    <font>
      <b/>
      <sz val="14"/>
      <color rgb="FFF8D006"/>
      <name val="Aptos Narrow"/>
      <family val="2"/>
      <scheme val="minor"/>
    </font>
    <font>
      <sz val="14"/>
      <color theme="2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sz val="14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4"/>
      <color rgb="FFEACF04"/>
      <name val="Aptos Narrow"/>
      <family val="2"/>
      <scheme val="minor"/>
    </font>
    <font>
      <b/>
      <sz val="14"/>
      <color rgb="FFEACF04"/>
      <name val="Aptos Narrow"/>
      <family val="2"/>
      <scheme val="minor"/>
    </font>
    <font>
      <sz val="14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sz val="14"/>
      <color rgb="FFCC0000"/>
      <name val="Aptos Narrow"/>
      <family val="2"/>
      <scheme val="minor"/>
    </font>
    <font>
      <b/>
      <sz val="14"/>
      <color rgb="FFCC0000"/>
      <name val="Aptos Narrow"/>
      <family val="2"/>
      <scheme val="minor"/>
    </font>
    <font>
      <sz val="14"/>
      <color rgb="FF9B032E"/>
      <name val="Aptos Narrow"/>
      <family val="2"/>
      <scheme val="minor"/>
    </font>
    <font>
      <b/>
      <sz val="14"/>
      <color rgb="FF9B032E"/>
      <name val="Aptos Narrow"/>
      <family val="2"/>
      <scheme val="minor"/>
    </font>
    <font>
      <sz val="12"/>
      <color rgb="FFFF0066"/>
      <name val="Aptos Narrow"/>
      <family val="2"/>
      <scheme val="minor"/>
    </font>
    <font>
      <b/>
      <sz val="12"/>
      <color rgb="FFFF0066"/>
      <name val="Aptos Narrow"/>
      <family val="2"/>
      <scheme val="minor"/>
    </font>
    <font>
      <sz val="14"/>
      <color rgb="FF90AEDA"/>
      <name val="Aptos Narrow"/>
      <scheme val="minor"/>
    </font>
    <font>
      <b/>
      <sz val="14"/>
      <color rgb="FF90AEDA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2"/>
      <color theme="0" tint="-0.14999847407452621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  <font>
      <sz val="14"/>
      <color rgb="FF422100"/>
      <name val="Aptos Narrow"/>
      <family val="2"/>
      <scheme val="minor"/>
    </font>
    <font>
      <b/>
      <sz val="14"/>
      <color rgb="FF422100"/>
      <name val="Aptos Narrow"/>
      <family val="2"/>
      <scheme val="minor"/>
    </font>
    <font>
      <sz val="12"/>
      <color rgb="FFE8D4C2"/>
      <name val="Aptos Narrow"/>
      <family val="2"/>
      <scheme val="minor"/>
    </font>
    <font>
      <b/>
      <sz val="12"/>
      <color rgb="FFE8D4C2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E8D4C2"/>
      <name val="Aptos Narrow"/>
      <family val="2"/>
      <scheme val="minor"/>
    </font>
    <font>
      <b/>
      <sz val="10"/>
      <color rgb="FFE8D4C2"/>
      <name val="Aptos Narrow"/>
      <family val="2"/>
      <scheme val="minor"/>
    </font>
    <font>
      <sz val="14"/>
      <color rgb="FFFD698C"/>
      <name val="Aptos Narrow"/>
      <family val="2"/>
      <scheme val="minor"/>
    </font>
    <font>
      <b/>
      <sz val="14"/>
      <color rgb="FFFD698C"/>
      <name val="Aptos Narrow"/>
      <family val="2"/>
      <scheme val="minor"/>
    </font>
    <font>
      <b/>
      <sz val="14"/>
      <color rgb="FFD50000"/>
      <name val="Aptos Narrow"/>
      <family val="2"/>
      <scheme val="minor"/>
    </font>
    <font>
      <sz val="14"/>
      <color rgb="FFD50000"/>
      <name val="Aptos Narrow"/>
      <family val="2"/>
      <scheme val="minor"/>
    </font>
    <font>
      <sz val="12"/>
      <color rgb="FFFD5E1F"/>
      <name val="Aptos Narrow"/>
      <family val="2"/>
      <scheme val="minor"/>
    </font>
    <font>
      <b/>
      <sz val="12"/>
      <color rgb="FFFD5E1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4"/>
      <color rgb="FFFF0066"/>
      <name val="Aptos Narrow"/>
      <family val="2"/>
      <scheme val="minor"/>
    </font>
    <font>
      <b/>
      <sz val="14"/>
      <color rgb="FFFF0066"/>
      <name val="Aptos Narrow"/>
      <family val="2"/>
      <scheme val="minor"/>
    </font>
    <font>
      <sz val="11"/>
      <color rgb="FF00CC99"/>
      <name val="Aptos Narrow"/>
      <family val="2"/>
      <scheme val="minor"/>
    </font>
    <font>
      <b/>
      <sz val="11"/>
      <color rgb="FF00CC99"/>
      <name val="Aptos Narrow"/>
      <family val="2"/>
      <scheme val="minor"/>
    </font>
    <font>
      <sz val="14"/>
      <color rgb="FF61D59E"/>
      <name val="Aptos Narrow"/>
      <family val="2"/>
      <scheme val="minor"/>
    </font>
    <font>
      <b/>
      <sz val="14"/>
      <color rgb="FF61D59E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533F01"/>
      <name val="Aptos Narrow"/>
      <family val="2"/>
      <scheme val="minor"/>
    </font>
    <font>
      <b/>
      <sz val="14"/>
      <color rgb="FF533F01"/>
      <name val="Aptos Narrow"/>
      <family val="2"/>
      <scheme val="minor"/>
    </font>
    <font>
      <sz val="14"/>
      <color rgb="FF8DF735"/>
      <name val="Aptos Narrow"/>
      <family val="2"/>
      <scheme val="minor"/>
    </font>
    <font>
      <b/>
      <sz val="14"/>
      <color rgb="FF8DF735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1.5"/>
      <color theme="1"/>
      <name val="Aptos Narrow"/>
      <family val="2"/>
      <scheme val="minor"/>
    </font>
    <font>
      <sz val="14"/>
      <color rgb="FFD0CAC2"/>
      <name val="Aptos Narrow"/>
      <family val="2"/>
      <scheme val="minor"/>
    </font>
    <font>
      <b/>
      <sz val="14"/>
      <color rgb="FFD0CAC2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  <font>
      <b/>
      <sz val="14"/>
      <color theme="8" tint="0.39997558519241921"/>
      <name val="Aptos Narrow"/>
      <family val="2"/>
      <scheme val="minor"/>
    </font>
    <font>
      <sz val="14"/>
      <color rgb="FFCCECFF"/>
      <name val="Aptos Narrow"/>
      <family val="2"/>
      <scheme val="minor"/>
    </font>
    <font>
      <b/>
      <sz val="14"/>
      <color rgb="FFCCECFF"/>
      <name val="Aptos Narrow"/>
      <family val="2"/>
      <scheme val="minor"/>
    </font>
    <font>
      <sz val="12"/>
      <color theme="1"/>
      <name val="High Tower Text"/>
      <family val="1"/>
    </font>
    <font>
      <sz val="13"/>
      <color rgb="FF584F42"/>
      <name val="Aptos Narrow"/>
      <family val="2"/>
      <scheme val="minor"/>
    </font>
    <font>
      <b/>
      <sz val="13"/>
      <color rgb="FF584F42"/>
      <name val="Aptos Narrow"/>
      <family val="2"/>
      <scheme val="minor"/>
    </font>
    <font>
      <sz val="14"/>
      <color rgb="FFEA7204"/>
      <name val="Aptos Narrow"/>
      <family val="2"/>
      <scheme val="minor"/>
    </font>
    <font>
      <b/>
      <sz val="14"/>
      <color rgb="FFEA7204"/>
      <name val="Aptos Narrow"/>
      <family val="2"/>
      <scheme val="minor"/>
    </font>
    <font>
      <sz val="13"/>
      <color rgb="FF3A0000"/>
      <name val="Aptos Narrow"/>
      <scheme val="minor"/>
    </font>
    <font>
      <b/>
      <sz val="13"/>
      <color rgb="FF3A0000"/>
      <name val="Aptos Narrow"/>
      <scheme val="minor"/>
    </font>
    <font>
      <sz val="14"/>
      <color rgb="FFBCDE85"/>
      <name val="Aptos Narrow"/>
      <scheme val="minor"/>
    </font>
    <font>
      <b/>
      <sz val="14"/>
      <color rgb="FFBCDE85"/>
      <name val="Aptos Narrow"/>
      <scheme val="minor"/>
    </font>
    <font>
      <sz val="9.5"/>
      <color rgb="FFFF6699"/>
      <name val="Aptos Narrow"/>
      <family val="2"/>
      <scheme val="minor"/>
    </font>
    <font>
      <b/>
      <sz val="9.5"/>
      <color rgb="FFFF6699"/>
      <name val="Aptos Narrow"/>
      <family val="2"/>
      <scheme val="minor"/>
    </font>
    <font>
      <sz val="14"/>
      <color rgb="FFFE5002"/>
      <name val="Aptos Narrow"/>
      <family val="2"/>
      <scheme val="minor"/>
    </font>
    <font>
      <b/>
      <sz val="14"/>
      <color rgb="FFFE5002"/>
      <name val="Aptos Narrow"/>
      <family val="2"/>
      <scheme val="minor"/>
    </font>
    <font>
      <sz val="14"/>
      <color theme="1" tint="0.499984740745262"/>
      <name val="Aptos Narrow"/>
      <family val="2"/>
      <scheme val="minor"/>
    </font>
    <font>
      <b/>
      <sz val="14"/>
      <color theme="1" tint="0.499984740745262"/>
      <name val="Aptos Narrow"/>
      <family val="2"/>
      <scheme val="minor"/>
    </font>
    <font>
      <sz val="14"/>
      <color rgb="FF00B0F0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sz val="14"/>
      <color rgb="FFFF6600"/>
      <name val="Aptos Narrow"/>
      <family val="2"/>
      <scheme val="minor"/>
    </font>
    <font>
      <b/>
      <sz val="14"/>
      <color rgb="FFFF6600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sz val="14"/>
      <color theme="5" tint="0.79998168889431442"/>
      <name val="Aptos Narrow"/>
      <family val="2"/>
      <scheme val="minor"/>
    </font>
    <font>
      <b/>
      <sz val="14"/>
      <color theme="5" tint="0.79998168889431442"/>
      <name val="Aptos Narrow"/>
      <family val="2"/>
      <scheme val="minor"/>
    </font>
    <font>
      <sz val="14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4"/>
      <color rgb="FFA3A3A3"/>
      <name val="Aptos Narrow"/>
      <scheme val="minor"/>
    </font>
    <font>
      <b/>
      <sz val="14"/>
      <color rgb="FFA3A3A3"/>
      <name val="Aptos Narrow"/>
      <scheme val="minor"/>
    </font>
    <font>
      <sz val="12"/>
      <color rgb="FFABABAB"/>
      <name val="Aptos Narrow"/>
      <family val="2"/>
      <scheme val="minor"/>
    </font>
    <font>
      <b/>
      <sz val="12"/>
      <color rgb="FFABABAB"/>
      <name val="Aptos Narrow"/>
      <family val="2"/>
      <scheme val="minor"/>
    </font>
    <font>
      <sz val="14"/>
      <color theme="1" tint="0.34998626667073579"/>
      <name val="Aptos Narrow"/>
      <scheme val="minor"/>
    </font>
    <font>
      <b/>
      <sz val="14"/>
      <color theme="1" tint="0.34998626667073579"/>
      <name val="Aptos Narrow"/>
      <scheme val="minor"/>
    </font>
    <font>
      <sz val="14"/>
      <color rgb="FF820041"/>
      <name val="Aptos Narrow"/>
      <family val="2"/>
      <scheme val="minor"/>
    </font>
    <font>
      <b/>
      <sz val="14"/>
      <color rgb="FF820041"/>
      <name val="Aptos Narrow"/>
      <family val="2"/>
      <scheme val="minor"/>
    </font>
    <font>
      <sz val="13"/>
      <color theme="3" tint="0.499984740745262"/>
      <name val="Aptos Narrow"/>
      <family val="2"/>
      <scheme val="minor"/>
    </font>
    <font>
      <b/>
      <sz val="13"/>
      <color theme="3" tint="0.499984740745262"/>
      <name val="Aptos Narrow"/>
      <family val="2"/>
      <scheme val="minor"/>
    </font>
    <font>
      <sz val="14"/>
      <color rgb="FFFDCA0F"/>
      <name val="Aptos Narrow"/>
      <family val="2"/>
      <scheme val="minor"/>
    </font>
    <font>
      <b/>
      <sz val="14"/>
      <color rgb="FFFDCA0F"/>
      <name val="Aptos Narrow"/>
      <family val="2"/>
      <scheme val="minor"/>
    </font>
    <font>
      <sz val="14"/>
      <color rgb="FFF4E71C"/>
      <name val="Aptos Narrow"/>
      <scheme val="minor"/>
    </font>
    <font>
      <b/>
      <sz val="14"/>
      <color rgb="FFF4E71C"/>
      <name val="Aptos Narrow"/>
      <scheme val="minor"/>
    </font>
    <font>
      <sz val="14"/>
      <color rgb="FFE8C80A"/>
      <name val="Aptos Narrow"/>
      <family val="2"/>
      <scheme val="minor"/>
    </font>
    <font>
      <b/>
      <sz val="14"/>
      <color rgb="FFE8C80A"/>
      <name val="Aptos Narrow"/>
      <family val="2"/>
      <scheme val="minor"/>
    </font>
    <font>
      <sz val="14"/>
      <color rgb="FFFEDC0E"/>
      <name val="Aptos Narrow"/>
      <family val="2"/>
      <scheme val="minor"/>
    </font>
    <font>
      <b/>
      <sz val="14"/>
      <color rgb="FFFEDC0E"/>
      <name val="Aptos Narrow"/>
      <family val="2"/>
      <scheme val="minor"/>
    </font>
    <font>
      <sz val="14"/>
      <color rgb="FFCC0066"/>
      <name val="Aptos Narrow"/>
      <family val="2"/>
      <scheme val="minor"/>
    </font>
    <font>
      <b/>
      <sz val="14"/>
      <color rgb="FFCC0066"/>
      <name val="Aptos Narrow"/>
      <family val="2"/>
      <scheme val="minor"/>
    </font>
    <font>
      <sz val="10"/>
      <color rgb="FF007660"/>
      <name val="Aptos Narrow"/>
      <family val="2"/>
      <scheme val="minor"/>
    </font>
    <font>
      <b/>
      <sz val="10"/>
      <color rgb="FF007660"/>
      <name val="Aptos Narrow"/>
      <family val="2"/>
      <scheme val="minor"/>
    </font>
    <font>
      <sz val="14"/>
      <color rgb="FFDE0000"/>
      <name val="Aptos Narrow"/>
      <family val="2"/>
      <scheme val="minor"/>
    </font>
    <font>
      <b/>
      <sz val="14"/>
      <color rgb="FFDE0000"/>
      <name val="Aptos Narrow"/>
      <family val="2"/>
      <scheme val="minor"/>
    </font>
    <font>
      <sz val="9"/>
      <color rgb="FFFEDC0E"/>
      <name val="Aptos Narrow"/>
      <family val="2"/>
      <scheme val="minor"/>
    </font>
    <font>
      <b/>
      <sz val="9"/>
      <color rgb="FFFEDC0E"/>
      <name val="Aptos Narrow"/>
      <family val="2"/>
      <scheme val="minor"/>
    </font>
    <font>
      <sz val="14"/>
      <color rgb="FF000066"/>
      <name val="Aptos Narrow"/>
      <family val="2"/>
      <scheme val="minor"/>
    </font>
    <font>
      <b/>
      <sz val="14"/>
      <color rgb="FF000066"/>
      <name val="Aptos Narrow"/>
      <family val="2"/>
      <scheme val="minor"/>
    </font>
    <font>
      <sz val="14"/>
      <color rgb="FFFFE000"/>
      <name val="Aptos Narrow"/>
      <scheme val="minor"/>
    </font>
    <font>
      <b/>
      <sz val="14"/>
      <color rgb="FFFFE000"/>
      <name val="Aptos Narrow"/>
      <scheme val="minor"/>
    </font>
    <font>
      <sz val="14"/>
      <color rgb="FFABA6FF"/>
      <name val="Aptos Narrow"/>
      <family val="2"/>
      <scheme val="minor"/>
    </font>
    <font>
      <b/>
      <sz val="14"/>
      <color rgb="FFABA6FF"/>
      <name val="Aptos Narrow"/>
      <family val="2"/>
      <scheme val="minor"/>
    </font>
    <font>
      <sz val="14"/>
      <color rgb="FFFDEB03"/>
      <name val="Aptos Narrow"/>
      <family val="2"/>
      <scheme val="minor"/>
    </font>
    <font>
      <b/>
      <sz val="14"/>
      <color rgb="FFFDEB03"/>
      <name val="Aptos Narrow"/>
      <family val="2"/>
      <scheme val="minor"/>
    </font>
    <font>
      <sz val="14"/>
      <color rgb="FFFF6699"/>
      <name val="Aptos Narrow"/>
      <family val="2"/>
      <scheme val="minor"/>
    </font>
    <font>
      <b/>
      <sz val="14"/>
      <color rgb="FFFF6699"/>
      <name val="Aptos Narrow"/>
      <family val="2"/>
      <scheme val="minor"/>
    </font>
    <font>
      <sz val="14"/>
      <color rgb="FFDBFDF1"/>
      <name val="Aptos Narrow"/>
      <family val="2"/>
      <scheme val="minor"/>
    </font>
    <font>
      <b/>
      <sz val="14"/>
      <color rgb="FFDBFDF1"/>
      <name val="Aptos Narrow"/>
      <family val="2"/>
      <scheme val="minor"/>
    </font>
    <font>
      <sz val="14"/>
      <color rgb="FFEA0000"/>
      <name val="Aptos Narrow"/>
      <family val="2"/>
      <scheme val="minor"/>
    </font>
    <font>
      <b/>
      <sz val="14"/>
      <color rgb="FFEA0000"/>
      <name val="Aptos Narrow"/>
      <family val="2"/>
      <scheme val="minor"/>
    </font>
    <font>
      <sz val="14"/>
      <color rgb="FFC8C364"/>
      <name val="Aptos Narrow"/>
      <family val="2"/>
      <scheme val="minor"/>
    </font>
    <font>
      <b/>
      <sz val="14"/>
      <color rgb="FFC8C364"/>
      <name val="Aptos Narrow"/>
      <family val="2"/>
      <scheme val="minor"/>
    </font>
    <font>
      <sz val="14"/>
      <color rgb="FFE4C52C"/>
      <name val="Aptos Narrow"/>
      <family val="2"/>
      <scheme val="minor"/>
    </font>
    <font>
      <b/>
      <sz val="14"/>
      <color rgb="FFE4C52C"/>
      <name val="Aptos Narrow"/>
      <family val="2"/>
      <scheme val="minor"/>
    </font>
    <font>
      <sz val="14"/>
      <color rgb="FF0040C0"/>
      <name val="Aptos Narrow"/>
      <scheme val="minor"/>
    </font>
    <font>
      <b/>
      <sz val="14"/>
      <color rgb="FF0040C0"/>
      <name val="Aptos Narrow"/>
      <scheme val="minor"/>
    </font>
    <font>
      <sz val="14"/>
      <color rgb="FFFF4A23"/>
      <name val="Aptos Narrow"/>
      <scheme val="minor"/>
    </font>
    <font>
      <b/>
      <sz val="14"/>
      <color rgb="FFFF4A23"/>
      <name val="Aptos Narrow"/>
      <scheme val="minor"/>
    </font>
    <font>
      <sz val="14"/>
      <color rgb="FFFEDB2A"/>
      <name val="Aptos Narrow"/>
      <family val="2"/>
      <scheme val="minor"/>
    </font>
    <font>
      <b/>
      <sz val="14"/>
      <color rgb="FFFEDB2A"/>
      <name val="Aptos Narrow"/>
      <family val="2"/>
      <scheme val="minor"/>
    </font>
    <font>
      <sz val="14"/>
      <color rgb="FFFF3300"/>
      <name val="Aptos Narrow"/>
      <family val="2"/>
      <scheme val="minor"/>
    </font>
    <font>
      <b/>
      <sz val="14"/>
      <color rgb="FFFF3300"/>
      <name val="Aptos Narrow"/>
      <family val="2"/>
      <scheme val="minor"/>
    </font>
    <font>
      <sz val="14"/>
      <color rgb="FFD82222"/>
      <name val="Aptos Narrow"/>
      <family val="2"/>
      <scheme val="minor"/>
    </font>
    <font>
      <b/>
      <sz val="14"/>
      <color rgb="FFD82222"/>
      <name val="Aptos Narrow"/>
      <family val="2"/>
      <scheme val="minor"/>
    </font>
    <font>
      <sz val="14"/>
      <color rgb="FF392E4C"/>
      <name val="Aptos Narrow"/>
      <family val="2"/>
      <scheme val="minor"/>
    </font>
    <font>
      <b/>
      <sz val="14"/>
      <color rgb="FF392E4C"/>
      <name val="Aptos Narrow"/>
      <family val="2"/>
      <scheme val="minor"/>
    </font>
    <font>
      <sz val="14"/>
      <color rgb="FF716B00"/>
      <name val="Aptos Narrow"/>
      <family val="2"/>
      <scheme val="minor"/>
    </font>
    <font>
      <b/>
      <sz val="14"/>
      <color rgb="FF716B00"/>
      <name val="Aptos Narrow"/>
      <family val="2"/>
      <scheme val="minor"/>
    </font>
    <font>
      <sz val="14"/>
      <color theme="0" tint="-0.249977111117893"/>
      <name val="Aptos Narrow"/>
      <family val="2"/>
      <scheme val="minor"/>
    </font>
    <font>
      <b/>
      <sz val="14"/>
      <color theme="0" tint="-0.249977111117893"/>
      <name val="Aptos Narrow"/>
      <family val="2"/>
      <scheme val="minor"/>
    </font>
    <font>
      <sz val="14"/>
      <color rgb="FFFF158A"/>
      <name val="Aptos Narrow"/>
      <family val="2"/>
      <scheme val="minor"/>
    </font>
    <font>
      <b/>
      <sz val="14"/>
      <color rgb="FFFF158A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  <font>
      <b/>
      <sz val="12"/>
      <color theme="6" tint="-0.249977111117893"/>
      <name val="Aptos Narrow"/>
      <family val="2"/>
      <scheme val="minor"/>
    </font>
    <font>
      <sz val="14"/>
      <color rgb="FFA2E145"/>
      <name val="Aptos Narrow"/>
      <scheme val="minor"/>
    </font>
    <font>
      <b/>
      <sz val="14"/>
      <color rgb="FFA2E145"/>
      <name val="Aptos Narrow"/>
      <scheme val="minor"/>
    </font>
    <font>
      <sz val="14"/>
      <color theme="0" tint="-4.9989318521683403E-2"/>
      <name val="Aptos Narrow"/>
      <scheme val="minor"/>
    </font>
    <font>
      <b/>
      <sz val="14"/>
      <color theme="0" tint="-4.9989318521683403E-2"/>
      <name val="Aptos Narrow"/>
      <scheme val="minor"/>
    </font>
    <font>
      <sz val="14"/>
      <color rgb="FFFBF5D9"/>
      <name val="Aptos Narrow"/>
      <family val="2"/>
      <scheme val="minor"/>
    </font>
    <font>
      <b/>
      <sz val="14"/>
      <color rgb="FFFBF5D9"/>
      <name val="Aptos Narrow"/>
      <family val="2"/>
      <scheme val="minor"/>
    </font>
    <font>
      <sz val="14"/>
      <color rgb="FFF7F171"/>
      <name val="Aptos Narrow"/>
      <family val="2"/>
      <scheme val="minor"/>
    </font>
    <font>
      <b/>
      <sz val="14"/>
      <color rgb="FFF7F171"/>
      <name val="Aptos Narrow"/>
      <family val="2"/>
      <scheme val="minor"/>
    </font>
    <font>
      <sz val="12"/>
      <color rgb="FFD3A7FF"/>
      <name val="Aptos Narrow"/>
      <family val="2"/>
      <scheme val="minor"/>
    </font>
    <font>
      <b/>
      <sz val="12"/>
      <color rgb="FFD3A7FF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b/>
      <sz val="12"/>
      <color theme="5" tint="0.39997558519241921"/>
      <name val="Aptos Narrow"/>
      <family val="2"/>
      <scheme val="minor"/>
    </font>
    <font>
      <sz val="10"/>
      <color rgb="FFF7DCBB"/>
      <name val="Aptos Narrow"/>
      <family val="2"/>
      <scheme val="minor"/>
    </font>
    <font>
      <b/>
      <sz val="10"/>
      <color rgb="FFF7DCBB"/>
      <name val="Aptos Narrow"/>
      <family val="2"/>
      <scheme val="minor"/>
    </font>
    <font>
      <sz val="14"/>
      <color rgb="FFFF89E6"/>
      <name val="Aptos Narrow"/>
      <family val="2"/>
      <scheme val="minor"/>
    </font>
    <font>
      <b/>
      <sz val="14"/>
      <color rgb="FFFF89E6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2"/>
      <color rgb="FF9EB6DA"/>
      <name val="Aptos Narrow"/>
      <family val="2"/>
      <scheme val="minor"/>
    </font>
    <font>
      <b/>
      <sz val="12"/>
      <color rgb="FF9EB6DA"/>
      <name val="Aptos Narrow"/>
      <family val="2"/>
      <scheme val="minor"/>
    </font>
    <font>
      <sz val="12"/>
      <color rgb="FF93C359"/>
      <name val="Aptos Narrow"/>
      <family val="2"/>
      <scheme val="minor"/>
    </font>
    <font>
      <b/>
      <sz val="12"/>
      <color rgb="FF93C359"/>
      <name val="Aptos Narrow"/>
      <family val="2"/>
      <scheme val="minor"/>
    </font>
    <font>
      <sz val="14"/>
      <color rgb="FFFB9103"/>
      <name val="Aptos Narrow"/>
      <family val="2"/>
      <scheme val="minor"/>
    </font>
    <font>
      <b/>
      <sz val="14"/>
      <color rgb="FFFB9103"/>
      <name val="Aptos Narrow"/>
      <family val="2"/>
      <scheme val="minor"/>
    </font>
    <font>
      <sz val="14"/>
      <color rgb="FF8E823A"/>
      <name val="Aptos Narrow"/>
      <family val="2"/>
      <scheme val="minor"/>
    </font>
    <font>
      <b/>
      <sz val="14"/>
      <color rgb="FF8E823A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color rgb="FFD40000"/>
      <name val="Aptos Narrow"/>
      <scheme val="minor"/>
    </font>
    <font>
      <b/>
      <sz val="14"/>
      <color rgb="FFD40000"/>
      <name val="Aptos Narrow"/>
      <scheme val="minor"/>
    </font>
    <font>
      <sz val="14"/>
      <color rgb="FFFF9966"/>
      <name val="Aptos Narrow"/>
      <family val="2"/>
      <scheme val="minor"/>
    </font>
    <font>
      <b/>
      <sz val="14"/>
      <color rgb="FFFF9966"/>
      <name val="Aptos Narrow"/>
      <family val="2"/>
      <scheme val="minor"/>
    </font>
    <font>
      <sz val="12"/>
      <color rgb="FF63FB44"/>
      <name val="Aptos Narrow"/>
      <scheme val="minor"/>
    </font>
    <font>
      <b/>
      <sz val="12"/>
      <color rgb="FF63FB44"/>
      <name val="Aptos Narrow"/>
      <scheme val="minor"/>
    </font>
    <font>
      <sz val="11"/>
      <color rgb="FFFF00D7"/>
      <name val="Aptos Narrow"/>
      <scheme val="minor"/>
    </font>
    <font>
      <b/>
      <sz val="11"/>
      <color rgb="FFFF00D7"/>
      <name val="Aptos Narrow"/>
      <scheme val="minor"/>
    </font>
    <font>
      <sz val="12"/>
      <color rgb="FFF2F0C0"/>
      <name val="Aptos Narrow"/>
      <scheme val="minor"/>
    </font>
    <font>
      <b/>
      <sz val="12"/>
      <color rgb="FFF2F0C0"/>
      <name val="Aptos Narrow"/>
      <scheme val="minor"/>
    </font>
    <font>
      <sz val="14"/>
      <color rgb="FFFAC062"/>
      <name val="Aptos Narrow"/>
      <family val="2"/>
      <scheme val="minor"/>
    </font>
    <font>
      <b/>
      <sz val="14"/>
      <color rgb="FFFAC062"/>
      <name val="Aptos Narrow"/>
      <family val="2"/>
      <scheme val="minor"/>
    </font>
    <font>
      <sz val="14"/>
      <color rgb="FFFFCCCC"/>
      <name val="Aptos Narrow"/>
      <family val="2"/>
      <scheme val="minor"/>
    </font>
    <font>
      <b/>
      <sz val="14"/>
      <color rgb="FFFFCCCC"/>
      <name val="Aptos Narrow"/>
      <family val="2"/>
      <scheme val="minor"/>
    </font>
    <font>
      <sz val="12"/>
      <color rgb="FFF79C09"/>
      <name val="Aptos Narrow"/>
      <family val="2"/>
      <scheme val="minor"/>
    </font>
    <font>
      <b/>
      <sz val="12"/>
      <color rgb="FFF79C09"/>
      <name val="Aptos Narrow"/>
      <family val="2"/>
      <scheme val="minor"/>
    </font>
    <font>
      <sz val="11"/>
      <color rgb="FFCBF339"/>
      <name val="Aptos Narrow"/>
      <family val="2"/>
      <scheme val="minor"/>
    </font>
    <font>
      <b/>
      <sz val="11"/>
      <color rgb="FFCBF339"/>
      <name val="Aptos Narrow"/>
      <family val="2"/>
      <scheme val="minor"/>
    </font>
    <font>
      <sz val="14"/>
      <color rgb="FF7E8434"/>
      <name val="Aptos Narrow"/>
      <family val="2"/>
      <scheme val="minor"/>
    </font>
    <font>
      <b/>
      <sz val="14"/>
      <color rgb="FF7E8434"/>
      <name val="Aptos Narrow"/>
      <family val="2"/>
      <scheme val="minor"/>
    </font>
    <font>
      <sz val="10"/>
      <color rgb="FFD96937"/>
      <name val="Aptos Narrow"/>
      <family val="2"/>
      <scheme val="minor"/>
    </font>
    <font>
      <b/>
      <sz val="10"/>
      <color rgb="FFD96937"/>
      <name val="Aptos Narrow"/>
      <family val="2"/>
      <scheme val="minor"/>
    </font>
    <font>
      <sz val="14"/>
      <color rgb="FFCBF339"/>
      <name val="Aptos Narrow"/>
      <family val="2"/>
      <scheme val="minor"/>
    </font>
    <font>
      <b/>
      <sz val="14"/>
      <color rgb="FFCBF339"/>
      <name val="Aptos Narrow"/>
      <family val="2"/>
      <scheme val="minor"/>
    </font>
    <font>
      <sz val="14"/>
      <color rgb="FF00B800"/>
      <name val="Aptos Narrow"/>
      <family val="2"/>
      <scheme val="minor"/>
    </font>
    <font>
      <b/>
      <sz val="14"/>
      <color rgb="FF00B800"/>
      <name val="Aptos Narrow"/>
      <family val="2"/>
      <scheme val="minor"/>
    </font>
    <font>
      <sz val="14"/>
      <color rgb="FFFBDF11"/>
      <name val="Aptos Narrow"/>
      <family val="2"/>
      <scheme val="minor"/>
    </font>
    <font>
      <b/>
      <sz val="14"/>
      <color rgb="FFFBDF11"/>
      <name val="Aptos Narrow"/>
      <family val="2"/>
      <scheme val="minor"/>
    </font>
    <font>
      <sz val="14"/>
      <color rgb="FF329252"/>
      <name val="Aptos Narrow"/>
      <family val="2"/>
      <scheme val="minor"/>
    </font>
    <font>
      <b/>
      <sz val="14"/>
      <color rgb="FF329252"/>
      <name val="Aptos Narrow"/>
      <family val="2"/>
      <scheme val="minor"/>
    </font>
    <font>
      <sz val="12"/>
      <color theme="3" tint="0.89999084444715716"/>
      <name val="Aptos Narrow"/>
      <family val="2"/>
      <scheme val="minor"/>
    </font>
    <font>
      <b/>
      <sz val="12"/>
      <color theme="3" tint="0.89999084444715716"/>
      <name val="Aptos Narrow"/>
      <family val="2"/>
      <scheme val="minor"/>
    </font>
    <font>
      <sz val="12"/>
      <color rgb="FFFFE700"/>
      <name val="Aptos Narrow"/>
      <scheme val="minor"/>
    </font>
    <font>
      <b/>
      <sz val="12"/>
      <color rgb="FFFFE700"/>
      <name val="Aptos Narrow"/>
      <scheme val="minor"/>
    </font>
    <font>
      <sz val="14"/>
      <color theme="0" tint="-0.34998626667073579"/>
      <name val="Aptos Narrow"/>
      <scheme val="minor"/>
    </font>
    <font>
      <b/>
      <sz val="14"/>
      <color theme="0" tint="-0.34998626667073579"/>
      <name val="Aptos Narrow"/>
      <scheme val="minor"/>
    </font>
    <font>
      <sz val="14"/>
      <color rgb="FFC1EAF8"/>
      <name val="Aptos Narrow"/>
      <scheme val="minor"/>
    </font>
    <font>
      <b/>
      <sz val="14"/>
      <color rgb="FFC1EAF8"/>
      <name val="Aptos Narrow"/>
      <scheme val="minor"/>
    </font>
    <font>
      <sz val="11"/>
      <color rgb="FFEF81B5"/>
      <name val="Aptos Narrow"/>
      <scheme val="minor"/>
    </font>
    <font>
      <b/>
      <sz val="11"/>
      <color rgb="FFEF81B5"/>
      <name val="Aptos Narrow"/>
      <scheme val="minor"/>
    </font>
    <font>
      <sz val="12"/>
      <color rgb="FF5EBB5A"/>
      <name val="Aptos Narrow"/>
      <scheme val="minor"/>
    </font>
    <font>
      <b/>
      <sz val="12"/>
      <color rgb="FF5EBB5A"/>
      <name val="Aptos Narrow"/>
      <scheme val="minor"/>
    </font>
    <font>
      <sz val="12"/>
      <color theme="1"/>
      <name val="Aptos Narrow"/>
      <scheme val="minor"/>
    </font>
    <font>
      <sz val="10.5"/>
      <color rgb="FF8E490A"/>
      <name val="Aptos Narrow"/>
      <family val="2"/>
      <scheme val="minor"/>
    </font>
    <font>
      <b/>
      <sz val="10.5"/>
      <color rgb="FF8E490A"/>
      <name val="Aptos Narrow"/>
      <family val="2"/>
      <scheme val="minor"/>
    </font>
    <font>
      <sz val="11"/>
      <color rgb="FFACC1C3"/>
      <name val="Aptos Narrow"/>
      <scheme val="minor"/>
    </font>
    <font>
      <b/>
      <sz val="11"/>
      <color rgb="FFACC1C3"/>
      <name val="Aptos Narrow"/>
      <scheme val="minor"/>
    </font>
    <font>
      <sz val="14"/>
      <color rgb="FFCAD78A"/>
      <name val="Aptos Narrow"/>
      <scheme val="minor"/>
    </font>
    <font>
      <b/>
      <sz val="14"/>
      <color rgb="FFCAD78A"/>
      <name val="Aptos Narrow"/>
      <scheme val="minor"/>
    </font>
    <font>
      <sz val="14"/>
      <color rgb="FF7DE879"/>
      <name val="Aptos Narrow"/>
      <scheme val="minor"/>
    </font>
    <font>
      <b/>
      <sz val="14"/>
      <color rgb="FF7DE879"/>
      <name val="Aptos Narrow"/>
      <scheme val="minor"/>
    </font>
    <font>
      <sz val="14"/>
      <color theme="3" tint="0.249977111117893"/>
      <name val="Aptos Narrow"/>
      <scheme val="minor"/>
    </font>
    <font>
      <b/>
      <sz val="14"/>
      <color theme="3" tint="0.249977111117893"/>
      <name val="Aptos Narrow"/>
      <scheme val="minor"/>
    </font>
    <font>
      <sz val="14"/>
      <color rgb="FF795A3B"/>
      <name val="Aptos Narrow"/>
      <scheme val="minor"/>
    </font>
    <font>
      <b/>
      <sz val="14"/>
      <color rgb="FF795A3B"/>
      <name val="Aptos Narrow"/>
      <scheme val="minor"/>
    </font>
    <font>
      <sz val="14"/>
      <color rgb="FFF423E1"/>
      <name val="Aptos Narrow"/>
      <scheme val="minor"/>
    </font>
    <font>
      <b/>
      <sz val="14"/>
      <color rgb="FFF423E1"/>
      <name val="Aptos Narrow"/>
      <scheme val="minor"/>
    </font>
    <font>
      <sz val="11"/>
      <color rgb="FFDAB252"/>
      <name val="Aptos Narrow"/>
      <scheme val="minor"/>
    </font>
    <font>
      <b/>
      <sz val="11"/>
      <color rgb="FFDAB252"/>
      <name val="Aptos Narrow"/>
      <scheme val="minor"/>
    </font>
    <font>
      <sz val="12"/>
      <color rgb="FFFFFF00"/>
      <name val="Aptos Narrow"/>
      <scheme val="minor"/>
    </font>
    <font>
      <b/>
      <sz val="12"/>
      <color rgb="FFFFFF00"/>
      <name val="Aptos Narrow"/>
      <scheme val="minor"/>
    </font>
    <font>
      <sz val="14"/>
      <color rgb="FFC95B6E"/>
      <name val="Aptos Narrow"/>
      <scheme val="minor"/>
    </font>
    <font>
      <b/>
      <sz val="14"/>
      <color rgb="FFC95B6E"/>
      <name val="Aptos Narrow"/>
      <scheme val="minor"/>
    </font>
    <font>
      <sz val="11"/>
      <color theme="4" tint="0.59999389629810485"/>
      <name val="Aptos Narrow"/>
      <scheme val="minor"/>
    </font>
    <font>
      <b/>
      <sz val="11"/>
      <color theme="4" tint="0.59999389629810485"/>
      <name val="Aptos Narrow"/>
      <scheme val="minor"/>
    </font>
    <font>
      <sz val="14"/>
      <color rgb="FF3DD177"/>
      <name val="Aptos Narrow"/>
      <scheme val="minor"/>
    </font>
    <font>
      <b/>
      <sz val="14"/>
      <color rgb="FF3DD177"/>
      <name val="Aptos Narrow"/>
      <scheme val="minor"/>
    </font>
    <font>
      <sz val="9.5"/>
      <color rgb="FF52A3E8"/>
      <name val="Aptos Narrow"/>
      <scheme val="minor"/>
    </font>
    <font>
      <b/>
      <sz val="9.5"/>
      <color rgb="FF52A3E8"/>
      <name val="Aptos Narrow"/>
      <scheme val="minor"/>
    </font>
    <font>
      <sz val="12"/>
      <color rgb="FF0084C8"/>
      <name val="Aptos Narrow"/>
      <scheme val="minor"/>
    </font>
    <font>
      <b/>
      <sz val="12"/>
      <color rgb="FF0084C8"/>
      <name val="Aptos Narrow"/>
      <scheme val="minor"/>
    </font>
    <font>
      <sz val="14"/>
      <color rgb="FFAE7058"/>
      <name val="Aptos Narrow"/>
      <scheme val="minor"/>
    </font>
    <font>
      <b/>
      <sz val="14"/>
      <color rgb="FFAE7058"/>
      <name val="Aptos Narrow"/>
      <scheme val="minor"/>
    </font>
    <font>
      <sz val="12"/>
      <color rgb="FFE77206"/>
      <name val="Aptos Narrow"/>
      <scheme val="minor"/>
    </font>
    <font>
      <b/>
      <sz val="12"/>
      <color rgb="FFE77206"/>
      <name val="Aptos Narrow"/>
      <scheme val="minor"/>
    </font>
    <font>
      <sz val="12"/>
      <color rgb="FFFFC000"/>
      <name val="Aptos Narrow"/>
      <scheme val="minor"/>
    </font>
    <font>
      <b/>
      <sz val="12"/>
      <color rgb="FFFFC000"/>
      <name val="Aptos Narrow"/>
      <scheme val="minor"/>
    </font>
    <font>
      <sz val="14"/>
      <color rgb="FFC00000"/>
      <name val="Aptos Narrow"/>
      <scheme val="minor"/>
    </font>
    <font>
      <b/>
      <sz val="14"/>
      <color rgb="FFC00000"/>
      <name val="Aptos Narrow"/>
      <scheme val="minor"/>
    </font>
    <font>
      <sz val="12"/>
      <color rgb="FFEFE680"/>
      <name val="Aptos Narrow"/>
      <scheme val="minor"/>
    </font>
    <font>
      <b/>
      <sz val="12"/>
      <color rgb="FFEFE680"/>
      <name val="Aptos Narrow"/>
      <scheme val="minor"/>
    </font>
    <font>
      <sz val="12"/>
      <color rgb="FFFA7804"/>
      <name val="Aptos Narrow"/>
      <scheme val="minor"/>
    </font>
    <font>
      <b/>
      <sz val="12"/>
      <color rgb="FFFA7804"/>
      <name val="Aptos Narrow"/>
      <scheme val="minor"/>
    </font>
    <font>
      <sz val="14"/>
      <color rgb="FF7E326F"/>
      <name val="Aptos Narrow"/>
      <scheme val="minor"/>
    </font>
    <font>
      <b/>
      <sz val="14"/>
      <color rgb="FF7E326F"/>
      <name val="Aptos Narrow"/>
      <scheme val="minor"/>
    </font>
    <font>
      <sz val="14"/>
      <color rgb="FF1AB098"/>
      <name val="Aptos Narrow"/>
      <scheme val="minor"/>
    </font>
    <font>
      <b/>
      <sz val="14"/>
      <color rgb="FF1AB098"/>
      <name val="Aptos Narrow"/>
      <scheme val="minor"/>
    </font>
    <font>
      <sz val="14"/>
      <color rgb="FFE8E900"/>
      <name val="Aptos Narrow"/>
      <scheme val="minor"/>
    </font>
    <font>
      <b/>
      <sz val="14"/>
      <color rgb="FFE8E900"/>
      <name val="Aptos Narrow"/>
      <scheme val="minor"/>
    </font>
    <font>
      <sz val="14"/>
      <color rgb="FFD8442C"/>
      <name val="Aptos Narrow"/>
      <scheme val="minor"/>
    </font>
    <font>
      <b/>
      <sz val="14"/>
      <color rgb="FFD8442C"/>
      <name val="Aptos Narrow"/>
      <scheme val="minor"/>
    </font>
    <font>
      <sz val="10"/>
      <color rgb="FFE498B4"/>
      <name val="Aptos Narrow"/>
      <scheme val="minor"/>
    </font>
    <font>
      <b/>
      <sz val="10"/>
      <color rgb="FFE498B4"/>
      <name val="Aptos Narrow"/>
      <scheme val="minor"/>
    </font>
    <font>
      <sz val="12"/>
      <color rgb="FF70CECD"/>
      <name val="Aptos Narrow"/>
      <scheme val="minor"/>
    </font>
    <font>
      <b/>
      <sz val="12"/>
      <color rgb="FF70CECD"/>
      <name val="Aptos Narrow"/>
      <scheme val="minor"/>
    </font>
    <font>
      <sz val="14"/>
      <color rgb="FFC33434"/>
      <name val="Aptos Narrow"/>
      <scheme val="minor"/>
    </font>
    <font>
      <b/>
      <sz val="14"/>
      <color rgb="FFC33434"/>
      <name val="Aptos Narrow"/>
      <scheme val="minor"/>
    </font>
    <font>
      <sz val="14"/>
      <color rgb="FFEEDFBB"/>
      <name val="Aptos Narrow"/>
      <scheme val="minor"/>
    </font>
    <font>
      <b/>
      <sz val="14"/>
      <color rgb="FFEEDFBB"/>
      <name val="Aptos Narrow"/>
      <scheme val="minor"/>
    </font>
    <font>
      <sz val="12"/>
      <color rgb="FFF9E952"/>
      <name val="Aptos Narrow"/>
      <scheme val="minor"/>
    </font>
    <font>
      <b/>
      <sz val="12"/>
      <color rgb="FFF9E952"/>
      <name val="Aptos Narrow"/>
      <scheme val="minor"/>
    </font>
    <font>
      <sz val="14"/>
      <color rgb="FFF34F33"/>
      <name val="Aptos Narrow"/>
      <scheme val="minor"/>
    </font>
    <font>
      <b/>
      <sz val="14"/>
      <color rgb="FFF34F33"/>
      <name val="Aptos Narrow"/>
      <scheme val="minor"/>
    </font>
    <font>
      <sz val="14"/>
      <color rgb="FF0F0C0B"/>
      <name val="Aptos Narrow"/>
      <scheme val="minor"/>
    </font>
    <font>
      <b/>
      <sz val="14"/>
      <color rgb="FF0F0C0B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rgb="FFA3C4DE"/>
      <name val="Aptos Narrow"/>
      <scheme val="minor"/>
    </font>
    <font>
      <b/>
      <sz val="14"/>
      <color rgb="FFA3C4DE"/>
      <name val="Aptos Narrow"/>
      <scheme val="minor"/>
    </font>
    <font>
      <sz val="14"/>
      <color rgb="FFD1A461"/>
      <name val="Aptos Narrow"/>
      <scheme val="minor"/>
    </font>
    <font>
      <b/>
      <sz val="14"/>
      <color rgb="FFD1A461"/>
      <name val="Aptos Narrow"/>
      <scheme val="minor"/>
    </font>
    <font>
      <sz val="12"/>
      <color rgb="FFF18C24"/>
      <name val="Aptos Narrow"/>
      <scheme val="minor"/>
    </font>
    <font>
      <b/>
      <sz val="12"/>
      <color rgb="FFF18C24"/>
      <name val="Aptos Narrow"/>
      <scheme val="minor"/>
    </font>
    <font>
      <sz val="14"/>
      <color rgb="FFDBC24C"/>
      <name val="Aptos Narrow"/>
      <scheme val="minor"/>
    </font>
    <font>
      <b/>
      <sz val="14"/>
      <color rgb="FFDBC24C"/>
      <name val="Aptos Narrow"/>
      <scheme val="minor"/>
    </font>
    <font>
      <sz val="12"/>
      <color rgb="FFC00000"/>
      <name val="Aptos Narrow"/>
      <scheme val="minor"/>
    </font>
    <font>
      <b/>
      <sz val="12"/>
      <color rgb="FFC00000"/>
      <name val="Aptos Narrow"/>
      <scheme val="minor"/>
    </font>
    <font>
      <b/>
      <sz val="12"/>
      <color rgb="FF000000"/>
      <name val="Aptos Narrow"/>
      <scheme val="minor"/>
    </font>
    <font>
      <sz val="14"/>
      <color rgb="FFF5C39C"/>
      <name val="Aptos Narrow"/>
      <scheme val="minor"/>
    </font>
    <font>
      <b/>
      <sz val="14"/>
      <color rgb="FFF5C39C"/>
      <name val="Aptos Narrow"/>
      <scheme val="minor"/>
    </font>
    <font>
      <sz val="10"/>
      <color rgb="FF7F413E"/>
      <name val="Aptos Narrow"/>
      <scheme val="minor"/>
    </font>
    <font>
      <b/>
      <sz val="10"/>
      <color rgb="FF7F413E"/>
      <name val="Aptos Narrow"/>
      <scheme val="minor"/>
    </font>
    <font>
      <sz val="12"/>
      <color rgb="FFFF59A1"/>
      <name val="Aptos Narrow"/>
      <scheme val="minor"/>
    </font>
    <font>
      <b/>
      <sz val="12"/>
      <color rgb="FFFF59A1"/>
      <name val="Aptos Narrow"/>
      <scheme val="minor"/>
    </font>
    <font>
      <sz val="12"/>
      <color rgb="FF009C36"/>
      <name val="Aptos Narrow"/>
      <scheme val="minor"/>
    </font>
    <font>
      <b/>
      <sz val="12"/>
      <color rgb="FF009C36"/>
      <name val="Aptos Narrow"/>
      <scheme val="minor"/>
    </font>
    <font>
      <sz val="14"/>
      <color rgb="FFE8C717"/>
      <name val="Aptos Narrow"/>
      <scheme val="minor"/>
    </font>
    <font>
      <b/>
      <sz val="14"/>
      <color rgb="FFE8C717"/>
      <name val="Aptos Narrow"/>
      <scheme val="minor"/>
    </font>
    <font>
      <sz val="12"/>
      <color theme="0" tint="-4.9989318521683403E-2"/>
      <name val="Aptos Narrow"/>
      <scheme val="minor"/>
    </font>
    <font>
      <b/>
      <sz val="12"/>
      <color theme="0" tint="-4.9989318521683403E-2"/>
      <name val="Aptos Narrow"/>
      <scheme val="minor"/>
    </font>
    <font>
      <sz val="14"/>
      <color rgb="FF030D0A"/>
      <name val="Aptos Narrow"/>
      <scheme val="minor"/>
    </font>
    <font>
      <b/>
      <sz val="14"/>
      <color rgb="FF030D0A"/>
      <name val="Aptos Narrow"/>
      <scheme val="minor"/>
    </font>
    <font>
      <sz val="11"/>
      <color rgb="FFF2AF3F"/>
      <name val="Aptos Narrow"/>
      <scheme val="minor"/>
    </font>
    <font>
      <b/>
      <sz val="11"/>
      <color rgb="FFF2AF3F"/>
      <name val="Aptos Narrow"/>
      <scheme val="minor"/>
    </font>
    <font>
      <b/>
      <sz val="14"/>
      <color theme="9" tint="-0.499984740745262"/>
      <name val="Aptos Narrow"/>
      <scheme val="minor"/>
    </font>
    <font>
      <sz val="14"/>
      <color theme="9" tint="-0.499984740745262"/>
      <name val="Aptos Narrow"/>
      <scheme val="minor"/>
    </font>
    <font>
      <sz val="12"/>
      <color rgb="FFFFFFFF"/>
      <name val="Aptos Narrow"/>
      <family val="2"/>
      <scheme val="minor"/>
    </font>
    <font>
      <sz val="14"/>
      <color rgb="FF495D44"/>
      <name val="Aptos Narrow"/>
      <scheme val="minor"/>
    </font>
    <font>
      <b/>
      <sz val="14"/>
      <color rgb="FF495D44"/>
      <name val="Aptos Narrow"/>
      <scheme val="minor"/>
    </font>
    <font>
      <sz val="14"/>
      <color rgb="FFFFEC00"/>
      <name val="Aptos Narrow"/>
      <scheme val="minor"/>
    </font>
    <font>
      <b/>
      <sz val="14"/>
      <color rgb="FFFFEC00"/>
      <name val="Aptos Narrow"/>
      <scheme val="minor"/>
    </font>
    <font>
      <sz val="11"/>
      <color theme="0" tint="-0.249977111117893"/>
      <name val="Aptos Narrow"/>
      <scheme val="minor"/>
    </font>
    <font>
      <b/>
      <sz val="11"/>
      <color theme="0" tint="-0.249977111117893"/>
      <name val="Aptos Narrow"/>
      <scheme val="minor"/>
    </font>
    <font>
      <sz val="11"/>
      <color rgb="FF293334"/>
      <name val="Aptos Narrow"/>
      <scheme val="minor"/>
    </font>
    <font>
      <b/>
      <sz val="11"/>
      <color rgb="FF293334"/>
      <name val="Aptos Narrow"/>
      <scheme val="minor"/>
    </font>
    <font>
      <sz val="11"/>
      <color rgb="FF34AAD0"/>
      <name val="Aptos Narrow"/>
      <scheme val="minor"/>
    </font>
    <font>
      <b/>
      <sz val="11"/>
      <color rgb="FF34AAD0"/>
      <name val="Aptos Narrow"/>
      <scheme val="minor"/>
    </font>
    <font>
      <sz val="11"/>
      <color rgb="FF393D3C"/>
      <name val="Aptos Narrow"/>
      <scheme val="minor"/>
    </font>
    <font>
      <b/>
      <sz val="11"/>
      <color rgb="FF393D3C"/>
      <name val="Aptos Narrow"/>
      <scheme val="minor"/>
    </font>
    <font>
      <sz val="12"/>
      <color rgb="FF38BBE5"/>
      <name val="Aptos Narrow"/>
      <scheme val="minor"/>
    </font>
    <font>
      <b/>
      <sz val="12"/>
      <color rgb="FF38BBE5"/>
      <name val="Aptos Narrow"/>
      <scheme val="minor"/>
    </font>
    <font>
      <sz val="14"/>
      <color rgb="FFD0A656"/>
      <name val="Aptos Narrow"/>
      <scheme val="minor"/>
    </font>
    <font>
      <b/>
      <sz val="14"/>
      <color rgb="FFD0A656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4"/>
      <color rgb="FFFFCD1D"/>
      <name val="Aptos Narrow"/>
      <scheme val="minor"/>
    </font>
    <font>
      <b/>
      <sz val="14"/>
      <color rgb="FFFFCD1D"/>
      <name val="Aptos Narrow"/>
      <scheme val="minor"/>
    </font>
    <font>
      <sz val="14"/>
      <color rgb="FFD4D5DB"/>
      <name val="Aptos Narrow"/>
      <scheme val="minor"/>
    </font>
    <font>
      <b/>
      <sz val="14"/>
      <color rgb="FFD4D5DB"/>
      <name val="Aptos Narrow"/>
      <scheme val="minor"/>
    </font>
    <font>
      <i/>
      <sz val="12"/>
      <color rgb="FF7F8C8D"/>
      <name val="Aptos Narrow"/>
      <family val="2"/>
      <scheme val="minor"/>
    </font>
    <font>
      <sz val="14"/>
      <color rgb="FFAC89FF"/>
      <name val="Aptos Narrow"/>
      <scheme val="minor"/>
    </font>
    <font>
      <b/>
      <sz val="14"/>
      <color rgb="FFAC89FF"/>
      <name val="Aptos Narrow"/>
      <scheme val="minor"/>
    </font>
  </fonts>
  <fills count="39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1C9BA"/>
        <bgColor indexed="64"/>
      </patternFill>
    </fill>
    <fill>
      <patternFill patternType="solid">
        <fgColor rgb="FFFF6E74"/>
        <bgColor indexed="64"/>
      </patternFill>
    </fill>
    <fill>
      <patternFill patternType="solid">
        <fgColor rgb="FF592B22"/>
        <bgColor indexed="64"/>
      </patternFill>
    </fill>
    <fill>
      <patternFill patternType="solid">
        <fgColor rgb="FF56EEFF"/>
        <bgColor indexed="64"/>
      </patternFill>
    </fill>
    <fill>
      <patternFill patternType="solid">
        <fgColor rgb="FFDFB87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6D1F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E032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F743F"/>
        <bgColor indexed="64"/>
      </patternFill>
    </fill>
    <fill>
      <patternFill patternType="solid">
        <fgColor rgb="FF64E897"/>
        <bgColor indexed="64"/>
      </patternFill>
    </fill>
    <fill>
      <patternFill patternType="solid">
        <fgColor rgb="FF312418"/>
        <bgColor indexed="64"/>
      </patternFill>
    </fill>
    <fill>
      <patternFill patternType="solid">
        <fgColor rgb="FFF8761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7A59"/>
        <bgColor indexed="64"/>
      </patternFill>
    </fill>
    <fill>
      <patternFill patternType="solid">
        <fgColor rgb="FF1E4395"/>
        <bgColor indexed="64"/>
      </patternFill>
    </fill>
    <fill>
      <patternFill patternType="solid">
        <fgColor rgb="FF933928"/>
        <bgColor indexed="64"/>
      </patternFill>
    </fill>
    <fill>
      <patternFill patternType="solid">
        <fgColor rgb="FF001119"/>
        <bgColor indexed="64"/>
      </patternFill>
    </fill>
    <fill>
      <patternFill patternType="solid">
        <fgColor rgb="FF00012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ECAB0"/>
        <bgColor indexed="64"/>
      </patternFill>
    </fill>
    <fill>
      <patternFill patternType="solid">
        <fgColor rgb="FF5A1809"/>
        <bgColor indexed="64"/>
      </patternFill>
    </fill>
    <fill>
      <patternFill patternType="solid">
        <fgColor rgb="FF0F2A4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D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C1E130"/>
        <bgColor indexed="64"/>
      </patternFill>
    </fill>
    <fill>
      <patternFill patternType="solid">
        <fgColor rgb="FF36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8A4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1132"/>
        <bgColor indexed="64"/>
      </patternFill>
    </fill>
    <fill>
      <patternFill patternType="solid">
        <fgColor rgb="FFEC8C5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41C2C4"/>
        <bgColor indexed="64"/>
      </patternFill>
    </fill>
    <fill>
      <patternFill patternType="solid">
        <fgColor rgb="FF69CDA8"/>
        <bgColor indexed="64"/>
      </patternFill>
    </fill>
    <fill>
      <patternFill patternType="solid">
        <fgColor rgb="FF7AD19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E7EDE3"/>
        <bgColor indexed="64"/>
      </patternFill>
    </fill>
    <fill>
      <patternFill patternType="solid">
        <fgColor rgb="FF4DC5B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ECEA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6DCDA6"/>
        <bgColor indexed="64"/>
      </patternFill>
    </fill>
    <fill>
      <patternFill patternType="solid">
        <fgColor rgb="FF6FCEA5"/>
        <bgColor indexed="64"/>
      </patternFill>
    </fill>
    <fill>
      <patternFill patternType="solid">
        <fgColor rgb="FFF69783"/>
        <bgColor indexed="64"/>
      </patternFill>
    </fill>
    <fill>
      <patternFill patternType="solid">
        <fgColor rgb="FF201D54"/>
        <bgColor indexed="64"/>
      </patternFill>
    </fill>
    <fill>
      <patternFill patternType="solid">
        <fgColor rgb="FF9DEC11"/>
        <bgColor indexed="64"/>
      </patternFill>
    </fill>
    <fill>
      <patternFill patternType="solid">
        <fgColor rgb="FFFFF0E5"/>
        <bgColor indexed="64"/>
      </patternFill>
    </fill>
    <fill>
      <patternFill patternType="solid">
        <fgColor rgb="FFF5CC58"/>
        <bgColor indexed="64"/>
      </patternFill>
    </fill>
    <fill>
      <patternFill patternType="solid">
        <fgColor rgb="FFDE204D"/>
        <bgColor indexed="64"/>
      </patternFill>
    </fill>
    <fill>
      <patternFill patternType="solid">
        <fgColor rgb="FF001800"/>
        <bgColor indexed="64"/>
      </patternFill>
    </fill>
    <fill>
      <patternFill patternType="solid">
        <fgColor rgb="FF2A1500"/>
        <bgColor indexed="64"/>
      </patternFill>
    </fill>
    <fill>
      <patternFill patternType="solid">
        <fgColor rgb="FFFCD90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7202B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E8ECE3"/>
        <bgColor indexed="64"/>
      </patternFill>
    </fill>
    <fill>
      <patternFill patternType="solid">
        <fgColor rgb="FF00003E"/>
        <bgColor indexed="64"/>
      </patternFill>
    </fill>
    <fill>
      <patternFill patternType="solid">
        <fgColor rgb="FFB8F6F2"/>
        <bgColor indexed="64"/>
      </patternFill>
    </fill>
    <fill>
      <patternFill patternType="solid">
        <fgColor rgb="FFDAE5E9"/>
        <bgColor indexed="64"/>
      </patternFill>
    </fill>
    <fill>
      <patternFill patternType="solid">
        <fgColor rgb="FFA1DB83"/>
        <bgColor indexed="64"/>
      </patternFill>
    </fill>
    <fill>
      <patternFill patternType="solid">
        <fgColor rgb="FF2EBCD1"/>
        <bgColor indexed="64"/>
      </patternFill>
    </fill>
    <fill>
      <patternFill patternType="solid">
        <fgColor rgb="FF61CAAE"/>
        <bgColor indexed="64"/>
      </patternFill>
    </fill>
    <fill>
      <patternFill patternType="solid">
        <fgColor rgb="FF62CAAE"/>
        <bgColor indexed="64"/>
      </patternFill>
    </fill>
    <fill>
      <patternFill patternType="solid">
        <fgColor rgb="FF67CCAA"/>
        <bgColor indexed="64"/>
      </patternFill>
    </fill>
    <fill>
      <patternFill patternType="solid">
        <fgColor rgb="FF69CCA9"/>
        <bgColor indexed="64"/>
      </patternFill>
    </fill>
    <fill>
      <patternFill patternType="solid">
        <fgColor rgb="FF71CFA3"/>
        <bgColor indexed="64"/>
      </patternFill>
    </fill>
    <fill>
      <patternFill patternType="solid">
        <fgColor rgb="FF79D19E"/>
        <bgColor indexed="64"/>
      </patternFill>
    </fill>
    <fill>
      <patternFill patternType="solid">
        <fgColor rgb="FF7BD19C"/>
        <bgColor indexed="64"/>
      </patternFill>
    </fill>
    <fill>
      <patternFill patternType="solid">
        <fgColor rgb="FF8AD593"/>
        <bgColor indexed="64"/>
      </patternFill>
    </fill>
    <fill>
      <patternFill patternType="solid">
        <fgColor rgb="FF8DD690"/>
        <bgColor indexed="64"/>
      </patternFill>
    </fill>
    <fill>
      <patternFill patternType="solid">
        <fgColor rgb="FF9CDA86"/>
        <bgColor indexed="64"/>
      </patternFill>
    </fill>
    <fill>
      <patternFill patternType="solid">
        <fgColor rgb="FFAADE7D"/>
        <bgColor indexed="64"/>
      </patternFill>
    </fill>
    <fill>
      <patternFill patternType="solid">
        <fgColor rgb="FFAEDF7A"/>
        <bgColor indexed="64"/>
      </patternFill>
    </fill>
    <fill>
      <patternFill patternType="solid">
        <fgColor rgb="FFCBE766"/>
        <bgColor indexed="64"/>
      </patternFill>
    </fill>
    <fill>
      <patternFill patternType="solid">
        <fgColor rgb="FFEDD7B0"/>
        <bgColor indexed="64"/>
      </patternFill>
    </fill>
    <fill>
      <patternFill patternType="solid">
        <fgColor rgb="FFB5E4FF"/>
        <bgColor indexed="64"/>
      </patternFill>
    </fill>
    <fill>
      <patternFill patternType="solid">
        <fgColor rgb="FFF6F9D8"/>
        <bgColor indexed="64"/>
      </patternFill>
    </fill>
    <fill>
      <patternFill patternType="solid">
        <fgColor rgb="FF00261A"/>
        <bgColor indexed="64"/>
      </patternFill>
    </fill>
    <fill>
      <patternFill patternType="solid">
        <fgColor rgb="FF75D0A0"/>
        <bgColor indexed="64"/>
      </patternFill>
    </fill>
    <fill>
      <patternFill patternType="solid">
        <fgColor rgb="FF70CEA4"/>
        <bgColor indexed="64"/>
      </patternFill>
    </fill>
    <fill>
      <patternFill patternType="solid">
        <fgColor rgb="FFFFE09B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3CFA2"/>
        <bgColor indexed="64"/>
      </patternFill>
    </fill>
    <fill>
      <patternFill patternType="solid">
        <fgColor rgb="FF01B0EF"/>
        <bgColor indexed="64"/>
      </patternFill>
    </fill>
    <fill>
      <patternFill patternType="solid">
        <fgColor rgb="FF03B1EE"/>
        <bgColor indexed="64"/>
      </patternFill>
    </fill>
    <fill>
      <patternFill patternType="solid">
        <fgColor rgb="FF26BAD6"/>
        <bgColor indexed="64"/>
      </patternFill>
    </fill>
    <fill>
      <patternFill patternType="solid">
        <fgColor rgb="FF28BBD5"/>
        <bgColor indexed="64"/>
      </patternFill>
    </fill>
    <fill>
      <patternFill patternType="solid">
        <fgColor rgb="FF36BECC"/>
        <bgColor indexed="64"/>
      </patternFill>
    </fill>
    <fill>
      <patternFill patternType="solid">
        <fgColor rgb="FF36BFCB"/>
        <bgColor indexed="64"/>
      </patternFill>
    </fill>
    <fill>
      <patternFill patternType="solid">
        <fgColor rgb="FF38BFCA"/>
        <bgColor indexed="64"/>
      </patternFill>
    </fill>
    <fill>
      <patternFill patternType="solid">
        <fgColor rgb="FF43C2C2"/>
        <bgColor indexed="64"/>
      </patternFill>
    </fill>
    <fill>
      <patternFill patternType="solid">
        <fgColor rgb="FF4EC5BB"/>
        <bgColor indexed="64"/>
      </patternFill>
    </fill>
    <fill>
      <patternFill patternType="solid">
        <fgColor rgb="FF52C6B9"/>
        <bgColor indexed="64"/>
      </patternFill>
    </fill>
    <fill>
      <patternFill patternType="solid">
        <fgColor rgb="FF55C7B6"/>
        <bgColor indexed="64"/>
      </patternFill>
    </fill>
    <fill>
      <patternFill patternType="solid">
        <fgColor rgb="FF59C8B3"/>
        <bgColor indexed="64"/>
      </patternFill>
    </fill>
    <fill>
      <patternFill patternType="solid">
        <fgColor rgb="FF5FCAAF"/>
        <bgColor indexed="64"/>
      </patternFill>
    </fill>
    <fill>
      <patternFill patternType="solid">
        <fgColor rgb="FF60CAAF"/>
        <bgColor indexed="64"/>
      </patternFill>
    </fill>
    <fill>
      <patternFill patternType="solid">
        <fgColor rgb="FF63CBAD"/>
        <bgColor indexed="64"/>
      </patternFill>
    </fill>
    <fill>
      <patternFill patternType="solid">
        <fgColor rgb="FF68CCAA"/>
        <bgColor indexed="64"/>
      </patternFill>
    </fill>
    <fill>
      <patternFill patternType="solid">
        <fgColor rgb="FF6ACDA8"/>
        <bgColor indexed="64"/>
      </patternFill>
    </fill>
    <fill>
      <patternFill patternType="solid">
        <fgColor rgb="FF74D0A1"/>
        <bgColor indexed="64"/>
      </patternFill>
    </fill>
    <fill>
      <patternFill patternType="solid">
        <fgColor rgb="FF77D09F"/>
        <bgColor indexed="64"/>
      </patternFill>
    </fill>
    <fill>
      <patternFill patternType="solid">
        <fgColor rgb="FF7AD19E"/>
        <bgColor indexed="64"/>
      </patternFill>
    </fill>
    <fill>
      <patternFill patternType="solid">
        <fgColor rgb="FF80D39A"/>
        <bgColor indexed="64"/>
      </patternFill>
    </fill>
    <fill>
      <patternFill patternType="solid">
        <fgColor rgb="FF82D398"/>
        <bgColor indexed="64"/>
      </patternFill>
    </fill>
    <fill>
      <patternFill patternType="solid">
        <fgColor rgb="FF85D495"/>
        <bgColor indexed="64"/>
      </patternFill>
    </fill>
    <fill>
      <patternFill patternType="solid">
        <fgColor rgb="FF87D594"/>
        <bgColor indexed="64"/>
      </patternFill>
    </fill>
    <fill>
      <patternFill patternType="solid">
        <fgColor rgb="FF89D593"/>
        <bgColor indexed="64"/>
      </patternFill>
    </fill>
    <fill>
      <patternFill patternType="solid">
        <fgColor rgb="FF8BD592"/>
        <bgColor indexed="64"/>
      </patternFill>
    </fill>
    <fill>
      <patternFill patternType="solid">
        <fgColor rgb="FF93D88C"/>
        <bgColor indexed="64"/>
      </patternFill>
    </fill>
    <fill>
      <patternFill patternType="solid">
        <fgColor rgb="FF95D88B"/>
        <bgColor indexed="64"/>
      </patternFill>
    </fill>
    <fill>
      <patternFill patternType="solid">
        <fgColor rgb="FF97D989"/>
        <bgColor indexed="64"/>
      </patternFill>
    </fill>
    <fill>
      <patternFill patternType="solid">
        <fgColor rgb="FF99D988"/>
        <bgColor indexed="64"/>
      </patternFill>
    </fill>
    <fill>
      <patternFill patternType="solid">
        <fgColor rgb="FFA5DD80"/>
        <bgColor indexed="64"/>
      </patternFill>
    </fill>
    <fill>
      <patternFill patternType="solid">
        <fgColor rgb="FFACDE7C"/>
        <bgColor indexed="64"/>
      </patternFill>
    </fill>
    <fill>
      <patternFill patternType="solid">
        <fgColor rgb="FFBCE371"/>
        <bgColor indexed="64"/>
      </patternFill>
    </fill>
    <fill>
      <patternFill patternType="solid">
        <fgColor rgb="FFC0E46E"/>
        <bgColor indexed="64"/>
      </patternFill>
    </fill>
    <fill>
      <patternFill patternType="solid">
        <fgColor rgb="FFC4E56B"/>
        <bgColor indexed="64"/>
      </patternFill>
    </fill>
    <fill>
      <patternFill patternType="solid">
        <fgColor rgb="FFC7E669"/>
        <bgColor indexed="64"/>
      </patternFill>
    </fill>
    <fill>
      <patternFill patternType="solid">
        <fgColor rgb="FFC9E668"/>
        <bgColor indexed="64"/>
      </patternFill>
    </fill>
    <fill>
      <patternFill patternType="solid">
        <fgColor rgb="FFDDEC5A"/>
        <bgColor indexed="64"/>
      </patternFill>
    </fill>
    <fill>
      <patternFill patternType="solid">
        <fgColor rgb="FFF1F14C"/>
        <bgColor indexed="64"/>
      </patternFill>
    </fill>
    <fill>
      <patternFill patternType="solid">
        <fgColor rgb="FFFFF443"/>
        <bgColor indexed="64"/>
      </patternFill>
    </fill>
    <fill>
      <patternFill patternType="solid">
        <fgColor rgb="FF78D09F"/>
        <bgColor indexed="64"/>
      </patternFill>
    </fill>
    <fill>
      <patternFill patternType="solid">
        <fgColor rgb="FF4360BB"/>
        <bgColor indexed="64"/>
      </patternFill>
    </fill>
    <fill>
      <patternFill patternType="solid">
        <fgColor rgb="FF84D497"/>
        <bgColor indexed="64"/>
      </patternFill>
    </fill>
    <fill>
      <patternFill patternType="solid">
        <fgColor rgb="FF0A3D90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FF494D"/>
        <bgColor indexed="64"/>
      </patternFill>
    </fill>
    <fill>
      <patternFill patternType="solid">
        <fgColor rgb="FFAFDF79"/>
        <bgColor indexed="64"/>
      </patternFill>
    </fill>
    <fill>
      <patternFill patternType="solid">
        <fgColor rgb="FF34DCFE"/>
        <bgColor indexed="64"/>
      </patternFill>
    </fill>
    <fill>
      <patternFill patternType="solid">
        <fgColor rgb="FF58C8B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40B04"/>
        <bgColor indexed="64"/>
      </patternFill>
    </fill>
    <fill>
      <patternFill patternType="solid">
        <fgColor rgb="FFEFFFFF"/>
        <bgColor indexed="64"/>
      </patternFill>
    </fill>
    <fill>
      <patternFill patternType="solid">
        <fgColor rgb="FF5BC9B2"/>
        <bgColor indexed="64"/>
      </patternFill>
    </fill>
    <fill>
      <patternFill patternType="solid">
        <fgColor rgb="FF00004C"/>
        <bgColor indexed="64"/>
      </patternFill>
    </fill>
    <fill>
      <patternFill patternType="solid">
        <fgColor rgb="FF7ED29B"/>
        <bgColor indexed="64"/>
      </patternFill>
    </fill>
    <fill>
      <patternFill patternType="solid">
        <fgColor rgb="FFFFF5EB"/>
        <bgColor indexed="64"/>
      </patternFill>
    </fill>
    <fill>
      <patternFill patternType="solid">
        <fgColor rgb="FFEEF04F"/>
        <bgColor indexed="64"/>
      </patternFill>
    </fill>
    <fill>
      <patternFill patternType="solid">
        <fgColor rgb="FF5DC9B1"/>
        <bgColor indexed="64"/>
      </patternFill>
    </fill>
    <fill>
      <patternFill patternType="solid">
        <fgColor rgb="FF302012"/>
        <bgColor indexed="64"/>
      </patternFill>
    </fill>
    <fill>
      <patternFill patternType="solid">
        <fgColor rgb="FF83D397"/>
        <bgColor indexed="64"/>
      </patternFill>
    </fill>
    <fill>
      <patternFill patternType="solid">
        <fgColor rgb="FF534E7E"/>
        <bgColor indexed="64"/>
      </patternFill>
    </fill>
    <fill>
      <patternFill patternType="solid">
        <fgColor rgb="FF76D0A0"/>
        <bgColor indexed="64"/>
      </patternFill>
    </fill>
    <fill>
      <patternFill patternType="solid">
        <fgColor rgb="FFD9A601"/>
        <bgColor indexed="64"/>
      </patternFill>
    </fill>
    <fill>
      <patternFill patternType="solid">
        <fgColor rgb="FF00002E"/>
        <bgColor indexed="64"/>
      </patternFill>
    </fill>
    <fill>
      <patternFill patternType="solid">
        <fgColor rgb="FF30BDCF"/>
        <bgColor indexed="64"/>
      </patternFill>
    </fill>
    <fill>
      <patternFill patternType="solid">
        <fgColor rgb="FF8ED69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7CD29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0000"/>
        <bgColor indexed="64"/>
      </patternFill>
    </fill>
    <fill>
      <patternFill patternType="solid">
        <fgColor rgb="FF0F3F55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65CBAB"/>
        <bgColor indexed="64"/>
      </patternFill>
    </fill>
    <fill>
      <patternFill patternType="solid">
        <fgColor rgb="FF6BCDA7"/>
        <bgColor indexed="64"/>
      </patternFill>
    </fill>
    <fill>
      <patternFill patternType="solid">
        <fgColor rgb="FF74CFA2"/>
        <bgColor indexed="64"/>
      </patternFill>
    </fill>
    <fill>
      <patternFill patternType="solid">
        <fgColor rgb="FF80D399"/>
        <bgColor indexed="64"/>
      </patternFill>
    </fill>
    <fill>
      <patternFill patternType="solid">
        <fgColor rgb="FFCFA213"/>
        <bgColor indexed="64"/>
      </patternFill>
    </fill>
    <fill>
      <patternFill patternType="solid">
        <fgColor rgb="FF002E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23B32"/>
        <bgColor indexed="64"/>
      </patternFill>
    </fill>
    <fill>
      <patternFill patternType="solid">
        <fgColor rgb="FF53C7B7"/>
        <bgColor indexed="64"/>
      </patternFill>
    </fill>
    <fill>
      <patternFill patternType="solid">
        <fgColor rgb="FF64CBAC"/>
        <bgColor indexed="64"/>
      </patternFill>
    </fill>
    <fill>
      <patternFill patternType="solid">
        <fgColor rgb="FFD0CAC2"/>
        <bgColor indexed="64"/>
      </patternFill>
    </fill>
    <fill>
      <patternFill patternType="solid">
        <fgColor rgb="FF9FDB84"/>
        <bgColor indexed="64"/>
      </patternFill>
    </fill>
    <fill>
      <patternFill patternType="solid">
        <fgColor rgb="FF00102E"/>
        <bgColor indexed="64"/>
      </patternFill>
    </fill>
    <fill>
      <patternFill patternType="solid">
        <fgColor rgb="FFDCEDF8"/>
        <bgColor indexed="64"/>
      </patternFill>
    </fill>
    <fill>
      <patternFill patternType="solid">
        <fgColor rgb="FF7DD29B"/>
        <bgColor indexed="64"/>
      </patternFill>
    </fill>
    <fill>
      <patternFill patternType="solid">
        <fgColor rgb="FF2F2C29"/>
        <bgColor indexed="64"/>
      </patternFill>
    </fill>
    <fill>
      <patternFill patternType="solid">
        <fgColor rgb="FFA9323F"/>
        <bgColor indexed="64"/>
      </patternFill>
    </fill>
    <fill>
      <patternFill patternType="solid">
        <fgColor rgb="FF4CB33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A7DD7E"/>
        <bgColor indexed="64"/>
      </patternFill>
    </fill>
    <fill>
      <patternFill patternType="solid">
        <fgColor rgb="FFFCF445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47C3C0"/>
        <bgColor indexed="64"/>
      </patternFill>
    </fill>
    <fill>
      <patternFill patternType="solid">
        <fgColor rgb="FFF0307E"/>
        <bgColor indexed="64"/>
      </patternFill>
    </fill>
    <fill>
      <patternFill patternType="solid">
        <fgColor rgb="FFFEF2AC"/>
        <bgColor indexed="64"/>
      </patternFill>
    </fill>
    <fill>
      <patternFill patternType="solid">
        <fgColor rgb="FFFEF7CE"/>
        <bgColor indexed="64"/>
      </patternFill>
    </fill>
    <fill>
      <patternFill patternType="solid">
        <fgColor rgb="FF96D98A"/>
        <bgColor indexed="64"/>
      </patternFill>
    </fill>
    <fill>
      <patternFill patternType="solid">
        <fgColor rgb="FF402B15"/>
        <bgColor indexed="64"/>
      </patternFill>
    </fill>
    <fill>
      <patternFill patternType="solid">
        <fgColor rgb="FFC71434"/>
        <bgColor indexed="64"/>
      </patternFill>
    </fill>
    <fill>
      <patternFill patternType="solid">
        <fgColor rgb="FFAE123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2CFA3"/>
        <bgColor indexed="64"/>
      </patternFill>
    </fill>
    <fill>
      <patternFill patternType="solid">
        <fgColor rgb="FF2E90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F561C"/>
        <bgColor indexed="64"/>
      </patternFill>
    </fill>
    <fill>
      <patternFill patternType="solid">
        <fgColor rgb="FF32BECE"/>
        <bgColor indexed="64"/>
      </patternFill>
    </fill>
    <fill>
      <patternFill patternType="solid">
        <fgColor rgb="FF4FC5BA"/>
        <bgColor indexed="64"/>
      </patternFill>
    </fill>
    <fill>
      <patternFill patternType="solid">
        <fgColor rgb="FF52C6B8"/>
        <bgColor indexed="64"/>
      </patternFill>
    </fill>
    <fill>
      <patternFill patternType="solid">
        <fgColor rgb="FF49C4BE"/>
        <bgColor indexed="64"/>
      </patternFill>
    </fill>
    <fill>
      <patternFill patternType="solid">
        <fgColor rgb="FF02778C"/>
        <bgColor indexed="64"/>
      </patternFill>
    </fill>
    <fill>
      <patternFill patternType="solid">
        <fgColor rgb="FF58C8B4"/>
        <bgColor indexed="64"/>
      </patternFill>
    </fill>
    <fill>
      <patternFill patternType="solid">
        <fgColor rgb="FFE3A057"/>
        <bgColor indexed="64"/>
      </patternFill>
    </fill>
    <fill>
      <patternFill patternType="solid">
        <fgColor rgb="FF6D3611"/>
        <bgColor indexed="64"/>
      </patternFill>
    </fill>
    <fill>
      <patternFill patternType="solid">
        <fgColor rgb="FF3E1296"/>
        <bgColor indexed="64"/>
      </patternFill>
    </fill>
    <fill>
      <patternFill patternType="solid">
        <fgColor rgb="FFFD500B"/>
        <bgColor indexed="64"/>
      </patternFill>
    </fill>
    <fill>
      <patternFill patternType="solid">
        <fgColor rgb="FF000054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FCEA4"/>
        <bgColor indexed="64"/>
      </patternFill>
    </fill>
    <fill>
      <patternFill patternType="solid">
        <fgColor rgb="FF24BAD8"/>
        <bgColor indexed="64"/>
      </patternFill>
    </fill>
    <fill>
      <patternFill patternType="solid">
        <fgColor rgb="FF1BB7DE"/>
        <bgColor indexed="64"/>
      </patternFill>
    </fill>
    <fill>
      <patternFill patternType="solid">
        <fgColor rgb="FF9BDA87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FCDD"/>
        <bgColor indexed="64"/>
      </patternFill>
    </fill>
    <fill>
      <patternFill patternType="solid">
        <fgColor rgb="FF96D88B"/>
        <bgColor indexed="64"/>
      </patternFill>
    </fill>
    <fill>
      <patternFill patternType="solid">
        <fgColor rgb="FF5CC9B2"/>
        <bgColor indexed="64"/>
      </patternFill>
    </fill>
    <fill>
      <patternFill patternType="solid">
        <fgColor rgb="FF05B1ED"/>
        <bgColor indexed="64"/>
      </patternFill>
    </fill>
    <fill>
      <patternFill patternType="solid">
        <fgColor rgb="FFF9F7ED"/>
        <bgColor indexed="64"/>
      </patternFill>
    </fill>
    <fill>
      <patternFill patternType="solid">
        <fgColor rgb="FFC02500"/>
        <bgColor indexed="64"/>
      </patternFill>
    </fill>
    <fill>
      <patternFill patternType="solid">
        <fgColor rgb="FF98E0C6"/>
        <bgColor indexed="64"/>
      </patternFill>
    </fill>
    <fill>
      <patternFill patternType="solid">
        <fgColor rgb="FF379175"/>
        <bgColor indexed="64"/>
      </patternFill>
    </fill>
    <fill>
      <patternFill patternType="solid">
        <fgColor rgb="FF5A29A3"/>
        <bgColor indexed="64"/>
      </patternFill>
    </fill>
    <fill>
      <patternFill patternType="solid">
        <fgColor rgb="FF90D78E"/>
        <bgColor indexed="64"/>
      </patternFill>
    </fill>
    <fill>
      <patternFill patternType="solid">
        <fgColor rgb="FF9A8C36"/>
        <bgColor indexed="64"/>
      </patternFill>
    </fill>
    <fill>
      <patternFill patternType="solid">
        <fgColor rgb="FF365264"/>
        <bgColor indexed="64"/>
      </patternFill>
    </fill>
    <fill>
      <patternFill patternType="solid">
        <fgColor rgb="FFB8E273"/>
        <bgColor indexed="64"/>
      </patternFill>
    </fill>
    <fill>
      <patternFill patternType="solid">
        <fgColor rgb="FFFFFED6"/>
        <bgColor indexed="64"/>
      </patternFill>
    </fill>
    <fill>
      <patternFill patternType="solid">
        <fgColor rgb="FF954209"/>
        <bgColor indexed="64"/>
      </patternFill>
    </fill>
    <fill>
      <patternFill patternType="solid">
        <fgColor rgb="FFE30700"/>
        <bgColor indexed="64"/>
      </patternFill>
    </fill>
    <fill>
      <patternFill patternType="solid">
        <fgColor rgb="FF494068"/>
        <bgColor indexed="64"/>
      </patternFill>
    </fill>
    <fill>
      <patternFill patternType="solid">
        <fgColor rgb="FFB3E176"/>
        <bgColor indexed="64"/>
      </patternFill>
    </fill>
    <fill>
      <patternFill patternType="solid">
        <fgColor rgb="FF0D3124"/>
        <bgColor indexed="64"/>
      </patternFill>
    </fill>
    <fill>
      <patternFill patternType="solid">
        <fgColor rgb="FFEFECB7"/>
        <bgColor indexed="64"/>
      </patternFill>
    </fill>
    <fill>
      <patternFill patternType="solid">
        <fgColor rgb="FF7FD29A"/>
        <bgColor indexed="64"/>
      </patternFill>
    </fill>
    <fill>
      <patternFill patternType="solid">
        <fgColor rgb="FFF7F6D9"/>
        <bgColor indexed="64"/>
      </patternFill>
    </fill>
    <fill>
      <patternFill patternType="solid">
        <fgColor rgb="FF1C1769"/>
        <bgColor indexed="64"/>
      </patternFill>
    </fill>
    <fill>
      <patternFill patternType="solid">
        <fgColor rgb="FF81D398"/>
        <bgColor indexed="64"/>
      </patternFill>
    </fill>
    <fill>
      <patternFill patternType="solid">
        <fgColor rgb="FF31BDCF"/>
        <bgColor indexed="64"/>
      </patternFill>
    </fill>
    <fill>
      <patternFill patternType="solid">
        <fgColor rgb="FF02B0EF"/>
        <bgColor indexed="64"/>
      </patternFill>
    </fill>
    <fill>
      <patternFill patternType="solid">
        <fgColor rgb="FF6CCDA7"/>
        <bgColor indexed="64"/>
      </patternFill>
    </fill>
    <fill>
      <patternFill patternType="solid">
        <fgColor rgb="FF202F3C"/>
        <bgColor indexed="64"/>
      </patternFill>
    </fill>
    <fill>
      <patternFill patternType="solid">
        <fgColor rgb="FFE7D775"/>
        <bgColor indexed="64"/>
      </patternFill>
    </fill>
    <fill>
      <patternFill patternType="solid">
        <fgColor rgb="FF60DA6F"/>
        <bgColor indexed="64"/>
      </patternFill>
    </fill>
    <fill>
      <patternFill patternType="solid">
        <fgColor rgb="FF2C0058"/>
        <bgColor indexed="64"/>
      </patternFill>
    </fill>
    <fill>
      <patternFill patternType="solid">
        <fgColor rgb="FFFA9D06"/>
        <bgColor indexed="64"/>
      </patternFill>
    </fill>
    <fill>
      <patternFill patternType="solid">
        <fgColor rgb="FF98D989"/>
        <bgColor indexed="64"/>
      </patternFill>
    </fill>
    <fill>
      <patternFill patternType="solid">
        <fgColor rgb="FF1E548A"/>
        <bgColor indexed="64"/>
      </patternFill>
    </fill>
    <fill>
      <patternFill patternType="solid">
        <fgColor rgb="FF92D88D"/>
        <bgColor indexed="64"/>
      </patternFill>
    </fill>
    <fill>
      <patternFill patternType="solid">
        <fgColor rgb="FFABDE7C"/>
        <bgColor indexed="64"/>
      </patternFill>
    </fill>
    <fill>
      <patternFill patternType="solid">
        <fgColor rgb="FFAE6916"/>
        <bgColor indexed="64"/>
      </patternFill>
    </fill>
    <fill>
      <patternFill patternType="solid">
        <fgColor rgb="FFFA00C4"/>
        <bgColor indexed="64"/>
      </patternFill>
    </fill>
    <fill>
      <patternFill patternType="solid">
        <fgColor rgb="FF3D0000"/>
        <bgColor indexed="64"/>
      </patternFill>
    </fill>
    <fill>
      <patternFill patternType="solid">
        <fgColor rgb="FF5AC8B3"/>
        <bgColor indexed="64"/>
      </patternFill>
    </fill>
    <fill>
      <patternFill patternType="solid">
        <fgColor rgb="FFF6F4D6"/>
        <bgColor indexed="64"/>
      </patternFill>
    </fill>
    <fill>
      <patternFill patternType="solid">
        <fgColor rgb="FFF6FABC"/>
        <bgColor indexed="64"/>
      </patternFill>
    </fill>
    <fill>
      <patternFill patternType="solid">
        <fgColor rgb="FFE00247"/>
        <bgColor indexed="64"/>
      </patternFill>
    </fill>
    <fill>
      <patternFill patternType="solid">
        <fgColor rgb="FFFAF9EA"/>
        <bgColor indexed="64"/>
      </patternFill>
    </fill>
    <fill>
      <patternFill patternType="solid">
        <fgColor rgb="FFE292DA"/>
        <bgColor indexed="64"/>
      </patternFill>
    </fill>
    <fill>
      <patternFill patternType="solid">
        <fgColor rgb="FF30BDD0"/>
        <bgColor indexed="64"/>
      </patternFill>
    </fill>
    <fill>
      <patternFill patternType="solid">
        <fgColor rgb="FFADDF7A"/>
        <bgColor indexed="64"/>
      </patternFill>
    </fill>
    <fill>
      <patternFill patternType="solid">
        <fgColor rgb="FFA7DD7F"/>
        <bgColor indexed="64"/>
      </patternFill>
    </fill>
    <fill>
      <patternFill patternType="solid">
        <fgColor rgb="FF4E97F0"/>
        <bgColor indexed="64"/>
      </patternFill>
    </fill>
    <fill>
      <patternFill patternType="solid">
        <fgColor rgb="FF90D78F"/>
        <bgColor indexed="64"/>
      </patternFill>
    </fill>
    <fill>
      <patternFill patternType="solid">
        <fgColor rgb="FF0354BF"/>
        <bgColor indexed="64"/>
      </patternFill>
    </fill>
    <fill>
      <patternFill patternType="solid">
        <fgColor rgb="FF680000"/>
        <bgColor indexed="64"/>
      </patternFill>
    </fill>
    <fill>
      <patternFill patternType="solid">
        <fgColor rgb="FF626643"/>
        <bgColor indexed="64"/>
      </patternFill>
    </fill>
    <fill>
      <patternFill patternType="solid">
        <fgColor rgb="FF8BD69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A9DE7D"/>
        <bgColor indexed="64"/>
      </patternFill>
    </fill>
    <fill>
      <patternFill patternType="solid">
        <fgColor rgb="FFA88800"/>
        <bgColor indexed="64"/>
      </patternFill>
    </fill>
    <fill>
      <patternFill patternType="solid">
        <fgColor rgb="FF7A3308"/>
        <bgColor indexed="64"/>
      </patternFill>
    </fill>
    <fill>
      <patternFill patternType="solid">
        <fgColor rgb="FF39C7C0"/>
        <bgColor indexed="64"/>
      </patternFill>
    </fill>
    <fill>
      <patternFill patternType="solid">
        <fgColor rgb="FF12290D"/>
        <bgColor indexed="64"/>
      </patternFill>
    </fill>
    <fill>
      <patternFill patternType="solid">
        <fgColor rgb="FF88D594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76CAA"/>
        <bgColor indexed="64"/>
      </patternFill>
    </fill>
    <fill>
      <patternFill patternType="solid">
        <fgColor rgb="FFFFC197"/>
        <bgColor indexed="64"/>
      </patternFill>
    </fill>
    <fill>
      <patternFill patternType="solid">
        <fgColor rgb="FFC3A169"/>
        <bgColor indexed="64"/>
      </patternFill>
    </fill>
    <fill>
      <patternFill patternType="solid">
        <fgColor rgb="FF50C6BA"/>
        <bgColor indexed="64"/>
      </patternFill>
    </fill>
    <fill>
      <patternFill patternType="solid">
        <fgColor rgb="FFBBFF33"/>
        <bgColor indexed="64"/>
      </patternFill>
    </fill>
    <fill>
      <patternFill patternType="solid">
        <fgColor rgb="FF480000"/>
        <bgColor indexed="64"/>
      </patternFill>
    </fill>
    <fill>
      <patternFill patternType="solid">
        <fgColor rgb="FFA4DC81"/>
        <bgColor indexed="64"/>
      </patternFill>
    </fill>
    <fill>
      <patternFill patternType="solid">
        <fgColor rgb="FF0CB3E8"/>
        <bgColor indexed="64"/>
      </patternFill>
    </fill>
    <fill>
      <patternFill patternType="solid">
        <fgColor rgb="FF0068B2"/>
        <bgColor indexed="64"/>
      </patternFill>
    </fill>
    <fill>
      <patternFill patternType="solid">
        <fgColor rgb="FF529DE8"/>
        <bgColor indexed="64"/>
      </patternFill>
    </fill>
    <fill>
      <patternFill patternType="solid">
        <fgColor rgb="FFD5F1B3"/>
        <bgColor indexed="64"/>
      </patternFill>
    </fill>
    <fill>
      <patternFill patternType="solid">
        <fgColor rgb="FF85D496"/>
        <bgColor indexed="64"/>
      </patternFill>
    </fill>
    <fill>
      <patternFill patternType="solid">
        <fgColor rgb="FF1C5388"/>
        <bgColor indexed="64"/>
      </patternFill>
    </fill>
    <fill>
      <patternFill patternType="solid">
        <fgColor rgb="FF8CD691"/>
        <bgColor indexed="64"/>
      </patternFill>
    </fill>
    <fill>
      <patternFill patternType="solid">
        <fgColor rgb="FF0072B1"/>
        <bgColor indexed="64"/>
      </patternFill>
    </fill>
    <fill>
      <patternFill patternType="solid">
        <fgColor rgb="FFC1EAF8"/>
        <bgColor indexed="64"/>
      </patternFill>
    </fill>
    <fill>
      <patternFill patternType="solid">
        <fgColor rgb="FFD9F3F8"/>
        <bgColor indexed="64"/>
      </patternFill>
    </fill>
    <fill>
      <patternFill patternType="solid">
        <fgColor rgb="FFFFE8D0"/>
        <bgColor indexed="64"/>
      </patternFill>
    </fill>
    <fill>
      <patternFill patternType="solid">
        <fgColor rgb="FFB5E175"/>
        <bgColor indexed="64"/>
      </patternFill>
    </fill>
    <fill>
      <patternFill patternType="solid">
        <fgColor rgb="FF39BFC9"/>
        <bgColor indexed="64"/>
      </patternFill>
    </fill>
    <fill>
      <patternFill patternType="solid">
        <fgColor rgb="FF1B3132"/>
        <bgColor indexed="64"/>
      </patternFill>
    </fill>
    <fill>
      <patternFill patternType="solid">
        <fgColor rgb="FF223C0E"/>
        <bgColor indexed="64"/>
      </patternFill>
    </fill>
    <fill>
      <patternFill patternType="solid">
        <fgColor rgb="FFDA504A"/>
        <bgColor indexed="64"/>
      </patternFill>
    </fill>
    <fill>
      <patternFill patternType="solid">
        <fgColor rgb="FFE3D1AB"/>
        <bgColor indexed="64"/>
      </patternFill>
    </fill>
    <fill>
      <patternFill patternType="solid">
        <fgColor rgb="FFE3B7BB"/>
        <bgColor indexed="64"/>
      </patternFill>
    </fill>
    <fill>
      <patternFill patternType="solid">
        <fgColor rgb="FF41C1C4"/>
        <bgColor indexed="64"/>
      </patternFill>
    </fill>
    <fill>
      <patternFill patternType="solid">
        <fgColor rgb="FF4AC4BE"/>
        <bgColor indexed="64"/>
      </patternFill>
    </fill>
    <fill>
      <patternFill patternType="solid">
        <fgColor rgb="FF51C6B9"/>
        <bgColor indexed="64"/>
      </patternFill>
    </fill>
    <fill>
      <patternFill patternType="solid">
        <fgColor rgb="FFF59504"/>
        <bgColor indexed="64"/>
      </patternFill>
    </fill>
    <fill>
      <patternFill patternType="solid">
        <fgColor rgb="FF8FD78F"/>
        <bgColor indexed="64"/>
      </patternFill>
    </fill>
    <fill>
      <patternFill patternType="solid">
        <fgColor rgb="FF974EDF"/>
        <bgColor indexed="64"/>
      </patternFill>
    </fill>
    <fill>
      <patternFill patternType="solid">
        <fgColor rgb="FF56C7B6"/>
        <bgColor indexed="64"/>
      </patternFill>
    </fill>
    <fill>
      <patternFill patternType="solid">
        <fgColor rgb="FF3DC1C6"/>
        <bgColor indexed="64"/>
      </patternFill>
    </fill>
    <fill>
      <patternFill patternType="solid">
        <fgColor rgb="FF3B2B1C"/>
        <bgColor indexed="64"/>
      </patternFill>
    </fill>
    <fill>
      <patternFill patternType="solid">
        <fgColor rgb="FF0AB3E9"/>
        <bgColor indexed="64"/>
      </patternFill>
    </fill>
    <fill>
      <patternFill patternType="solid">
        <fgColor rgb="FF235D44"/>
        <bgColor indexed="64"/>
      </patternFill>
    </fill>
    <fill>
      <patternFill patternType="solid">
        <fgColor rgb="FFFDD922"/>
        <bgColor indexed="64"/>
      </patternFill>
    </fill>
    <fill>
      <patternFill patternType="solid">
        <fgColor rgb="FF6A4524"/>
        <bgColor indexed="64"/>
      </patternFill>
    </fill>
    <fill>
      <patternFill patternType="solid">
        <fgColor rgb="FF8F7719"/>
        <bgColor indexed="64"/>
      </patternFill>
    </fill>
    <fill>
      <patternFill patternType="solid">
        <fgColor rgb="FFD053B8"/>
        <bgColor indexed="64"/>
      </patternFill>
    </fill>
    <fill>
      <patternFill patternType="solid">
        <fgColor rgb="FFFF9649"/>
        <bgColor indexed="64"/>
      </patternFill>
    </fill>
    <fill>
      <patternFill patternType="solid">
        <fgColor rgb="FFFA780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899C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ADA88"/>
        <bgColor indexed="64"/>
      </patternFill>
    </fill>
    <fill>
      <patternFill patternType="solid">
        <fgColor rgb="FFBFDC39"/>
        <bgColor indexed="64"/>
      </patternFill>
    </fill>
    <fill>
      <patternFill patternType="solid">
        <fgColor rgb="FF953F34"/>
        <bgColor indexed="64"/>
      </patternFill>
    </fill>
    <fill>
      <patternFill patternType="solid">
        <fgColor rgb="FF7C98C2"/>
        <bgColor indexed="64"/>
      </patternFill>
    </fill>
    <fill>
      <patternFill patternType="solid">
        <fgColor rgb="FFECD369"/>
        <bgColor indexed="64"/>
      </patternFill>
    </fill>
    <fill>
      <patternFill patternType="solid">
        <fgColor rgb="FF3F382A"/>
        <bgColor indexed="64"/>
      </patternFill>
    </fill>
    <fill>
      <patternFill patternType="solid">
        <fgColor rgb="FFC0362E"/>
        <bgColor indexed="64"/>
      </patternFill>
    </fill>
    <fill>
      <patternFill patternType="solid">
        <fgColor rgb="FF14B5E3"/>
        <bgColor indexed="64"/>
      </patternFill>
    </fill>
    <fill>
      <patternFill patternType="solid">
        <fgColor rgb="FF83B6F5"/>
        <bgColor indexed="64"/>
      </patternFill>
    </fill>
    <fill>
      <patternFill patternType="solid">
        <fgColor rgb="FFE8ECEE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A0C0E"/>
        <bgColor indexed="64"/>
      </patternFill>
    </fill>
    <fill>
      <patternFill patternType="solid">
        <fgColor rgb="FFFFF343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101D28"/>
        <bgColor indexed="64"/>
      </patternFill>
    </fill>
    <fill>
      <patternFill patternType="solid">
        <fgColor rgb="FF1B1414"/>
        <bgColor indexed="64"/>
      </patternFill>
    </fill>
    <fill>
      <patternFill patternType="solid">
        <fgColor rgb="FFA2DC82"/>
        <bgColor indexed="64"/>
      </patternFill>
    </fill>
    <fill>
      <patternFill patternType="solid">
        <fgColor rgb="FFC8BA85"/>
        <bgColor indexed="64"/>
      </patternFill>
    </fill>
    <fill>
      <patternFill patternType="solid">
        <fgColor rgb="FF202B32"/>
        <bgColor indexed="64"/>
      </patternFill>
    </fill>
    <fill>
      <patternFill patternType="solid">
        <fgColor rgb="FFEEDFC0"/>
        <bgColor indexed="64"/>
      </patternFill>
    </fill>
    <fill>
      <patternFill patternType="solid">
        <fgColor rgb="FF503D87"/>
        <bgColor indexed="64"/>
      </patternFill>
    </fill>
    <fill>
      <patternFill patternType="solid">
        <fgColor rgb="FF231E44"/>
        <bgColor indexed="64"/>
      </patternFill>
    </fill>
    <fill>
      <patternFill patternType="solid">
        <fgColor rgb="FFBCCDCA"/>
        <bgColor indexed="64"/>
      </patternFill>
    </fill>
    <fill>
      <patternFill patternType="solid">
        <fgColor rgb="FF12446A"/>
        <bgColor indexed="64"/>
      </patternFill>
    </fill>
    <fill>
      <patternFill patternType="solid">
        <fgColor rgb="FFCFDDCF"/>
        <bgColor indexed="64"/>
      </patternFill>
    </fill>
    <fill>
      <patternFill patternType="solid">
        <fgColor rgb="FF69B1C8"/>
        <bgColor indexed="64"/>
      </patternFill>
    </fill>
    <fill>
      <patternFill patternType="solid">
        <fgColor rgb="FF13292E"/>
        <bgColor indexed="64"/>
      </patternFill>
    </fill>
    <fill>
      <patternFill patternType="solid">
        <fgColor rgb="FFA1A6A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204952"/>
        <bgColor indexed="64"/>
      </patternFill>
    </fill>
    <fill>
      <patternFill patternType="solid">
        <fgColor rgb="FF899988"/>
        <bgColor indexed="64"/>
      </patternFill>
    </fill>
    <fill>
      <patternFill patternType="solid">
        <fgColor rgb="FF8498A8"/>
        <bgColor indexed="64"/>
      </patternFill>
    </fill>
    <fill>
      <patternFill patternType="solid">
        <fgColor rgb="FF555632"/>
        <bgColor indexed="64"/>
      </patternFill>
    </fill>
    <fill>
      <patternFill patternType="solid">
        <fgColor rgb="FF9E9F9A"/>
        <bgColor indexed="64"/>
      </patternFill>
    </fill>
    <fill>
      <patternFill patternType="solid">
        <fgColor rgb="FFCFB268"/>
        <bgColor indexed="64"/>
      </patternFill>
    </fill>
    <fill>
      <patternFill patternType="solid">
        <fgColor rgb="FFA6DD80"/>
        <bgColor indexed="64"/>
      </patternFill>
    </fill>
    <fill>
      <patternFill patternType="solid">
        <fgColor rgb="FF54C7B7"/>
        <bgColor indexed="64"/>
      </patternFill>
    </fill>
    <fill>
      <patternFill patternType="solid">
        <fgColor rgb="FFBBE371"/>
        <bgColor indexed="64"/>
      </patternFill>
    </fill>
    <fill>
      <patternFill patternType="solid">
        <fgColor rgb="FF16192B"/>
        <bgColor indexed="64"/>
      </patternFill>
    </fill>
    <fill>
      <patternFill patternType="solid">
        <fgColor rgb="FF352714"/>
        <bgColor indexed="64"/>
      </patternFill>
    </fill>
    <fill>
      <patternFill patternType="solid">
        <fgColor rgb="FFF40041"/>
        <bgColor indexed="64"/>
      </patternFill>
    </fill>
    <fill>
      <patternFill patternType="solid">
        <fgColor rgb="FFA3DC81"/>
        <bgColor indexed="64"/>
      </patternFill>
    </fill>
    <fill>
      <patternFill patternType="solid">
        <fgColor rgb="FFFFCD1D"/>
        <bgColor indexed="64"/>
      </patternFill>
    </fill>
    <fill>
      <patternFill patternType="solid">
        <fgColor rgb="FFE30000"/>
        <bgColor indexed="64"/>
      </patternFill>
    </fill>
    <fill>
      <patternFill patternType="solid">
        <fgColor rgb="FF3A4649"/>
        <bgColor indexed="64"/>
      </patternFill>
    </fill>
    <fill>
      <patternFill patternType="solid">
        <fgColor rgb="FF24243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0">
    <xf numFmtId="0" fontId="0" fillId="0" borderId="0" xfId="0"/>
    <xf numFmtId="0" fontId="4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8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11" fillId="25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16" fillId="31" borderId="4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18" fillId="26" borderId="1" xfId="0" applyFont="1" applyFill="1" applyBorder="1" applyAlignment="1">
      <alignment vertical="center"/>
    </xf>
    <xf numFmtId="0" fontId="22" fillId="17" borderId="1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0" fontId="24" fillId="36" borderId="4" xfId="0" applyFont="1" applyFill="1" applyBorder="1" applyAlignment="1">
      <alignment vertical="center"/>
    </xf>
    <xf numFmtId="0" fontId="26" fillId="38" borderId="4" xfId="0" applyFont="1" applyFill="1" applyBorder="1" applyAlignment="1">
      <alignment vertical="center"/>
    </xf>
    <xf numFmtId="0" fontId="30" fillId="40" borderId="4" xfId="0" applyFont="1" applyFill="1" applyBorder="1" applyAlignment="1">
      <alignment vertical="center"/>
    </xf>
    <xf numFmtId="0" fontId="32" fillId="4" borderId="4" xfId="0" applyFont="1" applyFill="1" applyBorder="1" applyAlignment="1">
      <alignment vertical="center"/>
    </xf>
    <xf numFmtId="0" fontId="33" fillId="42" borderId="4" xfId="0" applyFont="1" applyFill="1" applyBorder="1" applyAlignment="1">
      <alignment vertical="center"/>
    </xf>
    <xf numFmtId="0" fontId="0" fillId="0" borderId="6" xfId="0" quotePrefix="1" applyBorder="1" applyAlignment="1">
      <alignment vertical="center"/>
    </xf>
    <xf numFmtId="0" fontId="35" fillId="4" borderId="0" xfId="0" applyFont="1" applyFill="1" applyAlignment="1">
      <alignment vertical="center"/>
    </xf>
    <xf numFmtId="0" fontId="0" fillId="2" borderId="4" xfId="0" applyFill="1" applyBorder="1" applyAlignment="1">
      <alignment vertical="center"/>
    </xf>
    <xf numFmtId="0" fontId="37" fillId="46" borderId="1" xfId="0" applyFont="1" applyFill="1" applyBorder="1" applyAlignment="1">
      <alignment vertical="center"/>
    </xf>
    <xf numFmtId="0" fontId="39" fillId="48" borderId="1" xfId="0" applyFont="1" applyFill="1" applyBorder="1" applyAlignment="1">
      <alignment vertical="center"/>
    </xf>
    <xf numFmtId="0" fontId="43" fillId="52" borderId="0" xfId="0" applyFont="1" applyFill="1" applyAlignment="1">
      <alignment vertical="center"/>
    </xf>
    <xf numFmtId="0" fontId="45" fillId="41" borderId="8" xfId="0" applyFont="1" applyFill="1" applyBorder="1" applyAlignment="1">
      <alignment vertical="center"/>
    </xf>
    <xf numFmtId="0" fontId="47" fillId="3" borderId="0" xfId="0" applyFont="1" applyFill="1" applyAlignment="1">
      <alignment vertical="center"/>
    </xf>
    <xf numFmtId="0" fontId="38" fillId="46" borderId="0" xfId="0" applyFont="1" applyFill="1" applyAlignment="1">
      <alignment vertical="center"/>
    </xf>
    <xf numFmtId="0" fontId="49" fillId="54" borderId="0" xfId="0" applyFont="1" applyFill="1" applyAlignment="1">
      <alignment vertical="center"/>
    </xf>
    <xf numFmtId="0" fontId="51" fillId="53" borderId="8" xfId="0" applyFont="1" applyFill="1" applyBorder="1" applyAlignment="1">
      <alignment vertical="center"/>
    </xf>
    <xf numFmtId="0" fontId="53" fillId="51" borderId="0" xfId="0" applyFont="1" applyFill="1" applyAlignment="1">
      <alignment vertical="center"/>
    </xf>
    <xf numFmtId="0" fontId="55" fillId="49" borderId="4" xfId="0" applyFont="1" applyFill="1" applyBorder="1" applyAlignment="1">
      <alignment vertical="center"/>
    </xf>
    <xf numFmtId="0" fontId="37" fillId="47" borderId="4" xfId="0" applyFont="1" applyFill="1" applyBorder="1" applyAlignment="1">
      <alignment vertical="center"/>
    </xf>
    <xf numFmtId="0" fontId="57" fillId="45" borderId="4" xfId="0" applyFont="1" applyFill="1" applyBorder="1" applyAlignment="1">
      <alignment vertical="center"/>
    </xf>
    <xf numFmtId="0" fontId="59" fillId="4" borderId="4" xfId="0" applyFont="1" applyFill="1" applyBorder="1" applyAlignment="1">
      <alignment vertical="center"/>
    </xf>
    <xf numFmtId="0" fontId="61" fillId="44" borderId="1" xfId="0" applyFont="1" applyFill="1" applyBorder="1" applyAlignment="1">
      <alignment vertical="center"/>
    </xf>
    <xf numFmtId="0" fontId="63" fillId="43" borderId="1" xfId="0" applyFont="1" applyFill="1" applyBorder="1" applyAlignment="1">
      <alignment vertical="center"/>
    </xf>
    <xf numFmtId="0" fontId="65" fillId="41" borderId="1" xfId="0" applyFont="1" applyFill="1" applyBorder="1" applyAlignment="1">
      <alignment vertical="center"/>
    </xf>
    <xf numFmtId="0" fontId="67" fillId="37" borderId="4" xfId="0" applyFont="1" applyFill="1" applyBorder="1" applyAlignment="1">
      <alignment vertical="center"/>
    </xf>
    <xf numFmtId="0" fontId="69" fillId="27" borderId="4" xfId="0" applyFont="1" applyFill="1" applyBorder="1" applyAlignment="1">
      <alignment vertical="center"/>
    </xf>
    <xf numFmtId="0" fontId="71" fillId="15" borderId="4" xfId="0" applyFont="1" applyFill="1" applyBorder="1" applyAlignment="1">
      <alignment vertical="center"/>
    </xf>
    <xf numFmtId="0" fontId="37" fillId="15" borderId="4" xfId="0" applyFont="1" applyFill="1" applyBorder="1" applyAlignment="1">
      <alignment vertical="center"/>
    </xf>
    <xf numFmtId="0" fontId="63" fillId="24" borderId="4" xfId="0" applyFont="1" applyFill="1" applyBorder="1" applyAlignment="1">
      <alignment vertical="center"/>
    </xf>
    <xf numFmtId="0" fontId="73" fillId="23" borderId="1" xfId="0" applyFont="1" applyFill="1" applyBorder="1" applyAlignment="1">
      <alignment vertical="center"/>
    </xf>
    <xf numFmtId="0" fontId="39" fillId="13" borderId="4" xfId="0" applyFont="1" applyFill="1" applyBorder="1" applyAlignment="1">
      <alignment vertical="center"/>
    </xf>
    <xf numFmtId="0" fontId="75" fillId="9" borderId="4" xfId="0" applyFont="1" applyFill="1" applyBorder="1" applyAlignment="1">
      <alignment vertical="center"/>
    </xf>
    <xf numFmtId="0" fontId="77" fillId="15" borderId="4" xfId="0" applyFont="1" applyFill="1" applyBorder="1" applyAlignment="1">
      <alignment vertical="center"/>
    </xf>
    <xf numFmtId="0" fontId="79" fillId="8" borderId="1" xfId="0" applyFont="1" applyFill="1" applyBorder="1" applyAlignment="1">
      <alignment vertical="center"/>
    </xf>
    <xf numFmtId="0" fontId="81" fillId="19" borderId="1" xfId="0" applyFont="1" applyFill="1" applyBorder="1" applyAlignment="1">
      <alignment vertical="center"/>
    </xf>
    <xf numFmtId="0" fontId="83" fillId="20" borderId="1" xfId="0" applyFont="1" applyFill="1" applyBorder="1" applyAlignment="1">
      <alignment vertical="center"/>
    </xf>
    <xf numFmtId="0" fontId="85" fillId="10" borderId="1" xfId="0" applyFont="1" applyFill="1" applyBorder="1" applyAlignment="1">
      <alignment vertical="center"/>
    </xf>
    <xf numFmtId="0" fontId="59" fillId="4" borderId="1" xfId="0" applyFont="1" applyFill="1" applyBorder="1" applyAlignment="1">
      <alignment vertical="center"/>
    </xf>
    <xf numFmtId="0" fontId="87" fillId="16" borderId="1" xfId="0" applyFont="1" applyFill="1" applyBorder="1" applyAlignment="1">
      <alignment vertical="center"/>
    </xf>
    <xf numFmtId="0" fontId="85" fillId="12" borderId="1" xfId="0" applyFont="1" applyFill="1" applyBorder="1" applyAlignment="1">
      <alignment vertical="center"/>
    </xf>
    <xf numFmtId="0" fontId="89" fillId="6" borderId="1" xfId="0" applyFont="1" applyFill="1" applyBorder="1" applyAlignment="1">
      <alignment vertical="center"/>
    </xf>
    <xf numFmtId="0" fontId="79" fillId="14" borderId="1" xfId="0" applyFont="1" applyFill="1" applyBorder="1" applyAlignment="1">
      <alignment vertical="center"/>
    </xf>
    <xf numFmtId="0" fontId="91" fillId="3" borderId="1" xfId="0" applyFont="1" applyFill="1" applyBorder="1" applyAlignment="1">
      <alignment vertical="center"/>
    </xf>
    <xf numFmtId="0" fontId="93" fillId="15" borderId="4" xfId="0" applyFont="1" applyFill="1" applyBorder="1" applyAlignment="1">
      <alignment vertical="center"/>
    </xf>
    <xf numFmtId="0" fontId="95" fillId="22" borderId="4" xfId="0" applyFont="1" applyFill="1" applyBorder="1" applyAlignment="1">
      <alignment vertical="center"/>
    </xf>
    <xf numFmtId="0" fontId="97" fillId="40" borderId="4" xfId="0" applyFont="1" applyFill="1" applyBorder="1" applyAlignment="1">
      <alignment vertical="center"/>
    </xf>
    <xf numFmtId="0" fontId="99" fillId="55" borderId="0" xfId="0" applyFont="1" applyFill="1" applyAlignment="1">
      <alignment vertical="center"/>
    </xf>
    <xf numFmtId="0" fontId="101" fillId="56" borderId="0" xfId="0" applyFont="1" applyFill="1" applyAlignment="1">
      <alignment vertical="center"/>
    </xf>
    <xf numFmtId="0" fontId="64" fillId="57" borderId="0" xfId="0" applyFont="1" applyFill="1" applyAlignment="1">
      <alignment vertical="center"/>
    </xf>
    <xf numFmtId="0" fontId="51" fillId="13" borderId="0" xfId="0" applyFont="1" applyFill="1" applyAlignment="1">
      <alignment vertical="center"/>
    </xf>
    <xf numFmtId="0" fontId="105" fillId="58" borderId="0" xfId="0" applyFont="1" applyFill="1" applyAlignment="1">
      <alignment vertical="center"/>
    </xf>
    <xf numFmtId="0" fontId="0" fillId="0" borderId="13" xfId="0" applyBorder="1" applyAlignment="1">
      <alignment vertical="center"/>
    </xf>
    <xf numFmtId="0" fontId="107" fillId="0" borderId="0" xfId="0" applyFont="1" applyAlignment="1">
      <alignment vertical="center"/>
    </xf>
    <xf numFmtId="0" fontId="109" fillId="52" borderId="8" xfId="0" applyFont="1" applyFill="1" applyBorder="1" applyAlignment="1">
      <alignment vertical="center"/>
    </xf>
    <xf numFmtId="0" fontId="41" fillId="15" borderId="4" xfId="0" applyFont="1" applyFill="1" applyBorder="1" applyAlignment="1">
      <alignment vertical="center"/>
    </xf>
    <xf numFmtId="0" fontId="48" fillId="15" borderId="4" xfId="0" applyFont="1" applyFill="1" applyBorder="1" applyAlignment="1">
      <alignment vertical="center"/>
    </xf>
    <xf numFmtId="0" fontId="111" fillId="32" borderId="4" xfId="0" applyFont="1" applyFill="1" applyBorder="1" applyAlignment="1">
      <alignment vertical="center"/>
    </xf>
    <xf numFmtId="0" fontId="113" fillId="4" borderId="0" xfId="0" applyFont="1" applyFill="1" applyAlignment="1">
      <alignment vertical="center"/>
    </xf>
    <xf numFmtId="0" fontId="51" fillId="62" borderId="0" xfId="0" applyFont="1" applyFill="1" applyAlignment="1">
      <alignment vertical="center"/>
    </xf>
    <xf numFmtId="0" fontId="117" fillId="65" borderId="0" xfId="0" applyFont="1" applyFill="1" applyAlignment="1">
      <alignment vertical="center"/>
    </xf>
    <xf numFmtId="0" fontId="119" fillId="67" borderId="0" xfId="0" applyFont="1" applyFill="1" applyAlignment="1">
      <alignment vertical="center"/>
    </xf>
    <xf numFmtId="0" fontId="13" fillId="0" borderId="1" xfId="0" applyFont="1" applyBorder="1" applyAlignment="1">
      <alignment vertical="center"/>
    </xf>
    <xf numFmtId="0" fontId="41" fillId="5" borderId="1" xfId="0" applyFont="1" applyFill="1" applyBorder="1" applyAlignment="1">
      <alignment vertical="center"/>
    </xf>
    <xf numFmtId="0" fontId="123" fillId="7" borderId="1" xfId="0" applyFont="1" applyFill="1" applyBorder="1" applyAlignment="1">
      <alignment vertical="center"/>
    </xf>
    <xf numFmtId="0" fontId="125" fillId="70" borderId="0" xfId="0" applyFont="1" applyFill="1" applyAlignment="1">
      <alignment vertical="center"/>
    </xf>
    <xf numFmtId="0" fontId="121" fillId="71" borderId="0" xfId="0" applyFont="1" applyFill="1" applyAlignment="1">
      <alignment vertical="center"/>
    </xf>
    <xf numFmtId="0" fontId="88" fillId="74" borderId="0" xfId="0" applyFont="1" applyFill="1" applyAlignment="1">
      <alignment vertical="center"/>
    </xf>
    <xf numFmtId="0" fontId="129" fillId="75" borderId="0" xfId="0" applyFont="1" applyFill="1" applyAlignment="1">
      <alignment vertical="center"/>
    </xf>
    <xf numFmtId="0" fontId="42" fillId="76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133" fillId="78" borderId="0" xfId="0" applyFont="1" applyFill="1" applyAlignment="1">
      <alignment vertical="center"/>
    </xf>
    <xf numFmtId="0" fontId="135" fillId="79" borderId="1" xfId="0" applyFont="1" applyFill="1" applyBorder="1" applyAlignment="1">
      <alignment vertical="center"/>
    </xf>
    <xf numFmtId="0" fontId="137" fillId="0" borderId="0" xfId="0" applyFont="1" applyAlignment="1">
      <alignment vertical="center"/>
    </xf>
    <xf numFmtId="0" fontId="139" fillId="77" borderId="0" xfId="0" applyFont="1" applyFill="1" applyAlignment="1">
      <alignment vertical="center"/>
    </xf>
    <xf numFmtId="0" fontId="143" fillId="40" borderId="0" xfId="0" applyFont="1" applyFill="1" applyAlignment="1">
      <alignment vertical="center"/>
    </xf>
    <xf numFmtId="0" fontId="51" fillId="84" borderId="0" xfId="0" applyFont="1" applyFill="1" applyAlignment="1">
      <alignment vertical="center"/>
    </xf>
    <xf numFmtId="0" fontId="31" fillId="83" borderId="0" xfId="0" applyFont="1" applyFill="1" applyAlignment="1">
      <alignment vertical="center"/>
    </xf>
    <xf numFmtId="0" fontId="141" fillId="80" borderId="0" xfId="0" applyFont="1" applyFill="1" applyAlignment="1">
      <alignment vertical="center"/>
    </xf>
    <xf numFmtId="0" fontId="145" fillId="81" borderId="2" xfId="0" applyFont="1" applyFill="1" applyBorder="1" applyAlignment="1">
      <alignment vertical="center"/>
    </xf>
    <xf numFmtId="0" fontId="149" fillId="85" borderId="4" xfId="0" applyFont="1" applyFill="1" applyBorder="1" applyAlignment="1">
      <alignment vertical="center"/>
    </xf>
    <xf numFmtId="0" fontId="90" fillId="86" borderId="0" xfId="0" applyFont="1" applyFill="1" applyAlignment="1">
      <alignment vertical="center"/>
    </xf>
    <xf numFmtId="0" fontId="135" fillId="0" borderId="0" xfId="0" applyFont="1" applyAlignment="1">
      <alignment vertical="center"/>
    </xf>
    <xf numFmtId="0" fontId="51" fillId="62" borderId="1" xfId="0" applyFont="1" applyFill="1" applyBorder="1" applyAlignment="1">
      <alignment vertical="center"/>
    </xf>
    <xf numFmtId="0" fontId="151" fillId="87" borderId="1" xfId="0" applyFont="1" applyFill="1" applyBorder="1" applyAlignment="1">
      <alignment vertical="center"/>
    </xf>
    <xf numFmtId="0" fontId="152" fillId="68" borderId="0" xfId="0" applyFont="1" applyFill="1" applyAlignment="1">
      <alignment vertical="center"/>
    </xf>
    <xf numFmtId="0" fontId="154" fillId="89" borderId="4" xfId="0" applyFont="1" applyFill="1" applyBorder="1" applyAlignment="1">
      <alignment vertical="center"/>
    </xf>
    <xf numFmtId="0" fontId="151" fillId="90" borderId="1" xfId="0" applyFont="1" applyFill="1" applyBorder="1" applyAlignment="1">
      <alignment vertical="center"/>
    </xf>
    <xf numFmtId="0" fontId="156" fillId="106" borderId="1" xfId="0" applyFont="1" applyFill="1" applyBorder="1" applyAlignment="1">
      <alignment vertical="center"/>
    </xf>
    <xf numFmtId="0" fontId="158" fillId="107" borderId="4" xfId="0" applyFont="1" applyFill="1" applyBorder="1" applyAlignment="1">
      <alignment vertical="center"/>
    </xf>
    <xf numFmtId="0" fontId="160" fillId="4" borderId="4" xfId="0" applyFont="1" applyFill="1" applyBorder="1" applyAlignment="1">
      <alignment vertical="center"/>
    </xf>
    <xf numFmtId="0" fontId="151" fillId="108" borderId="1" xfId="0" applyFont="1" applyFill="1" applyBorder="1" applyAlignment="1">
      <alignment vertical="center"/>
    </xf>
    <xf numFmtId="0" fontId="162" fillId="109" borderId="1" xfId="0" applyFont="1" applyFill="1" applyBorder="1" applyAlignment="1">
      <alignment vertical="center"/>
    </xf>
    <xf numFmtId="0" fontId="164" fillId="4" borderId="1" xfId="0" applyFont="1" applyFill="1" applyBorder="1" applyAlignment="1">
      <alignment vertical="center"/>
    </xf>
    <xf numFmtId="0" fontId="51" fillId="112" borderId="4" xfId="0" applyFont="1" applyFill="1" applyBorder="1" applyAlignment="1">
      <alignment vertical="center"/>
    </xf>
    <xf numFmtId="0" fontId="166" fillId="40" borderId="1" xfId="0" applyFont="1" applyFill="1" applyBorder="1" applyAlignment="1">
      <alignment vertical="center"/>
    </xf>
    <xf numFmtId="0" fontId="168" fillId="113" borderId="1" xfId="0" applyFont="1" applyFill="1" applyBorder="1" applyAlignment="1">
      <alignment vertical="center"/>
    </xf>
    <xf numFmtId="0" fontId="96" fillId="83" borderId="1" xfId="0" applyFont="1" applyFill="1" applyBorder="1" applyAlignment="1">
      <alignment vertical="center"/>
    </xf>
    <xf numFmtId="0" fontId="170" fillId="156" borderId="1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72" fillId="159" borderId="1" xfId="0" applyFont="1" applyFill="1" applyBorder="1" applyAlignment="1">
      <alignment vertical="center"/>
    </xf>
    <xf numFmtId="0" fontId="174" fillId="0" borderId="1" xfId="0" applyFont="1" applyBorder="1" applyAlignment="1">
      <alignment vertical="center"/>
    </xf>
    <xf numFmtId="0" fontId="176" fillId="3" borderId="1" xfId="0" applyFont="1" applyFill="1" applyBorder="1" applyAlignment="1">
      <alignment vertical="center"/>
    </xf>
    <xf numFmtId="0" fontId="0" fillId="50" borderId="0" xfId="0" applyFill="1" applyAlignment="1">
      <alignment vertical="center"/>
    </xf>
    <xf numFmtId="0" fontId="51" fillId="158" borderId="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31" fillId="37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147" fillId="0" borderId="4" xfId="0" applyFont="1" applyBorder="1" applyAlignment="1">
      <alignment vertical="center"/>
    </xf>
    <xf numFmtId="0" fontId="21" fillId="88" borderId="1" xfId="0" applyFon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178" fillId="162" borderId="1" xfId="0" applyFont="1" applyFill="1" applyBorder="1" applyAlignment="1">
      <alignment vertical="center"/>
    </xf>
    <xf numFmtId="0" fontId="180" fillId="164" borderId="1" xfId="0" applyFont="1" applyFill="1" applyBorder="1" applyAlignment="1">
      <alignment vertical="center"/>
    </xf>
    <xf numFmtId="0" fontId="182" fillId="165" borderId="1" xfId="0" applyFont="1" applyFill="1" applyBorder="1" applyAlignment="1">
      <alignment vertical="center"/>
    </xf>
    <xf numFmtId="0" fontId="184" fillId="166" borderId="1" xfId="0" applyFont="1" applyFill="1" applyBorder="1" applyAlignment="1">
      <alignment vertical="center"/>
    </xf>
    <xf numFmtId="0" fontId="186" fillId="168" borderId="1" xfId="0" applyFont="1" applyFill="1" applyBorder="1" applyAlignment="1">
      <alignment vertical="center"/>
    </xf>
    <xf numFmtId="0" fontId="188" fillId="170" borderId="1" xfId="0" applyFont="1" applyFill="1" applyBorder="1" applyAlignment="1">
      <alignment vertical="center"/>
    </xf>
    <xf numFmtId="0" fontId="101" fillId="113" borderId="1" xfId="0" applyFont="1" applyFill="1" applyBorder="1" applyAlignment="1">
      <alignment vertical="center"/>
    </xf>
    <xf numFmtId="0" fontId="190" fillId="173" borderId="1" xfId="0" applyFont="1" applyFill="1" applyBorder="1" applyAlignment="1">
      <alignment vertical="center"/>
    </xf>
    <xf numFmtId="0" fontId="193" fillId="175" borderId="1" xfId="0" applyFont="1" applyFill="1" applyBorder="1" applyAlignment="1">
      <alignment vertical="center"/>
    </xf>
    <xf numFmtId="0" fontId="195" fillId="178" borderId="1" xfId="0" applyFont="1" applyFill="1" applyBorder="1" applyAlignment="1">
      <alignment vertical="center"/>
    </xf>
    <xf numFmtId="0" fontId="168" fillId="0" borderId="1" xfId="0" applyFont="1" applyBorder="1" applyAlignment="1">
      <alignment vertical="center"/>
    </xf>
    <xf numFmtId="0" fontId="197" fillId="27" borderId="4" xfId="0" applyFont="1" applyFill="1" applyBorder="1" applyAlignment="1">
      <alignment vertical="center"/>
    </xf>
    <xf numFmtId="0" fontId="199" fillId="4" borderId="1" xfId="0" applyFont="1" applyFill="1" applyBorder="1" applyAlignment="1">
      <alignment vertical="center"/>
    </xf>
    <xf numFmtId="0" fontId="201" fillId="20" borderId="1" xfId="0" applyFont="1" applyFill="1" applyBorder="1" applyAlignment="1">
      <alignment vertical="center"/>
    </xf>
    <xf numFmtId="0" fontId="42" fillId="181" borderId="1" xfId="0" applyFont="1" applyFill="1" applyBorder="1" applyAlignment="1">
      <alignment vertical="center"/>
    </xf>
    <xf numFmtId="0" fontId="203" fillId="183" borderId="1" xfId="0" applyFont="1" applyFill="1" applyBorder="1" applyAlignment="1">
      <alignment vertical="center"/>
    </xf>
    <xf numFmtId="0" fontId="51" fillId="184" borderId="1" xfId="0" applyFont="1" applyFill="1" applyBorder="1" applyAlignment="1">
      <alignment vertical="center"/>
    </xf>
    <xf numFmtId="0" fontId="62" fillId="185" borderId="1" xfId="0" applyFont="1" applyFill="1" applyBorder="1" applyAlignment="1">
      <alignment vertical="center"/>
    </xf>
    <xf numFmtId="0" fontId="205" fillId="4" borderId="1" xfId="0" applyFont="1" applyFill="1" applyBorder="1" applyAlignment="1">
      <alignment vertical="center"/>
    </xf>
    <xf numFmtId="0" fontId="41" fillId="186" borderId="4" xfId="0" applyFont="1" applyFill="1" applyBorder="1" applyAlignment="1">
      <alignment vertical="center"/>
    </xf>
    <xf numFmtId="0" fontId="207" fillId="187" borderId="1" xfId="0" applyFont="1" applyFill="1" applyBorder="1" applyAlignment="1">
      <alignment vertical="center"/>
    </xf>
    <xf numFmtId="0" fontId="209" fillId="15" borderId="1" xfId="0" applyFont="1" applyFill="1" applyBorder="1" applyAlignment="1">
      <alignment vertical="center"/>
    </xf>
    <xf numFmtId="0" fontId="211" fillId="192" borderId="1" xfId="0" applyFont="1" applyFill="1" applyBorder="1" applyAlignment="1">
      <alignment vertical="center"/>
    </xf>
    <xf numFmtId="0" fontId="213" fillId="193" borderId="1" xfId="0" applyFont="1" applyFill="1" applyBorder="1" applyAlignment="1">
      <alignment vertical="center"/>
    </xf>
    <xf numFmtId="0" fontId="215" fillId="194" borderId="1" xfId="0" applyFont="1" applyFill="1" applyBorder="1" applyAlignment="1">
      <alignment vertical="center"/>
    </xf>
    <xf numFmtId="0" fontId="217" fillId="0" borderId="2" xfId="0" applyFont="1" applyBorder="1" applyAlignment="1">
      <alignment vertical="center"/>
    </xf>
    <xf numFmtId="0" fontId="218" fillId="195" borderId="1" xfId="0" applyFont="1" applyFill="1" applyBorder="1" applyAlignment="1">
      <alignment vertical="center"/>
    </xf>
    <xf numFmtId="0" fontId="124" fillId="194" borderId="1" xfId="0" applyFont="1" applyFill="1" applyBorder="1" applyAlignment="1">
      <alignment vertical="center"/>
    </xf>
    <xf numFmtId="0" fontId="42" fillId="198" borderId="1" xfId="0" applyFont="1" applyFill="1" applyBorder="1" applyAlignment="1">
      <alignment vertical="center"/>
    </xf>
    <xf numFmtId="0" fontId="220" fillId="67" borderId="1" xfId="0" applyFont="1" applyFill="1" applyBorder="1" applyAlignment="1">
      <alignment vertical="center"/>
    </xf>
    <xf numFmtId="0" fontId="222" fillId="200" borderId="1" xfId="0" applyFont="1" applyFill="1" applyBorder="1" applyAlignment="1">
      <alignment vertical="center"/>
    </xf>
    <xf numFmtId="0" fontId="225" fillId="201" borderId="1" xfId="0" applyFont="1" applyFill="1" applyBorder="1" applyAlignment="1">
      <alignment vertical="center"/>
    </xf>
    <xf numFmtId="0" fontId="227" fillId="203" borderId="1" xfId="0" applyFont="1" applyFill="1" applyBorder="1" applyAlignment="1">
      <alignment vertical="center"/>
    </xf>
    <xf numFmtId="0" fontId="229" fillId="204" borderId="1" xfId="0" applyFont="1" applyFill="1" applyBorder="1" applyAlignment="1">
      <alignment vertical="center"/>
    </xf>
    <xf numFmtId="0" fontId="231" fillId="205" borderId="1" xfId="0" applyFont="1" applyFill="1" applyBorder="1" applyAlignment="1">
      <alignment vertical="center"/>
    </xf>
    <xf numFmtId="0" fontId="215" fillId="206" borderId="4" xfId="0" applyFont="1" applyFill="1" applyBorder="1" applyAlignment="1">
      <alignment vertical="center"/>
    </xf>
    <xf numFmtId="0" fontId="51" fillId="4" borderId="1" xfId="0" applyFont="1" applyFill="1" applyBorder="1" applyAlignment="1">
      <alignment vertical="center"/>
    </xf>
    <xf numFmtId="0" fontId="233" fillId="194" borderId="1" xfId="0" applyFont="1" applyFill="1" applyBorder="1" applyAlignment="1">
      <alignment vertical="center"/>
    </xf>
    <xf numFmtId="0" fontId="235" fillId="209" borderId="1" xfId="0" applyFont="1" applyFill="1" applyBorder="1" applyAlignment="1">
      <alignment vertical="center"/>
    </xf>
    <xf numFmtId="0" fontId="237" fillId="37" borderId="1" xfId="0" applyFont="1" applyFill="1" applyBorder="1" applyAlignment="1">
      <alignment vertical="center"/>
    </xf>
    <xf numFmtId="0" fontId="51" fillId="211" borderId="1" xfId="0" applyFont="1" applyFill="1" applyBorder="1" applyAlignment="1">
      <alignment vertical="center"/>
    </xf>
    <xf numFmtId="0" fontId="241" fillId="212" borderId="1" xfId="0" applyFont="1" applyFill="1" applyBorder="1" applyAlignment="1">
      <alignment vertical="center"/>
    </xf>
    <xf numFmtId="0" fontId="243" fillId="213" borderId="1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47" fillId="0" borderId="1" xfId="0" applyFont="1" applyBorder="1" applyAlignment="1">
      <alignment vertical="center"/>
    </xf>
    <xf numFmtId="0" fontId="103" fillId="215" borderId="0" xfId="0" applyFont="1" applyFill="1" applyAlignment="1">
      <alignment vertical="center"/>
    </xf>
    <xf numFmtId="0" fontId="245" fillId="37" borderId="1" xfId="0" applyFont="1" applyFill="1" applyBorder="1" applyAlignment="1">
      <alignment vertical="center"/>
    </xf>
    <xf numFmtId="0" fontId="249" fillId="216" borderId="1" xfId="0" applyFont="1" applyFill="1" applyBorder="1" applyAlignment="1">
      <alignment vertical="center"/>
    </xf>
    <xf numFmtId="0" fontId="239" fillId="4" borderId="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24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51" fillId="217" borderId="5" xfId="0" applyFont="1" applyFill="1" applyBorder="1" applyAlignment="1">
      <alignment vertical="center"/>
    </xf>
    <xf numFmtId="0" fontId="253" fillId="218" borderId="1" xfId="0" applyFont="1" applyFill="1" applyBorder="1" applyAlignment="1">
      <alignment vertical="center"/>
    </xf>
    <xf numFmtId="0" fontId="51" fillId="220" borderId="8" xfId="0" applyFont="1" applyFill="1" applyBorder="1" applyAlignment="1">
      <alignment vertical="center"/>
    </xf>
    <xf numFmtId="0" fontId="255" fillId="221" borderId="1" xfId="0" applyFont="1" applyFill="1" applyBorder="1" applyAlignment="1">
      <alignment vertical="center"/>
    </xf>
    <xf numFmtId="0" fontId="257" fillId="222" borderId="1" xfId="0" applyFont="1" applyFill="1" applyBorder="1" applyAlignment="1">
      <alignment vertical="center"/>
    </xf>
    <xf numFmtId="0" fontId="147" fillId="194" borderId="1" xfId="0" applyFont="1" applyFill="1" applyBorder="1" applyAlignment="1">
      <alignment vertical="center"/>
    </xf>
    <xf numFmtId="0" fontId="259" fillId="4" borderId="1" xfId="0" applyFont="1" applyFill="1" applyBorder="1" applyAlignment="1">
      <alignment vertical="center"/>
    </xf>
    <xf numFmtId="0" fontId="261" fillId="223" borderId="1" xfId="0" applyFont="1" applyFill="1" applyBorder="1" applyAlignment="1">
      <alignment vertical="center"/>
    </xf>
    <xf numFmtId="0" fontId="88" fillId="228" borderId="1" xfId="0" applyFont="1" applyFill="1" applyBorder="1" applyAlignment="1">
      <alignment vertical="center"/>
    </xf>
    <xf numFmtId="0" fontId="263" fillId="4" borderId="1" xfId="0" applyFont="1" applyFill="1" applyBorder="1" applyAlignment="1">
      <alignment vertical="center"/>
    </xf>
    <xf numFmtId="0" fontId="209" fillId="230" borderId="1" xfId="0" applyFont="1" applyFill="1" applyBorder="1" applyAlignment="1">
      <alignment vertical="center"/>
    </xf>
    <xf numFmtId="0" fontId="263" fillId="231" borderId="1" xfId="0" applyFont="1" applyFill="1" applyBorder="1" applyAlignment="1">
      <alignment vertical="center"/>
    </xf>
    <xf numFmtId="0" fontId="265" fillId="233" borderId="1" xfId="0" applyFont="1" applyFill="1" applyBorder="1" applyAlignment="1">
      <alignment vertical="center"/>
    </xf>
    <xf numFmtId="0" fontId="267" fillId="234" borderId="1" xfId="0" applyFont="1" applyFill="1" applyBorder="1" applyAlignment="1">
      <alignment vertical="center"/>
    </xf>
    <xf numFmtId="0" fontId="269" fillId="235" borderId="1" xfId="0" applyFont="1" applyFill="1" applyBorder="1" applyAlignment="1">
      <alignment vertical="center"/>
    </xf>
    <xf numFmtId="0" fontId="168" fillId="194" borderId="1" xfId="0" applyFont="1" applyFill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271" fillId="0" borderId="1" xfId="0" applyFont="1" applyBorder="1" applyAlignment="1">
      <alignment vertical="center"/>
    </xf>
    <xf numFmtId="0" fontId="42" fillId="40" borderId="1" xfId="0" applyFont="1" applyFill="1" applyBorder="1" applyAlignment="1">
      <alignment vertical="center"/>
    </xf>
    <xf numFmtId="0" fontId="273" fillId="4" borderId="1" xfId="0" applyFont="1" applyFill="1" applyBorder="1" applyAlignment="1">
      <alignment vertical="center"/>
    </xf>
    <xf numFmtId="0" fontId="275" fillId="240" borderId="1" xfId="0" applyFont="1" applyFill="1" applyBorder="1" applyAlignment="1">
      <alignment vertical="center"/>
    </xf>
    <xf numFmtId="0" fontId="147" fillId="82" borderId="1" xfId="0" applyFont="1" applyFill="1" applyBorder="1" applyAlignment="1">
      <alignment vertical="center"/>
    </xf>
    <xf numFmtId="0" fontId="277" fillId="241" borderId="1" xfId="0" applyFont="1" applyFill="1" applyBorder="1" applyAlignment="1">
      <alignment vertical="center"/>
    </xf>
    <xf numFmtId="0" fontId="88" fillId="5" borderId="1" xfId="0" applyFont="1" applyFill="1" applyBorder="1" applyAlignment="1">
      <alignment vertical="center"/>
    </xf>
    <xf numFmtId="0" fontId="279" fillId="232" borderId="1" xfId="0" applyFont="1" applyFill="1" applyBorder="1" applyAlignment="1">
      <alignment vertical="center"/>
    </xf>
    <xf numFmtId="0" fontId="14" fillId="28" borderId="0" xfId="0" applyFont="1" applyFill="1" applyAlignment="1">
      <alignment horizontal="center"/>
    </xf>
    <xf numFmtId="0" fontId="0" fillId="29" borderId="0" xfId="0" applyFill="1"/>
    <xf numFmtId="0" fontId="0" fillId="29" borderId="0" xfId="0" applyFill="1" applyAlignment="1">
      <alignment horizontal="center"/>
    </xf>
    <xf numFmtId="49" fontId="0" fillId="29" borderId="0" xfId="0" applyNumberFormat="1" applyFill="1" applyAlignment="1">
      <alignment horizontal="center"/>
    </xf>
    <xf numFmtId="0" fontId="0" fillId="39" borderId="0" xfId="0" applyFill="1"/>
    <xf numFmtId="0" fontId="0" fillId="39" borderId="0" xfId="0" applyFill="1" applyAlignment="1">
      <alignment horizontal="center"/>
    </xf>
    <xf numFmtId="49" fontId="0" fillId="39" borderId="0" xfId="0" applyNumberForma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3" fillId="33" borderId="0" xfId="0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5" borderId="0" xfId="0" applyFont="1" applyFill="1" applyAlignment="1">
      <alignment horizontal="center"/>
    </xf>
    <xf numFmtId="0" fontId="15" fillId="115" borderId="0" xfId="0" applyFont="1" applyFill="1" applyAlignment="1">
      <alignment horizontal="center"/>
    </xf>
    <xf numFmtId="0" fontId="15" fillId="116" borderId="0" xfId="0" applyFont="1" applyFill="1" applyAlignment="1">
      <alignment horizontal="center"/>
    </xf>
    <xf numFmtId="0" fontId="15" fillId="117" borderId="0" xfId="0" applyFont="1" applyFill="1" applyAlignment="1">
      <alignment horizontal="center"/>
    </xf>
    <xf numFmtId="0" fontId="15" fillId="118" borderId="0" xfId="0" applyFont="1" applyFill="1" applyAlignment="1">
      <alignment horizontal="center"/>
    </xf>
    <xf numFmtId="0" fontId="15" fillId="92" borderId="0" xfId="0" applyFont="1" applyFill="1" applyAlignment="1">
      <alignment horizontal="center"/>
    </xf>
    <xf numFmtId="0" fontId="15" fillId="179" borderId="0" xfId="0" applyFont="1" applyFill="1" applyAlignment="1">
      <alignment horizontal="center"/>
    </xf>
    <xf numFmtId="0" fontId="15" fillId="119" borderId="0" xfId="0" applyFont="1" applyFill="1" applyAlignment="1">
      <alignment horizontal="center"/>
    </xf>
    <xf numFmtId="0" fontId="15" fillId="120" borderId="0" xfId="0" applyFont="1" applyFill="1" applyAlignment="1">
      <alignment horizontal="center"/>
    </xf>
    <xf numFmtId="0" fontId="15" fillId="121" borderId="0" xfId="0" applyFont="1" applyFill="1" applyAlignment="1">
      <alignment horizontal="center"/>
    </xf>
    <xf numFmtId="0" fontId="15" fillId="59" borderId="0" xfId="0" applyFont="1" applyFill="1" applyAlignment="1">
      <alignment horizontal="center"/>
    </xf>
    <xf numFmtId="0" fontId="15" fillId="122" borderId="0" xfId="0" applyFont="1" applyFill="1" applyAlignment="1">
      <alignment horizontal="center"/>
    </xf>
    <xf numFmtId="0" fontId="15" fillId="210" borderId="0" xfId="0" applyFont="1" applyFill="1" applyAlignment="1">
      <alignment horizontal="center"/>
    </xf>
    <xf numFmtId="0" fontId="15" fillId="227" borderId="0" xfId="0" applyFont="1" applyFill="1" applyAlignment="1">
      <alignment horizontal="center"/>
    </xf>
    <xf numFmtId="0" fontId="15" fillId="66" borderId="0" xfId="0" applyFont="1" applyFill="1" applyAlignment="1">
      <alignment horizontal="center"/>
    </xf>
    <xf numFmtId="0" fontId="15" fillId="123" borderId="0" xfId="0" applyFont="1" applyFill="1" applyAlignment="1">
      <alignment horizontal="center"/>
    </xf>
    <xf numFmtId="0" fontId="15" fillId="124" borderId="0" xfId="0" applyFont="1" applyFill="1" applyAlignment="1">
      <alignment horizontal="center"/>
    </xf>
    <xf numFmtId="0" fontId="15" fillId="226" borderId="0" xfId="0" applyFont="1" applyFill="1" applyAlignment="1">
      <alignment horizontal="center"/>
    </xf>
    <xf numFmtId="0" fontId="15" fillId="196" borderId="0" xfId="0" applyFont="1" applyFill="1" applyAlignment="1">
      <alignment horizontal="center"/>
    </xf>
    <xf numFmtId="0" fontId="15" fillId="125" borderId="0" xfId="0" applyFont="1" applyFill="1" applyAlignment="1">
      <alignment horizontal="center"/>
    </xf>
    <xf numFmtId="0" fontId="15" fillId="163" borderId="0" xfId="0" applyFont="1" applyFill="1" applyAlignment="1">
      <alignment horizontal="center"/>
    </xf>
    <xf numFmtId="0" fontId="15" fillId="229" borderId="0" xfId="0" applyFont="1" applyFill="1" applyAlignment="1">
      <alignment horizontal="center"/>
    </xf>
    <xf numFmtId="0" fontId="15" fillId="126" borderId="0" xfId="0" applyFont="1" applyFill="1" applyAlignment="1">
      <alignment horizontal="center"/>
    </xf>
    <xf numFmtId="0" fontId="15" fillId="167" borderId="0" xfId="0" applyFont="1" applyFill="1" applyAlignment="1">
      <alignment horizontal="center"/>
    </xf>
    <xf numFmtId="0" fontId="15" fillId="243" borderId="0" xfId="0" applyFont="1" applyFill="1" applyAlignment="1">
      <alignment horizontal="center"/>
    </xf>
    <xf numFmtId="0" fontId="15" fillId="172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15" fillId="127" borderId="0" xfId="0" applyFont="1" applyFill="1" applyAlignment="1">
      <alignment horizontal="center"/>
    </xf>
    <xf numFmtId="0" fontId="15" fillId="128" borderId="0" xfId="0" applyFont="1" applyFill="1" applyAlignment="1">
      <alignment horizontal="center"/>
    </xf>
    <xf numFmtId="0" fontId="15" fillId="93" borderId="0" xfId="0" applyFont="1" applyFill="1" applyAlignment="1">
      <alignment horizontal="center"/>
    </xf>
    <xf numFmtId="0" fontId="15" fillId="94" borderId="0" xfId="0" applyFont="1" applyFill="1" applyAlignment="1">
      <alignment horizontal="center"/>
    </xf>
    <xf numFmtId="0" fontId="15" fillId="129" borderId="0" xfId="0" applyFont="1" applyFill="1" applyAlignment="1">
      <alignment horizontal="center"/>
    </xf>
    <xf numFmtId="0" fontId="15" fillId="197" borderId="0" xfId="0" applyFont="1" applyFill="1" applyAlignment="1">
      <alignment horizontal="center"/>
    </xf>
    <xf numFmtId="0" fontId="15" fillId="188" borderId="0" xfId="0" applyFont="1" applyFill="1" applyAlignment="1">
      <alignment horizontal="center"/>
    </xf>
    <xf numFmtId="0" fontId="15" fillId="95" borderId="0" xfId="0" applyFont="1" applyFill="1" applyAlignment="1">
      <alignment horizontal="center"/>
    </xf>
    <xf numFmtId="0" fontId="15" fillId="130" borderId="0" xfId="0" applyFont="1" applyFill="1" applyAlignment="1">
      <alignment horizontal="center"/>
    </xf>
    <xf numFmtId="0" fontId="15" fillId="96" borderId="0" xfId="0" applyFont="1" applyFill="1" applyAlignment="1">
      <alignment horizontal="center"/>
    </xf>
    <xf numFmtId="0" fontId="15" fillId="60" borderId="0" xfId="0" applyFont="1" applyFill="1" applyAlignment="1">
      <alignment horizontal="center"/>
    </xf>
    <xf numFmtId="0" fontId="15" fillId="131" borderId="0" xfId="0" applyFont="1" applyFill="1" applyAlignment="1">
      <alignment horizontal="center"/>
    </xf>
    <xf numFmtId="0" fontId="15" fillId="189" borderId="0" xfId="0" applyFont="1" applyFill="1" applyAlignment="1">
      <alignment horizontal="center"/>
    </xf>
    <xf numFmtId="0" fontId="15" fillId="72" borderId="0" xfId="0" applyFont="1" applyFill="1" applyAlignment="1">
      <alignment horizontal="center"/>
    </xf>
    <xf numFmtId="0" fontId="15" fillId="69" borderId="0" xfId="0" applyFont="1" applyFill="1" applyAlignment="1">
      <alignment horizontal="center"/>
    </xf>
    <xf numFmtId="0" fontId="15" fillId="73" borderId="0" xfId="0" applyFont="1" applyFill="1" applyAlignment="1">
      <alignment horizontal="center"/>
    </xf>
    <xf numFmtId="0" fontId="15" fillId="111" borderId="0" xfId="0" applyFont="1" applyFill="1" applyAlignment="1">
      <alignment horizontal="center"/>
    </xf>
    <xf numFmtId="0" fontId="15" fillId="97" borderId="0" xfId="0" applyFont="1" applyFill="1" applyAlignment="1">
      <alignment horizontal="center"/>
    </xf>
    <xf numFmtId="0" fontId="15" fillId="219" borderId="0" xfId="0" applyFont="1" applyFill="1" applyAlignment="1">
      <alignment horizontal="center"/>
    </xf>
    <xf numFmtId="0" fontId="15" fillId="114" borderId="0" xfId="0" applyFont="1" applyFill="1" applyAlignment="1">
      <alignment horizontal="center"/>
    </xf>
    <xf numFmtId="0" fontId="15" fillId="190" borderId="0" xfId="0" applyFont="1" applyFill="1" applyAlignment="1">
      <alignment horizontal="center"/>
    </xf>
    <xf numFmtId="0" fontId="15" fillId="132" borderId="0" xfId="0" applyFont="1" applyFill="1" applyAlignment="1">
      <alignment horizontal="center"/>
    </xf>
    <xf numFmtId="0" fontId="15" fillId="110" borderId="0" xfId="0" applyFont="1" applyFill="1" applyAlignment="1">
      <alignment horizontal="center"/>
    </xf>
    <xf numFmtId="0" fontId="15" fillId="176" borderId="0" xfId="0" applyFont="1" applyFill="1" applyAlignment="1">
      <alignment horizontal="center"/>
    </xf>
    <xf numFmtId="0" fontId="15" fillId="133" borderId="0" xfId="0" applyFont="1" applyFill="1" applyAlignment="1">
      <alignment horizontal="center"/>
    </xf>
    <xf numFmtId="0" fontId="15" fillId="98" borderId="0" xfId="0" applyFont="1" applyFill="1" applyAlignment="1">
      <alignment horizontal="center"/>
    </xf>
    <xf numFmtId="0" fontId="15" fillId="134" borderId="0" xfId="0" applyFont="1" applyFill="1" applyAlignment="1">
      <alignment horizontal="center"/>
    </xf>
    <xf numFmtId="0" fontId="15" fillId="61" borderId="0" xfId="0" applyFont="1" applyFill="1" applyAlignment="1">
      <alignment horizontal="center"/>
    </xf>
    <xf numFmtId="0" fontId="15" fillId="99" borderId="0" xfId="0" applyFont="1" applyFill="1" applyAlignment="1">
      <alignment horizontal="center"/>
    </xf>
    <xf numFmtId="0" fontId="15" fillId="182" borderId="0" xfId="0" applyFont="1" applyFill="1" applyAlignment="1">
      <alignment horizontal="center"/>
    </xf>
    <xf numFmtId="0" fontId="15" fillId="202" borderId="0" xfId="0" applyFont="1" applyFill="1" applyAlignment="1">
      <alignment horizontal="center"/>
    </xf>
    <xf numFmtId="0" fontId="15" fillId="169" borderId="0" xfId="0" applyFont="1" applyFill="1" applyAlignment="1">
      <alignment horizontal="center"/>
    </xf>
    <xf numFmtId="0" fontId="15" fillId="135" borderId="0" xfId="0" applyFont="1" applyFill="1" applyAlignment="1">
      <alignment horizontal="center"/>
    </xf>
    <xf numFmtId="0" fontId="15" fillId="191" borderId="0" xfId="0" applyFont="1" applyFill="1" applyAlignment="1">
      <alignment horizontal="center"/>
    </xf>
    <xf numFmtId="0" fontId="15" fillId="136" borderId="0" xfId="0" applyFont="1" applyFill="1" applyAlignment="1">
      <alignment horizontal="center"/>
    </xf>
    <xf numFmtId="0" fontId="15" fillId="174" borderId="0" xfId="0" applyFont="1" applyFill="1" applyAlignment="1">
      <alignment horizontal="center"/>
    </xf>
    <xf numFmtId="0" fontId="15" fillId="157" borderId="0" xfId="0" applyFont="1" applyFill="1" applyAlignment="1">
      <alignment horizontal="center"/>
    </xf>
    <xf numFmtId="0" fontId="15" fillId="137" borderId="0" xfId="0" applyFont="1" applyFill="1" applyAlignment="1">
      <alignment horizontal="center"/>
    </xf>
    <xf numFmtId="0" fontId="15" fillId="138" borderId="0" xfId="0" applyFont="1" applyFill="1" applyAlignment="1">
      <alignment horizontal="center"/>
    </xf>
    <xf numFmtId="0" fontId="15" fillId="139" borderId="0" xfId="0" applyFont="1" applyFill="1" applyAlignment="1">
      <alignment horizontal="center"/>
    </xf>
    <xf numFmtId="0" fontId="15" fillId="100" borderId="0" xfId="0" applyFont="1" applyFill="1" applyAlignment="1">
      <alignment horizontal="center"/>
    </xf>
    <xf numFmtId="0" fontId="15" fillId="140" borderId="0" xfId="0" applyFont="1" applyFill="1" applyAlignment="1">
      <alignment horizontal="center"/>
    </xf>
    <xf numFmtId="0" fontId="15" fillId="101" borderId="0" xfId="0" applyFont="1" applyFill="1" applyAlignment="1">
      <alignment horizontal="center"/>
    </xf>
    <xf numFmtId="0" fontId="15" fillId="180" borderId="0" xfId="0" applyFont="1" applyFill="1" applyAlignment="1">
      <alignment horizontal="center"/>
    </xf>
    <xf numFmtId="0" fontId="15" fillId="141" borderId="0" xfId="0" applyFont="1" applyFill="1" applyAlignment="1">
      <alignment horizontal="center"/>
    </xf>
    <xf numFmtId="0" fontId="15" fillId="142" borderId="0" xfId="0" applyFont="1" applyFill="1" applyAlignment="1">
      <alignment horizontal="center"/>
    </xf>
    <xf numFmtId="0" fontId="15" fillId="242" borderId="0" xfId="0" applyFont="1" applyFill="1" applyAlignment="1">
      <alignment horizontal="center"/>
    </xf>
    <xf numFmtId="0" fontId="15" fillId="214" borderId="0" xfId="0" applyFont="1" applyFill="1" applyAlignment="1">
      <alignment horizontal="center"/>
    </xf>
    <xf numFmtId="0" fontId="15" fillId="143" borderId="0" xfId="0" applyFont="1" applyFill="1" applyAlignment="1">
      <alignment horizontal="center"/>
    </xf>
    <xf numFmtId="0" fontId="15" fillId="144" borderId="0" xfId="0" applyFont="1" applyFill="1" applyAlignment="1">
      <alignment horizontal="center"/>
    </xf>
    <xf numFmtId="0" fontId="15" fillId="239" borderId="0" xfId="0" applyFont="1" applyFill="1" applyAlignment="1">
      <alignment horizontal="center"/>
    </xf>
    <xf numFmtId="0" fontId="15" fillId="102" borderId="0" xfId="0" applyFont="1" applyFill="1" applyAlignment="1">
      <alignment horizontal="center"/>
    </xf>
    <xf numFmtId="0" fontId="15" fillId="199" borderId="0" xfId="0" applyFont="1" applyFill="1" applyAlignment="1">
      <alignment horizontal="center"/>
    </xf>
    <xf numFmtId="0" fontId="15" fillId="91" borderId="0" xfId="0" applyFont="1" applyFill="1" applyAlignment="1">
      <alignment horizontal="center"/>
    </xf>
    <xf numFmtId="0" fontId="15" fillId="145" borderId="0" xfId="0" applyFont="1" applyFill="1" applyAlignment="1">
      <alignment horizontal="center"/>
    </xf>
    <xf numFmtId="0" fontId="15" fillId="207" borderId="0" xfId="0" applyFont="1" applyFill="1" applyAlignment="1">
      <alignment horizontal="center"/>
    </xf>
    <xf numFmtId="0" fontId="15" fillId="103" borderId="0" xfId="0" applyFont="1" applyFill="1" applyAlignment="1">
      <alignment horizontal="center"/>
    </xf>
    <xf numFmtId="0" fontId="15" fillId="146" borderId="0" xfId="0" applyFont="1" applyFill="1" applyAlignment="1">
      <alignment horizontal="center"/>
    </xf>
    <xf numFmtId="0" fontId="15" fillId="104" borderId="0" xfId="0" applyFont="1" applyFill="1" applyAlignment="1">
      <alignment horizontal="center"/>
    </xf>
    <xf numFmtId="0" fontId="15" fillId="161" borderId="0" xfId="0" applyFont="1" applyFill="1" applyAlignment="1">
      <alignment horizontal="center"/>
    </xf>
    <xf numFmtId="0" fontId="15" fillId="147" borderId="0" xfId="0" applyFont="1" applyFill="1" applyAlignment="1">
      <alignment horizontal="center"/>
    </xf>
    <xf numFmtId="0" fontId="15" fillId="148" borderId="0" xfId="0" applyFont="1" applyFill="1" applyAlignment="1">
      <alignment horizontal="center"/>
    </xf>
    <xf numFmtId="0" fontId="15" fillId="149" borderId="0" xfId="0" applyFont="1" applyFill="1" applyAlignment="1">
      <alignment horizontal="center"/>
    </xf>
    <xf numFmtId="0" fontId="15" fillId="150" borderId="0" xfId="0" applyFont="1" applyFill="1" applyAlignment="1">
      <alignment horizontal="center"/>
    </xf>
    <xf numFmtId="0" fontId="15" fillId="151" borderId="0" xfId="0" applyFont="1" applyFill="1" applyAlignment="1">
      <alignment horizontal="center"/>
    </xf>
    <xf numFmtId="0" fontId="15" fillId="105" borderId="0" xfId="0" applyFont="1" applyFill="1" applyAlignment="1">
      <alignment horizontal="center"/>
    </xf>
    <xf numFmtId="0" fontId="15" fillId="152" borderId="0" xfId="0" applyFont="1" applyFill="1" applyAlignment="1">
      <alignment horizontal="center"/>
    </xf>
    <xf numFmtId="0" fontId="15" fillId="171" borderId="0" xfId="0" applyFont="1" applyFill="1" applyAlignment="1">
      <alignment horizontal="center"/>
    </xf>
    <xf numFmtId="0" fontId="15" fillId="153" borderId="0" xfId="0" applyFont="1" applyFill="1" applyAlignment="1">
      <alignment horizontal="center"/>
    </xf>
    <xf numFmtId="0" fontId="15" fillId="208" borderId="0" xfId="0" applyFont="1" applyFill="1" applyAlignment="1">
      <alignment horizontal="center"/>
    </xf>
    <xf numFmtId="0" fontId="15" fillId="154" borderId="0" xfId="0" applyFont="1" applyFill="1" applyAlignment="1">
      <alignment horizontal="center"/>
    </xf>
    <xf numFmtId="0" fontId="15" fillId="160" borderId="0" xfId="0" applyFont="1" applyFill="1" applyAlignment="1">
      <alignment horizontal="center"/>
    </xf>
    <xf numFmtId="0" fontId="15" fillId="237" borderId="0" xfId="0" applyFont="1" applyFill="1" applyAlignment="1">
      <alignment horizontal="center"/>
    </xf>
    <xf numFmtId="0" fontId="15" fillId="236" borderId="0" xfId="0" applyFont="1" applyFill="1" applyAlignment="1">
      <alignment horizontal="center"/>
    </xf>
    <xf numFmtId="0" fontId="15" fillId="155" borderId="0" xfId="0" applyFont="1" applyFill="1" applyAlignment="1">
      <alignment horizontal="center"/>
    </xf>
    <xf numFmtId="0" fontId="15" fillId="224" borderId="0" xfId="0" applyFont="1" applyFill="1" applyAlignment="1">
      <alignment horizontal="center"/>
    </xf>
    <xf numFmtId="0" fontId="15" fillId="238" borderId="0" xfId="0" applyFont="1" applyFill="1" applyAlignment="1">
      <alignment horizontal="center"/>
    </xf>
    <xf numFmtId="0" fontId="15" fillId="244" borderId="0" xfId="0" applyFont="1" applyFill="1" applyAlignment="1">
      <alignment horizontal="center"/>
    </xf>
    <xf numFmtId="0" fontId="15" fillId="225" borderId="0" xfId="0" applyFont="1" applyFill="1" applyAlignment="1">
      <alignment horizontal="center"/>
    </xf>
    <xf numFmtId="0" fontId="116" fillId="64" borderId="0" xfId="0" applyFont="1" applyFill="1"/>
    <xf numFmtId="0" fontId="31" fillId="245" borderId="1" xfId="0" applyFont="1" applyFill="1" applyBorder="1" applyAlignment="1">
      <alignment vertical="center"/>
    </xf>
    <xf numFmtId="0" fontId="281" fillId="246" borderId="1" xfId="0" applyFont="1" applyFill="1" applyBorder="1" applyAlignment="1">
      <alignment vertical="center"/>
    </xf>
    <xf numFmtId="0" fontId="283" fillId="248" borderId="1" xfId="0" applyFont="1" applyFill="1" applyBorder="1" applyAlignment="1">
      <alignment vertical="center"/>
    </xf>
    <xf numFmtId="0" fontId="285" fillId="247" borderId="1" xfId="0" applyFont="1" applyFill="1" applyBorder="1" applyAlignment="1">
      <alignment vertical="center"/>
    </xf>
    <xf numFmtId="0" fontId="287" fillId="249" borderId="1" xfId="0" applyFont="1" applyFill="1" applyBorder="1" applyAlignment="1">
      <alignment vertical="center"/>
    </xf>
    <xf numFmtId="0" fontId="15" fillId="250" borderId="0" xfId="0" applyFont="1" applyFill="1" applyAlignment="1">
      <alignment horizontal="center"/>
    </xf>
    <xf numFmtId="0" fontId="164" fillId="251" borderId="1" xfId="0" applyFont="1" applyFill="1" applyBorder="1" applyAlignment="1">
      <alignment vertical="center"/>
    </xf>
    <xf numFmtId="0" fontId="15" fillId="253" borderId="0" xfId="0" applyFont="1" applyFill="1" applyAlignment="1">
      <alignment horizontal="center"/>
    </xf>
    <xf numFmtId="0" fontId="291" fillId="255" borderId="1" xfId="0" applyFont="1" applyFill="1" applyBorder="1" applyAlignment="1">
      <alignment vertical="center"/>
    </xf>
    <xf numFmtId="0" fontId="289" fillId="252" borderId="1" xfId="0" applyFont="1" applyFill="1" applyBorder="1" applyAlignment="1">
      <alignment vertical="center"/>
    </xf>
    <xf numFmtId="0" fontId="293" fillId="256" borderId="1" xfId="0" applyFont="1" applyFill="1" applyBorder="1" applyAlignment="1">
      <alignment vertical="center"/>
    </xf>
    <xf numFmtId="0" fontId="295" fillId="184" borderId="1" xfId="0" applyFont="1" applyFill="1" applyBorder="1" applyAlignment="1">
      <alignment vertical="center"/>
    </xf>
    <xf numFmtId="0" fontId="297" fillId="257" borderId="1" xfId="0" applyFont="1" applyFill="1" applyBorder="1" applyAlignment="1">
      <alignment vertical="center"/>
    </xf>
    <xf numFmtId="0" fontId="15" fillId="258" borderId="0" xfId="0" applyFont="1" applyFill="1" applyAlignment="1">
      <alignment horizontal="center"/>
    </xf>
    <xf numFmtId="0" fontId="299" fillId="40" borderId="1" xfId="0" applyFont="1" applyFill="1" applyBorder="1" applyAlignment="1">
      <alignment vertical="center"/>
    </xf>
    <xf numFmtId="0" fontId="116" fillId="64" borderId="0" xfId="0" applyFont="1" applyFill="1" applyAlignment="1">
      <alignment horizontal="center"/>
    </xf>
    <xf numFmtId="0" fontId="301" fillId="259" borderId="1" xfId="0" applyFont="1" applyFill="1" applyBorder="1" applyAlignment="1">
      <alignment vertical="center"/>
    </xf>
    <xf numFmtId="0" fontId="305" fillId="254" borderId="1" xfId="0" applyFont="1" applyFill="1" applyBorder="1" applyAlignment="1">
      <alignment vertical="center"/>
    </xf>
    <xf numFmtId="0" fontId="303" fillId="260" borderId="1" xfId="0" applyFont="1" applyFill="1" applyBorder="1" applyAlignment="1">
      <alignment vertical="center"/>
    </xf>
    <xf numFmtId="0" fontId="307" fillId="37" borderId="1" xfId="0" applyFont="1" applyFill="1" applyBorder="1" applyAlignment="1">
      <alignment vertical="center"/>
    </xf>
    <xf numFmtId="0" fontId="15" fillId="261" borderId="0" xfId="0" applyFont="1" applyFill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2" xfId="0" quotePrefix="1" applyBorder="1" applyAlignment="1">
      <alignment vertical="center"/>
    </xf>
    <xf numFmtId="0" fontId="309" fillId="4" borderId="1" xfId="0" applyFont="1" applyFill="1" applyBorder="1" applyAlignment="1">
      <alignment vertical="center"/>
    </xf>
    <xf numFmtId="0" fontId="311" fillId="37" borderId="1" xfId="0" applyFont="1" applyFill="1" applyBorder="1" applyAlignment="1">
      <alignment vertical="center"/>
    </xf>
    <xf numFmtId="0" fontId="313" fillId="262" borderId="1" xfId="0" applyFont="1" applyFill="1" applyBorder="1" applyAlignment="1">
      <alignment vertical="center"/>
    </xf>
    <xf numFmtId="0" fontId="315" fillId="263" borderId="1" xfId="0" applyFont="1" applyFill="1" applyBorder="1" applyAlignment="1">
      <alignment vertical="center"/>
    </xf>
    <xf numFmtId="0" fontId="15" fillId="264" borderId="0" xfId="0" applyFont="1" applyFill="1" applyAlignment="1">
      <alignment horizontal="center"/>
    </xf>
    <xf numFmtId="0" fontId="15" fillId="265" borderId="0" xfId="0" applyFont="1" applyFill="1" applyAlignment="1">
      <alignment horizontal="center"/>
    </xf>
    <xf numFmtId="0" fontId="15" fillId="266" borderId="0" xfId="0" applyFont="1" applyFill="1" applyAlignment="1">
      <alignment horizontal="center"/>
    </xf>
    <xf numFmtId="0" fontId="15" fillId="267" borderId="0" xfId="0" applyFont="1" applyFill="1" applyAlignment="1">
      <alignment horizontal="center"/>
    </xf>
    <xf numFmtId="0" fontId="317" fillId="268" borderId="1" xfId="0" applyFont="1" applyFill="1" applyBorder="1" applyAlignment="1">
      <alignment vertical="center"/>
    </xf>
    <xf numFmtId="0" fontId="0" fillId="0" borderId="8" xfId="0" applyBorder="1"/>
    <xf numFmtId="0" fontId="0" fillId="0" borderId="2" xfId="0" applyBorder="1"/>
    <xf numFmtId="0" fontId="319" fillId="269" borderId="1" xfId="0" applyFont="1" applyFill="1" applyBorder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68" fillId="0" borderId="0" xfId="0" applyFont="1"/>
    <xf numFmtId="0" fontId="321" fillId="270" borderId="1" xfId="0" applyFont="1" applyFill="1" applyBorder="1" applyAlignment="1">
      <alignment vertical="center"/>
    </xf>
    <xf numFmtId="0" fontId="323" fillId="271" borderId="1" xfId="0" applyFont="1" applyFill="1" applyBorder="1" applyAlignment="1">
      <alignment vertical="center"/>
    </xf>
    <xf numFmtId="0" fontId="42" fillId="272" borderId="1" xfId="0" applyFont="1" applyFill="1" applyBorder="1" applyAlignment="1">
      <alignment vertical="center"/>
    </xf>
    <xf numFmtId="0" fontId="325" fillId="0" borderId="1" xfId="0" applyFont="1" applyBorder="1" applyAlignment="1">
      <alignment vertical="center"/>
    </xf>
    <xf numFmtId="0" fontId="15" fillId="273" borderId="0" xfId="0" applyFont="1" applyFill="1" applyAlignment="1">
      <alignment horizontal="center"/>
    </xf>
    <xf numFmtId="0" fontId="101" fillId="274" borderId="1" xfId="0" applyFont="1" applyFill="1" applyBorder="1" applyAlignment="1">
      <alignment vertical="center"/>
    </xf>
    <xf numFmtId="0" fontId="15" fillId="275" borderId="0" xfId="0" applyFont="1" applyFill="1" applyAlignment="1">
      <alignment horizontal="center"/>
    </xf>
    <xf numFmtId="0" fontId="15" fillId="276" borderId="0" xfId="0" applyFont="1" applyFill="1" applyAlignment="1">
      <alignment horizontal="center"/>
    </xf>
    <xf numFmtId="0" fontId="327" fillId="277" borderId="1" xfId="0" applyFont="1" applyFill="1" applyBorder="1" applyAlignment="1">
      <alignment vertical="center"/>
    </xf>
    <xf numFmtId="0" fontId="329" fillId="278" borderId="1" xfId="0" applyFont="1" applyFill="1" applyBorder="1" applyAlignment="1">
      <alignment vertical="center"/>
    </xf>
    <xf numFmtId="0" fontId="38" fillId="279" borderId="1" xfId="0" applyFont="1" applyFill="1" applyBorder="1" applyAlignment="1">
      <alignment vertical="center"/>
    </xf>
    <xf numFmtId="0" fontId="15" fillId="280" borderId="0" xfId="0" applyFont="1" applyFill="1" applyAlignment="1">
      <alignment horizontal="center"/>
    </xf>
    <xf numFmtId="0" fontId="78" fillId="0" borderId="1" xfId="0" applyFont="1" applyBorder="1" applyAlignment="1">
      <alignment vertical="center"/>
    </xf>
    <xf numFmtId="0" fontId="127" fillId="42" borderId="1" xfId="0" applyFont="1" applyFill="1" applyBorder="1" applyAlignment="1">
      <alignment vertical="center"/>
    </xf>
    <xf numFmtId="0" fontId="331" fillId="194" borderId="1" xfId="0" applyFont="1" applyFill="1" applyBorder="1" applyAlignment="1">
      <alignment vertical="center"/>
    </xf>
    <xf numFmtId="0" fontId="333" fillId="281" borderId="1" xfId="0" applyFont="1" applyFill="1" applyBorder="1" applyAlignment="1">
      <alignment vertical="center"/>
    </xf>
    <xf numFmtId="0" fontId="335" fillId="282" borderId="1" xfId="0" applyFont="1" applyFill="1" applyBorder="1" applyAlignment="1">
      <alignment vertical="center"/>
    </xf>
    <xf numFmtId="0" fontId="337" fillId="4" borderId="1" xfId="0" applyFont="1" applyFill="1" applyBorder="1" applyAlignment="1">
      <alignment vertical="center"/>
    </xf>
    <xf numFmtId="0" fontId="64" fillId="283" borderId="1" xfId="0" applyFont="1" applyFill="1" applyBorder="1" applyAlignment="1">
      <alignment vertical="center"/>
    </xf>
    <xf numFmtId="0" fontId="339" fillId="284" borderId="1" xfId="0" applyFont="1" applyFill="1" applyBorder="1" applyAlignment="1">
      <alignment vertical="center"/>
    </xf>
    <xf numFmtId="0" fontId="174" fillId="22" borderId="1" xfId="0" applyFont="1" applyFill="1" applyBorder="1" applyAlignment="1">
      <alignment vertical="center"/>
    </xf>
    <xf numFmtId="0" fontId="271" fillId="285" borderId="1" xfId="0" applyFont="1" applyFill="1" applyBorder="1" applyAlignment="1">
      <alignment vertical="center"/>
    </xf>
    <xf numFmtId="0" fontId="15" fillId="286" borderId="0" xfId="0" applyFont="1" applyFill="1" applyAlignment="1">
      <alignment horizontal="center"/>
    </xf>
    <xf numFmtId="0" fontId="15" fillId="287" borderId="0" xfId="0" applyFont="1" applyFill="1" applyAlignment="1">
      <alignment horizontal="center"/>
    </xf>
    <xf numFmtId="0" fontId="15" fillId="288" borderId="0" xfId="0" applyFont="1" applyFill="1" applyAlignment="1">
      <alignment horizontal="center"/>
    </xf>
    <xf numFmtId="0" fontId="341" fillId="289" borderId="1" xfId="0" applyFont="1" applyFill="1" applyBorder="1" applyAlignment="1">
      <alignment vertical="center"/>
    </xf>
    <xf numFmtId="0" fontId="15" fillId="290" borderId="0" xfId="0" applyFont="1" applyFill="1" applyAlignment="1">
      <alignment horizontal="center"/>
    </xf>
    <xf numFmtId="0" fontId="343" fillId="4" borderId="1" xfId="0" applyFont="1" applyFill="1" applyBorder="1" applyAlignment="1">
      <alignment vertical="center"/>
    </xf>
    <xf numFmtId="0" fontId="345" fillId="37" borderId="1" xfId="0" applyFont="1" applyFill="1" applyBorder="1" applyAlignment="1">
      <alignment vertical="center"/>
    </xf>
    <xf numFmtId="0" fontId="0" fillId="0" borderId="3" xfId="0" applyBorder="1"/>
    <xf numFmtId="0" fontId="347" fillId="291" borderId="1" xfId="0" applyFont="1" applyFill="1" applyBorder="1" applyAlignment="1">
      <alignment vertical="center"/>
    </xf>
    <xf numFmtId="0" fontId="209" fillId="292" borderId="1" xfId="0" applyFont="1" applyFill="1" applyBorder="1" applyAlignment="1">
      <alignment vertical="center"/>
    </xf>
    <xf numFmtId="0" fontId="51" fillId="240" borderId="1" xfId="0" applyFont="1" applyFill="1" applyBorder="1" applyAlignment="1">
      <alignment vertical="center"/>
    </xf>
    <xf numFmtId="0" fontId="349" fillId="4" borderId="1" xfId="0" applyFont="1" applyFill="1" applyBorder="1" applyAlignment="1">
      <alignment vertical="center"/>
    </xf>
    <xf numFmtId="0" fontId="351" fillId="293" borderId="1" xfId="0" applyFont="1" applyFill="1" applyBorder="1" applyAlignment="1">
      <alignment vertical="center"/>
    </xf>
    <xf numFmtId="0" fontId="15" fillId="294" borderId="0" xfId="0" applyFont="1" applyFill="1" applyAlignment="1">
      <alignment horizontal="center"/>
    </xf>
    <xf numFmtId="0" fontId="243" fillId="295" borderId="1" xfId="0" applyFont="1" applyFill="1" applyBorder="1" applyAlignment="1">
      <alignment vertical="center"/>
    </xf>
    <xf numFmtId="49" fontId="0" fillId="0" borderId="0" xfId="0" applyNumberFormat="1"/>
    <xf numFmtId="0" fontId="0" fillId="0" borderId="1" xfId="0" applyBorder="1" applyAlignment="1">
      <alignment vertical="center"/>
    </xf>
    <xf numFmtId="0" fontId="15" fillId="296" borderId="0" xfId="0" applyFont="1" applyFill="1" applyAlignment="1">
      <alignment horizontal="center"/>
    </xf>
    <xf numFmtId="0" fontId="353" fillId="297" borderId="1" xfId="0" applyFont="1" applyFill="1" applyBorder="1" applyAlignment="1">
      <alignment vertical="center"/>
    </xf>
    <xf numFmtId="0" fontId="355" fillId="0" borderId="1" xfId="0" applyFont="1" applyBorder="1" applyAlignment="1">
      <alignment vertical="center"/>
    </xf>
    <xf numFmtId="0" fontId="357" fillId="298" borderId="1" xfId="0" applyFont="1" applyFill="1" applyBorder="1" applyAlignment="1">
      <alignment vertical="center"/>
    </xf>
    <xf numFmtId="0" fontId="359" fillId="299" borderId="1" xfId="0" applyFont="1" applyFill="1" applyBorder="1" applyAlignment="1">
      <alignment vertical="center"/>
    </xf>
    <xf numFmtId="0" fontId="361" fillId="300" borderId="1" xfId="0" applyFont="1" applyFill="1" applyBorder="1" applyAlignment="1">
      <alignment vertical="center"/>
    </xf>
    <xf numFmtId="0" fontId="15" fillId="301" borderId="0" xfId="0" applyFont="1" applyFill="1" applyAlignment="1">
      <alignment horizontal="center"/>
    </xf>
    <xf numFmtId="0" fontId="363" fillId="302" borderId="1" xfId="0" applyFont="1" applyFill="1" applyBorder="1" applyAlignment="1">
      <alignment vertical="center"/>
    </xf>
    <xf numFmtId="0" fontId="365" fillId="303" borderId="1" xfId="0" applyFont="1" applyFill="1" applyBorder="1" applyAlignment="1">
      <alignment vertical="center"/>
    </xf>
    <xf numFmtId="0" fontId="367" fillId="194" borderId="1" xfId="0" applyFont="1" applyFill="1" applyBorder="1" applyAlignment="1">
      <alignment vertical="center"/>
    </xf>
    <xf numFmtId="0" fontId="88" fillId="304" borderId="1" xfId="0" applyFont="1" applyFill="1" applyBorder="1" applyAlignment="1">
      <alignment vertical="center"/>
    </xf>
    <xf numFmtId="0" fontId="369" fillId="4" borderId="1" xfId="0" applyFont="1" applyFill="1" applyBorder="1" applyAlignment="1">
      <alignment vertical="center"/>
    </xf>
    <xf numFmtId="0" fontId="241" fillId="305" borderId="1" xfId="0" applyFont="1" applyFill="1" applyBorder="1" applyAlignment="1">
      <alignment vertical="center"/>
    </xf>
    <xf numFmtId="0" fontId="371" fillId="306" borderId="1" xfId="0" applyFont="1" applyFill="1" applyBorder="1" applyAlignment="1">
      <alignment vertical="center"/>
    </xf>
    <xf numFmtId="0" fontId="15" fillId="307" borderId="0" xfId="0" applyFont="1" applyFill="1" applyAlignment="1">
      <alignment horizontal="center"/>
    </xf>
    <xf numFmtId="0" fontId="51" fillId="308" borderId="1" xfId="0" applyFont="1" applyFill="1" applyBorder="1" applyAlignment="1">
      <alignment vertical="center"/>
    </xf>
    <xf numFmtId="0" fontId="373" fillId="309" borderId="1" xfId="0" applyFont="1" applyFill="1" applyBorder="1" applyAlignment="1">
      <alignment vertical="center"/>
    </xf>
    <xf numFmtId="0" fontId="15" fillId="310" borderId="0" xfId="0" applyFont="1" applyFill="1" applyAlignment="1">
      <alignment horizontal="center"/>
    </xf>
    <xf numFmtId="0" fontId="51" fillId="20" borderId="1" xfId="0" applyFont="1" applyFill="1" applyBorder="1" applyAlignment="1">
      <alignment vertical="center"/>
    </xf>
    <xf numFmtId="0" fontId="15" fillId="311" borderId="0" xfId="0" applyFont="1" applyFill="1" applyAlignment="1">
      <alignment horizontal="center"/>
    </xf>
    <xf numFmtId="0" fontId="375" fillId="312" borderId="1" xfId="0" applyFont="1" applyFill="1" applyBorder="1" applyAlignment="1">
      <alignment vertical="center"/>
    </xf>
    <xf numFmtId="0" fontId="42" fillId="313" borderId="1" xfId="0" applyFont="1" applyFill="1" applyBorder="1" applyAlignment="1">
      <alignment vertical="center"/>
    </xf>
    <xf numFmtId="0" fontId="47" fillId="314" borderId="1" xfId="0" applyFont="1" applyFill="1" applyBorder="1" applyAlignment="1">
      <alignment vertical="center"/>
    </xf>
    <xf numFmtId="0" fontId="15" fillId="315" borderId="0" xfId="0" applyFont="1" applyFill="1" applyAlignment="1">
      <alignment horizontal="center"/>
    </xf>
    <xf numFmtId="0" fontId="88" fillId="316" borderId="1" xfId="0" applyFont="1" applyFill="1" applyBorder="1" applyAlignment="1">
      <alignment vertical="center"/>
    </xf>
    <xf numFmtId="0" fontId="377" fillId="4" borderId="1" xfId="0" applyFont="1" applyFill="1" applyBorder="1" applyAlignment="1">
      <alignment vertical="center"/>
    </xf>
    <xf numFmtId="0" fontId="15" fillId="317" borderId="0" xfId="0" applyFont="1" applyFill="1" applyAlignment="1">
      <alignment horizontal="center"/>
    </xf>
    <xf numFmtId="0" fontId="379" fillId="318" borderId="1" xfId="0" applyFont="1" applyFill="1" applyBorder="1" applyAlignment="1">
      <alignment vertical="center"/>
    </xf>
    <xf numFmtId="0" fontId="381" fillId="319" borderId="1" xfId="0" applyFont="1" applyFill="1" applyBorder="1" applyAlignment="1">
      <alignment vertical="center"/>
    </xf>
    <xf numFmtId="0" fontId="383" fillId="320" borderId="1" xfId="0" applyFont="1" applyFill="1" applyBorder="1" applyAlignment="1">
      <alignment vertical="center"/>
    </xf>
    <xf numFmtId="0" fontId="385" fillId="321" borderId="1" xfId="0" applyFont="1" applyFill="1" applyBorder="1" applyAlignment="1">
      <alignment vertical="center"/>
    </xf>
    <xf numFmtId="0" fontId="15" fillId="322" borderId="0" xfId="0" applyFont="1" applyFill="1" applyAlignment="1">
      <alignment horizontal="center"/>
    </xf>
    <xf numFmtId="0" fontId="15" fillId="323" borderId="0" xfId="0" applyFont="1" applyFill="1" applyAlignment="1">
      <alignment horizontal="center"/>
    </xf>
    <xf numFmtId="0" fontId="386" fillId="177" borderId="1" xfId="0" applyFont="1" applyFill="1" applyBorder="1" applyAlignment="1">
      <alignment vertical="center"/>
    </xf>
    <xf numFmtId="0" fontId="388" fillId="324" borderId="1" xfId="0" applyFont="1" applyFill="1" applyBorder="1" applyAlignment="1">
      <alignment vertical="center"/>
    </xf>
    <xf numFmtId="0" fontId="390" fillId="325" borderId="1" xfId="0" applyFont="1" applyFill="1" applyBorder="1" applyAlignment="1">
      <alignment vertical="center"/>
    </xf>
    <xf numFmtId="0" fontId="392" fillId="326" borderId="1" xfId="0" applyFont="1" applyFill="1" applyBorder="1" applyAlignment="1">
      <alignment vertical="center"/>
    </xf>
    <xf numFmtId="0" fontId="394" fillId="47" borderId="1" xfId="0" applyFont="1" applyFill="1" applyBorder="1" applyAlignment="1">
      <alignment vertical="center"/>
    </xf>
    <xf numFmtId="0" fontId="151" fillId="327" borderId="1" xfId="0" applyFont="1" applyFill="1" applyBorder="1" applyAlignment="1">
      <alignment vertical="center"/>
    </xf>
    <xf numFmtId="0" fontId="396" fillId="328" borderId="1" xfId="0" applyFont="1" applyFill="1" applyBorder="1" applyAlignment="1">
      <alignment vertical="center"/>
    </xf>
    <xf numFmtId="0" fontId="15" fillId="329" borderId="0" xfId="0" applyFont="1" applyFill="1" applyAlignment="1">
      <alignment horizontal="center"/>
    </xf>
    <xf numFmtId="0" fontId="15" fillId="330" borderId="0" xfId="0" applyFont="1" applyFill="1" applyAlignment="1">
      <alignment horizontal="center"/>
    </xf>
    <xf numFmtId="0" fontId="15" fillId="331" borderId="0" xfId="0" applyFont="1" applyFill="1" applyAlignment="1">
      <alignment horizontal="center"/>
    </xf>
    <xf numFmtId="0" fontId="60" fillId="332" borderId="1" xfId="0" applyFont="1" applyFill="1" applyBorder="1" applyAlignment="1">
      <alignment vertical="center"/>
    </xf>
    <xf numFmtId="0" fontId="15" fillId="333" borderId="0" xfId="0" applyFont="1" applyFill="1" applyAlignment="1">
      <alignment horizontal="center"/>
    </xf>
    <xf numFmtId="0" fontId="398" fillId="334" borderId="1" xfId="0" applyFont="1" applyFill="1" applyBorder="1" applyAlignment="1">
      <alignment vertical="center"/>
    </xf>
    <xf numFmtId="0" fontId="15" fillId="335" borderId="0" xfId="0" applyFont="1" applyFill="1" applyAlignment="1">
      <alignment horizontal="center"/>
    </xf>
    <xf numFmtId="0" fontId="15" fillId="336" borderId="0" xfId="0" applyFont="1" applyFill="1" applyAlignment="1">
      <alignment horizontal="center"/>
    </xf>
    <xf numFmtId="0" fontId="400" fillId="337" borderId="1" xfId="0" applyFont="1" applyFill="1" applyBorder="1" applyAlignment="1">
      <alignment vertical="center"/>
    </xf>
    <xf numFmtId="0" fontId="88" fillId="334" borderId="1" xfId="0" applyFont="1" applyFill="1" applyBorder="1" applyAlignment="1">
      <alignment vertical="center"/>
    </xf>
    <xf numFmtId="0" fontId="402" fillId="62" borderId="1" xfId="0" applyFont="1" applyFill="1" applyBorder="1" applyAlignment="1">
      <alignment vertical="center"/>
    </xf>
    <xf numFmtId="0" fontId="404" fillId="4" borderId="1" xfId="0" applyFont="1" applyFill="1" applyBorder="1" applyAlignment="1">
      <alignment vertical="center"/>
    </xf>
    <xf numFmtId="0" fontId="15" fillId="338" borderId="0" xfId="0" applyFont="1" applyFill="1" applyAlignment="1">
      <alignment horizontal="center"/>
    </xf>
    <xf numFmtId="0" fontId="406" fillId="83" borderId="5" xfId="0" applyFont="1" applyFill="1" applyBorder="1" applyAlignment="1">
      <alignment vertical="center"/>
    </xf>
    <xf numFmtId="0" fontId="408" fillId="339" borderId="5" xfId="0" applyFont="1" applyFill="1" applyBorder="1" applyAlignment="1">
      <alignment vertical="center"/>
    </xf>
    <xf numFmtId="0" fontId="385" fillId="0" borderId="8" xfId="0" applyFont="1" applyBorder="1" applyAlignment="1">
      <alignment vertical="center"/>
    </xf>
    <xf numFmtId="0" fontId="410" fillId="303" borderId="1" xfId="0" applyFont="1" applyFill="1" applyBorder="1" applyAlignment="1">
      <alignment vertical="center"/>
    </xf>
    <xf numFmtId="0" fontId="412" fillId="340" borderId="1" xfId="0" applyFont="1" applyFill="1" applyBorder="1" applyAlignment="1">
      <alignment vertical="center"/>
    </xf>
    <xf numFmtId="0" fontId="414" fillId="20" borderId="1" xfId="0" applyFont="1" applyFill="1" applyBorder="1" applyAlignment="1">
      <alignment vertical="center"/>
    </xf>
    <xf numFmtId="0" fontId="416" fillId="341" borderId="1" xfId="0" applyFont="1" applyFill="1" applyBorder="1" applyAlignment="1">
      <alignment vertical="center"/>
    </xf>
    <xf numFmtId="0" fontId="418" fillId="303" borderId="1" xfId="0" applyFont="1" applyFill="1" applyBorder="1" applyAlignment="1">
      <alignment vertical="center"/>
    </xf>
    <xf numFmtId="0" fontId="88" fillId="83" borderId="1" xfId="0" applyFont="1" applyFill="1" applyBorder="1" applyAlignment="1">
      <alignment vertical="center"/>
    </xf>
    <xf numFmtId="0" fontId="420" fillId="40" borderId="1" xfId="0" applyFont="1" applyFill="1" applyBorder="1" applyAlignment="1">
      <alignment vertical="center"/>
    </xf>
    <xf numFmtId="0" fontId="422" fillId="342" borderId="1" xfId="0" applyFont="1" applyFill="1" applyBorder="1" applyAlignment="1">
      <alignment vertical="center"/>
    </xf>
    <xf numFmtId="0" fontId="424" fillId="343" borderId="1" xfId="0" applyFont="1" applyFill="1" applyBorder="1" applyAlignment="1">
      <alignment vertical="center"/>
    </xf>
    <xf numFmtId="0" fontId="15" fillId="344" borderId="0" xfId="0" applyFont="1" applyFill="1" applyAlignment="1">
      <alignment horizontal="center"/>
    </xf>
    <xf numFmtId="0" fontId="78" fillId="345" borderId="1" xfId="0" applyFont="1" applyFill="1" applyBorder="1" applyAlignment="1">
      <alignment vertical="center"/>
    </xf>
    <xf numFmtId="0" fontId="128" fillId="346" borderId="1" xfId="0" applyFont="1" applyFill="1" applyBorder="1" applyAlignment="1">
      <alignment vertical="center"/>
    </xf>
    <xf numFmtId="0" fontId="426" fillId="347" borderId="1" xfId="0" applyFont="1" applyFill="1" applyBorder="1" applyAlignment="1">
      <alignment vertical="center"/>
    </xf>
    <xf numFmtId="0" fontId="47" fillId="0" borderId="1" xfId="0" applyFont="1" applyBorder="1" applyAlignment="1">
      <alignment vertical="center"/>
    </xf>
    <xf numFmtId="0" fontId="88" fillId="348" borderId="1" xfId="0" applyFont="1" applyFill="1" applyBorder="1" applyAlignment="1">
      <alignment vertical="center"/>
    </xf>
    <xf numFmtId="0" fontId="15" fillId="349" borderId="0" xfId="0" applyFont="1" applyFill="1" applyAlignment="1">
      <alignment horizontal="center"/>
    </xf>
    <xf numFmtId="0" fontId="60" fillId="4" borderId="1" xfId="0" applyFont="1" applyFill="1" applyBorder="1" applyAlignment="1">
      <alignment vertical="center"/>
    </xf>
    <xf numFmtId="0" fontId="88" fillId="4" borderId="1" xfId="0" applyFont="1" applyFill="1" applyBorder="1" applyAlignment="1">
      <alignment vertical="center"/>
    </xf>
    <xf numFmtId="0" fontId="428" fillId="350" borderId="1" xfId="0" applyFont="1" applyFill="1" applyBorder="1" applyAlignment="1">
      <alignment vertical="center"/>
    </xf>
    <xf numFmtId="0" fontId="430" fillId="351" borderId="1" xfId="0" applyFont="1" applyFill="1" applyBorder="1" applyAlignment="1">
      <alignment vertical="center"/>
    </xf>
    <xf numFmtId="0" fontId="434" fillId="54" borderId="1" xfId="0" applyFont="1" applyFill="1" applyBorder="1" applyAlignment="1">
      <alignment vertical="center"/>
    </xf>
    <xf numFmtId="0" fontId="436" fillId="352" borderId="1" xfId="0" applyFont="1" applyFill="1" applyBorder="1" applyAlignment="1">
      <alignment vertical="center"/>
    </xf>
    <xf numFmtId="0" fontId="438" fillId="353" borderId="1" xfId="0" applyFont="1" applyFill="1" applyBorder="1" applyAlignment="1">
      <alignment vertical="center"/>
    </xf>
    <xf numFmtId="0" fontId="440" fillId="354" borderId="1" xfId="0" applyFont="1" applyFill="1" applyBorder="1" applyAlignment="1">
      <alignment vertical="center"/>
    </xf>
    <xf numFmtId="0" fontId="442" fillId="355" borderId="1" xfId="0" applyFont="1" applyFill="1" applyBorder="1" applyAlignment="1">
      <alignment vertical="center"/>
    </xf>
    <xf numFmtId="0" fontId="15" fillId="356" borderId="0" xfId="0" applyFont="1" applyFill="1" applyAlignment="1">
      <alignment horizontal="center"/>
    </xf>
    <xf numFmtId="0" fontId="444" fillId="357" borderId="1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446" fillId="358" borderId="1" xfId="0" applyFont="1" applyFill="1" applyBorder="1" applyAlignment="1">
      <alignment vertical="center"/>
    </xf>
    <xf numFmtId="0" fontId="448" fillId="0" borderId="0" xfId="0" applyFont="1"/>
    <xf numFmtId="0" fontId="448" fillId="0" borderId="0" xfId="0" applyFont="1" applyAlignment="1">
      <alignment horizontal="center"/>
    </xf>
    <xf numFmtId="49" fontId="448" fillId="359" borderId="0" xfId="0" applyNumberFormat="1" applyFont="1" applyFill="1"/>
    <xf numFmtId="0" fontId="448" fillId="359" borderId="0" xfId="0" applyFont="1" applyFill="1"/>
    <xf numFmtId="49" fontId="448" fillId="360" borderId="0" xfId="0" applyNumberFormat="1" applyFont="1" applyFill="1"/>
    <xf numFmtId="0" fontId="448" fillId="360" borderId="0" xfId="0" applyFont="1" applyFill="1"/>
    <xf numFmtId="0" fontId="449" fillId="361" borderId="1" xfId="0" applyFont="1" applyFill="1" applyBorder="1" applyAlignment="1">
      <alignment vertical="center"/>
    </xf>
    <xf numFmtId="0" fontId="15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5" fillId="362" borderId="0" xfId="0" applyFont="1" applyFill="1" applyAlignment="1">
      <alignment horizontal="center"/>
    </xf>
    <xf numFmtId="49" fontId="0" fillId="29" borderId="0" xfId="0" applyNumberFormat="1" applyFill="1"/>
    <xf numFmtId="49" fontId="0" fillId="39" borderId="0" xfId="0" applyNumberFormat="1" applyFill="1"/>
    <xf numFmtId="0" fontId="0" fillId="39" borderId="0" xfId="0" applyFill="1" applyAlignment="1">
      <alignment horizontal="right"/>
    </xf>
    <xf numFmtId="0" fontId="0" fillId="29" borderId="0" xfId="0" applyFill="1" applyAlignment="1">
      <alignment horizontal="right"/>
    </xf>
    <xf numFmtId="10" fontId="0" fillId="39" borderId="0" xfId="0" applyNumberFormat="1" applyFill="1" applyAlignment="1">
      <alignment horizontal="right"/>
    </xf>
    <xf numFmtId="10" fontId="0" fillId="29" borderId="0" xfId="0" applyNumberFormat="1" applyFill="1" applyAlignment="1">
      <alignment horizontal="right"/>
    </xf>
    <xf numFmtId="0" fontId="451" fillId="363" borderId="1" xfId="0" applyFont="1" applyFill="1" applyBorder="1" applyAlignment="1">
      <alignment vertical="center"/>
    </xf>
    <xf numFmtId="0" fontId="0" fillId="0" borderId="5" xfId="0" applyBorder="1"/>
    <xf numFmtId="0" fontId="453" fillId="364" borderId="1" xfId="0" applyFont="1" applyFill="1" applyBorder="1" applyAlignment="1">
      <alignment vertical="center"/>
    </xf>
    <xf numFmtId="0" fontId="455" fillId="365" borderId="1" xfId="0" applyFont="1" applyFill="1" applyBorder="1" applyAlignment="1">
      <alignment vertical="center"/>
    </xf>
    <xf numFmtId="0" fontId="15" fillId="366" borderId="0" xfId="0" applyFont="1" applyFill="1" applyAlignment="1">
      <alignment horizontal="center"/>
    </xf>
    <xf numFmtId="0" fontId="457" fillId="83" borderId="1" xfId="0" applyFont="1" applyFill="1" applyBorder="1" applyAlignment="1">
      <alignment vertical="center"/>
    </xf>
    <xf numFmtId="0" fontId="2" fillId="0" borderId="0" xfId="0" applyFont="1"/>
    <xf numFmtId="49" fontId="459" fillId="359" borderId="0" xfId="0" applyNumberFormat="1" applyFont="1" applyFill="1"/>
    <xf numFmtId="49" fontId="459" fillId="360" borderId="0" xfId="0" applyNumberFormat="1" applyFont="1" applyFill="1"/>
    <xf numFmtId="0" fontId="4" fillId="20" borderId="0" xfId="0" applyFont="1" applyFill="1" applyAlignment="1">
      <alignment horizontal="center" vertical="center"/>
    </xf>
    <xf numFmtId="0" fontId="394" fillId="367" borderId="1" xfId="0" applyFont="1" applyFill="1" applyBorder="1" applyAlignment="1">
      <alignment vertical="center"/>
    </xf>
    <xf numFmtId="0" fontId="460" fillId="368" borderId="1" xfId="0" applyFont="1" applyFill="1" applyBorder="1" applyAlignment="1">
      <alignment vertical="center"/>
    </xf>
    <xf numFmtId="0" fontId="462" fillId="369" borderId="1" xfId="0" applyFont="1" applyFill="1" applyBorder="1" applyAlignment="1">
      <alignment vertical="center"/>
    </xf>
    <xf numFmtId="0" fontId="464" fillId="370" borderId="1" xfId="0" applyFont="1" applyFill="1" applyBorder="1" applyAlignment="1">
      <alignment vertical="center"/>
    </xf>
    <xf numFmtId="0" fontId="466" fillId="0" borderId="1" xfId="0" applyFont="1" applyBorder="1" applyAlignment="1">
      <alignment vertical="center"/>
    </xf>
    <xf numFmtId="0" fontId="468" fillId="371" borderId="1" xfId="0" applyFont="1" applyFill="1" applyBorder="1" applyAlignment="1">
      <alignment vertical="center"/>
    </xf>
    <xf numFmtId="0" fontId="470" fillId="48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472" fillId="372" borderId="1" xfId="0" applyFont="1" applyFill="1" applyBorder="1" applyAlignment="1">
      <alignment vertical="center"/>
    </xf>
    <xf numFmtId="0" fontId="474" fillId="373" borderId="1" xfId="0" applyFont="1" applyFill="1" applyBorder="1" applyAlignment="1">
      <alignment vertical="center"/>
    </xf>
    <xf numFmtId="0" fontId="476" fillId="374" borderId="5" xfId="0" applyFont="1" applyFill="1" applyBorder="1" applyAlignment="1">
      <alignment vertical="center"/>
    </xf>
    <xf numFmtId="0" fontId="385" fillId="375" borderId="1" xfId="0" applyFont="1" applyFill="1" applyBorder="1" applyAlignment="1">
      <alignment vertical="center"/>
    </xf>
    <xf numFmtId="0" fontId="88" fillId="376" borderId="1" xfId="0" applyFont="1" applyFill="1" applyBorder="1" applyAlignment="1">
      <alignment vertical="center"/>
    </xf>
    <xf numFmtId="0" fontId="478" fillId="0" borderId="0" xfId="0" applyFont="1"/>
    <xf numFmtId="0" fontId="479" fillId="377" borderId="1" xfId="0" applyFont="1" applyFill="1" applyBorder="1" applyAlignment="1">
      <alignment vertical="center"/>
    </xf>
    <xf numFmtId="0" fontId="481" fillId="378" borderId="1" xfId="0" applyFont="1" applyFill="1" applyBorder="1" applyAlignment="1">
      <alignment vertical="center"/>
    </xf>
    <xf numFmtId="0" fontId="15" fillId="379" borderId="0" xfId="0" applyFont="1" applyFill="1" applyAlignment="1">
      <alignment horizontal="center"/>
    </xf>
    <xf numFmtId="0" fontId="483" fillId="380" borderId="1" xfId="0" applyFont="1" applyFill="1" applyBorder="1" applyAlignment="1">
      <alignment vertical="center"/>
    </xf>
    <xf numFmtId="0" fontId="487" fillId="383" borderId="5" xfId="0" applyFont="1" applyFill="1" applyBorder="1" applyAlignment="1">
      <alignment vertical="center"/>
    </xf>
    <xf numFmtId="0" fontId="489" fillId="384" borderId="5" xfId="0" applyFont="1" applyFill="1" applyBorder="1" applyAlignment="1">
      <alignment vertical="center"/>
    </xf>
    <xf numFmtId="0" fontId="487" fillId="385" borderId="5" xfId="0" applyFont="1" applyFill="1" applyBorder="1" applyAlignment="1">
      <alignment vertical="center"/>
    </xf>
    <xf numFmtId="0" fontId="485" fillId="382" borderId="5" xfId="0" applyFont="1" applyFill="1" applyBorder="1" applyAlignment="1">
      <alignment vertical="center"/>
    </xf>
    <xf numFmtId="0" fontId="485" fillId="381" borderId="5" xfId="0" applyFont="1" applyFill="1" applyBorder="1" applyAlignment="1">
      <alignment vertical="center"/>
    </xf>
    <xf numFmtId="0" fontId="15" fillId="386" borderId="0" xfId="0" applyFont="1" applyFill="1" applyAlignment="1">
      <alignment horizontal="center"/>
    </xf>
    <xf numFmtId="0" fontId="15" fillId="387" borderId="0" xfId="0" applyFont="1" applyFill="1" applyAlignment="1">
      <alignment horizontal="center"/>
    </xf>
    <xf numFmtId="0" fontId="0" fillId="0" borderId="0" xfId="0" applyAlignment="1">
      <alignment horizontal="left" indent="3"/>
    </xf>
    <xf numFmtId="0" fontId="15" fillId="388" borderId="0" xfId="0" applyFont="1" applyFill="1" applyAlignment="1">
      <alignment horizontal="center"/>
    </xf>
    <xf numFmtId="0" fontId="491" fillId="389" borderId="1" xfId="0" applyFont="1" applyFill="1" applyBorder="1" applyAlignment="1">
      <alignment vertical="center"/>
    </xf>
    <xf numFmtId="0" fontId="493" fillId="390" borderId="1" xfId="0" applyFont="1" applyFill="1" applyBorder="1" applyAlignment="1">
      <alignment vertical="center"/>
    </xf>
    <xf numFmtId="0" fontId="15" fillId="392" borderId="0" xfId="0" applyFont="1" applyFill="1" applyAlignment="1">
      <alignment horizontal="center"/>
    </xf>
    <xf numFmtId="0" fontId="432" fillId="393" borderId="1" xfId="0" applyFont="1" applyFill="1" applyBorder="1" applyAlignment="1">
      <alignment vertical="center"/>
    </xf>
    <xf numFmtId="0" fontId="495" fillId="391" borderId="1" xfId="0" applyFont="1" applyFill="1" applyBorder="1" applyAlignment="1">
      <alignment vertical="center"/>
    </xf>
    <xf numFmtId="0" fontId="497" fillId="394" borderId="1" xfId="0" applyFont="1" applyFill="1" applyBorder="1" applyAlignment="1">
      <alignment vertical="center"/>
    </xf>
    <xf numFmtId="0" fontId="499" fillId="395" borderId="1" xfId="0" applyFont="1" applyFill="1" applyBorder="1" applyAlignment="1">
      <alignment vertical="center"/>
    </xf>
    <xf numFmtId="0" fontId="501" fillId="0" borderId="0" xfId="0" applyFont="1"/>
    <xf numFmtId="0" fontId="115" fillId="63" borderId="0" xfId="0" applyFont="1" applyFill="1" applyAlignment="1">
      <alignment horizontal="center"/>
    </xf>
    <xf numFmtId="0" fontId="502" fillId="396" borderId="1" xfId="0" applyFont="1" applyFill="1" applyBorder="1" applyAlignment="1">
      <alignment vertical="center"/>
    </xf>
    <xf numFmtId="16" fontId="0" fillId="0" borderId="0" xfId="0" applyNumberFormat="1"/>
  </cellXfs>
  <cellStyles count="2">
    <cellStyle name="Normal" xfId="0" builtinId="0"/>
    <cellStyle name="Normal 2" xfId="1" xr:uid="{A3973AD4-1F27-4CDB-8343-B3F4ADA8FA37}"/>
  </cellStyles>
  <dxfs count="2704"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C0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theme="0" tint="-0.24994659260841701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FFE400"/>
        </patternFill>
      </fill>
    </dxf>
    <dxf>
      <fill>
        <patternFill>
          <bgColor rgb="FFF446FF"/>
        </patternFill>
      </fill>
    </dxf>
    <dxf>
      <fill>
        <patternFill>
          <bgColor rgb="FFA744D8"/>
        </patternFill>
      </fill>
    </dxf>
    <dxf>
      <fill>
        <patternFill>
          <bgColor rgb="FF7BD1FF"/>
        </patternFill>
      </fill>
    </dxf>
    <dxf>
      <fill>
        <patternFill>
          <bgColor rgb="FF59FFBB"/>
        </patternFill>
      </fill>
    </dxf>
    <dxf>
      <fill>
        <patternFill>
          <bgColor rgb="FF00BC04"/>
        </patternFill>
      </fill>
    </dxf>
    <dxf>
      <fill>
        <patternFill>
          <bgColor rgb="FFE60000"/>
        </patternFill>
      </fill>
    </dxf>
    <dxf>
      <fill>
        <patternFill>
          <bgColor rgb="FF9F4A03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242437"/>
      <color rgb="FFAC89FF"/>
      <color rgb="FF9073D6"/>
      <color rgb="FF3E3F5E"/>
      <color rgb="FFD4D5DB"/>
      <color rgb="FF3A4649"/>
      <color rgb="FFFFCD1D"/>
      <color rgb="FF34AAD0"/>
      <color rgb="FFE30000"/>
      <color rgb="FFF40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Reviews acumuladas en el tiempo (319 con fecha)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Graficos!$AU$1</c:f>
              <c:strCache>
                <c:ptCount val="1"/>
                <c:pt idx="0">
                  <c:v>Reviews acumuladas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Graficos!$AT$2:$AT$11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Graficos!$AU$2:$AU$11</c:f>
              <c:numCache>
                <c:formatCode>General</c:formatCode>
                <c:ptCount val="10"/>
                <c:pt idx="0">
                  <c:v>42</c:v>
                </c:pt>
                <c:pt idx="1">
                  <c:v>78</c:v>
                </c:pt>
                <c:pt idx="2">
                  <c:v>119</c:v>
                </c:pt>
                <c:pt idx="3">
                  <c:v>152</c:v>
                </c:pt>
                <c:pt idx="4">
                  <c:v>192</c:v>
                </c:pt>
                <c:pt idx="5">
                  <c:v>232</c:v>
                </c:pt>
                <c:pt idx="6">
                  <c:v>271</c:v>
                </c:pt>
                <c:pt idx="7">
                  <c:v>289</c:v>
                </c:pt>
                <c:pt idx="8">
                  <c:v>316</c:v>
                </c:pt>
                <c:pt idx="9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2-1A4C-B4CA-4E409C8F4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494656"/>
        <c:axId val="466496448"/>
      </c:lineChart>
      <c:catAx>
        <c:axId val="4664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496448"/>
        <c:crosses val="autoZero"/>
        <c:auto val="1"/>
        <c:lblAlgn val="ctr"/>
        <c:lblOffset val="100"/>
        <c:noMultiLvlLbl val="0"/>
      </c:catAx>
      <c:valAx>
        <c:axId val="4664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49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Reviews por mes (ritmo de reseñas)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Graficos!$AU$14</c:f>
              <c:strCache>
                <c:ptCount val="1"/>
                <c:pt idx="0">
                  <c:v>Reviews del 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Graficos!$AT$15:$AT$24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Graficos!$AU$15:$AU$24</c:f>
              <c:numCache>
                <c:formatCode>General</c:formatCode>
                <c:ptCount val="10"/>
                <c:pt idx="0">
                  <c:v>42</c:v>
                </c:pt>
                <c:pt idx="1">
                  <c:v>36</c:v>
                </c:pt>
                <c:pt idx="2">
                  <c:v>41</c:v>
                </c:pt>
                <c:pt idx="3">
                  <c:v>33</c:v>
                </c:pt>
                <c:pt idx="4">
                  <c:v>40</c:v>
                </c:pt>
                <c:pt idx="5">
                  <c:v>40</c:v>
                </c:pt>
                <c:pt idx="6">
                  <c:v>39</c:v>
                </c:pt>
                <c:pt idx="7">
                  <c:v>18</c:v>
                </c:pt>
                <c:pt idx="8">
                  <c:v>27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4-184A-A8F8-9AC270A46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692288"/>
        <c:axId val="488688256"/>
      </c:barChart>
      <c:catAx>
        <c:axId val="4886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688256"/>
        <c:crosses val="autoZero"/>
        <c:auto val="1"/>
        <c:lblAlgn val="ctr"/>
        <c:lblOffset val="100"/>
        <c:noMultiLvlLbl val="0"/>
      </c:catAx>
      <c:valAx>
        <c:axId val="4886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6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la media según se reseñan álbumes (319 con fecha)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Graficos!$AU$27</c:f>
              <c:strCache>
                <c:ptCount val="1"/>
                <c:pt idx="0">
                  <c:v>Media acumulada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Graficos!$AT$28:$AT$346</c:f>
              <c:strCache>
                <c:ptCount val="319"/>
                <c:pt idx="0">
                  <c:v>17/01/2026</c:v>
                </c:pt>
                <c:pt idx="1">
                  <c:v>17/01/2026</c:v>
                </c:pt>
                <c:pt idx="2">
                  <c:v>17/01/2026</c:v>
                </c:pt>
                <c:pt idx="3">
                  <c:v>17/01/2026</c:v>
                </c:pt>
                <c:pt idx="4">
                  <c:v>17/01/2026</c:v>
                </c:pt>
                <c:pt idx="5">
                  <c:v>17/01/2026</c:v>
                </c:pt>
                <c:pt idx="6">
                  <c:v>17/01/2026</c:v>
                </c:pt>
                <c:pt idx="7">
                  <c:v>17/01/2026</c:v>
                </c:pt>
                <c:pt idx="8">
                  <c:v>18/01/2026</c:v>
                </c:pt>
                <c:pt idx="9">
                  <c:v>18/01/2026</c:v>
                </c:pt>
                <c:pt idx="10">
                  <c:v>18/01/2026</c:v>
                </c:pt>
                <c:pt idx="11">
                  <c:v>18/01/2026</c:v>
                </c:pt>
                <c:pt idx="12">
                  <c:v>19/01/2026</c:v>
                </c:pt>
                <c:pt idx="13">
                  <c:v>19/01/2026</c:v>
                </c:pt>
                <c:pt idx="14">
                  <c:v>19/01/2026</c:v>
                </c:pt>
                <c:pt idx="15">
                  <c:v>19/01/2026</c:v>
                </c:pt>
                <c:pt idx="16">
                  <c:v>20/01/2026</c:v>
                </c:pt>
                <c:pt idx="17">
                  <c:v>20/01/2026</c:v>
                </c:pt>
                <c:pt idx="18">
                  <c:v>20/01/2026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21/01/2026</c:v>
                </c:pt>
                <c:pt idx="22">
                  <c:v>22/01/2026</c:v>
                </c:pt>
                <c:pt idx="23">
                  <c:v>22/01/2026</c:v>
                </c:pt>
                <c:pt idx="24">
                  <c:v>23/01/2026</c:v>
                </c:pt>
                <c:pt idx="25">
                  <c:v>23/01/2026</c:v>
                </c:pt>
                <c:pt idx="26">
                  <c:v>24/01/2026</c:v>
                </c:pt>
                <c:pt idx="27">
                  <c:v>24/01/2026</c:v>
                </c:pt>
                <c:pt idx="28">
                  <c:v>24/01/2026</c:v>
                </c:pt>
                <c:pt idx="29">
                  <c:v>25/01/2026</c:v>
                </c:pt>
                <c:pt idx="30">
                  <c:v>25/01/2026</c:v>
                </c:pt>
                <c:pt idx="31">
                  <c:v>25/01/2026</c:v>
                </c:pt>
                <c:pt idx="32">
                  <c:v>26/01/2026</c:v>
                </c:pt>
                <c:pt idx="33">
                  <c:v>26/01/2026</c:v>
                </c:pt>
                <c:pt idx="34">
                  <c:v>28/01/2026</c:v>
                </c:pt>
                <c:pt idx="35">
                  <c:v>28/01/2026</c:v>
                </c:pt>
                <c:pt idx="36">
                  <c:v>28/01/2026</c:v>
                </c:pt>
                <c:pt idx="37">
                  <c:v>29/01/2026</c:v>
                </c:pt>
                <c:pt idx="38">
                  <c:v>29/01/2026</c:v>
                </c:pt>
                <c:pt idx="39">
                  <c:v>30/01/2026</c:v>
                </c:pt>
                <c:pt idx="40">
                  <c:v>31/01/2026</c:v>
                </c:pt>
                <c:pt idx="41">
                  <c:v>31/01/2026</c:v>
                </c:pt>
                <c:pt idx="42">
                  <c:v>02/02/2026</c:v>
                </c:pt>
                <c:pt idx="43">
                  <c:v>02/02/2026</c:v>
                </c:pt>
                <c:pt idx="44">
                  <c:v>03/02/2026</c:v>
                </c:pt>
                <c:pt idx="45">
                  <c:v>04/02/2026</c:v>
                </c:pt>
                <c:pt idx="46">
                  <c:v>04/02/2026</c:v>
                </c:pt>
                <c:pt idx="47">
                  <c:v>05/02/2026</c:v>
                </c:pt>
                <c:pt idx="48">
                  <c:v>05/02/2026</c:v>
                </c:pt>
                <c:pt idx="49">
                  <c:v>06/02/2026</c:v>
                </c:pt>
                <c:pt idx="50">
                  <c:v>10/02/2026</c:v>
                </c:pt>
                <c:pt idx="51">
                  <c:v>11/02/2026</c:v>
                </c:pt>
                <c:pt idx="52">
                  <c:v>11/02/2026</c:v>
                </c:pt>
                <c:pt idx="53">
                  <c:v>12/02/2026</c:v>
                </c:pt>
                <c:pt idx="54">
                  <c:v>13/02/2026</c:v>
                </c:pt>
                <c:pt idx="55">
                  <c:v>15/02/2026</c:v>
                </c:pt>
                <c:pt idx="56">
                  <c:v>15/02/2026</c:v>
                </c:pt>
                <c:pt idx="57">
                  <c:v>16/02/2026</c:v>
                </c:pt>
                <c:pt idx="58">
                  <c:v>17/02/2026</c:v>
                </c:pt>
                <c:pt idx="59">
                  <c:v>18/02/2026</c:v>
                </c:pt>
                <c:pt idx="60">
                  <c:v>18/02/2026</c:v>
                </c:pt>
                <c:pt idx="61">
                  <c:v>19/02/2026</c:v>
                </c:pt>
                <c:pt idx="62">
                  <c:v>20/02/2026</c:v>
                </c:pt>
                <c:pt idx="63">
                  <c:v>20/02/2026</c:v>
                </c:pt>
                <c:pt idx="64">
                  <c:v>22/02/2026</c:v>
                </c:pt>
                <c:pt idx="65">
                  <c:v>23/02/2026</c:v>
                </c:pt>
                <c:pt idx="66">
                  <c:v>24/02/2026</c:v>
                </c:pt>
                <c:pt idx="67">
                  <c:v>24/02/2026</c:v>
                </c:pt>
                <c:pt idx="68">
                  <c:v>25/02/2026</c:v>
                </c:pt>
                <c:pt idx="69">
                  <c:v>26/02/2026</c:v>
                </c:pt>
                <c:pt idx="70">
                  <c:v>27/02/2026</c:v>
                </c:pt>
                <c:pt idx="71">
                  <c:v>27/02/2026</c:v>
                </c:pt>
                <c:pt idx="72">
                  <c:v>27/02/2026</c:v>
                </c:pt>
                <c:pt idx="73">
                  <c:v>27/02/2026</c:v>
                </c:pt>
                <c:pt idx="74">
                  <c:v>27/02/2026</c:v>
                </c:pt>
                <c:pt idx="75">
                  <c:v>28/02/2026</c:v>
                </c:pt>
                <c:pt idx="76">
                  <c:v>28/02/2026</c:v>
                </c:pt>
                <c:pt idx="77">
                  <c:v>28/02/2026</c:v>
                </c:pt>
                <c:pt idx="78">
                  <c:v>01/03/2026</c:v>
                </c:pt>
                <c:pt idx="79">
                  <c:v>02/03/2026</c:v>
                </c:pt>
                <c:pt idx="80">
                  <c:v>02/03/2026</c:v>
                </c:pt>
                <c:pt idx="81">
                  <c:v>03/03/2026</c:v>
                </c:pt>
                <c:pt idx="82">
                  <c:v>04/03/2026</c:v>
                </c:pt>
                <c:pt idx="83">
                  <c:v>05/03/2026</c:v>
                </c:pt>
                <c:pt idx="84">
                  <c:v>05/03/2026</c:v>
                </c:pt>
                <c:pt idx="85">
                  <c:v>06/03/2026</c:v>
                </c:pt>
                <c:pt idx="86">
                  <c:v>06/03/2026</c:v>
                </c:pt>
                <c:pt idx="87">
                  <c:v>07/03/2026</c:v>
                </c:pt>
                <c:pt idx="88">
                  <c:v>09/03/2026</c:v>
                </c:pt>
                <c:pt idx="89">
                  <c:v>10/03/2026</c:v>
                </c:pt>
                <c:pt idx="90">
                  <c:v>11/03/2026</c:v>
                </c:pt>
                <c:pt idx="91">
                  <c:v>12/03/2026</c:v>
                </c:pt>
                <c:pt idx="92">
                  <c:v>12/03/2026</c:v>
                </c:pt>
                <c:pt idx="93">
                  <c:v>13/03/2026</c:v>
                </c:pt>
                <c:pt idx="94">
                  <c:v>15/03/2026</c:v>
                </c:pt>
                <c:pt idx="95">
                  <c:v>15/03/2026</c:v>
                </c:pt>
                <c:pt idx="96">
                  <c:v>15/03/2026</c:v>
                </c:pt>
                <c:pt idx="97">
                  <c:v>15/03/2026</c:v>
                </c:pt>
                <c:pt idx="98">
                  <c:v>16/03/2026</c:v>
                </c:pt>
                <c:pt idx="99">
                  <c:v>16/03/2026</c:v>
                </c:pt>
                <c:pt idx="100">
                  <c:v>17/03/2026</c:v>
                </c:pt>
                <c:pt idx="101">
                  <c:v>18/03/2026</c:v>
                </c:pt>
                <c:pt idx="102">
                  <c:v>19/03/2026</c:v>
                </c:pt>
                <c:pt idx="103">
                  <c:v>20/03/2026</c:v>
                </c:pt>
                <c:pt idx="104">
                  <c:v>20/03/2026</c:v>
                </c:pt>
                <c:pt idx="105">
                  <c:v>22/03/2026</c:v>
                </c:pt>
                <c:pt idx="106">
                  <c:v>23/03/2026</c:v>
                </c:pt>
                <c:pt idx="107">
                  <c:v>25/03/2026</c:v>
                </c:pt>
                <c:pt idx="108">
                  <c:v>25/03/2026</c:v>
                </c:pt>
                <c:pt idx="109">
                  <c:v>25/03/2026</c:v>
                </c:pt>
                <c:pt idx="110">
                  <c:v>26/03/2026</c:v>
                </c:pt>
                <c:pt idx="111">
                  <c:v>26/03/2026</c:v>
                </c:pt>
                <c:pt idx="112">
                  <c:v>27/03/2026</c:v>
                </c:pt>
                <c:pt idx="113">
                  <c:v>27/03/2026</c:v>
                </c:pt>
                <c:pt idx="114">
                  <c:v>29/03/2026</c:v>
                </c:pt>
                <c:pt idx="115">
                  <c:v>30/03/2026</c:v>
                </c:pt>
                <c:pt idx="116">
                  <c:v>30/03/2026</c:v>
                </c:pt>
                <c:pt idx="117">
                  <c:v>31/03/2026</c:v>
                </c:pt>
                <c:pt idx="118">
                  <c:v>31/03/2026</c:v>
                </c:pt>
                <c:pt idx="119">
                  <c:v>01/04/2026</c:v>
                </c:pt>
                <c:pt idx="120">
                  <c:v>06/04/2026</c:v>
                </c:pt>
                <c:pt idx="121">
                  <c:v>06/04/2026</c:v>
                </c:pt>
                <c:pt idx="122">
                  <c:v>06/04/2026</c:v>
                </c:pt>
                <c:pt idx="123">
                  <c:v>07/04/2026</c:v>
                </c:pt>
                <c:pt idx="124">
                  <c:v>08/04/2026</c:v>
                </c:pt>
                <c:pt idx="125">
                  <c:v>09/04/2026</c:v>
                </c:pt>
                <c:pt idx="126">
                  <c:v>10/04/2026</c:v>
                </c:pt>
                <c:pt idx="127">
                  <c:v>10/04/2026</c:v>
                </c:pt>
                <c:pt idx="128">
                  <c:v>10/04/2026</c:v>
                </c:pt>
                <c:pt idx="129">
                  <c:v>13/04/2026</c:v>
                </c:pt>
                <c:pt idx="130">
                  <c:v>13/04/2026</c:v>
                </c:pt>
                <c:pt idx="131">
                  <c:v>14/04/2026</c:v>
                </c:pt>
                <c:pt idx="132">
                  <c:v>15/04/2026</c:v>
                </c:pt>
                <c:pt idx="133">
                  <c:v>15/04/2026</c:v>
                </c:pt>
                <c:pt idx="134">
                  <c:v>15/04/2026</c:v>
                </c:pt>
                <c:pt idx="135">
                  <c:v>16/04/2026</c:v>
                </c:pt>
                <c:pt idx="136">
                  <c:v>16/04/2026</c:v>
                </c:pt>
                <c:pt idx="137">
                  <c:v>17/04/2026</c:v>
                </c:pt>
                <c:pt idx="138">
                  <c:v>20/04/2026</c:v>
                </c:pt>
                <c:pt idx="139">
                  <c:v>22/04/2026</c:v>
                </c:pt>
                <c:pt idx="140">
                  <c:v>22/04/2026</c:v>
                </c:pt>
                <c:pt idx="141">
                  <c:v>22/04/2026</c:v>
                </c:pt>
                <c:pt idx="142">
                  <c:v>23/04/2026</c:v>
                </c:pt>
                <c:pt idx="143">
                  <c:v>24/04/2026</c:v>
                </c:pt>
                <c:pt idx="144">
                  <c:v>25/04/2026</c:v>
                </c:pt>
                <c:pt idx="145">
                  <c:v>26/04/2026</c:v>
                </c:pt>
                <c:pt idx="146">
                  <c:v>27/04/2026</c:v>
                </c:pt>
                <c:pt idx="147">
                  <c:v>27/04/2026</c:v>
                </c:pt>
                <c:pt idx="148">
                  <c:v>28/04/2026</c:v>
                </c:pt>
                <c:pt idx="149">
                  <c:v>28/04/2026</c:v>
                </c:pt>
                <c:pt idx="150">
                  <c:v>29/04/2026</c:v>
                </c:pt>
                <c:pt idx="151">
                  <c:v>30/04/2026</c:v>
                </c:pt>
                <c:pt idx="152">
                  <c:v>04/05/2026</c:v>
                </c:pt>
                <c:pt idx="153">
                  <c:v>05/05/2026</c:v>
                </c:pt>
                <c:pt idx="154">
                  <c:v>05/05/2026</c:v>
                </c:pt>
                <c:pt idx="155">
                  <c:v>06/05/2026</c:v>
                </c:pt>
                <c:pt idx="156">
                  <c:v>07/05/2026</c:v>
                </c:pt>
                <c:pt idx="157">
                  <c:v>08/05/2026</c:v>
                </c:pt>
                <c:pt idx="158">
                  <c:v>09/05/2026</c:v>
                </c:pt>
                <c:pt idx="159">
                  <c:v>10/05/2026</c:v>
                </c:pt>
                <c:pt idx="160">
                  <c:v>11/05/2026</c:v>
                </c:pt>
                <c:pt idx="161">
                  <c:v>12/05/2026</c:v>
                </c:pt>
                <c:pt idx="162">
                  <c:v>12/05/2026</c:v>
                </c:pt>
                <c:pt idx="163">
                  <c:v>13/05/2026</c:v>
                </c:pt>
                <c:pt idx="164">
                  <c:v>14/05/2026</c:v>
                </c:pt>
                <c:pt idx="165">
                  <c:v>15/05/2026</c:v>
                </c:pt>
                <c:pt idx="166">
                  <c:v>15/05/2026</c:v>
                </c:pt>
                <c:pt idx="167">
                  <c:v>16/05/2026</c:v>
                </c:pt>
                <c:pt idx="168">
                  <c:v>18/05/2026</c:v>
                </c:pt>
                <c:pt idx="169">
                  <c:v>18/05/2026</c:v>
                </c:pt>
                <c:pt idx="170">
                  <c:v>18/05/2026</c:v>
                </c:pt>
                <c:pt idx="171">
                  <c:v>18/05/2026</c:v>
                </c:pt>
                <c:pt idx="172">
                  <c:v>19/05/2026</c:v>
                </c:pt>
                <c:pt idx="173">
                  <c:v>20/05/2026</c:v>
                </c:pt>
                <c:pt idx="174">
                  <c:v>21/05/2026</c:v>
                </c:pt>
                <c:pt idx="175">
                  <c:v>21/05/2026</c:v>
                </c:pt>
                <c:pt idx="176">
                  <c:v>22/05/2026</c:v>
                </c:pt>
                <c:pt idx="177">
                  <c:v>22/05/2026</c:v>
                </c:pt>
                <c:pt idx="178">
                  <c:v>24/05/2026</c:v>
                </c:pt>
                <c:pt idx="179">
                  <c:v>24/05/2026</c:v>
                </c:pt>
                <c:pt idx="180">
                  <c:v>25/05/2026</c:v>
                </c:pt>
                <c:pt idx="181">
                  <c:v>25/05/2026</c:v>
                </c:pt>
                <c:pt idx="182">
                  <c:v>26/05/2026</c:v>
                </c:pt>
                <c:pt idx="183">
                  <c:v>26/05/2026</c:v>
                </c:pt>
                <c:pt idx="184">
                  <c:v>26/05/2026</c:v>
                </c:pt>
                <c:pt idx="185">
                  <c:v>27/05/2026</c:v>
                </c:pt>
                <c:pt idx="186">
                  <c:v>28/05/2026</c:v>
                </c:pt>
                <c:pt idx="187">
                  <c:v>28/05/2026</c:v>
                </c:pt>
                <c:pt idx="188">
                  <c:v>28/05/2026</c:v>
                </c:pt>
                <c:pt idx="189">
                  <c:v>29/05/2026</c:v>
                </c:pt>
                <c:pt idx="190">
                  <c:v>30/05/2026</c:v>
                </c:pt>
                <c:pt idx="191">
                  <c:v>31/05/2026</c:v>
                </c:pt>
                <c:pt idx="192">
                  <c:v>01/06/2026</c:v>
                </c:pt>
                <c:pt idx="193">
                  <c:v>01/06/2026</c:v>
                </c:pt>
                <c:pt idx="194">
                  <c:v>02/06/2026</c:v>
                </c:pt>
                <c:pt idx="195">
                  <c:v>02/06/2026</c:v>
                </c:pt>
                <c:pt idx="196">
                  <c:v>03/06/2026</c:v>
                </c:pt>
                <c:pt idx="197">
                  <c:v>04/06/2026</c:v>
                </c:pt>
                <c:pt idx="198">
                  <c:v>05/06/2026</c:v>
                </c:pt>
                <c:pt idx="199">
                  <c:v>05/06/2026</c:v>
                </c:pt>
                <c:pt idx="200">
                  <c:v>06/06/2026</c:v>
                </c:pt>
                <c:pt idx="201">
                  <c:v>07/06/2026</c:v>
                </c:pt>
                <c:pt idx="202">
                  <c:v>08/06/2026</c:v>
                </c:pt>
                <c:pt idx="203">
                  <c:v>09/06/2026</c:v>
                </c:pt>
                <c:pt idx="204">
                  <c:v>09/06/2026</c:v>
                </c:pt>
                <c:pt idx="205">
                  <c:v>10/06/2026</c:v>
                </c:pt>
                <c:pt idx="206">
                  <c:v>10/06/2026</c:v>
                </c:pt>
                <c:pt idx="207">
                  <c:v>11/06/2026</c:v>
                </c:pt>
                <c:pt idx="208">
                  <c:v>12/06/2026</c:v>
                </c:pt>
                <c:pt idx="209">
                  <c:v>12/06/2026</c:v>
                </c:pt>
                <c:pt idx="210">
                  <c:v>13/06/2026</c:v>
                </c:pt>
                <c:pt idx="211">
                  <c:v>14/06/2026</c:v>
                </c:pt>
                <c:pt idx="212">
                  <c:v>14/06/2026</c:v>
                </c:pt>
                <c:pt idx="213">
                  <c:v>15/06/2026</c:v>
                </c:pt>
                <c:pt idx="214">
                  <c:v>16/06/2026</c:v>
                </c:pt>
                <c:pt idx="215">
                  <c:v>17/06/2026</c:v>
                </c:pt>
                <c:pt idx="216">
                  <c:v>17/06/2026</c:v>
                </c:pt>
                <c:pt idx="217">
                  <c:v>18/06/2026</c:v>
                </c:pt>
                <c:pt idx="218">
                  <c:v>18/06/2026</c:v>
                </c:pt>
                <c:pt idx="219">
                  <c:v>19/06/2026</c:v>
                </c:pt>
                <c:pt idx="220">
                  <c:v>22/06/2026</c:v>
                </c:pt>
                <c:pt idx="221">
                  <c:v>22/06/2026</c:v>
                </c:pt>
                <c:pt idx="222">
                  <c:v>22/06/2026</c:v>
                </c:pt>
                <c:pt idx="223">
                  <c:v>23/06/2026</c:v>
                </c:pt>
                <c:pt idx="224">
                  <c:v>24/06/2026</c:v>
                </c:pt>
                <c:pt idx="225">
                  <c:v>24/06/2026</c:v>
                </c:pt>
                <c:pt idx="226">
                  <c:v>25/06/2026</c:v>
                </c:pt>
                <c:pt idx="227">
                  <c:v>26/06/2026</c:v>
                </c:pt>
                <c:pt idx="228">
                  <c:v>29/06/2026</c:v>
                </c:pt>
                <c:pt idx="229">
                  <c:v>30/06/2026</c:v>
                </c:pt>
                <c:pt idx="230">
                  <c:v>30/06/2026</c:v>
                </c:pt>
                <c:pt idx="231">
                  <c:v>30/06/2026</c:v>
                </c:pt>
                <c:pt idx="232">
                  <c:v>01/07/2026</c:v>
                </c:pt>
                <c:pt idx="233">
                  <c:v>01/07/2026</c:v>
                </c:pt>
                <c:pt idx="234">
                  <c:v>01/07/2026</c:v>
                </c:pt>
                <c:pt idx="235">
                  <c:v>02/07/2026</c:v>
                </c:pt>
                <c:pt idx="236">
                  <c:v>02/07/2026</c:v>
                </c:pt>
                <c:pt idx="237">
                  <c:v>03/07/2026</c:v>
                </c:pt>
                <c:pt idx="238">
                  <c:v>05/07/2026</c:v>
                </c:pt>
                <c:pt idx="239">
                  <c:v>06/07/2026</c:v>
                </c:pt>
                <c:pt idx="240">
                  <c:v>06/07/2026</c:v>
                </c:pt>
                <c:pt idx="241">
                  <c:v>06/07/2026</c:v>
                </c:pt>
                <c:pt idx="242">
                  <c:v>07/07/2026</c:v>
                </c:pt>
                <c:pt idx="243">
                  <c:v>08/07/2026</c:v>
                </c:pt>
                <c:pt idx="244">
                  <c:v>09/07/2026</c:v>
                </c:pt>
                <c:pt idx="245">
                  <c:v>12/07/2026</c:v>
                </c:pt>
                <c:pt idx="246">
                  <c:v>12/07/2026</c:v>
                </c:pt>
                <c:pt idx="247">
                  <c:v>15/07/2026</c:v>
                </c:pt>
                <c:pt idx="248">
                  <c:v>15/07/2026</c:v>
                </c:pt>
                <c:pt idx="249">
                  <c:v>16/07/2026</c:v>
                </c:pt>
                <c:pt idx="250">
                  <c:v>17/07/2026</c:v>
                </c:pt>
                <c:pt idx="251">
                  <c:v>17/07/2026</c:v>
                </c:pt>
                <c:pt idx="252">
                  <c:v>17/07/2026</c:v>
                </c:pt>
                <c:pt idx="253">
                  <c:v>18/07/2026</c:v>
                </c:pt>
                <c:pt idx="254">
                  <c:v>18/07/2026</c:v>
                </c:pt>
                <c:pt idx="255">
                  <c:v>20/07/2026</c:v>
                </c:pt>
                <c:pt idx="256">
                  <c:v>20/07/2026</c:v>
                </c:pt>
                <c:pt idx="257">
                  <c:v>21/07/2026</c:v>
                </c:pt>
                <c:pt idx="258">
                  <c:v>22/07/2026</c:v>
                </c:pt>
                <c:pt idx="259">
                  <c:v>22/07/2026</c:v>
                </c:pt>
                <c:pt idx="260">
                  <c:v>23/07/2026</c:v>
                </c:pt>
                <c:pt idx="261">
                  <c:v>23/07/2026</c:v>
                </c:pt>
                <c:pt idx="262">
                  <c:v>24/07/2026</c:v>
                </c:pt>
                <c:pt idx="263">
                  <c:v>25/07/2026</c:v>
                </c:pt>
                <c:pt idx="264">
                  <c:v>26/07/2026</c:v>
                </c:pt>
                <c:pt idx="265">
                  <c:v>26/07/2026</c:v>
                </c:pt>
                <c:pt idx="266">
                  <c:v>27/07/2026</c:v>
                </c:pt>
                <c:pt idx="267">
                  <c:v>28/07/2026</c:v>
                </c:pt>
                <c:pt idx="268">
                  <c:v>28/07/2026</c:v>
                </c:pt>
                <c:pt idx="269">
                  <c:v>30/07/2026</c:v>
                </c:pt>
                <c:pt idx="270">
                  <c:v>31/07/2026</c:v>
                </c:pt>
                <c:pt idx="271">
                  <c:v>09/08/2026</c:v>
                </c:pt>
                <c:pt idx="272">
                  <c:v>09/08/2026</c:v>
                </c:pt>
                <c:pt idx="273">
                  <c:v>09/08/2026</c:v>
                </c:pt>
                <c:pt idx="274">
                  <c:v>12/08/2026</c:v>
                </c:pt>
                <c:pt idx="275">
                  <c:v>15/08/2026</c:v>
                </c:pt>
                <c:pt idx="276">
                  <c:v>15/08/2026</c:v>
                </c:pt>
                <c:pt idx="277">
                  <c:v>19/08/2026</c:v>
                </c:pt>
                <c:pt idx="278">
                  <c:v>19/08/2026</c:v>
                </c:pt>
                <c:pt idx="279">
                  <c:v>20/08/2026</c:v>
                </c:pt>
                <c:pt idx="280">
                  <c:v>21/08/2026</c:v>
                </c:pt>
                <c:pt idx="281">
                  <c:v>22/08/2026</c:v>
                </c:pt>
                <c:pt idx="282">
                  <c:v>24/08/2026</c:v>
                </c:pt>
                <c:pt idx="283">
                  <c:v>26/08/2026</c:v>
                </c:pt>
                <c:pt idx="284">
                  <c:v>26/08/2026</c:v>
                </c:pt>
                <c:pt idx="285">
                  <c:v>26/08/2026</c:v>
                </c:pt>
                <c:pt idx="286">
                  <c:v>28/08/2026</c:v>
                </c:pt>
                <c:pt idx="287">
                  <c:v>29/08/2026</c:v>
                </c:pt>
                <c:pt idx="288">
                  <c:v>30/08/2026</c:v>
                </c:pt>
                <c:pt idx="289">
                  <c:v>01/09/2026</c:v>
                </c:pt>
                <c:pt idx="290">
                  <c:v>02/09/2026</c:v>
                </c:pt>
                <c:pt idx="291">
                  <c:v>02/09/2026</c:v>
                </c:pt>
                <c:pt idx="292">
                  <c:v>04/09/2026</c:v>
                </c:pt>
                <c:pt idx="293">
                  <c:v>06/09/2026</c:v>
                </c:pt>
                <c:pt idx="294">
                  <c:v>09/09/2026</c:v>
                </c:pt>
                <c:pt idx="295">
                  <c:v>11/09/2026</c:v>
                </c:pt>
                <c:pt idx="296">
                  <c:v>14/09/2026</c:v>
                </c:pt>
                <c:pt idx="297">
                  <c:v>16/09/2026</c:v>
                </c:pt>
                <c:pt idx="298">
                  <c:v>16/09/2026</c:v>
                </c:pt>
                <c:pt idx="299">
                  <c:v>19/09/2026</c:v>
                </c:pt>
                <c:pt idx="300">
                  <c:v>20/09/2026</c:v>
                </c:pt>
                <c:pt idx="301">
                  <c:v>21/09/2026</c:v>
                </c:pt>
                <c:pt idx="302">
                  <c:v>23/09/2026</c:v>
                </c:pt>
                <c:pt idx="303">
                  <c:v>23/09/2026</c:v>
                </c:pt>
                <c:pt idx="304">
                  <c:v>24/09/2026</c:v>
                </c:pt>
                <c:pt idx="305">
                  <c:v>25/09/2026</c:v>
                </c:pt>
                <c:pt idx="306">
                  <c:v>26/09/2026</c:v>
                </c:pt>
                <c:pt idx="307">
                  <c:v>26/09/2026</c:v>
                </c:pt>
                <c:pt idx="308">
                  <c:v>26/09/2026</c:v>
                </c:pt>
                <c:pt idx="309">
                  <c:v>27/09/2026</c:v>
                </c:pt>
                <c:pt idx="310">
                  <c:v>27/09/2026</c:v>
                </c:pt>
                <c:pt idx="311">
                  <c:v>27/09/2026</c:v>
                </c:pt>
                <c:pt idx="312">
                  <c:v>27/09/2026</c:v>
                </c:pt>
                <c:pt idx="313">
                  <c:v>27/09/2026</c:v>
                </c:pt>
                <c:pt idx="314">
                  <c:v>29/09/2026</c:v>
                </c:pt>
                <c:pt idx="315">
                  <c:v>30/09/2026</c:v>
                </c:pt>
                <c:pt idx="316">
                  <c:v>02/10/2026</c:v>
                </c:pt>
                <c:pt idx="317">
                  <c:v>04/10/2026</c:v>
                </c:pt>
                <c:pt idx="318">
                  <c:v>05/10/2026</c:v>
                </c:pt>
              </c:strCache>
            </c:strRef>
          </c:cat>
          <c:val>
            <c:numRef>
              <c:f>Graficos!$AU$28:$AU$346</c:f>
              <c:numCache>
                <c:formatCode>General</c:formatCode>
                <c:ptCount val="319"/>
                <c:pt idx="0">
                  <c:v>8.8800000000000008</c:v>
                </c:pt>
                <c:pt idx="1">
                  <c:v>9.02</c:v>
                </c:pt>
                <c:pt idx="2">
                  <c:v>9.01</c:v>
                </c:pt>
                <c:pt idx="3">
                  <c:v>8.99</c:v>
                </c:pt>
                <c:pt idx="4">
                  <c:v>8.9499999999999993</c:v>
                </c:pt>
                <c:pt idx="5">
                  <c:v>8.86</c:v>
                </c:pt>
                <c:pt idx="6">
                  <c:v>8.86</c:v>
                </c:pt>
                <c:pt idx="7">
                  <c:v>8.92</c:v>
                </c:pt>
                <c:pt idx="8">
                  <c:v>8.99</c:v>
                </c:pt>
                <c:pt idx="9">
                  <c:v>9.02</c:v>
                </c:pt>
                <c:pt idx="10">
                  <c:v>9.0500000000000007</c:v>
                </c:pt>
                <c:pt idx="11">
                  <c:v>9.07</c:v>
                </c:pt>
                <c:pt idx="12">
                  <c:v>9.0500000000000007</c:v>
                </c:pt>
                <c:pt idx="13">
                  <c:v>9.07</c:v>
                </c:pt>
                <c:pt idx="14">
                  <c:v>9.06</c:v>
                </c:pt>
                <c:pt idx="15">
                  <c:v>9.02</c:v>
                </c:pt>
                <c:pt idx="16">
                  <c:v>8.98</c:v>
                </c:pt>
                <c:pt idx="17">
                  <c:v>8.94</c:v>
                </c:pt>
                <c:pt idx="18">
                  <c:v>8.92</c:v>
                </c:pt>
                <c:pt idx="19">
                  <c:v>8.8699999999999992</c:v>
                </c:pt>
                <c:pt idx="20">
                  <c:v>8.8800000000000008</c:v>
                </c:pt>
                <c:pt idx="21">
                  <c:v>8.8699999999999992</c:v>
                </c:pt>
                <c:pt idx="22">
                  <c:v>8.86</c:v>
                </c:pt>
                <c:pt idx="23">
                  <c:v>8.8000000000000007</c:v>
                </c:pt>
                <c:pt idx="24">
                  <c:v>8.81</c:v>
                </c:pt>
                <c:pt idx="25">
                  <c:v>8.77</c:v>
                </c:pt>
                <c:pt idx="26">
                  <c:v>8.7799999999999994</c:v>
                </c:pt>
                <c:pt idx="27">
                  <c:v>8.7799999999999994</c:v>
                </c:pt>
                <c:pt idx="28">
                  <c:v>8.76</c:v>
                </c:pt>
                <c:pt idx="29">
                  <c:v>8.7200000000000006</c:v>
                </c:pt>
                <c:pt idx="30">
                  <c:v>8.74</c:v>
                </c:pt>
                <c:pt idx="31">
                  <c:v>8.74</c:v>
                </c:pt>
                <c:pt idx="32">
                  <c:v>8.73</c:v>
                </c:pt>
                <c:pt idx="33">
                  <c:v>8.73</c:v>
                </c:pt>
                <c:pt idx="34">
                  <c:v>8.7200000000000006</c:v>
                </c:pt>
                <c:pt idx="35">
                  <c:v>8.7200000000000006</c:v>
                </c:pt>
                <c:pt idx="36">
                  <c:v>8.77</c:v>
                </c:pt>
                <c:pt idx="37">
                  <c:v>8.77</c:v>
                </c:pt>
                <c:pt idx="38">
                  <c:v>8.75</c:v>
                </c:pt>
                <c:pt idx="39">
                  <c:v>8.75</c:v>
                </c:pt>
                <c:pt idx="40">
                  <c:v>8.73</c:v>
                </c:pt>
                <c:pt idx="41">
                  <c:v>8.73</c:v>
                </c:pt>
                <c:pt idx="42">
                  <c:v>8.69</c:v>
                </c:pt>
                <c:pt idx="43">
                  <c:v>8.7200000000000006</c:v>
                </c:pt>
                <c:pt idx="44">
                  <c:v>8.7100000000000009</c:v>
                </c:pt>
                <c:pt idx="45">
                  <c:v>8.7200000000000006</c:v>
                </c:pt>
                <c:pt idx="46">
                  <c:v>8.7100000000000009</c:v>
                </c:pt>
                <c:pt idx="47">
                  <c:v>8.73</c:v>
                </c:pt>
                <c:pt idx="48">
                  <c:v>8.75</c:v>
                </c:pt>
                <c:pt idx="49">
                  <c:v>8.75</c:v>
                </c:pt>
                <c:pt idx="50">
                  <c:v>8.75</c:v>
                </c:pt>
                <c:pt idx="51">
                  <c:v>8.77</c:v>
                </c:pt>
                <c:pt idx="52">
                  <c:v>8.76</c:v>
                </c:pt>
                <c:pt idx="53">
                  <c:v>8.76</c:v>
                </c:pt>
                <c:pt idx="54">
                  <c:v>8.76</c:v>
                </c:pt>
                <c:pt idx="55">
                  <c:v>8.76</c:v>
                </c:pt>
                <c:pt idx="56">
                  <c:v>8.76</c:v>
                </c:pt>
                <c:pt idx="57">
                  <c:v>8.76</c:v>
                </c:pt>
                <c:pt idx="58">
                  <c:v>8.76</c:v>
                </c:pt>
                <c:pt idx="59">
                  <c:v>8.76</c:v>
                </c:pt>
                <c:pt idx="60">
                  <c:v>8.74</c:v>
                </c:pt>
                <c:pt idx="61">
                  <c:v>8.74</c:v>
                </c:pt>
                <c:pt idx="62">
                  <c:v>8.75</c:v>
                </c:pt>
                <c:pt idx="63">
                  <c:v>8.73</c:v>
                </c:pt>
                <c:pt idx="64">
                  <c:v>8.73</c:v>
                </c:pt>
                <c:pt idx="65">
                  <c:v>8.74</c:v>
                </c:pt>
                <c:pt idx="66">
                  <c:v>8.74</c:v>
                </c:pt>
                <c:pt idx="67">
                  <c:v>8.76</c:v>
                </c:pt>
                <c:pt idx="68">
                  <c:v>8.76</c:v>
                </c:pt>
                <c:pt idx="69">
                  <c:v>8.76</c:v>
                </c:pt>
                <c:pt idx="70">
                  <c:v>8.77</c:v>
                </c:pt>
                <c:pt idx="71">
                  <c:v>8.75</c:v>
                </c:pt>
                <c:pt idx="72">
                  <c:v>8.75</c:v>
                </c:pt>
                <c:pt idx="73">
                  <c:v>8.75</c:v>
                </c:pt>
                <c:pt idx="74">
                  <c:v>8.75</c:v>
                </c:pt>
                <c:pt idx="75">
                  <c:v>8.76</c:v>
                </c:pt>
                <c:pt idx="76">
                  <c:v>8.75</c:v>
                </c:pt>
                <c:pt idx="77">
                  <c:v>8.75</c:v>
                </c:pt>
                <c:pt idx="78">
                  <c:v>8.75</c:v>
                </c:pt>
                <c:pt idx="79">
                  <c:v>8.75</c:v>
                </c:pt>
                <c:pt idx="80">
                  <c:v>8.75</c:v>
                </c:pt>
                <c:pt idx="81">
                  <c:v>8.75</c:v>
                </c:pt>
                <c:pt idx="82">
                  <c:v>8.75</c:v>
                </c:pt>
                <c:pt idx="83">
                  <c:v>8.75</c:v>
                </c:pt>
                <c:pt idx="84">
                  <c:v>8.75</c:v>
                </c:pt>
                <c:pt idx="85">
                  <c:v>8.74</c:v>
                </c:pt>
                <c:pt idx="86">
                  <c:v>8.74</c:v>
                </c:pt>
                <c:pt idx="87">
                  <c:v>8.74</c:v>
                </c:pt>
                <c:pt idx="88">
                  <c:v>8.74</c:v>
                </c:pt>
                <c:pt idx="89">
                  <c:v>8.74</c:v>
                </c:pt>
                <c:pt idx="90">
                  <c:v>8.74</c:v>
                </c:pt>
                <c:pt idx="91">
                  <c:v>8.75</c:v>
                </c:pt>
                <c:pt idx="92">
                  <c:v>8.75</c:v>
                </c:pt>
                <c:pt idx="93">
                  <c:v>8.74</c:v>
                </c:pt>
                <c:pt idx="94">
                  <c:v>8.75</c:v>
                </c:pt>
                <c:pt idx="95">
                  <c:v>8.74</c:v>
                </c:pt>
                <c:pt idx="96">
                  <c:v>8.75</c:v>
                </c:pt>
                <c:pt idx="97">
                  <c:v>8.75</c:v>
                </c:pt>
                <c:pt idx="98">
                  <c:v>8.75</c:v>
                </c:pt>
                <c:pt idx="99">
                  <c:v>8.75</c:v>
                </c:pt>
                <c:pt idx="100">
                  <c:v>8.75</c:v>
                </c:pt>
                <c:pt idx="101">
                  <c:v>8.75</c:v>
                </c:pt>
                <c:pt idx="102">
                  <c:v>8.75</c:v>
                </c:pt>
                <c:pt idx="103">
                  <c:v>8.75</c:v>
                </c:pt>
                <c:pt idx="104">
                  <c:v>8.75</c:v>
                </c:pt>
                <c:pt idx="105">
                  <c:v>8.75</c:v>
                </c:pt>
                <c:pt idx="106">
                  <c:v>8.74</c:v>
                </c:pt>
                <c:pt idx="107">
                  <c:v>8.75</c:v>
                </c:pt>
                <c:pt idx="108">
                  <c:v>8.74</c:v>
                </c:pt>
                <c:pt idx="109">
                  <c:v>8.74</c:v>
                </c:pt>
                <c:pt idx="110">
                  <c:v>8.74</c:v>
                </c:pt>
                <c:pt idx="111">
                  <c:v>8.6999999999999993</c:v>
                </c:pt>
                <c:pt idx="112">
                  <c:v>8.6999999999999993</c:v>
                </c:pt>
                <c:pt idx="113">
                  <c:v>8.69</c:v>
                </c:pt>
                <c:pt idx="114">
                  <c:v>8.69</c:v>
                </c:pt>
                <c:pt idx="115">
                  <c:v>8.69</c:v>
                </c:pt>
                <c:pt idx="116">
                  <c:v>8.69</c:v>
                </c:pt>
                <c:pt idx="117">
                  <c:v>8.69</c:v>
                </c:pt>
                <c:pt idx="118">
                  <c:v>8.68</c:v>
                </c:pt>
                <c:pt idx="119">
                  <c:v>8.67</c:v>
                </c:pt>
                <c:pt idx="120">
                  <c:v>8.67</c:v>
                </c:pt>
                <c:pt idx="121">
                  <c:v>8.68</c:v>
                </c:pt>
                <c:pt idx="122">
                  <c:v>8.68</c:v>
                </c:pt>
                <c:pt idx="123">
                  <c:v>8.68</c:v>
                </c:pt>
                <c:pt idx="124">
                  <c:v>8.67</c:v>
                </c:pt>
                <c:pt idx="125">
                  <c:v>8.68</c:v>
                </c:pt>
                <c:pt idx="126">
                  <c:v>8.68</c:v>
                </c:pt>
                <c:pt idx="127">
                  <c:v>8.67</c:v>
                </c:pt>
                <c:pt idx="128">
                  <c:v>8.67</c:v>
                </c:pt>
                <c:pt idx="129">
                  <c:v>8.67</c:v>
                </c:pt>
                <c:pt idx="130">
                  <c:v>8.67</c:v>
                </c:pt>
                <c:pt idx="131">
                  <c:v>8.67</c:v>
                </c:pt>
                <c:pt idx="132">
                  <c:v>8.67</c:v>
                </c:pt>
                <c:pt idx="133">
                  <c:v>8.67</c:v>
                </c:pt>
                <c:pt idx="134">
                  <c:v>8.67</c:v>
                </c:pt>
                <c:pt idx="135">
                  <c:v>8.67</c:v>
                </c:pt>
                <c:pt idx="136">
                  <c:v>8.67</c:v>
                </c:pt>
                <c:pt idx="137">
                  <c:v>8.67</c:v>
                </c:pt>
                <c:pt idx="138">
                  <c:v>8.67</c:v>
                </c:pt>
                <c:pt idx="139">
                  <c:v>8.67</c:v>
                </c:pt>
                <c:pt idx="140">
                  <c:v>8.67</c:v>
                </c:pt>
                <c:pt idx="141">
                  <c:v>8.67</c:v>
                </c:pt>
                <c:pt idx="142">
                  <c:v>8.67</c:v>
                </c:pt>
                <c:pt idx="143">
                  <c:v>8.67</c:v>
                </c:pt>
                <c:pt idx="144">
                  <c:v>8.67</c:v>
                </c:pt>
                <c:pt idx="145">
                  <c:v>8.68</c:v>
                </c:pt>
                <c:pt idx="146">
                  <c:v>8.68</c:v>
                </c:pt>
                <c:pt idx="147">
                  <c:v>8.67</c:v>
                </c:pt>
                <c:pt idx="148">
                  <c:v>8.67</c:v>
                </c:pt>
                <c:pt idx="149">
                  <c:v>8.67</c:v>
                </c:pt>
                <c:pt idx="150">
                  <c:v>8.67</c:v>
                </c:pt>
                <c:pt idx="151">
                  <c:v>8.67</c:v>
                </c:pt>
                <c:pt idx="152">
                  <c:v>8.67</c:v>
                </c:pt>
                <c:pt idx="153">
                  <c:v>8.67</c:v>
                </c:pt>
                <c:pt idx="154">
                  <c:v>8.6300000000000008</c:v>
                </c:pt>
                <c:pt idx="155">
                  <c:v>8.6300000000000008</c:v>
                </c:pt>
                <c:pt idx="156">
                  <c:v>8.6300000000000008</c:v>
                </c:pt>
                <c:pt idx="157">
                  <c:v>8.6300000000000008</c:v>
                </c:pt>
                <c:pt idx="158">
                  <c:v>8.6300000000000008</c:v>
                </c:pt>
                <c:pt idx="159">
                  <c:v>8.6300000000000008</c:v>
                </c:pt>
                <c:pt idx="160">
                  <c:v>8.64</c:v>
                </c:pt>
                <c:pt idx="161">
                  <c:v>8.64</c:v>
                </c:pt>
                <c:pt idx="162">
                  <c:v>8.64</c:v>
                </c:pt>
                <c:pt idx="163">
                  <c:v>8.6300000000000008</c:v>
                </c:pt>
                <c:pt idx="164">
                  <c:v>8.64</c:v>
                </c:pt>
                <c:pt idx="165">
                  <c:v>8.64</c:v>
                </c:pt>
                <c:pt idx="166">
                  <c:v>8.64</c:v>
                </c:pt>
                <c:pt idx="167">
                  <c:v>8.64</c:v>
                </c:pt>
                <c:pt idx="168">
                  <c:v>8.64</c:v>
                </c:pt>
                <c:pt idx="169">
                  <c:v>8.64</c:v>
                </c:pt>
                <c:pt idx="170">
                  <c:v>8.64</c:v>
                </c:pt>
                <c:pt idx="171">
                  <c:v>8.64</c:v>
                </c:pt>
                <c:pt idx="172">
                  <c:v>8.64</c:v>
                </c:pt>
                <c:pt idx="173">
                  <c:v>8.64</c:v>
                </c:pt>
                <c:pt idx="174">
                  <c:v>8.64</c:v>
                </c:pt>
                <c:pt idx="175">
                  <c:v>8.64</c:v>
                </c:pt>
                <c:pt idx="176">
                  <c:v>8.64</c:v>
                </c:pt>
                <c:pt idx="177">
                  <c:v>8.64</c:v>
                </c:pt>
                <c:pt idx="178">
                  <c:v>8.6300000000000008</c:v>
                </c:pt>
                <c:pt idx="179">
                  <c:v>8.64</c:v>
                </c:pt>
                <c:pt idx="180">
                  <c:v>8.64</c:v>
                </c:pt>
                <c:pt idx="181">
                  <c:v>8.64</c:v>
                </c:pt>
                <c:pt idx="182">
                  <c:v>8.64</c:v>
                </c:pt>
                <c:pt idx="183">
                  <c:v>8.64</c:v>
                </c:pt>
                <c:pt idx="184">
                  <c:v>8.64</c:v>
                </c:pt>
                <c:pt idx="185">
                  <c:v>8.64</c:v>
                </c:pt>
                <c:pt idx="186">
                  <c:v>8.64</c:v>
                </c:pt>
                <c:pt idx="187">
                  <c:v>8.64</c:v>
                </c:pt>
                <c:pt idx="188">
                  <c:v>8.64</c:v>
                </c:pt>
                <c:pt idx="189">
                  <c:v>8.64</c:v>
                </c:pt>
                <c:pt idx="190">
                  <c:v>8.64</c:v>
                </c:pt>
                <c:pt idx="191">
                  <c:v>8.64</c:v>
                </c:pt>
                <c:pt idx="192">
                  <c:v>8.64</c:v>
                </c:pt>
                <c:pt idx="193">
                  <c:v>8.64</c:v>
                </c:pt>
                <c:pt idx="194">
                  <c:v>8.64</c:v>
                </c:pt>
                <c:pt idx="195">
                  <c:v>8.64</c:v>
                </c:pt>
                <c:pt idx="196">
                  <c:v>8.64</c:v>
                </c:pt>
                <c:pt idx="197">
                  <c:v>8.64</c:v>
                </c:pt>
                <c:pt idx="198">
                  <c:v>8.64</c:v>
                </c:pt>
                <c:pt idx="199">
                  <c:v>8.6199999999999992</c:v>
                </c:pt>
                <c:pt idx="200">
                  <c:v>8.6199999999999992</c:v>
                </c:pt>
                <c:pt idx="201">
                  <c:v>8.6199999999999992</c:v>
                </c:pt>
                <c:pt idx="202">
                  <c:v>8.6199999999999992</c:v>
                </c:pt>
                <c:pt idx="203">
                  <c:v>8.6199999999999992</c:v>
                </c:pt>
                <c:pt idx="204">
                  <c:v>8.6199999999999992</c:v>
                </c:pt>
                <c:pt idx="205">
                  <c:v>8.61</c:v>
                </c:pt>
                <c:pt idx="206">
                  <c:v>8.6199999999999992</c:v>
                </c:pt>
                <c:pt idx="207">
                  <c:v>8.61</c:v>
                </c:pt>
                <c:pt idx="208">
                  <c:v>8.61</c:v>
                </c:pt>
                <c:pt idx="209">
                  <c:v>8.61</c:v>
                </c:pt>
                <c:pt idx="210">
                  <c:v>8.61</c:v>
                </c:pt>
                <c:pt idx="211">
                  <c:v>8.61</c:v>
                </c:pt>
                <c:pt idx="212">
                  <c:v>8.61</c:v>
                </c:pt>
                <c:pt idx="213">
                  <c:v>8.61</c:v>
                </c:pt>
                <c:pt idx="214">
                  <c:v>8.6199999999999992</c:v>
                </c:pt>
                <c:pt idx="215">
                  <c:v>8.61</c:v>
                </c:pt>
                <c:pt idx="216">
                  <c:v>8.61</c:v>
                </c:pt>
                <c:pt idx="217">
                  <c:v>8.61</c:v>
                </c:pt>
                <c:pt idx="218">
                  <c:v>8.61</c:v>
                </c:pt>
                <c:pt idx="219">
                  <c:v>8.61</c:v>
                </c:pt>
                <c:pt idx="220">
                  <c:v>8.61</c:v>
                </c:pt>
                <c:pt idx="221">
                  <c:v>8.61</c:v>
                </c:pt>
                <c:pt idx="222">
                  <c:v>8.61</c:v>
                </c:pt>
                <c:pt idx="223">
                  <c:v>8.61</c:v>
                </c:pt>
                <c:pt idx="224">
                  <c:v>8.61</c:v>
                </c:pt>
                <c:pt idx="225">
                  <c:v>8.61</c:v>
                </c:pt>
                <c:pt idx="226">
                  <c:v>8.61</c:v>
                </c:pt>
                <c:pt idx="227">
                  <c:v>8.61</c:v>
                </c:pt>
                <c:pt idx="228">
                  <c:v>8.61</c:v>
                </c:pt>
                <c:pt idx="229">
                  <c:v>8.61</c:v>
                </c:pt>
                <c:pt idx="230">
                  <c:v>8.61</c:v>
                </c:pt>
                <c:pt idx="231">
                  <c:v>8.61</c:v>
                </c:pt>
                <c:pt idx="232">
                  <c:v>8.61</c:v>
                </c:pt>
                <c:pt idx="233">
                  <c:v>8.6</c:v>
                </c:pt>
                <c:pt idx="234">
                  <c:v>8.6</c:v>
                </c:pt>
                <c:pt idx="235">
                  <c:v>8.61</c:v>
                </c:pt>
                <c:pt idx="236">
                  <c:v>8.6</c:v>
                </c:pt>
                <c:pt idx="237">
                  <c:v>8.61</c:v>
                </c:pt>
                <c:pt idx="238">
                  <c:v>8.61</c:v>
                </c:pt>
                <c:pt idx="239">
                  <c:v>8.6</c:v>
                </c:pt>
                <c:pt idx="240">
                  <c:v>8.6</c:v>
                </c:pt>
                <c:pt idx="241">
                  <c:v>8.6</c:v>
                </c:pt>
                <c:pt idx="242">
                  <c:v>8.61</c:v>
                </c:pt>
                <c:pt idx="243">
                  <c:v>8.6</c:v>
                </c:pt>
                <c:pt idx="244">
                  <c:v>8.6</c:v>
                </c:pt>
                <c:pt idx="245">
                  <c:v>8.61</c:v>
                </c:pt>
                <c:pt idx="246">
                  <c:v>8.61</c:v>
                </c:pt>
                <c:pt idx="247">
                  <c:v>8.61</c:v>
                </c:pt>
                <c:pt idx="248">
                  <c:v>8.61</c:v>
                </c:pt>
                <c:pt idx="249">
                  <c:v>8.6</c:v>
                </c:pt>
                <c:pt idx="250">
                  <c:v>8.57</c:v>
                </c:pt>
                <c:pt idx="251">
                  <c:v>8.57</c:v>
                </c:pt>
                <c:pt idx="252">
                  <c:v>8.57</c:v>
                </c:pt>
                <c:pt idx="253">
                  <c:v>8.57</c:v>
                </c:pt>
                <c:pt idx="254">
                  <c:v>8.57</c:v>
                </c:pt>
                <c:pt idx="255">
                  <c:v>8.57</c:v>
                </c:pt>
                <c:pt idx="256">
                  <c:v>8.57</c:v>
                </c:pt>
                <c:pt idx="257">
                  <c:v>8.57</c:v>
                </c:pt>
                <c:pt idx="258">
                  <c:v>8.57</c:v>
                </c:pt>
                <c:pt idx="259">
                  <c:v>8.57</c:v>
                </c:pt>
                <c:pt idx="260">
                  <c:v>8.57</c:v>
                </c:pt>
                <c:pt idx="261">
                  <c:v>8.57</c:v>
                </c:pt>
                <c:pt idx="262">
                  <c:v>8.57</c:v>
                </c:pt>
                <c:pt idx="263">
                  <c:v>8.57</c:v>
                </c:pt>
                <c:pt idx="264">
                  <c:v>8.57</c:v>
                </c:pt>
                <c:pt idx="265">
                  <c:v>8.57</c:v>
                </c:pt>
                <c:pt idx="266">
                  <c:v>8.57</c:v>
                </c:pt>
                <c:pt idx="267">
                  <c:v>8.57</c:v>
                </c:pt>
                <c:pt idx="268">
                  <c:v>8.56</c:v>
                </c:pt>
                <c:pt idx="269">
                  <c:v>8.56</c:v>
                </c:pt>
                <c:pt idx="270">
                  <c:v>8.56</c:v>
                </c:pt>
                <c:pt idx="271">
                  <c:v>8.56</c:v>
                </c:pt>
                <c:pt idx="272">
                  <c:v>8.57</c:v>
                </c:pt>
                <c:pt idx="273">
                  <c:v>8.57</c:v>
                </c:pt>
                <c:pt idx="274">
                  <c:v>8.57</c:v>
                </c:pt>
                <c:pt idx="275">
                  <c:v>8.57</c:v>
                </c:pt>
                <c:pt idx="276">
                  <c:v>8.57</c:v>
                </c:pt>
                <c:pt idx="277">
                  <c:v>8.57</c:v>
                </c:pt>
                <c:pt idx="278">
                  <c:v>8.57</c:v>
                </c:pt>
                <c:pt idx="279">
                  <c:v>8.57</c:v>
                </c:pt>
                <c:pt idx="280">
                  <c:v>8.57</c:v>
                </c:pt>
                <c:pt idx="281">
                  <c:v>8.57</c:v>
                </c:pt>
                <c:pt idx="282">
                  <c:v>8.57</c:v>
                </c:pt>
                <c:pt idx="283">
                  <c:v>8.57</c:v>
                </c:pt>
                <c:pt idx="284">
                  <c:v>8.57</c:v>
                </c:pt>
                <c:pt idx="285">
                  <c:v>8.57</c:v>
                </c:pt>
                <c:pt idx="286">
                  <c:v>8.57</c:v>
                </c:pt>
                <c:pt idx="287">
                  <c:v>8.57</c:v>
                </c:pt>
                <c:pt idx="288">
                  <c:v>8.57</c:v>
                </c:pt>
                <c:pt idx="289">
                  <c:v>8.57</c:v>
                </c:pt>
                <c:pt idx="290">
                  <c:v>8.57</c:v>
                </c:pt>
                <c:pt idx="291">
                  <c:v>8.57</c:v>
                </c:pt>
                <c:pt idx="292">
                  <c:v>8.56</c:v>
                </c:pt>
                <c:pt idx="293">
                  <c:v>8.57</c:v>
                </c:pt>
                <c:pt idx="294">
                  <c:v>8.57</c:v>
                </c:pt>
                <c:pt idx="295">
                  <c:v>8.57</c:v>
                </c:pt>
                <c:pt idx="296">
                  <c:v>8.57</c:v>
                </c:pt>
                <c:pt idx="297">
                  <c:v>8.57</c:v>
                </c:pt>
                <c:pt idx="298">
                  <c:v>8.57</c:v>
                </c:pt>
                <c:pt idx="299">
                  <c:v>8.57</c:v>
                </c:pt>
                <c:pt idx="300">
                  <c:v>8.57</c:v>
                </c:pt>
                <c:pt idx="301">
                  <c:v>8.57</c:v>
                </c:pt>
                <c:pt idx="302">
                  <c:v>8.57</c:v>
                </c:pt>
                <c:pt idx="303">
                  <c:v>8.57</c:v>
                </c:pt>
                <c:pt idx="304">
                  <c:v>8.56</c:v>
                </c:pt>
                <c:pt idx="305">
                  <c:v>8.56</c:v>
                </c:pt>
                <c:pt idx="306">
                  <c:v>8.5500000000000007</c:v>
                </c:pt>
                <c:pt idx="307">
                  <c:v>8.5500000000000007</c:v>
                </c:pt>
                <c:pt idx="308">
                  <c:v>8.5500000000000007</c:v>
                </c:pt>
                <c:pt idx="309">
                  <c:v>8.5500000000000007</c:v>
                </c:pt>
                <c:pt idx="310">
                  <c:v>8.5500000000000007</c:v>
                </c:pt>
                <c:pt idx="311">
                  <c:v>8.5500000000000007</c:v>
                </c:pt>
                <c:pt idx="312">
                  <c:v>8.5399999999999991</c:v>
                </c:pt>
                <c:pt idx="313">
                  <c:v>8.5399999999999991</c:v>
                </c:pt>
                <c:pt idx="314">
                  <c:v>8.5399999999999991</c:v>
                </c:pt>
                <c:pt idx="315">
                  <c:v>8.5399999999999991</c:v>
                </c:pt>
                <c:pt idx="316">
                  <c:v>8.5399999999999991</c:v>
                </c:pt>
                <c:pt idx="317">
                  <c:v>8.5399999999999991</c:v>
                </c:pt>
                <c:pt idx="318">
                  <c:v>8.5500000000000007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2-5F42-BB82-14453220E5F5}"/>
            </c:ext>
          </c:extLst>
        </c:ser>
        <c:ser>
          <c:idx val="1"/>
          <c:order val="1"/>
          <c:tx>
            <c:strRef>
              <c:f>Graficos!$AV$27</c:f>
              <c:strCache>
                <c:ptCount val="1"/>
                <c:pt idx="0">
                  <c:v>3rd EYE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Graficos!$AT$28:$AT$346</c:f>
              <c:strCache>
                <c:ptCount val="319"/>
                <c:pt idx="0">
                  <c:v>17/01/2026</c:v>
                </c:pt>
                <c:pt idx="1">
                  <c:v>17/01/2026</c:v>
                </c:pt>
                <c:pt idx="2">
                  <c:v>17/01/2026</c:v>
                </c:pt>
                <c:pt idx="3">
                  <c:v>17/01/2026</c:v>
                </c:pt>
                <c:pt idx="4">
                  <c:v>17/01/2026</c:v>
                </c:pt>
                <c:pt idx="5">
                  <c:v>17/01/2026</c:v>
                </c:pt>
                <c:pt idx="6">
                  <c:v>17/01/2026</c:v>
                </c:pt>
                <c:pt idx="7">
                  <c:v>17/01/2026</c:v>
                </c:pt>
                <c:pt idx="8">
                  <c:v>18/01/2026</c:v>
                </c:pt>
                <c:pt idx="9">
                  <c:v>18/01/2026</c:v>
                </c:pt>
                <c:pt idx="10">
                  <c:v>18/01/2026</c:v>
                </c:pt>
                <c:pt idx="11">
                  <c:v>18/01/2026</c:v>
                </c:pt>
                <c:pt idx="12">
                  <c:v>19/01/2026</c:v>
                </c:pt>
                <c:pt idx="13">
                  <c:v>19/01/2026</c:v>
                </c:pt>
                <c:pt idx="14">
                  <c:v>19/01/2026</c:v>
                </c:pt>
                <c:pt idx="15">
                  <c:v>19/01/2026</c:v>
                </c:pt>
                <c:pt idx="16">
                  <c:v>20/01/2026</c:v>
                </c:pt>
                <c:pt idx="17">
                  <c:v>20/01/2026</c:v>
                </c:pt>
                <c:pt idx="18">
                  <c:v>20/01/2026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21/01/2026</c:v>
                </c:pt>
                <c:pt idx="22">
                  <c:v>22/01/2026</c:v>
                </c:pt>
                <c:pt idx="23">
                  <c:v>22/01/2026</c:v>
                </c:pt>
                <c:pt idx="24">
                  <c:v>23/01/2026</c:v>
                </c:pt>
                <c:pt idx="25">
                  <c:v>23/01/2026</c:v>
                </c:pt>
                <c:pt idx="26">
                  <c:v>24/01/2026</c:v>
                </c:pt>
                <c:pt idx="27">
                  <c:v>24/01/2026</c:v>
                </c:pt>
                <c:pt idx="28">
                  <c:v>24/01/2026</c:v>
                </c:pt>
                <c:pt idx="29">
                  <c:v>25/01/2026</c:v>
                </c:pt>
                <c:pt idx="30">
                  <c:v>25/01/2026</c:v>
                </c:pt>
                <c:pt idx="31">
                  <c:v>25/01/2026</c:v>
                </c:pt>
                <c:pt idx="32">
                  <c:v>26/01/2026</c:v>
                </c:pt>
                <c:pt idx="33">
                  <c:v>26/01/2026</c:v>
                </c:pt>
                <c:pt idx="34">
                  <c:v>28/01/2026</c:v>
                </c:pt>
                <c:pt idx="35">
                  <c:v>28/01/2026</c:v>
                </c:pt>
                <c:pt idx="36">
                  <c:v>28/01/2026</c:v>
                </c:pt>
                <c:pt idx="37">
                  <c:v>29/01/2026</c:v>
                </c:pt>
                <c:pt idx="38">
                  <c:v>29/01/2026</c:v>
                </c:pt>
                <c:pt idx="39">
                  <c:v>30/01/2026</c:v>
                </c:pt>
                <c:pt idx="40">
                  <c:v>31/01/2026</c:v>
                </c:pt>
                <c:pt idx="41">
                  <c:v>31/01/2026</c:v>
                </c:pt>
                <c:pt idx="42">
                  <c:v>02/02/2026</c:v>
                </c:pt>
                <c:pt idx="43">
                  <c:v>02/02/2026</c:v>
                </c:pt>
                <c:pt idx="44">
                  <c:v>03/02/2026</c:v>
                </c:pt>
                <c:pt idx="45">
                  <c:v>04/02/2026</c:v>
                </c:pt>
                <c:pt idx="46">
                  <c:v>04/02/2026</c:v>
                </c:pt>
                <c:pt idx="47">
                  <c:v>05/02/2026</c:v>
                </c:pt>
                <c:pt idx="48">
                  <c:v>05/02/2026</c:v>
                </c:pt>
                <c:pt idx="49">
                  <c:v>06/02/2026</c:v>
                </c:pt>
                <c:pt idx="50">
                  <c:v>10/02/2026</c:v>
                </c:pt>
                <c:pt idx="51">
                  <c:v>11/02/2026</c:v>
                </c:pt>
                <c:pt idx="52">
                  <c:v>11/02/2026</c:v>
                </c:pt>
                <c:pt idx="53">
                  <c:v>12/02/2026</c:v>
                </c:pt>
                <c:pt idx="54">
                  <c:v>13/02/2026</c:v>
                </c:pt>
                <c:pt idx="55">
                  <c:v>15/02/2026</c:v>
                </c:pt>
                <c:pt idx="56">
                  <c:v>15/02/2026</c:v>
                </c:pt>
                <c:pt idx="57">
                  <c:v>16/02/2026</c:v>
                </c:pt>
                <c:pt idx="58">
                  <c:v>17/02/2026</c:v>
                </c:pt>
                <c:pt idx="59">
                  <c:v>18/02/2026</c:v>
                </c:pt>
                <c:pt idx="60">
                  <c:v>18/02/2026</c:v>
                </c:pt>
                <c:pt idx="61">
                  <c:v>19/02/2026</c:v>
                </c:pt>
                <c:pt idx="62">
                  <c:v>20/02/2026</c:v>
                </c:pt>
                <c:pt idx="63">
                  <c:v>20/02/2026</c:v>
                </c:pt>
                <c:pt idx="64">
                  <c:v>22/02/2026</c:v>
                </c:pt>
                <c:pt idx="65">
                  <c:v>23/02/2026</c:v>
                </c:pt>
                <c:pt idx="66">
                  <c:v>24/02/2026</c:v>
                </c:pt>
                <c:pt idx="67">
                  <c:v>24/02/2026</c:v>
                </c:pt>
                <c:pt idx="68">
                  <c:v>25/02/2026</c:v>
                </c:pt>
                <c:pt idx="69">
                  <c:v>26/02/2026</c:v>
                </c:pt>
                <c:pt idx="70">
                  <c:v>27/02/2026</c:v>
                </c:pt>
                <c:pt idx="71">
                  <c:v>27/02/2026</c:v>
                </c:pt>
                <c:pt idx="72">
                  <c:v>27/02/2026</c:v>
                </c:pt>
                <c:pt idx="73">
                  <c:v>27/02/2026</c:v>
                </c:pt>
                <c:pt idx="74">
                  <c:v>27/02/2026</c:v>
                </c:pt>
                <c:pt idx="75">
                  <c:v>28/02/2026</c:v>
                </c:pt>
                <c:pt idx="76">
                  <c:v>28/02/2026</c:v>
                </c:pt>
                <c:pt idx="77">
                  <c:v>28/02/2026</c:v>
                </c:pt>
                <c:pt idx="78">
                  <c:v>01/03/2026</c:v>
                </c:pt>
                <c:pt idx="79">
                  <c:v>02/03/2026</c:v>
                </c:pt>
                <c:pt idx="80">
                  <c:v>02/03/2026</c:v>
                </c:pt>
                <c:pt idx="81">
                  <c:v>03/03/2026</c:v>
                </c:pt>
                <c:pt idx="82">
                  <c:v>04/03/2026</c:v>
                </c:pt>
                <c:pt idx="83">
                  <c:v>05/03/2026</c:v>
                </c:pt>
                <c:pt idx="84">
                  <c:v>05/03/2026</c:v>
                </c:pt>
                <c:pt idx="85">
                  <c:v>06/03/2026</c:v>
                </c:pt>
                <c:pt idx="86">
                  <c:v>06/03/2026</c:v>
                </c:pt>
                <c:pt idx="87">
                  <c:v>07/03/2026</c:v>
                </c:pt>
                <c:pt idx="88">
                  <c:v>09/03/2026</c:v>
                </c:pt>
                <c:pt idx="89">
                  <c:v>10/03/2026</c:v>
                </c:pt>
                <c:pt idx="90">
                  <c:v>11/03/2026</c:v>
                </c:pt>
                <c:pt idx="91">
                  <c:v>12/03/2026</c:v>
                </c:pt>
                <c:pt idx="92">
                  <c:v>12/03/2026</c:v>
                </c:pt>
                <c:pt idx="93">
                  <c:v>13/03/2026</c:v>
                </c:pt>
                <c:pt idx="94">
                  <c:v>15/03/2026</c:v>
                </c:pt>
                <c:pt idx="95">
                  <c:v>15/03/2026</c:v>
                </c:pt>
                <c:pt idx="96">
                  <c:v>15/03/2026</c:v>
                </c:pt>
                <c:pt idx="97">
                  <c:v>15/03/2026</c:v>
                </c:pt>
                <c:pt idx="98">
                  <c:v>16/03/2026</c:v>
                </c:pt>
                <c:pt idx="99">
                  <c:v>16/03/2026</c:v>
                </c:pt>
                <c:pt idx="100">
                  <c:v>17/03/2026</c:v>
                </c:pt>
                <c:pt idx="101">
                  <c:v>18/03/2026</c:v>
                </c:pt>
                <c:pt idx="102">
                  <c:v>19/03/2026</c:v>
                </c:pt>
                <c:pt idx="103">
                  <c:v>20/03/2026</c:v>
                </c:pt>
                <c:pt idx="104">
                  <c:v>20/03/2026</c:v>
                </c:pt>
                <c:pt idx="105">
                  <c:v>22/03/2026</c:v>
                </c:pt>
                <c:pt idx="106">
                  <c:v>23/03/2026</c:v>
                </c:pt>
                <c:pt idx="107">
                  <c:v>25/03/2026</c:v>
                </c:pt>
                <c:pt idx="108">
                  <c:v>25/03/2026</c:v>
                </c:pt>
                <c:pt idx="109">
                  <c:v>25/03/2026</c:v>
                </c:pt>
                <c:pt idx="110">
                  <c:v>26/03/2026</c:v>
                </c:pt>
                <c:pt idx="111">
                  <c:v>26/03/2026</c:v>
                </c:pt>
                <c:pt idx="112">
                  <c:v>27/03/2026</c:v>
                </c:pt>
                <c:pt idx="113">
                  <c:v>27/03/2026</c:v>
                </c:pt>
                <c:pt idx="114">
                  <c:v>29/03/2026</c:v>
                </c:pt>
                <c:pt idx="115">
                  <c:v>30/03/2026</c:v>
                </c:pt>
                <c:pt idx="116">
                  <c:v>30/03/2026</c:v>
                </c:pt>
                <c:pt idx="117">
                  <c:v>31/03/2026</c:v>
                </c:pt>
                <c:pt idx="118">
                  <c:v>31/03/2026</c:v>
                </c:pt>
                <c:pt idx="119">
                  <c:v>01/04/2026</c:v>
                </c:pt>
                <c:pt idx="120">
                  <c:v>06/04/2026</c:v>
                </c:pt>
                <c:pt idx="121">
                  <c:v>06/04/2026</c:v>
                </c:pt>
                <c:pt idx="122">
                  <c:v>06/04/2026</c:v>
                </c:pt>
                <c:pt idx="123">
                  <c:v>07/04/2026</c:v>
                </c:pt>
                <c:pt idx="124">
                  <c:v>08/04/2026</c:v>
                </c:pt>
                <c:pt idx="125">
                  <c:v>09/04/2026</c:v>
                </c:pt>
                <c:pt idx="126">
                  <c:v>10/04/2026</c:v>
                </c:pt>
                <c:pt idx="127">
                  <c:v>10/04/2026</c:v>
                </c:pt>
                <c:pt idx="128">
                  <c:v>10/04/2026</c:v>
                </c:pt>
                <c:pt idx="129">
                  <c:v>13/04/2026</c:v>
                </c:pt>
                <c:pt idx="130">
                  <c:v>13/04/2026</c:v>
                </c:pt>
                <c:pt idx="131">
                  <c:v>14/04/2026</c:v>
                </c:pt>
                <c:pt idx="132">
                  <c:v>15/04/2026</c:v>
                </c:pt>
                <c:pt idx="133">
                  <c:v>15/04/2026</c:v>
                </c:pt>
                <c:pt idx="134">
                  <c:v>15/04/2026</c:v>
                </c:pt>
                <c:pt idx="135">
                  <c:v>16/04/2026</c:v>
                </c:pt>
                <c:pt idx="136">
                  <c:v>16/04/2026</c:v>
                </c:pt>
                <c:pt idx="137">
                  <c:v>17/04/2026</c:v>
                </c:pt>
                <c:pt idx="138">
                  <c:v>20/04/2026</c:v>
                </c:pt>
                <c:pt idx="139">
                  <c:v>22/04/2026</c:v>
                </c:pt>
                <c:pt idx="140">
                  <c:v>22/04/2026</c:v>
                </c:pt>
                <c:pt idx="141">
                  <c:v>22/04/2026</c:v>
                </c:pt>
                <c:pt idx="142">
                  <c:v>23/04/2026</c:v>
                </c:pt>
                <c:pt idx="143">
                  <c:v>24/04/2026</c:v>
                </c:pt>
                <c:pt idx="144">
                  <c:v>25/04/2026</c:v>
                </c:pt>
                <c:pt idx="145">
                  <c:v>26/04/2026</c:v>
                </c:pt>
                <c:pt idx="146">
                  <c:v>27/04/2026</c:v>
                </c:pt>
                <c:pt idx="147">
                  <c:v>27/04/2026</c:v>
                </c:pt>
                <c:pt idx="148">
                  <c:v>28/04/2026</c:v>
                </c:pt>
                <c:pt idx="149">
                  <c:v>28/04/2026</c:v>
                </c:pt>
                <c:pt idx="150">
                  <c:v>29/04/2026</c:v>
                </c:pt>
                <c:pt idx="151">
                  <c:v>30/04/2026</c:v>
                </c:pt>
                <c:pt idx="152">
                  <c:v>04/05/2026</c:v>
                </c:pt>
                <c:pt idx="153">
                  <c:v>05/05/2026</c:v>
                </c:pt>
                <c:pt idx="154">
                  <c:v>05/05/2026</c:v>
                </c:pt>
                <c:pt idx="155">
                  <c:v>06/05/2026</c:v>
                </c:pt>
                <c:pt idx="156">
                  <c:v>07/05/2026</c:v>
                </c:pt>
                <c:pt idx="157">
                  <c:v>08/05/2026</c:v>
                </c:pt>
                <c:pt idx="158">
                  <c:v>09/05/2026</c:v>
                </c:pt>
                <c:pt idx="159">
                  <c:v>10/05/2026</c:v>
                </c:pt>
                <c:pt idx="160">
                  <c:v>11/05/2026</c:v>
                </c:pt>
                <c:pt idx="161">
                  <c:v>12/05/2026</c:v>
                </c:pt>
                <c:pt idx="162">
                  <c:v>12/05/2026</c:v>
                </c:pt>
                <c:pt idx="163">
                  <c:v>13/05/2026</c:v>
                </c:pt>
                <c:pt idx="164">
                  <c:v>14/05/2026</c:v>
                </c:pt>
                <c:pt idx="165">
                  <c:v>15/05/2026</c:v>
                </c:pt>
                <c:pt idx="166">
                  <c:v>15/05/2026</c:v>
                </c:pt>
                <c:pt idx="167">
                  <c:v>16/05/2026</c:v>
                </c:pt>
                <c:pt idx="168">
                  <c:v>18/05/2026</c:v>
                </c:pt>
                <c:pt idx="169">
                  <c:v>18/05/2026</c:v>
                </c:pt>
                <c:pt idx="170">
                  <c:v>18/05/2026</c:v>
                </c:pt>
                <c:pt idx="171">
                  <c:v>18/05/2026</c:v>
                </c:pt>
                <c:pt idx="172">
                  <c:v>19/05/2026</c:v>
                </c:pt>
                <c:pt idx="173">
                  <c:v>20/05/2026</c:v>
                </c:pt>
                <c:pt idx="174">
                  <c:v>21/05/2026</c:v>
                </c:pt>
                <c:pt idx="175">
                  <c:v>21/05/2026</c:v>
                </c:pt>
                <c:pt idx="176">
                  <c:v>22/05/2026</c:v>
                </c:pt>
                <c:pt idx="177">
                  <c:v>22/05/2026</c:v>
                </c:pt>
                <c:pt idx="178">
                  <c:v>24/05/2026</c:v>
                </c:pt>
                <c:pt idx="179">
                  <c:v>24/05/2026</c:v>
                </c:pt>
                <c:pt idx="180">
                  <c:v>25/05/2026</c:v>
                </c:pt>
                <c:pt idx="181">
                  <c:v>25/05/2026</c:v>
                </c:pt>
                <c:pt idx="182">
                  <c:v>26/05/2026</c:v>
                </c:pt>
                <c:pt idx="183">
                  <c:v>26/05/2026</c:v>
                </c:pt>
                <c:pt idx="184">
                  <c:v>26/05/2026</c:v>
                </c:pt>
                <c:pt idx="185">
                  <c:v>27/05/2026</c:v>
                </c:pt>
                <c:pt idx="186">
                  <c:v>28/05/2026</c:v>
                </c:pt>
                <c:pt idx="187">
                  <c:v>28/05/2026</c:v>
                </c:pt>
                <c:pt idx="188">
                  <c:v>28/05/2026</c:v>
                </c:pt>
                <c:pt idx="189">
                  <c:v>29/05/2026</c:v>
                </c:pt>
                <c:pt idx="190">
                  <c:v>30/05/2026</c:v>
                </c:pt>
                <c:pt idx="191">
                  <c:v>31/05/2026</c:v>
                </c:pt>
                <c:pt idx="192">
                  <c:v>01/06/2026</c:v>
                </c:pt>
                <c:pt idx="193">
                  <c:v>01/06/2026</c:v>
                </c:pt>
                <c:pt idx="194">
                  <c:v>02/06/2026</c:v>
                </c:pt>
                <c:pt idx="195">
                  <c:v>02/06/2026</c:v>
                </c:pt>
                <c:pt idx="196">
                  <c:v>03/06/2026</c:v>
                </c:pt>
                <c:pt idx="197">
                  <c:v>04/06/2026</c:v>
                </c:pt>
                <c:pt idx="198">
                  <c:v>05/06/2026</c:v>
                </c:pt>
                <c:pt idx="199">
                  <c:v>05/06/2026</c:v>
                </c:pt>
                <c:pt idx="200">
                  <c:v>06/06/2026</c:v>
                </c:pt>
                <c:pt idx="201">
                  <c:v>07/06/2026</c:v>
                </c:pt>
                <c:pt idx="202">
                  <c:v>08/06/2026</c:v>
                </c:pt>
                <c:pt idx="203">
                  <c:v>09/06/2026</c:v>
                </c:pt>
                <c:pt idx="204">
                  <c:v>09/06/2026</c:v>
                </c:pt>
                <c:pt idx="205">
                  <c:v>10/06/2026</c:v>
                </c:pt>
                <c:pt idx="206">
                  <c:v>10/06/2026</c:v>
                </c:pt>
                <c:pt idx="207">
                  <c:v>11/06/2026</c:v>
                </c:pt>
                <c:pt idx="208">
                  <c:v>12/06/2026</c:v>
                </c:pt>
                <c:pt idx="209">
                  <c:v>12/06/2026</c:v>
                </c:pt>
                <c:pt idx="210">
                  <c:v>13/06/2026</c:v>
                </c:pt>
                <c:pt idx="211">
                  <c:v>14/06/2026</c:v>
                </c:pt>
                <c:pt idx="212">
                  <c:v>14/06/2026</c:v>
                </c:pt>
                <c:pt idx="213">
                  <c:v>15/06/2026</c:v>
                </c:pt>
                <c:pt idx="214">
                  <c:v>16/06/2026</c:v>
                </c:pt>
                <c:pt idx="215">
                  <c:v>17/06/2026</c:v>
                </c:pt>
                <c:pt idx="216">
                  <c:v>17/06/2026</c:v>
                </c:pt>
                <c:pt idx="217">
                  <c:v>18/06/2026</c:v>
                </c:pt>
                <c:pt idx="218">
                  <c:v>18/06/2026</c:v>
                </c:pt>
                <c:pt idx="219">
                  <c:v>19/06/2026</c:v>
                </c:pt>
                <c:pt idx="220">
                  <c:v>22/06/2026</c:v>
                </c:pt>
                <c:pt idx="221">
                  <c:v>22/06/2026</c:v>
                </c:pt>
                <c:pt idx="222">
                  <c:v>22/06/2026</c:v>
                </c:pt>
                <c:pt idx="223">
                  <c:v>23/06/2026</c:v>
                </c:pt>
                <c:pt idx="224">
                  <c:v>24/06/2026</c:v>
                </c:pt>
                <c:pt idx="225">
                  <c:v>24/06/2026</c:v>
                </c:pt>
                <c:pt idx="226">
                  <c:v>25/06/2026</c:v>
                </c:pt>
                <c:pt idx="227">
                  <c:v>26/06/2026</c:v>
                </c:pt>
                <c:pt idx="228">
                  <c:v>29/06/2026</c:v>
                </c:pt>
                <c:pt idx="229">
                  <c:v>30/06/2026</c:v>
                </c:pt>
                <c:pt idx="230">
                  <c:v>30/06/2026</c:v>
                </c:pt>
                <c:pt idx="231">
                  <c:v>30/06/2026</c:v>
                </c:pt>
                <c:pt idx="232">
                  <c:v>01/07/2026</c:v>
                </c:pt>
                <c:pt idx="233">
                  <c:v>01/07/2026</c:v>
                </c:pt>
                <c:pt idx="234">
                  <c:v>01/07/2026</c:v>
                </c:pt>
                <c:pt idx="235">
                  <c:v>02/07/2026</c:v>
                </c:pt>
                <c:pt idx="236">
                  <c:v>02/07/2026</c:v>
                </c:pt>
                <c:pt idx="237">
                  <c:v>03/07/2026</c:v>
                </c:pt>
                <c:pt idx="238">
                  <c:v>05/07/2026</c:v>
                </c:pt>
                <c:pt idx="239">
                  <c:v>06/07/2026</c:v>
                </c:pt>
                <c:pt idx="240">
                  <c:v>06/07/2026</c:v>
                </c:pt>
                <c:pt idx="241">
                  <c:v>06/07/2026</c:v>
                </c:pt>
                <c:pt idx="242">
                  <c:v>07/07/2026</c:v>
                </c:pt>
                <c:pt idx="243">
                  <c:v>08/07/2026</c:v>
                </c:pt>
                <c:pt idx="244">
                  <c:v>09/07/2026</c:v>
                </c:pt>
                <c:pt idx="245">
                  <c:v>12/07/2026</c:v>
                </c:pt>
                <c:pt idx="246">
                  <c:v>12/07/2026</c:v>
                </c:pt>
                <c:pt idx="247">
                  <c:v>15/07/2026</c:v>
                </c:pt>
                <c:pt idx="248">
                  <c:v>15/07/2026</c:v>
                </c:pt>
                <c:pt idx="249">
                  <c:v>16/07/2026</c:v>
                </c:pt>
                <c:pt idx="250">
                  <c:v>17/07/2026</c:v>
                </c:pt>
                <c:pt idx="251">
                  <c:v>17/07/2026</c:v>
                </c:pt>
                <c:pt idx="252">
                  <c:v>17/07/2026</c:v>
                </c:pt>
                <c:pt idx="253">
                  <c:v>18/07/2026</c:v>
                </c:pt>
                <c:pt idx="254">
                  <c:v>18/07/2026</c:v>
                </c:pt>
                <c:pt idx="255">
                  <c:v>20/07/2026</c:v>
                </c:pt>
                <c:pt idx="256">
                  <c:v>20/07/2026</c:v>
                </c:pt>
                <c:pt idx="257">
                  <c:v>21/07/2026</c:v>
                </c:pt>
                <c:pt idx="258">
                  <c:v>22/07/2026</c:v>
                </c:pt>
                <c:pt idx="259">
                  <c:v>22/07/2026</c:v>
                </c:pt>
                <c:pt idx="260">
                  <c:v>23/07/2026</c:v>
                </c:pt>
                <c:pt idx="261">
                  <c:v>23/07/2026</c:v>
                </c:pt>
                <c:pt idx="262">
                  <c:v>24/07/2026</c:v>
                </c:pt>
                <c:pt idx="263">
                  <c:v>25/07/2026</c:v>
                </c:pt>
                <c:pt idx="264">
                  <c:v>26/07/2026</c:v>
                </c:pt>
                <c:pt idx="265">
                  <c:v>26/07/2026</c:v>
                </c:pt>
                <c:pt idx="266">
                  <c:v>27/07/2026</c:v>
                </c:pt>
                <c:pt idx="267">
                  <c:v>28/07/2026</c:v>
                </c:pt>
                <c:pt idx="268">
                  <c:v>28/07/2026</c:v>
                </c:pt>
                <c:pt idx="269">
                  <c:v>30/07/2026</c:v>
                </c:pt>
                <c:pt idx="270">
                  <c:v>31/07/2026</c:v>
                </c:pt>
                <c:pt idx="271">
                  <c:v>09/08/2026</c:v>
                </c:pt>
                <c:pt idx="272">
                  <c:v>09/08/2026</c:v>
                </c:pt>
                <c:pt idx="273">
                  <c:v>09/08/2026</c:v>
                </c:pt>
                <c:pt idx="274">
                  <c:v>12/08/2026</c:v>
                </c:pt>
                <c:pt idx="275">
                  <c:v>15/08/2026</c:v>
                </c:pt>
                <c:pt idx="276">
                  <c:v>15/08/2026</c:v>
                </c:pt>
                <c:pt idx="277">
                  <c:v>19/08/2026</c:v>
                </c:pt>
                <c:pt idx="278">
                  <c:v>19/08/2026</c:v>
                </c:pt>
                <c:pt idx="279">
                  <c:v>20/08/2026</c:v>
                </c:pt>
                <c:pt idx="280">
                  <c:v>21/08/2026</c:v>
                </c:pt>
                <c:pt idx="281">
                  <c:v>22/08/2026</c:v>
                </c:pt>
                <c:pt idx="282">
                  <c:v>24/08/2026</c:v>
                </c:pt>
                <c:pt idx="283">
                  <c:v>26/08/2026</c:v>
                </c:pt>
                <c:pt idx="284">
                  <c:v>26/08/2026</c:v>
                </c:pt>
                <c:pt idx="285">
                  <c:v>26/08/2026</c:v>
                </c:pt>
                <c:pt idx="286">
                  <c:v>28/08/2026</c:v>
                </c:pt>
                <c:pt idx="287">
                  <c:v>29/08/2026</c:v>
                </c:pt>
                <c:pt idx="288">
                  <c:v>30/08/2026</c:v>
                </c:pt>
                <c:pt idx="289">
                  <c:v>01/09/2026</c:v>
                </c:pt>
                <c:pt idx="290">
                  <c:v>02/09/2026</c:v>
                </c:pt>
                <c:pt idx="291">
                  <c:v>02/09/2026</c:v>
                </c:pt>
                <c:pt idx="292">
                  <c:v>04/09/2026</c:v>
                </c:pt>
                <c:pt idx="293">
                  <c:v>06/09/2026</c:v>
                </c:pt>
                <c:pt idx="294">
                  <c:v>09/09/2026</c:v>
                </c:pt>
                <c:pt idx="295">
                  <c:v>11/09/2026</c:v>
                </c:pt>
                <c:pt idx="296">
                  <c:v>14/09/2026</c:v>
                </c:pt>
                <c:pt idx="297">
                  <c:v>16/09/2026</c:v>
                </c:pt>
                <c:pt idx="298">
                  <c:v>16/09/2026</c:v>
                </c:pt>
                <c:pt idx="299">
                  <c:v>19/09/2026</c:v>
                </c:pt>
                <c:pt idx="300">
                  <c:v>20/09/2026</c:v>
                </c:pt>
                <c:pt idx="301">
                  <c:v>21/09/2026</c:v>
                </c:pt>
                <c:pt idx="302">
                  <c:v>23/09/2026</c:v>
                </c:pt>
                <c:pt idx="303">
                  <c:v>23/09/2026</c:v>
                </c:pt>
                <c:pt idx="304">
                  <c:v>24/09/2026</c:v>
                </c:pt>
                <c:pt idx="305">
                  <c:v>25/09/2026</c:v>
                </c:pt>
                <c:pt idx="306">
                  <c:v>26/09/2026</c:v>
                </c:pt>
                <c:pt idx="307">
                  <c:v>26/09/2026</c:v>
                </c:pt>
                <c:pt idx="308">
                  <c:v>26/09/2026</c:v>
                </c:pt>
                <c:pt idx="309">
                  <c:v>27/09/2026</c:v>
                </c:pt>
                <c:pt idx="310">
                  <c:v>27/09/2026</c:v>
                </c:pt>
                <c:pt idx="311">
                  <c:v>27/09/2026</c:v>
                </c:pt>
                <c:pt idx="312">
                  <c:v>27/09/2026</c:v>
                </c:pt>
                <c:pt idx="313">
                  <c:v>27/09/2026</c:v>
                </c:pt>
                <c:pt idx="314">
                  <c:v>29/09/2026</c:v>
                </c:pt>
                <c:pt idx="315">
                  <c:v>30/09/2026</c:v>
                </c:pt>
                <c:pt idx="316">
                  <c:v>02/10/2026</c:v>
                </c:pt>
                <c:pt idx="317">
                  <c:v>04/10/2026</c:v>
                </c:pt>
                <c:pt idx="318">
                  <c:v>05/10/2026</c:v>
                </c:pt>
              </c:strCache>
            </c:strRef>
          </c:cat>
          <c:val>
            <c:numRef>
              <c:f>Graficos!$AV$28:$AV$346</c:f>
              <c:numCache>
                <c:formatCode>General</c:formatCode>
                <c:ptCount val="319"/>
                <c:pt idx="0">
                  <c:v>9.14</c:v>
                </c:pt>
                <c:pt idx="1">
                  <c:v>9.19</c:v>
                </c:pt>
                <c:pt idx="2">
                  <c:v>9.15</c:v>
                </c:pt>
                <c:pt idx="3">
                  <c:v>9.1199999999999992</c:v>
                </c:pt>
                <c:pt idx="4">
                  <c:v>9.0299999999999994</c:v>
                </c:pt>
                <c:pt idx="5">
                  <c:v>8.92</c:v>
                </c:pt>
                <c:pt idx="6">
                  <c:v>8.91</c:v>
                </c:pt>
                <c:pt idx="7">
                  <c:v>8.98</c:v>
                </c:pt>
                <c:pt idx="8">
                  <c:v>9.09</c:v>
                </c:pt>
                <c:pt idx="9">
                  <c:v>9.1199999999999992</c:v>
                </c:pt>
                <c:pt idx="10">
                  <c:v>9.15</c:v>
                </c:pt>
                <c:pt idx="11">
                  <c:v>9.16</c:v>
                </c:pt>
                <c:pt idx="12">
                  <c:v>9.1300000000000008</c:v>
                </c:pt>
                <c:pt idx="13">
                  <c:v>9.16</c:v>
                </c:pt>
                <c:pt idx="14">
                  <c:v>9.16</c:v>
                </c:pt>
                <c:pt idx="15">
                  <c:v>9.1</c:v>
                </c:pt>
                <c:pt idx="16">
                  <c:v>9.0399999999999991</c:v>
                </c:pt>
                <c:pt idx="17">
                  <c:v>9</c:v>
                </c:pt>
                <c:pt idx="18">
                  <c:v>8.9600000000000009</c:v>
                </c:pt>
                <c:pt idx="19">
                  <c:v>8.92</c:v>
                </c:pt>
                <c:pt idx="20">
                  <c:v>8.93</c:v>
                </c:pt>
                <c:pt idx="21">
                  <c:v>8.92</c:v>
                </c:pt>
                <c:pt idx="22">
                  <c:v>8.9</c:v>
                </c:pt>
                <c:pt idx="23">
                  <c:v>8.83</c:v>
                </c:pt>
                <c:pt idx="24">
                  <c:v>8.85</c:v>
                </c:pt>
                <c:pt idx="25">
                  <c:v>8.8000000000000007</c:v>
                </c:pt>
                <c:pt idx="26">
                  <c:v>8.82</c:v>
                </c:pt>
                <c:pt idx="27">
                  <c:v>8.82</c:v>
                </c:pt>
                <c:pt idx="28">
                  <c:v>8.7899999999999991</c:v>
                </c:pt>
                <c:pt idx="29">
                  <c:v>8.75</c:v>
                </c:pt>
                <c:pt idx="30">
                  <c:v>8.77</c:v>
                </c:pt>
                <c:pt idx="31">
                  <c:v>8.77</c:v>
                </c:pt>
                <c:pt idx="32">
                  <c:v>8.76</c:v>
                </c:pt>
                <c:pt idx="33">
                  <c:v>8.76</c:v>
                </c:pt>
                <c:pt idx="34">
                  <c:v>8.74</c:v>
                </c:pt>
                <c:pt idx="35">
                  <c:v>8.74</c:v>
                </c:pt>
                <c:pt idx="36">
                  <c:v>8.8000000000000007</c:v>
                </c:pt>
                <c:pt idx="37">
                  <c:v>8.7899999999999991</c:v>
                </c:pt>
                <c:pt idx="38">
                  <c:v>8.7799999999999994</c:v>
                </c:pt>
                <c:pt idx="39">
                  <c:v>8.7799999999999994</c:v>
                </c:pt>
                <c:pt idx="40">
                  <c:v>8.75</c:v>
                </c:pt>
                <c:pt idx="41">
                  <c:v>8.76</c:v>
                </c:pt>
                <c:pt idx="42">
                  <c:v>8.7200000000000006</c:v>
                </c:pt>
                <c:pt idx="43">
                  <c:v>8.75</c:v>
                </c:pt>
                <c:pt idx="44">
                  <c:v>8.73</c:v>
                </c:pt>
                <c:pt idx="45">
                  <c:v>8.74</c:v>
                </c:pt>
                <c:pt idx="46">
                  <c:v>8.74</c:v>
                </c:pt>
                <c:pt idx="47">
                  <c:v>8.76</c:v>
                </c:pt>
                <c:pt idx="48">
                  <c:v>8.7899999999999991</c:v>
                </c:pt>
                <c:pt idx="49">
                  <c:v>8.7899999999999991</c:v>
                </c:pt>
                <c:pt idx="50">
                  <c:v>8.7899999999999991</c:v>
                </c:pt>
                <c:pt idx="51">
                  <c:v>8.8000000000000007</c:v>
                </c:pt>
                <c:pt idx="52">
                  <c:v>8.8000000000000007</c:v>
                </c:pt>
                <c:pt idx="53">
                  <c:v>8.7899999999999991</c:v>
                </c:pt>
                <c:pt idx="54">
                  <c:v>8.7899999999999991</c:v>
                </c:pt>
                <c:pt idx="55">
                  <c:v>8.7899999999999991</c:v>
                </c:pt>
                <c:pt idx="56">
                  <c:v>8.7899999999999991</c:v>
                </c:pt>
                <c:pt idx="57">
                  <c:v>8.7899999999999991</c:v>
                </c:pt>
                <c:pt idx="58">
                  <c:v>8.8000000000000007</c:v>
                </c:pt>
                <c:pt idx="59">
                  <c:v>8.7899999999999991</c:v>
                </c:pt>
                <c:pt idx="60">
                  <c:v>8.77</c:v>
                </c:pt>
                <c:pt idx="61">
                  <c:v>8.77</c:v>
                </c:pt>
                <c:pt idx="62">
                  <c:v>8.7799999999999994</c:v>
                </c:pt>
                <c:pt idx="63">
                  <c:v>8.76</c:v>
                </c:pt>
                <c:pt idx="64">
                  <c:v>8.76</c:v>
                </c:pt>
                <c:pt idx="65">
                  <c:v>8.77</c:v>
                </c:pt>
                <c:pt idx="66">
                  <c:v>8.76</c:v>
                </c:pt>
                <c:pt idx="67">
                  <c:v>8.7899999999999991</c:v>
                </c:pt>
                <c:pt idx="68">
                  <c:v>8.7899999999999991</c:v>
                </c:pt>
                <c:pt idx="69">
                  <c:v>8.7899999999999991</c:v>
                </c:pt>
                <c:pt idx="70">
                  <c:v>8.8000000000000007</c:v>
                </c:pt>
                <c:pt idx="71">
                  <c:v>8.7899999999999991</c:v>
                </c:pt>
                <c:pt idx="72">
                  <c:v>8.7899999999999991</c:v>
                </c:pt>
                <c:pt idx="73">
                  <c:v>8.7799999999999994</c:v>
                </c:pt>
                <c:pt idx="74">
                  <c:v>8.7799999999999994</c:v>
                </c:pt>
                <c:pt idx="75">
                  <c:v>8.7899999999999991</c:v>
                </c:pt>
                <c:pt idx="76">
                  <c:v>8.7799999999999994</c:v>
                </c:pt>
                <c:pt idx="77">
                  <c:v>8.7799999999999994</c:v>
                </c:pt>
                <c:pt idx="78">
                  <c:v>8.77</c:v>
                </c:pt>
                <c:pt idx="79">
                  <c:v>8.7799999999999994</c:v>
                </c:pt>
                <c:pt idx="80">
                  <c:v>8.77</c:v>
                </c:pt>
                <c:pt idx="81">
                  <c:v>8.77</c:v>
                </c:pt>
                <c:pt idx="82">
                  <c:v>8.77</c:v>
                </c:pt>
                <c:pt idx="83">
                  <c:v>8.77</c:v>
                </c:pt>
                <c:pt idx="84">
                  <c:v>8.77</c:v>
                </c:pt>
                <c:pt idx="85">
                  <c:v>8.76</c:v>
                </c:pt>
                <c:pt idx="86">
                  <c:v>8.76</c:v>
                </c:pt>
                <c:pt idx="87">
                  <c:v>8.76</c:v>
                </c:pt>
                <c:pt idx="88">
                  <c:v>8.76</c:v>
                </c:pt>
                <c:pt idx="89">
                  <c:v>8.76</c:v>
                </c:pt>
                <c:pt idx="90">
                  <c:v>8.76</c:v>
                </c:pt>
                <c:pt idx="91">
                  <c:v>8.77</c:v>
                </c:pt>
                <c:pt idx="92">
                  <c:v>8.76</c:v>
                </c:pt>
                <c:pt idx="93">
                  <c:v>8.75</c:v>
                </c:pt>
                <c:pt idx="94">
                  <c:v>8.77</c:v>
                </c:pt>
                <c:pt idx="95">
                  <c:v>8.77</c:v>
                </c:pt>
                <c:pt idx="96">
                  <c:v>8.77</c:v>
                </c:pt>
                <c:pt idx="97">
                  <c:v>8.77</c:v>
                </c:pt>
                <c:pt idx="98">
                  <c:v>8.77</c:v>
                </c:pt>
                <c:pt idx="99">
                  <c:v>8.77</c:v>
                </c:pt>
                <c:pt idx="100">
                  <c:v>8.77</c:v>
                </c:pt>
                <c:pt idx="101">
                  <c:v>8.76</c:v>
                </c:pt>
                <c:pt idx="102">
                  <c:v>8.76</c:v>
                </c:pt>
                <c:pt idx="103">
                  <c:v>8.76</c:v>
                </c:pt>
                <c:pt idx="104">
                  <c:v>8.76</c:v>
                </c:pt>
                <c:pt idx="105">
                  <c:v>8.76</c:v>
                </c:pt>
                <c:pt idx="106">
                  <c:v>8.76</c:v>
                </c:pt>
                <c:pt idx="107">
                  <c:v>8.76</c:v>
                </c:pt>
                <c:pt idx="108">
                  <c:v>8.75</c:v>
                </c:pt>
                <c:pt idx="109">
                  <c:v>8.75</c:v>
                </c:pt>
                <c:pt idx="110">
                  <c:v>8.75</c:v>
                </c:pt>
                <c:pt idx="111">
                  <c:v>8.6999999999999993</c:v>
                </c:pt>
                <c:pt idx="112">
                  <c:v>8.7100000000000009</c:v>
                </c:pt>
                <c:pt idx="113">
                  <c:v>8.6999999999999993</c:v>
                </c:pt>
                <c:pt idx="114">
                  <c:v>8.6999999999999993</c:v>
                </c:pt>
                <c:pt idx="115">
                  <c:v>8.6999999999999993</c:v>
                </c:pt>
                <c:pt idx="116">
                  <c:v>8.6999999999999993</c:v>
                </c:pt>
                <c:pt idx="117">
                  <c:v>8.69</c:v>
                </c:pt>
                <c:pt idx="118">
                  <c:v>8.68</c:v>
                </c:pt>
                <c:pt idx="119">
                  <c:v>8.68</c:v>
                </c:pt>
                <c:pt idx="120">
                  <c:v>8.68</c:v>
                </c:pt>
                <c:pt idx="121">
                  <c:v>8.68</c:v>
                </c:pt>
                <c:pt idx="122">
                  <c:v>8.68</c:v>
                </c:pt>
                <c:pt idx="123">
                  <c:v>8.68</c:v>
                </c:pt>
                <c:pt idx="124">
                  <c:v>8.68</c:v>
                </c:pt>
                <c:pt idx="125">
                  <c:v>8.68</c:v>
                </c:pt>
                <c:pt idx="126">
                  <c:v>8.68</c:v>
                </c:pt>
                <c:pt idx="127">
                  <c:v>8.67</c:v>
                </c:pt>
                <c:pt idx="128">
                  <c:v>8.67</c:v>
                </c:pt>
                <c:pt idx="129">
                  <c:v>8.67</c:v>
                </c:pt>
                <c:pt idx="130">
                  <c:v>8.67</c:v>
                </c:pt>
                <c:pt idx="131">
                  <c:v>8.67</c:v>
                </c:pt>
                <c:pt idx="132">
                  <c:v>8.67</c:v>
                </c:pt>
                <c:pt idx="133">
                  <c:v>8.67</c:v>
                </c:pt>
                <c:pt idx="134">
                  <c:v>8.66</c:v>
                </c:pt>
                <c:pt idx="135">
                  <c:v>8.66</c:v>
                </c:pt>
                <c:pt idx="136">
                  <c:v>8.66</c:v>
                </c:pt>
                <c:pt idx="137">
                  <c:v>8.66</c:v>
                </c:pt>
                <c:pt idx="138">
                  <c:v>8.67</c:v>
                </c:pt>
                <c:pt idx="139">
                  <c:v>8.67</c:v>
                </c:pt>
                <c:pt idx="140">
                  <c:v>8.66</c:v>
                </c:pt>
                <c:pt idx="141">
                  <c:v>8.66</c:v>
                </c:pt>
                <c:pt idx="142">
                  <c:v>8.66</c:v>
                </c:pt>
                <c:pt idx="143">
                  <c:v>8.66</c:v>
                </c:pt>
                <c:pt idx="144">
                  <c:v>8.66</c:v>
                </c:pt>
                <c:pt idx="145">
                  <c:v>8.67</c:v>
                </c:pt>
                <c:pt idx="146">
                  <c:v>8.67</c:v>
                </c:pt>
                <c:pt idx="147">
                  <c:v>8.66</c:v>
                </c:pt>
                <c:pt idx="148">
                  <c:v>8.66</c:v>
                </c:pt>
                <c:pt idx="149">
                  <c:v>8.66</c:v>
                </c:pt>
                <c:pt idx="150">
                  <c:v>8.66</c:v>
                </c:pt>
                <c:pt idx="151">
                  <c:v>8.66</c:v>
                </c:pt>
                <c:pt idx="152">
                  <c:v>8.67</c:v>
                </c:pt>
                <c:pt idx="153">
                  <c:v>8.67</c:v>
                </c:pt>
                <c:pt idx="154">
                  <c:v>8.6199999999999992</c:v>
                </c:pt>
                <c:pt idx="155">
                  <c:v>8.6199999999999992</c:v>
                </c:pt>
                <c:pt idx="156">
                  <c:v>8.6199999999999992</c:v>
                </c:pt>
                <c:pt idx="157">
                  <c:v>8.6199999999999992</c:v>
                </c:pt>
                <c:pt idx="158">
                  <c:v>8.6199999999999992</c:v>
                </c:pt>
                <c:pt idx="159">
                  <c:v>8.6300000000000008</c:v>
                </c:pt>
                <c:pt idx="160">
                  <c:v>8.6300000000000008</c:v>
                </c:pt>
                <c:pt idx="161">
                  <c:v>8.6300000000000008</c:v>
                </c:pt>
                <c:pt idx="162">
                  <c:v>8.6300000000000008</c:v>
                </c:pt>
                <c:pt idx="163">
                  <c:v>8.6199999999999992</c:v>
                </c:pt>
                <c:pt idx="164">
                  <c:v>8.6300000000000008</c:v>
                </c:pt>
                <c:pt idx="165">
                  <c:v>8.6300000000000008</c:v>
                </c:pt>
                <c:pt idx="166">
                  <c:v>8.6300000000000008</c:v>
                </c:pt>
                <c:pt idx="167">
                  <c:v>8.6300000000000008</c:v>
                </c:pt>
                <c:pt idx="168">
                  <c:v>8.6300000000000008</c:v>
                </c:pt>
                <c:pt idx="169">
                  <c:v>8.6300000000000008</c:v>
                </c:pt>
                <c:pt idx="170">
                  <c:v>8.6300000000000008</c:v>
                </c:pt>
                <c:pt idx="171">
                  <c:v>8.6300000000000008</c:v>
                </c:pt>
                <c:pt idx="172">
                  <c:v>8.6300000000000008</c:v>
                </c:pt>
                <c:pt idx="173">
                  <c:v>8.6300000000000008</c:v>
                </c:pt>
                <c:pt idx="174">
                  <c:v>8.6300000000000008</c:v>
                </c:pt>
                <c:pt idx="175">
                  <c:v>8.6300000000000008</c:v>
                </c:pt>
                <c:pt idx="176">
                  <c:v>8.6300000000000008</c:v>
                </c:pt>
                <c:pt idx="177">
                  <c:v>8.6300000000000008</c:v>
                </c:pt>
                <c:pt idx="178">
                  <c:v>8.6199999999999992</c:v>
                </c:pt>
                <c:pt idx="179">
                  <c:v>8.6300000000000008</c:v>
                </c:pt>
                <c:pt idx="180">
                  <c:v>8.6300000000000008</c:v>
                </c:pt>
                <c:pt idx="181">
                  <c:v>8.6300000000000008</c:v>
                </c:pt>
                <c:pt idx="182">
                  <c:v>8.6300000000000008</c:v>
                </c:pt>
                <c:pt idx="183">
                  <c:v>8.6300000000000008</c:v>
                </c:pt>
                <c:pt idx="184">
                  <c:v>8.6300000000000008</c:v>
                </c:pt>
                <c:pt idx="185">
                  <c:v>8.64</c:v>
                </c:pt>
                <c:pt idx="186">
                  <c:v>8.64</c:v>
                </c:pt>
                <c:pt idx="187">
                  <c:v>8.6300000000000008</c:v>
                </c:pt>
                <c:pt idx="188">
                  <c:v>8.6300000000000008</c:v>
                </c:pt>
                <c:pt idx="189">
                  <c:v>8.6300000000000008</c:v>
                </c:pt>
                <c:pt idx="190">
                  <c:v>8.6300000000000008</c:v>
                </c:pt>
                <c:pt idx="191">
                  <c:v>8.6300000000000008</c:v>
                </c:pt>
                <c:pt idx="192">
                  <c:v>8.6300000000000008</c:v>
                </c:pt>
                <c:pt idx="193">
                  <c:v>8.6300000000000008</c:v>
                </c:pt>
                <c:pt idx="194">
                  <c:v>8.6300000000000008</c:v>
                </c:pt>
                <c:pt idx="195">
                  <c:v>8.6300000000000008</c:v>
                </c:pt>
                <c:pt idx="196">
                  <c:v>8.6300000000000008</c:v>
                </c:pt>
                <c:pt idx="197">
                  <c:v>8.6300000000000008</c:v>
                </c:pt>
                <c:pt idx="198">
                  <c:v>8.6300000000000008</c:v>
                </c:pt>
                <c:pt idx="199">
                  <c:v>8.61</c:v>
                </c:pt>
                <c:pt idx="200">
                  <c:v>8.61</c:v>
                </c:pt>
                <c:pt idx="201">
                  <c:v>8.61</c:v>
                </c:pt>
                <c:pt idx="202">
                  <c:v>8.61</c:v>
                </c:pt>
                <c:pt idx="203">
                  <c:v>8.61</c:v>
                </c:pt>
                <c:pt idx="204">
                  <c:v>8.61</c:v>
                </c:pt>
                <c:pt idx="205">
                  <c:v>8.6</c:v>
                </c:pt>
                <c:pt idx="206">
                  <c:v>8.6</c:v>
                </c:pt>
                <c:pt idx="207">
                  <c:v>8.6</c:v>
                </c:pt>
                <c:pt idx="208">
                  <c:v>8.6</c:v>
                </c:pt>
                <c:pt idx="209">
                  <c:v>8.6</c:v>
                </c:pt>
                <c:pt idx="210">
                  <c:v>8.6</c:v>
                </c:pt>
                <c:pt idx="211">
                  <c:v>8.6</c:v>
                </c:pt>
                <c:pt idx="212">
                  <c:v>8.6</c:v>
                </c:pt>
                <c:pt idx="213">
                  <c:v>8.6</c:v>
                </c:pt>
                <c:pt idx="214">
                  <c:v>8.6</c:v>
                </c:pt>
                <c:pt idx="215">
                  <c:v>8.6</c:v>
                </c:pt>
                <c:pt idx="216">
                  <c:v>8.6</c:v>
                </c:pt>
                <c:pt idx="217">
                  <c:v>8.6</c:v>
                </c:pt>
                <c:pt idx="218">
                  <c:v>8.6</c:v>
                </c:pt>
                <c:pt idx="219">
                  <c:v>8.6</c:v>
                </c:pt>
                <c:pt idx="220">
                  <c:v>8.59</c:v>
                </c:pt>
                <c:pt idx="221">
                  <c:v>8.59</c:v>
                </c:pt>
                <c:pt idx="222">
                  <c:v>8.59</c:v>
                </c:pt>
                <c:pt idx="223">
                  <c:v>8.59</c:v>
                </c:pt>
                <c:pt idx="224">
                  <c:v>8.59</c:v>
                </c:pt>
                <c:pt idx="225">
                  <c:v>8.59</c:v>
                </c:pt>
                <c:pt idx="226">
                  <c:v>8.59</c:v>
                </c:pt>
                <c:pt idx="227">
                  <c:v>8.59</c:v>
                </c:pt>
                <c:pt idx="228">
                  <c:v>8.59</c:v>
                </c:pt>
                <c:pt idx="229">
                  <c:v>8.59</c:v>
                </c:pt>
                <c:pt idx="230">
                  <c:v>8.59</c:v>
                </c:pt>
                <c:pt idx="231">
                  <c:v>8.59</c:v>
                </c:pt>
                <c:pt idx="232">
                  <c:v>8.59</c:v>
                </c:pt>
                <c:pt idx="233">
                  <c:v>8.59</c:v>
                </c:pt>
                <c:pt idx="234">
                  <c:v>8.59</c:v>
                </c:pt>
                <c:pt idx="235">
                  <c:v>8.59</c:v>
                </c:pt>
                <c:pt idx="236">
                  <c:v>8.59</c:v>
                </c:pt>
                <c:pt idx="237">
                  <c:v>8.59</c:v>
                </c:pt>
                <c:pt idx="238">
                  <c:v>8.59</c:v>
                </c:pt>
                <c:pt idx="239">
                  <c:v>8.58</c:v>
                </c:pt>
                <c:pt idx="240">
                  <c:v>8.59</c:v>
                </c:pt>
                <c:pt idx="241">
                  <c:v>8.59</c:v>
                </c:pt>
                <c:pt idx="242">
                  <c:v>8.59</c:v>
                </c:pt>
                <c:pt idx="243">
                  <c:v>8.59</c:v>
                </c:pt>
                <c:pt idx="244">
                  <c:v>8.59</c:v>
                </c:pt>
                <c:pt idx="245">
                  <c:v>8.59</c:v>
                </c:pt>
                <c:pt idx="246">
                  <c:v>8.59</c:v>
                </c:pt>
                <c:pt idx="247">
                  <c:v>8.59</c:v>
                </c:pt>
                <c:pt idx="248">
                  <c:v>8.59</c:v>
                </c:pt>
                <c:pt idx="249">
                  <c:v>8.58</c:v>
                </c:pt>
                <c:pt idx="250">
                  <c:v>8.5500000000000007</c:v>
                </c:pt>
                <c:pt idx="251">
                  <c:v>8.5500000000000007</c:v>
                </c:pt>
                <c:pt idx="252">
                  <c:v>8.5500000000000007</c:v>
                </c:pt>
                <c:pt idx="253">
                  <c:v>8.5500000000000007</c:v>
                </c:pt>
                <c:pt idx="254">
                  <c:v>8.5500000000000007</c:v>
                </c:pt>
                <c:pt idx="255">
                  <c:v>8.5500000000000007</c:v>
                </c:pt>
                <c:pt idx="256">
                  <c:v>8.5500000000000007</c:v>
                </c:pt>
                <c:pt idx="257">
                  <c:v>8.5500000000000007</c:v>
                </c:pt>
                <c:pt idx="258">
                  <c:v>8.5500000000000007</c:v>
                </c:pt>
                <c:pt idx="259">
                  <c:v>8.5500000000000007</c:v>
                </c:pt>
                <c:pt idx="260">
                  <c:v>8.5500000000000007</c:v>
                </c:pt>
                <c:pt idx="261">
                  <c:v>8.5500000000000007</c:v>
                </c:pt>
                <c:pt idx="262">
                  <c:v>8.5500000000000007</c:v>
                </c:pt>
                <c:pt idx="263">
                  <c:v>8.5500000000000007</c:v>
                </c:pt>
                <c:pt idx="264">
                  <c:v>8.5500000000000007</c:v>
                </c:pt>
                <c:pt idx="265">
                  <c:v>8.5500000000000007</c:v>
                </c:pt>
                <c:pt idx="266">
                  <c:v>8.5500000000000007</c:v>
                </c:pt>
                <c:pt idx="267">
                  <c:v>8.5500000000000007</c:v>
                </c:pt>
                <c:pt idx="268">
                  <c:v>8.5399999999999991</c:v>
                </c:pt>
                <c:pt idx="269">
                  <c:v>8.5399999999999991</c:v>
                </c:pt>
                <c:pt idx="270">
                  <c:v>8.5399999999999991</c:v>
                </c:pt>
                <c:pt idx="271">
                  <c:v>8.5399999999999991</c:v>
                </c:pt>
                <c:pt idx="272">
                  <c:v>8.5399999999999991</c:v>
                </c:pt>
                <c:pt idx="273">
                  <c:v>8.5399999999999991</c:v>
                </c:pt>
                <c:pt idx="274">
                  <c:v>8.5399999999999991</c:v>
                </c:pt>
                <c:pt idx="275">
                  <c:v>8.5500000000000007</c:v>
                </c:pt>
                <c:pt idx="276">
                  <c:v>8.5399999999999991</c:v>
                </c:pt>
                <c:pt idx="277">
                  <c:v>8.5399999999999991</c:v>
                </c:pt>
                <c:pt idx="278">
                  <c:v>8.5500000000000007</c:v>
                </c:pt>
                <c:pt idx="279">
                  <c:v>8.5500000000000007</c:v>
                </c:pt>
                <c:pt idx="280">
                  <c:v>8.5500000000000007</c:v>
                </c:pt>
                <c:pt idx="281">
                  <c:v>8.5500000000000007</c:v>
                </c:pt>
                <c:pt idx="282">
                  <c:v>8.5500000000000007</c:v>
                </c:pt>
                <c:pt idx="283">
                  <c:v>8.5399999999999991</c:v>
                </c:pt>
                <c:pt idx="284">
                  <c:v>8.5399999999999991</c:v>
                </c:pt>
                <c:pt idx="285">
                  <c:v>8.5399999999999991</c:v>
                </c:pt>
                <c:pt idx="286">
                  <c:v>8.5500000000000007</c:v>
                </c:pt>
                <c:pt idx="287">
                  <c:v>8.5500000000000007</c:v>
                </c:pt>
                <c:pt idx="288">
                  <c:v>8.5399999999999991</c:v>
                </c:pt>
                <c:pt idx="289">
                  <c:v>8.5500000000000007</c:v>
                </c:pt>
                <c:pt idx="290">
                  <c:v>8.5399999999999991</c:v>
                </c:pt>
                <c:pt idx="291">
                  <c:v>8.5399999999999991</c:v>
                </c:pt>
                <c:pt idx="292">
                  <c:v>8.5399999999999991</c:v>
                </c:pt>
                <c:pt idx="293">
                  <c:v>8.5399999999999991</c:v>
                </c:pt>
                <c:pt idx="294">
                  <c:v>8.5399999999999991</c:v>
                </c:pt>
                <c:pt idx="295">
                  <c:v>8.5399999999999991</c:v>
                </c:pt>
                <c:pt idx="296">
                  <c:v>8.5399999999999991</c:v>
                </c:pt>
                <c:pt idx="297">
                  <c:v>8.5399999999999991</c:v>
                </c:pt>
                <c:pt idx="298">
                  <c:v>8.5399999999999991</c:v>
                </c:pt>
                <c:pt idx="299">
                  <c:v>8.5500000000000007</c:v>
                </c:pt>
                <c:pt idx="300">
                  <c:v>8.5399999999999991</c:v>
                </c:pt>
                <c:pt idx="301">
                  <c:v>8.5500000000000007</c:v>
                </c:pt>
                <c:pt idx="302">
                  <c:v>8.5500000000000007</c:v>
                </c:pt>
                <c:pt idx="303">
                  <c:v>8.5500000000000007</c:v>
                </c:pt>
                <c:pt idx="304">
                  <c:v>8.5299999999999994</c:v>
                </c:pt>
                <c:pt idx="305">
                  <c:v>8.5299999999999994</c:v>
                </c:pt>
                <c:pt idx="306">
                  <c:v>8.5299999999999994</c:v>
                </c:pt>
                <c:pt idx="307">
                  <c:v>8.52</c:v>
                </c:pt>
                <c:pt idx="308">
                  <c:v>8.52</c:v>
                </c:pt>
                <c:pt idx="309">
                  <c:v>8.52</c:v>
                </c:pt>
                <c:pt idx="310">
                  <c:v>8.52</c:v>
                </c:pt>
                <c:pt idx="311">
                  <c:v>8.52</c:v>
                </c:pt>
                <c:pt idx="312">
                  <c:v>8.52</c:v>
                </c:pt>
                <c:pt idx="313">
                  <c:v>8.52</c:v>
                </c:pt>
                <c:pt idx="314">
                  <c:v>8.52</c:v>
                </c:pt>
                <c:pt idx="315">
                  <c:v>8.52</c:v>
                </c:pt>
                <c:pt idx="316">
                  <c:v>8.52</c:v>
                </c:pt>
                <c:pt idx="317">
                  <c:v>8.52</c:v>
                </c:pt>
                <c:pt idx="318">
                  <c:v>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2-5F42-BB82-14453220E5F5}"/>
            </c:ext>
          </c:extLst>
        </c:ser>
        <c:ser>
          <c:idx val="2"/>
          <c:order val="2"/>
          <c:tx>
            <c:strRef>
              <c:f>Graficos!$AW$27</c:f>
              <c:strCache>
                <c:ptCount val="1"/>
                <c:pt idx="0">
                  <c:v>Media últimos 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Graficos!$AT$28:$AT$346</c:f>
              <c:strCache>
                <c:ptCount val="319"/>
                <c:pt idx="0">
                  <c:v>17/01/2026</c:v>
                </c:pt>
                <c:pt idx="1">
                  <c:v>17/01/2026</c:v>
                </c:pt>
                <c:pt idx="2">
                  <c:v>17/01/2026</c:v>
                </c:pt>
                <c:pt idx="3">
                  <c:v>17/01/2026</c:v>
                </c:pt>
                <c:pt idx="4">
                  <c:v>17/01/2026</c:v>
                </c:pt>
                <c:pt idx="5">
                  <c:v>17/01/2026</c:v>
                </c:pt>
                <c:pt idx="6">
                  <c:v>17/01/2026</c:v>
                </c:pt>
                <c:pt idx="7">
                  <c:v>17/01/2026</c:v>
                </c:pt>
                <c:pt idx="8">
                  <c:v>18/01/2026</c:v>
                </c:pt>
                <c:pt idx="9">
                  <c:v>18/01/2026</c:v>
                </c:pt>
                <c:pt idx="10">
                  <c:v>18/01/2026</c:v>
                </c:pt>
                <c:pt idx="11">
                  <c:v>18/01/2026</c:v>
                </c:pt>
                <c:pt idx="12">
                  <c:v>19/01/2026</c:v>
                </c:pt>
                <c:pt idx="13">
                  <c:v>19/01/2026</c:v>
                </c:pt>
                <c:pt idx="14">
                  <c:v>19/01/2026</c:v>
                </c:pt>
                <c:pt idx="15">
                  <c:v>19/01/2026</c:v>
                </c:pt>
                <c:pt idx="16">
                  <c:v>20/01/2026</c:v>
                </c:pt>
                <c:pt idx="17">
                  <c:v>20/01/2026</c:v>
                </c:pt>
                <c:pt idx="18">
                  <c:v>20/01/2026</c:v>
                </c:pt>
                <c:pt idx="19">
                  <c:v>20/01/2026</c:v>
                </c:pt>
                <c:pt idx="20">
                  <c:v>21/01/2026</c:v>
                </c:pt>
                <c:pt idx="21">
                  <c:v>21/01/2026</c:v>
                </c:pt>
                <c:pt idx="22">
                  <c:v>22/01/2026</c:v>
                </c:pt>
                <c:pt idx="23">
                  <c:v>22/01/2026</c:v>
                </c:pt>
                <c:pt idx="24">
                  <c:v>23/01/2026</c:v>
                </c:pt>
                <c:pt idx="25">
                  <c:v>23/01/2026</c:v>
                </c:pt>
                <c:pt idx="26">
                  <c:v>24/01/2026</c:v>
                </c:pt>
                <c:pt idx="27">
                  <c:v>24/01/2026</c:v>
                </c:pt>
                <c:pt idx="28">
                  <c:v>24/01/2026</c:v>
                </c:pt>
                <c:pt idx="29">
                  <c:v>25/01/2026</c:v>
                </c:pt>
                <c:pt idx="30">
                  <c:v>25/01/2026</c:v>
                </c:pt>
                <c:pt idx="31">
                  <c:v>25/01/2026</c:v>
                </c:pt>
                <c:pt idx="32">
                  <c:v>26/01/2026</c:v>
                </c:pt>
                <c:pt idx="33">
                  <c:v>26/01/2026</c:v>
                </c:pt>
                <c:pt idx="34">
                  <c:v>28/01/2026</c:v>
                </c:pt>
                <c:pt idx="35">
                  <c:v>28/01/2026</c:v>
                </c:pt>
                <c:pt idx="36">
                  <c:v>28/01/2026</c:v>
                </c:pt>
                <c:pt idx="37">
                  <c:v>29/01/2026</c:v>
                </c:pt>
                <c:pt idx="38">
                  <c:v>29/01/2026</c:v>
                </c:pt>
                <c:pt idx="39">
                  <c:v>30/01/2026</c:v>
                </c:pt>
                <c:pt idx="40">
                  <c:v>31/01/2026</c:v>
                </c:pt>
                <c:pt idx="41">
                  <c:v>31/01/2026</c:v>
                </c:pt>
                <c:pt idx="42">
                  <c:v>02/02/2026</c:v>
                </c:pt>
                <c:pt idx="43">
                  <c:v>02/02/2026</c:v>
                </c:pt>
                <c:pt idx="44">
                  <c:v>03/02/2026</c:v>
                </c:pt>
                <c:pt idx="45">
                  <c:v>04/02/2026</c:v>
                </c:pt>
                <c:pt idx="46">
                  <c:v>04/02/2026</c:v>
                </c:pt>
                <c:pt idx="47">
                  <c:v>05/02/2026</c:v>
                </c:pt>
                <c:pt idx="48">
                  <c:v>05/02/2026</c:v>
                </c:pt>
                <c:pt idx="49">
                  <c:v>06/02/2026</c:v>
                </c:pt>
                <c:pt idx="50">
                  <c:v>10/02/2026</c:v>
                </c:pt>
                <c:pt idx="51">
                  <c:v>11/02/2026</c:v>
                </c:pt>
                <c:pt idx="52">
                  <c:v>11/02/2026</c:v>
                </c:pt>
                <c:pt idx="53">
                  <c:v>12/02/2026</c:v>
                </c:pt>
                <c:pt idx="54">
                  <c:v>13/02/2026</c:v>
                </c:pt>
                <c:pt idx="55">
                  <c:v>15/02/2026</c:v>
                </c:pt>
                <c:pt idx="56">
                  <c:v>15/02/2026</c:v>
                </c:pt>
                <c:pt idx="57">
                  <c:v>16/02/2026</c:v>
                </c:pt>
                <c:pt idx="58">
                  <c:v>17/02/2026</c:v>
                </c:pt>
                <c:pt idx="59">
                  <c:v>18/02/2026</c:v>
                </c:pt>
                <c:pt idx="60">
                  <c:v>18/02/2026</c:v>
                </c:pt>
                <c:pt idx="61">
                  <c:v>19/02/2026</c:v>
                </c:pt>
                <c:pt idx="62">
                  <c:v>20/02/2026</c:v>
                </c:pt>
                <c:pt idx="63">
                  <c:v>20/02/2026</c:v>
                </c:pt>
                <c:pt idx="64">
                  <c:v>22/02/2026</c:v>
                </c:pt>
                <c:pt idx="65">
                  <c:v>23/02/2026</c:v>
                </c:pt>
                <c:pt idx="66">
                  <c:v>24/02/2026</c:v>
                </c:pt>
                <c:pt idx="67">
                  <c:v>24/02/2026</c:v>
                </c:pt>
                <c:pt idx="68">
                  <c:v>25/02/2026</c:v>
                </c:pt>
                <c:pt idx="69">
                  <c:v>26/02/2026</c:v>
                </c:pt>
                <c:pt idx="70">
                  <c:v>27/02/2026</c:v>
                </c:pt>
                <c:pt idx="71">
                  <c:v>27/02/2026</c:v>
                </c:pt>
                <c:pt idx="72">
                  <c:v>27/02/2026</c:v>
                </c:pt>
                <c:pt idx="73">
                  <c:v>27/02/2026</c:v>
                </c:pt>
                <c:pt idx="74">
                  <c:v>27/02/2026</c:v>
                </c:pt>
                <c:pt idx="75">
                  <c:v>28/02/2026</c:v>
                </c:pt>
                <c:pt idx="76">
                  <c:v>28/02/2026</c:v>
                </c:pt>
                <c:pt idx="77">
                  <c:v>28/02/2026</c:v>
                </c:pt>
                <c:pt idx="78">
                  <c:v>01/03/2026</c:v>
                </c:pt>
                <c:pt idx="79">
                  <c:v>02/03/2026</c:v>
                </c:pt>
                <c:pt idx="80">
                  <c:v>02/03/2026</c:v>
                </c:pt>
                <c:pt idx="81">
                  <c:v>03/03/2026</c:v>
                </c:pt>
                <c:pt idx="82">
                  <c:v>04/03/2026</c:v>
                </c:pt>
                <c:pt idx="83">
                  <c:v>05/03/2026</c:v>
                </c:pt>
                <c:pt idx="84">
                  <c:v>05/03/2026</c:v>
                </c:pt>
                <c:pt idx="85">
                  <c:v>06/03/2026</c:v>
                </c:pt>
                <c:pt idx="86">
                  <c:v>06/03/2026</c:v>
                </c:pt>
                <c:pt idx="87">
                  <c:v>07/03/2026</c:v>
                </c:pt>
                <c:pt idx="88">
                  <c:v>09/03/2026</c:v>
                </c:pt>
                <c:pt idx="89">
                  <c:v>10/03/2026</c:v>
                </c:pt>
                <c:pt idx="90">
                  <c:v>11/03/2026</c:v>
                </c:pt>
                <c:pt idx="91">
                  <c:v>12/03/2026</c:v>
                </c:pt>
                <c:pt idx="92">
                  <c:v>12/03/2026</c:v>
                </c:pt>
                <c:pt idx="93">
                  <c:v>13/03/2026</c:v>
                </c:pt>
                <c:pt idx="94">
                  <c:v>15/03/2026</c:v>
                </c:pt>
                <c:pt idx="95">
                  <c:v>15/03/2026</c:v>
                </c:pt>
                <c:pt idx="96">
                  <c:v>15/03/2026</c:v>
                </c:pt>
                <c:pt idx="97">
                  <c:v>15/03/2026</c:v>
                </c:pt>
                <c:pt idx="98">
                  <c:v>16/03/2026</c:v>
                </c:pt>
                <c:pt idx="99">
                  <c:v>16/03/2026</c:v>
                </c:pt>
                <c:pt idx="100">
                  <c:v>17/03/2026</c:v>
                </c:pt>
                <c:pt idx="101">
                  <c:v>18/03/2026</c:v>
                </c:pt>
                <c:pt idx="102">
                  <c:v>19/03/2026</c:v>
                </c:pt>
                <c:pt idx="103">
                  <c:v>20/03/2026</c:v>
                </c:pt>
                <c:pt idx="104">
                  <c:v>20/03/2026</c:v>
                </c:pt>
                <c:pt idx="105">
                  <c:v>22/03/2026</c:v>
                </c:pt>
                <c:pt idx="106">
                  <c:v>23/03/2026</c:v>
                </c:pt>
                <c:pt idx="107">
                  <c:v>25/03/2026</c:v>
                </c:pt>
                <c:pt idx="108">
                  <c:v>25/03/2026</c:v>
                </c:pt>
                <c:pt idx="109">
                  <c:v>25/03/2026</c:v>
                </c:pt>
                <c:pt idx="110">
                  <c:v>26/03/2026</c:v>
                </c:pt>
                <c:pt idx="111">
                  <c:v>26/03/2026</c:v>
                </c:pt>
                <c:pt idx="112">
                  <c:v>27/03/2026</c:v>
                </c:pt>
                <c:pt idx="113">
                  <c:v>27/03/2026</c:v>
                </c:pt>
                <c:pt idx="114">
                  <c:v>29/03/2026</c:v>
                </c:pt>
                <c:pt idx="115">
                  <c:v>30/03/2026</c:v>
                </c:pt>
                <c:pt idx="116">
                  <c:v>30/03/2026</c:v>
                </c:pt>
                <c:pt idx="117">
                  <c:v>31/03/2026</c:v>
                </c:pt>
                <c:pt idx="118">
                  <c:v>31/03/2026</c:v>
                </c:pt>
                <c:pt idx="119">
                  <c:v>01/04/2026</c:v>
                </c:pt>
                <c:pt idx="120">
                  <c:v>06/04/2026</c:v>
                </c:pt>
                <c:pt idx="121">
                  <c:v>06/04/2026</c:v>
                </c:pt>
                <c:pt idx="122">
                  <c:v>06/04/2026</c:v>
                </c:pt>
                <c:pt idx="123">
                  <c:v>07/04/2026</c:v>
                </c:pt>
                <c:pt idx="124">
                  <c:v>08/04/2026</c:v>
                </c:pt>
                <c:pt idx="125">
                  <c:v>09/04/2026</c:v>
                </c:pt>
                <c:pt idx="126">
                  <c:v>10/04/2026</c:v>
                </c:pt>
                <c:pt idx="127">
                  <c:v>10/04/2026</c:v>
                </c:pt>
                <c:pt idx="128">
                  <c:v>10/04/2026</c:v>
                </c:pt>
                <c:pt idx="129">
                  <c:v>13/04/2026</c:v>
                </c:pt>
                <c:pt idx="130">
                  <c:v>13/04/2026</c:v>
                </c:pt>
                <c:pt idx="131">
                  <c:v>14/04/2026</c:v>
                </c:pt>
                <c:pt idx="132">
                  <c:v>15/04/2026</c:v>
                </c:pt>
                <c:pt idx="133">
                  <c:v>15/04/2026</c:v>
                </c:pt>
                <c:pt idx="134">
                  <c:v>15/04/2026</c:v>
                </c:pt>
                <c:pt idx="135">
                  <c:v>16/04/2026</c:v>
                </c:pt>
                <c:pt idx="136">
                  <c:v>16/04/2026</c:v>
                </c:pt>
                <c:pt idx="137">
                  <c:v>17/04/2026</c:v>
                </c:pt>
                <c:pt idx="138">
                  <c:v>20/04/2026</c:v>
                </c:pt>
                <c:pt idx="139">
                  <c:v>22/04/2026</c:v>
                </c:pt>
                <c:pt idx="140">
                  <c:v>22/04/2026</c:v>
                </c:pt>
                <c:pt idx="141">
                  <c:v>22/04/2026</c:v>
                </c:pt>
                <c:pt idx="142">
                  <c:v>23/04/2026</c:v>
                </c:pt>
                <c:pt idx="143">
                  <c:v>24/04/2026</c:v>
                </c:pt>
                <c:pt idx="144">
                  <c:v>25/04/2026</c:v>
                </c:pt>
                <c:pt idx="145">
                  <c:v>26/04/2026</c:v>
                </c:pt>
                <c:pt idx="146">
                  <c:v>27/04/2026</c:v>
                </c:pt>
                <c:pt idx="147">
                  <c:v>27/04/2026</c:v>
                </c:pt>
                <c:pt idx="148">
                  <c:v>28/04/2026</c:v>
                </c:pt>
                <c:pt idx="149">
                  <c:v>28/04/2026</c:v>
                </c:pt>
                <c:pt idx="150">
                  <c:v>29/04/2026</c:v>
                </c:pt>
                <c:pt idx="151">
                  <c:v>30/04/2026</c:v>
                </c:pt>
                <c:pt idx="152">
                  <c:v>04/05/2026</c:v>
                </c:pt>
                <c:pt idx="153">
                  <c:v>05/05/2026</c:v>
                </c:pt>
                <c:pt idx="154">
                  <c:v>05/05/2026</c:v>
                </c:pt>
                <c:pt idx="155">
                  <c:v>06/05/2026</c:v>
                </c:pt>
                <c:pt idx="156">
                  <c:v>07/05/2026</c:v>
                </c:pt>
                <c:pt idx="157">
                  <c:v>08/05/2026</c:v>
                </c:pt>
                <c:pt idx="158">
                  <c:v>09/05/2026</c:v>
                </c:pt>
                <c:pt idx="159">
                  <c:v>10/05/2026</c:v>
                </c:pt>
                <c:pt idx="160">
                  <c:v>11/05/2026</c:v>
                </c:pt>
                <c:pt idx="161">
                  <c:v>12/05/2026</c:v>
                </c:pt>
                <c:pt idx="162">
                  <c:v>12/05/2026</c:v>
                </c:pt>
                <c:pt idx="163">
                  <c:v>13/05/2026</c:v>
                </c:pt>
                <c:pt idx="164">
                  <c:v>14/05/2026</c:v>
                </c:pt>
                <c:pt idx="165">
                  <c:v>15/05/2026</c:v>
                </c:pt>
                <c:pt idx="166">
                  <c:v>15/05/2026</c:v>
                </c:pt>
                <c:pt idx="167">
                  <c:v>16/05/2026</c:v>
                </c:pt>
                <c:pt idx="168">
                  <c:v>18/05/2026</c:v>
                </c:pt>
                <c:pt idx="169">
                  <c:v>18/05/2026</c:v>
                </c:pt>
                <c:pt idx="170">
                  <c:v>18/05/2026</c:v>
                </c:pt>
                <c:pt idx="171">
                  <c:v>18/05/2026</c:v>
                </c:pt>
                <c:pt idx="172">
                  <c:v>19/05/2026</c:v>
                </c:pt>
                <c:pt idx="173">
                  <c:v>20/05/2026</c:v>
                </c:pt>
                <c:pt idx="174">
                  <c:v>21/05/2026</c:v>
                </c:pt>
                <c:pt idx="175">
                  <c:v>21/05/2026</c:v>
                </c:pt>
                <c:pt idx="176">
                  <c:v>22/05/2026</c:v>
                </c:pt>
                <c:pt idx="177">
                  <c:v>22/05/2026</c:v>
                </c:pt>
                <c:pt idx="178">
                  <c:v>24/05/2026</c:v>
                </c:pt>
                <c:pt idx="179">
                  <c:v>24/05/2026</c:v>
                </c:pt>
                <c:pt idx="180">
                  <c:v>25/05/2026</c:v>
                </c:pt>
                <c:pt idx="181">
                  <c:v>25/05/2026</c:v>
                </c:pt>
                <c:pt idx="182">
                  <c:v>26/05/2026</c:v>
                </c:pt>
                <c:pt idx="183">
                  <c:v>26/05/2026</c:v>
                </c:pt>
                <c:pt idx="184">
                  <c:v>26/05/2026</c:v>
                </c:pt>
                <c:pt idx="185">
                  <c:v>27/05/2026</c:v>
                </c:pt>
                <c:pt idx="186">
                  <c:v>28/05/2026</c:v>
                </c:pt>
                <c:pt idx="187">
                  <c:v>28/05/2026</c:v>
                </c:pt>
                <c:pt idx="188">
                  <c:v>28/05/2026</c:v>
                </c:pt>
                <c:pt idx="189">
                  <c:v>29/05/2026</c:v>
                </c:pt>
                <c:pt idx="190">
                  <c:v>30/05/2026</c:v>
                </c:pt>
                <c:pt idx="191">
                  <c:v>31/05/2026</c:v>
                </c:pt>
                <c:pt idx="192">
                  <c:v>01/06/2026</c:v>
                </c:pt>
                <c:pt idx="193">
                  <c:v>01/06/2026</c:v>
                </c:pt>
                <c:pt idx="194">
                  <c:v>02/06/2026</c:v>
                </c:pt>
                <c:pt idx="195">
                  <c:v>02/06/2026</c:v>
                </c:pt>
                <c:pt idx="196">
                  <c:v>03/06/2026</c:v>
                </c:pt>
                <c:pt idx="197">
                  <c:v>04/06/2026</c:v>
                </c:pt>
                <c:pt idx="198">
                  <c:v>05/06/2026</c:v>
                </c:pt>
                <c:pt idx="199">
                  <c:v>05/06/2026</c:v>
                </c:pt>
                <c:pt idx="200">
                  <c:v>06/06/2026</c:v>
                </c:pt>
                <c:pt idx="201">
                  <c:v>07/06/2026</c:v>
                </c:pt>
                <c:pt idx="202">
                  <c:v>08/06/2026</c:v>
                </c:pt>
                <c:pt idx="203">
                  <c:v>09/06/2026</c:v>
                </c:pt>
                <c:pt idx="204">
                  <c:v>09/06/2026</c:v>
                </c:pt>
                <c:pt idx="205">
                  <c:v>10/06/2026</c:v>
                </c:pt>
                <c:pt idx="206">
                  <c:v>10/06/2026</c:v>
                </c:pt>
                <c:pt idx="207">
                  <c:v>11/06/2026</c:v>
                </c:pt>
                <c:pt idx="208">
                  <c:v>12/06/2026</c:v>
                </c:pt>
                <c:pt idx="209">
                  <c:v>12/06/2026</c:v>
                </c:pt>
                <c:pt idx="210">
                  <c:v>13/06/2026</c:v>
                </c:pt>
                <c:pt idx="211">
                  <c:v>14/06/2026</c:v>
                </c:pt>
                <c:pt idx="212">
                  <c:v>14/06/2026</c:v>
                </c:pt>
                <c:pt idx="213">
                  <c:v>15/06/2026</c:v>
                </c:pt>
                <c:pt idx="214">
                  <c:v>16/06/2026</c:v>
                </c:pt>
                <c:pt idx="215">
                  <c:v>17/06/2026</c:v>
                </c:pt>
                <c:pt idx="216">
                  <c:v>17/06/2026</c:v>
                </c:pt>
                <c:pt idx="217">
                  <c:v>18/06/2026</c:v>
                </c:pt>
                <c:pt idx="218">
                  <c:v>18/06/2026</c:v>
                </c:pt>
                <c:pt idx="219">
                  <c:v>19/06/2026</c:v>
                </c:pt>
                <c:pt idx="220">
                  <c:v>22/06/2026</c:v>
                </c:pt>
                <c:pt idx="221">
                  <c:v>22/06/2026</c:v>
                </c:pt>
                <c:pt idx="222">
                  <c:v>22/06/2026</c:v>
                </c:pt>
                <c:pt idx="223">
                  <c:v>23/06/2026</c:v>
                </c:pt>
                <c:pt idx="224">
                  <c:v>24/06/2026</c:v>
                </c:pt>
                <c:pt idx="225">
                  <c:v>24/06/2026</c:v>
                </c:pt>
                <c:pt idx="226">
                  <c:v>25/06/2026</c:v>
                </c:pt>
                <c:pt idx="227">
                  <c:v>26/06/2026</c:v>
                </c:pt>
                <c:pt idx="228">
                  <c:v>29/06/2026</c:v>
                </c:pt>
                <c:pt idx="229">
                  <c:v>30/06/2026</c:v>
                </c:pt>
                <c:pt idx="230">
                  <c:v>30/06/2026</c:v>
                </c:pt>
                <c:pt idx="231">
                  <c:v>30/06/2026</c:v>
                </c:pt>
                <c:pt idx="232">
                  <c:v>01/07/2026</c:v>
                </c:pt>
                <c:pt idx="233">
                  <c:v>01/07/2026</c:v>
                </c:pt>
                <c:pt idx="234">
                  <c:v>01/07/2026</c:v>
                </c:pt>
                <c:pt idx="235">
                  <c:v>02/07/2026</c:v>
                </c:pt>
                <c:pt idx="236">
                  <c:v>02/07/2026</c:v>
                </c:pt>
                <c:pt idx="237">
                  <c:v>03/07/2026</c:v>
                </c:pt>
                <c:pt idx="238">
                  <c:v>05/07/2026</c:v>
                </c:pt>
                <c:pt idx="239">
                  <c:v>06/07/2026</c:v>
                </c:pt>
                <c:pt idx="240">
                  <c:v>06/07/2026</c:v>
                </c:pt>
                <c:pt idx="241">
                  <c:v>06/07/2026</c:v>
                </c:pt>
                <c:pt idx="242">
                  <c:v>07/07/2026</c:v>
                </c:pt>
                <c:pt idx="243">
                  <c:v>08/07/2026</c:v>
                </c:pt>
                <c:pt idx="244">
                  <c:v>09/07/2026</c:v>
                </c:pt>
                <c:pt idx="245">
                  <c:v>12/07/2026</c:v>
                </c:pt>
                <c:pt idx="246">
                  <c:v>12/07/2026</c:v>
                </c:pt>
                <c:pt idx="247">
                  <c:v>15/07/2026</c:v>
                </c:pt>
                <c:pt idx="248">
                  <c:v>15/07/2026</c:v>
                </c:pt>
                <c:pt idx="249">
                  <c:v>16/07/2026</c:v>
                </c:pt>
                <c:pt idx="250">
                  <c:v>17/07/2026</c:v>
                </c:pt>
                <c:pt idx="251">
                  <c:v>17/07/2026</c:v>
                </c:pt>
                <c:pt idx="252">
                  <c:v>17/07/2026</c:v>
                </c:pt>
                <c:pt idx="253">
                  <c:v>18/07/2026</c:v>
                </c:pt>
                <c:pt idx="254">
                  <c:v>18/07/2026</c:v>
                </c:pt>
                <c:pt idx="255">
                  <c:v>20/07/2026</c:v>
                </c:pt>
                <c:pt idx="256">
                  <c:v>20/07/2026</c:v>
                </c:pt>
                <c:pt idx="257">
                  <c:v>21/07/2026</c:v>
                </c:pt>
                <c:pt idx="258">
                  <c:v>22/07/2026</c:v>
                </c:pt>
                <c:pt idx="259">
                  <c:v>22/07/2026</c:v>
                </c:pt>
                <c:pt idx="260">
                  <c:v>23/07/2026</c:v>
                </c:pt>
                <c:pt idx="261">
                  <c:v>23/07/2026</c:v>
                </c:pt>
                <c:pt idx="262">
                  <c:v>24/07/2026</c:v>
                </c:pt>
                <c:pt idx="263">
                  <c:v>25/07/2026</c:v>
                </c:pt>
                <c:pt idx="264">
                  <c:v>26/07/2026</c:v>
                </c:pt>
                <c:pt idx="265">
                  <c:v>26/07/2026</c:v>
                </c:pt>
                <c:pt idx="266">
                  <c:v>27/07/2026</c:v>
                </c:pt>
                <c:pt idx="267">
                  <c:v>28/07/2026</c:v>
                </c:pt>
                <c:pt idx="268">
                  <c:v>28/07/2026</c:v>
                </c:pt>
                <c:pt idx="269">
                  <c:v>30/07/2026</c:v>
                </c:pt>
                <c:pt idx="270">
                  <c:v>31/07/2026</c:v>
                </c:pt>
                <c:pt idx="271">
                  <c:v>09/08/2026</c:v>
                </c:pt>
                <c:pt idx="272">
                  <c:v>09/08/2026</c:v>
                </c:pt>
                <c:pt idx="273">
                  <c:v>09/08/2026</c:v>
                </c:pt>
                <c:pt idx="274">
                  <c:v>12/08/2026</c:v>
                </c:pt>
                <c:pt idx="275">
                  <c:v>15/08/2026</c:v>
                </c:pt>
                <c:pt idx="276">
                  <c:v>15/08/2026</c:v>
                </c:pt>
                <c:pt idx="277">
                  <c:v>19/08/2026</c:v>
                </c:pt>
                <c:pt idx="278">
                  <c:v>19/08/2026</c:v>
                </c:pt>
                <c:pt idx="279">
                  <c:v>20/08/2026</c:v>
                </c:pt>
                <c:pt idx="280">
                  <c:v>21/08/2026</c:v>
                </c:pt>
                <c:pt idx="281">
                  <c:v>22/08/2026</c:v>
                </c:pt>
                <c:pt idx="282">
                  <c:v>24/08/2026</c:v>
                </c:pt>
                <c:pt idx="283">
                  <c:v>26/08/2026</c:v>
                </c:pt>
                <c:pt idx="284">
                  <c:v>26/08/2026</c:v>
                </c:pt>
                <c:pt idx="285">
                  <c:v>26/08/2026</c:v>
                </c:pt>
                <c:pt idx="286">
                  <c:v>28/08/2026</c:v>
                </c:pt>
                <c:pt idx="287">
                  <c:v>29/08/2026</c:v>
                </c:pt>
                <c:pt idx="288">
                  <c:v>30/08/2026</c:v>
                </c:pt>
                <c:pt idx="289">
                  <c:v>01/09/2026</c:v>
                </c:pt>
                <c:pt idx="290">
                  <c:v>02/09/2026</c:v>
                </c:pt>
                <c:pt idx="291">
                  <c:v>02/09/2026</c:v>
                </c:pt>
                <c:pt idx="292">
                  <c:v>04/09/2026</c:v>
                </c:pt>
                <c:pt idx="293">
                  <c:v>06/09/2026</c:v>
                </c:pt>
                <c:pt idx="294">
                  <c:v>09/09/2026</c:v>
                </c:pt>
                <c:pt idx="295">
                  <c:v>11/09/2026</c:v>
                </c:pt>
                <c:pt idx="296">
                  <c:v>14/09/2026</c:v>
                </c:pt>
                <c:pt idx="297">
                  <c:v>16/09/2026</c:v>
                </c:pt>
                <c:pt idx="298">
                  <c:v>16/09/2026</c:v>
                </c:pt>
                <c:pt idx="299">
                  <c:v>19/09/2026</c:v>
                </c:pt>
                <c:pt idx="300">
                  <c:v>20/09/2026</c:v>
                </c:pt>
                <c:pt idx="301">
                  <c:v>21/09/2026</c:v>
                </c:pt>
                <c:pt idx="302">
                  <c:v>23/09/2026</c:v>
                </c:pt>
                <c:pt idx="303">
                  <c:v>23/09/2026</c:v>
                </c:pt>
                <c:pt idx="304">
                  <c:v>24/09/2026</c:v>
                </c:pt>
                <c:pt idx="305">
                  <c:v>25/09/2026</c:v>
                </c:pt>
                <c:pt idx="306">
                  <c:v>26/09/2026</c:v>
                </c:pt>
                <c:pt idx="307">
                  <c:v>26/09/2026</c:v>
                </c:pt>
                <c:pt idx="308">
                  <c:v>26/09/2026</c:v>
                </c:pt>
                <c:pt idx="309">
                  <c:v>27/09/2026</c:v>
                </c:pt>
                <c:pt idx="310">
                  <c:v>27/09/2026</c:v>
                </c:pt>
                <c:pt idx="311">
                  <c:v>27/09/2026</c:v>
                </c:pt>
                <c:pt idx="312">
                  <c:v>27/09/2026</c:v>
                </c:pt>
                <c:pt idx="313">
                  <c:v>27/09/2026</c:v>
                </c:pt>
                <c:pt idx="314">
                  <c:v>29/09/2026</c:v>
                </c:pt>
                <c:pt idx="315">
                  <c:v>30/09/2026</c:v>
                </c:pt>
                <c:pt idx="316">
                  <c:v>02/10/2026</c:v>
                </c:pt>
                <c:pt idx="317">
                  <c:v>04/10/2026</c:v>
                </c:pt>
                <c:pt idx="318">
                  <c:v>05/10/2026</c:v>
                </c:pt>
              </c:strCache>
            </c:strRef>
          </c:cat>
          <c:val>
            <c:numRef>
              <c:f>Graficos!$AW$28:$AW$346</c:f>
              <c:numCache>
                <c:formatCode>General</c:formatCode>
                <c:ptCount val="319"/>
                <c:pt idx="0">
                  <c:v>8.8800000000000008</c:v>
                </c:pt>
                <c:pt idx="1">
                  <c:v>9.02</c:v>
                </c:pt>
                <c:pt idx="2">
                  <c:v>9.01</c:v>
                </c:pt>
                <c:pt idx="3">
                  <c:v>8.99</c:v>
                </c:pt>
                <c:pt idx="4">
                  <c:v>8.9499999999999993</c:v>
                </c:pt>
                <c:pt idx="5">
                  <c:v>8.86</c:v>
                </c:pt>
                <c:pt idx="6">
                  <c:v>8.86</c:v>
                </c:pt>
                <c:pt idx="7">
                  <c:v>8.92</c:v>
                </c:pt>
                <c:pt idx="8">
                  <c:v>8.99</c:v>
                </c:pt>
                <c:pt idx="9">
                  <c:v>9.02</c:v>
                </c:pt>
                <c:pt idx="10">
                  <c:v>9.0500000000000007</c:v>
                </c:pt>
                <c:pt idx="11">
                  <c:v>9.07</c:v>
                </c:pt>
                <c:pt idx="12">
                  <c:v>9.0500000000000007</c:v>
                </c:pt>
                <c:pt idx="13">
                  <c:v>9.07</c:v>
                </c:pt>
                <c:pt idx="14">
                  <c:v>9.06</c:v>
                </c:pt>
                <c:pt idx="15">
                  <c:v>9.02</c:v>
                </c:pt>
                <c:pt idx="16">
                  <c:v>8.98</c:v>
                </c:pt>
                <c:pt idx="17">
                  <c:v>8.94</c:v>
                </c:pt>
                <c:pt idx="18">
                  <c:v>8.92</c:v>
                </c:pt>
                <c:pt idx="19">
                  <c:v>8.8699999999999992</c:v>
                </c:pt>
                <c:pt idx="20">
                  <c:v>8.8800000000000008</c:v>
                </c:pt>
                <c:pt idx="21">
                  <c:v>8.86</c:v>
                </c:pt>
                <c:pt idx="22">
                  <c:v>8.84</c:v>
                </c:pt>
                <c:pt idx="23">
                  <c:v>8.76</c:v>
                </c:pt>
                <c:pt idx="24">
                  <c:v>8.7799999999999994</c:v>
                </c:pt>
                <c:pt idx="25">
                  <c:v>8.74</c:v>
                </c:pt>
                <c:pt idx="26">
                  <c:v>8.75</c:v>
                </c:pt>
                <c:pt idx="27">
                  <c:v>8.73</c:v>
                </c:pt>
                <c:pt idx="28">
                  <c:v>8.65</c:v>
                </c:pt>
                <c:pt idx="29">
                  <c:v>8.58</c:v>
                </c:pt>
                <c:pt idx="30">
                  <c:v>8.56</c:v>
                </c:pt>
                <c:pt idx="31">
                  <c:v>8.5399999999999991</c:v>
                </c:pt>
                <c:pt idx="32">
                  <c:v>8.5299999999999994</c:v>
                </c:pt>
                <c:pt idx="33">
                  <c:v>8.5</c:v>
                </c:pt>
                <c:pt idx="34">
                  <c:v>8.4700000000000006</c:v>
                </c:pt>
                <c:pt idx="35">
                  <c:v>8.49</c:v>
                </c:pt>
                <c:pt idx="36">
                  <c:v>8.6</c:v>
                </c:pt>
                <c:pt idx="37">
                  <c:v>8.61</c:v>
                </c:pt>
                <c:pt idx="38">
                  <c:v>8.59</c:v>
                </c:pt>
                <c:pt idx="39">
                  <c:v>8.6300000000000008</c:v>
                </c:pt>
                <c:pt idx="40">
                  <c:v>8.57</c:v>
                </c:pt>
                <c:pt idx="41">
                  <c:v>8.58</c:v>
                </c:pt>
                <c:pt idx="42">
                  <c:v>8.5</c:v>
                </c:pt>
                <c:pt idx="43">
                  <c:v>8.6300000000000008</c:v>
                </c:pt>
                <c:pt idx="44">
                  <c:v>8.58</c:v>
                </c:pt>
                <c:pt idx="45">
                  <c:v>8.64</c:v>
                </c:pt>
                <c:pt idx="46">
                  <c:v>8.6199999999999992</c:v>
                </c:pt>
                <c:pt idx="47">
                  <c:v>8.67</c:v>
                </c:pt>
                <c:pt idx="48">
                  <c:v>8.74</c:v>
                </c:pt>
                <c:pt idx="49">
                  <c:v>8.7899999999999991</c:v>
                </c:pt>
                <c:pt idx="50">
                  <c:v>8.7799999999999994</c:v>
                </c:pt>
                <c:pt idx="51">
                  <c:v>8.81</c:v>
                </c:pt>
                <c:pt idx="52">
                  <c:v>8.82</c:v>
                </c:pt>
                <c:pt idx="53">
                  <c:v>8.8000000000000007</c:v>
                </c:pt>
                <c:pt idx="54">
                  <c:v>8.83</c:v>
                </c:pt>
                <c:pt idx="55">
                  <c:v>8.83</c:v>
                </c:pt>
                <c:pt idx="56">
                  <c:v>8.73</c:v>
                </c:pt>
                <c:pt idx="57">
                  <c:v>8.74</c:v>
                </c:pt>
                <c:pt idx="58">
                  <c:v>8.7799999999999994</c:v>
                </c:pt>
                <c:pt idx="59">
                  <c:v>8.77</c:v>
                </c:pt>
                <c:pt idx="60">
                  <c:v>8.7799999999999994</c:v>
                </c:pt>
                <c:pt idx="61">
                  <c:v>8.77</c:v>
                </c:pt>
                <c:pt idx="62">
                  <c:v>8.8699999999999992</c:v>
                </c:pt>
                <c:pt idx="63">
                  <c:v>8.75</c:v>
                </c:pt>
                <c:pt idx="64">
                  <c:v>8.7899999999999991</c:v>
                </c:pt>
                <c:pt idx="65">
                  <c:v>8.8000000000000007</c:v>
                </c:pt>
                <c:pt idx="66">
                  <c:v>8.7899999999999991</c:v>
                </c:pt>
                <c:pt idx="67">
                  <c:v>8.81</c:v>
                </c:pt>
                <c:pt idx="68">
                  <c:v>8.7799999999999994</c:v>
                </c:pt>
                <c:pt idx="69">
                  <c:v>8.77</c:v>
                </c:pt>
                <c:pt idx="70">
                  <c:v>8.8000000000000007</c:v>
                </c:pt>
                <c:pt idx="71">
                  <c:v>8.7200000000000006</c:v>
                </c:pt>
                <c:pt idx="72">
                  <c:v>8.7200000000000006</c:v>
                </c:pt>
                <c:pt idx="73">
                  <c:v>8.7200000000000006</c:v>
                </c:pt>
                <c:pt idx="74">
                  <c:v>8.7200000000000006</c:v>
                </c:pt>
                <c:pt idx="75">
                  <c:v>8.75</c:v>
                </c:pt>
                <c:pt idx="76">
                  <c:v>8.75</c:v>
                </c:pt>
                <c:pt idx="77">
                  <c:v>8.73</c:v>
                </c:pt>
                <c:pt idx="78">
                  <c:v>8.69</c:v>
                </c:pt>
                <c:pt idx="79">
                  <c:v>8.7200000000000006</c:v>
                </c:pt>
                <c:pt idx="80">
                  <c:v>8.76</c:v>
                </c:pt>
                <c:pt idx="81">
                  <c:v>8.75</c:v>
                </c:pt>
                <c:pt idx="82">
                  <c:v>8.73</c:v>
                </c:pt>
                <c:pt idx="83">
                  <c:v>8.8000000000000007</c:v>
                </c:pt>
                <c:pt idx="84">
                  <c:v>8.8000000000000007</c:v>
                </c:pt>
                <c:pt idx="85">
                  <c:v>8.74</c:v>
                </c:pt>
                <c:pt idx="86">
                  <c:v>8.75</c:v>
                </c:pt>
                <c:pt idx="87">
                  <c:v>8.6999999999999993</c:v>
                </c:pt>
                <c:pt idx="88">
                  <c:v>8.69</c:v>
                </c:pt>
                <c:pt idx="89">
                  <c:v>8.6999999999999993</c:v>
                </c:pt>
                <c:pt idx="90">
                  <c:v>8.67</c:v>
                </c:pt>
                <c:pt idx="91">
                  <c:v>8.7200000000000006</c:v>
                </c:pt>
                <c:pt idx="92">
                  <c:v>8.7200000000000006</c:v>
                </c:pt>
                <c:pt idx="93">
                  <c:v>8.69</c:v>
                </c:pt>
                <c:pt idx="94">
                  <c:v>8.74</c:v>
                </c:pt>
                <c:pt idx="95">
                  <c:v>8.6999999999999993</c:v>
                </c:pt>
                <c:pt idx="96">
                  <c:v>8.73</c:v>
                </c:pt>
                <c:pt idx="97">
                  <c:v>8.73</c:v>
                </c:pt>
                <c:pt idx="98">
                  <c:v>8.77</c:v>
                </c:pt>
                <c:pt idx="99">
                  <c:v>8.75</c:v>
                </c:pt>
                <c:pt idx="100">
                  <c:v>8.75</c:v>
                </c:pt>
                <c:pt idx="101">
                  <c:v>8.75</c:v>
                </c:pt>
                <c:pt idx="102">
                  <c:v>8.75</c:v>
                </c:pt>
                <c:pt idx="103">
                  <c:v>8.75</c:v>
                </c:pt>
                <c:pt idx="104">
                  <c:v>8.75</c:v>
                </c:pt>
                <c:pt idx="105">
                  <c:v>8.77</c:v>
                </c:pt>
                <c:pt idx="106">
                  <c:v>8.75</c:v>
                </c:pt>
                <c:pt idx="107">
                  <c:v>8.76</c:v>
                </c:pt>
                <c:pt idx="108">
                  <c:v>8.73</c:v>
                </c:pt>
                <c:pt idx="109">
                  <c:v>8.7200000000000006</c:v>
                </c:pt>
                <c:pt idx="110">
                  <c:v>8.7200000000000006</c:v>
                </c:pt>
                <c:pt idx="111">
                  <c:v>8.4600000000000009</c:v>
                </c:pt>
                <c:pt idx="112">
                  <c:v>8.4700000000000006</c:v>
                </c:pt>
                <c:pt idx="113">
                  <c:v>8.49</c:v>
                </c:pt>
                <c:pt idx="114">
                  <c:v>8.41</c:v>
                </c:pt>
                <c:pt idx="115">
                  <c:v>8.44</c:v>
                </c:pt>
                <c:pt idx="116">
                  <c:v>8.42</c:v>
                </c:pt>
                <c:pt idx="117">
                  <c:v>8.39</c:v>
                </c:pt>
                <c:pt idx="118">
                  <c:v>8.31</c:v>
                </c:pt>
                <c:pt idx="119">
                  <c:v>8.3000000000000007</c:v>
                </c:pt>
                <c:pt idx="120">
                  <c:v>8.2899999999999991</c:v>
                </c:pt>
                <c:pt idx="121">
                  <c:v>8.33</c:v>
                </c:pt>
                <c:pt idx="122">
                  <c:v>8.32</c:v>
                </c:pt>
                <c:pt idx="123">
                  <c:v>8.3000000000000007</c:v>
                </c:pt>
                <c:pt idx="124">
                  <c:v>8.2899999999999991</c:v>
                </c:pt>
                <c:pt idx="125">
                  <c:v>8.31</c:v>
                </c:pt>
                <c:pt idx="126">
                  <c:v>8.31</c:v>
                </c:pt>
                <c:pt idx="127">
                  <c:v>8.2899999999999991</c:v>
                </c:pt>
                <c:pt idx="128">
                  <c:v>8.31</c:v>
                </c:pt>
                <c:pt idx="129">
                  <c:v>8.32</c:v>
                </c:pt>
                <c:pt idx="130">
                  <c:v>8.31</c:v>
                </c:pt>
                <c:pt idx="131">
                  <c:v>8.5500000000000007</c:v>
                </c:pt>
                <c:pt idx="132">
                  <c:v>8.5299999999999994</c:v>
                </c:pt>
                <c:pt idx="133">
                  <c:v>8.5500000000000007</c:v>
                </c:pt>
                <c:pt idx="134">
                  <c:v>8.5399999999999991</c:v>
                </c:pt>
                <c:pt idx="135">
                  <c:v>8.52</c:v>
                </c:pt>
                <c:pt idx="136">
                  <c:v>8.5299999999999994</c:v>
                </c:pt>
                <c:pt idx="137">
                  <c:v>8.5500000000000007</c:v>
                </c:pt>
                <c:pt idx="138">
                  <c:v>8.64</c:v>
                </c:pt>
                <c:pt idx="139">
                  <c:v>8.66</c:v>
                </c:pt>
                <c:pt idx="140">
                  <c:v>8.65</c:v>
                </c:pt>
                <c:pt idx="141">
                  <c:v>8.6199999999999992</c:v>
                </c:pt>
                <c:pt idx="142">
                  <c:v>8.6300000000000008</c:v>
                </c:pt>
                <c:pt idx="143">
                  <c:v>8.64</c:v>
                </c:pt>
                <c:pt idx="144">
                  <c:v>8.64</c:v>
                </c:pt>
                <c:pt idx="145">
                  <c:v>8.6999999999999993</c:v>
                </c:pt>
                <c:pt idx="146">
                  <c:v>8.67</c:v>
                </c:pt>
                <c:pt idx="147">
                  <c:v>8.61</c:v>
                </c:pt>
                <c:pt idx="148">
                  <c:v>8.61</c:v>
                </c:pt>
                <c:pt idx="149">
                  <c:v>8.61</c:v>
                </c:pt>
                <c:pt idx="150">
                  <c:v>8.64</c:v>
                </c:pt>
                <c:pt idx="151">
                  <c:v>8.65</c:v>
                </c:pt>
                <c:pt idx="152">
                  <c:v>8.67</c:v>
                </c:pt>
                <c:pt idx="153">
                  <c:v>8.66</c:v>
                </c:pt>
                <c:pt idx="154">
                  <c:v>8.39</c:v>
                </c:pt>
                <c:pt idx="155">
                  <c:v>8.3699999999999992</c:v>
                </c:pt>
                <c:pt idx="156">
                  <c:v>8.3699999999999992</c:v>
                </c:pt>
                <c:pt idx="157">
                  <c:v>8.3800000000000008</c:v>
                </c:pt>
                <c:pt idx="158">
                  <c:v>8.36</c:v>
                </c:pt>
                <c:pt idx="159">
                  <c:v>8.36</c:v>
                </c:pt>
                <c:pt idx="160">
                  <c:v>8.39</c:v>
                </c:pt>
                <c:pt idx="161">
                  <c:v>8.4</c:v>
                </c:pt>
                <c:pt idx="162">
                  <c:v>8.3800000000000008</c:v>
                </c:pt>
                <c:pt idx="163">
                  <c:v>8.36</c:v>
                </c:pt>
                <c:pt idx="164">
                  <c:v>8.39</c:v>
                </c:pt>
                <c:pt idx="165">
                  <c:v>8.34</c:v>
                </c:pt>
                <c:pt idx="166">
                  <c:v>8.35</c:v>
                </c:pt>
                <c:pt idx="167">
                  <c:v>8.42</c:v>
                </c:pt>
                <c:pt idx="168">
                  <c:v>8.41</c:v>
                </c:pt>
                <c:pt idx="169">
                  <c:v>8.41</c:v>
                </c:pt>
                <c:pt idx="170">
                  <c:v>8.4</c:v>
                </c:pt>
                <c:pt idx="171">
                  <c:v>8.4</c:v>
                </c:pt>
                <c:pt idx="172">
                  <c:v>8.4</c:v>
                </c:pt>
                <c:pt idx="173">
                  <c:v>8.4</c:v>
                </c:pt>
                <c:pt idx="174">
                  <c:v>8.69</c:v>
                </c:pt>
                <c:pt idx="175">
                  <c:v>8.7200000000000006</c:v>
                </c:pt>
                <c:pt idx="176">
                  <c:v>8.69</c:v>
                </c:pt>
                <c:pt idx="177">
                  <c:v>8.67</c:v>
                </c:pt>
                <c:pt idx="178">
                  <c:v>8.66</c:v>
                </c:pt>
                <c:pt idx="179">
                  <c:v>8.66</c:v>
                </c:pt>
                <c:pt idx="180">
                  <c:v>8.65</c:v>
                </c:pt>
                <c:pt idx="181">
                  <c:v>8.64</c:v>
                </c:pt>
                <c:pt idx="182">
                  <c:v>8.65</c:v>
                </c:pt>
                <c:pt idx="183">
                  <c:v>8.68</c:v>
                </c:pt>
                <c:pt idx="184">
                  <c:v>8.65</c:v>
                </c:pt>
                <c:pt idx="185">
                  <c:v>8.6999999999999993</c:v>
                </c:pt>
                <c:pt idx="186">
                  <c:v>8.6999999999999993</c:v>
                </c:pt>
                <c:pt idx="187">
                  <c:v>8.67</c:v>
                </c:pt>
                <c:pt idx="188">
                  <c:v>8.67</c:v>
                </c:pt>
                <c:pt idx="189">
                  <c:v>8.67</c:v>
                </c:pt>
                <c:pt idx="190">
                  <c:v>8.66</c:v>
                </c:pt>
                <c:pt idx="191">
                  <c:v>8.65</c:v>
                </c:pt>
                <c:pt idx="192">
                  <c:v>8.61</c:v>
                </c:pt>
                <c:pt idx="193">
                  <c:v>8.64</c:v>
                </c:pt>
                <c:pt idx="194">
                  <c:v>8.65</c:v>
                </c:pt>
                <c:pt idx="195">
                  <c:v>8.64</c:v>
                </c:pt>
                <c:pt idx="196">
                  <c:v>8.67</c:v>
                </c:pt>
                <c:pt idx="197">
                  <c:v>8.65</c:v>
                </c:pt>
                <c:pt idx="198">
                  <c:v>8.66</c:v>
                </c:pt>
                <c:pt idx="199">
                  <c:v>8.4499999999999993</c:v>
                </c:pt>
                <c:pt idx="200">
                  <c:v>8.44</c:v>
                </c:pt>
                <c:pt idx="201">
                  <c:v>8.4499999999999993</c:v>
                </c:pt>
                <c:pt idx="202">
                  <c:v>8.44</c:v>
                </c:pt>
                <c:pt idx="203">
                  <c:v>8.44</c:v>
                </c:pt>
                <c:pt idx="204">
                  <c:v>8.43</c:v>
                </c:pt>
                <c:pt idx="205">
                  <c:v>8.34</c:v>
                </c:pt>
                <c:pt idx="206">
                  <c:v>8.35</c:v>
                </c:pt>
                <c:pt idx="207">
                  <c:v>8.3800000000000008</c:v>
                </c:pt>
                <c:pt idx="208">
                  <c:v>8.3800000000000008</c:v>
                </c:pt>
                <c:pt idx="209">
                  <c:v>8.3699999999999992</c:v>
                </c:pt>
                <c:pt idx="210">
                  <c:v>8.33</c:v>
                </c:pt>
                <c:pt idx="211">
                  <c:v>8.34</c:v>
                </c:pt>
                <c:pt idx="212">
                  <c:v>8.3800000000000008</c:v>
                </c:pt>
                <c:pt idx="213">
                  <c:v>8.3699999999999992</c:v>
                </c:pt>
                <c:pt idx="214">
                  <c:v>8.3699999999999992</c:v>
                </c:pt>
                <c:pt idx="215">
                  <c:v>8.36</c:v>
                </c:pt>
                <c:pt idx="216">
                  <c:v>8.31</c:v>
                </c:pt>
                <c:pt idx="217">
                  <c:v>8.33</c:v>
                </c:pt>
                <c:pt idx="218">
                  <c:v>8.34</c:v>
                </c:pt>
                <c:pt idx="219">
                  <c:v>8.5399999999999991</c:v>
                </c:pt>
                <c:pt idx="220">
                  <c:v>8.51</c:v>
                </c:pt>
                <c:pt idx="221">
                  <c:v>8.5</c:v>
                </c:pt>
                <c:pt idx="222">
                  <c:v>8.51</c:v>
                </c:pt>
                <c:pt idx="223">
                  <c:v>8.49</c:v>
                </c:pt>
                <c:pt idx="224">
                  <c:v>8.52</c:v>
                </c:pt>
                <c:pt idx="225">
                  <c:v>8.5500000000000007</c:v>
                </c:pt>
                <c:pt idx="226">
                  <c:v>8.5299999999999994</c:v>
                </c:pt>
                <c:pt idx="227">
                  <c:v>8.5500000000000007</c:v>
                </c:pt>
                <c:pt idx="228">
                  <c:v>8.52</c:v>
                </c:pt>
                <c:pt idx="229">
                  <c:v>8.52</c:v>
                </c:pt>
                <c:pt idx="230">
                  <c:v>8.5500000000000007</c:v>
                </c:pt>
                <c:pt idx="231">
                  <c:v>8.5299999999999994</c:v>
                </c:pt>
                <c:pt idx="232">
                  <c:v>8.5299999999999994</c:v>
                </c:pt>
                <c:pt idx="233">
                  <c:v>8.5</c:v>
                </c:pt>
                <c:pt idx="234">
                  <c:v>8.49</c:v>
                </c:pt>
                <c:pt idx="235">
                  <c:v>8.51</c:v>
                </c:pt>
                <c:pt idx="236">
                  <c:v>8.5500000000000007</c:v>
                </c:pt>
                <c:pt idx="237">
                  <c:v>8.57</c:v>
                </c:pt>
                <c:pt idx="238">
                  <c:v>8.56</c:v>
                </c:pt>
                <c:pt idx="239">
                  <c:v>8.51</c:v>
                </c:pt>
                <c:pt idx="240">
                  <c:v>8.5500000000000007</c:v>
                </c:pt>
                <c:pt idx="241">
                  <c:v>8.58</c:v>
                </c:pt>
                <c:pt idx="242">
                  <c:v>8.57</c:v>
                </c:pt>
                <c:pt idx="243">
                  <c:v>8.56</c:v>
                </c:pt>
                <c:pt idx="244">
                  <c:v>8.56</c:v>
                </c:pt>
                <c:pt idx="245">
                  <c:v>8.57</c:v>
                </c:pt>
                <c:pt idx="246">
                  <c:v>8.58</c:v>
                </c:pt>
                <c:pt idx="247">
                  <c:v>8.58</c:v>
                </c:pt>
                <c:pt idx="248">
                  <c:v>8.6</c:v>
                </c:pt>
                <c:pt idx="249">
                  <c:v>8.56</c:v>
                </c:pt>
                <c:pt idx="250">
                  <c:v>8.19</c:v>
                </c:pt>
                <c:pt idx="251">
                  <c:v>8.19</c:v>
                </c:pt>
                <c:pt idx="252">
                  <c:v>8.18</c:v>
                </c:pt>
                <c:pt idx="253">
                  <c:v>8.1999999999999993</c:v>
                </c:pt>
                <c:pt idx="254">
                  <c:v>8.1999999999999993</c:v>
                </c:pt>
                <c:pt idx="255">
                  <c:v>8.19</c:v>
                </c:pt>
                <c:pt idx="256">
                  <c:v>8.1999999999999993</c:v>
                </c:pt>
                <c:pt idx="257">
                  <c:v>8.18</c:v>
                </c:pt>
                <c:pt idx="258">
                  <c:v>8.17</c:v>
                </c:pt>
                <c:pt idx="259">
                  <c:v>8.23</c:v>
                </c:pt>
                <c:pt idx="260">
                  <c:v>8.23</c:v>
                </c:pt>
                <c:pt idx="261">
                  <c:v>8.2100000000000009</c:v>
                </c:pt>
                <c:pt idx="262">
                  <c:v>8.18</c:v>
                </c:pt>
                <c:pt idx="263">
                  <c:v>8.2200000000000006</c:v>
                </c:pt>
                <c:pt idx="264">
                  <c:v>8.16</c:v>
                </c:pt>
                <c:pt idx="265">
                  <c:v>8.15</c:v>
                </c:pt>
                <c:pt idx="266">
                  <c:v>8.16</c:v>
                </c:pt>
                <c:pt idx="267">
                  <c:v>8.1300000000000008</c:v>
                </c:pt>
                <c:pt idx="268">
                  <c:v>8.01</c:v>
                </c:pt>
                <c:pt idx="269">
                  <c:v>8.02</c:v>
                </c:pt>
                <c:pt idx="270">
                  <c:v>8.4600000000000009</c:v>
                </c:pt>
                <c:pt idx="271">
                  <c:v>8.4700000000000006</c:v>
                </c:pt>
                <c:pt idx="272">
                  <c:v>8.4700000000000006</c:v>
                </c:pt>
                <c:pt idx="273">
                  <c:v>8.4700000000000006</c:v>
                </c:pt>
                <c:pt idx="274">
                  <c:v>8.48</c:v>
                </c:pt>
                <c:pt idx="275">
                  <c:v>8.49</c:v>
                </c:pt>
                <c:pt idx="276">
                  <c:v>8.4700000000000006</c:v>
                </c:pt>
                <c:pt idx="277">
                  <c:v>8.49</c:v>
                </c:pt>
                <c:pt idx="278">
                  <c:v>8.5299999999999994</c:v>
                </c:pt>
                <c:pt idx="279">
                  <c:v>8.51</c:v>
                </c:pt>
                <c:pt idx="280">
                  <c:v>8.5</c:v>
                </c:pt>
                <c:pt idx="281">
                  <c:v>8.49</c:v>
                </c:pt>
                <c:pt idx="282">
                  <c:v>8.5299999999999994</c:v>
                </c:pt>
                <c:pt idx="283">
                  <c:v>8.48</c:v>
                </c:pt>
                <c:pt idx="284">
                  <c:v>8.5299999999999994</c:v>
                </c:pt>
                <c:pt idx="285">
                  <c:v>8.52</c:v>
                </c:pt>
                <c:pt idx="286">
                  <c:v>8.5299999999999994</c:v>
                </c:pt>
                <c:pt idx="287">
                  <c:v>8.56</c:v>
                </c:pt>
                <c:pt idx="288">
                  <c:v>8.67</c:v>
                </c:pt>
                <c:pt idx="289">
                  <c:v>8.7100000000000009</c:v>
                </c:pt>
                <c:pt idx="290">
                  <c:v>8.59</c:v>
                </c:pt>
                <c:pt idx="291">
                  <c:v>8.58</c:v>
                </c:pt>
                <c:pt idx="292">
                  <c:v>8.56</c:v>
                </c:pt>
                <c:pt idx="293">
                  <c:v>8.58</c:v>
                </c:pt>
                <c:pt idx="294">
                  <c:v>8.57</c:v>
                </c:pt>
                <c:pt idx="295">
                  <c:v>8.56</c:v>
                </c:pt>
                <c:pt idx="296">
                  <c:v>8.58</c:v>
                </c:pt>
                <c:pt idx="297">
                  <c:v>8.58</c:v>
                </c:pt>
                <c:pt idx="298">
                  <c:v>8.57</c:v>
                </c:pt>
                <c:pt idx="299">
                  <c:v>8.61</c:v>
                </c:pt>
                <c:pt idx="300">
                  <c:v>8.59</c:v>
                </c:pt>
                <c:pt idx="301">
                  <c:v>8.6199999999999992</c:v>
                </c:pt>
                <c:pt idx="302">
                  <c:v>8.6</c:v>
                </c:pt>
                <c:pt idx="303">
                  <c:v>8.6199999999999992</c:v>
                </c:pt>
                <c:pt idx="304">
                  <c:v>8.3699999999999992</c:v>
                </c:pt>
                <c:pt idx="305">
                  <c:v>8.4</c:v>
                </c:pt>
                <c:pt idx="306">
                  <c:v>8.31</c:v>
                </c:pt>
                <c:pt idx="307">
                  <c:v>8.2799999999999994</c:v>
                </c:pt>
                <c:pt idx="308">
                  <c:v>8.2899999999999991</c:v>
                </c:pt>
                <c:pt idx="309">
                  <c:v>8.25</c:v>
                </c:pt>
                <c:pt idx="310">
                  <c:v>8.2899999999999991</c:v>
                </c:pt>
                <c:pt idx="311">
                  <c:v>8.27</c:v>
                </c:pt>
                <c:pt idx="312">
                  <c:v>8.25</c:v>
                </c:pt>
                <c:pt idx="313">
                  <c:v>8.23</c:v>
                </c:pt>
                <c:pt idx="314">
                  <c:v>8.2100000000000009</c:v>
                </c:pt>
                <c:pt idx="315">
                  <c:v>8.23</c:v>
                </c:pt>
                <c:pt idx="316">
                  <c:v>8.2200000000000006</c:v>
                </c:pt>
                <c:pt idx="317">
                  <c:v>8.2100000000000009</c:v>
                </c:pt>
                <c:pt idx="318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72-5F42-BB82-14453220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641024"/>
        <c:axId val="487649536"/>
      </c:lineChart>
      <c:catAx>
        <c:axId val="4876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649536"/>
        <c:crosses val="autoZero"/>
        <c:auto val="1"/>
        <c:lblAlgn val="ctr"/>
        <c:lblOffset val="100"/>
        <c:noMultiLvlLbl val="0"/>
      </c:catAx>
      <c:valAx>
        <c:axId val="487649536"/>
        <c:scaling>
          <c:orientation val="minMax"/>
          <c:max val="9.5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64102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 los álbumes reseñados cada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Graficos!$AU$349</c:f>
              <c:strCache>
                <c:ptCount val="1"/>
                <c:pt idx="0">
                  <c:v>Media del 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Graficos!$AT$350:$AT$359</c:f>
              <c:strCache>
                <c:ptCount val="10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</c:strCache>
            </c:strRef>
          </c:cat>
          <c:val>
            <c:numRef>
              <c:f>Graficos!$AU$350:$AU$359</c:f>
              <c:numCache>
                <c:formatCode>General</c:formatCode>
                <c:ptCount val="10"/>
                <c:pt idx="0">
                  <c:v>8.73</c:v>
                </c:pt>
                <c:pt idx="1">
                  <c:v>8.7799999999999994</c:v>
                </c:pt>
                <c:pt idx="2">
                  <c:v>8.5299999999999994</c:v>
                </c:pt>
                <c:pt idx="3">
                  <c:v>8.65</c:v>
                </c:pt>
                <c:pt idx="4">
                  <c:v>8.5299999999999994</c:v>
                </c:pt>
                <c:pt idx="5">
                  <c:v>8.44</c:v>
                </c:pt>
                <c:pt idx="6">
                  <c:v>8.32</c:v>
                </c:pt>
                <c:pt idx="7">
                  <c:v>8.65</c:v>
                </c:pt>
                <c:pt idx="8">
                  <c:v>8.2799999999999994</c:v>
                </c:pt>
                <c:pt idx="9">
                  <c:v>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A-D046-8A63-A9A489960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459840"/>
        <c:axId val="484472384"/>
      </c:barChart>
      <c:catAx>
        <c:axId val="4844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472384"/>
        <c:crosses val="autoZero"/>
        <c:auto val="1"/>
        <c:lblAlgn val="ctr"/>
        <c:lblOffset val="100"/>
        <c:noMultiLvlLbl val="0"/>
      </c:catAx>
      <c:valAx>
        <c:axId val="484472384"/>
        <c:scaling>
          <c:orientation val="minMax"/>
          <c:max val="9"/>
          <c:min val="8.19999999999999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459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de notas (3230 canciones)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Graficos!$AU$362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Graficos!$AT$363:$AT$384</c:f>
              <c:strCache>
                <c:ptCount val="22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</c:strCache>
            </c:strRef>
          </c:cat>
          <c:val>
            <c:numRef>
              <c:f>Graficos!$AU$363:$AU$384</c:f>
              <c:numCache>
                <c:formatCode>General</c:formatCode>
                <c:ptCount val="22"/>
                <c:pt idx="0">
                  <c:v>6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10</c:v>
                </c:pt>
                <c:pt idx="7">
                  <c:v>2</c:v>
                </c:pt>
                <c:pt idx="8">
                  <c:v>10</c:v>
                </c:pt>
                <c:pt idx="9">
                  <c:v>0</c:v>
                </c:pt>
                <c:pt idx="10">
                  <c:v>9</c:v>
                </c:pt>
                <c:pt idx="11">
                  <c:v>2</c:v>
                </c:pt>
                <c:pt idx="12">
                  <c:v>24</c:v>
                </c:pt>
                <c:pt idx="13">
                  <c:v>28</c:v>
                </c:pt>
                <c:pt idx="14">
                  <c:v>120</c:v>
                </c:pt>
                <c:pt idx="15">
                  <c:v>277</c:v>
                </c:pt>
                <c:pt idx="16">
                  <c:v>790</c:v>
                </c:pt>
                <c:pt idx="17">
                  <c:v>723</c:v>
                </c:pt>
                <c:pt idx="18">
                  <c:v>556</c:v>
                </c:pt>
                <c:pt idx="19">
                  <c:v>181</c:v>
                </c:pt>
                <c:pt idx="20">
                  <c:v>353</c:v>
                </c:pt>
                <c:pt idx="2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9-354B-873B-4945F3218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105792"/>
        <c:axId val="467094592"/>
      </c:barChart>
      <c:catAx>
        <c:axId val="4671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7094592"/>
        <c:crosses val="autoZero"/>
        <c:auto val="1"/>
        <c:lblAlgn val="ctr"/>
        <c:lblOffset val="100"/>
        <c:noMultiLvlLbl val="0"/>
      </c:catAx>
      <c:valAx>
        <c:axId val="46709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710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percentiles de notas (el X% de canciones está por debajo)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Graficos!$AU$387</c:f>
              <c:strCache>
                <c:ptCount val="1"/>
                <c:pt idx="0">
                  <c:v>Nota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Graficos!$AT$388:$AT$438</c:f>
              <c:strCache>
                <c:ptCount val="51"/>
                <c:pt idx="0">
                  <c:v>0%</c:v>
                </c:pt>
                <c:pt idx="1">
                  <c:v>2%</c:v>
                </c:pt>
                <c:pt idx="2">
                  <c:v>4%</c:v>
                </c:pt>
                <c:pt idx="3">
                  <c:v>6%</c:v>
                </c:pt>
                <c:pt idx="4">
                  <c:v>8%</c:v>
                </c:pt>
                <c:pt idx="5">
                  <c:v>10%</c:v>
                </c:pt>
                <c:pt idx="6">
                  <c:v>12%</c:v>
                </c:pt>
                <c:pt idx="7">
                  <c:v>14%</c:v>
                </c:pt>
                <c:pt idx="8">
                  <c:v>16%</c:v>
                </c:pt>
                <c:pt idx="9">
                  <c:v>18%</c:v>
                </c:pt>
                <c:pt idx="10">
                  <c:v>20%</c:v>
                </c:pt>
                <c:pt idx="11">
                  <c:v>22%</c:v>
                </c:pt>
                <c:pt idx="12">
                  <c:v>24%</c:v>
                </c:pt>
                <c:pt idx="13">
                  <c:v>26%</c:v>
                </c:pt>
                <c:pt idx="14">
                  <c:v>28%</c:v>
                </c:pt>
                <c:pt idx="15">
                  <c:v>30%</c:v>
                </c:pt>
                <c:pt idx="16">
                  <c:v>32%</c:v>
                </c:pt>
                <c:pt idx="17">
                  <c:v>34%</c:v>
                </c:pt>
                <c:pt idx="18">
                  <c:v>36%</c:v>
                </c:pt>
                <c:pt idx="19">
                  <c:v>38%</c:v>
                </c:pt>
                <c:pt idx="20">
                  <c:v>40%</c:v>
                </c:pt>
                <c:pt idx="21">
                  <c:v>42%</c:v>
                </c:pt>
                <c:pt idx="22">
                  <c:v>44%</c:v>
                </c:pt>
                <c:pt idx="23">
                  <c:v>46%</c:v>
                </c:pt>
                <c:pt idx="24">
                  <c:v>48%</c:v>
                </c:pt>
                <c:pt idx="25">
                  <c:v>50%</c:v>
                </c:pt>
                <c:pt idx="26">
                  <c:v>52%</c:v>
                </c:pt>
                <c:pt idx="27">
                  <c:v>54%</c:v>
                </c:pt>
                <c:pt idx="28">
                  <c:v>56%</c:v>
                </c:pt>
                <c:pt idx="29">
                  <c:v>58%</c:v>
                </c:pt>
                <c:pt idx="30">
                  <c:v>60%</c:v>
                </c:pt>
                <c:pt idx="31">
                  <c:v>62%</c:v>
                </c:pt>
                <c:pt idx="32">
                  <c:v>64%</c:v>
                </c:pt>
                <c:pt idx="33">
                  <c:v>66%</c:v>
                </c:pt>
                <c:pt idx="34">
                  <c:v>68%</c:v>
                </c:pt>
                <c:pt idx="35">
                  <c:v>70%</c:v>
                </c:pt>
                <c:pt idx="36">
                  <c:v>72%</c:v>
                </c:pt>
                <c:pt idx="37">
                  <c:v>74%</c:v>
                </c:pt>
                <c:pt idx="38">
                  <c:v>76%</c:v>
                </c:pt>
                <c:pt idx="39">
                  <c:v>78%</c:v>
                </c:pt>
                <c:pt idx="40">
                  <c:v>80%</c:v>
                </c:pt>
                <c:pt idx="41">
                  <c:v>82%</c:v>
                </c:pt>
                <c:pt idx="42">
                  <c:v>84%</c:v>
                </c:pt>
                <c:pt idx="43">
                  <c:v>86%</c:v>
                </c:pt>
                <c:pt idx="44">
                  <c:v>88%</c:v>
                </c:pt>
                <c:pt idx="45">
                  <c:v>90%</c:v>
                </c:pt>
                <c:pt idx="46">
                  <c:v>92%</c:v>
                </c:pt>
                <c:pt idx="47">
                  <c:v>94%</c:v>
                </c:pt>
                <c:pt idx="48">
                  <c:v>96%</c:v>
                </c:pt>
                <c:pt idx="49">
                  <c:v>98%</c:v>
                </c:pt>
                <c:pt idx="50">
                  <c:v>100%</c:v>
                </c:pt>
              </c:strCache>
            </c:strRef>
          </c:cat>
          <c:val>
            <c:numRef>
              <c:f>Graficos!$AU$388:$AU$438</c:f>
              <c:numCache>
                <c:formatCode>General</c:formatCode>
                <c:ptCount val="51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10.5</c:v>
                </c:pt>
                <c:pt idx="50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1-9E44-A6BB-002138EAE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444160"/>
        <c:axId val="553781888"/>
      </c:lineChart>
      <c:catAx>
        <c:axId val="57244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3781888"/>
        <c:crosses val="autoZero"/>
        <c:auto val="1"/>
        <c:lblAlgn val="ctr"/>
        <c:lblOffset val="100"/>
        <c:noMultiLvlLbl val="0"/>
      </c:catAx>
      <c:valAx>
        <c:axId val="553781888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244416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del nº de canciones por álbum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Graficos!$AU$441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Graficos!$AT$442:$AT$471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Graficos!$AU$442:$AU$471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11</c:v>
                </c:pt>
                <c:pt idx="5">
                  <c:v>17</c:v>
                </c:pt>
                <c:pt idx="6">
                  <c:v>18</c:v>
                </c:pt>
                <c:pt idx="7">
                  <c:v>29</c:v>
                </c:pt>
                <c:pt idx="8">
                  <c:v>34</c:v>
                </c:pt>
                <c:pt idx="9">
                  <c:v>52</c:v>
                </c:pt>
                <c:pt idx="10">
                  <c:v>34</c:v>
                </c:pt>
                <c:pt idx="11">
                  <c:v>34</c:v>
                </c:pt>
                <c:pt idx="12">
                  <c:v>19</c:v>
                </c:pt>
                <c:pt idx="13">
                  <c:v>15</c:v>
                </c:pt>
                <c:pt idx="14">
                  <c:v>14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F-8847-8BD4-F6E1207FB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179776"/>
        <c:axId val="540170816"/>
      </c:barChart>
      <c:catAx>
        <c:axId val="5401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0170816"/>
        <c:crosses val="autoZero"/>
        <c:auto val="1"/>
        <c:lblAlgn val="ctr"/>
        <c:lblOffset val="100"/>
        <c:noMultiLvlLbl val="0"/>
      </c:catAx>
      <c:valAx>
        <c:axId val="5401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017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Álbumes por década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Graficos!$AU$474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Graficos!$AT$475:$AT$481</c:f>
              <c:strCache>
                <c:ptCount val="7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  <c:pt idx="6">
                  <c:v>2020s</c:v>
                </c:pt>
              </c:strCache>
            </c:strRef>
          </c:cat>
          <c:val>
            <c:numRef>
              <c:f>Graficos!$AU$475:$AU$481</c:f>
              <c:numCache>
                <c:formatCode>General</c:formatCode>
                <c:ptCount val="7"/>
                <c:pt idx="0">
                  <c:v>6</c:v>
                </c:pt>
                <c:pt idx="1">
                  <c:v>33</c:v>
                </c:pt>
                <c:pt idx="2">
                  <c:v>31</c:v>
                </c:pt>
                <c:pt idx="3">
                  <c:v>75</c:v>
                </c:pt>
                <c:pt idx="4">
                  <c:v>77</c:v>
                </c:pt>
                <c:pt idx="5">
                  <c:v>47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2-7549-AA9D-0BE9930C6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062720"/>
        <c:axId val="467059136"/>
      </c:barChart>
      <c:catAx>
        <c:axId val="4670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7059136"/>
        <c:crosses val="autoZero"/>
        <c:auto val="1"/>
        <c:lblAlgn val="ctr"/>
        <c:lblOffset val="100"/>
        <c:noMultiLvlLbl val="0"/>
      </c:catAx>
      <c:valAx>
        <c:axId val="4670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706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3rd EYE SCORE medio por década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Graficos!$AU$484</c:f>
              <c:strCache>
                <c:ptCount val="1"/>
                <c:pt idx="0">
                  <c:v>3rd EYE SCORE 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Graficos!$AT$485:$AT$491</c:f>
              <c:strCache>
                <c:ptCount val="7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  <c:pt idx="6">
                  <c:v>2020s</c:v>
                </c:pt>
              </c:strCache>
            </c:strRef>
          </c:cat>
          <c:val>
            <c:numRef>
              <c:f>Graficos!$AU$485:$AU$491</c:f>
              <c:numCache>
                <c:formatCode>General</c:formatCode>
                <c:ptCount val="7"/>
                <c:pt idx="0">
                  <c:v>8.86</c:v>
                </c:pt>
                <c:pt idx="1">
                  <c:v>8.92</c:v>
                </c:pt>
                <c:pt idx="2">
                  <c:v>8.6999999999999993</c:v>
                </c:pt>
                <c:pt idx="3">
                  <c:v>8.59</c:v>
                </c:pt>
                <c:pt idx="4">
                  <c:v>8.7200000000000006</c:v>
                </c:pt>
                <c:pt idx="5">
                  <c:v>8.3000000000000007</c:v>
                </c:pt>
                <c:pt idx="6">
                  <c:v>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2-F941-B004-A7613B2A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90112"/>
        <c:axId val="466887872"/>
      </c:barChart>
      <c:catAx>
        <c:axId val="46689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887872"/>
        <c:crosses val="autoZero"/>
        <c:auto val="1"/>
        <c:lblAlgn val="ctr"/>
        <c:lblOffset val="100"/>
        <c:noMultiLvlLbl val="0"/>
      </c:catAx>
      <c:valAx>
        <c:axId val="466887872"/>
        <c:scaling>
          <c:orientation val="minMax"/>
          <c:max val="9.5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89011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Álbumes por año de publicación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Graficos!$AU$494</c:f>
              <c:strCache>
                <c:ptCount val="1"/>
                <c:pt idx="0">
                  <c:v>Álbumes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Graficos!$AT$495:$AT$554</c:f>
              <c:strCache>
                <c:ptCount val="60"/>
                <c:pt idx="0">
                  <c:v>1966</c:v>
                </c:pt>
                <c:pt idx="1">
                  <c:v>1967</c:v>
                </c:pt>
                <c:pt idx="2">
                  <c:v>1969</c:v>
                </c:pt>
                <c:pt idx="3">
                  <c:v>1970</c:v>
                </c:pt>
                <c:pt idx="4">
                  <c:v>1971</c:v>
                </c:pt>
                <c:pt idx="5">
                  <c:v>1972</c:v>
                </c:pt>
                <c:pt idx="6">
                  <c:v>1973</c:v>
                </c:pt>
                <c:pt idx="7">
                  <c:v>1974</c:v>
                </c:pt>
                <c:pt idx="8">
                  <c:v>1975</c:v>
                </c:pt>
                <c:pt idx="9">
                  <c:v>1976</c:v>
                </c:pt>
                <c:pt idx="10">
                  <c:v>1977</c:v>
                </c:pt>
                <c:pt idx="11">
                  <c:v>1978</c:v>
                </c:pt>
                <c:pt idx="12">
                  <c:v>1979</c:v>
                </c:pt>
                <c:pt idx="13">
                  <c:v>1980</c:v>
                </c:pt>
                <c:pt idx="14">
                  <c:v>1981</c:v>
                </c:pt>
                <c:pt idx="15">
                  <c:v>1982</c:v>
                </c:pt>
                <c:pt idx="16">
                  <c:v>1983</c:v>
                </c:pt>
                <c:pt idx="17">
                  <c:v>1984</c:v>
                </c:pt>
                <c:pt idx="18">
                  <c:v>1985</c:v>
                </c:pt>
                <c:pt idx="19">
                  <c:v>1986</c:v>
                </c:pt>
                <c:pt idx="20">
                  <c:v>1987</c:v>
                </c:pt>
                <c:pt idx="21">
                  <c:v>1988</c:v>
                </c:pt>
                <c:pt idx="22">
                  <c:v>1989</c:v>
                </c:pt>
                <c:pt idx="23">
                  <c:v>1990</c:v>
                </c:pt>
                <c:pt idx="24">
                  <c:v>1991</c:v>
                </c:pt>
                <c:pt idx="25">
                  <c:v>1992</c:v>
                </c:pt>
                <c:pt idx="26">
                  <c:v>1993</c:v>
                </c:pt>
                <c:pt idx="27">
                  <c:v>1994</c:v>
                </c:pt>
                <c:pt idx="28">
                  <c:v>1995</c:v>
                </c:pt>
                <c:pt idx="29">
                  <c:v>1996</c:v>
                </c:pt>
                <c:pt idx="30">
                  <c:v>1997</c:v>
                </c:pt>
                <c:pt idx="31">
                  <c:v>1998</c:v>
                </c:pt>
                <c:pt idx="32">
                  <c:v>1999</c:v>
                </c:pt>
                <c:pt idx="33">
                  <c:v>2000</c:v>
                </c:pt>
                <c:pt idx="34">
                  <c:v>2001</c:v>
                </c:pt>
                <c:pt idx="35">
                  <c:v>2002</c:v>
                </c:pt>
                <c:pt idx="36">
                  <c:v>2003</c:v>
                </c:pt>
                <c:pt idx="37">
                  <c:v>2004</c:v>
                </c:pt>
                <c:pt idx="38">
                  <c:v>2005</c:v>
                </c:pt>
                <c:pt idx="39">
                  <c:v>2006</c:v>
                </c:pt>
                <c:pt idx="40">
                  <c:v>2007</c:v>
                </c:pt>
                <c:pt idx="41">
                  <c:v>2008</c:v>
                </c:pt>
                <c:pt idx="42">
                  <c:v>2009</c:v>
                </c:pt>
                <c:pt idx="43">
                  <c:v>2010</c:v>
                </c:pt>
                <c:pt idx="44">
                  <c:v>2011</c:v>
                </c:pt>
                <c:pt idx="45">
                  <c:v>2012</c:v>
                </c:pt>
                <c:pt idx="46">
                  <c:v>2013</c:v>
                </c:pt>
                <c:pt idx="47">
                  <c:v>2014</c:v>
                </c:pt>
                <c:pt idx="48">
                  <c:v>2015</c:v>
                </c:pt>
                <c:pt idx="49">
                  <c:v>2016</c:v>
                </c:pt>
                <c:pt idx="50">
                  <c:v>2017</c:v>
                </c:pt>
                <c:pt idx="51">
                  <c:v>2018</c:v>
                </c:pt>
                <c:pt idx="52">
                  <c:v>2019</c:v>
                </c:pt>
                <c:pt idx="53">
                  <c:v>2020</c:v>
                </c:pt>
                <c:pt idx="54">
                  <c:v>2021</c:v>
                </c:pt>
                <c:pt idx="55">
                  <c:v>2022</c:v>
                </c:pt>
                <c:pt idx="56">
                  <c:v>2023</c:v>
                </c:pt>
                <c:pt idx="57">
                  <c:v>2024</c:v>
                </c:pt>
                <c:pt idx="58">
                  <c:v>2025</c:v>
                </c:pt>
                <c:pt idx="59">
                  <c:v>2026</c:v>
                </c:pt>
              </c:strCache>
            </c:strRef>
          </c:cat>
          <c:val>
            <c:numRef>
              <c:f>Graficos!$AU$495:$AU$554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6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5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11</c:v>
                </c:pt>
                <c:pt idx="31">
                  <c:v>9</c:v>
                </c:pt>
                <c:pt idx="32">
                  <c:v>8</c:v>
                </c:pt>
                <c:pt idx="33">
                  <c:v>11</c:v>
                </c:pt>
                <c:pt idx="34">
                  <c:v>9</c:v>
                </c:pt>
                <c:pt idx="35">
                  <c:v>11</c:v>
                </c:pt>
                <c:pt idx="36">
                  <c:v>12</c:v>
                </c:pt>
                <c:pt idx="37">
                  <c:v>3</c:v>
                </c:pt>
                <c:pt idx="38">
                  <c:v>12</c:v>
                </c:pt>
                <c:pt idx="39">
                  <c:v>3</c:v>
                </c:pt>
                <c:pt idx="40">
                  <c:v>7</c:v>
                </c:pt>
                <c:pt idx="41">
                  <c:v>6</c:v>
                </c:pt>
                <c:pt idx="42">
                  <c:v>3</c:v>
                </c:pt>
                <c:pt idx="43">
                  <c:v>4</c:v>
                </c:pt>
                <c:pt idx="44">
                  <c:v>3</c:v>
                </c:pt>
                <c:pt idx="45">
                  <c:v>4</c:v>
                </c:pt>
                <c:pt idx="46">
                  <c:v>6</c:v>
                </c:pt>
                <c:pt idx="47">
                  <c:v>3</c:v>
                </c:pt>
                <c:pt idx="48">
                  <c:v>4</c:v>
                </c:pt>
                <c:pt idx="49">
                  <c:v>10</c:v>
                </c:pt>
                <c:pt idx="50">
                  <c:v>4</c:v>
                </c:pt>
                <c:pt idx="51">
                  <c:v>6</c:v>
                </c:pt>
                <c:pt idx="52">
                  <c:v>3</c:v>
                </c:pt>
                <c:pt idx="53">
                  <c:v>5</c:v>
                </c:pt>
                <c:pt idx="54">
                  <c:v>6</c:v>
                </c:pt>
                <c:pt idx="55">
                  <c:v>1</c:v>
                </c:pt>
                <c:pt idx="56">
                  <c:v>2</c:v>
                </c:pt>
                <c:pt idx="57">
                  <c:v>11</c:v>
                </c:pt>
                <c:pt idx="58">
                  <c:v>6</c:v>
                </c:pt>
                <c:pt idx="5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F-FF40-85B8-40B2291C3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767808"/>
        <c:axId val="466769600"/>
      </c:lineChart>
      <c:catAx>
        <c:axId val="4667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769600"/>
        <c:crosses val="autoZero"/>
        <c:auto val="1"/>
        <c:lblAlgn val="ctr"/>
        <c:lblOffset val="100"/>
        <c:noMultiLvlLbl val="0"/>
      </c:catAx>
      <c:valAx>
        <c:axId val="4667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76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Duración media por década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Graficos!$AU$557</c:f>
              <c:strCache>
                <c:ptCount val="1"/>
                <c:pt idx="0">
                  <c:v>Duración media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Graficos!$AT$558:$AT$564</c:f>
              <c:strCache>
                <c:ptCount val="7"/>
                <c:pt idx="0">
                  <c:v>1960s</c:v>
                </c:pt>
                <c:pt idx="1">
                  <c:v>1970s</c:v>
                </c:pt>
                <c:pt idx="2">
                  <c:v>1980s</c:v>
                </c:pt>
                <c:pt idx="3">
                  <c:v>1990s</c:v>
                </c:pt>
                <c:pt idx="4">
                  <c:v>2000s</c:v>
                </c:pt>
                <c:pt idx="5">
                  <c:v>2010s</c:v>
                </c:pt>
                <c:pt idx="6">
                  <c:v>2020s</c:v>
                </c:pt>
              </c:strCache>
            </c:strRef>
          </c:cat>
          <c:val>
            <c:numRef>
              <c:f>Graficos!$AU$558:$AU$564</c:f>
              <c:numCache>
                <c:formatCode>General</c:formatCode>
                <c:ptCount val="7"/>
                <c:pt idx="0">
                  <c:v>45</c:v>
                </c:pt>
                <c:pt idx="1">
                  <c:v>43</c:v>
                </c:pt>
                <c:pt idx="2">
                  <c:v>45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9-4848-A9ED-404101CC7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704064"/>
        <c:axId val="488687808"/>
      </c:barChart>
      <c:catAx>
        <c:axId val="46670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8687808"/>
        <c:crosses val="autoZero"/>
        <c:auto val="1"/>
        <c:lblAlgn val="ctr"/>
        <c:lblOffset val="100"/>
        <c:noMultiLvlLbl val="0"/>
      </c:catAx>
      <c:valAx>
        <c:axId val="488687808"/>
        <c:scaling>
          <c:orientation val="minMax"/>
          <c:max val="6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7040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subgéneros más frecuentes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Graficos!$AU$567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Graficos!$AT$568:$AT$582</c:f>
              <c:strCache>
                <c:ptCount val="15"/>
                <c:pt idx="0">
                  <c:v>post metal</c:v>
                </c:pt>
                <c:pt idx="1">
                  <c:v>shoegaze</c:v>
                </c:pt>
                <c:pt idx="2">
                  <c:v>art pop</c:v>
                </c:pt>
                <c:pt idx="3">
                  <c:v>hard rock</c:v>
                </c:pt>
                <c:pt idx="4">
                  <c:v>dream pop</c:v>
                </c:pt>
                <c:pt idx="5">
                  <c:v>idm</c:v>
                </c:pt>
                <c:pt idx="6">
                  <c:v>death metal</c:v>
                </c:pt>
                <c:pt idx="7">
                  <c:v>indie rock</c:v>
                </c:pt>
                <c:pt idx="8">
                  <c:v>post rock</c:v>
                </c:pt>
                <c:pt idx="9">
                  <c:v>pop rock</c:v>
                </c:pt>
                <c:pt idx="10">
                  <c:v>alternative metal</c:v>
                </c:pt>
                <c:pt idx="11">
                  <c:v>alternative rock</c:v>
                </c:pt>
                <c:pt idx="12">
                  <c:v>art rock</c:v>
                </c:pt>
                <c:pt idx="13">
                  <c:v>progressive metal</c:v>
                </c:pt>
                <c:pt idx="14">
                  <c:v>progressive rock</c:v>
                </c:pt>
              </c:strCache>
            </c:strRef>
          </c:cat>
          <c:val>
            <c:numRef>
              <c:f>Graficos!$AU$568:$AU$582</c:f>
              <c:numCache>
                <c:formatCode>General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22</c:v>
                </c:pt>
                <c:pt idx="11">
                  <c:v>26</c:v>
                </c:pt>
                <c:pt idx="12">
                  <c:v>26</c:v>
                </c:pt>
                <c:pt idx="13">
                  <c:v>30</c:v>
                </c:pt>
                <c:pt idx="1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D-7E47-B4C1-51E20F2B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736384"/>
        <c:axId val="466738176"/>
      </c:barChart>
      <c:catAx>
        <c:axId val="46673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738176"/>
        <c:crosses val="autoZero"/>
        <c:auto val="1"/>
        <c:lblAlgn val="ctr"/>
        <c:lblOffset val="100"/>
        <c:noMultiLvlLbl val="0"/>
      </c:catAx>
      <c:valAx>
        <c:axId val="46673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73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Reparto de álbumes por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Graficos!$AU$585</c:f>
              <c:strCache>
                <c:ptCount val="1"/>
                <c:pt idx="0">
                  <c:v>Álbumes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Graficos!$AT$586:$AT$601</c:f>
              <c:strCache>
                <c:ptCount val="16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  <c:pt idx="12">
                  <c:v>psychedelia</c:v>
                </c:pt>
                <c:pt idx="13">
                  <c:v>new age</c:v>
                </c:pt>
                <c:pt idx="14">
                  <c:v>regional music</c:v>
                </c:pt>
                <c:pt idx="15">
                  <c:v>soundtrack</c:v>
                </c:pt>
              </c:strCache>
            </c:strRef>
          </c:cat>
          <c:val>
            <c:numRef>
              <c:f>Graficos!$AU$586:$AU$601</c:f>
              <c:numCache>
                <c:formatCode>General</c:formatCode>
                <c:ptCount val="16"/>
                <c:pt idx="0">
                  <c:v>153</c:v>
                </c:pt>
                <c:pt idx="1">
                  <c:v>91</c:v>
                </c:pt>
                <c:pt idx="2">
                  <c:v>41</c:v>
                </c:pt>
                <c:pt idx="3">
                  <c:v>32</c:v>
                </c:pt>
                <c:pt idx="4">
                  <c:v>24</c:v>
                </c:pt>
                <c:pt idx="5">
                  <c:v>12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C-CF42-A4DA-5ADAEEA6F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 notas por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Graficos!$AU$604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Graficos!$AT$605:$AT$620</c:f>
              <c:strCache>
                <c:ptCount val="16"/>
                <c:pt idx="0">
                  <c:v>regional music</c:v>
                </c:pt>
                <c:pt idx="1">
                  <c:v>industrial &amp; noise</c:v>
                </c:pt>
                <c:pt idx="2">
                  <c:v>soundtrack</c:v>
                </c:pt>
                <c:pt idx="3">
                  <c:v>hip hop</c:v>
                </c:pt>
                <c:pt idx="4">
                  <c:v>psychedelia</c:v>
                </c:pt>
                <c:pt idx="5">
                  <c:v>new age</c:v>
                </c:pt>
                <c:pt idx="6">
                  <c:v>ambient</c:v>
                </c:pt>
                <c:pt idx="7">
                  <c:v>metal</c:v>
                </c:pt>
                <c:pt idx="8">
                  <c:v>punk</c:v>
                </c:pt>
                <c:pt idx="9">
                  <c:v>electronic</c:v>
                </c:pt>
                <c:pt idx="10">
                  <c:v>rock</c:v>
                </c:pt>
                <c:pt idx="11">
                  <c:v>pop</c:v>
                </c:pt>
                <c:pt idx="12">
                  <c:v>singer-songwriter</c:v>
                </c:pt>
                <c:pt idx="13">
                  <c:v>folk</c:v>
                </c:pt>
                <c:pt idx="14">
                  <c:v>r&amp;b</c:v>
                </c:pt>
                <c:pt idx="15">
                  <c:v>jazz</c:v>
                </c:pt>
              </c:strCache>
            </c:strRef>
          </c:cat>
          <c:val>
            <c:numRef>
              <c:f>Graficos!$AU$605:$AU$620</c:f>
              <c:numCache>
                <c:formatCode>General</c:formatCode>
                <c:ptCount val="16"/>
                <c:pt idx="0">
                  <c:v>4.79</c:v>
                </c:pt>
                <c:pt idx="1">
                  <c:v>7.94</c:v>
                </c:pt>
                <c:pt idx="2">
                  <c:v>8.0299999999999994</c:v>
                </c:pt>
                <c:pt idx="3">
                  <c:v>8.0399999999999991</c:v>
                </c:pt>
                <c:pt idx="4">
                  <c:v>8.11</c:v>
                </c:pt>
                <c:pt idx="5">
                  <c:v>8.4</c:v>
                </c:pt>
                <c:pt idx="6">
                  <c:v>8.44</c:v>
                </c:pt>
                <c:pt idx="7">
                  <c:v>8.56</c:v>
                </c:pt>
                <c:pt idx="8">
                  <c:v>8.57</c:v>
                </c:pt>
                <c:pt idx="9">
                  <c:v>8.6</c:v>
                </c:pt>
                <c:pt idx="10">
                  <c:v>8.6300000000000008</c:v>
                </c:pt>
                <c:pt idx="11">
                  <c:v>8.65</c:v>
                </c:pt>
                <c:pt idx="12">
                  <c:v>8.66</c:v>
                </c:pt>
                <c:pt idx="13">
                  <c:v>8.6999999999999993</c:v>
                </c:pt>
                <c:pt idx="14">
                  <c:v>8.7200000000000006</c:v>
                </c:pt>
                <c:pt idx="15">
                  <c:v>8.7200000000000006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6-6C48-AEBD-5B72EB291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131520"/>
        <c:axId val="466133312"/>
      </c:barChart>
      <c:catAx>
        <c:axId val="46613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33312"/>
        <c:crosses val="autoZero"/>
        <c:auto val="1"/>
        <c:lblAlgn val="ctr"/>
        <c:lblOffset val="100"/>
        <c:noMultiLvlLbl val="0"/>
      </c:catAx>
      <c:valAx>
        <c:axId val="466133312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315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3rd EYE SCORE medio por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Graficos!$AU$623</c:f>
              <c:strCache>
                <c:ptCount val="1"/>
                <c:pt idx="0">
                  <c:v>3rd EYE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Graficos!$AT$624:$AT$639</c:f>
              <c:strCache>
                <c:ptCount val="16"/>
                <c:pt idx="0">
                  <c:v>regional music</c:v>
                </c:pt>
                <c:pt idx="1">
                  <c:v>industrial &amp; noise</c:v>
                </c:pt>
                <c:pt idx="2">
                  <c:v>soundtrack</c:v>
                </c:pt>
                <c:pt idx="3">
                  <c:v>hip hop</c:v>
                </c:pt>
                <c:pt idx="4">
                  <c:v>psychedelia</c:v>
                </c:pt>
                <c:pt idx="5">
                  <c:v>ambient</c:v>
                </c:pt>
                <c:pt idx="6">
                  <c:v>new age</c:v>
                </c:pt>
                <c:pt idx="7">
                  <c:v>punk</c:v>
                </c:pt>
                <c:pt idx="8">
                  <c:v>electronic</c:v>
                </c:pt>
                <c:pt idx="9">
                  <c:v>metal</c:v>
                </c:pt>
                <c:pt idx="10">
                  <c:v>singer-songwriter</c:v>
                </c:pt>
                <c:pt idx="11">
                  <c:v>pop</c:v>
                </c:pt>
                <c:pt idx="12">
                  <c:v>folk</c:v>
                </c:pt>
                <c:pt idx="13">
                  <c:v>rock</c:v>
                </c:pt>
                <c:pt idx="14">
                  <c:v>r&amp;b</c:v>
                </c:pt>
                <c:pt idx="15">
                  <c:v>jazz</c:v>
                </c:pt>
              </c:strCache>
            </c:strRef>
          </c:cat>
          <c:val>
            <c:numRef>
              <c:f>Graficos!$AU$624:$AU$639</c:f>
              <c:numCache>
                <c:formatCode>General</c:formatCode>
                <c:ptCount val="16"/>
                <c:pt idx="0">
                  <c:v>4.62</c:v>
                </c:pt>
                <c:pt idx="1">
                  <c:v>7.8</c:v>
                </c:pt>
                <c:pt idx="2">
                  <c:v>7.94</c:v>
                </c:pt>
                <c:pt idx="3">
                  <c:v>7.97</c:v>
                </c:pt>
                <c:pt idx="4">
                  <c:v>8</c:v>
                </c:pt>
                <c:pt idx="5">
                  <c:v>8.3699999999999992</c:v>
                </c:pt>
                <c:pt idx="6">
                  <c:v>8.3699999999999992</c:v>
                </c:pt>
                <c:pt idx="7">
                  <c:v>8.5299999999999994</c:v>
                </c:pt>
                <c:pt idx="8">
                  <c:v>8.5399999999999991</c:v>
                </c:pt>
                <c:pt idx="9">
                  <c:v>8.5500000000000007</c:v>
                </c:pt>
                <c:pt idx="10">
                  <c:v>8.57</c:v>
                </c:pt>
                <c:pt idx="11">
                  <c:v>8.6</c:v>
                </c:pt>
                <c:pt idx="12">
                  <c:v>8.61</c:v>
                </c:pt>
                <c:pt idx="13">
                  <c:v>8.6199999999999992</c:v>
                </c:pt>
                <c:pt idx="14">
                  <c:v>8.67</c:v>
                </c:pt>
                <c:pt idx="15">
                  <c:v>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7-E64F-A33E-BC0E4B865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092928"/>
        <c:axId val="466094720"/>
      </c:barChart>
      <c:catAx>
        <c:axId val="4660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094720"/>
        <c:crosses val="autoZero"/>
        <c:auto val="1"/>
        <c:lblAlgn val="ctr"/>
        <c:lblOffset val="100"/>
        <c:noMultiLvlLbl val="0"/>
      </c:catAx>
      <c:valAx>
        <c:axId val="466094720"/>
        <c:scaling>
          <c:orientation val="minMax"/>
          <c:max val="1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09292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Duración media por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Graficos!$AU$642</c:f>
              <c:strCache>
                <c:ptCount val="1"/>
                <c:pt idx="0">
                  <c:v>Duración media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Graficos!$AT$643:$AT$658</c:f>
              <c:strCache>
                <c:ptCount val="16"/>
                <c:pt idx="0">
                  <c:v>jazz</c:v>
                </c:pt>
                <c:pt idx="1">
                  <c:v>new age</c:v>
                </c:pt>
                <c:pt idx="2">
                  <c:v>folk</c:v>
                </c:pt>
                <c:pt idx="3">
                  <c:v>singer-songwriter</c:v>
                </c:pt>
                <c:pt idx="4">
                  <c:v>pop</c:v>
                </c:pt>
                <c:pt idx="5">
                  <c:v>punk</c:v>
                </c:pt>
                <c:pt idx="6">
                  <c:v>rock</c:v>
                </c:pt>
                <c:pt idx="7">
                  <c:v>r&amp;b</c:v>
                </c:pt>
                <c:pt idx="8">
                  <c:v>metal</c:v>
                </c:pt>
                <c:pt idx="9">
                  <c:v>hip hop</c:v>
                </c:pt>
                <c:pt idx="10">
                  <c:v>electronic</c:v>
                </c:pt>
                <c:pt idx="11">
                  <c:v>regional music</c:v>
                </c:pt>
                <c:pt idx="12">
                  <c:v>psychedelia</c:v>
                </c:pt>
                <c:pt idx="13">
                  <c:v>industrial &amp; noise</c:v>
                </c:pt>
                <c:pt idx="14">
                  <c:v>soundtrack</c:v>
                </c:pt>
                <c:pt idx="15">
                  <c:v>ambient</c:v>
                </c:pt>
              </c:strCache>
            </c:strRef>
          </c:cat>
          <c:val>
            <c:numRef>
              <c:f>Graficos!$AU$643:$AU$658</c:f>
              <c:numCache>
                <c:formatCode>General</c:formatCode>
                <c:ptCount val="16"/>
                <c:pt idx="0">
                  <c:v>40</c:v>
                </c:pt>
                <c:pt idx="1">
                  <c:v>40</c:v>
                </c:pt>
                <c:pt idx="2">
                  <c:v>41</c:v>
                </c:pt>
                <c:pt idx="3">
                  <c:v>43</c:v>
                </c:pt>
                <c:pt idx="4">
                  <c:v>47</c:v>
                </c:pt>
                <c:pt idx="5">
                  <c:v>49</c:v>
                </c:pt>
                <c:pt idx="6">
                  <c:v>50</c:v>
                </c:pt>
                <c:pt idx="7">
                  <c:v>51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62</c:v>
                </c:pt>
                <c:pt idx="12">
                  <c:v>66</c:v>
                </c:pt>
                <c:pt idx="13">
                  <c:v>67</c:v>
                </c:pt>
                <c:pt idx="14">
                  <c:v>68</c:v>
                </c:pt>
                <c:pt idx="1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0-8740-B91D-87E7A0787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5988544"/>
        <c:axId val="465990336"/>
      </c:barChart>
      <c:catAx>
        <c:axId val="4659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990336"/>
        <c:crosses val="autoZero"/>
        <c:auto val="1"/>
        <c:lblAlgn val="ctr"/>
        <c:lblOffset val="100"/>
        <c:noMultiLvlLbl val="0"/>
      </c:catAx>
      <c:valAx>
        <c:axId val="465990336"/>
        <c:scaling>
          <c:orientation val="minMax"/>
          <c:max val="8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988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canciones con nota ≥10 por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Graficos!$AU$661</c:f>
              <c:strCache>
                <c:ptCount val="1"/>
                <c:pt idx="0">
                  <c:v>% notas ≥10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Graficos!$AT$662:$AT$677</c:f>
              <c:strCache>
                <c:ptCount val="16"/>
                <c:pt idx="0">
                  <c:v>psychedelia</c:v>
                </c:pt>
                <c:pt idx="1">
                  <c:v>industrial &amp; noise</c:v>
                </c:pt>
                <c:pt idx="2">
                  <c:v>new age</c:v>
                </c:pt>
                <c:pt idx="3">
                  <c:v>regional music</c:v>
                </c:pt>
                <c:pt idx="4">
                  <c:v>soundtrack</c:v>
                </c:pt>
                <c:pt idx="5">
                  <c:v>ambient</c:v>
                </c:pt>
                <c:pt idx="6">
                  <c:v>hip hop</c:v>
                </c:pt>
                <c:pt idx="7">
                  <c:v>punk</c:v>
                </c:pt>
                <c:pt idx="8">
                  <c:v>jazz</c:v>
                </c:pt>
                <c:pt idx="9">
                  <c:v>electronic</c:v>
                </c:pt>
                <c:pt idx="10">
                  <c:v>pop</c:v>
                </c:pt>
                <c:pt idx="11">
                  <c:v>metal</c:v>
                </c:pt>
                <c:pt idx="12">
                  <c:v>singer-songwriter</c:v>
                </c:pt>
                <c:pt idx="13">
                  <c:v>rock</c:v>
                </c:pt>
                <c:pt idx="14">
                  <c:v>r&amp;b</c:v>
                </c:pt>
                <c:pt idx="15">
                  <c:v>folk</c:v>
                </c:pt>
              </c:strCache>
            </c:strRef>
          </c:cat>
          <c:val>
            <c:numRef>
              <c:f>Graficos!$AU$662:$AU$677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5.88</c:v>
                </c:pt>
                <c:pt idx="5">
                  <c:v>9.26</c:v>
                </c:pt>
                <c:pt idx="6">
                  <c:v>10.4</c:v>
                </c:pt>
                <c:pt idx="7">
                  <c:v>13.04</c:v>
                </c:pt>
                <c:pt idx="8">
                  <c:v>13.79</c:v>
                </c:pt>
                <c:pt idx="9">
                  <c:v>13.91</c:v>
                </c:pt>
                <c:pt idx="10">
                  <c:v>14.4</c:v>
                </c:pt>
                <c:pt idx="11">
                  <c:v>14.73</c:v>
                </c:pt>
                <c:pt idx="12">
                  <c:v>15.05</c:v>
                </c:pt>
                <c:pt idx="13">
                  <c:v>16.579999999999998</c:v>
                </c:pt>
                <c:pt idx="14">
                  <c:v>18.46</c:v>
                </c:pt>
                <c:pt idx="15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1-3F45-98A7-CE4F6AFE7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7522816"/>
        <c:axId val="557524608"/>
      </c:barChart>
      <c:catAx>
        <c:axId val="55752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524608"/>
        <c:crosses val="autoZero"/>
        <c:auto val="1"/>
        <c:lblAlgn val="ctr"/>
        <c:lblOffset val="100"/>
        <c:noMultiLvlLbl val="0"/>
      </c:catAx>
      <c:valAx>
        <c:axId val="557524608"/>
        <c:scaling>
          <c:orientation val="minMax"/>
          <c:max val="2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752281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Reparto de notas dentro de cada género padre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Graficos!$AU$680</c:f>
              <c:strCache>
                <c:ptCount val="1"/>
                <c:pt idx="0">
                  <c:v>&lt; 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Graficos!$AT$681:$AT$692</c:f>
              <c:strCache>
                <c:ptCount val="12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</c:strCache>
            </c:strRef>
          </c:cat>
          <c:val>
            <c:numRef>
              <c:f>Graficos!$AU$681:$AU$692</c:f>
              <c:numCache>
                <c:formatCode>General</c:formatCode>
                <c:ptCount val="12"/>
                <c:pt idx="0">
                  <c:v>46</c:v>
                </c:pt>
                <c:pt idx="1">
                  <c:v>26</c:v>
                </c:pt>
                <c:pt idx="2">
                  <c:v>4</c:v>
                </c:pt>
                <c:pt idx="3">
                  <c:v>1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5-6845-A272-582ED5D7A19A}"/>
            </c:ext>
          </c:extLst>
        </c:ser>
        <c:ser>
          <c:idx val="1"/>
          <c:order val="1"/>
          <c:tx>
            <c:strRef>
              <c:f>Graficos!$AV$680</c:f>
              <c:strCache>
                <c:ptCount val="1"/>
                <c:pt idx="0">
                  <c:v>8-jul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Graficos!$AT$681:$AT$692</c:f>
              <c:strCache>
                <c:ptCount val="12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</c:strCache>
            </c:strRef>
          </c:cat>
          <c:val>
            <c:numRef>
              <c:f>Graficos!$AV$681:$AV$692</c:f>
              <c:numCache>
                <c:formatCode>General</c:formatCode>
                <c:ptCount val="12"/>
                <c:pt idx="0">
                  <c:v>168</c:v>
                </c:pt>
                <c:pt idx="1">
                  <c:v>115</c:v>
                </c:pt>
                <c:pt idx="2">
                  <c:v>54</c:v>
                </c:pt>
                <c:pt idx="3">
                  <c:v>30</c:v>
                </c:pt>
                <c:pt idx="4">
                  <c:v>61</c:v>
                </c:pt>
                <c:pt idx="5">
                  <c:v>14</c:v>
                </c:pt>
                <c:pt idx="6">
                  <c:v>16</c:v>
                </c:pt>
                <c:pt idx="7">
                  <c:v>8</c:v>
                </c:pt>
                <c:pt idx="8">
                  <c:v>5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5-6845-A272-582ED5D7A19A}"/>
            </c:ext>
          </c:extLst>
        </c:ser>
        <c:ser>
          <c:idx val="2"/>
          <c:order val="2"/>
          <c:tx>
            <c:strRef>
              <c:f>Graficos!$AW$680</c:f>
              <c:strCache>
                <c:ptCount val="1"/>
                <c:pt idx="0">
                  <c:v>9-ago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Graficos!$AT$681:$AT$692</c:f>
              <c:strCache>
                <c:ptCount val="12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</c:strCache>
            </c:strRef>
          </c:cat>
          <c:val>
            <c:numRef>
              <c:f>Graficos!$AW$681:$AW$692</c:f>
              <c:numCache>
                <c:formatCode>General</c:formatCode>
                <c:ptCount val="12"/>
                <c:pt idx="0">
                  <c:v>667</c:v>
                </c:pt>
                <c:pt idx="1">
                  <c:v>387</c:v>
                </c:pt>
                <c:pt idx="2">
                  <c:v>237</c:v>
                </c:pt>
                <c:pt idx="3">
                  <c:v>190</c:v>
                </c:pt>
                <c:pt idx="4">
                  <c:v>153</c:v>
                </c:pt>
                <c:pt idx="5">
                  <c:v>62</c:v>
                </c:pt>
                <c:pt idx="6">
                  <c:v>61</c:v>
                </c:pt>
                <c:pt idx="7">
                  <c:v>51</c:v>
                </c:pt>
                <c:pt idx="8">
                  <c:v>30</c:v>
                </c:pt>
                <c:pt idx="9">
                  <c:v>32</c:v>
                </c:pt>
                <c:pt idx="10">
                  <c:v>16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35-6845-A272-582ED5D7A19A}"/>
            </c:ext>
          </c:extLst>
        </c:ser>
        <c:ser>
          <c:idx val="3"/>
          <c:order val="3"/>
          <c:tx>
            <c:strRef>
              <c:f>Graficos!$AX$680</c:f>
              <c:strCache>
                <c:ptCount val="1"/>
                <c:pt idx="0">
                  <c:v>10-sept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Graficos!$AT$681:$AT$692</c:f>
              <c:strCache>
                <c:ptCount val="12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</c:strCache>
            </c:strRef>
          </c:cat>
          <c:val>
            <c:numRef>
              <c:f>Graficos!$AX$681:$AX$692</c:f>
              <c:numCache>
                <c:formatCode>General</c:formatCode>
                <c:ptCount val="12"/>
                <c:pt idx="0">
                  <c:v>347</c:v>
                </c:pt>
                <c:pt idx="1">
                  <c:v>184</c:v>
                </c:pt>
                <c:pt idx="2">
                  <c:v>126</c:v>
                </c:pt>
                <c:pt idx="3">
                  <c:v>88</c:v>
                </c:pt>
                <c:pt idx="4">
                  <c:v>64</c:v>
                </c:pt>
                <c:pt idx="5">
                  <c:v>22</c:v>
                </c:pt>
                <c:pt idx="6">
                  <c:v>23</c:v>
                </c:pt>
                <c:pt idx="7">
                  <c:v>20</c:v>
                </c:pt>
                <c:pt idx="8">
                  <c:v>17</c:v>
                </c:pt>
                <c:pt idx="9">
                  <c:v>10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35-6845-A272-582ED5D7A19A}"/>
            </c:ext>
          </c:extLst>
        </c:ser>
        <c:ser>
          <c:idx val="4"/>
          <c:order val="4"/>
          <c:tx>
            <c:strRef>
              <c:f>Graficos!$AY$680</c:f>
              <c:strCache>
                <c:ptCount val="1"/>
                <c:pt idx="0">
                  <c:v>≥ 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Graficos!$AT$681:$AT$692</c:f>
              <c:strCache>
                <c:ptCount val="12"/>
                <c:pt idx="0">
                  <c:v>rock</c:v>
                </c:pt>
                <c:pt idx="1">
                  <c:v>metal</c:v>
                </c:pt>
                <c:pt idx="2">
                  <c:v>electronic</c:v>
                </c:pt>
                <c:pt idx="3">
                  <c:v>pop</c:v>
                </c:pt>
                <c:pt idx="4">
                  <c:v>hip hop</c:v>
                </c:pt>
                <c:pt idx="5">
                  <c:v>ambient</c:v>
                </c:pt>
                <c:pt idx="6">
                  <c:v>punk</c:v>
                </c:pt>
                <c:pt idx="7">
                  <c:v>singer-songwriter</c:v>
                </c:pt>
                <c:pt idx="8">
                  <c:v>r&amp;b</c:v>
                </c:pt>
                <c:pt idx="9">
                  <c:v>folk</c:v>
                </c:pt>
                <c:pt idx="10">
                  <c:v>jazz</c:v>
                </c:pt>
                <c:pt idx="11">
                  <c:v>industrial &amp; noise</c:v>
                </c:pt>
              </c:strCache>
            </c:strRef>
          </c:cat>
          <c:val>
            <c:numRef>
              <c:f>Graficos!$AY$681:$AY$692</c:f>
              <c:numCache>
                <c:formatCode>General</c:formatCode>
                <c:ptCount val="12"/>
                <c:pt idx="0">
                  <c:v>244</c:v>
                </c:pt>
                <c:pt idx="1">
                  <c:v>123</c:v>
                </c:pt>
                <c:pt idx="2">
                  <c:v>68</c:v>
                </c:pt>
                <c:pt idx="3">
                  <c:v>52</c:v>
                </c:pt>
                <c:pt idx="4">
                  <c:v>34</c:v>
                </c:pt>
                <c:pt idx="5">
                  <c:v>10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5-6845-A272-582ED5D7A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48512"/>
        <c:axId val="465850304"/>
      </c:barChart>
      <c:catAx>
        <c:axId val="46584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850304"/>
        <c:crosses val="autoZero"/>
        <c:auto val="1"/>
        <c:lblAlgn val="ctr"/>
        <c:lblOffset val="100"/>
        <c:noMultiLvlLbl val="0"/>
      </c:catAx>
      <c:valAx>
        <c:axId val="4658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84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Nº de géneros padre por álbum (media 1.23)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Graficos!$AU$695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Graficos!$AT$696:$AT$697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Graficos!$AU$696:$AU$697</c:f>
              <c:numCache>
                <c:formatCode>General</c:formatCode>
                <c:ptCount val="2"/>
                <c:pt idx="0">
                  <c:v>245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5-3A4C-A6E2-051AF3B1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994624"/>
        <c:axId val="465996416"/>
      </c:barChart>
      <c:catAx>
        <c:axId val="4659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996416"/>
        <c:crosses val="autoZero"/>
        <c:auto val="1"/>
        <c:lblAlgn val="ctr"/>
        <c:lblOffset val="100"/>
        <c:noMultiLvlLbl val="0"/>
      </c:catAx>
      <c:valAx>
        <c:axId val="46599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99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 nota según la posición de la canción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Graficos!$AU$700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Graficos!$AT$701:$AT$717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Graficos!$AU$701:$AU$717</c:f>
              <c:numCache>
                <c:formatCode>General</c:formatCode>
                <c:ptCount val="17"/>
                <c:pt idx="0">
                  <c:v>8.94</c:v>
                </c:pt>
                <c:pt idx="1">
                  <c:v>8.8000000000000007</c:v>
                </c:pt>
                <c:pt idx="2">
                  <c:v>8.7200000000000006</c:v>
                </c:pt>
                <c:pt idx="3">
                  <c:v>8.6</c:v>
                </c:pt>
                <c:pt idx="4">
                  <c:v>8.5</c:v>
                </c:pt>
                <c:pt idx="5">
                  <c:v>8.4499999999999993</c:v>
                </c:pt>
                <c:pt idx="6">
                  <c:v>8.3699999999999992</c:v>
                </c:pt>
                <c:pt idx="7">
                  <c:v>8.26</c:v>
                </c:pt>
                <c:pt idx="8">
                  <c:v>8.25</c:v>
                </c:pt>
                <c:pt idx="9">
                  <c:v>8.2200000000000006</c:v>
                </c:pt>
                <c:pt idx="10">
                  <c:v>8.2899999999999991</c:v>
                </c:pt>
                <c:pt idx="11">
                  <c:v>8.24</c:v>
                </c:pt>
                <c:pt idx="12">
                  <c:v>8.11</c:v>
                </c:pt>
                <c:pt idx="13">
                  <c:v>8.27</c:v>
                </c:pt>
                <c:pt idx="14">
                  <c:v>8.27</c:v>
                </c:pt>
                <c:pt idx="15">
                  <c:v>7.66</c:v>
                </c:pt>
                <c:pt idx="16">
                  <c:v>8.1300000000000008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4-6C48-B4FD-16C5C1D5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359168"/>
        <c:axId val="469360960"/>
      </c:lineChart>
      <c:catAx>
        <c:axId val="4693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360960"/>
        <c:crosses val="autoZero"/>
        <c:auto val="1"/>
        <c:lblAlgn val="ctr"/>
        <c:lblOffset val="100"/>
        <c:noMultiLvlLbl val="0"/>
      </c:catAx>
      <c:valAx>
        <c:axId val="469360960"/>
        <c:scaling>
          <c:orientation val="minMax"/>
          <c:max val="9.5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3591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 de nota según el % de avance del álbum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Graficos!$AU$720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Graficos!$AT$721:$AT$730</c:f>
              <c:strCache>
                <c:ptCount val="1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</c:strCache>
            </c:strRef>
          </c:cat>
          <c:val>
            <c:numRef>
              <c:f>Graficos!$AU$721:$AU$730</c:f>
              <c:numCache>
                <c:formatCode>General</c:formatCode>
                <c:ptCount val="10"/>
                <c:pt idx="0">
                  <c:v>8.93</c:v>
                </c:pt>
                <c:pt idx="1">
                  <c:v>8.74</c:v>
                </c:pt>
                <c:pt idx="2">
                  <c:v>8.6300000000000008</c:v>
                </c:pt>
                <c:pt idx="3">
                  <c:v>8.6300000000000008</c:v>
                </c:pt>
                <c:pt idx="4">
                  <c:v>8.44</c:v>
                </c:pt>
                <c:pt idx="5">
                  <c:v>8.4</c:v>
                </c:pt>
                <c:pt idx="6">
                  <c:v>8.36</c:v>
                </c:pt>
                <c:pt idx="7">
                  <c:v>8.34</c:v>
                </c:pt>
                <c:pt idx="8">
                  <c:v>8.2799999999999994</c:v>
                </c:pt>
                <c:pt idx="9">
                  <c:v>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F-4045-8515-6BB4EAAE3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346752"/>
        <c:axId val="466348544"/>
      </c:lineChart>
      <c:catAx>
        <c:axId val="46634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348544"/>
        <c:crosses val="autoZero"/>
        <c:auto val="1"/>
        <c:lblAlgn val="ctr"/>
        <c:lblOffset val="100"/>
        <c:noMultiLvlLbl val="0"/>
      </c:catAx>
      <c:valAx>
        <c:axId val="466348544"/>
        <c:scaling>
          <c:orientation val="minMax"/>
          <c:max val="9.1999999999999993"/>
          <c:min val="8.199999999999999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3467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3rd EYE SCORE (álbumes)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Graficos!$AU$733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Graficos!$AT$734:$AT$755</c:f>
              <c:strCache>
                <c:ptCount val="22"/>
                <c:pt idx="0">
                  <c:v>0.5</c:v>
                </c:pt>
                <c:pt idx="1">
                  <c:v>1.0</c:v>
                </c:pt>
                <c:pt idx="2">
                  <c:v>1.5</c:v>
                </c:pt>
                <c:pt idx="3">
                  <c:v>2.0</c:v>
                </c:pt>
                <c:pt idx="4">
                  <c:v>2.5</c:v>
                </c:pt>
                <c:pt idx="5">
                  <c:v>3.0</c:v>
                </c:pt>
                <c:pt idx="6">
                  <c:v>3.5</c:v>
                </c:pt>
                <c:pt idx="7">
                  <c:v>4.0</c:v>
                </c:pt>
                <c:pt idx="8">
                  <c:v>4.5</c:v>
                </c:pt>
                <c:pt idx="9">
                  <c:v>5.0</c:v>
                </c:pt>
                <c:pt idx="10">
                  <c:v>5.5</c:v>
                </c:pt>
                <c:pt idx="11">
                  <c:v>6.0</c:v>
                </c:pt>
                <c:pt idx="12">
                  <c:v>6.5</c:v>
                </c:pt>
                <c:pt idx="13">
                  <c:v>7.0</c:v>
                </c:pt>
                <c:pt idx="14">
                  <c:v>7.5</c:v>
                </c:pt>
                <c:pt idx="15">
                  <c:v>8.0</c:v>
                </c:pt>
                <c:pt idx="16">
                  <c:v>8.5</c:v>
                </c:pt>
                <c:pt idx="17">
                  <c:v>9.0</c:v>
                </c:pt>
                <c:pt idx="18">
                  <c:v>9.5</c:v>
                </c:pt>
                <c:pt idx="19">
                  <c:v>10.0</c:v>
                </c:pt>
                <c:pt idx="20">
                  <c:v>10.5</c:v>
                </c:pt>
                <c:pt idx="21">
                  <c:v>11.0</c:v>
                </c:pt>
              </c:strCache>
            </c:strRef>
          </c:cat>
          <c:val>
            <c:numRef>
              <c:f>Graficos!$AU$734:$AU$755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4</c:v>
                </c:pt>
                <c:pt idx="14">
                  <c:v>23</c:v>
                </c:pt>
                <c:pt idx="15">
                  <c:v>78</c:v>
                </c:pt>
                <c:pt idx="16">
                  <c:v>158</c:v>
                </c:pt>
                <c:pt idx="17">
                  <c:v>34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4-E442-BB6D-B16FD948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179776"/>
        <c:axId val="466181568"/>
      </c:barChart>
      <c:catAx>
        <c:axId val="4661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81568"/>
        <c:crosses val="autoZero"/>
        <c:auto val="1"/>
        <c:lblAlgn val="ctr"/>
        <c:lblOffset val="100"/>
        <c:noMultiLvlLbl val="0"/>
      </c:catAx>
      <c:valAx>
        <c:axId val="4661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7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la media por álbum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Graficos!$AU$758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Graficos!$AT$759:$AT$779</c:f>
              <c:strCache>
                <c:ptCount val="21"/>
                <c:pt idx="0">
                  <c:v>0.5</c:v>
                </c:pt>
                <c:pt idx="1">
                  <c:v>1.0</c:v>
                </c:pt>
                <c:pt idx="2">
                  <c:v>1.5</c:v>
                </c:pt>
                <c:pt idx="3">
                  <c:v>2.0</c:v>
                </c:pt>
                <c:pt idx="4">
                  <c:v>2.5</c:v>
                </c:pt>
                <c:pt idx="5">
                  <c:v>3.0</c:v>
                </c:pt>
                <c:pt idx="6">
                  <c:v>3.5</c:v>
                </c:pt>
                <c:pt idx="7">
                  <c:v>4.0</c:v>
                </c:pt>
                <c:pt idx="8">
                  <c:v>4.5</c:v>
                </c:pt>
                <c:pt idx="9">
                  <c:v>5.0</c:v>
                </c:pt>
                <c:pt idx="10">
                  <c:v>5.5</c:v>
                </c:pt>
                <c:pt idx="11">
                  <c:v>6.0</c:v>
                </c:pt>
                <c:pt idx="12">
                  <c:v>6.5</c:v>
                </c:pt>
                <c:pt idx="13">
                  <c:v>7.0</c:v>
                </c:pt>
                <c:pt idx="14">
                  <c:v>7.5</c:v>
                </c:pt>
                <c:pt idx="15">
                  <c:v>8.0</c:v>
                </c:pt>
                <c:pt idx="16">
                  <c:v>8.5</c:v>
                </c:pt>
                <c:pt idx="17">
                  <c:v>9.0</c:v>
                </c:pt>
                <c:pt idx="18">
                  <c:v>9.5</c:v>
                </c:pt>
                <c:pt idx="19">
                  <c:v>10.0</c:v>
                </c:pt>
                <c:pt idx="20">
                  <c:v>10.5</c:v>
                </c:pt>
              </c:strCache>
            </c:strRef>
          </c:cat>
          <c:val>
            <c:numRef>
              <c:f>Graficos!$AU$759:$AU$779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6</c:v>
                </c:pt>
                <c:pt idx="14">
                  <c:v>14</c:v>
                </c:pt>
                <c:pt idx="15">
                  <c:v>72</c:v>
                </c:pt>
                <c:pt idx="16">
                  <c:v>171</c:v>
                </c:pt>
                <c:pt idx="17">
                  <c:v>39</c:v>
                </c:pt>
                <c:pt idx="18">
                  <c:v>7</c:v>
                </c:pt>
                <c:pt idx="19">
                  <c:v>3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6-454A-95A8-BDC2BADB4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157568"/>
        <c:axId val="466159360"/>
      </c:barChart>
      <c:catAx>
        <c:axId val="46615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59360"/>
        <c:crosses val="autoZero"/>
        <c:auto val="1"/>
        <c:lblAlgn val="ctr"/>
        <c:lblOffset val="100"/>
        <c:noMultiLvlLbl val="0"/>
      </c:catAx>
      <c:valAx>
        <c:axId val="4661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15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la duración de los álbumes (319 con dato)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Graficos!$AU$782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Graficos!$AT$783:$AT$811</c:f>
              <c:strCache>
                <c:ptCount val="29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105</c:v>
                </c:pt>
                <c:pt idx="18">
                  <c:v>110</c:v>
                </c:pt>
                <c:pt idx="19">
                  <c:v>115</c:v>
                </c:pt>
                <c:pt idx="20">
                  <c:v>120</c:v>
                </c:pt>
                <c:pt idx="21">
                  <c:v>125</c:v>
                </c:pt>
                <c:pt idx="22">
                  <c:v>130</c:v>
                </c:pt>
                <c:pt idx="23">
                  <c:v>135</c:v>
                </c:pt>
                <c:pt idx="24">
                  <c:v>140</c:v>
                </c:pt>
                <c:pt idx="25">
                  <c:v>145</c:v>
                </c:pt>
                <c:pt idx="26">
                  <c:v>150</c:v>
                </c:pt>
                <c:pt idx="27">
                  <c:v>155</c:v>
                </c:pt>
                <c:pt idx="28">
                  <c:v>160</c:v>
                </c:pt>
              </c:strCache>
            </c:strRef>
          </c:cat>
          <c:val>
            <c:numRef>
              <c:f>Graficos!$AU$783:$AU$811</c:f>
              <c:numCache>
                <c:formatCode>General</c:formatCode>
                <c:ptCount val="29"/>
                <c:pt idx="0">
                  <c:v>4</c:v>
                </c:pt>
                <c:pt idx="1">
                  <c:v>3</c:v>
                </c:pt>
                <c:pt idx="2">
                  <c:v>14</c:v>
                </c:pt>
                <c:pt idx="3">
                  <c:v>34</c:v>
                </c:pt>
                <c:pt idx="4">
                  <c:v>70</c:v>
                </c:pt>
                <c:pt idx="5">
                  <c:v>41</c:v>
                </c:pt>
                <c:pt idx="6">
                  <c:v>35</c:v>
                </c:pt>
                <c:pt idx="7">
                  <c:v>27</c:v>
                </c:pt>
                <c:pt idx="8">
                  <c:v>30</c:v>
                </c:pt>
                <c:pt idx="9">
                  <c:v>18</c:v>
                </c:pt>
                <c:pt idx="10">
                  <c:v>17</c:v>
                </c:pt>
                <c:pt idx="11">
                  <c:v>13</c:v>
                </c:pt>
                <c:pt idx="12">
                  <c:v>3</c:v>
                </c:pt>
                <c:pt idx="13">
                  <c:v>5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6-BB47-B960-084F17CE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38720"/>
        <c:axId val="466840512"/>
      </c:barChart>
      <c:catAx>
        <c:axId val="46683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840512"/>
        <c:crosses val="autoZero"/>
        <c:auto val="1"/>
        <c:lblAlgn val="ctr"/>
        <c:lblOffset val="100"/>
        <c:noMultiLvlLbl val="0"/>
      </c:catAx>
      <c:valAx>
        <c:axId val="4668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8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Año vs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Graficos!$AU$814</c:f>
              <c:strCache>
                <c:ptCount val="1"/>
                <c:pt idx="0">
                  <c:v>3rd EYE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Graficos!$AT$815:$AT$1133</c:f>
              <c:numCache>
                <c:formatCode>General</c:formatCode>
                <c:ptCount val="319"/>
                <c:pt idx="0">
                  <c:v>2001</c:v>
                </c:pt>
                <c:pt idx="1">
                  <c:v>2007</c:v>
                </c:pt>
                <c:pt idx="2">
                  <c:v>2009</c:v>
                </c:pt>
                <c:pt idx="3">
                  <c:v>1982</c:v>
                </c:pt>
                <c:pt idx="4">
                  <c:v>1973</c:v>
                </c:pt>
                <c:pt idx="5">
                  <c:v>2001</c:v>
                </c:pt>
                <c:pt idx="6">
                  <c:v>1985</c:v>
                </c:pt>
                <c:pt idx="7">
                  <c:v>1977</c:v>
                </c:pt>
                <c:pt idx="8">
                  <c:v>1986</c:v>
                </c:pt>
                <c:pt idx="9">
                  <c:v>1998</c:v>
                </c:pt>
                <c:pt idx="10">
                  <c:v>2000</c:v>
                </c:pt>
                <c:pt idx="11">
                  <c:v>1969</c:v>
                </c:pt>
                <c:pt idx="12">
                  <c:v>2020</c:v>
                </c:pt>
                <c:pt idx="13">
                  <c:v>2001</c:v>
                </c:pt>
                <c:pt idx="14">
                  <c:v>1996</c:v>
                </c:pt>
                <c:pt idx="15">
                  <c:v>1997</c:v>
                </c:pt>
                <c:pt idx="16">
                  <c:v>2005</c:v>
                </c:pt>
                <c:pt idx="17">
                  <c:v>2008</c:v>
                </c:pt>
                <c:pt idx="18">
                  <c:v>1992</c:v>
                </c:pt>
                <c:pt idx="19">
                  <c:v>1994</c:v>
                </c:pt>
                <c:pt idx="20">
                  <c:v>1971</c:v>
                </c:pt>
                <c:pt idx="21">
                  <c:v>1990</c:v>
                </c:pt>
                <c:pt idx="22">
                  <c:v>1979</c:v>
                </c:pt>
                <c:pt idx="23">
                  <c:v>2000</c:v>
                </c:pt>
                <c:pt idx="24">
                  <c:v>1993</c:v>
                </c:pt>
                <c:pt idx="25">
                  <c:v>1993</c:v>
                </c:pt>
                <c:pt idx="26">
                  <c:v>2018</c:v>
                </c:pt>
                <c:pt idx="27">
                  <c:v>2005</c:v>
                </c:pt>
                <c:pt idx="28">
                  <c:v>1990</c:v>
                </c:pt>
                <c:pt idx="29">
                  <c:v>1989</c:v>
                </c:pt>
                <c:pt idx="30">
                  <c:v>2021</c:v>
                </c:pt>
                <c:pt idx="31">
                  <c:v>2026</c:v>
                </c:pt>
                <c:pt idx="32">
                  <c:v>1995</c:v>
                </c:pt>
                <c:pt idx="33">
                  <c:v>2002</c:v>
                </c:pt>
                <c:pt idx="34">
                  <c:v>2023</c:v>
                </c:pt>
                <c:pt idx="35">
                  <c:v>2021</c:v>
                </c:pt>
                <c:pt idx="36">
                  <c:v>2007</c:v>
                </c:pt>
                <c:pt idx="37">
                  <c:v>2003</c:v>
                </c:pt>
                <c:pt idx="38">
                  <c:v>2016</c:v>
                </c:pt>
                <c:pt idx="39">
                  <c:v>2016</c:v>
                </c:pt>
                <c:pt idx="40">
                  <c:v>2006</c:v>
                </c:pt>
                <c:pt idx="41">
                  <c:v>2016</c:v>
                </c:pt>
                <c:pt idx="42">
                  <c:v>1983</c:v>
                </c:pt>
                <c:pt idx="43">
                  <c:v>2015</c:v>
                </c:pt>
                <c:pt idx="44">
                  <c:v>2001</c:v>
                </c:pt>
                <c:pt idx="45">
                  <c:v>2013</c:v>
                </c:pt>
                <c:pt idx="46">
                  <c:v>2026</c:v>
                </c:pt>
                <c:pt idx="47">
                  <c:v>2005</c:v>
                </c:pt>
                <c:pt idx="48">
                  <c:v>2026</c:v>
                </c:pt>
                <c:pt idx="49">
                  <c:v>2000</c:v>
                </c:pt>
                <c:pt idx="50">
                  <c:v>1984</c:v>
                </c:pt>
                <c:pt idx="51">
                  <c:v>1997</c:v>
                </c:pt>
                <c:pt idx="52">
                  <c:v>2010</c:v>
                </c:pt>
                <c:pt idx="53">
                  <c:v>1992</c:v>
                </c:pt>
                <c:pt idx="54">
                  <c:v>2002</c:v>
                </c:pt>
                <c:pt idx="55">
                  <c:v>1977</c:v>
                </c:pt>
                <c:pt idx="56">
                  <c:v>2024</c:v>
                </c:pt>
                <c:pt idx="57">
                  <c:v>2003</c:v>
                </c:pt>
                <c:pt idx="58">
                  <c:v>2010</c:v>
                </c:pt>
                <c:pt idx="59">
                  <c:v>2005</c:v>
                </c:pt>
                <c:pt idx="60">
                  <c:v>2003</c:v>
                </c:pt>
                <c:pt idx="61">
                  <c:v>1999</c:v>
                </c:pt>
                <c:pt idx="62">
                  <c:v>1979</c:v>
                </c:pt>
                <c:pt idx="63">
                  <c:v>1979</c:v>
                </c:pt>
                <c:pt idx="64">
                  <c:v>2011</c:v>
                </c:pt>
                <c:pt idx="65">
                  <c:v>1999</c:v>
                </c:pt>
                <c:pt idx="66">
                  <c:v>2005</c:v>
                </c:pt>
                <c:pt idx="67">
                  <c:v>2002</c:v>
                </c:pt>
                <c:pt idx="68">
                  <c:v>1993</c:v>
                </c:pt>
                <c:pt idx="69">
                  <c:v>2024</c:v>
                </c:pt>
                <c:pt idx="70">
                  <c:v>1999</c:v>
                </c:pt>
                <c:pt idx="71">
                  <c:v>1975</c:v>
                </c:pt>
                <c:pt idx="72">
                  <c:v>1996</c:v>
                </c:pt>
                <c:pt idx="73">
                  <c:v>1988</c:v>
                </c:pt>
                <c:pt idx="74">
                  <c:v>1993</c:v>
                </c:pt>
                <c:pt idx="75">
                  <c:v>2020</c:v>
                </c:pt>
                <c:pt idx="76">
                  <c:v>1978</c:v>
                </c:pt>
                <c:pt idx="77">
                  <c:v>2024</c:v>
                </c:pt>
                <c:pt idx="78">
                  <c:v>2013</c:v>
                </c:pt>
                <c:pt idx="79">
                  <c:v>2019</c:v>
                </c:pt>
                <c:pt idx="80">
                  <c:v>2024</c:v>
                </c:pt>
                <c:pt idx="81">
                  <c:v>2008</c:v>
                </c:pt>
                <c:pt idx="82">
                  <c:v>2026</c:v>
                </c:pt>
                <c:pt idx="83">
                  <c:v>2025</c:v>
                </c:pt>
                <c:pt idx="84">
                  <c:v>2002</c:v>
                </c:pt>
                <c:pt idx="85">
                  <c:v>2021</c:v>
                </c:pt>
                <c:pt idx="86">
                  <c:v>2015</c:v>
                </c:pt>
                <c:pt idx="87">
                  <c:v>1971</c:v>
                </c:pt>
                <c:pt idx="88">
                  <c:v>2026</c:v>
                </c:pt>
                <c:pt idx="89">
                  <c:v>2023</c:v>
                </c:pt>
                <c:pt idx="90">
                  <c:v>2005</c:v>
                </c:pt>
                <c:pt idx="91">
                  <c:v>2002</c:v>
                </c:pt>
                <c:pt idx="92">
                  <c:v>2012</c:v>
                </c:pt>
                <c:pt idx="93">
                  <c:v>1992</c:v>
                </c:pt>
                <c:pt idx="94">
                  <c:v>2000</c:v>
                </c:pt>
                <c:pt idx="95">
                  <c:v>2005</c:v>
                </c:pt>
                <c:pt idx="96">
                  <c:v>1998</c:v>
                </c:pt>
                <c:pt idx="97">
                  <c:v>2005</c:v>
                </c:pt>
                <c:pt idx="98">
                  <c:v>2016</c:v>
                </c:pt>
                <c:pt idx="99">
                  <c:v>1974</c:v>
                </c:pt>
                <c:pt idx="100">
                  <c:v>1979</c:v>
                </c:pt>
                <c:pt idx="101">
                  <c:v>2000</c:v>
                </c:pt>
                <c:pt idx="102">
                  <c:v>2000</c:v>
                </c:pt>
                <c:pt idx="103">
                  <c:v>1993</c:v>
                </c:pt>
                <c:pt idx="104">
                  <c:v>2026</c:v>
                </c:pt>
                <c:pt idx="105">
                  <c:v>2014</c:v>
                </c:pt>
                <c:pt idx="106">
                  <c:v>2006</c:v>
                </c:pt>
                <c:pt idx="107">
                  <c:v>1996</c:v>
                </c:pt>
                <c:pt idx="108">
                  <c:v>1982</c:v>
                </c:pt>
                <c:pt idx="109">
                  <c:v>1995</c:v>
                </c:pt>
                <c:pt idx="110">
                  <c:v>1994</c:v>
                </c:pt>
                <c:pt idx="111">
                  <c:v>2014</c:v>
                </c:pt>
                <c:pt idx="112">
                  <c:v>2026</c:v>
                </c:pt>
                <c:pt idx="113">
                  <c:v>1991</c:v>
                </c:pt>
                <c:pt idx="114">
                  <c:v>2003</c:v>
                </c:pt>
                <c:pt idx="115">
                  <c:v>1971</c:v>
                </c:pt>
                <c:pt idx="116">
                  <c:v>2018</c:v>
                </c:pt>
                <c:pt idx="117">
                  <c:v>1998</c:v>
                </c:pt>
                <c:pt idx="118">
                  <c:v>2003</c:v>
                </c:pt>
                <c:pt idx="119">
                  <c:v>2024</c:v>
                </c:pt>
                <c:pt idx="120">
                  <c:v>2001</c:v>
                </c:pt>
                <c:pt idx="121">
                  <c:v>2026</c:v>
                </c:pt>
                <c:pt idx="122">
                  <c:v>2024</c:v>
                </c:pt>
                <c:pt idx="123">
                  <c:v>2026</c:v>
                </c:pt>
                <c:pt idx="124">
                  <c:v>1970</c:v>
                </c:pt>
                <c:pt idx="125">
                  <c:v>2013</c:v>
                </c:pt>
                <c:pt idx="126">
                  <c:v>1994</c:v>
                </c:pt>
                <c:pt idx="127">
                  <c:v>1970</c:v>
                </c:pt>
                <c:pt idx="128">
                  <c:v>1988</c:v>
                </c:pt>
                <c:pt idx="129">
                  <c:v>1996</c:v>
                </c:pt>
                <c:pt idx="130">
                  <c:v>2024</c:v>
                </c:pt>
                <c:pt idx="131">
                  <c:v>1992</c:v>
                </c:pt>
                <c:pt idx="132">
                  <c:v>1991</c:v>
                </c:pt>
                <c:pt idx="133">
                  <c:v>2003</c:v>
                </c:pt>
                <c:pt idx="134">
                  <c:v>1983</c:v>
                </c:pt>
                <c:pt idx="135">
                  <c:v>2025</c:v>
                </c:pt>
                <c:pt idx="136">
                  <c:v>2008</c:v>
                </c:pt>
                <c:pt idx="137">
                  <c:v>1969</c:v>
                </c:pt>
                <c:pt idx="138">
                  <c:v>2015</c:v>
                </c:pt>
                <c:pt idx="139">
                  <c:v>1977</c:v>
                </c:pt>
                <c:pt idx="140">
                  <c:v>2003</c:v>
                </c:pt>
                <c:pt idx="141">
                  <c:v>2026</c:v>
                </c:pt>
                <c:pt idx="142">
                  <c:v>1990</c:v>
                </c:pt>
                <c:pt idx="143">
                  <c:v>1994</c:v>
                </c:pt>
                <c:pt idx="144">
                  <c:v>1976</c:v>
                </c:pt>
                <c:pt idx="145">
                  <c:v>1998</c:v>
                </c:pt>
                <c:pt idx="146">
                  <c:v>1972</c:v>
                </c:pt>
                <c:pt idx="147">
                  <c:v>2016</c:v>
                </c:pt>
                <c:pt idx="148">
                  <c:v>2013</c:v>
                </c:pt>
                <c:pt idx="149">
                  <c:v>1967</c:v>
                </c:pt>
                <c:pt idx="150">
                  <c:v>2000</c:v>
                </c:pt>
                <c:pt idx="151">
                  <c:v>2002</c:v>
                </c:pt>
                <c:pt idx="152">
                  <c:v>1991</c:v>
                </c:pt>
                <c:pt idx="153">
                  <c:v>2000</c:v>
                </c:pt>
                <c:pt idx="154">
                  <c:v>1995</c:v>
                </c:pt>
                <c:pt idx="155">
                  <c:v>2025</c:v>
                </c:pt>
                <c:pt idx="156">
                  <c:v>2001</c:v>
                </c:pt>
                <c:pt idx="157">
                  <c:v>1981</c:v>
                </c:pt>
                <c:pt idx="158">
                  <c:v>1997</c:v>
                </c:pt>
                <c:pt idx="159">
                  <c:v>1997</c:v>
                </c:pt>
                <c:pt idx="160">
                  <c:v>2000</c:v>
                </c:pt>
                <c:pt idx="161">
                  <c:v>1991</c:v>
                </c:pt>
                <c:pt idx="162">
                  <c:v>1970</c:v>
                </c:pt>
                <c:pt idx="163">
                  <c:v>2016</c:v>
                </c:pt>
                <c:pt idx="164">
                  <c:v>1982</c:v>
                </c:pt>
                <c:pt idx="165">
                  <c:v>1977</c:v>
                </c:pt>
                <c:pt idx="166">
                  <c:v>2008</c:v>
                </c:pt>
                <c:pt idx="167">
                  <c:v>2007</c:v>
                </c:pt>
                <c:pt idx="168">
                  <c:v>2001</c:v>
                </c:pt>
                <c:pt idx="169">
                  <c:v>2004</c:v>
                </c:pt>
                <c:pt idx="170">
                  <c:v>1982</c:v>
                </c:pt>
                <c:pt idx="171">
                  <c:v>2002</c:v>
                </c:pt>
                <c:pt idx="172">
                  <c:v>1998</c:v>
                </c:pt>
                <c:pt idx="173">
                  <c:v>1990</c:v>
                </c:pt>
                <c:pt idx="174">
                  <c:v>2026</c:v>
                </c:pt>
                <c:pt idx="175">
                  <c:v>1966</c:v>
                </c:pt>
                <c:pt idx="176">
                  <c:v>1979</c:v>
                </c:pt>
                <c:pt idx="177">
                  <c:v>2024</c:v>
                </c:pt>
                <c:pt idx="178">
                  <c:v>2022</c:v>
                </c:pt>
                <c:pt idx="179">
                  <c:v>2003</c:v>
                </c:pt>
                <c:pt idx="180">
                  <c:v>2000</c:v>
                </c:pt>
                <c:pt idx="181">
                  <c:v>1981</c:v>
                </c:pt>
                <c:pt idx="182">
                  <c:v>1976</c:v>
                </c:pt>
                <c:pt idx="183">
                  <c:v>2020</c:v>
                </c:pt>
                <c:pt idx="184">
                  <c:v>1986</c:v>
                </c:pt>
                <c:pt idx="185">
                  <c:v>1989</c:v>
                </c:pt>
                <c:pt idx="186">
                  <c:v>1986</c:v>
                </c:pt>
                <c:pt idx="187">
                  <c:v>1992</c:v>
                </c:pt>
                <c:pt idx="188">
                  <c:v>2017</c:v>
                </c:pt>
                <c:pt idx="189">
                  <c:v>2026</c:v>
                </c:pt>
                <c:pt idx="190">
                  <c:v>1992</c:v>
                </c:pt>
                <c:pt idx="191">
                  <c:v>1997</c:v>
                </c:pt>
                <c:pt idx="192">
                  <c:v>2019</c:v>
                </c:pt>
                <c:pt idx="193">
                  <c:v>2012</c:v>
                </c:pt>
                <c:pt idx="194">
                  <c:v>2012</c:v>
                </c:pt>
                <c:pt idx="195">
                  <c:v>1997</c:v>
                </c:pt>
                <c:pt idx="196">
                  <c:v>2016</c:v>
                </c:pt>
                <c:pt idx="197">
                  <c:v>1995</c:v>
                </c:pt>
                <c:pt idx="198">
                  <c:v>2009</c:v>
                </c:pt>
                <c:pt idx="199">
                  <c:v>2025</c:v>
                </c:pt>
                <c:pt idx="200">
                  <c:v>1971</c:v>
                </c:pt>
                <c:pt idx="201">
                  <c:v>2008</c:v>
                </c:pt>
                <c:pt idx="202">
                  <c:v>2018</c:v>
                </c:pt>
                <c:pt idx="203">
                  <c:v>1989</c:v>
                </c:pt>
                <c:pt idx="204">
                  <c:v>1995</c:v>
                </c:pt>
                <c:pt idx="205">
                  <c:v>2002</c:v>
                </c:pt>
                <c:pt idx="206">
                  <c:v>1996</c:v>
                </c:pt>
                <c:pt idx="207">
                  <c:v>2024</c:v>
                </c:pt>
                <c:pt idx="208">
                  <c:v>1994</c:v>
                </c:pt>
                <c:pt idx="209">
                  <c:v>2005</c:v>
                </c:pt>
                <c:pt idx="210">
                  <c:v>1999</c:v>
                </c:pt>
                <c:pt idx="211">
                  <c:v>1988</c:v>
                </c:pt>
                <c:pt idx="212">
                  <c:v>2002</c:v>
                </c:pt>
                <c:pt idx="213">
                  <c:v>1996</c:v>
                </c:pt>
                <c:pt idx="214">
                  <c:v>1973</c:v>
                </c:pt>
                <c:pt idx="215">
                  <c:v>2000</c:v>
                </c:pt>
                <c:pt idx="216">
                  <c:v>2011</c:v>
                </c:pt>
                <c:pt idx="217">
                  <c:v>2005</c:v>
                </c:pt>
                <c:pt idx="218">
                  <c:v>2007</c:v>
                </c:pt>
                <c:pt idx="219">
                  <c:v>1995</c:v>
                </c:pt>
                <c:pt idx="220">
                  <c:v>1996</c:v>
                </c:pt>
                <c:pt idx="221">
                  <c:v>2021</c:v>
                </c:pt>
                <c:pt idx="222">
                  <c:v>1981</c:v>
                </c:pt>
                <c:pt idx="223">
                  <c:v>2025</c:v>
                </c:pt>
                <c:pt idx="224">
                  <c:v>1999</c:v>
                </c:pt>
                <c:pt idx="225">
                  <c:v>1969</c:v>
                </c:pt>
                <c:pt idx="226">
                  <c:v>1999</c:v>
                </c:pt>
                <c:pt idx="227">
                  <c:v>2018</c:v>
                </c:pt>
                <c:pt idx="228">
                  <c:v>1981</c:v>
                </c:pt>
                <c:pt idx="229">
                  <c:v>2001</c:v>
                </c:pt>
                <c:pt idx="230">
                  <c:v>1995</c:v>
                </c:pt>
                <c:pt idx="231">
                  <c:v>1995</c:v>
                </c:pt>
                <c:pt idx="232">
                  <c:v>2005</c:v>
                </c:pt>
                <c:pt idx="233">
                  <c:v>1998</c:v>
                </c:pt>
                <c:pt idx="234">
                  <c:v>1998</c:v>
                </c:pt>
                <c:pt idx="235">
                  <c:v>1969</c:v>
                </c:pt>
                <c:pt idx="236">
                  <c:v>2009</c:v>
                </c:pt>
                <c:pt idx="237">
                  <c:v>2003</c:v>
                </c:pt>
                <c:pt idx="238">
                  <c:v>1997</c:v>
                </c:pt>
                <c:pt idx="239">
                  <c:v>2026</c:v>
                </c:pt>
                <c:pt idx="240">
                  <c:v>1989</c:v>
                </c:pt>
                <c:pt idx="241">
                  <c:v>1973</c:v>
                </c:pt>
                <c:pt idx="242">
                  <c:v>2014</c:v>
                </c:pt>
                <c:pt idx="243">
                  <c:v>1992</c:v>
                </c:pt>
                <c:pt idx="244">
                  <c:v>1991</c:v>
                </c:pt>
                <c:pt idx="245">
                  <c:v>2004</c:v>
                </c:pt>
                <c:pt idx="246">
                  <c:v>2015</c:v>
                </c:pt>
                <c:pt idx="247">
                  <c:v>1994</c:v>
                </c:pt>
                <c:pt idx="248">
                  <c:v>1992</c:v>
                </c:pt>
                <c:pt idx="249">
                  <c:v>2026</c:v>
                </c:pt>
                <c:pt idx="250">
                  <c:v>2021</c:v>
                </c:pt>
                <c:pt idx="251">
                  <c:v>2007</c:v>
                </c:pt>
                <c:pt idx="252">
                  <c:v>2006</c:v>
                </c:pt>
                <c:pt idx="253">
                  <c:v>2002</c:v>
                </c:pt>
                <c:pt idx="254">
                  <c:v>1999</c:v>
                </c:pt>
                <c:pt idx="255">
                  <c:v>1997</c:v>
                </c:pt>
                <c:pt idx="256">
                  <c:v>1972</c:v>
                </c:pt>
                <c:pt idx="257">
                  <c:v>1972</c:v>
                </c:pt>
                <c:pt idx="258">
                  <c:v>2001</c:v>
                </c:pt>
                <c:pt idx="259">
                  <c:v>2007</c:v>
                </c:pt>
                <c:pt idx="260">
                  <c:v>1985</c:v>
                </c:pt>
                <c:pt idx="261">
                  <c:v>2003</c:v>
                </c:pt>
                <c:pt idx="262">
                  <c:v>2016</c:v>
                </c:pt>
                <c:pt idx="263">
                  <c:v>1997</c:v>
                </c:pt>
                <c:pt idx="264">
                  <c:v>2026</c:v>
                </c:pt>
                <c:pt idx="265">
                  <c:v>1997</c:v>
                </c:pt>
                <c:pt idx="266">
                  <c:v>2005</c:v>
                </c:pt>
                <c:pt idx="267">
                  <c:v>1984</c:v>
                </c:pt>
                <c:pt idx="268">
                  <c:v>2026</c:v>
                </c:pt>
                <c:pt idx="269">
                  <c:v>2008</c:v>
                </c:pt>
                <c:pt idx="270">
                  <c:v>1974</c:v>
                </c:pt>
                <c:pt idx="271">
                  <c:v>2020</c:v>
                </c:pt>
                <c:pt idx="272">
                  <c:v>2024</c:v>
                </c:pt>
                <c:pt idx="273">
                  <c:v>2024</c:v>
                </c:pt>
                <c:pt idx="274">
                  <c:v>1984</c:v>
                </c:pt>
                <c:pt idx="275">
                  <c:v>1991</c:v>
                </c:pt>
                <c:pt idx="276">
                  <c:v>1994</c:v>
                </c:pt>
                <c:pt idx="277">
                  <c:v>2010</c:v>
                </c:pt>
                <c:pt idx="278">
                  <c:v>2021</c:v>
                </c:pt>
                <c:pt idx="279">
                  <c:v>1997</c:v>
                </c:pt>
                <c:pt idx="280">
                  <c:v>2020</c:v>
                </c:pt>
                <c:pt idx="281">
                  <c:v>1971</c:v>
                </c:pt>
                <c:pt idx="282">
                  <c:v>2012</c:v>
                </c:pt>
                <c:pt idx="283">
                  <c:v>2004</c:v>
                </c:pt>
                <c:pt idx="284">
                  <c:v>1984</c:v>
                </c:pt>
                <c:pt idx="285">
                  <c:v>1996</c:v>
                </c:pt>
                <c:pt idx="286">
                  <c:v>2002</c:v>
                </c:pt>
                <c:pt idx="287">
                  <c:v>1980</c:v>
                </c:pt>
                <c:pt idx="288">
                  <c:v>2026</c:v>
                </c:pt>
                <c:pt idx="289">
                  <c:v>1975</c:v>
                </c:pt>
                <c:pt idx="290">
                  <c:v>2007</c:v>
                </c:pt>
                <c:pt idx="291">
                  <c:v>1999</c:v>
                </c:pt>
                <c:pt idx="292">
                  <c:v>2010</c:v>
                </c:pt>
                <c:pt idx="293">
                  <c:v>2011</c:v>
                </c:pt>
                <c:pt idx="294">
                  <c:v>1990</c:v>
                </c:pt>
                <c:pt idx="295">
                  <c:v>2026</c:v>
                </c:pt>
                <c:pt idx="296">
                  <c:v>1998</c:v>
                </c:pt>
                <c:pt idx="297">
                  <c:v>1976</c:v>
                </c:pt>
                <c:pt idx="298">
                  <c:v>1973</c:v>
                </c:pt>
                <c:pt idx="299">
                  <c:v>2003</c:v>
                </c:pt>
                <c:pt idx="300">
                  <c:v>2026</c:v>
                </c:pt>
                <c:pt idx="301">
                  <c:v>2003</c:v>
                </c:pt>
                <c:pt idx="302">
                  <c:v>1985</c:v>
                </c:pt>
                <c:pt idx="303">
                  <c:v>2013</c:v>
                </c:pt>
                <c:pt idx="304">
                  <c:v>2017</c:v>
                </c:pt>
                <c:pt idx="305">
                  <c:v>1998</c:v>
                </c:pt>
                <c:pt idx="306">
                  <c:v>1987</c:v>
                </c:pt>
                <c:pt idx="307">
                  <c:v>2016</c:v>
                </c:pt>
                <c:pt idx="308">
                  <c:v>2016</c:v>
                </c:pt>
                <c:pt idx="309">
                  <c:v>2025</c:v>
                </c:pt>
                <c:pt idx="310">
                  <c:v>2017</c:v>
                </c:pt>
                <c:pt idx="311">
                  <c:v>2013</c:v>
                </c:pt>
                <c:pt idx="312">
                  <c:v>1979</c:v>
                </c:pt>
                <c:pt idx="313">
                  <c:v>1984</c:v>
                </c:pt>
                <c:pt idx="314">
                  <c:v>2017</c:v>
                </c:pt>
                <c:pt idx="315">
                  <c:v>1984</c:v>
                </c:pt>
                <c:pt idx="316">
                  <c:v>2018</c:v>
                </c:pt>
                <c:pt idx="317">
                  <c:v>2018</c:v>
                </c:pt>
                <c:pt idx="318">
                  <c:v>2019</c:v>
                </c:pt>
              </c:numCache>
            </c:numRef>
          </c:xVal>
          <c:yVal>
            <c:numRef>
              <c:f>Graficos!$AU$815:$AU$1133</c:f>
              <c:numCache>
                <c:formatCode>General</c:formatCode>
                <c:ptCount val="319"/>
                <c:pt idx="0">
                  <c:v>10.99</c:v>
                </c:pt>
                <c:pt idx="1">
                  <c:v>10.37</c:v>
                </c:pt>
                <c:pt idx="2">
                  <c:v>9.14</c:v>
                </c:pt>
                <c:pt idx="3">
                  <c:v>9.23</c:v>
                </c:pt>
                <c:pt idx="4">
                  <c:v>10</c:v>
                </c:pt>
                <c:pt idx="5">
                  <c:v>9.09</c:v>
                </c:pt>
                <c:pt idx="6">
                  <c:v>9.0299999999999994</c:v>
                </c:pt>
                <c:pt idx="7">
                  <c:v>8.65</c:v>
                </c:pt>
                <c:pt idx="8">
                  <c:v>9.3699999999999992</c:v>
                </c:pt>
                <c:pt idx="9">
                  <c:v>8.66</c:v>
                </c:pt>
                <c:pt idx="10">
                  <c:v>8.34</c:v>
                </c:pt>
                <c:pt idx="11">
                  <c:v>9.4600000000000009</c:v>
                </c:pt>
                <c:pt idx="12">
                  <c:v>8.8699999999999992</c:v>
                </c:pt>
                <c:pt idx="13">
                  <c:v>9.44</c:v>
                </c:pt>
                <c:pt idx="14">
                  <c:v>9.9600000000000009</c:v>
                </c:pt>
                <c:pt idx="15">
                  <c:v>10.07</c:v>
                </c:pt>
                <c:pt idx="16">
                  <c:v>8.56</c:v>
                </c:pt>
                <c:pt idx="17">
                  <c:v>9.34</c:v>
                </c:pt>
                <c:pt idx="18">
                  <c:v>8.25</c:v>
                </c:pt>
                <c:pt idx="19">
                  <c:v>8.76</c:v>
                </c:pt>
                <c:pt idx="20">
                  <c:v>9.5299999999999994</c:v>
                </c:pt>
                <c:pt idx="21">
                  <c:v>9.09</c:v>
                </c:pt>
                <c:pt idx="22">
                  <c:v>8.1999999999999993</c:v>
                </c:pt>
                <c:pt idx="23">
                  <c:v>9.3699999999999992</c:v>
                </c:pt>
                <c:pt idx="24">
                  <c:v>8.2200000000000006</c:v>
                </c:pt>
                <c:pt idx="25">
                  <c:v>8.17</c:v>
                </c:pt>
                <c:pt idx="26">
                  <c:v>8.39</c:v>
                </c:pt>
                <c:pt idx="27">
                  <c:v>7.98</c:v>
                </c:pt>
                <c:pt idx="28">
                  <c:v>9.14</c:v>
                </c:pt>
                <c:pt idx="29">
                  <c:v>8.7100000000000009</c:v>
                </c:pt>
                <c:pt idx="30">
                  <c:v>7.16</c:v>
                </c:pt>
                <c:pt idx="31">
                  <c:v>7.64</c:v>
                </c:pt>
                <c:pt idx="32">
                  <c:v>9.14</c:v>
                </c:pt>
                <c:pt idx="33">
                  <c:v>8.81</c:v>
                </c:pt>
                <c:pt idx="34">
                  <c:v>8.06</c:v>
                </c:pt>
                <c:pt idx="35">
                  <c:v>7.66</c:v>
                </c:pt>
                <c:pt idx="36">
                  <c:v>9.23</c:v>
                </c:pt>
                <c:pt idx="37">
                  <c:v>8.73</c:v>
                </c:pt>
                <c:pt idx="38">
                  <c:v>8.43</c:v>
                </c:pt>
                <c:pt idx="39">
                  <c:v>8.75</c:v>
                </c:pt>
                <c:pt idx="40">
                  <c:v>9.99</c:v>
                </c:pt>
                <c:pt idx="41">
                  <c:v>8.16</c:v>
                </c:pt>
                <c:pt idx="42">
                  <c:v>8.7899999999999991</c:v>
                </c:pt>
                <c:pt idx="43">
                  <c:v>8.6199999999999992</c:v>
                </c:pt>
                <c:pt idx="44">
                  <c:v>8.11</c:v>
                </c:pt>
                <c:pt idx="45">
                  <c:v>8.7899999999999991</c:v>
                </c:pt>
                <c:pt idx="46">
                  <c:v>7.7</c:v>
                </c:pt>
                <c:pt idx="47">
                  <c:v>9.0399999999999991</c:v>
                </c:pt>
                <c:pt idx="48">
                  <c:v>6.99</c:v>
                </c:pt>
                <c:pt idx="49">
                  <c:v>10.050000000000001</c:v>
                </c:pt>
                <c:pt idx="50">
                  <c:v>9.2100000000000009</c:v>
                </c:pt>
                <c:pt idx="51">
                  <c:v>7.95</c:v>
                </c:pt>
                <c:pt idx="52">
                  <c:v>8.75</c:v>
                </c:pt>
                <c:pt idx="53">
                  <c:v>8.58</c:v>
                </c:pt>
                <c:pt idx="54">
                  <c:v>8.93</c:v>
                </c:pt>
                <c:pt idx="55">
                  <c:v>9.5500000000000007</c:v>
                </c:pt>
                <c:pt idx="56">
                  <c:v>8.57</c:v>
                </c:pt>
                <c:pt idx="57">
                  <c:v>8.48</c:v>
                </c:pt>
                <c:pt idx="58">
                  <c:v>8.7899999999999991</c:v>
                </c:pt>
                <c:pt idx="59">
                  <c:v>8.76</c:v>
                </c:pt>
                <c:pt idx="60">
                  <c:v>8.56</c:v>
                </c:pt>
                <c:pt idx="61">
                  <c:v>8.85</c:v>
                </c:pt>
                <c:pt idx="62">
                  <c:v>9.1</c:v>
                </c:pt>
                <c:pt idx="63">
                  <c:v>8.6</c:v>
                </c:pt>
                <c:pt idx="64">
                  <c:v>7.74</c:v>
                </c:pt>
                <c:pt idx="65">
                  <c:v>8.56</c:v>
                </c:pt>
                <c:pt idx="66">
                  <c:v>9.24</c:v>
                </c:pt>
                <c:pt idx="67">
                  <c:v>8.93</c:v>
                </c:pt>
                <c:pt idx="68">
                  <c:v>7.4</c:v>
                </c:pt>
                <c:pt idx="69">
                  <c:v>9.36</c:v>
                </c:pt>
                <c:pt idx="70">
                  <c:v>8.4700000000000006</c:v>
                </c:pt>
                <c:pt idx="71">
                  <c:v>10.39</c:v>
                </c:pt>
                <c:pt idx="72">
                  <c:v>10.85</c:v>
                </c:pt>
                <c:pt idx="73">
                  <c:v>9.08</c:v>
                </c:pt>
                <c:pt idx="74">
                  <c:v>8.27</c:v>
                </c:pt>
                <c:pt idx="75">
                  <c:v>7.61</c:v>
                </c:pt>
                <c:pt idx="76">
                  <c:v>8.86</c:v>
                </c:pt>
                <c:pt idx="77">
                  <c:v>8.4499999999999993</c:v>
                </c:pt>
                <c:pt idx="78">
                  <c:v>8.6300000000000008</c:v>
                </c:pt>
                <c:pt idx="79">
                  <c:v>9.42</c:v>
                </c:pt>
                <c:pt idx="80">
                  <c:v>8.3800000000000008</c:v>
                </c:pt>
                <c:pt idx="81">
                  <c:v>8.84</c:v>
                </c:pt>
                <c:pt idx="82">
                  <c:v>8</c:v>
                </c:pt>
                <c:pt idx="83">
                  <c:v>8.9600000000000009</c:v>
                </c:pt>
                <c:pt idx="84">
                  <c:v>8.65</c:v>
                </c:pt>
                <c:pt idx="85">
                  <c:v>8.65</c:v>
                </c:pt>
                <c:pt idx="86">
                  <c:v>8.7100000000000009</c:v>
                </c:pt>
                <c:pt idx="87">
                  <c:v>8.83</c:v>
                </c:pt>
                <c:pt idx="88">
                  <c:v>7.95</c:v>
                </c:pt>
                <c:pt idx="89">
                  <c:v>8.77</c:v>
                </c:pt>
                <c:pt idx="90">
                  <c:v>8.89</c:v>
                </c:pt>
                <c:pt idx="91">
                  <c:v>8.7200000000000006</c:v>
                </c:pt>
                <c:pt idx="92">
                  <c:v>8.68</c:v>
                </c:pt>
                <c:pt idx="93">
                  <c:v>8.76</c:v>
                </c:pt>
                <c:pt idx="94">
                  <c:v>8.8800000000000008</c:v>
                </c:pt>
                <c:pt idx="95">
                  <c:v>8.84</c:v>
                </c:pt>
                <c:pt idx="96">
                  <c:v>8.6999999999999993</c:v>
                </c:pt>
                <c:pt idx="97">
                  <c:v>7.79</c:v>
                </c:pt>
                <c:pt idx="98">
                  <c:v>8.34</c:v>
                </c:pt>
                <c:pt idx="99">
                  <c:v>9.06</c:v>
                </c:pt>
                <c:pt idx="100">
                  <c:v>8.6300000000000008</c:v>
                </c:pt>
                <c:pt idx="101">
                  <c:v>8.9499999999999993</c:v>
                </c:pt>
                <c:pt idx="102">
                  <c:v>8.65</c:v>
                </c:pt>
                <c:pt idx="103">
                  <c:v>8.5</c:v>
                </c:pt>
                <c:pt idx="104">
                  <c:v>8.3699999999999992</c:v>
                </c:pt>
                <c:pt idx="105">
                  <c:v>8.7799999999999994</c:v>
                </c:pt>
                <c:pt idx="106">
                  <c:v>8.93</c:v>
                </c:pt>
                <c:pt idx="107">
                  <c:v>8.25</c:v>
                </c:pt>
                <c:pt idx="108">
                  <c:v>8.6999999999999993</c:v>
                </c:pt>
                <c:pt idx="109">
                  <c:v>8.6300000000000008</c:v>
                </c:pt>
                <c:pt idx="110">
                  <c:v>8.8800000000000008</c:v>
                </c:pt>
                <c:pt idx="111">
                  <c:v>8.1300000000000008</c:v>
                </c:pt>
                <c:pt idx="112">
                  <c:v>8.4499999999999993</c:v>
                </c:pt>
                <c:pt idx="113">
                  <c:v>8.83</c:v>
                </c:pt>
                <c:pt idx="114">
                  <c:v>3.37</c:v>
                </c:pt>
                <c:pt idx="115">
                  <c:v>8.9700000000000006</c:v>
                </c:pt>
                <c:pt idx="116">
                  <c:v>8.16</c:v>
                </c:pt>
                <c:pt idx="117">
                  <c:v>8.27</c:v>
                </c:pt>
                <c:pt idx="118">
                  <c:v>8.9600000000000009</c:v>
                </c:pt>
                <c:pt idx="119">
                  <c:v>8.52</c:v>
                </c:pt>
                <c:pt idx="120">
                  <c:v>8.06</c:v>
                </c:pt>
                <c:pt idx="121">
                  <c:v>7.2</c:v>
                </c:pt>
                <c:pt idx="122">
                  <c:v>8.4600000000000009</c:v>
                </c:pt>
                <c:pt idx="123">
                  <c:v>8.3800000000000008</c:v>
                </c:pt>
                <c:pt idx="124">
                  <c:v>9.43</c:v>
                </c:pt>
                <c:pt idx="125">
                  <c:v>8.61</c:v>
                </c:pt>
                <c:pt idx="126">
                  <c:v>8.33</c:v>
                </c:pt>
                <c:pt idx="127">
                  <c:v>8.5399999999999991</c:v>
                </c:pt>
                <c:pt idx="128">
                  <c:v>8.83</c:v>
                </c:pt>
                <c:pt idx="129">
                  <c:v>8.64</c:v>
                </c:pt>
                <c:pt idx="130">
                  <c:v>8.6300000000000008</c:v>
                </c:pt>
                <c:pt idx="131">
                  <c:v>8.5</c:v>
                </c:pt>
                <c:pt idx="132">
                  <c:v>8.41</c:v>
                </c:pt>
                <c:pt idx="133">
                  <c:v>8.49</c:v>
                </c:pt>
                <c:pt idx="134">
                  <c:v>8.61</c:v>
                </c:pt>
                <c:pt idx="135">
                  <c:v>7.94</c:v>
                </c:pt>
                <c:pt idx="136">
                  <c:v>8.5500000000000007</c:v>
                </c:pt>
                <c:pt idx="137">
                  <c:v>8.83</c:v>
                </c:pt>
                <c:pt idx="138">
                  <c:v>8.57</c:v>
                </c:pt>
                <c:pt idx="139">
                  <c:v>9.02</c:v>
                </c:pt>
                <c:pt idx="140">
                  <c:v>9</c:v>
                </c:pt>
                <c:pt idx="141">
                  <c:v>8.1300000000000008</c:v>
                </c:pt>
                <c:pt idx="142">
                  <c:v>8.5500000000000007</c:v>
                </c:pt>
                <c:pt idx="143">
                  <c:v>8.74</c:v>
                </c:pt>
                <c:pt idx="144">
                  <c:v>8.5299999999999994</c:v>
                </c:pt>
                <c:pt idx="145">
                  <c:v>8.5299999999999994</c:v>
                </c:pt>
                <c:pt idx="146">
                  <c:v>10.44</c:v>
                </c:pt>
                <c:pt idx="147">
                  <c:v>8.0299999999999994</c:v>
                </c:pt>
                <c:pt idx="148">
                  <c:v>7.04</c:v>
                </c:pt>
                <c:pt idx="149">
                  <c:v>8.86</c:v>
                </c:pt>
                <c:pt idx="150">
                  <c:v>8.7799999999999994</c:v>
                </c:pt>
                <c:pt idx="151">
                  <c:v>8.9700000000000006</c:v>
                </c:pt>
                <c:pt idx="152">
                  <c:v>8.8800000000000008</c:v>
                </c:pt>
                <c:pt idx="153">
                  <c:v>8.77</c:v>
                </c:pt>
                <c:pt idx="154">
                  <c:v>8.67</c:v>
                </c:pt>
                <c:pt idx="155">
                  <c:v>2.39</c:v>
                </c:pt>
                <c:pt idx="156">
                  <c:v>8.23</c:v>
                </c:pt>
                <c:pt idx="157">
                  <c:v>8.82</c:v>
                </c:pt>
                <c:pt idx="158">
                  <c:v>8.84</c:v>
                </c:pt>
                <c:pt idx="159">
                  <c:v>8.5399999999999991</c:v>
                </c:pt>
                <c:pt idx="160">
                  <c:v>8.81</c:v>
                </c:pt>
                <c:pt idx="161">
                  <c:v>8.67</c:v>
                </c:pt>
                <c:pt idx="162">
                  <c:v>8.4700000000000006</c:v>
                </c:pt>
                <c:pt idx="163">
                  <c:v>8.16</c:v>
                </c:pt>
                <c:pt idx="164">
                  <c:v>9.02</c:v>
                </c:pt>
                <c:pt idx="165">
                  <c:v>8.94</c:v>
                </c:pt>
                <c:pt idx="166">
                  <c:v>8.4700000000000006</c:v>
                </c:pt>
                <c:pt idx="167">
                  <c:v>8.5399999999999991</c:v>
                </c:pt>
                <c:pt idx="168">
                  <c:v>9</c:v>
                </c:pt>
                <c:pt idx="169">
                  <c:v>8.6199999999999992</c:v>
                </c:pt>
                <c:pt idx="170">
                  <c:v>8.81</c:v>
                </c:pt>
                <c:pt idx="171">
                  <c:v>8.84</c:v>
                </c:pt>
                <c:pt idx="172">
                  <c:v>9.0399999999999991</c:v>
                </c:pt>
                <c:pt idx="173">
                  <c:v>8.3699999999999992</c:v>
                </c:pt>
                <c:pt idx="174">
                  <c:v>8.56</c:v>
                </c:pt>
                <c:pt idx="175">
                  <c:v>8.39</c:v>
                </c:pt>
                <c:pt idx="176">
                  <c:v>8.9700000000000006</c:v>
                </c:pt>
                <c:pt idx="177">
                  <c:v>8.18</c:v>
                </c:pt>
                <c:pt idx="178">
                  <c:v>8.39</c:v>
                </c:pt>
                <c:pt idx="179">
                  <c:v>8.24</c:v>
                </c:pt>
                <c:pt idx="180">
                  <c:v>8.92</c:v>
                </c:pt>
                <c:pt idx="181">
                  <c:v>8.6</c:v>
                </c:pt>
                <c:pt idx="182">
                  <c:v>8.5</c:v>
                </c:pt>
                <c:pt idx="183">
                  <c:v>8.7200000000000006</c:v>
                </c:pt>
                <c:pt idx="184">
                  <c:v>8.8699999999999992</c:v>
                </c:pt>
                <c:pt idx="185">
                  <c:v>8.3000000000000007</c:v>
                </c:pt>
                <c:pt idx="186">
                  <c:v>8.34</c:v>
                </c:pt>
                <c:pt idx="187">
                  <c:v>7.84</c:v>
                </c:pt>
                <c:pt idx="188">
                  <c:v>8.5299999999999994</c:v>
                </c:pt>
                <c:pt idx="189">
                  <c:v>8.65</c:v>
                </c:pt>
                <c:pt idx="190">
                  <c:v>8.5299999999999994</c:v>
                </c:pt>
                <c:pt idx="191">
                  <c:v>8.61</c:v>
                </c:pt>
                <c:pt idx="192">
                  <c:v>7.89</c:v>
                </c:pt>
                <c:pt idx="193">
                  <c:v>9.23</c:v>
                </c:pt>
                <c:pt idx="194">
                  <c:v>8.77</c:v>
                </c:pt>
                <c:pt idx="195">
                  <c:v>8.51</c:v>
                </c:pt>
                <c:pt idx="196">
                  <c:v>8.67</c:v>
                </c:pt>
                <c:pt idx="197">
                  <c:v>7.94</c:v>
                </c:pt>
                <c:pt idx="198">
                  <c:v>8.59</c:v>
                </c:pt>
                <c:pt idx="199">
                  <c:v>4.62</c:v>
                </c:pt>
                <c:pt idx="200">
                  <c:v>8.48</c:v>
                </c:pt>
                <c:pt idx="201">
                  <c:v>8.68</c:v>
                </c:pt>
                <c:pt idx="202">
                  <c:v>8.5299999999999994</c:v>
                </c:pt>
                <c:pt idx="203">
                  <c:v>8.83</c:v>
                </c:pt>
                <c:pt idx="204">
                  <c:v>8.3000000000000007</c:v>
                </c:pt>
                <c:pt idx="205">
                  <c:v>8.2100000000000009</c:v>
                </c:pt>
                <c:pt idx="206">
                  <c:v>8.6999999999999993</c:v>
                </c:pt>
                <c:pt idx="207">
                  <c:v>8.2799999999999994</c:v>
                </c:pt>
                <c:pt idx="208">
                  <c:v>8.66</c:v>
                </c:pt>
                <c:pt idx="209">
                  <c:v>8.56</c:v>
                </c:pt>
                <c:pt idx="210">
                  <c:v>7.66</c:v>
                </c:pt>
                <c:pt idx="211">
                  <c:v>8.92</c:v>
                </c:pt>
                <c:pt idx="212">
                  <c:v>8.9600000000000009</c:v>
                </c:pt>
                <c:pt idx="213">
                  <c:v>8.52</c:v>
                </c:pt>
                <c:pt idx="214">
                  <c:v>8.83</c:v>
                </c:pt>
                <c:pt idx="215">
                  <c:v>8.24</c:v>
                </c:pt>
                <c:pt idx="216">
                  <c:v>7.66</c:v>
                </c:pt>
                <c:pt idx="217">
                  <c:v>8.34</c:v>
                </c:pt>
                <c:pt idx="218">
                  <c:v>8.69</c:v>
                </c:pt>
                <c:pt idx="219">
                  <c:v>8.6300000000000008</c:v>
                </c:pt>
                <c:pt idx="220">
                  <c:v>7.96</c:v>
                </c:pt>
                <c:pt idx="221">
                  <c:v>8.43</c:v>
                </c:pt>
                <c:pt idx="222">
                  <c:v>8.67</c:v>
                </c:pt>
                <c:pt idx="223">
                  <c:v>8.27</c:v>
                </c:pt>
                <c:pt idx="224">
                  <c:v>8.9499999999999993</c:v>
                </c:pt>
                <c:pt idx="225">
                  <c:v>8.7799999999999994</c:v>
                </c:pt>
                <c:pt idx="226">
                  <c:v>8.36</c:v>
                </c:pt>
                <c:pt idx="227">
                  <c:v>8.01</c:v>
                </c:pt>
                <c:pt idx="228">
                  <c:v>8.57</c:v>
                </c:pt>
                <c:pt idx="229">
                  <c:v>8.7100000000000009</c:v>
                </c:pt>
                <c:pt idx="230">
                  <c:v>8.1300000000000008</c:v>
                </c:pt>
                <c:pt idx="231">
                  <c:v>8.5299999999999994</c:v>
                </c:pt>
                <c:pt idx="232">
                  <c:v>8.7100000000000009</c:v>
                </c:pt>
                <c:pt idx="233">
                  <c:v>8.4</c:v>
                </c:pt>
                <c:pt idx="234">
                  <c:v>8.4499999999999993</c:v>
                </c:pt>
                <c:pt idx="235">
                  <c:v>8.85</c:v>
                </c:pt>
                <c:pt idx="236">
                  <c:v>8.43</c:v>
                </c:pt>
                <c:pt idx="237">
                  <c:v>8.7200000000000006</c:v>
                </c:pt>
                <c:pt idx="238">
                  <c:v>8.56</c:v>
                </c:pt>
                <c:pt idx="239">
                  <c:v>7.69</c:v>
                </c:pt>
                <c:pt idx="240">
                  <c:v>8.7899999999999991</c:v>
                </c:pt>
                <c:pt idx="241">
                  <c:v>9.1</c:v>
                </c:pt>
                <c:pt idx="242">
                  <c:v>8.5500000000000007</c:v>
                </c:pt>
                <c:pt idx="243">
                  <c:v>8.07</c:v>
                </c:pt>
                <c:pt idx="244">
                  <c:v>8.92</c:v>
                </c:pt>
                <c:pt idx="245">
                  <c:v>8.84</c:v>
                </c:pt>
                <c:pt idx="246">
                  <c:v>8.6999999999999993</c:v>
                </c:pt>
                <c:pt idx="247">
                  <c:v>8.51</c:v>
                </c:pt>
                <c:pt idx="248">
                  <c:v>8.35</c:v>
                </c:pt>
                <c:pt idx="249">
                  <c:v>7.87</c:v>
                </c:pt>
                <c:pt idx="250">
                  <c:v>0.76</c:v>
                </c:pt>
                <c:pt idx="251">
                  <c:v>8.48</c:v>
                </c:pt>
                <c:pt idx="252">
                  <c:v>8.6999999999999993</c:v>
                </c:pt>
                <c:pt idx="253">
                  <c:v>8.6</c:v>
                </c:pt>
                <c:pt idx="254">
                  <c:v>8.41</c:v>
                </c:pt>
                <c:pt idx="255">
                  <c:v>8.74</c:v>
                </c:pt>
                <c:pt idx="256">
                  <c:v>8.66</c:v>
                </c:pt>
                <c:pt idx="257">
                  <c:v>8.2200000000000006</c:v>
                </c:pt>
                <c:pt idx="258">
                  <c:v>8.32</c:v>
                </c:pt>
                <c:pt idx="259">
                  <c:v>8.92</c:v>
                </c:pt>
                <c:pt idx="260">
                  <c:v>8.8699999999999992</c:v>
                </c:pt>
                <c:pt idx="261">
                  <c:v>8.7200000000000006</c:v>
                </c:pt>
                <c:pt idx="262">
                  <c:v>7.94</c:v>
                </c:pt>
                <c:pt idx="263">
                  <c:v>8.91</c:v>
                </c:pt>
                <c:pt idx="264">
                  <c:v>7.84</c:v>
                </c:pt>
                <c:pt idx="265">
                  <c:v>8.73</c:v>
                </c:pt>
                <c:pt idx="266">
                  <c:v>8.68</c:v>
                </c:pt>
                <c:pt idx="267">
                  <c:v>8</c:v>
                </c:pt>
                <c:pt idx="268">
                  <c:v>5.9</c:v>
                </c:pt>
                <c:pt idx="269">
                  <c:v>9.77</c:v>
                </c:pt>
                <c:pt idx="270">
                  <c:v>8.06</c:v>
                </c:pt>
                <c:pt idx="271">
                  <c:v>8.83</c:v>
                </c:pt>
                <c:pt idx="272">
                  <c:v>8.5299999999999994</c:v>
                </c:pt>
                <c:pt idx="273">
                  <c:v>8.5</c:v>
                </c:pt>
                <c:pt idx="274">
                  <c:v>8.59</c:v>
                </c:pt>
                <c:pt idx="275">
                  <c:v>8.83</c:v>
                </c:pt>
                <c:pt idx="276">
                  <c:v>8.19</c:v>
                </c:pt>
                <c:pt idx="277">
                  <c:v>8.7100000000000009</c:v>
                </c:pt>
                <c:pt idx="278">
                  <c:v>9.0299999999999994</c:v>
                </c:pt>
                <c:pt idx="279">
                  <c:v>8.2200000000000006</c:v>
                </c:pt>
                <c:pt idx="280">
                  <c:v>8.7899999999999991</c:v>
                </c:pt>
                <c:pt idx="281">
                  <c:v>8.69</c:v>
                </c:pt>
                <c:pt idx="282">
                  <c:v>8.52</c:v>
                </c:pt>
                <c:pt idx="283">
                  <c:v>7.94</c:v>
                </c:pt>
                <c:pt idx="284">
                  <c:v>8.7100000000000009</c:v>
                </c:pt>
                <c:pt idx="285">
                  <c:v>8.31</c:v>
                </c:pt>
                <c:pt idx="286">
                  <c:v>9.01</c:v>
                </c:pt>
                <c:pt idx="287">
                  <c:v>8.69</c:v>
                </c:pt>
                <c:pt idx="288">
                  <c:v>8.18</c:v>
                </c:pt>
                <c:pt idx="289">
                  <c:v>8.9700000000000006</c:v>
                </c:pt>
                <c:pt idx="290">
                  <c:v>6.98</c:v>
                </c:pt>
                <c:pt idx="291">
                  <c:v>8.5</c:v>
                </c:pt>
                <c:pt idx="292">
                  <c:v>8.1</c:v>
                </c:pt>
                <c:pt idx="293">
                  <c:v>8.9700000000000006</c:v>
                </c:pt>
                <c:pt idx="294">
                  <c:v>8.56</c:v>
                </c:pt>
                <c:pt idx="295">
                  <c:v>8.51</c:v>
                </c:pt>
                <c:pt idx="296">
                  <c:v>8.69</c:v>
                </c:pt>
                <c:pt idx="297">
                  <c:v>8.64</c:v>
                </c:pt>
                <c:pt idx="298">
                  <c:v>9.0299999999999994</c:v>
                </c:pt>
                <c:pt idx="299">
                  <c:v>9.33</c:v>
                </c:pt>
                <c:pt idx="300">
                  <c:v>8.31</c:v>
                </c:pt>
                <c:pt idx="301">
                  <c:v>8.8800000000000008</c:v>
                </c:pt>
                <c:pt idx="302">
                  <c:v>8.48</c:v>
                </c:pt>
                <c:pt idx="303">
                  <c:v>8.34</c:v>
                </c:pt>
                <c:pt idx="304">
                  <c:v>3.65</c:v>
                </c:pt>
                <c:pt idx="305">
                  <c:v>9.09</c:v>
                </c:pt>
                <c:pt idx="306">
                  <c:v>6.97</c:v>
                </c:pt>
                <c:pt idx="307">
                  <c:v>8.0500000000000007</c:v>
                </c:pt>
                <c:pt idx="308">
                  <c:v>8.2100000000000009</c:v>
                </c:pt>
                <c:pt idx="309">
                  <c:v>8.08</c:v>
                </c:pt>
                <c:pt idx="310">
                  <c:v>8.3699999999999992</c:v>
                </c:pt>
                <c:pt idx="311">
                  <c:v>8.92</c:v>
                </c:pt>
                <c:pt idx="312">
                  <c:v>8.61</c:v>
                </c:pt>
                <c:pt idx="313">
                  <c:v>8.4700000000000006</c:v>
                </c:pt>
                <c:pt idx="314">
                  <c:v>8</c:v>
                </c:pt>
                <c:pt idx="315">
                  <c:v>8.9499999999999993</c:v>
                </c:pt>
                <c:pt idx="316">
                  <c:v>7.96</c:v>
                </c:pt>
                <c:pt idx="317">
                  <c:v>7.8</c:v>
                </c:pt>
                <c:pt idx="318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B4-4F4C-B99C-772470D1D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576128"/>
        <c:axId val="466577920"/>
      </c:scatterChart>
      <c:valAx>
        <c:axId val="466576128"/>
        <c:scaling>
          <c:orientation val="minMax"/>
          <c:max val="2040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577920"/>
        <c:crosses val="autoZero"/>
        <c:crossBetween val="midCat"/>
      </c:valAx>
      <c:valAx>
        <c:axId val="466577920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57612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Duración vs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Graficos!$AU$1136</c:f>
              <c:strCache>
                <c:ptCount val="1"/>
                <c:pt idx="0">
                  <c:v>3rd EYE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Graficos!$AT$1137:$AT$1455</c:f>
              <c:numCache>
                <c:formatCode>General</c:formatCode>
                <c:ptCount val="319"/>
                <c:pt idx="0">
                  <c:v>76</c:v>
                </c:pt>
                <c:pt idx="1">
                  <c:v>42</c:v>
                </c:pt>
                <c:pt idx="2">
                  <c:v>57</c:v>
                </c:pt>
                <c:pt idx="3">
                  <c:v>42</c:v>
                </c:pt>
                <c:pt idx="4">
                  <c:v>42</c:v>
                </c:pt>
                <c:pt idx="5">
                  <c:v>61</c:v>
                </c:pt>
                <c:pt idx="6">
                  <c:v>54</c:v>
                </c:pt>
                <c:pt idx="7">
                  <c:v>39</c:v>
                </c:pt>
                <c:pt idx="8">
                  <c:v>54</c:v>
                </c:pt>
                <c:pt idx="9">
                  <c:v>63</c:v>
                </c:pt>
                <c:pt idx="10">
                  <c:v>37</c:v>
                </c:pt>
                <c:pt idx="11">
                  <c:v>67</c:v>
                </c:pt>
                <c:pt idx="12">
                  <c:v>45</c:v>
                </c:pt>
                <c:pt idx="13">
                  <c:v>76</c:v>
                </c:pt>
                <c:pt idx="14">
                  <c:v>77</c:v>
                </c:pt>
                <c:pt idx="15">
                  <c:v>53</c:v>
                </c:pt>
                <c:pt idx="16">
                  <c:v>62</c:v>
                </c:pt>
                <c:pt idx="17">
                  <c:v>84</c:v>
                </c:pt>
                <c:pt idx="18">
                  <c:v>57</c:v>
                </c:pt>
                <c:pt idx="19">
                  <c:v>39</c:v>
                </c:pt>
                <c:pt idx="20">
                  <c:v>42</c:v>
                </c:pt>
                <c:pt idx="21">
                  <c:v>40</c:v>
                </c:pt>
                <c:pt idx="22">
                  <c:v>39</c:v>
                </c:pt>
                <c:pt idx="23">
                  <c:v>47</c:v>
                </c:pt>
                <c:pt idx="24">
                  <c:v>68</c:v>
                </c:pt>
                <c:pt idx="25">
                  <c:v>36</c:v>
                </c:pt>
                <c:pt idx="26">
                  <c:v>58</c:v>
                </c:pt>
                <c:pt idx="27">
                  <c:v>63</c:v>
                </c:pt>
                <c:pt idx="28">
                  <c:v>37</c:v>
                </c:pt>
                <c:pt idx="29">
                  <c:v>72</c:v>
                </c:pt>
                <c:pt idx="30">
                  <c:v>29</c:v>
                </c:pt>
                <c:pt idx="31">
                  <c:v>47</c:v>
                </c:pt>
                <c:pt idx="32">
                  <c:v>48</c:v>
                </c:pt>
                <c:pt idx="33">
                  <c:v>68</c:v>
                </c:pt>
                <c:pt idx="34">
                  <c:v>73</c:v>
                </c:pt>
                <c:pt idx="35">
                  <c:v>60</c:v>
                </c:pt>
                <c:pt idx="36">
                  <c:v>51</c:v>
                </c:pt>
                <c:pt idx="37">
                  <c:v>43</c:v>
                </c:pt>
                <c:pt idx="38">
                  <c:v>60</c:v>
                </c:pt>
                <c:pt idx="39">
                  <c:v>52</c:v>
                </c:pt>
                <c:pt idx="40">
                  <c:v>75</c:v>
                </c:pt>
                <c:pt idx="41">
                  <c:v>58</c:v>
                </c:pt>
                <c:pt idx="42">
                  <c:v>47</c:v>
                </c:pt>
                <c:pt idx="43">
                  <c:v>51</c:v>
                </c:pt>
                <c:pt idx="44">
                  <c:v>43</c:v>
                </c:pt>
                <c:pt idx="45">
                  <c:v>74</c:v>
                </c:pt>
                <c:pt idx="46">
                  <c:v>49</c:v>
                </c:pt>
                <c:pt idx="47">
                  <c:v>59</c:v>
                </c:pt>
                <c:pt idx="48">
                  <c:v>50</c:v>
                </c:pt>
                <c:pt idx="49">
                  <c:v>87</c:v>
                </c:pt>
                <c:pt idx="50">
                  <c:v>47</c:v>
                </c:pt>
                <c:pt idx="51">
                  <c:v>74</c:v>
                </c:pt>
                <c:pt idx="52">
                  <c:v>56</c:v>
                </c:pt>
                <c:pt idx="53">
                  <c:v>45</c:v>
                </c:pt>
                <c:pt idx="54">
                  <c:v>49</c:v>
                </c:pt>
                <c:pt idx="55">
                  <c:v>41</c:v>
                </c:pt>
                <c:pt idx="56">
                  <c:v>43</c:v>
                </c:pt>
                <c:pt idx="57">
                  <c:v>55</c:v>
                </c:pt>
                <c:pt idx="58">
                  <c:v>68</c:v>
                </c:pt>
                <c:pt idx="59">
                  <c:v>63</c:v>
                </c:pt>
                <c:pt idx="60">
                  <c:v>56</c:v>
                </c:pt>
                <c:pt idx="61">
                  <c:v>62</c:v>
                </c:pt>
                <c:pt idx="62">
                  <c:v>35</c:v>
                </c:pt>
                <c:pt idx="63">
                  <c:v>65</c:v>
                </c:pt>
                <c:pt idx="64">
                  <c:v>37</c:v>
                </c:pt>
                <c:pt idx="65">
                  <c:v>71</c:v>
                </c:pt>
                <c:pt idx="66">
                  <c:v>66</c:v>
                </c:pt>
                <c:pt idx="67">
                  <c:v>54</c:v>
                </c:pt>
                <c:pt idx="68">
                  <c:v>42</c:v>
                </c:pt>
                <c:pt idx="69">
                  <c:v>38</c:v>
                </c:pt>
                <c:pt idx="70">
                  <c:v>77</c:v>
                </c:pt>
                <c:pt idx="71">
                  <c:v>44</c:v>
                </c:pt>
                <c:pt idx="72">
                  <c:v>35</c:v>
                </c:pt>
                <c:pt idx="73">
                  <c:v>65</c:v>
                </c:pt>
                <c:pt idx="74">
                  <c:v>62</c:v>
                </c:pt>
                <c:pt idx="75">
                  <c:v>24</c:v>
                </c:pt>
                <c:pt idx="76">
                  <c:v>41</c:v>
                </c:pt>
                <c:pt idx="77">
                  <c:v>41</c:v>
                </c:pt>
                <c:pt idx="78">
                  <c:v>59</c:v>
                </c:pt>
                <c:pt idx="79">
                  <c:v>86</c:v>
                </c:pt>
                <c:pt idx="80">
                  <c:v>34</c:v>
                </c:pt>
                <c:pt idx="81">
                  <c:v>52</c:v>
                </c:pt>
                <c:pt idx="82">
                  <c:v>66</c:v>
                </c:pt>
                <c:pt idx="83">
                  <c:v>45</c:v>
                </c:pt>
                <c:pt idx="84">
                  <c:v>65</c:v>
                </c:pt>
                <c:pt idx="85">
                  <c:v>62</c:v>
                </c:pt>
                <c:pt idx="86">
                  <c:v>79</c:v>
                </c:pt>
                <c:pt idx="87">
                  <c:v>36</c:v>
                </c:pt>
                <c:pt idx="88">
                  <c:v>63</c:v>
                </c:pt>
                <c:pt idx="89">
                  <c:v>39</c:v>
                </c:pt>
                <c:pt idx="90">
                  <c:v>51</c:v>
                </c:pt>
                <c:pt idx="91">
                  <c:v>68</c:v>
                </c:pt>
                <c:pt idx="92">
                  <c:v>61</c:v>
                </c:pt>
                <c:pt idx="93">
                  <c:v>74</c:v>
                </c:pt>
                <c:pt idx="94">
                  <c:v>48</c:v>
                </c:pt>
                <c:pt idx="95">
                  <c:v>66</c:v>
                </c:pt>
                <c:pt idx="96">
                  <c:v>43</c:v>
                </c:pt>
                <c:pt idx="97">
                  <c:v>45</c:v>
                </c:pt>
                <c:pt idx="98">
                  <c:v>43</c:v>
                </c:pt>
                <c:pt idx="99">
                  <c:v>67</c:v>
                </c:pt>
                <c:pt idx="100">
                  <c:v>46</c:v>
                </c:pt>
                <c:pt idx="101">
                  <c:v>41</c:v>
                </c:pt>
                <c:pt idx="102">
                  <c:v>75</c:v>
                </c:pt>
                <c:pt idx="103">
                  <c:v>40</c:v>
                </c:pt>
                <c:pt idx="104">
                  <c:v>51</c:v>
                </c:pt>
                <c:pt idx="105">
                  <c:v>121</c:v>
                </c:pt>
                <c:pt idx="106">
                  <c:v>60</c:v>
                </c:pt>
                <c:pt idx="107">
                  <c:v>74</c:v>
                </c:pt>
                <c:pt idx="108">
                  <c:v>40</c:v>
                </c:pt>
                <c:pt idx="109">
                  <c:v>121</c:v>
                </c:pt>
                <c:pt idx="110">
                  <c:v>49</c:v>
                </c:pt>
                <c:pt idx="111">
                  <c:v>55</c:v>
                </c:pt>
                <c:pt idx="112">
                  <c:v>34</c:v>
                </c:pt>
                <c:pt idx="113">
                  <c:v>39</c:v>
                </c:pt>
                <c:pt idx="114">
                  <c:v>75</c:v>
                </c:pt>
                <c:pt idx="115">
                  <c:v>46</c:v>
                </c:pt>
                <c:pt idx="116">
                  <c:v>23</c:v>
                </c:pt>
                <c:pt idx="117">
                  <c:v>62</c:v>
                </c:pt>
                <c:pt idx="118">
                  <c:v>73</c:v>
                </c:pt>
                <c:pt idx="119">
                  <c:v>43</c:v>
                </c:pt>
                <c:pt idx="120">
                  <c:v>35</c:v>
                </c:pt>
                <c:pt idx="121">
                  <c:v>42</c:v>
                </c:pt>
                <c:pt idx="122">
                  <c:v>50</c:v>
                </c:pt>
                <c:pt idx="123">
                  <c:v>63</c:v>
                </c:pt>
                <c:pt idx="124">
                  <c:v>41</c:v>
                </c:pt>
                <c:pt idx="125">
                  <c:v>54</c:v>
                </c:pt>
                <c:pt idx="126">
                  <c:v>76</c:v>
                </c:pt>
                <c:pt idx="127">
                  <c:v>43</c:v>
                </c:pt>
                <c:pt idx="128">
                  <c:v>44</c:v>
                </c:pt>
                <c:pt idx="129">
                  <c:v>40</c:v>
                </c:pt>
                <c:pt idx="130">
                  <c:v>53</c:v>
                </c:pt>
                <c:pt idx="131">
                  <c:v>56</c:v>
                </c:pt>
                <c:pt idx="132">
                  <c:v>48</c:v>
                </c:pt>
                <c:pt idx="133">
                  <c:v>62</c:v>
                </c:pt>
                <c:pt idx="134">
                  <c:v>51</c:v>
                </c:pt>
                <c:pt idx="135">
                  <c:v>37</c:v>
                </c:pt>
                <c:pt idx="136">
                  <c:v>55</c:v>
                </c:pt>
                <c:pt idx="137">
                  <c:v>47</c:v>
                </c:pt>
                <c:pt idx="138">
                  <c:v>56</c:v>
                </c:pt>
                <c:pt idx="139">
                  <c:v>43</c:v>
                </c:pt>
                <c:pt idx="140">
                  <c:v>36</c:v>
                </c:pt>
                <c:pt idx="141">
                  <c:v>24</c:v>
                </c:pt>
                <c:pt idx="142">
                  <c:v>47</c:v>
                </c:pt>
                <c:pt idx="143">
                  <c:v>51</c:v>
                </c:pt>
                <c:pt idx="144">
                  <c:v>40</c:v>
                </c:pt>
                <c:pt idx="145">
                  <c:v>56</c:v>
                </c:pt>
                <c:pt idx="146">
                  <c:v>38</c:v>
                </c:pt>
                <c:pt idx="147">
                  <c:v>56</c:v>
                </c:pt>
                <c:pt idx="148">
                  <c:v>41</c:v>
                </c:pt>
                <c:pt idx="149">
                  <c:v>39</c:v>
                </c:pt>
                <c:pt idx="150">
                  <c:v>56</c:v>
                </c:pt>
                <c:pt idx="151">
                  <c:v>61</c:v>
                </c:pt>
                <c:pt idx="152">
                  <c:v>54</c:v>
                </c:pt>
                <c:pt idx="153">
                  <c:v>33</c:v>
                </c:pt>
                <c:pt idx="154">
                  <c:v>63</c:v>
                </c:pt>
                <c:pt idx="155">
                  <c:v>30</c:v>
                </c:pt>
                <c:pt idx="156">
                  <c:v>64</c:v>
                </c:pt>
                <c:pt idx="157">
                  <c:v>37</c:v>
                </c:pt>
                <c:pt idx="158">
                  <c:v>63</c:v>
                </c:pt>
                <c:pt idx="159">
                  <c:v>33</c:v>
                </c:pt>
                <c:pt idx="160">
                  <c:v>70</c:v>
                </c:pt>
                <c:pt idx="161">
                  <c:v>48</c:v>
                </c:pt>
                <c:pt idx="162">
                  <c:v>36</c:v>
                </c:pt>
                <c:pt idx="163">
                  <c:v>41</c:v>
                </c:pt>
                <c:pt idx="164">
                  <c:v>42</c:v>
                </c:pt>
                <c:pt idx="165">
                  <c:v>39</c:v>
                </c:pt>
                <c:pt idx="166">
                  <c:v>49</c:v>
                </c:pt>
                <c:pt idx="167">
                  <c:v>48</c:v>
                </c:pt>
                <c:pt idx="168">
                  <c:v>44</c:v>
                </c:pt>
                <c:pt idx="169">
                  <c:v>76</c:v>
                </c:pt>
                <c:pt idx="170">
                  <c:v>41</c:v>
                </c:pt>
                <c:pt idx="171">
                  <c:v>66</c:v>
                </c:pt>
                <c:pt idx="172">
                  <c:v>63</c:v>
                </c:pt>
                <c:pt idx="173">
                  <c:v>40</c:v>
                </c:pt>
                <c:pt idx="174">
                  <c:v>42</c:v>
                </c:pt>
                <c:pt idx="175">
                  <c:v>34</c:v>
                </c:pt>
                <c:pt idx="176">
                  <c:v>81</c:v>
                </c:pt>
                <c:pt idx="177">
                  <c:v>34</c:v>
                </c:pt>
                <c:pt idx="178">
                  <c:v>38</c:v>
                </c:pt>
                <c:pt idx="179">
                  <c:v>50</c:v>
                </c:pt>
                <c:pt idx="180">
                  <c:v>52</c:v>
                </c:pt>
                <c:pt idx="181">
                  <c:v>41</c:v>
                </c:pt>
                <c:pt idx="182">
                  <c:v>33</c:v>
                </c:pt>
                <c:pt idx="183">
                  <c:v>50</c:v>
                </c:pt>
                <c:pt idx="184">
                  <c:v>37</c:v>
                </c:pt>
                <c:pt idx="185">
                  <c:v>46</c:v>
                </c:pt>
                <c:pt idx="186">
                  <c:v>28</c:v>
                </c:pt>
                <c:pt idx="187">
                  <c:v>26</c:v>
                </c:pt>
                <c:pt idx="188">
                  <c:v>42</c:v>
                </c:pt>
                <c:pt idx="189">
                  <c:v>69</c:v>
                </c:pt>
                <c:pt idx="190">
                  <c:v>36</c:v>
                </c:pt>
                <c:pt idx="191">
                  <c:v>56</c:v>
                </c:pt>
                <c:pt idx="192">
                  <c:v>68</c:v>
                </c:pt>
                <c:pt idx="193">
                  <c:v>71</c:v>
                </c:pt>
                <c:pt idx="194">
                  <c:v>51</c:v>
                </c:pt>
                <c:pt idx="195">
                  <c:v>37</c:v>
                </c:pt>
                <c:pt idx="196">
                  <c:v>41</c:v>
                </c:pt>
                <c:pt idx="197">
                  <c:v>71</c:v>
                </c:pt>
                <c:pt idx="198">
                  <c:v>50</c:v>
                </c:pt>
                <c:pt idx="199">
                  <c:v>62</c:v>
                </c:pt>
                <c:pt idx="200">
                  <c:v>41</c:v>
                </c:pt>
                <c:pt idx="201">
                  <c:v>75</c:v>
                </c:pt>
                <c:pt idx="202">
                  <c:v>84</c:v>
                </c:pt>
                <c:pt idx="203">
                  <c:v>58</c:v>
                </c:pt>
                <c:pt idx="204">
                  <c:v>43</c:v>
                </c:pt>
                <c:pt idx="205">
                  <c:v>53</c:v>
                </c:pt>
                <c:pt idx="206">
                  <c:v>32</c:v>
                </c:pt>
                <c:pt idx="207">
                  <c:v>51</c:v>
                </c:pt>
                <c:pt idx="208">
                  <c:v>156</c:v>
                </c:pt>
                <c:pt idx="209">
                  <c:v>47</c:v>
                </c:pt>
                <c:pt idx="210">
                  <c:v>50</c:v>
                </c:pt>
                <c:pt idx="211">
                  <c:v>40</c:v>
                </c:pt>
                <c:pt idx="212">
                  <c:v>74</c:v>
                </c:pt>
                <c:pt idx="213">
                  <c:v>141</c:v>
                </c:pt>
                <c:pt idx="214">
                  <c:v>53</c:v>
                </c:pt>
                <c:pt idx="215">
                  <c:v>44</c:v>
                </c:pt>
                <c:pt idx="216">
                  <c:v>57</c:v>
                </c:pt>
                <c:pt idx="217">
                  <c:v>48</c:v>
                </c:pt>
                <c:pt idx="218">
                  <c:v>50</c:v>
                </c:pt>
                <c:pt idx="219">
                  <c:v>50</c:v>
                </c:pt>
                <c:pt idx="220">
                  <c:v>78</c:v>
                </c:pt>
                <c:pt idx="221">
                  <c:v>61</c:v>
                </c:pt>
                <c:pt idx="222">
                  <c:v>40</c:v>
                </c:pt>
                <c:pt idx="223">
                  <c:v>58</c:v>
                </c:pt>
                <c:pt idx="224">
                  <c:v>40</c:v>
                </c:pt>
                <c:pt idx="225">
                  <c:v>43</c:v>
                </c:pt>
                <c:pt idx="226">
                  <c:v>40</c:v>
                </c:pt>
                <c:pt idx="227">
                  <c:v>71</c:v>
                </c:pt>
                <c:pt idx="228">
                  <c:v>39</c:v>
                </c:pt>
                <c:pt idx="229">
                  <c:v>100</c:v>
                </c:pt>
                <c:pt idx="230">
                  <c:v>47</c:v>
                </c:pt>
                <c:pt idx="231">
                  <c:v>34</c:v>
                </c:pt>
                <c:pt idx="232">
                  <c:v>62</c:v>
                </c:pt>
                <c:pt idx="233">
                  <c:v>47</c:v>
                </c:pt>
                <c:pt idx="234">
                  <c:v>45</c:v>
                </c:pt>
                <c:pt idx="235">
                  <c:v>42</c:v>
                </c:pt>
                <c:pt idx="236">
                  <c:v>72</c:v>
                </c:pt>
                <c:pt idx="237">
                  <c:v>71</c:v>
                </c:pt>
                <c:pt idx="238">
                  <c:v>73</c:v>
                </c:pt>
                <c:pt idx="239">
                  <c:v>33</c:v>
                </c:pt>
                <c:pt idx="240">
                  <c:v>38</c:v>
                </c:pt>
                <c:pt idx="241">
                  <c:v>40</c:v>
                </c:pt>
                <c:pt idx="242">
                  <c:v>64</c:v>
                </c:pt>
                <c:pt idx="243">
                  <c:v>39</c:v>
                </c:pt>
                <c:pt idx="244">
                  <c:v>42</c:v>
                </c:pt>
                <c:pt idx="245">
                  <c:v>59</c:v>
                </c:pt>
                <c:pt idx="246">
                  <c:v>42</c:v>
                </c:pt>
                <c:pt idx="247">
                  <c:v>51</c:v>
                </c:pt>
                <c:pt idx="248">
                  <c:v>58</c:v>
                </c:pt>
                <c:pt idx="249">
                  <c:v>51</c:v>
                </c:pt>
                <c:pt idx="250">
                  <c:v>22</c:v>
                </c:pt>
                <c:pt idx="251">
                  <c:v>55</c:v>
                </c:pt>
                <c:pt idx="252">
                  <c:v>41</c:v>
                </c:pt>
                <c:pt idx="253">
                  <c:v>63</c:v>
                </c:pt>
                <c:pt idx="254">
                  <c:v>48</c:v>
                </c:pt>
                <c:pt idx="255">
                  <c:v>74</c:v>
                </c:pt>
                <c:pt idx="256">
                  <c:v>43</c:v>
                </c:pt>
                <c:pt idx="257">
                  <c:v>42</c:v>
                </c:pt>
                <c:pt idx="258">
                  <c:v>55</c:v>
                </c:pt>
                <c:pt idx="259">
                  <c:v>54</c:v>
                </c:pt>
                <c:pt idx="260">
                  <c:v>47</c:v>
                </c:pt>
                <c:pt idx="261">
                  <c:v>67</c:v>
                </c:pt>
                <c:pt idx="262">
                  <c:v>54</c:v>
                </c:pt>
                <c:pt idx="263">
                  <c:v>58</c:v>
                </c:pt>
                <c:pt idx="264">
                  <c:v>37</c:v>
                </c:pt>
                <c:pt idx="265">
                  <c:v>43</c:v>
                </c:pt>
                <c:pt idx="266">
                  <c:v>38</c:v>
                </c:pt>
                <c:pt idx="267">
                  <c:v>41</c:v>
                </c:pt>
                <c:pt idx="268">
                  <c:v>42</c:v>
                </c:pt>
                <c:pt idx="269">
                  <c:v>45</c:v>
                </c:pt>
                <c:pt idx="270">
                  <c:v>40</c:v>
                </c:pt>
                <c:pt idx="271">
                  <c:v>49</c:v>
                </c:pt>
                <c:pt idx="272">
                  <c:v>45</c:v>
                </c:pt>
                <c:pt idx="273">
                  <c:v>31</c:v>
                </c:pt>
                <c:pt idx="274">
                  <c:v>45</c:v>
                </c:pt>
                <c:pt idx="275">
                  <c:v>42</c:v>
                </c:pt>
                <c:pt idx="276">
                  <c:v>41</c:v>
                </c:pt>
                <c:pt idx="277">
                  <c:v>41</c:v>
                </c:pt>
                <c:pt idx="278">
                  <c:v>43</c:v>
                </c:pt>
                <c:pt idx="279">
                  <c:v>65</c:v>
                </c:pt>
                <c:pt idx="280">
                  <c:v>39</c:v>
                </c:pt>
                <c:pt idx="281">
                  <c:v>48</c:v>
                </c:pt>
                <c:pt idx="282">
                  <c:v>60</c:v>
                </c:pt>
                <c:pt idx="283">
                  <c:v>68</c:v>
                </c:pt>
                <c:pt idx="284">
                  <c:v>58</c:v>
                </c:pt>
                <c:pt idx="285">
                  <c:v>64</c:v>
                </c:pt>
                <c:pt idx="286">
                  <c:v>44</c:v>
                </c:pt>
                <c:pt idx="287">
                  <c:v>39</c:v>
                </c:pt>
                <c:pt idx="288">
                  <c:v>53</c:v>
                </c:pt>
                <c:pt idx="289">
                  <c:v>42</c:v>
                </c:pt>
                <c:pt idx="290">
                  <c:v>43</c:v>
                </c:pt>
                <c:pt idx="291">
                  <c:v>62</c:v>
                </c:pt>
                <c:pt idx="292">
                  <c:v>44</c:v>
                </c:pt>
                <c:pt idx="293">
                  <c:v>43</c:v>
                </c:pt>
                <c:pt idx="294">
                  <c:v>51</c:v>
                </c:pt>
                <c:pt idx="295">
                  <c:v>48</c:v>
                </c:pt>
                <c:pt idx="296">
                  <c:v>77</c:v>
                </c:pt>
                <c:pt idx="297">
                  <c:v>30</c:v>
                </c:pt>
                <c:pt idx="298">
                  <c:v>41</c:v>
                </c:pt>
                <c:pt idx="299">
                  <c:v>45</c:v>
                </c:pt>
                <c:pt idx="300">
                  <c:v>55</c:v>
                </c:pt>
                <c:pt idx="301">
                  <c:v>45</c:v>
                </c:pt>
                <c:pt idx="302">
                  <c:v>39</c:v>
                </c:pt>
                <c:pt idx="303">
                  <c:v>62</c:v>
                </c:pt>
                <c:pt idx="304">
                  <c:v>43</c:v>
                </c:pt>
                <c:pt idx="305">
                  <c:v>53</c:v>
                </c:pt>
                <c:pt idx="306">
                  <c:v>33</c:v>
                </c:pt>
                <c:pt idx="307">
                  <c:v>41</c:v>
                </c:pt>
                <c:pt idx="308">
                  <c:v>49</c:v>
                </c:pt>
                <c:pt idx="309">
                  <c:v>48</c:v>
                </c:pt>
                <c:pt idx="310">
                  <c:v>41</c:v>
                </c:pt>
                <c:pt idx="311">
                  <c:v>46</c:v>
                </c:pt>
                <c:pt idx="312">
                  <c:v>38</c:v>
                </c:pt>
                <c:pt idx="313">
                  <c:v>41</c:v>
                </c:pt>
                <c:pt idx="314">
                  <c:v>45</c:v>
                </c:pt>
                <c:pt idx="315">
                  <c:v>43</c:v>
                </c:pt>
                <c:pt idx="316">
                  <c:v>87</c:v>
                </c:pt>
                <c:pt idx="317">
                  <c:v>88</c:v>
                </c:pt>
                <c:pt idx="318">
                  <c:v>85</c:v>
                </c:pt>
              </c:numCache>
            </c:numRef>
          </c:xVal>
          <c:yVal>
            <c:numRef>
              <c:f>Graficos!$AU$1137:$AU$1455</c:f>
              <c:numCache>
                <c:formatCode>General</c:formatCode>
                <c:ptCount val="319"/>
                <c:pt idx="0">
                  <c:v>10.99</c:v>
                </c:pt>
                <c:pt idx="1">
                  <c:v>10.37</c:v>
                </c:pt>
                <c:pt idx="2">
                  <c:v>9.14</c:v>
                </c:pt>
                <c:pt idx="3">
                  <c:v>9.23</c:v>
                </c:pt>
                <c:pt idx="4">
                  <c:v>10</c:v>
                </c:pt>
                <c:pt idx="5">
                  <c:v>9.09</c:v>
                </c:pt>
                <c:pt idx="6">
                  <c:v>9.0299999999999994</c:v>
                </c:pt>
                <c:pt idx="7">
                  <c:v>8.65</c:v>
                </c:pt>
                <c:pt idx="8">
                  <c:v>9.3699999999999992</c:v>
                </c:pt>
                <c:pt idx="9">
                  <c:v>8.66</c:v>
                </c:pt>
                <c:pt idx="10">
                  <c:v>8.34</c:v>
                </c:pt>
                <c:pt idx="11">
                  <c:v>9.4600000000000009</c:v>
                </c:pt>
                <c:pt idx="12">
                  <c:v>8.8699999999999992</c:v>
                </c:pt>
                <c:pt idx="13">
                  <c:v>9.44</c:v>
                </c:pt>
                <c:pt idx="14">
                  <c:v>9.9600000000000009</c:v>
                </c:pt>
                <c:pt idx="15">
                  <c:v>10.07</c:v>
                </c:pt>
                <c:pt idx="16">
                  <c:v>8.56</c:v>
                </c:pt>
                <c:pt idx="17">
                  <c:v>9.34</c:v>
                </c:pt>
                <c:pt idx="18">
                  <c:v>8.25</c:v>
                </c:pt>
                <c:pt idx="19">
                  <c:v>8.76</c:v>
                </c:pt>
                <c:pt idx="20">
                  <c:v>9.5299999999999994</c:v>
                </c:pt>
                <c:pt idx="21">
                  <c:v>9.09</c:v>
                </c:pt>
                <c:pt idx="22">
                  <c:v>8.1999999999999993</c:v>
                </c:pt>
                <c:pt idx="23">
                  <c:v>9.3699999999999992</c:v>
                </c:pt>
                <c:pt idx="24">
                  <c:v>8.2200000000000006</c:v>
                </c:pt>
                <c:pt idx="25">
                  <c:v>8.17</c:v>
                </c:pt>
                <c:pt idx="26">
                  <c:v>8.39</c:v>
                </c:pt>
                <c:pt idx="27">
                  <c:v>7.98</c:v>
                </c:pt>
                <c:pt idx="28">
                  <c:v>9.14</c:v>
                </c:pt>
                <c:pt idx="29">
                  <c:v>8.7100000000000009</c:v>
                </c:pt>
                <c:pt idx="30">
                  <c:v>7.16</c:v>
                </c:pt>
                <c:pt idx="31">
                  <c:v>7.64</c:v>
                </c:pt>
                <c:pt idx="32">
                  <c:v>9.14</c:v>
                </c:pt>
                <c:pt idx="33">
                  <c:v>8.81</c:v>
                </c:pt>
                <c:pt idx="34">
                  <c:v>8.06</c:v>
                </c:pt>
                <c:pt idx="35">
                  <c:v>7.66</c:v>
                </c:pt>
                <c:pt idx="36">
                  <c:v>9.23</c:v>
                </c:pt>
                <c:pt idx="37">
                  <c:v>8.73</c:v>
                </c:pt>
                <c:pt idx="38">
                  <c:v>8.43</c:v>
                </c:pt>
                <c:pt idx="39">
                  <c:v>8.75</c:v>
                </c:pt>
                <c:pt idx="40">
                  <c:v>9.99</c:v>
                </c:pt>
                <c:pt idx="41">
                  <c:v>8.16</c:v>
                </c:pt>
                <c:pt idx="42">
                  <c:v>8.7899999999999991</c:v>
                </c:pt>
                <c:pt idx="43">
                  <c:v>8.6199999999999992</c:v>
                </c:pt>
                <c:pt idx="44">
                  <c:v>8.11</c:v>
                </c:pt>
                <c:pt idx="45">
                  <c:v>8.7899999999999991</c:v>
                </c:pt>
                <c:pt idx="46">
                  <c:v>7.7</c:v>
                </c:pt>
                <c:pt idx="47">
                  <c:v>9.0399999999999991</c:v>
                </c:pt>
                <c:pt idx="48">
                  <c:v>6.99</c:v>
                </c:pt>
                <c:pt idx="49">
                  <c:v>10.050000000000001</c:v>
                </c:pt>
                <c:pt idx="50">
                  <c:v>9.2100000000000009</c:v>
                </c:pt>
                <c:pt idx="51">
                  <c:v>7.95</c:v>
                </c:pt>
                <c:pt idx="52">
                  <c:v>8.75</c:v>
                </c:pt>
                <c:pt idx="53">
                  <c:v>8.58</c:v>
                </c:pt>
                <c:pt idx="54">
                  <c:v>8.93</c:v>
                </c:pt>
                <c:pt idx="55">
                  <c:v>9.5500000000000007</c:v>
                </c:pt>
                <c:pt idx="56">
                  <c:v>8.57</c:v>
                </c:pt>
                <c:pt idx="57">
                  <c:v>8.48</c:v>
                </c:pt>
                <c:pt idx="58">
                  <c:v>8.7899999999999991</c:v>
                </c:pt>
                <c:pt idx="59">
                  <c:v>8.76</c:v>
                </c:pt>
                <c:pt idx="60">
                  <c:v>8.56</c:v>
                </c:pt>
                <c:pt idx="61">
                  <c:v>8.85</c:v>
                </c:pt>
                <c:pt idx="62">
                  <c:v>9.1</c:v>
                </c:pt>
                <c:pt idx="63">
                  <c:v>8.6</c:v>
                </c:pt>
                <c:pt idx="64">
                  <c:v>7.74</c:v>
                </c:pt>
                <c:pt idx="65">
                  <c:v>8.56</c:v>
                </c:pt>
                <c:pt idx="66">
                  <c:v>9.24</c:v>
                </c:pt>
                <c:pt idx="67">
                  <c:v>8.93</c:v>
                </c:pt>
                <c:pt idx="68">
                  <c:v>7.4</c:v>
                </c:pt>
                <c:pt idx="69">
                  <c:v>9.36</c:v>
                </c:pt>
                <c:pt idx="70">
                  <c:v>8.4700000000000006</c:v>
                </c:pt>
                <c:pt idx="71">
                  <c:v>10.39</c:v>
                </c:pt>
                <c:pt idx="72">
                  <c:v>10.85</c:v>
                </c:pt>
                <c:pt idx="73">
                  <c:v>9.08</c:v>
                </c:pt>
                <c:pt idx="74">
                  <c:v>8.27</c:v>
                </c:pt>
                <c:pt idx="75">
                  <c:v>7.61</c:v>
                </c:pt>
                <c:pt idx="76">
                  <c:v>8.86</c:v>
                </c:pt>
                <c:pt idx="77">
                  <c:v>8.4499999999999993</c:v>
                </c:pt>
                <c:pt idx="78">
                  <c:v>8.6300000000000008</c:v>
                </c:pt>
                <c:pt idx="79">
                  <c:v>9.42</c:v>
                </c:pt>
                <c:pt idx="80">
                  <c:v>8.3800000000000008</c:v>
                </c:pt>
                <c:pt idx="81">
                  <c:v>8.84</c:v>
                </c:pt>
                <c:pt idx="82">
                  <c:v>8</c:v>
                </c:pt>
                <c:pt idx="83">
                  <c:v>8.9600000000000009</c:v>
                </c:pt>
                <c:pt idx="84">
                  <c:v>8.65</c:v>
                </c:pt>
                <c:pt idx="85">
                  <c:v>8.65</c:v>
                </c:pt>
                <c:pt idx="86">
                  <c:v>8.7100000000000009</c:v>
                </c:pt>
                <c:pt idx="87">
                  <c:v>8.83</c:v>
                </c:pt>
                <c:pt idx="88">
                  <c:v>7.95</c:v>
                </c:pt>
                <c:pt idx="89">
                  <c:v>8.77</c:v>
                </c:pt>
                <c:pt idx="90">
                  <c:v>8.89</c:v>
                </c:pt>
                <c:pt idx="91">
                  <c:v>8.7200000000000006</c:v>
                </c:pt>
                <c:pt idx="92">
                  <c:v>8.68</c:v>
                </c:pt>
                <c:pt idx="93">
                  <c:v>8.76</c:v>
                </c:pt>
                <c:pt idx="94">
                  <c:v>8.8800000000000008</c:v>
                </c:pt>
                <c:pt idx="95">
                  <c:v>8.84</c:v>
                </c:pt>
                <c:pt idx="96">
                  <c:v>8.6999999999999993</c:v>
                </c:pt>
                <c:pt idx="97">
                  <c:v>7.79</c:v>
                </c:pt>
                <c:pt idx="98">
                  <c:v>8.34</c:v>
                </c:pt>
                <c:pt idx="99">
                  <c:v>9.06</c:v>
                </c:pt>
                <c:pt idx="100">
                  <c:v>8.6300000000000008</c:v>
                </c:pt>
                <c:pt idx="101">
                  <c:v>8.9499999999999993</c:v>
                </c:pt>
                <c:pt idx="102">
                  <c:v>8.65</c:v>
                </c:pt>
                <c:pt idx="103">
                  <c:v>8.5</c:v>
                </c:pt>
                <c:pt idx="104">
                  <c:v>8.3699999999999992</c:v>
                </c:pt>
                <c:pt idx="105">
                  <c:v>8.7799999999999994</c:v>
                </c:pt>
                <c:pt idx="106">
                  <c:v>8.93</c:v>
                </c:pt>
                <c:pt idx="107">
                  <c:v>8.25</c:v>
                </c:pt>
                <c:pt idx="108">
                  <c:v>8.6999999999999993</c:v>
                </c:pt>
                <c:pt idx="109">
                  <c:v>8.6300000000000008</c:v>
                </c:pt>
                <c:pt idx="110">
                  <c:v>8.8800000000000008</c:v>
                </c:pt>
                <c:pt idx="111">
                  <c:v>8.1300000000000008</c:v>
                </c:pt>
                <c:pt idx="112">
                  <c:v>8.4499999999999993</c:v>
                </c:pt>
                <c:pt idx="113">
                  <c:v>8.83</c:v>
                </c:pt>
                <c:pt idx="114">
                  <c:v>3.37</c:v>
                </c:pt>
                <c:pt idx="115">
                  <c:v>8.9700000000000006</c:v>
                </c:pt>
                <c:pt idx="116">
                  <c:v>8.16</c:v>
                </c:pt>
                <c:pt idx="117">
                  <c:v>8.27</c:v>
                </c:pt>
                <c:pt idx="118">
                  <c:v>8.9600000000000009</c:v>
                </c:pt>
                <c:pt idx="119">
                  <c:v>8.52</c:v>
                </c:pt>
                <c:pt idx="120">
                  <c:v>8.06</c:v>
                </c:pt>
                <c:pt idx="121">
                  <c:v>7.2</c:v>
                </c:pt>
                <c:pt idx="122">
                  <c:v>8.4600000000000009</c:v>
                </c:pt>
                <c:pt idx="123">
                  <c:v>8.3800000000000008</c:v>
                </c:pt>
                <c:pt idx="124">
                  <c:v>9.43</c:v>
                </c:pt>
                <c:pt idx="125">
                  <c:v>8.61</c:v>
                </c:pt>
                <c:pt idx="126">
                  <c:v>8.33</c:v>
                </c:pt>
                <c:pt idx="127">
                  <c:v>8.5399999999999991</c:v>
                </c:pt>
                <c:pt idx="128">
                  <c:v>8.83</c:v>
                </c:pt>
                <c:pt idx="129">
                  <c:v>8.64</c:v>
                </c:pt>
                <c:pt idx="130">
                  <c:v>8.6300000000000008</c:v>
                </c:pt>
                <c:pt idx="131">
                  <c:v>8.5</c:v>
                </c:pt>
                <c:pt idx="132">
                  <c:v>8.41</c:v>
                </c:pt>
                <c:pt idx="133">
                  <c:v>8.49</c:v>
                </c:pt>
                <c:pt idx="134">
                  <c:v>8.61</c:v>
                </c:pt>
                <c:pt idx="135">
                  <c:v>7.94</c:v>
                </c:pt>
                <c:pt idx="136">
                  <c:v>8.5500000000000007</c:v>
                </c:pt>
                <c:pt idx="137">
                  <c:v>8.83</c:v>
                </c:pt>
                <c:pt idx="138">
                  <c:v>8.57</c:v>
                </c:pt>
                <c:pt idx="139">
                  <c:v>9.02</c:v>
                </c:pt>
                <c:pt idx="140">
                  <c:v>9</c:v>
                </c:pt>
                <c:pt idx="141">
                  <c:v>8.1300000000000008</c:v>
                </c:pt>
                <c:pt idx="142">
                  <c:v>8.5500000000000007</c:v>
                </c:pt>
                <c:pt idx="143">
                  <c:v>8.74</c:v>
                </c:pt>
                <c:pt idx="144">
                  <c:v>8.5299999999999994</c:v>
                </c:pt>
                <c:pt idx="145">
                  <c:v>8.5299999999999994</c:v>
                </c:pt>
                <c:pt idx="146">
                  <c:v>10.44</c:v>
                </c:pt>
                <c:pt idx="147">
                  <c:v>8.0299999999999994</c:v>
                </c:pt>
                <c:pt idx="148">
                  <c:v>7.04</c:v>
                </c:pt>
                <c:pt idx="149">
                  <c:v>8.86</c:v>
                </c:pt>
                <c:pt idx="150">
                  <c:v>8.7799999999999994</c:v>
                </c:pt>
                <c:pt idx="151">
                  <c:v>8.9700000000000006</c:v>
                </c:pt>
                <c:pt idx="152">
                  <c:v>8.8800000000000008</c:v>
                </c:pt>
                <c:pt idx="153">
                  <c:v>8.77</c:v>
                </c:pt>
                <c:pt idx="154">
                  <c:v>8.67</c:v>
                </c:pt>
                <c:pt idx="155">
                  <c:v>2.39</c:v>
                </c:pt>
                <c:pt idx="156">
                  <c:v>8.23</c:v>
                </c:pt>
                <c:pt idx="157">
                  <c:v>8.82</c:v>
                </c:pt>
                <c:pt idx="158">
                  <c:v>8.84</c:v>
                </c:pt>
                <c:pt idx="159">
                  <c:v>8.5399999999999991</c:v>
                </c:pt>
                <c:pt idx="160">
                  <c:v>8.81</c:v>
                </c:pt>
                <c:pt idx="161">
                  <c:v>8.67</c:v>
                </c:pt>
                <c:pt idx="162">
                  <c:v>8.4700000000000006</c:v>
                </c:pt>
                <c:pt idx="163">
                  <c:v>8.16</c:v>
                </c:pt>
                <c:pt idx="164">
                  <c:v>9.02</c:v>
                </c:pt>
                <c:pt idx="165">
                  <c:v>8.94</c:v>
                </c:pt>
                <c:pt idx="166">
                  <c:v>8.4700000000000006</c:v>
                </c:pt>
                <c:pt idx="167">
                  <c:v>8.5399999999999991</c:v>
                </c:pt>
                <c:pt idx="168">
                  <c:v>9</c:v>
                </c:pt>
                <c:pt idx="169">
                  <c:v>8.6199999999999992</c:v>
                </c:pt>
                <c:pt idx="170">
                  <c:v>8.81</c:v>
                </c:pt>
                <c:pt idx="171">
                  <c:v>8.84</c:v>
                </c:pt>
                <c:pt idx="172">
                  <c:v>9.0399999999999991</c:v>
                </c:pt>
                <c:pt idx="173">
                  <c:v>8.3699999999999992</c:v>
                </c:pt>
                <c:pt idx="174">
                  <c:v>8.56</c:v>
                </c:pt>
                <c:pt idx="175">
                  <c:v>8.39</c:v>
                </c:pt>
                <c:pt idx="176">
                  <c:v>8.9700000000000006</c:v>
                </c:pt>
                <c:pt idx="177">
                  <c:v>8.18</c:v>
                </c:pt>
                <c:pt idx="178">
                  <c:v>8.39</c:v>
                </c:pt>
                <c:pt idx="179">
                  <c:v>8.24</c:v>
                </c:pt>
                <c:pt idx="180">
                  <c:v>8.92</c:v>
                </c:pt>
                <c:pt idx="181">
                  <c:v>8.6</c:v>
                </c:pt>
                <c:pt idx="182">
                  <c:v>8.5</c:v>
                </c:pt>
                <c:pt idx="183">
                  <c:v>8.7200000000000006</c:v>
                </c:pt>
                <c:pt idx="184">
                  <c:v>8.8699999999999992</c:v>
                </c:pt>
                <c:pt idx="185">
                  <c:v>8.3000000000000007</c:v>
                </c:pt>
                <c:pt idx="186">
                  <c:v>8.34</c:v>
                </c:pt>
                <c:pt idx="187">
                  <c:v>7.84</c:v>
                </c:pt>
                <c:pt idx="188">
                  <c:v>8.5299999999999994</c:v>
                </c:pt>
                <c:pt idx="189">
                  <c:v>8.65</c:v>
                </c:pt>
                <c:pt idx="190">
                  <c:v>8.5299999999999994</c:v>
                </c:pt>
                <c:pt idx="191">
                  <c:v>8.61</c:v>
                </c:pt>
                <c:pt idx="192">
                  <c:v>7.89</c:v>
                </c:pt>
                <c:pt idx="193">
                  <c:v>9.23</c:v>
                </c:pt>
                <c:pt idx="194">
                  <c:v>8.77</c:v>
                </c:pt>
                <c:pt idx="195">
                  <c:v>8.51</c:v>
                </c:pt>
                <c:pt idx="196">
                  <c:v>8.67</c:v>
                </c:pt>
                <c:pt idx="197">
                  <c:v>7.94</c:v>
                </c:pt>
                <c:pt idx="198">
                  <c:v>8.59</c:v>
                </c:pt>
                <c:pt idx="199">
                  <c:v>4.62</c:v>
                </c:pt>
                <c:pt idx="200">
                  <c:v>8.48</c:v>
                </c:pt>
                <c:pt idx="201">
                  <c:v>8.68</c:v>
                </c:pt>
                <c:pt idx="202">
                  <c:v>8.5299999999999994</c:v>
                </c:pt>
                <c:pt idx="203">
                  <c:v>8.83</c:v>
                </c:pt>
                <c:pt idx="204">
                  <c:v>8.3000000000000007</c:v>
                </c:pt>
                <c:pt idx="205">
                  <c:v>8.2100000000000009</c:v>
                </c:pt>
                <c:pt idx="206">
                  <c:v>8.6999999999999993</c:v>
                </c:pt>
                <c:pt idx="207">
                  <c:v>8.2799999999999994</c:v>
                </c:pt>
                <c:pt idx="208">
                  <c:v>8.66</c:v>
                </c:pt>
                <c:pt idx="209">
                  <c:v>8.56</c:v>
                </c:pt>
                <c:pt idx="210">
                  <c:v>7.66</c:v>
                </c:pt>
                <c:pt idx="211">
                  <c:v>8.92</c:v>
                </c:pt>
                <c:pt idx="212">
                  <c:v>8.9600000000000009</c:v>
                </c:pt>
                <c:pt idx="213">
                  <c:v>8.52</c:v>
                </c:pt>
                <c:pt idx="214">
                  <c:v>8.83</c:v>
                </c:pt>
                <c:pt idx="215">
                  <c:v>8.24</c:v>
                </c:pt>
                <c:pt idx="216">
                  <c:v>7.66</c:v>
                </c:pt>
                <c:pt idx="217">
                  <c:v>8.34</c:v>
                </c:pt>
                <c:pt idx="218">
                  <c:v>8.69</c:v>
                </c:pt>
                <c:pt idx="219">
                  <c:v>8.6300000000000008</c:v>
                </c:pt>
                <c:pt idx="220">
                  <c:v>7.96</c:v>
                </c:pt>
                <c:pt idx="221">
                  <c:v>8.43</c:v>
                </c:pt>
                <c:pt idx="222">
                  <c:v>8.67</c:v>
                </c:pt>
                <c:pt idx="223">
                  <c:v>8.27</c:v>
                </c:pt>
                <c:pt idx="224">
                  <c:v>8.9499999999999993</c:v>
                </c:pt>
                <c:pt idx="225">
                  <c:v>8.7799999999999994</c:v>
                </c:pt>
                <c:pt idx="226">
                  <c:v>8.36</c:v>
                </c:pt>
                <c:pt idx="227">
                  <c:v>8.01</c:v>
                </c:pt>
                <c:pt idx="228">
                  <c:v>8.57</c:v>
                </c:pt>
                <c:pt idx="229">
                  <c:v>8.7100000000000009</c:v>
                </c:pt>
                <c:pt idx="230">
                  <c:v>8.1300000000000008</c:v>
                </c:pt>
                <c:pt idx="231">
                  <c:v>8.5299999999999994</c:v>
                </c:pt>
                <c:pt idx="232">
                  <c:v>8.7100000000000009</c:v>
                </c:pt>
                <c:pt idx="233">
                  <c:v>8.4</c:v>
                </c:pt>
                <c:pt idx="234">
                  <c:v>8.4499999999999993</c:v>
                </c:pt>
                <c:pt idx="235">
                  <c:v>8.85</c:v>
                </c:pt>
                <c:pt idx="236">
                  <c:v>8.43</c:v>
                </c:pt>
                <c:pt idx="237">
                  <c:v>8.7200000000000006</c:v>
                </c:pt>
                <c:pt idx="238">
                  <c:v>8.56</c:v>
                </c:pt>
                <c:pt idx="239">
                  <c:v>7.69</c:v>
                </c:pt>
                <c:pt idx="240">
                  <c:v>8.7899999999999991</c:v>
                </c:pt>
                <c:pt idx="241">
                  <c:v>9.1</c:v>
                </c:pt>
                <c:pt idx="242">
                  <c:v>8.5500000000000007</c:v>
                </c:pt>
                <c:pt idx="243">
                  <c:v>8.07</c:v>
                </c:pt>
                <c:pt idx="244">
                  <c:v>8.92</c:v>
                </c:pt>
                <c:pt idx="245">
                  <c:v>8.84</c:v>
                </c:pt>
                <c:pt idx="246">
                  <c:v>8.6999999999999993</c:v>
                </c:pt>
                <c:pt idx="247">
                  <c:v>8.51</c:v>
                </c:pt>
                <c:pt idx="248">
                  <c:v>8.35</c:v>
                </c:pt>
                <c:pt idx="249">
                  <c:v>7.87</c:v>
                </c:pt>
                <c:pt idx="250">
                  <c:v>0.76</c:v>
                </c:pt>
                <c:pt idx="251">
                  <c:v>8.48</c:v>
                </c:pt>
                <c:pt idx="252">
                  <c:v>8.6999999999999993</c:v>
                </c:pt>
                <c:pt idx="253">
                  <c:v>8.6</c:v>
                </c:pt>
                <c:pt idx="254">
                  <c:v>8.41</c:v>
                </c:pt>
                <c:pt idx="255">
                  <c:v>8.74</c:v>
                </c:pt>
                <c:pt idx="256">
                  <c:v>8.66</c:v>
                </c:pt>
                <c:pt idx="257">
                  <c:v>8.2200000000000006</c:v>
                </c:pt>
                <c:pt idx="258">
                  <c:v>8.32</c:v>
                </c:pt>
                <c:pt idx="259">
                  <c:v>8.92</c:v>
                </c:pt>
                <c:pt idx="260">
                  <c:v>8.8699999999999992</c:v>
                </c:pt>
                <c:pt idx="261">
                  <c:v>8.7200000000000006</c:v>
                </c:pt>
                <c:pt idx="262">
                  <c:v>7.94</c:v>
                </c:pt>
                <c:pt idx="263">
                  <c:v>8.91</c:v>
                </c:pt>
                <c:pt idx="264">
                  <c:v>7.84</c:v>
                </c:pt>
                <c:pt idx="265">
                  <c:v>8.73</c:v>
                </c:pt>
                <c:pt idx="266">
                  <c:v>8.68</c:v>
                </c:pt>
                <c:pt idx="267">
                  <c:v>8</c:v>
                </c:pt>
                <c:pt idx="268">
                  <c:v>5.9</c:v>
                </c:pt>
                <c:pt idx="269">
                  <c:v>9.77</c:v>
                </c:pt>
                <c:pt idx="270">
                  <c:v>8.06</c:v>
                </c:pt>
                <c:pt idx="271">
                  <c:v>8.83</c:v>
                </c:pt>
                <c:pt idx="272">
                  <c:v>8.5299999999999994</c:v>
                </c:pt>
                <c:pt idx="273">
                  <c:v>8.5</c:v>
                </c:pt>
                <c:pt idx="274">
                  <c:v>8.59</c:v>
                </c:pt>
                <c:pt idx="275">
                  <c:v>8.83</c:v>
                </c:pt>
                <c:pt idx="276">
                  <c:v>8.19</c:v>
                </c:pt>
                <c:pt idx="277">
                  <c:v>8.7100000000000009</c:v>
                </c:pt>
                <c:pt idx="278">
                  <c:v>9.0299999999999994</c:v>
                </c:pt>
                <c:pt idx="279">
                  <c:v>8.2200000000000006</c:v>
                </c:pt>
                <c:pt idx="280">
                  <c:v>8.7899999999999991</c:v>
                </c:pt>
                <c:pt idx="281">
                  <c:v>8.69</c:v>
                </c:pt>
                <c:pt idx="282">
                  <c:v>8.52</c:v>
                </c:pt>
                <c:pt idx="283">
                  <c:v>7.94</c:v>
                </c:pt>
                <c:pt idx="284">
                  <c:v>8.7100000000000009</c:v>
                </c:pt>
                <c:pt idx="285">
                  <c:v>8.31</c:v>
                </c:pt>
                <c:pt idx="286">
                  <c:v>9.01</c:v>
                </c:pt>
                <c:pt idx="287">
                  <c:v>8.69</c:v>
                </c:pt>
                <c:pt idx="288">
                  <c:v>8.18</c:v>
                </c:pt>
                <c:pt idx="289">
                  <c:v>8.9700000000000006</c:v>
                </c:pt>
                <c:pt idx="290">
                  <c:v>6.98</c:v>
                </c:pt>
                <c:pt idx="291">
                  <c:v>8.5</c:v>
                </c:pt>
                <c:pt idx="292">
                  <c:v>8.1</c:v>
                </c:pt>
                <c:pt idx="293">
                  <c:v>8.9700000000000006</c:v>
                </c:pt>
                <c:pt idx="294">
                  <c:v>8.56</c:v>
                </c:pt>
                <c:pt idx="295">
                  <c:v>8.51</c:v>
                </c:pt>
                <c:pt idx="296">
                  <c:v>8.69</c:v>
                </c:pt>
                <c:pt idx="297">
                  <c:v>8.64</c:v>
                </c:pt>
                <c:pt idx="298">
                  <c:v>9.0299999999999994</c:v>
                </c:pt>
                <c:pt idx="299">
                  <c:v>9.33</c:v>
                </c:pt>
                <c:pt idx="300">
                  <c:v>8.31</c:v>
                </c:pt>
                <c:pt idx="301">
                  <c:v>8.8800000000000008</c:v>
                </c:pt>
                <c:pt idx="302">
                  <c:v>8.48</c:v>
                </c:pt>
                <c:pt idx="303">
                  <c:v>8.34</c:v>
                </c:pt>
                <c:pt idx="304">
                  <c:v>3.65</c:v>
                </c:pt>
                <c:pt idx="305">
                  <c:v>9.09</c:v>
                </c:pt>
                <c:pt idx="306">
                  <c:v>6.97</c:v>
                </c:pt>
                <c:pt idx="307">
                  <c:v>8.0500000000000007</c:v>
                </c:pt>
                <c:pt idx="308">
                  <c:v>8.2100000000000009</c:v>
                </c:pt>
                <c:pt idx="309">
                  <c:v>8.08</c:v>
                </c:pt>
                <c:pt idx="310">
                  <c:v>8.3699999999999992</c:v>
                </c:pt>
                <c:pt idx="311">
                  <c:v>8.92</c:v>
                </c:pt>
                <c:pt idx="312">
                  <c:v>8.61</c:v>
                </c:pt>
                <c:pt idx="313">
                  <c:v>8.4700000000000006</c:v>
                </c:pt>
                <c:pt idx="314">
                  <c:v>8</c:v>
                </c:pt>
                <c:pt idx="315">
                  <c:v>8.9499999999999993</c:v>
                </c:pt>
                <c:pt idx="316">
                  <c:v>7.96</c:v>
                </c:pt>
                <c:pt idx="317">
                  <c:v>7.8</c:v>
                </c:pt>
                <c:pt idx="318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E-7A41-BC2F-9E5661E95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53120"/>
        <c:axId val="466654912"/>
      </c:scatterChart>
      <c:valAx>
        <c:axId val="466653120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654912"/>
        <c:crosses val="autoZero"/>
        <c:crossBetween val="midCat"/>
      </c:valAx>
      <c:valAx>
        <c:axId val="466654912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65312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Nº de canciones vs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Graficos!$AU$1458</c:f>
              <c:strCache>
                <c:ptCount val="1"/>
                <c:pt idx="0">
                  <c:v>3rd EYE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Graficos!$AT$1459:$AT$1777</c:f>
              <c:numCache>
                <c:formatCode>General</c:formatCode>
                <c:ptCount val="319"/>
                <c:pt idx="0">
                  <c:v>12</c:v>
                </c:pt>
                <c:pt idx="1">
                  <c:v>10</c:v>
                </c:pt>
                <c:pt idx="2">
                  <c:v>13</c:v>
                </c:pt>
                <c:pt idx="3">
                  <c:v>10</c:v>
                </c:pt>
                <c:pt idx="4">
                  <c:v>10</c:v>
                </c:pt>
                <c:pt idx="5">
                  <c:v>14</c:v>
                </c:pt>
                <c:pt idx="6">
                  <c:v>9</c:v>
                </c:pt>
                <c:pt idx="7">
                  <c:v>12</c:v>
                </c:pt>
                <c:pt idx="8">
                  <c:v>8</c:v>
                </c:pt>
                <c:pt idx="9">
                  <c:v>11</c:v>
                </c:pt>
                <c:pt idx="10">
                  <c:v>13</c:v>
                </c:pt>
                <c:pt idx="11">
                  <c:v>5</c:v>
                </c:pt>
                <c:pt idx="12">
                  <c:v>9</c:v>
                </c:pt>
                <c:pt idx="13">
                  <c:v>7</c:v>
                </c:pt>
                <c:pt idx="14">
                  <c:v>15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10</c:v>
                </c:pt>
                <c:pt idx="25">
                  <c:v>9</c:v>
                </c:pt>
                <c:pt idx="26">
                  <c:v>13</c:v>
                </c:pt>
                <c:pt idx="27">
                  <c:v>9</c:v>
                </c:pt>
                <c:pt idx="28">
                  <c:v>10</c:v>
                </c:pt>
                <c:pt idx="29">
                  <c:v>12</c:v>
                </c:pt>
                <c:pt idx="30">
                  <c:v>7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19</c:v>
                </c:pt>
                <c:pt idx="35">
                  <c:v>12</c:v>
                </c:pt>
                <c:pt idx="36">
                  <c:v>6</c:v>
                </c:pt>
                <c:pt idx="37">
                  <c:v>8</c:v>
                </c:pt>
                <c:pt idx="38">
                  <c:v>17</c:v>
                </c:pt>
                <c:pt idx="39">
                  <c:v>11</c:v>
                </c:pt>
                <c:pt idx="40">
                  <c:v>11</c:v>
                </c:pt>
                <c:pt idx="41">
                  <c:v>14</c:v>
                </c:pt>
                <c:pt idx="42">
                  <c:v>9</c:v>
                </c:pt>
                <c:pt idx="43">
                  <c:v>13</c:v>
                </c:pt>
                <c:pt idx="44">
                  <c:v>11</c:v>
                </c:pt>
                <c:pt idx="45">
                  <c:v>13</c:v>
                </c:pt>
                <c:pt idx="46">
                  <c:v>18</c:v>
                </c:pt>
                <c:pt idx="47">
                  <c:v>9</c:v>
                </c:pt>
                <c:pt idx="48">
                  <c:v>10</c:v>
                </c:pt>
                <c:pt idx="49">
                  <c:v>4</c:v>
                </c:pt>
                <c:pt idx="50">
                  <c:v>8</c:v>
                </c:pt>
                <c:pt idx="51">
                  <c:v>16</c:v>
                </c:pt>
                <c:pt idx="52">
                  <c:v>16</c:v>
                </c:pt>
                <c:pt idx="53">
                  <c:v>9</c:v>
                </c:pt>
                <c:pt idx="54">
                  <c:v>11</c:v>
                </c:pt>
                <c:pt idx="55">
                  <c:v>5</c:v>
                </c:pt>
                <c:pt idx="56">
                  <c:v>6</c:v>
                </c:pt>
                <c:pt idx="57">
                  <c:v>15</c:v>
                </c:pt>
                <c:pt idx="58">
                  <c:v>13</c:v>
                </c:pt>
                <c:pt idx="59">
                  <c:v>14</c:v>
                </c:pt>
                <c:pt idx="60">
                  <c:v>14</c:v>
                </c:pt>
                <c:pt idx="61">
                  <c:v>7</c:v>
                </c:pt>
                <c:pt idx="62">
                  <c:v>9</c:v>
                </c:pt>
                <c:pt idx="63">
                  <c:v>19</c:v>
                </c:pt>
                <c:pt idx="64">
                  <c:v>8</c:v>
                </c:pt>
                <c:pt idx="65">
                  <c:v>10</c:v>
                </c:pt>
                <c:pt idx="66">
                  <c:v>8</c:v>
                </c:pt>
                <c:pt idx="67">
                  <c:v>11</c:v>
                </c:pt>
                <c:pt idx="68">
                  <c:v>12</c:v>
                </c:pt>
                <c:pt idx="69">
                  <c:v>5</c:v>
                </c:pt>
                <c:pt idx="70">
                  <c:v>12</c:v>
                </c:pt>
                <c:pt idx="71">
                  <c:v>5</c:v>
                </c:pt>
                <c:pt idx="72">
                  <c:v>1</c:v>
                </c:pt>
                <c:pt idx="73">
                  <c:v>9</c:v>
                </c:pt>
                <c:pt idx="74">
                  <c:v>13</c:v>
                </c:pt>
                <c:pt idx="75">
                  <c:v>8</c:v>
                </c:pt>
                <c:pt idx="76">
                  <c:v>9</c:v>
                </c:pt>
                <c:pt idx="77">
                  <c:v>15</c:v>
                </c:pt>
                <c:pt idx="78">
                  <c:v>7</c:v>
                </c:pt>
                <c:pt idx="79">
                  <c:v>10</c:v>
                </c:pt>
                <c:pt idx="80">
                  <c:v>11</c:v>
                </c:pt>
                <c:pt idx="81">
                  <c:v>9</c:v>
                </c:pt>
                <c:pt idx="82">
                  <c:v>15</c:v>
                </c:pt>
                <c:pt idx="83">
                  <c:v>11</c:v>
                </c:pt>
                <c:pt idx="84">
                  <c:v>14</c:v>
                </c:pt>
                <c:pt idx="85">
                  <c:v>12</c:v>
                </c:pt>
                <c:pt idx="86">
                  <c:v>16</c:v>
                </c:pt>
                <c:pt idx="87">
                  <c:v>7</c:v>
                </c:pt>
                <c:pt idx="88">
                  <c:v>10</c:v>
                </c:pt>
                <c:pt idx="89">
                  <c:v>6</c:v>
                </c:pt>
                <c:pt idx="90">
                  <c:v>15</c:v>
                </c:pt>
                <c:pt idx="91">
                  <c:v>9</c:v>
                </c:pt>
                <c:pt idx="92">
                  <c:v>15</c:v>
                </c:pt>
                <c:pt idx="93">
                  <c:v>13</c:v>
                </c:pt>
                <c:pt idx="94">
                  <c:v>7</c:v>
                </c:pt>
                <c:pt idx="95">
                  <c:v>12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5</c:v>
                </c:pt>
                <c:pt idx="100">
                  <c:v>10</c:v>
                </c:pt>
                <c:pt idx="101">
                  <c:v>10</c:v>
                </c:pt>
                <c:pt idx="102">
                  <c:v>9</c:v>
                </c:pt>
                <c:pt idx="103">
                  <c:v>10</c:v>
                </c:pt>
                <c:pt idx="104">
                  <c:v>5</c:v>
                </c:pt>
                <c:pt idx="105">
                  <c:v>10</c:v>
                </c:pt>
                <c:pt idx="106">
                  <c:v>8</c:v>
                </c:pt>
                <c:pt idx="107">
                  <c:v>5</c:v>
                </c:pt>
                <c:pt idx="108">
                  <c:v>8</c:v>
                </c:pt>
                <c:pt idx="109">
                  <c:v>28</c:v>
                </c:pt>
                <c:pt idx="110">
                  <c:v>11</c:v>
                </c:pt>
                <c:pt idx="111">
                  <c:v>8</c:v>
                </c:pt>
                <c:pt idx="112">
                  <c:v>9</c:v>
                </c:pt>
                <c:pt idx="113">
                  <c:v>6</c:v>
                </c:pt>
                <c:pt idx="114">
                  <c:v>11</c:v>
                </c:pt>
                <c:pt idx="115">
                  <c:v>6</c:v>
                </c:pt>
                <c:pt idx="116">
                  <c:v>7</c:v>
                </c:pt>
                <c:pt idx="117">
                  <c:v>9</c:v>
                </c:pt>
                <c:pt idx="118">
                  <c:v>12</c:v>
                </c:pt>
                <c:pt idx="119">
                  <c:v>10</c:v>
                </c:pt>
                <c:pt idx="120">
                  <c:v>11</c:v>
                </c:pt>
                <c:pt idx="121">
                  <c:v>18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6</c:v>
                </c:pt>
                <c:pt idx="126">
                  <c:v>19</c:v>
                </c:pt>
                <c:pt idx="127">
                  <c:v>10</c:v>
                </c:pt>
                <c:pt idx="128">
                  <c:v>8</c:v>
                </c:pt>
                <c:pt idx="129">
                  <c:v>8</c:v>
                </c:pt>
                <c:pt idx="130">
                  <c:v>15</c:v>
                </c:pt>
                <c:pt idx="131">
                  <c:v>12</c:v>
                </c:pt>
                <c:pt idx="132">
                  <c:v>14</c:v>
                </c:pt>
                <c:pt idx="133">
                  <c:v>15</c:v>
                </c:pt>
                <c:pt idx="134">
                  <c:v>10</c:v>
                </c:pt>
                <c:pt idx="135">
                  <c:v>10</c:v>
                </c:pt>
                <c:pt idx="136">
                  <c:v>7</c:v>
                </c:pt>
                <c:pt idx="137">
                  <c:v>17</c:v>
                </c:pt>
                <c:pt idx="138">
                  <c:v>10</c:v>
                </c:pt>
                <c:pt idx="139">
                  <c:v>7</c:v>
                </c:pt>
                <c:pt idx="140">
                  <c:v>13</c:v>
                </c:pt>
                <c:pt idx="141">
                  <c:v>5</c:v>
                </c:pt>
                <c:pt idx="142">
                  <c:v>9</c:v>
                </c:pt>
                <c:pt idx="143">
                  <c:v>11</c:v>
                </c:pt>
                <c:pt idx="144">
                  <c:v>8</c:v>
                </c:pt>
                <c:pt idx="145">
                  <c:v>9</c:v>
                </c:pt>
                <c:pt idx="146">
                  <c:v>3</c:v>
                </c:pt>
                <c:pt idx="147">
                  <c:v>11</c:v>
                </c:pt>
                <c:pt idx="148">
                  <c:v>12</c:v>
                </c:pt>
                <c:pt idx="149">
                  <c:v>13</c:v>
                </c:pt>
                <c:pt idx="150">
                  <c:v>10</c:v>
                </c:pt>
                <c:pt idx="151">
                  <c:v>6</c:v>
                </c:pt>
                <c:pt idx="152">
                  <c:v>11</c:v>
                </c:pt>
                <c:pt idx="153">
                  <c:v>6</c:v>
                </c:pt>
                <c:pt idx="154">
                  <c:v>12</c:v>
                </c:pt>
                <c:pt idx="155">
                  <c:v>10</c:v>
                </c:pt>
                <c:pt idx="156">
                  <c:v>17</c:v>
                </c:pt>
                <c:pt idx="157">
                  <c:v>7</c:v>
                </c:pt>
                <c:pt idx="158">
                  <c:v>3</c:v>
                </c:pt>
                <c:pt idx="159">
                  <c:v>8</c:v>
                </c:pt>
                <c:pt idx="160">
                  <c:v>4</c:v>
                </c:pt>
                <c:pt idx="161">
                  <c:v>11</c:v>
                </c:pt>
                <c:pt idx="162">
                  <c:v>11</c:v>
                </c:pt>
                <c:pt idx="163">
                  <c:v>8</c:v>
                </c:pt>
                <c:pt idx="164">
                  <c:v>9</c:v>
                </c:pt>
                <c:pt idx="165">
                  <c:v>11</c:v>
                </c:pt>
                <c:pt idx="166">
                  <c:v>11</c:v>
                </c:pt>
                <c:pt idx="167">
                  <c:v>12</c:v>
                </c:pt>
                <c:pt idx="168">
                  <c:v>15</c:v>
                </c:pt>
                <c:pt idx="169">
                  <c:v>21</c:v>
                </c:pt>
                <c:pt idx="170">
                  <c:v>5</c:v>
                </c:pt>
                <c:pt idx="171">
                  <c:v>23</c:v>
                </c:pt>
                <c:pt idx="172">
                  <c:v>18</c:v>
                </c:pt>
                <c:pt idx="173">
                  <c:v>7</c:v>
                </c:pt>
                <c:pt idx="174">
                  <c:v>14</c:v>
                </c:pt>
                <c:pt idx="175">
                  <c:v>14</c:v>
                </c:pt>
                <c:pt idx="176">
                  <c:v>26</c:v>
                </c:pt>
                <c:pt idx="177">
                  <c:v>12</c:v>
                </c:pt>
                <c:pt idx="178">
                  <c:v>10</c:v>
                </c:pt>
                <c:pt idx="179">
                  <c:v>12</c:v>
                </c:pt>
                <c:pt idx="180">
                  <c:v>12</c:v>
                </c:pt>
                <c:pt idx="181">
                  <c:v>10</c:v>
                </c:pt>
                <c:pt idx="182">
                  <c:v>6</c:v>
                </c:pt>
                <c:pt idx="183">
                  <c:v>14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6</c:v>
                </c:pt>
                <c:pt idx="188">
                  <c:v>13</c:v>
                </c:pt>
                <c:pt idx="189">
                  <c:v>18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7</c:v>
                </c:pt>
                <c:pt idx="194">
                  <c:v>11</c:v>
                </c:pt>
                <c:pt idx="195">
                  <c:v>12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17</c:v>
                </c:pt>
                <c:pt idx="200">
                  <c:v>9</c:v>
                </c:pt>
                <c:pt idx="201">
                  <c:v>12</c:v>
                </c:pt>
                <c:pt idx="202">
                  <c:v>15</c:v>
                </c:pt>
                <c:pt idx="203">
                  <c:v>12</c:v>
                </c:pt>
                <c:pt idx="204">
                  <c:v>8</c:v>
                </c:pt>
                <c:pt idx="205">
                  <c:v>10</c:v>
                </c:pt>
                <c:pt idx="206">
                  <c:v>10</c:v>
                </c:pt>
                <c:pt idx="207">
                  <c:v>16</c:v>
                </c:pt>
                <c:pt idx="208">
                  <c:v>24</c:v>
                </c:pt>
                <c:pt idx="209">
                  <c:v>11</c:v>
                </c:pt>
                <c:pt idx="210">
                  <c:v>15</c:v>
                </c:pt>
                <c:pt idx="211">
                  <c:v>4</c:v>
                </c:pt>
                <c:pt idx="212">
                  <c:v>5</c:v>
                </c:pt>
                <c:pt idx="213">
                  <c:v>26</c:v>
                </c:pt>
                <c:pt idx="214">
                  <c:v>8</c:v>
                </c:pt>
                <c:pt idx="215">
                  <c:v>12</c:v>
                </c:pt>
                <c:pt idx="216">
                  <c:v>10</c:v>
                </c:pt>
                <c:pt idx="217">
                  <c:v>12</c:v>
                </c:pt>
                <c:pt idx="218">
                  <c:v>13</c:v>
                </c:pt>
                <c:pt idx="219">
                  <c:v>9</c:v>
                </c:pt>
                <c:pt idx="220">
                  <c:v>14</c:v>
                </c:pt>
                <c:pt idx="221">
                  <c:v>10</c:v>
                </c:pt>
                <c:pt idx="222">
                  <c:v>7</c:v>
                </c:pt>
                <c:pt idx="223">
                  <c:v>10</c:v>
                </c:pt>
                <c:pt idx="224">
                  <c:v>10</c:v>
                </c:pt>
                <c:pt idx="225">
                  <c:v>6</c:v>
                </c:pt>
                <c:pt idx="226">
                  <c:v>9</c:v>
                </c:pt>
                <c:pt idx="227">
                  <c:v>10</c:v>
                </c:pt>
                <c:pt idx="228">
                  <c:v>9</c:v>
                </c:pt>
                <c:pt idx="229">
                  <c:v>30</c:v>
                </c:pt>
                <c:pt idx="230">
                  <c:v>11</c:v>
                </c:pt>
                <c:pt idx="231">
                  <c:v>11</c:v>
                </c:pt>
                <c:pt idx="232">
                  <c:v>15</c:v>
                </c:pt>
                <c:pt idx="233">
                  <c:v>8</c:v>
                </c:pt>
                <c:pt idx="234">
                  <c:v>10</c:v>
                </c:pt>
                <c:pt idx="235">
                  <c:v>9</c:v>
                </c:pt>
                <c:pt idx="236">
                  <c:v>11</c:v>
                </c:pt>
                <c:pt idx="237">
                  <c:v>2</c:v>
                </c:pt>
                <c:pt idx="238">
                  <c:v>13</c:v>
                </c:pt>
                <c:pt idx="239">
                  <c:v>10</c:v>
                </c:pt>
                <c:pt idx="240">
                  <c:v>15</c:v>
                </c:pt>
                <c:pt idx="241">
                  <c:v>8</c:v>
                </c:pt>
                <c:pt idx="242">
                  <c:v>12</c:v>
                </c:pt>
                <c:pt idx="243">
                  <c:v>9</c:v>
                </c:pt>
                <c:pt idx="244">
                  <c:v>12</c:v>
                </c:pt>
                <c:pt idx="245">
                  <c:v>7</c:v>
                </c:pt>
                <c:pt idx="246">
                  <c:v>6</c:v>
                </c:pt>
                <c:pt idx="247">
                  <c:v>11</c:v>
                </c:pt>
                <c:pt idx="248">
                  <c:v>14</c:v>
                </c:pt>
                <c:pt idx="249">
                  <c:v>13</c:v>
                </c:pt>
                <c:pt idx="250">
                  <c:v>8</c:v>
                </c:pt>
                <c:pt idx="251">
                  <c:v>9</c:v>
                </c:pt>
                <c:pt idx="252">
                  <c:v>13</c:v>
                </c:pt>
                <c:pt idx="253">
                  <c:v>9</c:v>
                </c:pt>
                <c:pt idx="254">
                  <c:v>13</c:v>
                </c:pt>
                <c:pt idx="255">
                  <c:v>10</c:v>
                </c:pt>
                <c:pt idx="256">
                  <c:v>2</c:v>
                </c:pt>
                <c:pt idx="257">
                  <c:v>9</c:v>
                </c:pt>
                <c:pt idx="258">
                  <c:v>12</c:v>
                </c:pt>
                <c:pt idx="259">
                  <c:v>14</c:v>
                </c:pt>
                <c:pt idx="260">
                  <c:v>12</c:v>
                </c:pt>
                <c:pt idx="261">
                  <c:v>10</c:v>
                </c:pt>
                <c:pt idx="262">
                  <c:v>9</c:v>
                </c:pt>
                <c:pt idx="263">
                  <c:v>8</c:v>
                </c:pt>
                <c:pt idx="264">
                  <c:v>8</c:v>
                </c:pt>
                <c:pt idx="265">
                  <c:v>14</c:v>
                </c:pt>
                <c:pt idx="266">
                  <c:v>11</c:v>
                </c:pt>
                <c:pt idx="267">
                  <c:v>9</c:v>
                </c:pt>
                <c:pt idx="268">
                  <c:v>9</c:v>
                </c:pt>
                <c:pt idx="269">
                  <c:v>6</c:v>
                </c:pt>
                <c:pt idx="270">
                  <c:v>3</c:v>
                </c:pt>
                <c:pt idx="271">
                  <c:v>14</c:v>
                </c:pt>
                <c:pt idx="272">
                  <c:v>8</c:v>
                </c:pt>
                <c:pt idx="273">
                  <c:v>11</c:v>
                </c:pt>
                <c:pt idx="274">
                  <c:v>11</c:v>
                </c:pt>
                <c:pt idx="275">
                  <c:v>6</c:v>
                </c:pt>
                <c:pt idx="276">
                  <c:v>10</c:v>
                </c:pt>
                <c:pt idx="277">
                  <c:v>11</c:v>
                </c:pt>
                <c:pt idx="278">
                  <c:v>6</c:v>
                </c:pt>
                <c:pt idx="279">
                  <c:v>10</c:v>
                </c:pt>
                <c:pt idx="280">
                  <c:v>11</c:v>
                </c:pt>
                <c:pt idx="281">
                  <c:v>10</c:v>
                </c:pt>
                <c:pt idx="282">
                  <c:v>10</c:v>
                </c:pt>
                <c:pt idx="283">
                  <c:v>17</c:v>
                </c:pt>
                <c:pt idx="284">
                  <c:v>3</c:v>
                </c:pt>
                <c:pt idx="285">
                  <c:v>6</c:v>
                </c:pt>
                <c:pt idx="286">
                  <c:v>12</c:v>
                </c:pt>
                <c:pt idx="287">
                  <c:v>8</c:v>
                </c:pt>
                <c:pt idx="288">
                  <c:v>12</c:v>
                </c:pt>
                <c:pt idx="289">
                  <c:v>5</c:v>
                </c:pt>
                <c:pt idx="290">
                  <c:v>12</c:v>
                </c:pt>
                <c:pt idx="291">
                  <c:v>8</c:v>
                </c:pt>
                <c:pt idx="292">
                  <c:v>11</c:v>
                </c:pt>
                <c:pt idx="293">
                  <c:v>6</c:v>
                </c:pt>
                <c:pt idx="294">
                  <c:v>13</c:v>
                </c:pt>
                <c:pt idx="295">
                  <c:v>7</c:v>
                </c:pt>
                <c:pt idx="296">
                  <c:v>16</c:v>
                </c:pt>
                <c:pt idx="297">
                  <c:v>10</c:v>
                </c:pt>
                <c:pt idx="298">
                  <c:v>4</c:v>
                </c:pt>
                <c:pt idx="299">
                  <c:v>8</c:v>
                </c:pt>
                <c:pt idx="300">
                  <c:v>14</c:v>
                </c:pt>
                <c:pt idx="301">
                  <c:v>11</c:v>
                </c:pt>
                <c:pt idx="302">
                  <c:v>9</c:v>
                </c:pt>
                <c:pt idx="303">
                  <c:v>17</c:v>
                </c:pt>
                <c:pt idx="304">
                  <c:v>12</c:v>
                </c:pt>
                <c:pt idx="305">
                  <c:v>17</c:v>
                </c:pt>
                <c:pt idx="306">
                  <c:v>28</c:v>
                </c:pt>
                <c:pt idx="307">
                  <c:v>12</c:v>
                </c:pt>
                <c:pt idx="308">
                  <c:v>11</c:v>
                </c:pt>
                <c:pt idx="309">
                  <c:v>15</c:v>
                </c:pt>
                <c:pt idx="310">
                  <c:v>10</c:v>
                </c:pt>
                <c:pt idx="311">
                  <c:v>10</c:v>
                </c:pt>
                <c:pt idx="312">
                  <c:v>9</c:v>
                </c:pt>
                <c:pt idx="313">
                  <c:v>10</c:v>
                </c:pt>
                <c:pt idx="314">
                  <c:v>16</c:v>
                </c:pt>
                <c:pt idx="315">
                  <c:v>9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</c:numCache>
            </c:numRef>
          </c:xVal>
          <c:yVal>
            <c:numRef>
              <c:f>Graficos!$AU$1459:$AU$1777</c:f>
              <c:numCache>
                <c:formatCode>General</c:formatCode>
                <c:ptCount val="319"/>
                <c:pt idx="0">
                  <c:v>10.99</c:v>
                </c:pt>
                <c:pt idx="1">
                  <c:v>10.37</c:v>
                </c:pt>
                <c:pt idx="2">
                  <c:v>9.14</c:v>
                </c:pt>
                <c:pt idx="3">
                  <c:v>9.23</c:v>
                </c:pt>
                <c:pt idx="4">
                  <c:v>10</c:v>
                </c:pt>
                <c:pt idx="5">
                  <c:v>9.09</c:v>
                </c:pt>
                <c:pt idx="6">
                  <c:v>9.0299999999999994</c:v>
                </c:pt>
                <c:pt idx="7">
                  <c:v>8.65</c:v>
                </c:pt>
                <c:pt idx="8">
                  <c:v>9.3699999999999992</c:v>
                </c:pt>
                <c:pt idx="9">
                  <c:v>8.66</c:v>
                </c:pt>
                <c:pt idx="10">
                  <c:v>8.34</c:v>
                </c:pt>
                <c:pt idx="11">
                  <c:v>9.4600000000000009</c:v>
                </c:pt>
                <c:pt idx="12">
                  <c:v>8.8699999999999992</c:v>
                </c:pt>
                <c:pt idx="13">
                  <c:v>9.44</c:v>
                </c:pt>
                <c:pt idx="14">
                  <c:v>9.9600000000000009</c:v>
                </c:pt>
                <c:pt idx="15">
                  <c:v>10.07</c:v>
                </c:pt>
                <c:pt idx="16">
                  <c:v>8.56</c:v>
                </c:pt>
                <c:pt idx="17">
                  <c:v>9.34</c:v>
                </c:pt>
                <c:pt idx="18">
                  <c:v>8.25</c:v>
                </c:pt>
                <c:pt idx="19">
                  <c:v>8.76</c:v>
                </c:pt>
                <c:pt idx="20">
                  <c:v>9.5299999999999994</c:v>
                </c:pt>
                <c:pt idx="21">
                  <c:v>9.09</c:v>
                </c:pt>
                <c:pt idx="22">
                  <c:v>8.1999999999999993</c:v>
                </c:pt>
                <c:pt idx="23">
                  <c:v>9.3699999999999992</c:v>
                </c:pt>
                <c:pt idx="24">
                  <c:v>8.2200000000000006</c:v>
                </c:pt>
                <c:pt idx="25">
                  <c:v>8.17</c:v>
                </c:pt>
                <c:pt idx="26">
                  <c:v>8.39</c:v>
                </c:pt>
                <c:pt idx="27">
                  <c:v>7.98</c:v>
                </c:pt>
                <c:pt idx="28">
                  <c:v>9.14</c:v>
                </c:pt>
                <c:pt idx="29">
                  <c:v>8.7100000000000009</c:v>
                </c:pt>
                <c:pt idx="30">
                  <c:v>7.16</c:v>
                </c:pt>
                <c:pt idx="31">
                  <c:v>7.64</c:v>
                </c:pt>
                <c:pt idx="32">
                  <c:v>9.14</c:v>
                </c:pt>
                <c:pt idx="33">
                  <c:v>8.81</c:v>
                </c:pt>
                <c:pt idx="34">
                  <c:v>8.06</c:v>
                </c:pt>
                <c:pt idx="35">
                  <c:v>7.66</c:v>
                </c:pt>
                <c:pt idx="36">
                  <c:v>9.23</c:v>
                </c:pt>
                <c:pt idx="37">
                  <c:v>8.73</c:v>
                </c:pt>
                <c:pt idx="38">
                  <c:v>8.43</c:v>
                </c:pt>
                <c:pt idx="39">
                  <c:v>8.75</c:v>
                </c:pt>
                <c:pt idx="40">
                  <c:v>9.99</c:v>
                </c:pt>
                <c:pt idx="41">
                  <c:v>8.16</c:v>
                </c:pt>
                <c:pt idx="42">
                  <c:v>8.7899999999999991</c:v>
                </c:pt>
                <c:pt idx="43">
                  <c:v>8.6199999999999992</c:v>
                </c:pt>
                <c:pt idx="44">
                  <c:v>8.11</c:v>
                </c:pt>
                <c:pt idx="45">
                  <c:v>8.7899999999999991</c:v>
                </c:pt>
                <c:pt idx="46">
                  <c:v>7.7</c:v>
                </c:pt>
                <c:pt idx="47">
                  <c:v>9.0399999999999991</c:v>
                </c:pt>
                <c:pt idx="48">
                  <c:v>6.99</c:v>
                </c:pt>
                <c:pt idx="49">
                  <c:v>10.050000000000001</c:v>
                </c:pt>
                <c:pt idx="50">
                  <c:v>9.2100000000000009</c:v>
                </c:pt>
                <c:pt idx="51">
                  <c:v>7.95</c:v>
                </c:pt>
                <c:pt idx="52">
                  <c:v>8.75</c:v>
                </c:pt>
                <c:pt idx="53">
                  <c:v>8.58</c:v>
                </c:pt>
                <c:pt idx="54">
                  <c:v>8.93</c:v>
                </c:pt>
                <c:pt idx="55">
                  <c:v>9.5500000000000007</c:v>
                </c:pt>
                <c:pt idx="56">
                  <c:v>8.57</c:v>
                </c:pt>
                <c:pt idx="57">
                  <c:v>8.48</c:v>
                </c:pt>
                <c:pt idx="58">
                  <c:v>8.7899999999999991</c:v>
                </c:pt>
                <c:pt idx="59">
                  <c:v>8.76</c:v>
                </c:pt>
                <c:pt idx="60">
                  <c:v>8.56</c:v>
                </c:pt>
                <c:pt idx="61">
                  <c:v>8.85</c:v>
                </c:pt>
                <c:pt idx="62">
                  <c:v>9.1</c:v>
                </c:pt>
                <c:pt idx="63">
                  <c:v>8.6</c:v>
                </c:pt>
                <c:pt idx="64">
                  <c:v>7.74</c:v>
                </c:pt>
                <c:pt idx="65">
                  <c:v>8.56</c:v>
                </c:pt>
                <c:pt idx="66">
                  <c:v>9.24</c:v>
                </c:pt>
                <c:pt idx="67">
                  <c:v>8.93</c:v>
                </c:pt>
                <c:pt idx="68">
                  <c:v>7.4</c:v>
                </c:pt>
                <c:pt idx="69">
                  <c:v>9.36</c:v>
                </c:pt>
                <c:pt idx="70">
                  <c:v>8.4700000000000006</c:v>
                </c:pt>
                <c:pt idx="71">
                  <c:v>10.39</c:v>
                </c:pt>
                <c:pt idx="72">
                  <c:v>10.85</c:v>
                </c:pt>
                <c:pt idx="73">
                  <c:v>9.08</c:v>
                </c:pt>
                <c:pt idx="74">
                  <c:v>8.27</c:v>
                </c:pt>
                <c:pt idx="75">
                  <c:v>7.61</c:v>
                </c:pt>
                <c:pt idx="76">
                  <c:v>8.86</c:v>
                </c:pt>
                <c:pt idx="77">
                  <c:v>8.4499999999999993</c:v>
                </c:pt>
                <c:pt idx="78">
                  <c:v>8.6300000000000008</c:v>
                </c:pt>
                <c:pt idx="79">
                  <c:v>9.42</c:v>
                </c:pt>
                <c:pt idx="80">
                  <c:v>8.3800000000000008</c:v>
                </c:pt>
                <c:pt idx="81">
                  <c:v>8.84</c:v>
                </c:pt>
                <c:pt idx="82">
                  <c:v>8</c:v>
                </c:pt>
                <c:pt idx="83">
                  <c:v>8.9600000000000009</c:v>
                </c:pt>
                <c:pt idx="84">
                  <c:v>8.65</c:v>
                </c:pt>
                <c:pt idx="85">
                  <c:v>8.65</c:v>
                </c:pt>
                <c:pt idx="86">
                  <c:v>8.7100000000000009</c:v>
                </c:pt>
                <c:pt idx="87">
                  <c:v>8.83</c:v>
                </c:pt>
                <c:pt idx="88">
                  <c:v>7.95</c:v>
                </c:pt>
                <c:pt idx="89">
                  <c:v>8.77</c:v>
                </c:pt>
                <c:pt idx="90">
                  <c:v>8.89</c:v>
                </c:pt>
                <c:pt idx="91">
                  <c:v>8.7200000000000006</c:v>
                </c:pt>
                <c:pt idx="92">
                  <c:v>8.68</c:v>
                </c:pt>
                <c:pt idx="93">
                  <c:v>8.76</c:v>
                </c:pt>
                <c:pt idx="94">
                  <c:v>8.8800000000000008</c:v>
                </c:pt>
                <c:pt idx="95">
                  <c:v>8.84</c:v>
                </c:pt>
                <c:pt idx="96">
                  <c:v>8.6999999999999993</c:v>
                </c:pt>
                <c:pt idx="97">
                  <c:v>7.79</c:v>
                </c:pt>
                <c:pt idx="98">
                  <c:v>8.34</c:v>
                </c:pt>
                <c:pt idx="99">
                  <c:v>9.06</c:v>
                </c:pt>
                <c:pt idx="100">
                  <c:v>8.6300000000000008</c:v>
                </c:pt>
                <c:pt idx="101">
                  <c:v>8.9499999999999993</c:v>
                </c:pt>
                <c:pt idx="102">
                  <c:v>8.65</c:v>
                </c:pt>
                <c:pt idx="103">
                  <c:v>8.5</c:v>
                </c:pt>
                <c:pt idx="104">
                  <c:v>8.3699999999999992</c:v>
                </c:pt>
                <c:pt idx="105">
                  <c:v>8.7799999999999994</c:v>
                </c:pt>
                <c:pt idx="106">
                  <c:v>8.93</c:v>
                </c:pt>
                <c:pt idx="107">
                  <c:v>8.25</c:v>
                </c:pt>
                <c:pt idx="108">
                  <c:v>8.6999999999999993</c:v>
                </c:pt>
                <c:pt idx="109">
                  <c:v>8.6300000000000008</c:v>
                </c:pt>
                <c:pt idx="110">
                  <c:v>8.8800000000000008</c:v>
                </c:pt>
                <c:pt idx="111">
                  <c:v>8.1300000000000008</c:v>
                </c:pt>
                <c:pt idx="112">
                  <c:v>8.4499999999999993</c:v>
                </c:pt>
                <c:pt idx="113">
                  <c:v>8.83</c:v>
                </c:pt>
                <c:pt idx="114">
                  <c:v>3.37</c:v>
                </c:pt>
                <c:pt idx="115">
                  <c:v>8.9700000000000006</c:v>
                </c:pt>
                <c:pt idx="116">
                  <c:v>8.16</c:v>
                </c:pt>
                <c:pt idx="117">
                  <c:v>8.27</c:v>
                </c:pt>
                <c:pt idx="118">
                  <c:v>8.9600000000000009</c:v>
                </c:pt>
                <c:pt idx="119">
                  <c:v>8.52</c:v>
                </c:pt>
                <c:pt idx="120">
                  <c:v>8.06</c:v>
                </c:pt>
                <c:pt idx="121">
                  <c:v>7.2</c:v>
                </c:pt>
                <c:pt idx="122">
                  <c:v>8.4600000000000009</c:v>
                </c:pt>
                <c:pt idx="123">
                  <c:v>8.3800000000000008</c:v>
                </c:pt>
                <c:pt idx="124">
                  <c:v>9.43</c:v>
                </c:pt>
                <c:pt idx="125">
                  <c:v>8.61</c:v>
                </c:pt>
                <c:pt idx="126">
                  <c:v>8.33</c:v>
                </c:pt>
                <c:pt idx="127">
                  <c:v>8.5399999999999991</c:v>
                </c:pt>
                <c:pt idx="128">
                  <c:v>8.83</c:v>
                </c:pt>
                <c:pt idx="129">
                  <c:v>8.64</c:v>
                </c:pt>
                <c:pt idx="130">
                  <c:v>8.6300000000000008</c:v>
                </c:pt>
                <c:pt idx="131">
                  <c:v>8.5</c:v>
                </c:pt>
                <c:pt idx="132">
                  <c:v>8.41</c:v>
                </c:pt>
                <c:pt idx="133">
                  <c:v>8.49</c:v>
                </c:pt>
                <c:pt idx="134">
                  <c:v>8.61</c:v>
                </c:pt>
                <c:pt idx="135">
                  <c:v>7.94</c:v>
                </c:pt>
                <c:pt idx="136">
                  <c:v>8.5500000000000007</c:v>
                </c:pt>
                <c:pt idx="137">
                  <c:v>8.83</c:v>
                </c:pt>
                <c:pt idx="138">
                  <c:v>8.57</c:v>
                </c:pt>
                <c:pt idx="139">
                  <c:v>9.02</c:v>
                </c:pt>
                <c:pt idx="140">
                  <c:v>9</c:v>
                </c:pt>
                <c:pt idx="141">
                  <c:v>8.1300000000000008</c:v>
                </c:pt>
                <c:pt idx="142">
                  <c:v>8.5500000000000007</c:v>
                </c:pt>
                <c:pt idx="143">
                  <c:v>8.74</c:v>
                </c:pt>
                <c:pt idx="144">
                  <c:v>8.5299999999999994</c:v>
                </c:pt>
                <c:pt idx="145">
                  <c:v>8.5299999999999994</c:v>
                </c:pt>
                <c:pt idx="146">
                  <c:v>10.44</c:v>
                </c:pt>
                <c:pt idx="147">
                  <c:v>8.0299999999999994</c:v>
                </c:pt>
                <c:pt idx="148">
                  <c:v>7.04</c:v>
                </c:pt>
                <c:pt idx="149">
                  <c:v>8.86</c:v>
                </c:pt>
                <c:pt idx="150">
                  <c:v>8.7799999999999994</c:v>
                </c:pt>
                <c:pt idx="151">
                  <c:v>8.9700000000000006</c:v>
                </c:pt>
                <c:pt idx="152">
                  <c:v>8.8800000000000008</c:v>
                </c:pt>
                <c:pt idx="153">
                  <c:v>8.77</c:v>
                </c:pt>
                <c:pt idx="154">
                  <c:v>8.67</c:v>
                </c:pt>
                <c:pt idx="155">
                  <c:v>2.39</c:v>
                </c:pt>
                <c:pt idx="156">
                  <c:v>8.23</c:v>
                </c:pt>
                <c:pt idx="157">
                  <c:v>8.82</c:v>
                </c:pt>
                <c:pt idx="158">
                  <c:v>8.84</c:v>
                </c:pt>
                <c:pt idx="159">
                  <c:v>8.5399999999999991</c:v>
                </c:pt>
                <c:pt idx="160">
                  <c:v>8.81</c:v>
                </c:pt>
                <c:pt idx="161">
                  <c:v>8.67</c:v>
                </c:pt>
                <c:pt idx="162">
                  <c:v>8.4700000000000006</c:v>
                </c:pt>
                <c:pt idx="163">
                  <c:v>8.16</c:v>
                </c:pt>
                <c:pt idx="164">
                  <c:v>9.02</c:v>
                </c:pt>
                <c:pt idx="165">
                  <c:v>8.94</c:v>
                </c:pt>
                <c:pt idx="166">
                  <c:v>8.4700000000000006</c:v>
                </c:pt>
                <c:pt idx="167">
                  <c:v>8.5399999999999991</c:v>
                </c:pt>
                <c:pt idx="168">
                  <c:v>9</c:v>
                </c:pt>
                <c:pt idx="169">
                  <c:v>8.6199999999999992</c:v>
                </c:pt>
                <c:pt idx="170">
                  <c:v>8.81</c:v>
                </c:pt>
                <c:pt idx="171">
                  <c:v>8.84</c:v>
                </c:pt>
                <c:pt idx="172">
                  <c:v>9.0399999999999991</c:v>
                </c:pt>
                <c:pt idx="173">
                  <c:v>8.3699999999999992</c:v>
                </c:pt>
                <c:pt idx="174">
                  <c:v>8.56</c:v>
                </c:pt>
                <c:pt idx="175">
                  <c:v>8.39</c:v>
                </c:pt>
                <c:pt idx="176">
                  <c:v>8.9700000000000006</c:v>
                </c:pt>
                <c:pt idx="177">
                  <c:v>8.18</c:v>
                </c:pt>
                <c:pt idx="178">
                  <c:v>8.39</c:v>
                </c:pt>
                <c:pt idx="179">
                  <c:v>8.24</c:v>
                </c:pt>
                <c:pt idx="180">
                  <c:v>8.92</c:v>
                </c:pt>
                <c:pt idx="181">
                  <c:v>8.6</c:v>
                </c:pt>
                <c:pt idx="182">
                  <c:v>8.5</c:v>
                </c:pt>
                <c:pt idx="183">
                  <c:v>8.7200000000000006</c:v>
                </c:pt>
                <c:pt idx="184">
                  <c:v>8.8699999999999992</c:v>
                </c:pt>
                <c:pt idx="185">
                  <c:v>8.3000000000000007</c:v>
                </c:pt>
                <c:pt idx="186">
                  <c:v>8.34</c:v>
                </c:pt>
                <c:pt idx="187">
                  <c:v>7.84</c:v>
                </c:pt>
                <c:pt idx="188">
                  <c:v>8.5299999999999994</c:v>
                </c:pt>
                <c:pt idx="189">
                  <c:v>8.65</c:v>
                </c:pt>
                <c:pt idx="190">
                  <c:v>8.5299999999999994</c:v>
                </c:pt>
                <c:pt idx="191">
                  <c:v>8.61</c:v>
                </c:pt>
                <c:pt idx="192">
                  <c:v>7.89</c:v>
                </c:pt>
                <c:pt idx="193">
                  <c:v>9.23</c:v>
                </c:pt>
                <c:pt idx="194">
                  <c:v>8.77</c:v>
                </c:pt>
                <c:pt idx="195">
                  <c:v>8.51</c:v>
                </c:pt>
                <c:pt idx="196">
                  <c:v>8.67</c:v>
                </c:pt>
                <c:pt idx="197">
                  <c:v>7.94</c:v>
                </c:pt>
                <c:pt idx="198">
                  <c:v>8.59</c:v>
                </c:pt>
                <c:pt idx="199">
                  <c:v>4.62</c:v>
                </c:pt>
                <c:pt idx="200">
                  <c:v>8.48</c:v>
                </c:pt>
                <c:pt idx="201">
                  <c:v>8.68</c:v>
                </c:pt>
                <c:pt idx="202">
                  <c:v>8.5299999999999994</c:v>
                </c:pt>
                <c:pt idx="203">
                  <c:v>8.83</c:v>
                </c:pt>
                <c:pt idx="204">
                  <c:v>8.3000000000000007</c:v>
                </c:pt>
                <c:pt idx="205">
                  <c:v>8.2100000000000009</c:v>
                </c:pt>
                <c:pt idx="206">
                  <c:v>8.6999999999999993</c:v>
                </c:pt>
                <c:pt idx="207">
                  <c:v>8.2799999999999994</c:v>
                </c:pt>
                <c:pt idx="208">
                  <c:v>8.66</c:v>
                </c:pt>
                <c:pt idx="209">
                  <c:v>8.56</c:v>
                </c:pt>
                <c:pt idx="210">
                  <c:v>7.66</c:v>
                </c:pt>
                <c:pt idx="211">
                  <c:v>8.92</c:v>
                </c:pt>
                <c:pt idx="212">
                  <c:v>8.9600000000000009</c:v>
                </c:pt>
                <c:pt idx="213">
                  <c:v>8.52</c:v>
                </c:pt>
                <c:pt idx="214">
                  <c:v>8.83</c:v>
                </c:pt>
                <c:pt idx="215">
                  <c:v>8.24</c:v>
                </c:pt>
                <c:pt idx="216">
                  <c:v>7.66</c:v>
                </c:pt>
                <c:pt idx="217">
                  <c:v>8.34</c:v>
                </c:pt>
                <c:pt idx="218">
                  <c:v>8.69</c:v>
                </c:pt>
                <c:pt idx="219">
                  <c:v>8.6300000000000008</c:v>
                </c:pt>
                <c:pt idx="220">
                  <c:v>7.96</c:v>
                </c:pt>
                <c:pt idx="221">
                  <c:v>8.43</c:v>
                </c:pt>
                <c:pt idx="222">
                  <c:v>8.67</c:v>
                </c:pt>
                <c:pt idx="223">
                  <c:v>8.27</c:v>
                </c:pt>
                <c:pt idx="224">
                  <c:v>8.9499999999999993</c:v>
                </c:pt>
                <c:pt idx="225">
                  <c:v>8.7799999999999994</c:v>
                </c:pt>
                <c:pt idx="226">
                  <c:v>8.36</c:v>
                </c:pt>
                <c:pt idx="227">
                  <c:v>8.01</c:v>
                </c:pt>
                <c:pt idx="228">
                  <c:v>8.57</c:v>
                </c:pt>
                <c:pt idx="229">
                  <c:v>8.7100000000000009</c:v>
                </c:pt>
                <c:pt idx="230">
                  <c:v>8.1300000000000008</c:v>
                </c:pt>
                <c:pt idx="231">
                  <c:v>8.5299999999999994</c:v>
                </c:pt>
                <c:pt idx="232">
                  <c:v>8.7100000000000009</c:v>
                </c:pt>
                <c:pt idx="233">
                  <c:v>8.4</c:v>
                </c:pt>
                <c:pt idx="234">
                  <c:v>8.4499999999999993</c:v>
                </c:pt>
                <c:pt idx="235">
                  <c:v>8.85</c:v>
                </c:pt>
                <c:pt idx="236">
                  <c:v>8.43</c:v>
                </c:pt>
                <c:pt idx="237">
                  <c:v>8.7200000000000006</c:v>
                </c:pt>
                <c:pt idx="238">
                  <c:v>8.56</c:v>
                </c:pt>
                <c:pt idx="239">
                  <c:v>7.69</c:v>
                </c:pt>
                <c:pt idx="240">
                  <c:v>8.7899999999999991</c:v>
                </c:pt>
                <c:pt idx="241">
                  <c:v>9.1</c:v>
                </c:pt>
                <c:pt idx="242">
                  <c:v>8.5500000000000007</c:v>
                </c:pt>
                <c:pt idx="243">
                  <c:v>8.07</c:v>
                </c:pt>
                <c:pt idx="244">
                  <c:v>8.92</c:v>
                </c:pt>
                <c:pt idx="245">
                  <c:v>8.84</c:v>
                </c:pt>
                <c:pt idx="246">
                  <c:v>8.6999999999999993</c:v>
                </c:pt>
                <c:pt idx="247">
                  <c:v>8.51</c:v>
                </c:pt>
                <c:pt idx="248">
                  <c:v>8.35</c:v>
                </c:pt>
                <c:pt idx="249">
                  <c:v>7.87</c:v>
                </c:pt>
                <c:pt idx="250">
                  <c:v>0.76</c:v>
                </c:pt>
                <c:pt idx="251">
                  <c:v>8.48</c:v>
                </c:pt>
                <c:pt idx="252">
                  <c:v>8.6999999999999993</c:v>
                </c:pt>
                <c:pt idx="253">
                  <c:v>8.6</c:v>
                </c:pt>
                <c:pt idx="254">
                  <c:v>8.41</c:v>
                </c:pt>
                <c:pt idx="255">
                  <c:v>8.74</c:v>
                </c:pt>
                <c:pt idx="256">
                  <c:v>8.66</c:v>
                </c:pt>
                <c:pt idx="257">
                  <c:v>8.2200000000000006</c:v>
                </c:pt>
                <c:pt idx="258">
                  <c:v>8.32</c:v>
                </c:pt>
                <c:pt idx="259">
                  <c:v>8.92</c:v>
                </c:pt>
                <c:pt idx="260">
                  <c:v>8.8699999999999992</c:v>
                </c:pt>
                <c:pt idx="261">
                  <c:v>8.7200000000000006</c:v>
                </c:pt>
                <c:pt idx="262">
                  <c:v>7.94</c:v>
                </c:pt>
                <c:pt idx="263">
                  <c:v>8.91</c:v>
                </c:pt>
                <c:pt idx="264">
                  <c:v>7.84</c:v>
                </c:pt>
                <c:pt idx="265">
                  <c:v>8.73</c:v>
                </c:pt>
                <c:pt idx="266">
                  <c:v>8.68</c:v>
                </c:pt>
                <c:pt idx="267">
                  <c:v>8</c:v>
                </c:pt>
                <c:pt idx="268">
                  <c:v>5.9</c:v>
                </c:pt>
                <c:pt idx="269">
                  <c:v>9.77</c:v>
                </c:pt>
                <c:pt idx="270">
                  <c:v>8.06</c:v>
                </c:pt>
                <c:pt idx="271">
                  <c:v>8.83</c:v>
                </c:pt>
                <c:pt idx="272">
                  <c:v>8.5299999999999994</c:v>
                </c:pt>
                <c:pt idx="273">
                  <c:v>8.5</c:v>
                </c:pt>
                <c:pt idx="274">
                  <c:v>8.59</c:v>
                </c:pt>
                <c:pt idx="275">
                  <c:v>8.83</c:v>
                </c:pt>
                <c:pt idx="276">
                  <c:v>8.19</c:v>
                </c:pt>
                <c:pt idx="277">
                  <c:v>8.7100000000000009</c:v>
                </c:pt>
                <c:pt idx="278">
                  <c:v>9.0299999999999994</c:v>
                </c:pt>
                <c:pt idx="279">
                  <c:v>8.2200000000000006</c:v>
                </c:pt>
                <c:pt idx="280">
                  <c:v>8.7899999999999991</c:v>
                </c:pt>
                <c:pt idx="281">
                  <c:v>8.69</c:v>
                </c:pt>
                <c:pt idx="282">
                  <c:v>8.52</c:v>
                </c:pt>
                <c:pt idx="283">
                  <c:v>7.94</c:v>
                </c:pt>
                <c:pt idx="284">
                  <c:v>8.7100000000000009</c:v>
                </c:pt>
                <c:pt idx="285">
                  <c:v>8.31</c:v>
                </c:pt>
                <c:pt idx="286">
                  <c:v>9.01</c:v>
                </c:pt>
                <c:pt idx="287">
                  <c:v>8.69</c:v>
                </c:pt>
                <c:pt idx="288">
                  <c:v>8.18</c:v>
                </c:pt>
                <c:pt idx="289">
                  <c:v>8.9700000000000006</c:v>
                </c:pt>
                <c:pt idx="290">
                  <c:v>6.98</c:v>
                </c:pt>
                <c:pt idx="291">
                  <c:v>8.5</c:v>
                </c:pt>
                <c:pt idx="292">
                  <c:v>8.1</c:v>
                </c:pt>
                <c:pt idx="293">
                  <c:v>8.9700000000000006</c:v>
                </c:pt>
                <c:pt idx="294">
                  <c:v>8.56</c:v>
                </c:pt>
                <c:pt idx="295">
                  <c:v>8.51</c:v>
                </c:pt>
                <c:pt idx="296">
                  <c:v>8.69</c:v>
                </c:pt>
                <c:pt idx="297">
                  <c:v>8.64</c:v>
                </c:pt>
                <c:pt idx="298">
                  <c:v>9.0299999999999994</c:v>
                </c:pt>
                <c:pt idx="299">
                  <c:v>9.33</c:v>
                </c:pt>
                <c:pt idx="300">
                  <c:v>8.31</c:v>
                </c:pt>
                <c:pt idx="301">
                  <c:v>8.8800000000000008</c:v>
                </c:pt>
                <c:pt idx="302">
                  <c:v>8.48</c:v>
                </c:pt>
                <c:pt idx="303">
                  <c:v>8.34</c:v>
                </c:pt>
                <c:pt idx="304">
                  <c:v>3.65</c:v>
                </c:pt>
                <c:pt idx="305">
                  <c:v>9.09</c:v>
                </c:pt>
                <c:pt idx="306">
                  <c:v>6.97</c:v>
                </c:pt>
                <c:pt idx="307">
                  <c:v>8.0500000000000007</c:v>
                </c:pt>
                <c:pt idx="308">
                  <c:v>8.2100000000000009</c:v>
                </c:pt>
                <c:pt idx="309">
                  <c:v>8.08</c:v>
                </c:pt>
                <c:pt idx="310">
                  <c:v>8.3699999999999992</c:v>
                </c:pt>
                <c:pt idx="311">
                  <c:v>8.92</c:v>
                </c:pt>
                <c:pt idx="312">
                  <c:v>8.61</c:v>
                </c:pt>
                <c:pt idx="313">
                  <c:v>8.4700000000000006</c:v>
                </c:pt>
                <c:pt idx="314">
                  <c:v>8</c:v>
                </c:pt>
                <c:pt idx="315">
                  <c:v>8.9499999999999993</c:v>
                </c:pt>
                <c:pt idx="316">
                  <c:v>7.96</c:v>
                </c:pt>
                <c:pt idx="317">
                  <c:v>7.8</c:v>
                </c:pt>
                <c:pt idx="318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7-5840-9849-A8B592BB1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287808"/>
        <c:axId val="469289600"/>
      </c:scatterChart>
      <c:valAx>
        <c:axId val="469287808"/>
        <c:scaling>
          <c:orientation val="minMax"/>
          <c:max val="4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289600"/>
        <c:crosses val="autoZero"/>
        <c:crossBetween val="midCat"/>
      </c:valAx>
      <c:valAx>
        <c:axId val="469289600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28780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Consistencia (desv. típica) vs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Graficos!$AU$1780</c:f>
              <c:strCache>
                <c:ptCount val="1"/>
                <c:pt idx="0">
                  <c:v>3rd EYE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Graficos!$AT$1781:$AT$2099</c:f>
              <c:numCache>
                <c:formatCode>General</c:formatCode>
                <c:ptCount val="319"/>
                <c:pt idx="0">
                  <c:v>0.52</c:v>
                </c:pt>
                <c:pt idx="1">
                  <c:v>0.87</c:v>
                </c:pt>
                <c:pt idx="2">
                  <c:v>0.92</c:v>
                </c:pt>
                <c:pt idx="3">
                  <c:v>0.78</c:v>
                </c:pt>
                <c:pt idx="4">
                  <c:v>0.91</c:v>
                </c:pt>
                <c:pt idx="5">
                  <c:v>0.85</c:v>
                </c:pt>
                <c:pt idx="6">
                  <c:v>0.96</c:v>
                </c:pt>
                <c:pt idx="7">
                  <c:v>0.78</c:v>
                </c:pt>
                <c:pt idx="8">
                  <c:v>0.83</c:v>
                </c:pt>
                <c:pt idx="9">
                  <c:v>0.86</c:v>
                </c:pt>
                <c:pt idx="10">
                  <c:v>0.91</c:v>
                </c:pt>
                <c:pt idx="11">
                  <c:v>0.73</c:v>
                </c:pt>
                <c:pt idx="12">
                  <c:v>0.7</c:v>
                </c:pt>
                <c:pt idx="13">
                  <c:v>0.8</c:v>
                </c:pt>
                <c:pt idx="14">
                  <c:v>0.74</c:v>
                </c:pt>
                <c:pt idx="15">
                  <c:v>0.61</c:v>
                </c:pt>
                <c:pt idx="16">
                  <c:v>0.72</c:v>
                </c:pt>
                <c:pt idx="17">
                  <c:v>0.85</c:v>
                </c:pt>
                <c:pt idx="18">
                  <c:v>1.06</c:v>
                </c:pt>
                <c:pt idx="19">
                  <c:v>0.79</c:v>
                </c:pt>
                <c:pt idx="20">
                  <c:v>0.78</c:v>
                </c:pt>
                <c:pt idx="21">
                  <c:v>0.82</c:v>
                </c:pt>
                <c:pt idx="22">
                  <c:v>0.78</c:v>
                </c:pt>
                <c:pt idx="23">
                  <c:v>1</c:v>
                </c:pt>
                <c:pt idx="24">
                  <c:v>1.32</c:v>
                </c:pt>
                <c:pt idx="25">
                  <c:v>0.94</c:v>
                </c:pt>
                <c:pt idx="26">
                  <c:v>0.84</c:v>
                </c:pt>
                <c:pt idx="27">
                  <c:v>0.56000000000000005</c:v>
                </c:pt>
                <c:pt idx="28">
                  <c:v>0.88</c:v>
                </c:pt>
                <c:pt idx="29">
                  <c:v>0.85</c:v>
                </c:pt>
                <c:pt idx="30">
                  <c:v>0.52</c:v>
                </c:pt>
                <c:pt idx="31">
                  <c:v>0.62</c:v>
                </c:pt>
                <c:pt idx="32">
                  <c:v>0.78</c:v>
                </c:pt>
                <c:pt idx="33">
                  <c:v>0.99</c:v>
                </c:pt>
                <c:pt idx="34">
                  <c:v>0.89</c:v>
                </c:pt>
                <c:pt idx="35">
                  <c:v>0.59</c:v>
                </c:pt>
                <c:pt idx="36">
                  <c:v>0.69</c:v>
                </c:pt>
                <c:pt idx="37">
                  <c:v>0.79</c:v>
                </c:pt>
                <c:pt idx="38">
                  <c:v>0.59</c:v>
                </c:pt>
                <c:pt idx="39">
                  <c:v>0.72</c:v>
                </c:pt>
                <c:pt idx="40">
                  <c:v>0.74</c:v>
                </c:pt>
                <c:pt idx="41">
                  <c:v>0.89</c:v>
                </c:pt>
                <c:pt idx="42">
                  <c:v>0.97</c:v>
                </c:pt>
                <c:pt idx="43">
                  <c:v>0.89</c:v>
                </c:pt>
                <c:pt idx="44">
                  <c:v>1.19</c:v>
                </c:pt>
                <c:pt idx="45">
                  <c:v>0.99</c:v>
                </c:pt>
                <c:pt idx="46">
                  <c:v>0.57999999999999996</c:v>
                </c:pt>
                <c:pt idx="47">
                  <c:v>0.86</c:v>
                </c:pt>
                <c:pt idx="48">
                  <c:v>0.44</c:v>
                </c:pt>
                <c:pt idx="49">
                  <c:v>0.41</c:v>
                </c:pt>
                <c:pt idx="50">
                  <c:v>0.93</c:v>
                </c:pt>
                <c:pt idx="51">
                  <c:v>1.07</c:v>
                </c:pt>
                <c:pt idx="52">
                  <c:v>1.04</c:v>
                </c:pt>
                <c:pt idx="53">
                  <c:v>0.62</c:v>
                </c:pt>
                <c:pt idx="54">
                  <c:v>0.85</c:v>
                </c:pt>
                <c:pt idx="55">
                  <c:v>0.8</c:v>
                </c:pt>
                <c:pt idx="56">
                  <c:v>0.75</c:v>
                </c:pt>
                <c:pt idx="57">
                  <c:v>1.22</c:v>
                </c:pt>
                <c:pt idx="58">
                  <c:v>0.86</c:v>
                </c:pt>
                <c:pt idx="59">
                  <c:v>0.75</c:v>
                </c:pt>
                <c:pt idx="60">
                  <c:v>0.96</c:v>
                </c:pt>
                <c:pt idx="61">
                  <c:v>0.95</c:v>
                </c:pt>
                <c:pt idx="62">
                  <c:v>0.92</c:v>
                </c:pt>
                <c:pt idx="63">
                  <c:v>0.96</c:v>
                </c:pt>
                <c:pt idx="64">
                  <c:v>0.86</c:v>
                </c:pt>
                <c:pt idx="65">
                  <c:v>0.71</c:v>
                </c:pt>
                <c:pt idx="66">
                  <c:v>0.86</c:v>
                </c:pt>
                <c:pt idx="67">
                  <c:v>0.89</c:v>
                </c:pt>
                <c:pt idx="68">
                  <c:v>0.76</c:v>
                </c:pt>
                <c:pt idx="69">
                  <c:v>0.87</c:v>
                </c:pt>
                <c:pt idx="70">
                  <c:v>0.69</c:v>
                </c:pt>
                <c:pt idx="71">
                  <c:v>0.55000000000000004</c:v>
                </c:pt>
                <c:pt idx="72">
                  <c:v>0</c:v>
                </c:pt>
                <c:pt idx="73">
                  <c:v>0.88</c:v>
                </c:pt>
                <c:pt idx="74">
                  <c:v>1.1299999999999999</c:v>
                </c:pt>
                <c:pt idx="75">
                  <c:v>0.45</c:v>
                </c:pt>
                <c:pt idx="76">
                  <c:v>0.82</c:v>
                </c:pt>
                <c:pt idx="77">
                  <c:v>0.96</c:v>
                </c:pt>
                <c:pt idx="78">
                  <c:v>0.8</c:v>
                </c:pt>
                <c:pt idx="79">
                  <c:v>0.92</c:v>
                </c:pt>
                <c:pt idx="80">
                  <c:v>0.78</c:v>
                </c:pt>
                <c:pt idx="81">
                  <c:v>1.06</c:v>
                </c:pt>
                <c:pt idx="82">
                  <c:v>0.71</c:v>
                </c:pt>
                <c:pt idx="83">
                  <c:v>0.6</c:v>
                </c:pt>
                <c:pt idx="84">
                  <c:v>0.75</c:v>
                </c:pt>
                <c:pt idx="85">
                  <c:v>1.33</c:v>
                </c:pt>
                <c:pt idx="86">
                  <c:v>0.86</c:v>
                </c:pt>
                <c:pt idx="87">
                  <c:v>0.69</c:v>
                </c:pt>
                <c:pt idx="88">
                  <c:v>0.72</c:v>
                </c:pt>
                <c:pt idx="89">
                  <c:v>0.62</c:v>
                </c:pt>
                <c:pt idx="90">
                  <c:v>0.74</c:v>
                </c:pt>
                <c:pt idx="91">
                  <c:v>0.57999999999999996</c:v>
                </c:pt>
                <c:pt idx="92">
                  <c:v>0.7</c:v>
                </c:pt>
                <c:pt idx="93">
                  <c:v>0.75</c:v>
                </c:pt>
                <c:pt idx="94">
                  <c:v>0.73</c:v>
                </c:pt>
                <c:pt idx="95">
                  <c:v>0.81</c:v>
                </c:pt>
                <c:pt idx="96">
                  <c:v>0.75</c:v>
                </c:pt>
                <c:pt idx="97">
                  <c:v>0.88</c:v>
                </c:pt>
                <c:pt idx="98">
                  <c:v>1.28</c:v>
                </c:pt>
                <c:pt idx="99">
                  <c:v>0.8</c:v>
                </c:pt>
                <c:pt idx="100">
                  <c:v>0.87</c:v>
                </c:pt>
                <c:pt idx="101">
                  <c:v>0.76</c:v>
                </c:pt>
                <c:pt idx="102">
                  <c:v>0.56000000000000005</c:v>
                </c:pt>
                <c:pt idx="103">
                  <c:v>0.83</c:v>
                </c:pt>
                <c:pt idx="104">
                  <c:v>0.37</c:v>
                </c:pt>
                <c:pt idx="105">
                  <c:v>0.55000000000000004</c:v>
                </c:pt>
                <c:pt idx="106">
                  <c:v>0.9</c:v>
                </c:pt>
                <c:pt idx="107">
                  <c:v>0.86</c:v>
                </c:pt>
                <c:pt idx="108">
                  <c:v>0.83</c:v>
                </c:pt>
                <c:pt idx="109">
                  <c:v>0.78</c:v>
                </c:pt>
                <c:pt idx="110">
                  <c:v>0.67</c:v>
                </c:pt>
                <c:pt idx="111">
                  <c:v>0.97</c:v>
                </c:pt>
                <c:pt idx="112">
                  <c:v>0.41</c:v>
                </c:pt>
                <c:pt idx="113">
                  <c:v>0.67</c:v>
                </c:pt>
                <c:pt idx="114">
                  <c:v>1.37</c:v>
                </c:pt>
                <c:pt idx="115">
                  <c:v>0.79</c:v>
                </c:pt>
                <c:pt idx="116">
                  <c:v>0.52</c:v>
                </c:pt>
                <c:pt idx="117">
                  <c:v>0.45</c:v>
                </c:pt>
                <c:pt idx="118">
                  <c:v>0.61</c:v>
                </c:pt>
                <c:pt idx="119">
                  <c:v>0.66</c:v>
                </c:pt>
                <c:pt idx="120">
                  <c:v>0.86</c:v>
                </c:pt>
                <c:pt idx="121">
                  <c:v>0.73</c:v>
                </c:pt>
                <c:pt idx="122">
                  <c:v>0.35</c:v>
                </c:pt>
                <c:pt idx="123">
                  <c:v>0.49</c:v>
                </c:pt>
                <c:pt idx="124">
                  <c:v>0.75</c:v>
                </c:pt>
                <c:pt idx="125">
                  <c:v>0.62</c:v>
                </c:pt>
                <c:pt idx="126">
                  <c:v>0.78</c:v>
                </c:pt>
                <c:pt idx="127">
                  <c:v>1.02</c:v>
                </c:pt>
                <c:pt idx="128">
                  <c:v>0.79</c:v>
                </c:pt>
                <c:pt idx="129">
                  <c:v>0.66</c:v>
                </c:pt>
                <c:pt idx="130">
                  <c:v>0.67</c:v>
                </c:pt>
                <c:pt idx="131">
                  <c:v>0.67</c:v>
                </c:pt>
                <c:pt idx="132">
                  <c:v>0.81</c:v>
                </c:pt>
                <c:pt idx="133">
                  <c:v>0.6</c:v>
                </c:pt>
                <c:pt idx="134">
                  <c:v>0.75</c:v>
                </c:pt>
                <c:pt idx="135">
                  <c:v>0.45</c:v>
                </c:pt>
                <c:pt idx="136">
                  <c:v>0.74</c:v>
                </c:pt>
                <c:pt idx="137">
                  <c:v>0.73</c:v>
                </c:pt>
                <c:pt idx="138">
                  <c:v>0.82</c:v>
                </c:pt>
                <c:pt idx="139">
                  <c:v>0.73</c:v>
                </c:pt>
                <c:pt idx="140">
                  <c:v>1.02</c:v>
                </c:pt>
                <c:pt idx="141">
                  <c:v>0.24</c:v>
                </c:pt>
                <c:pt idx="142">
                  <c:v>1.24</c:v>
                </c:pt>
                <c:pt idx="143">
                  <c:v>0.86</c:v>
                </c:pt>
                <c:pt idx="144">
                  <c:v>0.79</c:v>
                </c:pt>
                <c:pt idx="145">
                  <c:v>0.66</c:v>
                </c:pt>
                <c:pt idx="146">
                  <c:v>0.71</c:v>
                </c:pt>
                <c:pt idx="147">
                  <c:v>0.46</c:v>
                </c:pt>
                <c:pt idx="148">
                  <c:v>0.72</c:v>
                </c:pt>
                <c:pt idx="149">
                  <c:v>0.75</c:v>
                </c:pt>
                <c:pt idx="150">
                  <c:v>0.68</c:v>
                </c:pt>
                <c:pt idx="151">
                  <c:v>0.89</c:v>
                </c:pt>
                <c:pt idx="152">
                  <c:v>0.93</c:v>
                </c:pt>
                <c:pt idx="153">
                  <c:v>0.89</c:v>
                </c:pt>
                <c:pt idx="154">
                  <c:v>0.89</c:v>
                </c:pt>
                <c:pt idx="155">
                  <c:v>1.3</c:v>
                </c:pt>
                <c:pt idx="156">
                  <c:v>1.1299999999999999</c:v>
                </c:pt>
                <c:pt idx="157">
                  <c:v>0.52</c:v>
                </c:pt>
                <c:pt idx="158">
                  <c:v>0.24</c:v>
                </c:pt>
                <c:pt idx="159">
                  <c:v>1.06</c:v>
                </c:pt>
                <c:pt idx="160">
                  <c:v>0.74</c:v>
                </c:pt>
                <c:pt idx="161">
                  <c:v>0.75</c:v>
                </c:pt>
                <c:pt idx="162">
                  <c:v>0.78</c:v>
                </c:pt>
                <c:pt idx="163">
                  <c:v>0.93</c:v>
                </c:pt>
                <c:pt idx="164">
                  <c:v>0.72</c:v>
                </c:pt>
                <c:pt idx="165">
                  <c:v>0.74</c:v>
                </c:pt>
                <c:pt idx="166">
                  <c:v>0.8</c:v>
                </c:pt>
                <c:pt idx="167">
                  <c:v>0.71</c:v>
                </c:pt>
                <c:pt idx="168">
                  <c:v>0.87</c:v>
                </c:pt>
                <c:pt idx="169">
                  <c:v>0.56999999999999995</c:v>
                </c:pt>
                <c:pt idx="170">
                  <c:v>0.93</c:v>
                </c:pt>
                <c:pt idx="171">
                  <c:v>0.79</c:v>
                </c:pt>
                <c:pt idx="172">
                  <c:v>0.87</c:v>
                </c:pt>
                <c:pt idx="173">
                  <c:v>0.37</c:v>
                </c:pt>
                <c:pt idx="174">
                  <c:v>0.77</c:v>
                </c:pt>
                <c:pt idx="175">
                  <c:v>0.83</c:v>
                </c:pt>
                <c:pt idx="176">
                  <c:v>0.73</c:v>
                </c:pt>
                <c:pt idx="177">
                  <c:v>0.6</c:v>
                </c:pt>
                <c:pt idx="178">
                  <c:v>0.55000000000000004</c:v>
                </c:pt>
                <c:pt idx="179">
                  <c:v>0.95</c:v>
                </c:pt>
                <c:pt idx="180">
                  <c:v>0.75</c:v>
                </c:pt>
                <c:pt idx="181">
                  <c:v>0.97</c:v>
                </c:pt>
                <c:pt idx="182">
                  <c:v>0.79</c:v>
                </c:pt>
                <c:pt idx="183">
                  <c:v>0.66</c:v>
                </c:pt>
                <c:pt idx="184">
                  <c:v>0.87</c:v>
                </c:pt>
                <c:pt idx="185">
                  <c:v>0.73</c:v>
                </c:pt>
                <c:pt idx="186">
                  <c:v>0.69</c:v>
                </c:pt>
                <c:pt idx="187">
                  <c:v>0.79</c:v>
                </c:pt>
                <c:pt idx="188">
                  <c:v>0.68</c:v>
                </c:pt>
                <c:pt idx="189">
                  <c:v>0.61</c:v>
                </c:pt>
                <c:pt idx="190">
                  <c:v>0.57999999999999996</c:v>
                </c:pt>
                <c:pt idx="191">
                  <c:v>0.56000000000000005</c:v>
                </c:pt>
                <c:pt idx="192">
                  <c:v>0.56999999999999995</c:v>
                </c:pt>
                <c:pt idx="193">
                  <c:v>0.74</c:v>
                </c:pt>
                <c:pt idx="194">
                  <c:v>0.96</c:v>
                </c:pt>
                <c:pt idx="195">
                  <c:v>0.76</c:v>
                </c:pt>
                <c:pt idx="196">
                  <c:v>0.7</c:v>
                </c:pt>
                <c:pt idx="197">
                  <c:v>0.5</c:v>
                </c:pt>
                <c:pt idx="198">
                  <c:v>0.56000000000000005</c:v>
                </c:pt>
                <c:pt idx="199">
                  <c:v>1.72</c:v>
                </c:pt>
                <c:pt idx="200">
                  <c:v>0.73</c:v>
                </c:pt>
                <c:pt idx="201">
                  <c:v>0.88</c:v>
                </c:pt>
                <c:pt idx="202">
                  <c:v>0.69</c:v>
                </c:pt>
                <c:pt idx="203">
                  <c:v>0.86</c:v>
                </c:pt>
                <c:pt idx="204">
                  <c:v>0.25</c:v>
                </c:pt>
                <c:pt idx="205">
                  <c:v>0.95</c:v>
                </c:pt>
                <c:pt idx="206">
                  <c:v>0.68</c:v>
                </c:pt>
                <c:pt idx="207">
                  <c:v>0.67</c:v>
                </c:pt>
                <c:pt idx="208">
                  <c:v>0.89</c:v>
                </c:pt>
                <c:pt idx="209">
                  <c:v>0.5</c:v>
                </c:pt>
                <c:pt idx="210">
                  <c:v>0.73</c:v>
                </c:pt>
                <c:pt idx="211">
                  <c:v>0.61</c:v>
                </c:pt>
                <c:pt idx="212">
                  <c:v>0.32</c:v>
                </c:pt>
                <c:pt idx="213">
                  <c:v>0.62</c:v>
                </c:pt>
                <c:pt idx="214">
                  <c:v>0.79</c:v>
                </c:pt>
                <c:pt idx="215">
                  <c:v>0.87</c:v>
                </c:pt>
                <c:pt idx="216">
                  <c:v>0.75</c:v>
                </c:pt>
                <c:pt idx="217">
                  <c:v>0.91</c:v>
                </c:pt>
                <c:pt idx="218">
                  <c:v>0.61</c:v>
                </c:pt>
                <c:pt idx="219">
                  <c:v>0.57999999999999996</c:v>
                </c:pt>
                <c:pt idx="220">
                  <c:v>0.57999999999999996</c:v>
                </c:pt>
                <c:pt idx="221">
                  <c:v>0.53</c:v>
                </c:pt>
                <c:pt idx="222">
                  <c:v>0.7</c:v>
                </c:pt>
                <c:pt idx="223">
                  <c:v>0.5</c:v>
                </c:pt>
                <c:pt idx="224">
                  <c:v>0.55000000000000004</c:v>
                </c:pt>
                <c:pt idx="225">
                  <c:v>0.85</c:v>
                </c:pt>
                <c:pt idx="226">
                  <c:v>0.39</c:v>
                </c:pt>
                <c:pt idx="227">
                  <c:v>0.81</c:v>
                </c:pt>
                <c:pt idx="228">
                  <c:v>0.67</c:v>
                </c:pt>
                <c:pt idx="229">
                  <c:v>0.65</c:v>
                </c:pt>
                <c:pt idx="230">
                  <c:v>0.86</c:v>
                </c:pt>
                <c:pt idx="231">
                  <c:v>0.61</c:v>
                </c:pt>
                <c:pt idx="232">
                  <c:v>0.91</c:v>
                </c:pt>
                <c:pt idx="233">
                  <c:v>0.99</c:v>
                </c:pt>
                <c:pt idx="234">
                  <c:v>0.59</c:v>
                </c:pt>
                <c:pt idx="235">
                  <c:v>0.85</c:v>
                </c:pt>
                <c:pt idx="236">
                  <c:v>0.67</c:v>
                </c:pt>
                <c:pt idx="237">
                  <c:v>0.25</c:v>
                </c:pt>
                <c:pt idx="238">
                  <c:v>0.8</c:v>
                </c:pt>
                <c:pt idx="239">
                  <c:v>0.51</c:v>
                </c:pt>
                <c:pt idx="240">
                  <c:v>0.89</c:v>
                </c:pt>
                <c:pt idx="241">
                  <c:v>0.96</c:v>
                </c:pt>
                <c:pt idx="242">
                  <c:v>0.64</c:v>
                </c:pt>
                <c:pt idx="243">
                  <c:v>0.47</c:v>
                </c:pt>
                <c:pt idx="244">
                  <c:v>0.89</c:v>
                </c:pt>
                <c:pt idx="245">
                  <c:v>0.57999999999999996</c:v>
                </c:pt>
                <c:pt idx="246">
                  <c:v>0.69</c:v>
                </c:pt>
                <c:pt idx="247">
                  <c:v>0.76</c:v>
                </c:pt>
                <c:pt idx="248">
                  <c:v>0.72</c:v>
                </c:pt>
                <c:pt idx="249">
                  <c:v>0.57999999999999996</c:v>
                </c:pt>
                <c:pt idx="250">
                  <c:v>0.7</c:v>
                </c:pt>
                <c:pt idx="251">
                  <c:v>0.68</c:v>
                </c:pt>
                <c:pt idx="252">
                  <c:v>0.86</c:v>
                </c:pt>
                <c:pt idx="253">
                  <c:v>0.61</c:v>
                </c:pt>
                <c:pt idx="254">
                  <c:v>0.73</c:v>
                </c:pt>
                <c:pt idx="255">
                  <c:v>0.84</c:v>
                </c:pt>
                <c:pt idx="256">
                  <c:v>0.75</c:v>
                </c:pt>
                <c:pt idx="257">
                  <c:v>0.87</c:v>
                </c:pt>
                <c:pt idx="258">
                  <c:v>0.79</c:v>
                </c:pt>
                <c:pt idx="259">
                  <c:v>0.83</c:v>
                </c:pt>
                <c:pt idx="260">
                  <c:v>1.07</c:v>
                </c:pt>
                <c:pt idx="261">
                  <c:v>0.83</c:v>
                </c:pt>
                <c:pt idx="262">
                  <c:v>0.47</c:v>
                </c:pt>
                <c:pt idx="263">
                  <c:v>0.71</c:v>
                </c:pt>
                <c:pt idx="264">
                  <c:v>0.48</c:v>
                </c:pt>
                <c:pt idx="265">
                  <c:v>0.97</c:v>
                </c:pt>
                <c:pt idx="266">
                  <c:v>0.64</c:v>
                </c:pt>
                <c:pt idx="267">
                  <c:v>0.7</c:v>
                </c:pt>
                <c:pt idx="268">
                  <c:v>1.19</c:v>
                </c:pt>
                <c:pt idx="269">
                  <c:v>0.91</c:v>
                </c:pt>
                <c:pt idx="270">
                  <c:v>0.62</c:v>
                </c:pt>
                <c:pt idx="271">
                  <c:v>0.71</c:v>
                </c:pt>
                <c:pt idx="272">
                  <c:v>0.78</c:v>
                </c:pt>
                <c:pt idx="273">
                  <c:v>0.7</c:v>
                </c:pt>
                <c:pt idx="274">
                  <c:v>0.56999999999999995</c:v>
                </c:pt>
                <c:pt idx="275">
                  <c:v>0.45</c:v>
                </c:pt>
                <c:pt idx="276">
                  <c:v>0.87</c:v>
                </c:pt>
                <c:pt idx="277">
                  <c:v>0.68</c:v>
                </c:pt>
                <c:pt idx="278">
                  <c:v>0.84</c:v>
                </c:pt>
                <c:pt idx="279">
                  <c:v>0.5</c:v>
                </c:pt>
                <c:pt idx="280">
                  <c:v>0.73</c:v>
                </c:pt>
                <c:pt idx="281">
                  <c:v>0.98</c:v>
                </c:pt>
                <c:pt idx="282">
                  <c:v>0.62</c:v>
                </c:pt>
                <c:pt idx="283">
                  <c:v>0.78</c:v>
                </c:pt>
                <c:pt idx="284">
                  <c:v>0.47</c:v>
                </c:pt>
                <c:pt idx="285">
                  <c:v>0.89</c:v>
                </c:pt>
                <c:pt idx="286">
                  <c:v>0.83</c:v>
                </c:pt>
                <c:pt idx="287">
                  <c:v>0.7</c:v>
                </c:pt>
                <c:pt idx="288">
                  <c:v>0.6</c:v>
                </c:pt>
                <c:pt idx="289">
                  <c:v>0.55000000000000004</c:v>
                </c:pt>
                <c:pt idx="290">
                  <c:v>1.07</c:v>
                </c:pt>
                <c:pt idx="291">
                  <c:v>0.63</c:v>
                </c:pt>
                <c:pt idx="292">
                  <c:v>0.84</c:v>
                </c:pt>
                <c:pt idx="293">
                  <c:v>0.79</c:v>
                </c:pt>
                <c:pt idx="294">
                  <c:v>0.63</c:v>
                </c:pt>
                <c:pt idx="295">
                  <c:v>0.57999999999999996</c:v>
                </c:pt>
                <c:pt idx="296">
                  <c:v>0.73</c:v>
                </c:pt>
                <c:pt idx="297">
                  <c:v>0.6</c:v>
                </c:pt>
                <c:pt idx="298">
                  <c:v>0.94</c:v>
                </c:pt>
                <c:pt idx="299">
                  <c:v>0.75</c:v>
                </c:pt>
                <c:pt idx="300">
                  <c:v>0.74</c:v>
                </c:pt>
                <c:pt idx="301">
                  <c:v>0.56000000000000005</c:v>
                </c:pt>
                <c:pt idx="302">
                  <c:v>0.68</c:v>
                </c:pt>
                <c:pt idx="303">
                  <c:v>0.71</c:v>
                </c:pt>
                <c:pt idx="304">
                  <c:v>1.98</c:v>
                </c:pt>
                <c:pt idx="305">
                  <c:v>0.73</c:v>
                </c:pt>
                <c:pt idx="306">
                  <c:v>1.08</c:v>
                </c:pt>
                <c:pt idx="307">
                  <c:v>0.77</c:v>
                </c:pt>
                <c:pt idx="308">
                  <c:v>1.23</c:v>
                </c:pt>
                <c:pt idx="309">
                  <c:v>0.43</c:v>
                </c:pt>
                <c:pt idx="310">
                  <c:v>0.37</c:v>
                </c:pt>
                <c:pt idx="311">
                  <c:v>0.61</c:v>
                </c:pt>
                <c:pt idx="312">
                  <c:v>0.83</c:v>
                </c:pt>
                <c:pt idx="313">
                  <c:v>0.52</c:v>
                </c:pt>
                <c:pt idx="314">
                  <c:v>0.56999999999999995</c:v>
                </c:pt>
                <c:pt idx="315">
                  <c:v>0.96</c:v>
                </c:pt>
                <c:pt idx="316">
                  <c:v>0.35</c:v>
                </c:pt>
                <c:pt idx="317">
                  <c:v>0.41</c:v>
                </c:pt>
                <c:pt idx="318">
                  <c:v>0.82</c:v>
                </c:pt>
              </c:numCache>
            </c:numRef>
          </c:xVal>
          <c:yVal>
            <c:numRef>
              <c:f>Graficos!$AU$1781:$AU$2099</c:f>
              <c:numCache>
                <c:formatCode>General</c:formatCode>
                <c:ptCount val="319"/>
                <c:pt idx="0">
                  <c:v>10.99</c:v>
                </c:pt>
                <c:pt idx="1">
                  <c:v>10.37</c:v>
                </c:pt>
                <c:pt idx="2">
                  <c:v>9.14</c:v>
                </c:pt>
                <c:pt idx="3">
                  <c:v>9.23</c:v>
                </c:pt>
                <c:pt idx="4">
                  <c:v>10</c:v>
                </c:pt>
                <c:pt idx="5">
                  <c:v>9.09</c:v>
                </c:pt>
                <c:pt idx="6">
                  <c:v>9.0299999999999994</c:v>
                </c:pt>
                <c:pt idx="7">
                  <c:v>8.65</c:v>
                </c:pt>
                <c:pt idx="8">
                  <c:v>9.3699999999999992</c:v>
                </c:pt>
                <c:pt idx="9">
                  <c:v>8.66</c:v>
                </c:pt>
                <c:pt idx="10">
                  <c:v>8.34</c:v>
                </c:pt>
                <c:pt idx="11">
                  <c:v>9.4600000000000009</c:v>
                </c:pt>
                <c:pt idx="12">
                  <c:v>8.8699999999999992</c:v>
                </c:pt>
                <c:pt idx="13">
                  <c:v>9.44</c:v>
                </c:pt>
                <c:pt idx="14">
                  <c:v>9.9600000000000009</c:v>
                </c:pt>
                <c:pt idx="15">
                  <c:v>10.07</c:v>
                </c:pt>
                <c:pt idx="16">
                  <c:v>8.56</c:v>
                </c:pt>
                <c:pt idx="17">
                  <c:v>9.34</c:v>
                </c:pt>
                <c:pt idx="18">
                  <c:v>8.25</c:v>
                </c:pt>
                <c:pt idx="19">
                  <c:v>8.76</c:v>
                </c:pt>
                <c:pt idx="20">
                  <c:v>9.5299999999999994</c:v>
                </c:pt>
                <c:pt idx="21">
                  <c:v>9.09</c:v>
                </c:pt>
                <c:pt idx="22">
                  <c:v>8.1999999999999993</c:v>
                </c:pt>
                <c:pt idx="23">
                  <c:v>9.3699999999999992</c:v>
                </c:pt>
                <c:pt idx="24">
                  <c:v>8.2200000000000006</c:v>
                </c:pt>
                <c:pt idx="25">
                  <c:v>8.17</c:v>
                </c:pt>
                <c:pt idx="26">
                  <c:v>8.39</c:v>
                </c:pt>
                <c:pt idx="27">
                  <c:v>7.98</c:v>
                </c:pt>
                <c:pt idx="28">
                  <c:v>9.14</c:v>
                </c:pt>
                <c:pt idx="29">
                  <c:v>8.7100000000000009</c:v>
                </c:pt>
                <c:pt idx="30">
                  <c:v>7.16</c:v>
                </c:pt>
                <c:pt idx="31">
                  <c:v>7.64</c:v>
                </c:pt>
                <c:pt idx="32">
                  <c:v>9.14</c:v>
                </c:pt>
                <c:pt idx="33">
                  <c:v>8.81</c:v>
                </c:pt>
                <c:pt idx="34">
                  <c:v>8.06</c:v>
                </c:pt>
                <c:pt idx="35">
                  <c:v>7.66</c:v>
                </c:pt>
                <c:pt idx="36">
                  <c:v>9.23</c:v>
                </c:pt>
                <c:pt idx="37">
                  <c:v>8.73</c:v>
                </c:pt>
                <c:pt idx="38">
                  <c:v>8.43</c:v>
                </c:pt>
                <c:pt idx="39">
                  <c:v>8.75</c:v>
                </c:pt>
                <c:pt idx="40">
                  <c:v>9.99</c:v>
                </c:pt>
                <c:pt idx="41">
                  <c:v>8.16</c:v>
                </c:pt>
                <c:pt idx="42">
                  <c:v>8.7899999999999991</c:v>
                </c:pt>
                <c:pt idx="43">
                  <c:v>8.6199999999999992</c:v>
                </c:pt>
                <c:pt idx="44">
                  <c:v>8.11</c:v>
                </c:pt>
                <c:pt idx="45">
                  <c:v>8.7899999999999991</c:v>
                </c:pt>
                <c:pt idx="46">
                  <c:v>7.7</c:v>
                </c:pt>
                <c:pt idx="47">
                  <c:v>9.0399999999999991</c:v>
                </c:pt>
                <c:pt idx="48">
                  <c:v>6.99</c:v>
                </c:pt>
                <c:pt idx="49">
                  <c:v>10.050000000000001</c:v>
                </c:pt>
                <c:pt idx="50">
                  <c:v>9.2100000000000009</c:v>
                </c:pt>
                <c:pt idx="51">
                  <c:v>7.95</c:v>
                </c:pt>
                <c:pt idx="52">
                  <c:v>8.75</c:v>
                </c:pt>
                <c:pt idx="53">
                  <c:v>8.58</c:v>
                </c:pt>
                <c:pt idx="54">
                  <c:v>8.93</c:v>
                </c:pt>
                <c:pt idx="55">
                  <c:v>9.5500000000000007</c:v>
                </c:pt>
                <c:pt idx="56">
                  <c:v>8.57</c:v>
                </c:pt>
                <c:pt idx="57">
                  <c:v>8.48</c:v>
                </c:pt>
                <c:pt idx="58">
                  <c:v>8.7899999999999991</c:v>
                </c:pt>
                <c:pt idx="59">
                  <c:v>8.76</c:v>
                </c:pt>
                <c:pt idx="60">
                  <c:v>8.56</c:v>
                </c:pt>
                <c:pt idx="61">
                  <c:v>8.85</c:v>
                </c:pt>
                <c:pt idx="62">
                  <c:v>9.1</c:v>
                </c:pt>
                <c:pt idx="63">
                  <c:v>8.6</c:v>
                </c:pt>
                <c:pt idx="64">
                  <c:v>7.74</c:v>
                </c:pt>
                <c:pt idx="65">
                  <c:v>8.56</c:v>
                </c:pt>
                <c:pt idx="66">
                  <c:v>9.24</c:v>
                </c:pt>
                <c:pt idx="67">
                  <c:v>8.93</c:v>
                </c:pt>
                <c:pt idx="68">
                  <c:v>7.4</c:v>
                </c:pt>
                <c:pt idx="69">
                  <c:v>9.36</c:v>
                </c:pt>
                <c:pt idx="70">
                  <c:v>8.4700000000000006</c:v>
                </c:pt>
                <c:pt idx="71">
                  <c:v>10.39</c:v>
                </c:pt>
                <c:pt idx="72">
                  <c:v>10.85</c:v>
                </c:pt>
                <c:pt idx="73">
                  <c:v>9.08</c:v>
                </c:pt>
                <c:pt idx="74">
                  <c:v>8.27</c:v>
                </c:pt>
                <c:pt idx="75">
                  <c:v>7.61</c:v>
                </c:pt>
                <c:pt idx="76">
                  <c:v>8.86</c:v>
                </c:pt>
                <c:pt idx="77">
                  <c:v>8.4499999999999993</c:v>
                </c:pt>
                <c:pt idx="78">
                  <c:v>8.6300000000000008</c:v>
                </c:pt>
                <c:pt idx="79">
                  <c:v>9.42</c:v>
                </c:pt>
                <c:pt idx="80">
                  <c:v>8.3800000000000008</c:v>
                </c:pt>
                <c:pt idx="81">
                  <c:v>8.84</c:v>
                </c:pt>
                <c:pt idx="82">
                  <c:v>8</c:v>
                </c:pt>
                <c:pt idx="83">
                  <c:v>8.9600000000000009</c:v>
                </c:pt>
                <c:pt idx="84">
                  <c:v>8.65</c:v>
                </c:pt>
                <c:pt idx="85">
                  <c:v>8.65</c:v>
                </c:pt>
                <c:pt idx="86">
                  <c:v>8.7100000000000009</c:v>
                </c:pt>
                <c:pt idx="87">
                  <c:v>8.83</c:v>
                </c:pt>
                <c:pt idx="88">
                  <c:v>7.95</c:v>
                </c:pt>
                <c:pt idx="89">
                  <c:v>8.77</c:v>
                </c:pt>
                <c:pt idx="90">
                  <c:v>8.89</c:v>
                </c:pt>
                <c:pt idx="91">
                  <c:v>8.7200000000000006</c:v>
                </c:pt>
                <c:pt idx="92">
                  <c:v>8.68</c:v>
                </c:pt>
                <c:pt idx="93">
                  <c:v>8.76</c:v>
                </c:pt>
                <c:pt idx="94">
                  <c:v>8.8800000000000008</c:v>
                </c:pt>
                <c:pt idx="95">
                  <c:v>8.84</c:v>
                </c:pt>
                <c:pt idx="96">
                  <c:v>8.6999999999999993</c:v>
                </c:pt>
                <c:pt idx="97">
                  <c:v>7.79</c:v>
                </c:pt>
                <c:pt idx="98">
                  <c:v>8.34</c:v>
                </c:pt>
                <c:pt idx="99">
                  <c:v>9.06</c:v>
                </c:pt>
                <c:pt idx="100">
                  <c:v>8.6300000000000008</c:v>
                </c:pt>
                <c:pt idx="101">
                  <c:v>8.9499999999999993</c:v>
                </c:pt>
                <c:pt idx="102">
                  <c:v>8.65</c:v>
                </c:pt>
                <c:pt idx="103">
                  <c:v>8.5</c:v>
                </c:pt>
                <c:pt idx="104">
                  <c:v>8.3699999999999992</c:v>
                </c:pt>
                <c:pt idx="105">
                  <c:v>8.7799999999999994</c:v>
                </c:pt>
                <c:pt idx="106">
                  <c:v>8.93</c:v>
                </c:pt>
                <c:pt idx="107">
                  <c:v>8.25</c:v>
                </c:pt>
                <c:pt idx="108">
                  <c:v>8.6999999999999993</c:v>
                </c:pt>
                <c:pt idx="109">
                  <c:v>8.6300000000000008</c:v>
                </c:pt>
                <c:pt idx="110">
                  <c:v>8.8800000000000008</c:v>
                </c:pt>
                <c:pt idx="111">
                  <c:v>8.1300000000000008</c:v>
                </c:pt>
                <c:pt idx="112">
                  <c:v>8.4499999999999993</c:v>
                </c:pt>
                <c:pt idx="113">
                  <c:v>8.83</c:v>
                </c:pt>
                <c:pt idx="114">
                  <c:v>3.37</c:v>
                </c:pt>
                <c:pt idx="115">
                  <c:v>8.9700000000000006</c:v>
                </c:pt>
                <c:pt idx="116">
                  <c:v>8.16</c:v>
                </c:pt>
                <c:pt idx="117">
                  <c:v>8.27</c:v>
                </c:pt>
                <c:pt idx="118">
                  <c:v>8.9600000000000009</c:v>
                </c:pt>
                <c:pt idx="119">
                  <c:v>8.52</c:v>
                </c:pt>
                <c:pt idx="120">
                  <c:v>8.06</c:v>
                </c:pt>
                <c:pt idx="121">
                  <c:v>7.2</c:v>
                </c:pt>
                <c:pt idx="122">
                  <c:v>8.4600000000000009</c:v>
                </c:pt>
                <c:pt idx="123">
                  <c:v>8.3800000000000008</c:v>
                </c:pt>
                <c:pt idx="124">
                  <c:v>9.43</c:v>
                </c:pt>
                <c:pt idx="125">
                  <c:v>8.61</c:v>
                </c:pt>
                <c:pt idx="126">
                  <c:v>8.33</c:v>
                </c:pt>
                <c:pt idx="127">
                  <c:v>8.5399999999999991</c:v>
                </c:pt>
                <c:pt idx="128">
                  <c:v>8.83</c:v>
                </c:pt>
                <c:pt idx="129">
                  <c:v>8.64</c:v>
                </c:pt>
                <c:pt idx="130">
                  <c:v>8.6300000000000008</c:v>
                </c:pt>
                <c:pt idx="131">
                  <c:v>8.5</c:v>
                </c:pt>
                <c:pt idx="132">
                  <c:v>8.41</c:v>
                </c:pt>
                <c:pt idx="133">
                  <c:v>8.49</c:v>
                </c:pt>
                <c:pt idx="134">
                  <c:v>8.61</c:v>
                </c:pt>
                <c:pt idx="135">
                  <c:v>7.94</c:v>
                </c:pt>
                <c:pt idx="136">
                  <c:v>8.5500000000000007</c:v>
                </c:pt>
                <c:pt idx="137">
                  <c:v>8.83</c:v>
                </c:pt>
                <c:pt idx="138">
                  <c:v>8.57</c:v>
                </c:pt>
                <c:pt idx="139">
                  <c:v>9.02</c:v>
                </c:pt>
                <c:pt idx="140">
                  <c:v>9</c:v>
                </c:pt>
                <c:pt idx="141">
                  <c:v>8.1300000000000008</c:v>
                </c:pt>
                <c:pt idx="142">
                  <c:v>8.5500000000000007</c:v>
                </c:pt>
                <c:pt idx="143">
                  <c:v>8.74</c:v>
                </c:pt>
                <c:pt idx="144">
                  <c:v>8.5299999999999994</c:v>
                </c:pt>
                <c:pt idx="145">
                  <c:v>8.5299999999999994</c:v>
                </c:pt>
                <c:pt idx="146">
                  <c:v>10.44</c:v>
                </c:pt>
                <c:pt idx="147">
                  <c:v>8.0299999999999994</c:v>
                </c:pt>
                <c:pt idx="148">
                  <c:v>7.04</c:v>
                </c:pt>
                <c:pt idx="149">
                  <c:v>8.86</c:v>
                </c:pt>
                <c:pt idx="150">
                  <c:v>8.7799999999999994</c:v>
                </c:pt>
                <c:pt idx="151">
                  <c:v>8.9700000000000006</c:v>
                </c:pt>
                <c:pt idx="152">
                  <c:v>8.8800000000000008</c:v>
                </c:pt>
                <c:pt idx="153">
                  <c:v>8.77</c:v>
                </c:pt>
                <c:pt idx="154">
                  <c:v>8.67</c:v>
                </c:pt>
                <c:pt idx="155">
                  <c:v>2.39</c:v>
                </c:pt>
                <c:pt idx="156">
                  <c:v>8.23</c:v>
                </c:pt>
                <c:pt idx="157">
                  <c:v>8.82</c:v>
                </c:pt>
                <c:pt idx="158">
                  <c:v>8.84</c:v>
                </c:pt>
                <c:pt idx="159">
                  <c:v>8.5399999999999991</c:v>
                </c:pt>
                <c:pt idx="160">
                  <c:v>8.81</c:v>
                </c:pt>
                <c:pt idx="161">
                  <c:v>8.67</c:v>
                </c:pt>
                <c:pt idx="162">
                  <c:v>8.4700000000000006</c:v>
                </c:pt>
                <c:pt idx="163">
                  <c:v>8.16</c:v>
                </c:pt>
                <c:pt idx="164">
                  <c:v>9.02</c:v>
                </c:pt>
                <c:pt idx="165">
                  <c:v>8.94</c:v>
                </c:pt>
                <c:pt idx="166">
                  <c:v>8.4700000000000006</c:v>
                </c:pt>
                <c:pt idx="167">
                  <c:v>8.5399999999999991</c:v>
                </c:pt>
                <c:pt idx="168">
                  <c:v>9</c:v>
                </c:pt>
                <c:pt idx="169">
                  <c:v>8.6199999999999992</c:v>
                </c:pt>
                <c:pt idx="170">
                  <c:v>8.81</c:v>
                </c:pt>
                <c:pt idx="171">
                  <c:v>8.84</c:v>
                </c:pt>
                <c:pt idx="172">
                  <c:v>9.0399999999999991</c:v>
                </c:pt>
                <c:pt idx="173">
                  <c:v>8.3699999999999992</c:v>
                </c:pt>
                <c:pt idx="174">
                  <c:v>8.56</c:v>
                </c:pt>
                <c:pt idx="175">
                  <c:v>8.39</c:v>
                </c:pt>
                <c:pt idx="176">
                  <c:v>8.9700000000000006</c:v>
                </c:pt>
                <c:pt idx="177">
                  <c:v>8.18</c:v>
                </c:pt>
                <c:pt idx="178">
                  <c:v>8.39</c:v>
                </c:pt>
                <c:pt idx="179">
                  <c:v>8.24</c:v>
                </c:pt>
                <c:pt idx="180">
                  <c:v>8.92</c:v>
                </c:pt>
                <c:pt idx="181">
                  <c:v>8.6</c:v>
                </c:pt>
                <c:pt idx="182">
                  <c:v>8.5</c:v>
                </c:pt>
                <c:pt idx="183">
                  <c:v>8.7200000000000006</c:v>
                </c:pt>
                <c:pt idx="184">
                  <c:v>8.8699999999999992</c:v>
                </c:pt>
                <c:pt idx="185">
                  <c:v>8.3000000000000007</c:v>
                </c:pt>
                <c:pt idx="186">
                  <c:v>8.34</c:v>
                </c:pt>
                <c:pt idx="187">
                  <c:v>7.84</c:v>
                </c:pt>
                <c:pt idx="188">
                  <c:v>8.5299999999999994</c:v>
                </c:pt>
                <c:pt idx="189">
                  <c:v>8.65</c:v>
                </c:pt>
                <c:pt idx="190">
                  <c:v>8.5299999999999994</c:v>
                </c:pt>
                <c:pt idx="191">
                  <c:v>8.61</c:v>
                </c:pt>
                <c:pt idx="192">
                  <c:v>7.89</c:v>
                </c:pt>
                <c:pt idx="193">
                  <c:v>9.23</c:v>
                </c:pt>
                <c:pt idx="194">
                  <c:v>8.77</c:v>
                </c:pt>
                <c:pt idx="195">
                  <c:v>8.51</c:v>
                </c:pt>
                <c:pt idx="196">
                  <c:v>8.67</c:v>
                </c:pt>
                <c:pt idx="197">
                  <c:v>7.94</c:v>
                </c:pt>
                <c:pt idx="198">
                  <c:v>8.59</c:v>
                </c:pt>
                <c:pt idx="199">
                  <c:v>4.62</c:v>
                </c:pt>
                <c:pt idx="200">
                  <c:v>8.48</c:v>
                </c:pt>
                <c:pt idx="201">
                  <c:v>8.68</c:v>
                </c:pt>
                <c:pt idx="202">
                  <c:v>8.5299999999999994</c:v>
                </c:pt>
                <c:pt idx="203">
                  <c:v>8.83</c:v>
                </c:pt>
                <c:pt idx="204">
                  <c:v>8.3000000000000007</c:v>
                </c:pt>
                <c:pt idx="205">
                  <c:v>8.2100000000000009</c:v>
                </c:pt>
                <c:pt idx="206">
                  <c:v>8.6999999999999993</c:v>
                </c:pt>
                <c:pt idx="207">
                  <c:v>8.2799999999999994</c:v>
                </c:pt>
                <c:pt idx="208">
                  <c:v>8.66</c:v>
                </c:pt>
                <c:pt idx="209">
                  <c:v>8.56</c:v>
                </c:pt>
                <c:pt idx="210">
                  <c:v>7.66</c:v>
                </c:pt>
                <c:pt idx="211">
                  <c:v>8.92</c:v>
                </c:pt>
                <c:pt idx="212">
                  <c:v>8.9600000000000009</c:v>
                </c:pt>
                <c:pt idx="213">
                  <c:v>8.52</c:v>
                </c:pt>
                <c:pt idx="214">
                  <c:v>8.83</c:v>
                </c:pt>
                <c:pt idx="215">
                  <c:v>8.24</c:v>
                </c:pt>
                <c:pt idx="216">
                  <c:v>7.66</c:v>
                </c:pt>
                <c:pt idx="217">
                  <c:v>8.34</c:v>
                </c:pt>
                <c:pt idx="218">
                  <c:v>8.69</c:v>
                </c:pt>
                <c:pt idx="219">
                  <c:v>8.6300000000000008</c:v>
                </c:pt>
                <c:pt idx="220">
                  <c:v>7.96</c:v>
                </c:pt>
                <c:pt idx="221">
                  <c:v>8.43</c:v>
                </c:pt>
                <c:pt idx="222">
                  <c:v>8.67</c:v>
                </c:pt>
                <c:pt idx="223">
                  <c:v>8.27</c:v>
                </c:pt>
                <c:pt idx="224">
                  <c:v>8.9499999999999993</c:v>
                </c:pt>
                <c:pt idx="225">
                  <c:v>8.7799999999999994</c:v>
                </c:pt>
                <c:pt idx="226">
                  <c:v>8.36</c:v>
                </c:pt>
                <c:pt idx="227">
                  <c:v>8.01</c:v>
                </c:pt>
                <c:pt idx="228">
                  <c:v>8.57</c:v>
                </c:pt>
                <c:pt idx="229">
                  <c:v>8.7100000000000009</c:v>
                </c:pt>
                <c:pt idx="230">
                  <c:v>8.1300000000000008</c:v>
                </c:pt>
                <c:pt idx="231">
                  <c:v>8.5299999999999994</c:v>
                </c:pt>
                <c:pt idx="232">
                  <c:v>8.7100000000000009</c:v>
                </c:pt>
                <c:pt idx="233">
                  <c:v>8.4</c:v>
                </c:pt>
                <c:pt idx="234">
                  <c:v>8.4499999999999993</c:v>
                </c:pt>
                <c:pt idx="235">
                  <c:v>8.85</c:v>
                </c:pt>
                <c:pt idx="236">
                  <c:v>8.43</c:v>
                </c:pt>
                <c:pt idx="237">
                  <c:v>8.7200000000000006</c:v>
                </c:pt>
                <c:pt idx="238">
                  <c:v>8.56</c:v>
                </c:pt>
                <c:pt idx="239">
                  <c:v>7.69</c:v>
                </c:pt>
                <c:pt idx="240">
                  <c:v>8.7899999999999991</c:v>
                </c:pt>
                <c:pt idx="241">
                  <c:v>9.1</c:v>
                </c:pt>
                <c:pt idx="242">
                  <c:v>8.5500000000000007</c:v>
                </c:pt>
                <c:pt idx="243">
                  <c:v>8.07</c:v>
                </c:pt>
                <c:pt idx="244">
                  <c:v>8.92</c:v>
                </c:pt>
                <c:pt idx="245">
                  <c:v>8.84</c:v>
                </c:pt>
                <c:pt idx="246">
                  <c:v>8.6999999999999993</c:v>
                </c:pt>
                <c:pt idx="247">
                  <c:v>8.51</c:v>
                </c:pt>
                <c:pt idx="248">
                  <c:v>8.35</c:v>
                </c:pt>
                <c:pt idx="249">
                  <c:v>7.87</c:v>
                </c:pt>
                <c:pt idx="250">
                  <c:v>0.76</c:v>
                </c:pt>
                <c:pt idx="251">
                  <c:v>8.48</c:v>
                </c:pt>
                <c:pt idx="252">
                  <c:v>8.6999999999999993</c:v>
                </c:pt>
                <c:pt idx="253">
                  <c:v>8.6</c:v>
                </c:pt>
                <c:pt idx="254">
                  <c:v>8.41</c:v>
                </c:pt>
                <c:pt idx="255">
                  <c:v>8.74</c:v>
                </c:pt>
                <c:pt idx="256">
                  <c:v>8.66</c:v>
                </c:pt>
                <c:pt idx="257">
                  <c:v>8.2200000000000006</c:v>
                </c:pt>
                <c:pt idx="258">
                  <c:v>8.32</c:v>
                </c:pt>
                <c:pt idx="259">
                  <c:v>8.92</c:v>
                </c:pt>
                <c:pt idx="260">
                  <c:v>8.8699999999999992</c:v>
                </c:pt>
                <c:pt idx="261">
                  <c:v>8.7200000000000006</c:v>
                </c:pt>
                <c:pt idx="262">
                  <c:v>7.94</c:v>
                </c:pt>
                <c:pt idx="263">
                  <c:v>8.91</c:v>
                </c:pt>
                <c:pt idx="264">
                  <c:v>7.84</c:v>
                </c:pt>
                <c:pt idx="265">
                  <c:v>8.73</c:v>
                </c:pt>
                <c:pt idx="266">
                  <c:v>8.68</c:v>
                </c:pt>
                <c:pt idx="267">
                  <c:v>8</c:v>
                </c:pt>
                <c:pt idx="268">
                  <c:v>5.9</c:v>
                </c:pt>
                <c:pt idx="269">
                  <c:v>9.77</c:v>
                </c:pt>
                <c:pt idx="270">
                  <c:v>8.06</c:v>
                </c:pt>
                <c:pt idx="271">
                  <c:v>8.83</c:v>
                </c:pt>
                <c:pt idx="272">
                  <c:v>8.5299999999999994</c:v>
                </c:pt>
                <c:pt idx="273">
                  <c:v>8.5</c:v>
                </c:pt>
                <c:pt idx="274">
                  <c:v>8.59</c:v>
                </c:pt>
                <c:pt idx="275">
                  <c:v>8.83</c:v>
                </c:pt>
                <c:pt idx="276">
                  <c:v>8.19</c:v>
                </c:pt>
                <c:pt idx="277">
                  <c:v>8.7100000000000009</c:v>
                </c:pt>
                <c:pt idx="278">
                  <c:v>9.0299999999999994</c:v>
                </c:pt>
                <c:pt idx="279">
                  <c:v>8.2200000000000006</c:v>
                </c:pt>
                <c:pt idx="280">
                  <c:v>8.7899999999999991</c:v>
                </c:pt>
                <c:pt idx="281">
                  <c:v>8.69</c:v>
                </c:pt>
                <c:pt idx="282">
                  <c:v>8.52</c:v>
                </c:pt>
                <c:pt idx="283">
                  <c:v>7.94</c:v>
                </c:pt>
                <c:pt idx="284">
                  <c:v>8.7100000000000009</c:v>
                </c:pt>
                <c:pt idx="285">
                  <c:v>8.31</c:v>
                </c:pt>
                <c:pt idx="286">
                  <c:v>9.01</c:v>
                </c:pt>
                <c:pt idx="287">
                  <c:v>8.69</c:v>
                </c:pt>
                <c:pt idx="288">
                  <c:v>8.18</c:v>
                </c:pt>
                <c:pt idx="289">
                  <c:v>8.9700000000000006</c:v>
                </c:pt>
                <c:pt idx="290">
                  <c:v>6.98</c:v>
                </c:pt>
                <c:pt idx="291">
                  <c:v>8.5</c:v>
                </c:pt>
                <c:pt idx="292">
                  <c:v>8.1</c:v>
                </c:pt>
                <c:pt idx="293">
                  <c:v>8.9700000000000006</c:v>
                </c:pt>
                <c:pt idx="294">
                  <c:v>8.56</c:v>
                </c:pt>
                <c:pt idx="295">
                  <c:v>8.51</c:v>
                </c:pt>
                <c:pt idx="296">
                  <c:v>8.69</c:v>
                </c:pt>
                <c:pt idx="297">
                  <c:v>8.64</c:v>
                </c:pt>
                <c:pt idx="298">
                  <c:v>9.0299999999999994</c:v>
                </c:pt>
                <c:pt idx="299">
                  <c:v>9.33</c:v>
                </c:pt>
                <c:pt idx="300">
                  <c:v>8.31</c:v>
                </c:pt>
                <c:pt idx="301">
                  <c:v>8.8800000000000008</c:v>
                </c:pt>
                <c:pt idx="302">
                  <c:v>8.48</c:v>
                </c:pt>
                <c:pt idx="303">
                  <c:v>8.34</c:v>
                </c:pt>
                <c:pt idx="304">
                  <c:v>3.65</c:v>
                </c:pt>
                <c:pt idx="305">
                  <c:v>9.09</c:v>
                </c:pt>
                <c:pt idx="306">
                  <c:v>6.97</c:v>
                </c:pt>
                <c:pt idx="307">
                  <c:v>8.0500000000000007</c:v>
                </c:pt>
                <c:pt idx="308">
                  <c:v>8.2100000000000009</c:v>
                </c:pt>
                <c:pt idx="309">
                  <c:v>8.08</c:v>
                </c:pt>
                <c:pt idx="310">
                  <c:v>8.3699999999999992</c:v>
                </c:pt>
                <c:pt idx="311">
                  <c:v>8.92</c:v>
                </c:pt>
                <c:pt idx="312">
                  <c:v>8.61</c:v>
                </c:pt>
                <c:pt idx="313">
                  <c:v>8.4700000000000006</c:v>
                </c:pt>
                <c:pt idx="314">
                  <c:v>8</c:v>
                </c:pt>
                <c:pt idx="315">
                  <c:v>8.9499999999999993</c:v>
                </c:pt>
                <c:pt idx="316">
                  <c:v>7.96</c:v>
                </c:pt>
                <c:pt idx="317">
                  <c:v>7.8</c:v>
                </c:pt>
                <c:pt idx="318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D-8446-86E2-7AF6AAA56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348160"/>
        <c:axId val="469349952"/>
      </c:scatterChart>
      <c:valAx>
        <c:axId val="469348160"/>
        <c:scaling>
          <c:orientation val="minMax"/>
          <c:max val="2.5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349952"/>
        <c:crosses val="autoZero"/>
        <c:crossBetween val="midCat"/>
      </c:valAx>
      <c:valAx>
        <c:axId val="469349952"/>
        <c:scaling>
          <c:orientation val="minMax"/>
          <c:max val="1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34816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Año del álbum vs fecha en que lo reseñé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Graficos!$AU$2102</c:f>
              <c:strCache>
                <c:ptCount val="1"/>
                <c:pt idx="0">
                  <c:v>Año del álbum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Graficos!$AT$2103:$AT$2421</c:f>
              <c:numCache>
                <c:formatCode>General</c:formatCode>
                <c:ptCount val="319"/>
                <c:pt idx="0">
                  <c:v>2026.4032</c:v>
                </c:pt>
                <c:pt idx="1">
                  <c:v>2026.2043000000001</c:v>
                </c:pt>
                <c:pt idx="2">
                  <c:v>2026.0429999999999</c:v>
                </c:pt>
                <c:pt idx="3">
                  <c:v>2026.0429999999999</c:v>
                </c:pt>
                <c:pt idx="4">
                  <c:v>2026.0456999999999</c:v>
                </c:pt>
                <c:pt idx="5">
                  <c:v>2026.0429999999999</c:v>
                </c:pt>
                <c:pt idx="6">
                  <c:v>2026.0429999999999</c:v>
                </c:pt>
                <c:pt idx="7">
                  <c:v>2026.2742000000001</c:v>
                </c:pt>
                <c:pt idx="8">
                  <c:v>2026.0456999999999</c:v>
                </c:pt>
                <c:pt idx="9">
                  <c:v>2026.0429999999999</c:v>
                </c:pt>
                <c:pt idx="10">
                  <c:v>2026.0429999999999</c:v>
                </c:pt>
                <c:pt idx="11">
                  <c:v>2026.0456999999999</c:v>
                </c:pt>
                <c:pt idx="12">
                  <c:v>2026.0429999999999</c:v>
                </c:pt>
                <c:pt idx="13">
                  <c:v>2026.0429999999999</c:v>
                </c:pt>
                <c:pt idx="14">
                  <c:v>2026.0941</c:v>
                </c:pt>
                <c:pt idx="15">
                  <c:v>2026.0941</c:v>
                </c:pt>
                <c:pt idx="16">
                  <c:v>2026.0564999999999</c:v>
                </c:pt>
                <c:pt idx="17">
                  <c:v>2026.0456999999999</c:v>
                </c:pt>
                <c:pt idx="18">
                  <c:v>2026.2742000000001</c:v>
                </c:pt>
                <c:pt idx="19">
                  <c:v>2026.0483999999999</c:v>
                </c:pt>
                <c:pt idx="20">
                  <c:v>2026.0483999999999</c:v>
                </c:pt>
                <c:pt idx="21">
                  <c:v>2026.0483999999999</c:v>
                </c:pt>
                <c:pt idx="22">
                  <c:v>2026.0510999999999</c:v>
                </c:pt>
                <c:pt idx="23">
                  <c:v>2026.0590999999999</c:v>
                </c:pt>
                <c:pt idx="24">
                  <c:v>2026.0510999999999</c:v>
                </c:pt>
                <c:pt idx="25">
                  <c:v>2026.0483999999999</c:v>
                </c:pt>
                <c:pt idx="26">
                  <c:v>2026.0510999999999</c:v>
                </c:pt>
                <c:pt idx="27">
                  <c:v>2026.0510999999999</c:v>
                </c:pt>
                <c:pt idx="28">
                  <c:v>2026.0537999999999</c:v>
                </c:pt>
                <c:pt idx="29">
                  <c:v>2026.0537999999999</c:v>
                </c:pt>
                <c:pt idx="30">
                  <c:v>2026.0564999999999</c:v>
                </c:pt>
                <c:pt idx="31">
                  <c:v>2026.0590999999999</c:v>
                </c:pt>
                <c:pt idx="32">
                  <c:v>2026.0617999999999</c:v>
                </c:pt>
                <c:pt idx="33">
                  <c:v>2026.0617999999999</c:v>
                </c:pt>
                <c:pt idx="34">
                  <c:v>2026.0617999999999</c:v>
                </c:pt>
                <c:pt idx="35">
                  <c:v>2026.0645</c:v>
                </c:pt>
                <c:pt idx="36">
                  <c:v>2026.0645</c:v>
                </c:pt>
                <c:pt idx="37">
                  <c:v>2026.0645</c:v>
                </c:pt>
                <c:pt idx="38">
                  <c:v>2026.0672</c:v>
                </c:pt>
                <c:pt idx="39">
                  <c:v>2026.0672</c:v>
                </c:pt>
                <c:pt idx="40">
                  <c:v>2026.1532</c:v>
                </c:pt>
                <c:pt idx="41">
                  <c:v>2026.0726</c:v>
                </c:pt>
                <c:pt idx="42">
                  <c:v>2026.0726</c:v>
                </c:pt>
                <c:pt idx="43">
                  <c:v>2026.0753</c:v>
                </c:pt>
                <c:pt idx="44">
                  <c:v>2026.0753</c:v>
                </c:pt>
                <c:pt idx="45">
                  <c:v>2026.078</c:v>
                </c:pt>
                <c:pt idx="46">
                  <c:v>2026.0806</c:v>
                </c:pt>
                <c:pt idx="47">
                  <c:v>2026.0806</c:v>
                </c:pt>
                <c:pt idx="48">
                  <c:v>2026.086</c:v>
                </c:pt>
                <c:pt idx="49">
                  <c:v>2026.086</c:v>
                </c:pt>
                <c:pt idx="50">
                  <c:v>2026.0914</c:v>
                </c:pt>
                <c:pt idx="51">
                  <c:v>2026.0887</c:v>
                </c:pt>
                <c:pt idx="52">
                  <c:v>2026.0914</c:v>
                </c:pt>
                <c:pt idx="53">
                  <c:v>2026.0968</c:v>
                </c:pt>
                <c:pt idx="54">
                  <c:v>2026.1075000000001</c:v>
                </c:pt>
                <c:pt idx="55">
                  <c:v>2026.1102000000001</c:v>
                </c:pt>
                <c:pt idx="56">
                  <c:v>2026.1102000000001</c:v>
                </c:pt>
                <c:pt idx="57">
                  <c:v>2026.1129000000001</c:v>
                </c:pt>
                <c:pt idx="58">
                  <c:v>2026.1156000000001</c:v>
                </c:pt>
                <c:pt idx="59">
                  <c:v>2026.1210000000001</c:v>
                </c:pt>
                <c:pt idx="60">
                  <c:v>2026.1210000000001</c:v>
                </c:pt>
                <c:pt idx="61">
                  <c:v>2026.1262999999999</c:v>
                </c:pt>
                <c:pt idx="62">
                  <c:v>2026.1237000000001</c:v>
                </c:pt>
                <c:pt idx="63">
                  <c:v>2026.1289999999999</c:v>
                </c:pt>
                <c:pt idx="64">
                  <c:v>2026.1289999999999</c:v>
                </c:pt>
                <c:pt idx="65">
                  <c:v>2026.1316999999999</c:v>
                </c:pt>
                <c:pt idx="66">
                  <c:v>2026.1343999999999</c:v>
                </c:pt>
                <c:pt idx="67">
                  <c:v>2026.1397999999999</c:v>
                </c:pt>
                <c:pt idx="68">
                  <c:v>2026.1343999999999</c:v>
                </c:pt>
                <c:pt idx="69">
                  <c:v>2026.1424999999999</c:v>
                </c:pt>
                <c:pt idx="70">
                  <c:v>2026.1451999999999</c:v>
                </c:pt>
                <c:pt idx="71">
                  <c:v>2026.1451999999999</c:v>
                </c:pt>
                <c:pt idx="72">
                  <c:v>2026.0726</c:v>
                </c:pt>
                <c:pt idx="73">
                  <c:v>2026.1478</c:v>
                </c:pt>
                <c:pt idx="74">
                  <c:v>2026.1505</c:v>
                </c:pt>
                <c:pt idx="75">
                  <c:v>2026.1532</c:v>
                </c:pt>
                <c:pt idx="76">
                  <c:v>2026.1532</c:v>
                </c:pt>
                <c:pt idx="77">
                  <c:v>2026.1532</c:v>
                </c:pt>
                <c:pt idx="78">
                  <c:v>2026.1532</c:v>
                </c:pt>
                <c:pt idx="79">
                  <c:v>2026.1559</c:v>
                </c:pt>
                <c:pt idx="80">
                  <c:v>2026.1559</c:v>
                </c:pt>
                <c:pt idx="81">
                  <c:v>2026.1559</c:v>
                </c:pt>
                <c:pt idx="82">
                  <c:v>2026.1667</c:v>
                </c:pt>
                <c:pt idx="83">
                  <c:v>2026.1694</c:v>
                </c:pt>
                <c:pt idx="84">
                  <c:v>2026.1694</c:v>
                </c:pt>
                <c:pt idx="85">
                  <c:v>2026.172</c:v>
                </c:pt>
                <c:pt idx="86">
                  <c:v>2026.1747</c:v>
                </c:pt>
                <c:pt idx="87">
                  <c:v>2026.1774</c:v>
                </c:pt>
                <c:pt idx="88">
                  <c:v>2026.1801</c:v>
                </c:pt>
                <c:pt idx="89">
                  <c:v>2026.1774</c:v>
                </c:pt>
                <c:pt idx="90">
                  <c:v>2026.1801</c:v>
                </c:pt>
                <c:pt idx="91">
                  <c:v>2026.1828</c:v>
                </c:pt>
                <c:pt idx="92">
                  <c:v>2026.1882000000001</c:v>
                </c:pt>
                <c:pt idx="93">
                  <c:v>2026.1909000000001</c:v>
                </c:pt>
                <c:pt idx="94">
                  <c:v>2026.1935000000001</c:v>
                </c:pt>
                <c:pt idx="95">
                  <c:v>2026.1962000000001</c:v>
                </c:pt>
                <c:pt idx="96">
                  <c:v>2026.1962000000001</c:v>
                </c:pt>
                <c:pt idx="97">
                  <c:v>2026.1989000000001</c:v>
                </c:pt>
                <c:pt idx="98">
                  <c:v>2026.2043000000001</c:v>
                </c:pt>
                <c:pt idx="99">
                  <c:v>2026.2043000000001</c:v>
                </c:pt>
                <c:pt idx="100">
                  <c:v>2026.2043000000001</c:v>
                </c:pt>
                <c:pt idx="101">
                  <c:v>2026.2070000000001</c:v>
                </c:pt>
                <c:pt idx="102">
                  <c:v>2026.2097000000001</c:v>
                </c:pt>
                <c:pt idx="103">
                  <c:v>2026.2070000000001</c:v>
                </c:pt>
                <c:pt idx="104">
                  <c:v>2026.2123999999999</c:v>
                </c:pt>
                <c:pt idx="105">
                  <c:v>2026.2150999999999</c:v>
                </c:pt>
                <c:pt idx="106">
                  <c:v>2026.2176999999999</c:v>
                </c:pt>
                <c:pt idx="107">
                  <c:v>2026.2230999999999</c:v>
                </c:pt>
                <c:pt idx="108">
                  <c:v>2026.2176999999999</c:v>
                </c:pt>
                <c:pt idx="109">
                  <c:v>2026.2257999999999</c:v>
                </c:pt>
                <c:pt idx="110">
                  <c:v>2026.2311999999999</c:v>
                </c:pt>
                <c:pt idx="111">
                  <c:v>2026.2311999999999</c:v>
                </c:pt>
                <c:pt idx="112">
                  <c:v>2026.2311999999999</c:v>
                </c:pt>
                <c:pt idx="113">
                  <c:v>2026.2338999999999</c:v>
                </c:pt>
                <c:pt idx="114">
                  <c:v>2026.2338999999999</c:v>
                </c:pt>
                <c:pt idx="115">
                  <c:v>2026.2366</c:v>
                </c:pt>
                <c:pt idx="116">
                  <c:v>2026.2366</c:v>
                </c:pt>
                <c:pt idx="117">
                  <c:v>2026.2419</c:v>
                </c:pt>
                <c:pt idx="118">
                  <c:v>2026.2446</c:v>
                </c:pt>
                <c:pt idx="119">
                  <c:v>2026.2446</c:v>
                </c:pt>
                <c:pt idx="120">
                  <c:v>2026.2473</c:v>
                </c:pt>
                <c:pt idx="121">
                  <c:v>2026.2473</c:v>
                </c:pt>
                <c:pt idx="122">
                  <c:v>2026.25</c:v>
                </c:pt>
                <c:pt idx="123">
                  <c:v>2026.2634</c:v>
                </c:pt>
                <c:pt idx="124">
                  <c:v>2026.2634</c:v>
                </c:pt>
                <c:pt idx="125">
                  <c:v>2026.2634</c:v>
                </c:pt>
                <c:pt idx="126">
                  <c:v>2026.2661000000001</c:v>
                </c:pt>
                <c:pt idx="127">
                  <c:v>2026.2688000000001</c:v>
                </c:pt>
                <c:pt idx="128">
                  <c:v>2026.2715000000001</c:v>
                </c:pt>
                <c:pt idx="129">
                  <c:v>2026.2742000000001</c:v>
                </c:pt>
                <c:pt idx="130">
                  <c:v>2026.2823000000001</c:v>
                </c:pt>
                <c:pt idx="131">
                  <c:v>2026.2823000000001</c:v>
                </c:pt>
                <c:pt idx="132">
                  <c:v>2026.2849000000001</c:v>
                </c:pt>
                <c:pt idx="133">
                  <c:v>2026.2876000000001</c:v>
                </c:pt>
                <c:pt idx="134">
                  <c:v>2026.2876000000001</c:v>
                </c:pt>
                <c:pt idx="135">
                  <c:v>2026.2876000000001</c:v>
                </c:pt>
                <c:pt idx="136">
                  <c:v>2026.2902999999999</c:v>
                </c:pt>
                <c:pt idx="137">
                  <c:v>2026.2902999999999</c:v>
                </c:pt>
                <c:pt idx="138">
                  <c:v>2026.2929999999999</c:v>
                </c:pt>
                <c:pt idx="139">
                  <c:v>2026.3010999999999</c:v>
                </c:pt>
                <c:pt idx="140">
                  <c:v>2026.3064999999999</c:v>
                </c:pt>
                <c:pt idx="141">
                  <c:v>2026.3064999999999</c:v>
                </c:pt>
                <c:pt idx="142">
                  <c:v>2026.3064999999999</c:v>
                </c:pt>
                <c:pt idx="143">
                  <c:v>2026.3090999999999</c:v>
                </c:pt>
                <c:pt idx="144">
                  <c:v>2026.3117999999999</c:v>
                </c:pt>
                <c:pt idx="145">
                  <c:v>2026.3145</c:v>
                </c:pt>
                <c:pt idx="146">
                  <c:v>2026.3172</c:v>
                </c:pt>
                <c:pt idx="147">
                  <c:v>2026.3199</c:v>
                </c:pt>
                <c:pt idx="148">
                  <c:v>2026.3199</c:v>
                </c:pt>
                <c:pt idx="149">
                  <c:v>2026.3226</c:v>
                </c:pt>
                <c:pt idx="150">
                  <c:v>2026.3226</c:v>
                </c:pt>
                <c:pt idx="151">
                  <c:v>2026.3253</c:v>
                </c:pt>
                <c:pt idx="152">
                  <c:v>2026.328</c:v>
                </c:pt>
                <c:pt idx="153">
                  <c:v>2026.3414</c:v>
                </c:pt>
                <c:pt idx="154">
                  <c:v>2026.3441</c:v>
                </c:pt>
                <c:pt idx="155">
                  <c:v>2026.3441</c:v>
                </c:pt>
                <c:pt idx="156">
                  <c:v>2026.3468</c:v>
                </c:pt>
                <c:pt idx="157">
                  <c:v>2026.3495</c:v>
                </c:pt>
                <c:pt idx="158">
                  <c:v>2026.3522</c:v>
                </c:pt>
                <c:pt idx="159">
                  <c:v>2026.3548000000001</c:v>
                </c:pt>
                <c:pt idx="160">
                  <c:v>2026.3602000000001</c:v>
                </c:pt>
                <c:pt idx="161">
                  <c:v>2026.3629000000001</c:v>
                </c:pt>
                <c:pt idx="162">
                  <c:v>2026.3629000000001</c:v>
                </c:pt>
                <c:pt idx="163">
                  <c:v>2026.3656000000001</c:v>
                </c:pt>
                <c:pt idx="164">
                  <c:v>2026.3683000000001</c:v>
                </c:pt>
                <c:pt idx="165">
                  <c:v>2026.3710000000001</c:v>
                </c:pt>
                <c:pt idx="166">
                  <c:v>2026.3737000000001</c:v>
                </c:pt>
                <c:pt idx="167">
                  <c:v>2026.3789999999999</c:v>
                </c:pt>
                <c:pt idx="168">
                  <c:v>2026.3789999999999</c:v>
                </c:pt>
                <c:pt idx="169">
                  <c:v>2026.3789999999999</c:v>
                </c:pt>
                <c:pt idx="170">
                  <c:v>2026.3816999999999</c:v>
                </c:pt>
                <c:pt idx="171">
                  <c:v>2026.3789999999999</c:v>
                </c:pt>
                <c:pt idx="172">
                  <c:v>2026.3575000000001</c:v>
                </c:pt>
                <c:pt idx="173">
                  <c:v>2026.3710000000001</c:v>
                </c:pt>
                <c:pt idx="174">
                  <c:v>2026.3843999999999</c:v>
                </c:pt>
                <c:pt idx="175">
                  <c:v>2026.3870999999999</c:v>
                </c:pt>
                <c:pt idx="176">
                  <c:v>2026.3870999999999</c:v>
                </c:pt>
                <c:pt idx="177">
                  <c:v>2026.3897999999999</c:v>
                </c:pt>
                <c:pt idx="178">
                  <c:v>2026.3897999999999</c:v>
                </c:pt>
                <c:pt idx="179">
                  <c:v>2026.3951999999999</c:v>
                </c:pt>
                <c:pt idx="180">
                  <c:v>2026.3951999999999</c:v>
                </c:pt>
                <c:pt idx="181">
                  <c:v>2026.3978</c:v>
                </c:pt>
                <c:pt idx="182">
                  <c:v>2026.3978</c:v>
                </c:pt>
                <c:pt idx="183">
                  <c:v>2026.4005</c:v>
                </c:pt>
                <c:pt idx="184">
                  <c:v>2026.4005</c:v>
                </c:pt>
                <c:pt idx="185">
                  <c:v>2026.4005</c:v>
                </c:pt>
                <c:pt idx="186">
                  <c:v>2026.4059</c:v>
                </c:pt>
                <c:pt idx="187">
                  <c:v>2026.4059</c:v>
                </c:pt>
                <c:pt idx="188">
                  <c:v>2026.4059</c:v>
                </c:pt>
                <c:pt idx="189">
                  <c:v>2026.4086</c:v>
                </c:pt>
                <c:pt idx="190">
                  <c:v>2026.4113</c:v>
                </c:pt>
                <c:pt idx="191">
                  <c:v>2026.414</c:v>
                </c:pt>
                <c:pt idx="192">
                  <c:v>2026.4167</c:v>
                </c:pt>
                <c:pt idx="193">
                  <c:v>2026.4167</c:v>
                </c:pt>
                <c:pt idx="194">
                  <c:v>2026.4194</c:v>
                </c:pt>
                <c:pt idx="195">
                  <c:v>2026.4194</c:v>
                </c:pt>
                <c:pt idx="196">
                  <c:v>2026.422</c:v>
                </c:pt>
                <c:pt idx="197">
                  <c:v>2026.4247</c:v>
                </c:pt>
                <c:pt idx="198">
                  <c:v>2026.4274</c:v>
                </c:pt>
                <c:pt idx="199">
                  <c:v>2026.4274</c:v>
                </c:pt>
                <c:pt idx="200">
                  <c:v>2026.4301</c:v>
                </c:pt>
                <c:pt idx="201">
                  <c:v>2026.4328</c:v>
                </c:pt>
                <c:pt idx="202">
                  <c:v>2026.4355</c:v>
                </c:pt>
                <c:pt idx="203">
                  <c:v>2026.4382000000001</c:v>
                </c:pt>
                <c:pt idx="204">
                  <c:v>2026.4382000000001</c:v>
                </c:pt>
                <c:pt idx="205">
                  <c:v>2026.4409000000001</c:v>
                </c:pt>
                <c:pt idx="206">
                  <c:v>2026.4409000000001</c:v>
                </c:pt>
                <c:pt idx="207">
                  <c:v>2026.4435000000001</c:v>
                </c:pt>
                <c:pt idx="208">
                  <c:v>2026.4462000000001</c:v>
                </c:pt>
                <c:pt idx="209">
                  <c:v>2026.4462000000001</c:v>
                </c:pt>
                <c:pt idx="210">
                  <c:v>2026.4489000000001</c:v>
                </c:pt>
                <c:pt idx="211">
                  <c:v>2026.4516000000001</c:v>
                </c:pt>
                <c:pt idx="212">
                  <c:v>2026.4543000000001</c:v>
                </c:pt>
                <c:pt idx="213">
                  <c:v>2026.4516000000001</c:v>
                </c:pt>
                <c:pt idx="214">
                  <c:v>2026.4570000000001</c:v>
                </c:pt>
                <c:pt idx="215">
                  <c:v>2026.4597000000001</c:v>
                </c:pt>
                <c:pt idx="216">
                  <c:v>2026.4597000000001</c:v>
                </c:pt>
                <c:pt idx="217">
                  <c:v>2026.4623999999999</c:v>
                </c:pt>
                <c:pt idx="218">
                  <c:v>2026.4623999999999</c:v>
                </c:pt>
                <c:pt idx="219">
                  <c:v>2026.4650999999999</c:v>
                </c:pt>
                <c:pt idx="220">
                  <c:v>2026.4730999999999</c:v>
                </c:pt>
                <c:pt idx="221">
                  <c:v>2026.4730999999999</c:v>
                </c:pt>
                <c:pt idx="222">
                  <c:v>2026.4730999999999</c:v>
                </c:pt>
                <c:pt idx="223">
                  <c:v>2026.4757999999999</c:v>
                </c:pt>
                <c:pt idx="224">
                  <c:v>2026.4784999999999</c:v>
                </c:pt>
                <c:pt idx="225">
                  <c:v>2026.4784999999999</c:v>
                </c:pt>
                <c:pt idx="226">
                  <c:v>2026.4811999999999</c:v>
                </c:pt>
                <c:pt idx="227">
                  <c:v>2026.4919</c:v>
                </c:pt>
                <c:pt idx="228">
                  <c:v>2026.4838999999999</c:v>
                </c:pt>
                <c:pt idx="229">
                  <c:v>2026.4946</c:v>
                </c:pt>
                <c:pt idx="230">
                  <c:v>2026.4946</c:v>
                </c:pt>
                <c:pt idx="231">
                  <c:v>2026.4946</c:v>
                </c:pt>
                <c:pt idx="232">
                  <c:v>2026.5</c:v>
                </c:pt>
                <c:pt idx="233">
                  <c:v>2026.5</c:v>
                </c:pt>
                <c:pt idx="234">
                  <c:v>2026.5</c:v>
                </c:pt>
                <c:pt idx="235">
                  <c:v>2026.5027</c:v>
                </c:pt>
                <c:pt idx="236">
                  <c:v>2026.5027</c:v>
                </c:pt>
                <c:pt idx="237">
                  <c:v>2026.5054</c:v>
                </c:pt>
                <c:pt idx="238">
                  <c:v>2026.5108</c:v>
                </c:pt>
                <c:pt idx="239">
                  <c:v>2026.5134</c:v>
                </c:pt>
                <c:pt idx="240">
                  <c:v>2026.5134</c:v>
                </c:pt>
                <c:pt idx="241">
                  <c:v>2026.5134</c:v>
                </c:pt>
                <c:pt idx="242">
                  <c:v>2026.5161000000001</c:v>
                </c:pt>
                <c:pt idx="243">
                  <c:v>2026.5188000000001</c:v>
                </c:pt>
                <c:pt idx="244">
                  <c:v>2026.5215000000001</c:v>
                </c:pt>
                <c:pt idx="245">
                  <c:v>2026.5296000000001</c:v>
                </c:pt>
                <c:pt idx="246">
                  <c:v>2026.5376000000001</c:v>
                </c:pt>
                <c:pt idx="247">
                  <c:v>2026.5296000000001</c:v>
                </c:pt>
                <c:pt idx="248">
                  <c:v>2026.5376000000001</c:v>
                </c:pt>
                <c:pt idx="249">
                  <c:v>2026.5402999999999</c:v>
                </c:pt>
                <c:pt idx="250">
                  <c:v>2026.5429999999999</c:v>
                </c:pt>
                <c:pt idx="251">
                  <c:v>2026.5429999999999</c:v>
                </c:pt>
                <c:pt idx="252">
                  <c:v>2026.5429999999999</c:v>
                </c:pt>
                <c:pt idx="253">
                  <c:v>2026.5456999999999</c:v>
                </c:pt>
                <c:pt idx="254">
                  <c:v>2026.5456999999999</c:v>
                </c:pt>
                <c:pt idx="255">
                  <c:v>2026.5510999999999</c:v>
                </c:pt>
                <c:pt idx="256">
                  <c:v>2026.5510999999999</c:v>
                </c:pt>
                <c:pt idx="257">
                  <c:v>2026.5537999999999</c:v>
                </c:pt>
                <c:pt idx="258">
                  <c:v>2026.5564999999999</c:v>
                </c:pt>
                <c:pt idx="259">
                  <c:v>2026.5564999999999</c:v>
                </c:pt>
                <c:pt idx="260">
                  <c:v>2026.5590999999999</c:v>
                </c:pt>
                <c:pt idx="261">
                  <c:v>2026.5590999999999</c:v>
                </c:pt>
                <c:pt idx="262">
                  <c:v>2026.5617999999999</c:v>
                </c:pt>
                <c:pt idx="263">
                  <c:v>2026.5645</c:v>
                </c:pt>
                <c:pt idx="264">
                  <c:v>2026.5672</c:v>
                </c:pt>
                <c:pt idx="265">
                  <c:v>2026.5672</c:v>
                </c:pt>
                <c:pt idx="266">
                  <c:v>2026.5699</c:v>
                </c:pt>
                <c:pt idx="267">
                  <c:v>2026.5726</c:v>
                </c:pt>
                <c:pt idx="268">
                  <c:v>2026.5726</c:v>
                </c:pt>
                <c:pt idx="269">
                  <c:v>2026.5806</c:v>
                </c:pt>
                <c:pt idx="270">
                  <c:v>2026.578</c:v>
                </c:pt>
                <c:pt idx="271">
                  <c:v>2026.6048000000001</c:v>
                </c:pt>
                <c:pt idx="272">
                  <c:v>2026.6048000000001</c:v>
                </c:pt>
                <c:pt idx="273">
                  <c:v>2026.6048000000001</c:v>
                </c:pt>
                <c:pt idx="274">
                  <c:v>2026.6129000000001</c:v>
                </c:pt>
                <c:pt idx="275">
                  <c:v>2026.6210000000001</c:v>
                </c:pt>
                <c:pt idx="276">
                  <c:v>2026.6210000000001</c:v>
                </c:pt>
                <c:pt idx="277">
                  <c:v>2026.6316999999999</c:v>
                </c:pt>
                <c:pt idx="278">
                  <c:v>2026.6316999999999</c:v>
                </c:pt>
                <c:pt idx="279">
                  <c:v>2026.6397999999999</c:v>
                </c:pt>
                <c:pt idx="280">
                  <c:v>2026.6451999999999</c:v>
                </c:pt>
                <c:pt idx="281">
                  <c:v>2026.6370999999999</c:v>
                </c:pt>
                <c:pt idx="282">
                  <c:v>2026.6343999999999</c:v>
                </c:pt>
                <c:pt idx="283">
                  <c:v>2026.6505</c:v>
                </c:pt>
                <c:pt idx="284">
                  <c:v>2026.6505</c:v>
                </c:pt>
                <c:pt idx="285">
                  <c:v>2026.6505</c:v>
                </c:pt>
                <c:pt idx="286">
                  <c:v>2026.6559</c:v>
                </c:pt>
                <c:pt idx="287">
                  <c:v>2026.6586</c:v>
                </c:pt>
                <c:pt idx="288">
                  <c:v>2026.6613</c:v>
                </c:pt>
                <c:pt idx="289">
                  <c:v>2026.6667</c:v>
                </c:pt>
                <c:pt idx="290">
                  <c:v>2026.6694</c:v>
                </c:pt>
                <c:pt idx="291">
                  <c:v>2026.6694</c:v>
                </c:pt>
                <c:pt idx="292">
                  <c:v>2026.6747</c:v>
                </c:pt>
                <c:pt idx="293">
                  <c:v>2026.6801</c:v>
                </c:pt>
                <c:pt idx="294">
                  <c:v>2026.6882000000001</c:v>
                </c:pt>
                <c:pt idx="295">
                  <c:v>2026.6935000000001</c:v>
                </c:pt>
                <c:pt idx="296">
                  <c:v>2026.7016000000001</c:v>
                </c:pt>
                <c:pt idx="297">
                  <c:v>2026.7070000000001</c:v>
                </c:pt>
                <c:pt idx="298">
                  <c:v>2026.7070000000001</c:v>
                </c:pt>
                <c:pt idx="299">
                  <c:v>2026.7150999999999</c:v>
                </c:pt>
                <c:pt idx="300">
                  <c:v>2026.7176999999999</c:v>
                </c:pt>
                <c:pt idx="301">
                  <c:v>2026.7203999999999</c:v>
                </c:pt>
                <c:pt idx="302">
                  <c:v>2026.7257999999999</c:v>
                </c:pt>
                <c:pt idx="303">
                  <c:v>2026.7257999999999</c:v>
                </c:pt>
                <c:pt idx="304">
                  <c:v>2026.7284999999999</c:v>
                </c:pt>
                <c:pt idx="305">
                  <c:v>2026.7311999999999</c:v>
                </c:pt>
                <c:pt idx="306">
                  <c:v>2026.7338999999999</c:v>
                </c:pt>
                <c:pt idx="307">
                  <c:v>2026.7338999999999</c:v>
                </c:pt>
                <c:pt idx="308">
                  <c:v>2026.7366</c:v>
                </c:pt>
                <c:pt idx="309">
                  <c:v>2026.7419</c:v>
                </c:pt>
                <c:pt idx="310">
                  <c:v>2026.7338999999999</c:v>
                </c:pt>
                <c:pt idx="311">
                  <c:v>2026.7446</c:v>
                </c:pt>
                <c:pt idx="312">
                  <c:v>2026.7527</c:v>
                </c:pt>
                <c:pt idx="313">
                  <c:v>2026.7581</c:v>
                </c:pt>
                <c:pt idx="314">
                  <c:v>2026.7366</c:v>
                </c:pt>
                <c:pt idx="315">
                  <c:v>2026.7608</c:v>
                </c:pt>
                <c:pt idx="316">
                  <c:v>2026.7366</c:v>
                </c:pt>
                <c:pt idx="317">
                  <c:v>2026.7366</c:v>
                </c:pt>
                <c:pt idx="318">
                  <c:v>2026.7366</c:v>
                </c:pt>
              </c:numCache>
            </c:numRef>
          </c:xVal>
          <c:yVal>
            <c:numRef>
              <c:f>Graficos!$AU$2103:$AU$2421</c:f>
              <c:numCache>
                <c:formatCode>General</c:formatCode>
                <c:ptCount val="319"/>
                <c:pt idx="0">
                  <c:v>2001</c:v>
                </c:pt>
                <c:pt idx="1">
                  <c:v>2007</c:v>
                </c:pt>
                <c:pt idx="2">
                  <c:v>2009</c:v>
                </c:pt>
                <c:pt idx="3">
                  <c:v>1982</c:v>
                </c:pt>
                <c:pt idx="4">
                  <c:v>1973</c:v>
                </c:pt>
                <c:pt idx="5">
                  <c:v>2001</c:v>
                </c:pt>
                <c:pt idx="6">
                  <c:v>1985</c:v>
                </c:pt>
                <c:pt idx="7">
                  <c:v>1977</c:v>
                </c:pt>
                <c:pt idx="8">
                  <c:v>1986</c:v>
                </c:pt>
                <c:pt idx="9">
                  <c:v>1998</c:v>
                </c:pt>
                <c:pt idx="10">
                  <c:v>2000</c:v>
                </c:pt>
                <c:pt idx="11">
                  <c:v>1969</c:v>
                </c:pt>
                <c:pt idx="12">
                  <c:v>2020</c:v>
                </c:pt>
                <c:pt idx="13">
                  <c:v>2001</c:v>
                </c:pt>
                <c:pt idx="14">
                  <c:v>1996</c:v>
                </c:pt>
                <c:pt idx="15">
                  <c:v>1997</c:v>
                </c:pt>
                <c:pt idx="16">
                  <c:v>2005</c:v>
                </c:pt>
                <c:pt idx="17">
                  <c:v>2008</c:v>
                </c:pt>
                <c:pt idx="18">
                  <c:v>1992</c:v>
                </c:pt>
                <c:pt idx="19">
                  <c:v>1994</c:v>
                </c:pt>
                <c:pt idx="20">
                  <c:v>1971</c:v>
                </c:pt>
                <c:pt idx="21">
                  <c:v>1990</c:v>
                </c:pt>
                <c:pt idx="22">
                  <c:v>1979</c:v>
                </c:pt>
                <c:pt idx="23">
                  <c:v>2000</c:v>
                </c:pt>
                <c:pt idx="24">
                  <c:v>1993</c:v>
                </c:pt>
                <c:pt idx="25">
                  <c:v>1993</c:v>
                </c:pt>
                <c:pt idx="26">
                  <c:v>2018</c:v>
                </c:pt>
                <c:pt idx="27">
                  <c:v>2005</c:v>
                </c:pt>
                <c:pt idx="28">
                  <c:v>1990</c:v>
                </c:pt>
                <c:pt idx="29">
                  <c:v>1989</c:v>
                </c:pt>
                <c:pt idx="30">
                  <c:v>2021</c:v>
                </c:pt>
                <c:pt idx="31">
                  <c:v>2026</c:v>
                </c:pt>
                <c:pt idx="32">
                  <c:v>1995</c:v>
                </c:pt>
                <c:pt idx="33">
                  <c:v>2002</c:v>
                </c:pt>
                <c:pt idx="34">
                  <c:v>2023</c:v>
                </c:pt>
                <c:pt idx="35">
                  <c:v>2021</c:v>
                </c:pt>
                <c:pt idx="36">
                  <c:v>2007</c:v>
                </c:pt>
                <c:pt idx="37">
                  <c:v>2003</c:v>
                </c:pt>
                <c:pt idx="38">
                  <c:v>2016</c:v>
                </c:pt>
                <c:pt idx="39">
                  <c:v>2016</c:v>
                </c:pt>
                <c:pt idx="40">
                  <c:v>2006</c:v>
                </c:pt>
                <c:pt idx="41">
                  <c:v>2016</c:v>
                </c:pt>
                <c:pt idx="42">
                  <c:v>1983</c:v>
                </c:pt>
                <c:pt idx="43">
                  <c:v>2015</c:v>
                </c:pt>
                <c:pt idx="44">
                  <c:v>2001</c:v>
                </c:pt>
                <c:pt idx="45">
                  <c:v>2013</c:v>
                </c:pt>
                <c:pt idx="46">
                  <c:v>2026</c:v>
                </c:pt>
                <c:pt idx="47">
                  <c:v>2005</c:v>
                </c:pt>
                <c:pt idx="48">
                  <c:v>2026</c:v>
                </c:pt>
                <c:pt idx="49">
                  <c:v>2000</c:v>
                </c:pt>
                <c:pt idx="50">
                  <c:v>1984</c:v>
                </c:pt>
                <c:pt idx="51">
                  <c:v>1997</c:v>
                </c:pt>
                <c:pt idx="52">
                  <c:v>2010</c:v>
                </c:pt>
                <c:pt idx="53">
                  <c:v>1992</c:v>
                </c:pt>
                <c:pt idx="54">
                  <c:v>2002</c:v>
                </c:pt>
                <c:pt idx="55">
                  <c:v>1977</c:v>
                </c:pt>
                <c:pt idx="56">
                  <c:v>2024</c:v>
                </c:pt>
                <c:pt idx="57">
                  <c:v>2003</c:v>
                </c:pt>
                <c:pt idx="58">
                  <c:v>2010</c:v>
                </c:pt>
                <c:pt idx="59">
                  <c:v>2005</c:v>
                </c:pt>
                <c:pt idx="60">
                  <c:v>2003</c:v>
                </c:pt>
                <c:pt idx="61">
                  <c:v>1999</c:v>
                </c:pt>
                <c:pt idx="62">
                  <c:v>1979</c:v>
                </c:pt>
                <c:pt idx="63">
                  <c:v>1979</c:v>
                </c:pt>
                <c:pt idx="64">
                  <c:v>2011</c:v>
                </c:pt>
                <c:pt idx="65">
                  <c:v>1999</c:v>
                </c:pt>
                <c:pt idx="66">
                  <c:v>2005</c:v>
                </c:pt>
                <c:pt idx="67">
                  <c:v>2002</c:v>
                </c:pt>
                <c:pt idx="68">
                  <c:v>1993</c:v>
                </c:pt>
                <c:pt idx="69">
                  <c:v>2024</c:v>
                </c:pt>
                <c:pt idx="70">
                  <c:v>1999</c:v>
                </c:pt>
                <c:pt idx="71">
                  <c:v>1975</c:v>
                </c:pt>
                <c:pt idx="72">
                  <c:v>1996</c:v>
                </c:pt>
                <c:pt idx="73">
                  <c:v>1988</c:v>
                </c:pt>
                <c:pt idx="74">
                  <c:v>1993</c:v>
                </c:pt>
                <c:pt idx="75">
                  <c:v>2020</c:v>
                </c:pt>
                <c:pt idx="76">
                  <c:v>1978</c:v>
                </c:pt>
                <c:pt idx="77">
                  <c:v>2024</c:v>
                </c:pt>
                <c:pt idx="78">
                  <c:v>2013</c:v>
                </c:pt>
                <c:pt idx="79">
                  <c:v>2019</c:v>
                </c:pt>
                <c:pt idx="80">
                  <c:v>2024</c:v>
                </c:pt>
                <c:pt idx="81">
                  <c:v>2008</c:v>
                </c:pt>
                <c:pt idx="82">
                  <c:v>2026</c:v>
                </c:pt>
                <c:pt idx="83">
                  <c:v>2025</c:v>
                </c:pt>
                <c:pt idx="84">
                  <c:v>2002</c:v>
                </c:pt>
                <c:pt idx="85">
                  <c:v>2021</c:v>
                </c:pt>
                <c:pt idx="86">
                  <c:v>2015</c:v>
                </c:pt>
                <c:pt idx="87">
                  <c:v>1971</c:v>
                </c:pt>
                <c:pt idx="88">
                  <c:v>2026</c:v>
                </c:pt>
                <c:pt idx="89">
                  <c:v>2023</c:v>
                </c:pt>
                <c:pt idx="90">
                  <c:v>2005</c:v>
                </c:pt>
                <c:pt idx="91">
                  <c:v>2002</c:v>
                </c:pt>
                <c:pt idx="92">
                  <c:v>2012</c:v>
                </c:pt>
                <c:pt idx="93">
                  <c:v>1992</c:v>
                </c:pt>
                <c:pt idx="94">
                  <c:v>2000</c:v>
                </c:pt>
                <c:pt idx="95">
                  <c:v>2005</c:v>
                </c:pt>
                <c:pt idx="96">
                  <c:v>1998</c:v>
                </c:pt>
                <c:pt idx="97">
                  <c:v>2005</c:v>
                </c:pt>
                <c:pt idx="98">
                  <c:v>2016</c:v>
                </c:pt>
                <c:pt idx="99">
                  <c:v>1974</c:v>
                </c:pt>
                <c:pt idx="100">
                  <c:v>1979</c:v>
                </c:pt>
                <c:pt idx="101">
                  <c:v>2000</c:v>
                </c:pt>
                <c:pt idx="102">
                  <c:v>2000</c:v>
                </c:pt>
                <c:pt idx="103">
                  <c:v>1993</c:v>
                </c:pt>
                <c:pt idx="104">
                  <c:v>2026</c:v>
                </c:pt>
                <c:pt idx="105">
                  <c:v>2014</c:v>
                </c:pt>
                <c:pt idx="106">
                  <c:v>2006</c:v>
                </c:pt>
                <c:pt idx="107">
                  <c:v>1996</c:v>
                </c:pt>
                <c:pt idx="108">
                  <c:v>1982</c:v>
                </c:pt>
                <c:pt idx="109">
                  <c:v>1995</c:v>
                </c:pt>
                <c:pt idx="110">
                  <c:v>1994</c:v>
                </c:pt>
                <c:pt idx="111">
                  <c:v>2014</c:v>
                </c:pt>
                <c:pt idx="112">
                  <c:v>2026</c:v>
                </c:pt>
                <c:pt idx="113">
                  <c:v>1991</c:v>
                </c:pt>
                <c:pt idx="114">
                  <c:v>2003</c:v>
                </c:pt>
                <c:pt idx="115">
                  <c:v>1971</c:v>
                </c:pt>
                <c:pt idx="116">
                  <c:v>2018</c:v>
                </c:pt>
                <c:pt idx="117">
                  <c:v>1998</c:v>
                </c:pt>
                <c:pt idx="118">
                  <c:v>2003</c:v>
                </c:pt>
                <c:pt idx="119">
                  <c:v>2024</c:v>
                </c:pt>
                <c:pt idx="120">
                  <c:v>2001</c:v>
                </c:pt>
                <c:pt idx="121">
                  <c:v>2026</c:v>
                </c:pt>
                <c:pt idx="122">
                  <c:v>2024</c:v>
                </c:pt>
                <c:pt idx="123">
                  <c:v>2026</c:v>
                </c:pt>
                <c:pt idx="124">
                  <c:v>1970</c:v>
                </c:pt>
                <c:pt idx="125">
                  <c:v>2013</c:v>
                </c:pt>
                <c:pt idx="126">
                  <c:v>1994</c:v>
                </c:pt>
                <c:pt idx="127">
                  <c:v>1970</c:v>
                </c:pt>
                <c:pt idx="128">
                  <c:v>1988</c:v>
                </c:pt>
                <c:pt idx="129">
                  <c:v>1996</c:v>
                </c:pt>
                <c:pt idx="130">
                  <c:v>2024</c:v>
                </c:pt>
                <c:pt idx="131">
                  <c:v>1992</c:v>
                </c:pt>
                <c:pt idx="132">
                  <c:v>1991</c:v>
                </c:pt>
                <c:pt idx="133">
                  <c:v>2003</c:v>
                </c:pt>
                <c:pt idx="134">
                  <c:v>1983</c:v>
                </c:pt>
                <c:pt idx="135">
                  <c:v>2025</c:v>
                </c:pt>
                <c:pt idx="136">
                  <c:v>2008</c:v>
                </c:pt>
                <c:pt idx="137">
                  <c:v>1969</c:v>
                </c:pt>
                <c:pt idx="138">
                  <c:v>2015</c:v>
                </c:pt>
                <c:pt idx="139">
                  <c:v>1977</c:v>
                </c:pt>
                <c:pt idx="140">
                  <c:v>2003</c:v>
                </c:pt>
                <c:pt idx="141">
                  <c:v>2026</c:v>
                </c:pt>
                <c:pt idx="142">
                  <c:v>1990</c:v>
                </c:pt>
                <c:pt idx="143">
                  <c:v>1994</c:v>
                </c:pt>
                <c:pt idx="144">
                  <c:v>1976</c:v>
                </c:pt>
                <c:pt idx="145">
                  <c:v>1998</c:v>
                </c:pt>
                <c:pt idx="146">
                  <c:v>1972</c:v>
                </c:pt>
                <c:pt idx="147">
                  <c:v>2016</c:v>
                </c:pt>
                <c:pt idx="148">
                  <c:v>2013</c:v>
                </c:pt>
                <c:pt idx="149">
                  <c:v>1967</c:v>
                </c:pt>
                <c:pt idx="150">
                  <c:v>2000</c:v>
                </c:pt>
                <c:pt idx="151">
                  <c:v>2002</c:v>
                </c:pt>
                <c:pt idx="152">
                  <c:v>1991</c:v>
                </c:pt>
                <c:pt idx="153">
                  <c:v>2000</c:v>
                </c:pt>
                <c:pt idx="154">
                  <c:v>1995</c:v>
                </c:pt>
                <c:pt idx="155">
                  <c:v>2025</c:v>
                </c:pt>
                <c:pt idx="156">
                  <c:v>2001</c:v>
                </c:pt>
                <c:pt idx="157">
                  <c:v>1981</c:v>
                </c:pt>
                <c:pt idx="158">
                  <c:v>1997</c:v>
                </c:pt>
                <c:pt idx="159">
                  <c:v>1997</c:v>
                </c:pt>
                <c:pt idx="160">
                  <c:v>2000</c:v>
                </c:pt>
                <c:pt idx="161">
                  <c:v>1991</c:v>
                </c:pt>
                <c:pt idx="162">
                  <c:v>1970</c:v>
                </c:pt>
                <c:pt idx="163">
                  <c:v>2016</c:v>
                </c:pt>
                <c:pt idx="164">
                  <c:v>1982</c:v>
                </c:pt>
                <c:pt idx="165">
                  <c:v>1977</c:v>
                </c:pt>
                <c:pt idx="166">
                  <c:v>2008</c:v>
                </c:pt>
                <c:pt idx="167">
                  <c:v>2007</c:v>
                </c:pt>
                <c:pt idx="168">
                  <c:v>2001</c:v>
                </c:pt>
                <c:pt idx="169">
                  <c:v>2004</c:v>
                </c:pt>
                <c:pt idx="170">
                  <c:v>1982</c:v>
                </c:pt>
                <c:pt idx="171">
                  <c:v>2002</c:v>
                </c:pt>
                <c:pt idx="172">
                  <c:v>1998</c:v>
                </c:pt>
                <c:pt idx="173">
                  <c:v>1990</c:v>
                </c:pt>
                <c:pt idx="174">
                  <c:v>2026</c:v>
                </c:pt>
                <c:pt idx="175">
                  <c:v>1966</c:v>
                </c:pt>
                <c:pt idx="176">
                  <c:v>1979</c:v>
                </c:pt>
                <c:pt idx="177">
                  <c:v>2024</c:v>
                </c:pt>
                <c:pt idx="178">
                  <c:v>2022</c:v>
                </c:pt>
                <c:pt idx="179">
                  <c:v>2003</c:v>
                </c:pt>
                <c:pt idx="180">
                  <c:v>2000</c:v>
                </c:pt>
                <c:pt idx="181">
                  <c:v>1981</c:v>
                </c:pt>
                <c:pt idx="182">
                  <c:v>1976</c:v>
                </c:pt>
                <c:pt idx="183">
                  <c:v>2020</c:v>
                </c:pt>
                <c:pt idx="184">
                  <c:v>1986</c:v>
                </c:pt>
                <c:pt idx="185">
                  <c:v>1989</c:v>
                </c:pt>
                <c:pt idx="186">
                  <c:v>1986</c:v>
                </c:pt>
                <c:pt idx="187">
                  <c:v>1992</c:v>
                </c:pt>
                <c:pt idx="188">
                  <c:v>2017</c:v>
                </c:pt>
                <c:pt idx="189">
                  <c:v>2026</c:v>
                </c:pt>
                <c:pt idx="190">
                  <c:v>1992</c:v>
                </c:pt>
                <c:pt idx="191">
                  <c:v>1997</c:v>
                </c:pt>
                <c:pt idx="192">
                  <c:v>2019</c:v>
                </c:pt>
                <c:pt idx="193">
                  <c:v>2012</c:v>
                </c:pt>
                <c:pt idx="194">
                  <c:v>2012</c:v>
                </c:pt>
                <c:pt idx="195">
                  <c:v>1997</c:v>
                </c:pt>
                <c:pt idx="196">
                  <c:v>2016</c:v>
                </c:pt>
                <c:pt idx="197">
                  <c:v>1995</c:v>
                </c:pt>
                <c:pt idx="198">
                  <c:v>2009</c:v>
                </c:pt>
                <c:pt idx="199">
                  <c:v>2025</c:v>
                </c:pt>
                <c:pt idx="200">
                  <c:v>1971</c:v>
                </c:pt>
                <c:pt idx="201">
                  <c:v>2008</c:v>
                </c:pt>
                <c:pt idx="202">
                  <c:v>2018</c:v>
                </c:pt>
                <c:pt idx="203">
                  <c:v>1989</c:v>
                </c:pt>
                <c:pt idx="204">
                  <c:v>1995</c:v>
                </c:pt>
                <c:pt idx="205">
                  <c:v>2002</c:v>
                </c:pt>
                <c:pt idx="206">
                  <c:v>1996</c:v>
                </c:pt>
                <c:pt idx="207">
                  <c:v>2024</c:v>
                </c:pt>
                <c:pt idx="208">
                  <c:v>1994</c:v>
                </c:pt>
                <c:pt idx="209">
                  <c:v>2005</c:v>
                </c:pt>
                <c:pt idx="210">
                  <c:v>1999</c:v>
                </c:pt>
                <c:pt idx="211">
                  <c:v>1988</c:v>
                </c:pt>
                <c:pt idx="212">
                  <c:v>2002</c:v>
                </c:pt>
                <c:pt idx="213">
                  <c:v>1996</c:v>
                </c:pt>
                <c:pt idx="214">
                  <c:v>1973</c:v>
                </c:pt>
                <c:pt idx="215">
                  <c:v>2000</c:v>
                </c:pt>
                <c:pt idx="216">
                  <c:v>2011</c:v>
                </c:pt>
                <c:pt idx="217">
                  <c:v>2005</c:v>
                </c:pt>
                <c:pt idx="218">
                  <c:v>2007</c:v>
                </c:pt>
                <c:pt idx="219">
                  <c:v>1995</c:v>
                </c:pt>
                <c:pt idx="220">
                  <c:v>1996</c:v>
                </c:pt>
                <c:pt idx="221">
                  <c:v>2021</c:v>
                </c:pt>
                <c:pt idx="222">
                  <c:v>1981</c:v>
                </c:pt>
                <c:pt idx="223">
                  <c:v>2025</c:v>
                </c:pt>
                <c:pt idx="224">
                  <c:v>1999</c:v>
                </c:pt>
                <c:pt idx="225">
                  <c:v>1969</c:v>
                </c:pt>
                <c:pt idx="226">
                  <c:v>1999</c:v>
                </c:pt>
                <c:pt idx="227">
                  <c:v>2018</c:v>
                </c:pt>
                <c:pt idx="228">
                  <c:v>1981</c:v>
                </c:pt>
                <c:pt idx="229">
                  <c:v>2001</c:v>
                </c:pt>
                <c:pt idx="230">
                  <c:v>1995</c:v>
                </c:pt>
                <c:pt idx="231">
                  <c:v>1995</c:v>
                </c:pt>
                <c:pt idx="232">
                  <c:v>2005</c:v>
                </c:pt>
                <c:pt idx="233">
                  <c:v>1998</c:v>
                </c:pt>
                <c:pt idx="234">
                  <c:v>1998</c:v>
                </c:pt>
                <c:pt idx="235">
                  <c:v>1969</c:v>
                </c:pt>
                <c:pt idx="236">
                  <c:v>2009</c:v>
                </c:pt>
                <c:pt idx="237">
                  <c:v>2003</c:v>
                </c:pt>
                <c:pt idx="238">
                  <c:v>1997</c:v>
                </c:pt>
                <c:pt idx="239">
                  <c:v>2026</c:v>
                </c:pt>
                <c:pt idx="240">
                  <c:v>1989</c:v>
                </c:pt>
                <c:pt idx="241">
                  <c:v>1973</c:v>
                </c:pt>
                <c:pt idx="242">
                  <c:v>2014</c:v>
                </c:pt>
                <c:pt idx="243">
                  <c:v>1992</c:v>
                </c:pt>
                <c:pt idx="244">
                  <c:v>1991</c:v>
                </c:pt>
                <c:pt idx="245">
                  <c:v>2004</c:v>
                </c:pt>
                <c:pt idx="246">
                  <c:v>2015</c:v>
                </c:pt>
                <c:pt idx="247">
                  <c:v>1994</c:v>
                </c:pt>
                <c:pt idx="248">
                  <c:v>1992</c:v>
                </c:pt>
                <c:pt idx="249">
                  <c:v>2026</c:v>
                </c:pt>
                <c:pt idx="250">
                  <c:v>2021</c:v>
                </c:pt>
                <c:pt idx="251">
                  <c:v>2007</c:v>
                </c:pt>
                <c:pt idx="252">
                  <c:v>2006</c:v>
                </c:pt>
                <c:pt idx="253">
                  <c:v>2002</c:v>
                </c:pt>
                <c:pt idx="254">
                  <c:v>1999</c:v>
                </c:pt>
                <c:pt idx="255">
                  <c:v>1997</c:v>
                </c:pt>
                <c:pt idx="256">
                  <c:v>1972</c:v>
                </c:pt>
                <c:pt idx="257">
                  <c:v>1972</c:v>
                </c:pt>
                <c:pt idx="258">
                  <c:v>2001</c:v>
                </c:pt>
                <c:pt idx="259">
                  <c:v>2007</c:v>
                </c:pt>
                <c:pt idx="260">
                  <c:v>1985</c:v>
                </c:pt>
                <c:pt idx="261">
                  <c:v>2003</c:v>
                </c:pt>
                <c:pt idx="262">
                  <c:v>2016</c:v>
                </c:pt>
                <c:pt idx="263">
                  <c:v>1997</c:v>
                </c:pt>
                <c:pt idx="264">
                  <c:v>2026</c:v>
                </c:pt>
                <c:pt idx="265">
                  <c:v>1997</c:v>
                </c:pt>
                <c:pt idx="266">
                  <c:v>2005</c:v>
                </c:pt>
                <c:pt idx="267">
                  <c:v>1984</c:v>
                </c:pt>
                <c:pt idx="268">
                  <c:v>2026</c:v>
                </c:pt>
                <c:pt idx="269">
                  <c:v>2008</c:v>
                </c:pt>
                <c:pt idx="270">
                  <c:v>1974</c:v>
                </c:pt>
                <c:pt idx="271">
                  <c:v>2020</c:v>
                </c:pt>
                <c:pt idx="272">
                  <c:v>2024</c:v>
                </c:pt>
                <c:pt idx="273">
                  <c:v>2024</c:v>
                </c:pt>
                <c:pt idx="274">
                  <c:v>1984</c:v>
                </c:pt>
                <c:pt idx="275">
                  <c:v>1991</c:v>
                </c:pt>
                <c:pt idx="276">
                  <c:v>1994</c:v>
                </c:pt>
                <c:pt idx="277">
                  <c:v>2010</c:v>
                </c:pt>
                <c:pt idx="278">
                  <c:v>2021</c:v>
                </c:pt>
                <c:pt idx="279">
                  <c:v>1997</c:v>
                </c:pt>
                <c:pt idx="280">
                  <c:v>2020</c:v>
                </c:pt>
                <c:pt idx="281">
                  <c:v>1971</c:v>
                </c:pt>
                <c:pt idx="282">
                  <c:v>2012</c:v>
                </c:pt>
                <c:pt idx="283">
                  <c:v>2004</c:v>
                </c:pt>
                <c:pt idx="284">
                  <c:v>1984</c:v>
                </c:pt>
                <c:pt idx="285">
                  <c:v>1996</c:v>
                </c:pt>
                <c:pt idx="286">
                  <c:v>2002</c:v>
                </c:pt>
                <c:pt idx="287">
                  <c:v>1980</c:v>
                </c:pt>
                <c:pt idx="288">
                  <c:v>2026</c:v>
                </c:pt>
                <c:pt idx="289">
                  <c:v>1975</c:v>
                </c:pt>
                <c:pt idx="290">
                  <c:v>2007</c:v>
                </c:pt>
                <c:pt idx="291">
                  <c:v>1999</c:v>
                </c:pt>
                <c:pt idx="292">
                  <c:v>2010</c:v>
                </c:pt>
                <c:pt idx="293">
                  <c:v>2011</c:v>
                </c:pt>
                <c:pt idx="294">
                  <c:v>1990</c:v>
                </c:pt>
                <c:pt idx="295">
                  <c:v>2026</c:v>
                </c:pt>
                <c:pt idx="296">
                  <c:v>1998</c:v>
                </c:pt>
                <c:pt idx="297">
                  <c:v>1976</c:v>
                </c:pt>
                <c:pt idx="298">
                  <c:v>1973</c:v>
                </c:pt>
                <c:pt idx="299">
                  <c:v>2003</c:v>
                </c:pt>
                <c:pt idx="300">
                  <c:v>2026</c:v>
                </c:pt>
                <c:pt idx="301">
                  <c:v>2003</c:v>
                </c:pt>
                <c:pt idx="302">
                  <c:v>1985</c:v>
                </c:pt>
                <c:pt idx="303">
                  <c:v>2013</c:v>
                </c:pt>
                <c:pt idx="304">
                  <c:v>2017</c:v>
                </c:pt>
                <c:pt idx="305">
                  <c:v>1998</c:v>
                </c:pt>
                <c:pt idx="306">
                  <c:v>1987</c:v>
                </c:pt>
                <c:pt idx="307">
                  <c:v>2016</c:v>
                </c:pt>
                <c:pt idx="308">
                  <c:v>2016</c:v>
                </c:pt>
                <c:pt idx="309">
                  <c:v>2025</c:v>
                </c:pt>
                <c:pt idx="310">
                  <c:v>2017</c:v>
                </c:pt>
                <c:pt idx="311">
                  <c:v>2013</c:v>
                </c:pt>
                <c:pt idx="312">
                  <c:v>1979</c:v>
                </c:pt>
                <c:pt idx="313">
                  <c:v>1984</c:v>
                </c:pt>
                <c:pt idx="314">
                  <c:v>2017</c:v>
                </c:pt>
                <c:pt idx="315">
                  <c:v>1984</c:v>
                </c:pt>
                <c:pt idx="316">
                  <c:v>2018</c:v>
                </c:pt>
                <c:pt idx="317">
                  <c:v>2018</c:v>
                </c:pt>
                <c:pt idx="318">
                  <c:v>2019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A-A04A-A2B8-FF5AFD17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154048"/>
        <c:axId val="453155840"/>
      </c:scatterChart>
      <c:valAx>
        <c:axId val="453154048"/>
        <c:scaling>
          <c:orientation val="minMax"/>
          <c:max val="2026.8"/>
          <c:min val="20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155840"/>
        <c:crosses val="autoZero"/>
        <c:crossBetween val="midCat"/>
      </c:valAx>
      <c:valAx>
        <c:axId val="453155840"/>
        <c:scaling>
          <c:orientation val="minMax"/>
          <c:max val="2040"/>
          <c:min val="19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15404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Correlación de cada variable con el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Graficos!$AU$2424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Graficos!$AT$2425:$AT$2431</c:f>
              <c:strCache>
                <c:ptCount val="7"/>
                <c:pt idx="0">
                  <c:v>Año</c:v>
                </c:pt>
                <c:pt idx="1">
                  <c:v>Desv. típica</c:v>
                </c:pt>
                <c:pt idx="2">
                  <c:v>Nº canciones</c:v>
                </c:pt>
                <c:pt idx="3">
                  <c:v>Interludios</c:v>
                </c:pt>
                <c:pt idx="4">
                  <c:v>% interludios</c:v>
                </c:pt>
                <c:pt idx="5">
                  <c:v>Duración</c:v>
                </c:pt>
                <c:pt idx="6">
                  <c:v>Notas ≥10</c:v>
                </c:pt>
              </c:strCache>
            </c:strRef>
          </c:cat>
          <c:val>
            <c:numRef>
              <c:f>Graficos!$AU$2425:$AU$2431</c:f>
              <c:numCache>
                <c:formatCode>General</c:formatCode>
                <c:ptCount val="7"/>
                <c:pt idx="0">
                  <c:v>-0.309</c:v>
                </c:pt>
                <c:pt idx="1">
                  <c:v>-0.25700000000000001</c:v>
                </c:pt>
                <c:pt idx="2">
                  <c:v>-0.12</c:v>
                </c:pt>
                <c:pt idx="3">
                  <c:v>9.8000000000000004E-2</c:v>
                </c:pt>
                <c:pt idx="4">
                  <c:v>0.10299999999999999</c:v>
                </c:pt>
                <c:pt idx="5">
                  <c:v>0.113</c:v>
                </c:pt>
                <c:pt idx="6">
                  <c:v>0.51200000000000001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1-FD4C-ADE0-D59F57123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200064"/>
        <c:axId val="453201856"/>
      </c:barChart>
      <c:catAx>
        <c:axId val="45320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201856"/>
        <c:crosses val="autoZero"/>
        <c:auto val="1"/>
        <c:lblAlgn val="ctr"/>
        <c:lblOffset val="100"/>
        <c:noMultiLvlLbl val="0"/>
      </c:catAx>
      <c:valAx>
        <c:axId val="453201856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20006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álbumes por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Graficos!$AU$2434</c:f>
              <c:strCache>
                <c:ptCount val="1"/>
                <c:pt idx="0">
                  <c:v>3rd EYE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Graficos!$AT$2435:$AT$2449</c:f>
              <c:strCache>
                <c:ptCount val="15"/>
                <c:pt idx="0">
                  <c:v>Opeth - Blackwater Park</c:v>
                </c:pt>
                <c:pt idx="1">
                  <c:v>King Crimson - In The Court Of The Crimson King</c:v>
                </c:pt>
                <c:pt idx="2">
                  <c:v>Led Zeppelin - Led Zeppelin IV</c:v>
                </c:pt>
                <c:pt idx="3">
                  <c:v>Pink Floyd - Animals</c:v>
                </c:pt>
                <c:pt idx="4">
                  <c:v>Extremoduro - La ley innata</c:v>
                </c:pt>
                <c:pt idx="5">
                  <c:v>TOOL - Ænima</c:v>
                </c:pt>
                <c:pt idx="6">
                  <c:v>TOOL - 10,000 Days</c:v>
                </c:pt>
                <c:pt idx="7">
                  <c:v>Pink Floyd - The Dark Side Of The Moon</c:v>
                </c:pt>
                <c:pt idx="8">
                  <c:v>Godspeed You! Black Emperor - Lift Yr. Skinny Fists Like Antennas to Heaven!</c:v>
                </c:pt>
                <c:pt idx="9">
                  <c:v>Radiohead - OK Computer</c:v>
                </c:pt>
                <c:pt idx="10">
                  <c:v>Radiohead - In Rainbows</c:v>
                </c:pt>
                <c:pt idx="11">
                  <c:v>Pink Floyd - Wish You Were Here</c:v>
                </c:pt>
                <c:pt idx="12">
                  <c:v>Yes - Close to the Edge</c:v>
                </c:pt>
                <c:pt idx="13">
                  <c:v>Fishmans - LONG SEASON</c:v>
                </c:pt>
                <c:pt idx="14">
                  <c:v>TOOL - Lateralus</c:v>
                </c:pt>
              </c:strCache>
            </c:strRef>
          </c:cat>
          <c:val>
            <c:numRef>
              <c:f>Graficos!$AU$2435:$AU$2449</c:f>
              <c:numCache>
                <c:formatCode>General</c:formatCode>
                <c:ptCount val="15"/>
                <c:pt idx="0">
                  <c:v>9.44</c:v>
                </c:pt>
                <c:pt idx="1">
                  <c:v>9.4600000000000009</c:v>
                </c:pt>
                <c:pt idx="2">
                  <c:v>9.5299999999999994</c:v>
                </c:pt>
                <c:pt idx="3">
                  <c:v>9.5500000000000007</c:v>
                </c:pt>
                <c:pt idx="4">
                  <c:v>9.77</c:v>
                </c:pt>
                <c:pt idx="5">
                  <c:v>9.9600000000000009</c:v>
                </c:pt>
                <c:pt idx="6">
                  <c:v>9.99</c:v>
                </c:pt>
                <c:pt idx="7">
                  <c:v>10</c:v>
                </c:pt>
                <c:pt idx="8">
                  <c:v>10.050000000000001</c:v>
                </c:pt>
                <c:pt idx="9">
                  <c:v>10.07</c:v>
                </c:pt>
                <c:pt idx="10">
                  <c:v>10.37</c:v>
                </c:pt>
                <c:pt idx="11">
                  <c:v>10.39</c:v>
                </c:pt>
                <c:pt idx="12">
                  <c:v>10.44</c:v>
                </c:pt>
                <c:pt idx="13">
                  <c:v>10.85</c:v>
                </c:pt>
                <c:pt idx="14">
                  <c:v>10.99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8-1A44-9B5C-E6717D7B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275008"/>
        <c:axId val="453276800"/>
      </c:barChart>
      <c:catAx>
        <c:axId val="45327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276800"/>
        <c:crosses val="autoZero"/>
        <c:auto val="1"/>
        <c:lblAlgn val="ctr"/>
        <c:lblOffset val="100"/>
        <c:noMultiLvlLbl val="0"/>
      </c:catAx>
      <c:valAx>
        <c:axId val="453276800"/>
        <c:scaling>
          <c:orientation val="minMax"/>
          <c:max val="11.5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27500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álbumes más largos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Graficos!$AU$2452</c:f>
              <c:strCache>
                <c:ptCount val="1"/>
                <c:pt idx="0">
                  <c:v>Duración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Graficos!$AT$2453:$AT$2467</c:f>
              <c:strCache>
                <c:ptCount val="15"/>
                <c:pt idx="0">
                  <c:v>Metallica - Load (1h 18m)</c:v>
                </c:pt>
                <c:pt idx="1">
                  <c:v>Kendrick Lamar - To Pimp A Butterfly (1h 19m)</c:v>
                </c:pt>
                <c:pt idx="2">
                  <c:v>Pink Floyd - The Wall (1h 21m)</c:v>
                </c:pt>
                <c:pt idx="3">
                  <c:v>Justice - Woman Worldwide (1h 24m)</c:v>
                </c:pt>
                <c:pt idx="4">
                  <c:v>Have A Nice Life - Deathconsciousness (1h 24m)</c:v>
                </c:pt>
                <c:pt idx="5">
                  <c:v>The Caretaker - Everywhere at the End of Time (Stage 6) (1h 25m)</c:v>
                </c:pt>
                <c:pt idx="6">
                  <c:v>TOOL - Fear Inoculum (1h 26m)</c:v>
                </c:pt>
                <c:pt idx="7">
                  <c:v>The Caretaker - Everywhere at the End of Time (Stage 4) (1h 27m)</c:v>
                </c:pt>
                <c:pt idx="8">
                  <c:v>Godspeed You! Black Emperor - Lift Yr. Skinny Fists Like Antennas to Heaven! (1h 27m)</c:v>
                </c:pt>
                <c:pt idx="9">
                  <c:v>The Caretaker - Everywhere at the End of Time (Stage 5) (1h 28m)</c:v>
                </c:pt>
                <c:pt idx="10">
                  <c:v>Aphex Twin - Drukqs (1h 40m)</c:v>
                </c:pt>
                <c:pt idx="11">
                  <c:v>The Smashing Pumpkins - Mellon Collie And The Infinite Sadness (2h 1m)</c:v>
                </c:pt>
                <c:pt idx="12">
                  <c:v>Swans - To Be Kind (2h 1m)</c:v>
                </c:pt>
                <c:pt idx="13">
                  <c:v>Swans - Soundtracks for the Blind (2h 21m)</c:v>
                </c:pt>
                <c:pt idx="14">
                  <c:v>Aphex Twin - Selected Ambient Works Volume II (2h 36m)</c:v>
                </c:pt>
              </c:strCache>
            </c:strRef>
          </c:cat>
          <c:val>
            <c:numRef>
              <c:f>Graficos!$AU$2453:$AU$2467</c:f>
              <c:numCache>
                <c:formatCode>General</c:formatCode>
                <c:ptCount val="15"/>
                <c:pt idx="0">
                  <c:v>78</c:v>
                </c:pt>
                <c:pt idx="1">
                  <c:v>79</c:v>
                </c:pt>
                <c:pt idx="2">
                  <c:v>81</c:v>
                </c:pt>
                <c:pt idx="3">
                  <c:v>84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87</c:v>
                </c:pt>
                <c:pt idx="9">
                  <c:v>88</c:v>
                </c:pt>
                <c:pt idx="10">
                  <c:v>100</c:v>
                </c:pt>
                <c:pt idx="11">
                  <c:v>121</c:v>
                </c:pt>
                <c:pt idx="12">
                  <c:v>121</c:v>
                </c:pt>
                <c:pt idx="13">
                  <c:v>141</c:v>
                </c:pt>
                <c:pt idx="14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E-0147-B5A9-A2DD1E5A8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319680"/>
        <c:axId val="453321472"/>
      </c:barChart>
      <c:catAx>
        <c:axId val="45331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321472"/>
        <c:crosses val="autoZero"/>
        <c:auto val="1"/>
        <c:lblAlgn val="ctr"/>
        <c:lblOffset val="100"/>
        <c:noMultiLvlLbl val="0"/>
      </c:catAx>
      <c:valAx>
        <c:axId val="453321472"/>
        <c:scaling>
          <c:orientation val="minMax"/>
          <c:max val="18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3196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artistas (≥2 álbumes) por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Graficos!$AU$2470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Graficos!$AT$2471:$AT$2485</c:f>
              <c:strCache>
                <c:ptCount val="15"/>
                <c:pt idx="0">
                  <c:v>Queens of the Stone Age (2)</c:v>
                </c:pt>
                <c:pt idx="1">
                  <c:v>Dire Straits (3)</c:v>
                </c:pt>
                <c:pt idx="2">
                  <c:v>David Bowie (2)</c:v>
                </c:pt>
                <c:pt idx="3">
                  <c:v>King Crimson (5)</c:v>
                </c:pt>
                <c:pt idx="4">
                  <c:v>Yes (3)</c:v>
                </c:pt>
                <c:pt idx="5">
                  <c:v>Supertramp (2)</c:v>
                </c:pt>
                <c:pt idx="6">
                  <c:v>Porcupine Tree (4)</c:v>
                </c:pt>
                <c:pt idx="7">
                  <c:v>Sweet Trip (2)</c:v>
                </c:pt>
                <c:pt idx="8">
                  <c:v>Talk Talk (2)</c:v>
                </c:pt>
                <c:pt idx="9">
                  <c:v>Led Zeppelin (3)</c:v>
                </c:pt>
                <c:pt idx="10">
                  <c:v>TOOL (6)</c:v>
                </c:pt>
                <c:pt idx="11">
                  <c:v>Extremoduro (2)</c:v>
                </c:pt>
                <c:pt idx="12">
                  <c:v>Godspeed You! Black Emperor (3)</c:v>
                </c:pt>
                <c:pt idx="13">
                  <c:v>Pink Floyd (5)</c:v>
                </c:pt>
                <c:pt idx="14">
                  <c:v>Fishmans (2)</c:v>
                </c:pt>
              </c:strCache>
            </c:strRef>
          </c:cat>
          <c:val>
            <c:numRef>
              <c:f>Graficos!$AU$2471:$AU$2485</c:f>
              <c:numCache>
                <c:formatCode>General</c:formatCode>
                <c:ptCount val="15"/>
                <c:pt idx="0">
                  <c:v>8.86</c:v>
                </c:pt>
                <c:pt idx="1">
                  <c:v>8.86</c:v>
                </c:pt>
                <c:pt idx="2">
                  <c:v>8.9</c:v>
                </c:pt>
                <c:pt idx="3">
                  <c:v>8.9</c:v>
                </c:pt>
                <c:pt idx="4">
                  <c:v>8.91</c:v>
                </c:pt>
                <c:pt idx="5">
                  <c:v>8.91</c:v>
                </c:pt>
                <c:pt idx="6">
                  <c:v>8.91</c:v>
                </c:pt>
                <c:pt idx="7">
                  <c:v>8.94</c:v>
                </c:pt>
                <c:pt idx="8">
                  <c:v>8.9600000000000009</c:v>
                </c:pt>
                <c:pt idx="9">
                  <c:v>9.0399999999999991</c:v>
                </c:pt>
                <c:pt idx="10">
                  <c:v>9.15</c:v>
                </c:pt>
                <c:pt idx="11">
                  <c:v>9.2100000000000009</c:v>
                </c:pt>
                <c:pt idx="12">
                  <c:v>9.24</c:v>
                </c:pt>
                <c:pt idx="13">
                  <c:v>9.35</c:v>
                </c:pt>
                <c:pt idx="14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B-6149-981A-8F464D2E8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382976"/>
        <c:axId val="453384768"/>
      </c:barChart>
      <c:catAx>
        <c:axId val="4533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384768"/>
        <c:crosses val="autoZero"/>
        <c:auto val="1"/>
        <c:lblAlgn val="ctr"/>
        <c:lblOffset val="100"/>
        <c:noMultiLvlLbl val="0"/>
      </c:catAx>
      <c:valAx>
        <c:axId val="453384768"/>
        <c:scaling>
          <c:orientation val="minMax"/>
          <c:max val="10"/>
          <c:min val="8.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38297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artistas (≥2 álbumes) por 3rd EYE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Graficos!$AU$2488</c:f>
              <c:strCache>
                <c:ptCount val="1"/>
                <c:pt idx="0">
                  <c:v>3rd EYE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Graficos!$AT$2489:$AT$2503</c:f>
              <c:strCache>
                <c:ptCount val="15"/>
                <c:pt idx="0">
                  <c:v>Coldplay (3)</c:v>
                </c:pt>
                <c:pt idx="1">
                  <c:v>Supertramp (2)</c:v>
                </c:pt>
                <c:pt idx="2">
                  <c:v>Radiohead (9)</c:v>
                </c:pt>
                <c:pt idx="3">
                  <c:v>Talk Talk (2)</c:v>
                </c:pt>
                <c:pt idx="4">
                  <c:v>King Crimson (5)</c:v>
                </c:pt>
                <c:pt idx="5">
                  <c:v>Dire Straits (3)</c:v>
                </c:pt>
                <c:pt idx="6">
                  <c:v>Porcupine Tree (4)</c:v>
                </c:pt>
                <c:pt idx="7">
                  <c:v>Yes (3)</c:v>
                </c:pt>
                <c:pt idx="8">
                  <c:v>Sweet Trip (2)</c:v>
                </c:pt>
                <c:pt idx="9">
                  <c:v>Led Zeppelin (3)</c:v>
                </c:pt>
                <c:pt idx="10">
                  <c:v>Godspeed You! Black Emperor (3)</c:v>
                </c:pt>
                <c:pt idx="11">
                  <c:v>Extremoduro (2)</c:v>
                </c:pt>
                <c:pt idx="12">
                  <c:v>TOOL (6)</c:v>
                </c:pt>
                <c:pt idx="13">
                  <c:v>Pink Floyd (5)</c:v>
                </c:pt>
                <c:pt idx="14">
                  <c:v>Fishmans (2)</c:v>
                </c:pt>
              </c:strCache>
            </c:strRef>
          </c:cat>
          <c:val>
            <c:numRef>
              <c:f>Graficos!$AU$2489:$AU$2503</c:f>
              <c:numCache>
                <c:formatCode>General</c:formatCode>
                <c:ptCount val="15"/>
                <c:pt idx="0">
                  <c:v>8.81</c:v>
                </c:pt>
                <c:pt idx="1">
                  <c:v>8.82</c:v>
                </c:pt>
                <c:pt idx="2">
                  <c:v>8.83</c:v>
                </c:pt>
                <c:pt idx="3">
                  <c:v>8.8800000000000008</c:v>
                </c:pt>
                <c:pt idx="4">
                  <c:v>8.8800000000000008</c:v>
                </c:pt>
                <c:pt idx="5">
                  <c:v>8.9</c:v>
                </c:pt>
                <c:pt idx="6">
                  <c:v>8.9700000000000006</c:v>
                </c:pt>
                <c:pt idx="7">
                  <c:v>8.99</c:v>
                </c:pt>
                <c:pt idx="8">
                  <c:v>9.0500000000000007</c:v>
                </c:pt>
                <c:pt idx="9">
                  <c:v>9.06</c:v>
                </c:pt>
                <c:pt idx="10">
                  <c:v>9.2799999999999994</c:v>
                </c:pt>
                <c:pt idx="11">
                  <c:v>9.3699999999999992</c:v>
                </c:pt>
                <c:pt idx="12">
                  <c:v>9.4</c:v>
                </c:pt>
                <c:pt idx="13">
                  <c:v>9.58</c:v>
                </c:pt>
                <c:pt idx="14">
                  <c:v>9.8800000000000008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D-B446-8855-AFBEB169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510464"/>
        <c:axId val="453512256"/>
      </c:barChart>
      <c:catAx>
        <c:axId val="45351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512256"/>
        <c:crosses val="autoZero"/>
        <c:auto val="1"/>
        <c:lblAlgn val="ctr"/>
        <c:lblOffset val="100"/>
        <c:noMultiLvlLbl val="0"/>
      </c:catAx>
      <c:valAx>
        <c:axId val="453512256"/>
        <c:scaling>
          <c:orientation val="minMax"/>
          <c:max val="10.5"/>
          <c:min val="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51046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artistas por nº de álbumes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Graficos!$AU$2506</c:f>
              <c:strCache>
                <c:ptCount val="1"/>
                <c:pt idx="0">
                  <c:v>Álbumes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Graficos!$AT$2507:$AT$2521</c:f>
              <c:strCache>
                <c:ptCount val="15"/>
                <c:pt idx="0">
                  <c:v>Dire Straits</c:v>
                </c:pt>
                <c:pt idx="1">
                  <c:v>Kanye West</c:v>
                </c:pt>
                <c:pt idx="2">
                  <c:v>Gorillaz</c:v>
                </c:pt>
                <c:pt idx="3">
                  <c:v>Porcupine Tree</c:v>
                </c:pt>
                <c:pt idx="4">
                  <c:v>Daft Punk</c:v>
                </c:pt>
                <c:pt idx="5">
                  <c:v>Deftones</c:v>
                </c:pt>
                <c:pt idx="6">
                  <c:v>Boards of Canada</c:v>
                </c:pt>
                <c:pt idx="7">
                  <c:v>King Crimson</c:v>
                </c:pt>
                <c:pt idx="8">
                  <c:v>Pink Floyd</c:v>
                </c:pt>
                <c:pt idx="9">
                  <c:v>The Caretaker</c:v>
                </c:pt>
                <c:pt idx="10">
                  <c:v>TOOL</c:v>
                </c:pt>
                <c:pt idx="11">
                  <c:v>Aphex Twin</c:v>
                </c:pt>
                <c:pt idx="12">
                  <c:v>Metallica</c:v>
                </c:pt>
                <c:pt idx="13">
                  <c:v>Radiohead</c:v>
                </c:pt>
                <c:pt idx="14">
                  <c:v>Opeth</c:v>
                </c:pt>
              </c:strCache>
            </c:strRef>
          </c:cat>
          <c:val>
            <c:numRef>
              <c:f>Graficos!$AU$2507:$AU$2521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8-5648-8815-C48B6B04F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557120"/>
        <c:axId val="453559168"/>
      </c:barChart>
      <c:catAx>
        <c:axId val="453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559168"/>
        <c:crosses val="autoZero"/>
        <c:auto val="1"/>
        <c:lblAlgn val="ctr"/>
        <c:lblOffset val="100"/>
        <c:noMultiLvlLbl val="0"/>
      </c:catAx>
      <c:valAx>
        <c:axId val="45355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55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artistas (≥2 álbumes) por duración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Graficos!$AU$2524</c:f>
              <c:strCache>
                <c:ptCount val="1"/>
                <c:pt idx="0">
                  <c:v>Duración media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Graficos!$AT$2525:$AT$2539</c:f>
              <c:strCache>
                <c:ptCount val="15"/>
                <c:pt idx="0">
                  <c:v>Karnivool (1h 1m)</c:v>
                </c:pt>
                <c:pt idx="1">
                  <c:v>Opeth (1h 1m)</c:v>
                </c:pt>
                <c:pt idx="2">
                  <c:v>Metallica (1h 2m)</c:v>
                </c:pt>
                <c:pt idx="3">
                  <c:v>Agalloch (1h 3m)</c:v>
                </c:pt>
                <c:pt idx="4">
                  <c:v>Boards of Canada (1h 4m)</c:v>
                </c:pt>
                <c:pt idx="5">
                  <c:v>Nujabes (1h 4m)</c:v>
                </c:pt>
                <c:pt idx="6">
                  <c:v>Daft Punk (1h 4m)</c:v>
                </c:pt>
                <c:pt idx="7">
                  <c:v>The Caretaker (1h 5m)</c:v>
                </c:pt>
                <c:pt idx="8">
                  <c:v>Sweet Trip (1h 5m)</c:v>
                </c:pt>
                <c:pt idx="9">
                  <c:v>Justice (1h 6m)</c:v>
                </c:pt>
                <c:pt idx="10">
                  <c:v>TOOL (1h 8m)</c:v>
                </c:pt>
                <c:pt idx="11">
                  <c:v>Aphex Twin (1h 15m)</c:v>
                </c:pt>
                <c:pt idx="12">
                  <c:v>Godspeed You! Black Emperor (1h 15m)</c:v>
                </c:pt>
                <c:pt idx="13">
                  <c:v>The Smashing Pumpkins (1h 32m)</c:v>
                </c:pt>
                <c:pt idx="14">
                  <c:v>Swans (2h 11m)</c:v>
                </c:pt>
              </c:strCache>
            </c:strRef>
          </c:cat>
          <c:val>
            <c:numRef>
              <c:f>Graficos!$AU$2525:$AU$2539</c:f>
              <c:numCache>
                <c:formatCode>General</c:formatCode>
                <c:ptCount val="15"/>
                <c:pt idx="0">
                  <c:v>61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65</c:v>
                </c:pt>
                <c:pt idx="8">
                  <c:v>65</c:v>
                </c:pt>
                <c:pt idx="9">
                  <c:v>66</c:v>
                </c:pt>
                <c:pt idx="10">
                  <c:v>68</c:v>
                </c:pt>
                <c:pt idx="11">
                  <c:v>75</c:v>
                </c:pt>
                <c:pt idx="12">
                  <c:v>75</c:v>
                </c:pt>
                <c:pt idx="13">
                  <c:v>92</c:v>
                </c:pt>
                <c:pt idx="14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7-534A-A0F2-B0C27BBA0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3619520"/>
        <c:axId val="453621312"/>
      </c:barChart>
      <c:catAx>
        <c:axId val="45361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621312"/>
        <c:crosses val="autoZero"/>
        <c:auto val="1"/>
        <c:lblAlgn val="ctr"/>
        <c:lblOffset val="100"/>
        <c:noMultiLvlLbl val="0"/>
      </c:catAx>
      <c:valAx>
        <c:axId val="453621312"/>
        <c:scaling>
          <c:orientation val="minMax"/>
          <c:max val="14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36195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9</xdr:col>
      <xdr:colOff>165100</xdr:colOff>
      <xdr:row>19</xdr:row>
      <xdr:rowOff>76200</xdr:rowOff>
    </xdr:to>
    <xdr:graphicFrame macro="">
      <xdr:nvGraphicFramePr>
        <xdr:cNvPr id="397" name="Gráfico 396">
          <a:extLst>
            <a:ext uri="{FF2B5EF4-FFF2-40B4-BE49-F238E27FC236}">
              <a16:creationId xmlns:a16="http://schemas.microsoft.com/office/drawing/2014/main" id="{09ACC4C0-74E7-2260-A288-C40F83DB3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482600</xdr:colOff>
      <xdr:row>0</xdr:row>
      <xdr:rowOff>127000</xdr:rowOff>
    </xdr:from>
    <xdr:to>
      <xdr:col>18</xdr:col>
      <xdr:colOff>520700</xdr:colOff>
      <xdr:row>19</xdr:row>
      <xdr:rowOff>76200</xdr:rowOff>
    </xdr:to>
    <xdr:graphicFrame macro="">
      <xdr:nvGraphicFramePr>
        <xdr:cNvPr id="398" name="Gráfico 397">
          <a:extLst>
            <a:ext uri="{FF2B5EF4-FFF2-40B4-BE49-F238E27FC236}">
              <a16:creationId xmlns:a16="http://schemas.microsoft.com/office/drawing/2014/main" id="{D33D13F3-892B-658A-CBA0-D39581CE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165100</xdr:colOff>
      <xdr:row>0</xdr:row>
      <xdr:rowOff>127000</xdr:rowOff>
    </xdr:from>
    <xdr:to>
      <xdr:col>28</xdr:col>
      <xdr:colOff>203200</xdr:colOff>
      <xdr:row>19</xdr:row>
      <xdr:rowOff>76200</xdr:rowOff>
    </xdr:to>
    <xdr:graphicFrame macro="">
      <xdr:nvGraphicFramePr>
        <xdr:cNvPr id="399" name="Gráfico 398">
          <a:extLst>
            <a:ext uri="{FF2B5EF4-FFF2-40B4-BE49-F238E27FC236}">
              <a16:creationId xmlns:a16="http://schemas.microsoft.com/office/drawing/2014/main" id="{B4096951-FACA-11BD-B2FA-A1E8A0994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20</xdr:row>
      <xdr:rowOff>190500</xdr:rowOff>
    </xdr:from>
    <xdr:to>
      <xdr:col>9</xdr:col>
      <xdr:colOff>165100</xdr:colOff>
      <xdr:row>39</xdr:row>
      <xdr:rowOff>139700</xdr:rowOff>
    </xdr:to>
    <xdr:graphicFrame macro="">
      <xdr:nvGraphicFramePr>
        <xdr:cNvPr id="400" name="Gráfico 399">
          <a:extLst>
            <a:ext uri="{FF2B5EF4-FFF2-40B4-BE49-F238E27FC236}">
              <a16:creationId xmlns:a16="http://schemas.microsoft.com/office/drawing/2014/main" id="{4E488CEE-C620-3284-66F3-F5B729BA7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482600</xdr:colOff>
      <xdr:row>20</xdr:row>
      <xdr:rowOff>190500</xdr:rowOff>
    </xdr:from>
    <xdr:to>
      <xdr:col>18</xdr:col>
      <xdr:colOff>520700</xdr:colOff>
      <xdr:row>39</xdr:row>
      <xdr:rowOff>139700</xdr:rowOff>
    </xdr:to>
    <xdr:graphicFrame macro="">
      <xdr:nvGraphicFramePr>
        <xdr:cNvPr id="401" name="Gráfico 400">
          <a:extLst>
            <a:ext uri="{FF2B5EF4-FFF2-40B4-BE49-F238E27FC236}">
              <a16:creationId xmlns:a16="http://schemas.microsoft.com/office/drawing/2014/main" id="{122D6366-DE6A-8472-9B97-EE3B6BE07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165100</xdr:colOff>
      <xdr:row>20</xdr:row>
      <xdr:rowOff>190500</xdr:rowOff>
    </xdr:from>
    <xdr:to>
      <xdr:col>28</xdr:col>
      <xdr:colOff>203200</xdr:colOff>
      <xdr:row>39</xdr:row>
      <xdr:rowOff>139700</xdr:rowOff>
    </xdr:to>
    <xdr:graphicFrame macro="">
      <xdr:nvGraphicFramePr>
        <xdr:cNvPr id="402" name="Gráfico 401">
          <a:extLst>
            <a:ext uri="{FF2B5EF4-FFF2-40B4-BE49-F238E27FC236}">
              <a16:creationId xmlns:a16="http://schemas.microsoft.com/office/drawing/2014/main" id="{32D25D6E-3A6A-1D78-43CE-5F7939F78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41</xdr:row>
      <xdr:rowOff>50800</xdr:rowOff>
    </xdr:from>
    <xdr:to>
      <xdr:col>9</xdr:col>
      <xdr:colOff>165100</xdr:colOff>
      <xdr:row>60</xdr:row>
      <xdr:rowOff>0</xdr:rowOff>
    </xdr:to>
    <xdr:graphicFrame macro="">
      <xdr:nvGraphicFramePr>
        <xdr:cNvPr id="403" name="Gráfico 402">
          <a:extLst>
            <a:ext uri="{FF2B5EF4-FFF2-40B4-BE49-F238E27FC236}">
              <a16:creationId xmlns:a16="http://schemas.microsoft.com/office/drawing/2014/main" id="{314C98ED-BC5D-36AE-B3C9-A47C3A057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482600</xdr:colOff>
      <xdr:row>41</xdr:row>
      <xdr:rowOff>50800</xdr:rowOff>
    </xdr:from>
    <xdr:to>
      <xdr:col>18</xdr:col>
      <xdr:colOff>520700</xdr:colOff>
      <xdr:row>60</xdr:row>
      <xdr:rowOff>0</xdr:rowOff>
    </xdr:to>
    <xdr:graphicFrame macro="">
      <xdr:nvGraphicFramePr>
        <xdr:cNvPr id="404" name="Gráfico 403">
          <a:extLst>
            <a:ext uri="{FF2B5EF4-FFF2-40B4-BE49-F238E27FC236}">
              <a16:creationId xmlns:a16="http://schemas.microsoft.com/office/drawing/2014/main" id="{DEF02C94-D7AA-403C-503E-6CAF61EA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165100</xdr:colOff>
      <xdr:row>41</xdr:row>
      <xdr:rowOff>50800</xdr:rowOff>
    </xdr:from>
    <xdr:to>
      <xdr:col>28</xdr:col>
      <xdr:colOff>203200</xdr:colOff>
      <xdr:row>60</xdr:row>
      <xdr:rowOff>0</xdr:rowOff>
    </xdr:to>
    <xdr:graphicFrame macro="">
      <xdr:nvGraphicFramePr>
        <xdr:cNvPr id="405" name="Gráfico 404">
          <a:extLst>
            <a:ext uri="{FF2B5EF4-FFF2-40B4-BE49-F238E27FC236}">
              <a16:creationId xmlns:a16="http://schemas.microsoft.com/office/drawing/2014/main" id="{8274139C-5BA7-0D33-4349-BFE44D643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127000</xdr:colOff>
      <xdr:row>61</xdr:row>
      <xdr:rowOff>114300</xdr:rowOff>
    </xdr:from>
    <xdr:to>
      <xdr:col>9</xdr:col>
      <xdr:colOff>165100</xdr:colOff>
      <xdr:row>80</xdr:row>
      <xdr:rowOff>63500</xdr:rowOff>
    </xdr:to>
    <xdr:graphicFrame macro="">
      <xdr:nvGraphicFramePr>
        <xdr:cNvPr id="406" name="Gráfico 405">
          <a:extLst>
            <a:ext uri="{FF2B5EF4-FFF2-40B4-BE49-F238E27FC236}">
              <a16:creationId xmlns:a16="http://schemas.microsoft.com/office/drawing/2014/main" id="{4E84EE82-4A8C-6BBE-31A2-B43831FE7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482600</xdr:colOff>
      <xdr:row>61</xdr:row>
      <xdr:rowOff>114300</xdr:rowOff>
    </xdr:from>
    <xdr:to>
      <xdr:col>18</xdr:col>
      <xdr:colOff>520700</xdr:colOff>
      <xdr:row>80</xdr:row>
      <xdr:rowOff>63500</xdr:rowOff>
    </xdr:to>
    <xdr:graphicFrame macro="">
      <xdr:nvGraphicFramePr>
        <xdr:cNvPr id="407" name="Gráfico 406">
          <a:extLst>
            <a:ext uri="{FF2B5EF4-FFF2-40B4-BE49-F238E27FC236}">
              <a16:creationId xmlns:a16="http://schemas.microsoft.com/office/drawing/2014/main" id="{15B5EC10-6D6D-914B-50BF-59F4DE7FD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165100</xdr:colOff>
      <xdr:row>61</xdr:row>
      <xdr:rowOff>114300</xdr:rowOff>
    </xdr:from>
    <xdr:to>
      <xdr:col>28</xdr:col>
      <xdr:colOff>203200</xdr:colOff>
      <xdr:row>80</xdr:row>
      <xdr:rowOff>63500</xdr:rowOff>
    </xdr:to>
    <xdr:graphicFrame macro="">
      <xdr:nvGraphicFramePr>
        <xdr:cNvPr id="408" name="Gráfico 407">
          <a:extLst>
            <a:ext uri="{FF2B5EF4-FFF2-40B4-BE49-F238E27FC236}">
              <a16:creationId xmlns:a16="http://schemas.microsoft.com/office/drawing/2014/main" id="{5666FFFB-3775-59FB-89D1-8C492AE3C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127000</xdr:colOff>
      <xdr:row>81</xdr:row>
      <xdr:rowOff>177800</xdr:rowOff>
    </xdr:from>
    <xdr:to>
      <xdr:col>9</xdr:col>
      <xdr:colOff>165100</xdr:colOff>
      <xdr:row>100</xdr:row>
      <xdr:rowOff>127000</xdr:rowOff>
    </xdr:to>
    <xdr:graphicFrame macro="">
      <xdr:nvGraphicFramePr>
        <xdr:cNvPr id="409" name="Gráfico 408">
          <a:extLst>
            <a:ext uri="{FF2B5EF4-FFF2-40B4-BE49-F238E27FC236}">
              <a16:creationId xmlns:a16="http://schemas.microsoft.com/office/drawing/2014/main" id="{78ED6886-155C-8D09-F4B1-6D37681F4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482600</xdr:colOff>
      <xdr:row>81</xdr:row>
      <xdr:rowOff>177800</xdr:rowOff>
    </xdr:from>
    <xdr:to>
      <xdr:col>18</xdr:col>
      <xdr:colOff>520700</xdr:colOff>
      <xdr:row>100</xdr:row>
      <xdr:rowOff>127000</xdr:rowOff>
    </xdr:to>
    <xdr:graphicFrame macro="">
      <xdr:nvGraphicFramePr>
        <xdr:cNvPr id="410" name="Gráfico 409">
          <a:extLst>
            <a:ext uri="{FF2B5EF4-FFF2-40B4-BE49-F238E27FC236}">
              <a16:creationId xmlns:a16="http://schemas.microsoft.com/office/drawing/2014/main" id="{4423349C-EA44-DB41-E001-0047BD9C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165100</xdr:colOff>
      <xdr:row>81</xdr:row>
      <xdr:rowOff>177800</xdr:rowOff>
    </xdr:from>
    <xdr:to>
      <xdr:col>28</xdr:col>
      <xdr:colOff>203200</xdr:colOff>
      <xdr:row>100</xdr:row>
      <xdr:rowOff>127000</xdr:rowOff>
    </xdr:to>
    <xdr:graphicFrame macro="">
      <xdr:nvGraphicFramePr>
        <xdr:cNvPr id="411" name="Gráfico 410">
          <a:extLst>
            <a:ext uri="{FF2B5EF4-FFF2-40B4-BE49-F238E27FC236}">
              <a16:creationId xmlns:a16="http://schemas.microsoft.com/office/drawing/2014/main" id="{41B2FFE9-1090-4914-FFDF-8AD27622E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127000</xdr:colOff>
      <xdr:row>102</xdr:row>
      <xdr:rowOff>38100</xdr:rowOff>
    </xdr:from>
    <xdr:to>
      <xdr:col>9</xdr:col>
      <xdr:colOff>165100</xdr:colOff>
      <xdr:row>120</xdr:row>
      <xdr:rowOff>190500</xdr:rowOff>
    </xdr:to>
    <xdr:graphicFrame macro="">
      <xdr:nvGraphicFramePr>
        <xdr:cNvPr id="412" name="Gráfico 411">
          <a:extLst>
            <a:ext uri="{FF2B5EF4-FFF2-40B4-BE49-F238E27FC236}">
              <a16:creationId xmlns:a16="http://schemas.microsoft.com/office/drawing/2014/main" id="{083B4FEB-B09A-6C1F-E9CF-579303FDD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482600</xdr:colOff>
      <xdr:row>102</xdr:row>
      <xdr:rowOff>38100</xdr:rowOff>
    </xdr:from>
    <xdr:to>
      <xdr:col>18</xdr:col>
      <xdr:colOff>520700</xdr:colOff>
      <xdr:row>120</xdr:row>
      <xdr:rowOff>190500</xdr:rowOff>
    </xdr:to>
    <xdr:graphicFrame macro="">
      <xdr:nvGraphicFramePr>
        <xdr:cNvPr id="413" name="Gráfico 412">
          <a:extLst>
            <a:ext uri="{FF2B5EF4-FFF2-40B4-BE49-F238E27FC236}">
              <a16:creationId xmlns:a16="http://schemas.microsoft.com/office/drawing/2014/main" id="{8738ADEF-4288-7052-BE47-FD5BECEFA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165100</xdr:colOff>
      <xdr:row>102</xdr:row>
      <xdr:rowOff>38100</xdr:rowOff>
    </xdr:from>
    <xdr:to>
      <xdr:col>28</xdr:col>
      <xdr:colOff>203200</xdr:colOff>
      <xdr:row>120</xdr:row>
      <xdr:rowOff>190500</xdr:rowOff>
    </xdr:to>
    <xdr:graphicFrame macro="">
      <xdr:nvGraphicFramePr>
        <xdr:cNvPr id="414" name="Gráfico 413">
          <a:extLst>
            <a:ext uri="{FF2B5EF4-FFF2-40B4-BE49-F238E27FC236}">
              <a16:creationId xmlns:a16="http://schemas.microsoft.com/office/drawing/2014/main" id="{F1928AF2-DA4F-E921-F986-88C8903B1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127000</xdr:colOff>
      <xdr:row>122</xdr:row>
      <xdr:rowOff>101600</xdr:rowOff>
    </xdr:from>
    <xdr:to>
      <xdr:col>9</xdr:col>
      <xdr:colOff>165100</xdr:colOff>
      <xdr:row>141</xdr:row>
      <xdr:rowOff>50800</xdr:rowOff>
    </xdr:to>
    <xdr:graphicFrame macro="">
      <xdr:nvGraphicFramePr>
        <xdr:cNvPr id="415" name="Gráfico 414">
          <a:extLst>
            <a:ext uri="{FF2B5EF4-FFF2-40B4-BE49-F238E27FC236}">
              <a16:creationId xmlns:a16="http://schemas.microsoft.com/office/drawing/2014/main" id="{F7778CD0-DAB5-B585-4DB7-741B53514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482600</xdr:colOff>
      <xdr:row>122</xdr:row>
      <xdr:rowOff>101600</xdr:rowOff>
    </xdr:from>
    <xdr:to>
      <xdr:col>18</xdr:col>
      <xdr:colOff>520700</xdr:colOff>
      <xdr:row>141</xdr:row>
      <xdr:rowOff>50800</xdr:rowOff>
    </xdr:to>
    <xdr:graphicFrame macro="">
      <xdr:nvGraphicFramePr>
        <xdr:cNvPr id="416" name="Gráfico 415">
          <a:extLst>
            <a:ext uri="{FF2B5EF4-FFF2-40B4-BE49-F238E27FC236}">
              <a16:creationId xmlns:a16="http://schemas.microsoft.com/office/drawing/2014/main" id="{7196B1E8-1647-6D75-5917-F09DA8C9D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19</xdr:col>
      <xdr:colOff>165100</xdr:colOff>
      <xdr:row>122</xdr:row>
      <xdr:rowOff>101600</xdr:rowOff>
    </xdr:from>
    <xdr:to>
      <xdr:col>28</xdr:col>
      <xdr:colOff>203200</xdr:colOff>
      <xdr:row>141</xdr:row>
      <xdr:rowOff>50800</xdr:rowOff>
    </xdr:to>
    <xdr:graphicFrame macro="">
      <xdr:nvGraphicFramePr>
        <xdr:cNvPr id="417" name="Gráfico 416">
          <a:extLst>
            <a:ext uri="{FF2B5EF4-FFF2-40B4-BE49-F238E27FC236}">
              <a16:creationId xmlns:a16="http://schemas.microsoft.com/office/drawing/2014/main" id="{7CF96D66-316A-C8EC-B180-EC63D51A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127000</xdr:colOff>
      <xdr:row>142</xdr:row>
      <xdr:rowOff>165100</xdr:rowOff>
    </xdr:from>
    <xdr:to>
      <xdr:col>9</xdr:col>
      <xdr:colOff>165100</xdr:colOff>
      <xdr:row>161</xdr:row>
      <xdr:rowOff>114300</xdr:rowOff>
    </xdr:to>
    <xdr:graphicFrame macro="">
      <xdr:nvGraphicFramePr>
        <xdr:cNvPr id="418" name="Gráfico 417">
          <a:extLst>
            <a:ext uri="{FF2B5EF4-FFF2-40B4-BE49-F238E27FC236}">
              <a16:creationId xmlns:a16="http://schemas.microsoft.com/office/drawing/2014/main" id="{001FAE10-4869-0752-CE7B-7993B9C86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482600</xdr:colOff>
      <xdr:row>142</xdr:row>
      <xdr:rowOff>165100</xdr:rowOff>
    </xdr:from>
    <xdr:to>
      <xdr:col>18</xdr:col>
      <xdr:colOff>520700</xdr:colOff>
      <xdr:row>161</xdr:row>
      <xdr:rowOff>114300</xdr:rowOff>
    </xdr:to>
    <xdr:graphicFrame macro="">
      <xdr:nvGraphicFramePr>
        <xdr:cNvPr id="419" name="Gráfico 418">
          <a:extLst>
            <a:ext uri="{FF2B5EF4-FFF2-40B4-BE49-F238E27FC236}">
              <a16:creationId xmlns:a16="http://schemas.microsoft.com/office/drawing/2014/main" id="{1316A455-4AB8-E0D1-AE12-85A0D0BF3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165100</xdr:colOff>
      <xdr:row>142</xdr:row>
      <xdr:rowOff>165100</xdr:rowOff>
    </xdr:from>
    <xdr:to>
      <xdr:col>28</xdr:col>
      <xdr:colOff>203200</xdr:colOff>
      <xdr:row>161</xdr:row>
      <xdr:rowOff>114300</xdr:rowOff>
    </xdr:to>
    <xdr:graphicFrame macro="">
      <xdr:nvGraphicFramePr>
        <xdr:cNvPr id="420" name="Gráfico 419">
          <a:extLst>
            <a:ext uri="{FF2B5EF4-FFF2-40B4-BE49-F238E27FC236}">
              <a16:creationId xmlns:a16="http://schemas.microsoft.com/office/drawing/2014/main" id="{39712A4B-41E3-B81B-1C28-53844C151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127000</xdr:colOff>
      <xdr:row>163</xdr:row>
      <xdr:rowOff>25400</xdr:rowOff>
    </xdr:from>
    <xdr:to>
      <xdr:col>9</xdr:col>
      <xdr:colOff>165100</xdr:colOff>
      <xdr:row>181</xdr:row>
      <xdr:rowOff>177800</xdr:rowOff>
    </xdr:to>
    <xdr:graphicFrame macro="">
      <xdr:nvGraphicFramePr>
        <xdr:cNvPr id="421" name="Gráfico 420">
          <a:extLst>
            <a:ext uri="{FF2B5EF4-FFF2-40B4-BE49-F238E27FC236}">
              <a16:creationId xmlns:a16="http://schemas.microsoft.com/office/drawing/2014/main" id="{3E532884-F540-375A-E7DB-12754A7EE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482600</xdr:colOff>
      <xdr:row>163</xdr:row>
      <xdr:rowOff>25400</xdr:rowOff>
    </xdr:from>
    <xdr:to>
      <xdr:col>18</xdr:col>
      <xdr:colOff>520700</xdr:colOff>
      <xdr:row>181</xdr:row>
      <xdr:rowOff>177800</xdr:rowOff>
    </xdr:to>
    <xdr:graphicFrame macro="">
      <xdr:nvGraphicFramePr>
        <xdr:cNvPr id="422" name="Gráfico 421">
          <a:extLst>
            <a:ext uri="{FF2B5EF4-FFF2-40B4-BE49-F238E27FC236}">
              <a16:creationId xmlns:a16="http://schemas.microsoft.com/office/drawing/2014/main" id="{B0DA86FC-8CEA-E8DC-D00F-B7BA72CE3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165100</xdr:colOff>
      <xdr:row>163</xdr:row>
      <xdr:rowOff>25400</xdr:rowOff>
    </xdr:from>
    <xdr:to>
      <xdr:col>28</xdr:col>
      <xdr:colOff>203200</xdr:colOff>
      <xdr:row>181</xdr:row>
      <xdr:rowOff>177800</xdr:rowOff>
    </xdr:to>
    <xdr:graphicFrame macro="">
      <xdr:nvGraphicFramePr>
        <xdr:cNvPr id="423" name="Gráfico 422">
          <a:extLst>
            <a:ext uri="{FF2B5EF4-FFF2-40B4-BE49-F238E27FC236}">
              <a16:creationId xmlns:a16="http://schemas.microsoft.com/office/drawing/2014/main" id="{6B231528-0F13-BEFA-7DEA-C37312FC4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127000</xdr:colOff>
      <xdr:row>183</xdr:row>
      <xdr:rowOff>88900</xdr:rowOff>
    </xdr:from>
    <xdr:to>
      <xdr:col>9</xdr:col>
      <xdr:colOff>165100</xdr:colOff>
      <xdr:row>202</xdr:row>
      <xdr:rowOff>38100</xdr:rowOff>
    </xdr:to>
    <xdr:graphicFrame macro="">
      <xdr:nvGraphicFramePr>
        <xdr:cNvPr id="424" name="Gráfico 423">
          <a:extLst>
            <a:ext uri="{FF2B5EF4-FFF2-40B4-BE49-F238E27FC236}">
              <a16:creationId xmlns:a16="http://schemas.microsoft.com/office/drawing/2014/main" id="{676AA757-C51D-E615-418F-A583675A7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482600</xdr:colOff>
      <xdr:row>183</xdr:row>
      <xdr:rowOff>88900</xdr:rowOff>
    </xdr:from>
    <xdr:to>
      <xdr:col>18</xdr:col>
      <xdr:colOff>520700</xdr:colOff>
      <xdr:row>202</xdr:row>
      <xdr:rowOff>38100</xdr:rowOff>
    </xdr:to>
    <xdr:graphicFrame macro="">
      <xdr:nvGraphicFramePr>
        <xdr:cNvPr id="512" name="Gráfico 511">
          <a:extLst>
            <a:ext uri="{FF2B5EF4-FFF2-40B4-BE49-F238E27FC236}">
              <a16:creationId xmlns:a16="http://schemas.microsoft.com/office/drawing/2014/main" id="{5C24A45A-6E2C-436A-3592-870EAB3BB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165100</xdr:colOff>
      <xdr:row>183</xdr:row>
      <xdr:rowOff>88900</xdr:rowOff>
    </xdr:from>
    <xdr:to>
      <xdr:col>28</xdr:col>
      <xdr:colOff>203200</xdr:colOff>
      <xdr:row>202</xdr:row>
      <xdr:rowOff>38100</xdr:rowOff>
    </xdr:to>
    <xdr:graphicFrame macro="">
      <xdr:nvGraphicFramePr>
        <xdr:cNvPr id="513" name="Gráfico 512">
          <a:extLst>
            <a:ext uri="{FF2B5EF4-FFF2-40B4-BE49-F238E27FC236}">
              <a16:creationId xmlns:a16="http://schemas.microsoft.com/office/drawing/2014/main" id="{57B670A6-6DF5-3837-AB57-10A0878C1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127000</xdr:colOff>
      <xdr:row>203</xdr:row>
      <xdr:rowOff>152400</xdr:rowOff>
    </xdr:from>
    <xdr:to>
      <xdr:col>9</xdr:col>
      <xdr:colOff>165100</xdr:colOff>
      <xdr:row>222</xdr:row>
      <xdr:rowOff>101600</xdr:rowOff>
    </xdr:to>
    <xdr:graphicFrame macro="">
      <xdr:nvGraphicFramePr>
        <xdr:cNvPr id="514" name="Gráfico 513">
          <a:extLst>
            <a:ext uri="{FF2B5EF4-FFF2-40B4-BE49-F238E27FC236}">
              <a16:creationId xmlns:a16="http://schemas.microsoft.com/office/drawing/2014/main" id="{F10D7F3A-1C77-DDBC-8863-8C5457D45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482600</xdr:colOff>
      <xdr:row>203</xdr:row>
      <xdr:rowOff>152400</xdr:rowOff>
    </xdr:from>
    <xdr:to>
      <xdr:col>18</xdr:col>
      <xdr:colOff>520700</xdr:colOff>
      <xdr:row>222</xdr:row>
      <xdr:rowOff>101600</xdr:rowOff>
    </xdr:to>
    <xdr:graphicFrame macro="">
      <xdr:nvGraphicFramePr>
        <xdr:cNvPr id="515" name="Gráfico 514">
          <a:extLst>
            <a:ext uri="{FF2B5EF4-FFF2-40B4-BE49-F238E27FC236}">
              <a16:creationId xmlns:a16="http://schemas.microsoft.com/office/drawing/2014/main" id="{2929E771-DBEC-352C-1FC1-5B71F93FE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165100</xdr:colOff>
      <xdr:row>203</xdr:row>
      <xdr:rowOff>152400</xdr:rowOff>
    </xdr:from>
    <xdr:to>
      <xdr:col>28</xdr:col>
      <xdr:colOff>203200</xdr:colOff>
      <xdr:row>222</xdr:row>
      <xdr:rowOff>101600</xdr:rowOff>
    </xdr:to>
    <xdr:graphicFrame macro="">
      <xdr:nvGraphicFramePr>
        <xdr:cNvPr id="516" name="Gráfico 515">
          <a:extLst>
            <a:ext uri="{FF2B5EF4-FFF2-40B4-BE49-F238E27FC236}">
              <a16:creationId xmlns:a16="http://schemas.microsoft.com/office/drawing/2014/main" id="{C5D51E2D-2502-519D-8F20-30CDFF2EE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127000</xdr:colOff>
      <xdr:row>224</xdr:row>
      <xdr:rowOff>12700</xdr:rowOff>
    </xdr:from>
    <xdr:to>
      <xdr:col>9</xdr:col>
      <xdr:colOff>165100</xdr:colOff>
      <xdr:row>242</xdr:row>
      <xdr:rowOff>165100</xdr:rowOff>
    </xdr:to>
    <xdr:graphicFrame macro="">
      <xdr:nvGraphicFramePr>
        <xdr:cNvPr id="517" name="Gráfico 516">
          <a:extLst>
            <a:ext uri="{FF2B5EF4-FFF2-40B4-BE49-F238E27FC236}">
              <a16:creationId xmlns:a16="http://schemas.microsoft.com/office/drawing/2014/main" id="{080E55EC-BEF0-24AB-F1DC-C28B1EE3E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482600</xdr:colOff>
      <xdr:row>224</xdr:row>
      <xdr:rowOff>12700</xdr:rowOff>
    </xdr:from>
    <xdr:to>
      <xdr:col>18</xdr:col>
      <xdr:colOff>520700</xdr:colOff>
      <xdr:row>242</xdr:row>
      <xdr:rowOff>165100</xdr:rowOff>
    </xdr:to>
    <xdr:graphicFrame macro="">
      <xdr:nvGraphicFramePr>
        <xdr:cNvPr id="518" name="Gráfico 517">
          <a:extLst>
            <a:ext uri="{FF2B5EF4-FFF2-40B4-BE49-F238E27FC236}">
              <a16:creationId xmlns:a16="http://schemas.microsoft.com/office/drawing/2014/main" id="{CCBCD34A-93BE-2E0F-B078-C7FE009A7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19</xdr:col>
      <xdr:colOff>165100</xdr:colOff>
      <xdr:row>224</xdr:row>
      <xdr:rowOff>12700</xdr:rowOff>
    </xdr:from>
    <xdr:to>
      <xdr:col>28</xdr:col>
      <xdr:colOff>203200</xdr:colOff>
      <xdr:row>242</xdr:row>
      <xdr:rowOff>165100</xdr:rowOff>
    </xdr:to>
    <xdr:graphicFrame macro="">
      <xdr:nvGraphicFramePr>
        <xdr:cNvPr id="519" name="Gráfico 518">
          <a:extLst>
            <a:ext uri="{FF2B5EF4-FFF2-40B4-BE49-F238E27FC236}">
              <a16:creationId xmlns:a16="http://schemas.microsoft.com/office/drawing/2014/main" id="{A50F8626-1D37-A424-B5A4-742A7BEB1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F350BB-2DEB-49D3-8F05-9E21DAFF8F1E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201A-9772-4A2B-BA2D-AF05429E6700}">
  <dimension ref="A1:P64"/>
  <sheetViews>
    <sheetView zoomScale="110" zoomScaleNormal="110" workbookViewId="0">
      <selection activeCell="T31" sqref="T31"/>
    </sheetView>
  </sheetViews>
  <sheetFormatPr baseColWidth="10" defaultColWidth="8.83203125" defaultRowHeight="16" x14ac:dyDescent="0.2"/>
  <cols>
    <col min="1" max="1" width="14" customWidth="1"/>
    <col min="2" max="2" width="17.83203125" customWidth="1"/>
  </cols>
  <sheetData>
    <row r="1" spans="1:16" x14ac:dyDescent="0.2">
      <c r="A1" t="s">
        <v>3182</v>
      </c>
      <c r="O1" s="523"/>
      <c r="P1" s="189">
        <v>10.5</v>
      </c>
    </row>
    <row r="2" spans="1:16" x14ac:dyDescent="0.2">
      <c r="A2" t="s">
        <v>3183</v>
      </c>
      <c r="O2" s="503" t="s">
        <v>5159</v>
      </c>
      <c r="P2" s="136">
        <v>10</v>
      </c>
    </row>
    <row r="3" spans="1:16" x14ac:dyDescent="0.2">
      <c r="O3" s="503" t="s">
        <v>5162</v>
      </c>
      <c r="P3" s="136">
        <v>9.5</v>
      </c>
    </row>
    <row r="4" spans="1:16" x14ac:dyDescent="0.2">
      <c r="A4" s="378" t="s">
        <v>3184</v>
      </c>
      <c r="O4" s="503" t="s">
        <v>5160</v>
      </c>
      <c r="P4" s="136">
        <v>9</v>
      </c>
    </row>
    <row r="5" spans="1:16" x14ac:dyDescent="0.2">
      <c r="A5" t="s">
        <v>5695</v>
      </c>
      <c r="O5" s="503" t="s">
        <v>5531</v>
      </c>
      <c r="P5" s="136">
        <v>8.5</v>
      </c>
    </row>
    <row r="6" spans="1:16" x14ac:dyDescent="0.2">
      <c r="A6" s="557" t="s">
        <v>5696</v>
      </c>
      <c r="O6" s="503" t="s">
        <v>5161</v>
      </c>
      <c r="P6" s="136">
        <v>8</v>
      </c>
    </row>
    <row r="7" spans="1:16" x14ac:dyDescent="0.2">
      <c r="A7" s="557" t="s">
        <v>3185</v>
      </c>
      <c r="O7" s="503" t="s">
        <v>5532</v>
      </c>
      <c r="P7" s="136">
        <v>7.5</v>
      </c>
    </row>
    <row r="8" spans="1:16" ht="17" thickBot="1" x14ac:dyDescent="0.25">
      <c r="A8" s="557" t="s">
        <v>5697</v>
      </c>
      <c r="O8" s="504" t="s">
        <v>5533</v>
      </c>
      <c r="P8" s="190">
        <v>7</v>
      </c>
    </row>
    <row r="9" spans="1:16" x14ac:dyDescent="0.2">
      <c r="A9" s="557" t="s">
        <v>3186</v>
      </c>
    </row>
    <row r="10" spans="1:16" x14ac:dyDescent="0.2">
      <c r="A10" s="557" t="s">
        <v>5698</v>
      </c>
    </row>
    <row r="11" spans="1:16" x14ac:dyDescent="0.2">
      <c r="A11" s="557" t="s">
        <v>5699</v>
      </c>
    </row>
    <row r="12" spans="1:16" x14ac:dyDescent="0.2">
      <c r="A12" s="557" t="s">
        <v>5700</v>
      </c>
    </row>
    <row r="13" spans="1:16" x14ac:dyDescent="0.2">
      <c r="A13" s="557" t="s">
        <v>5701</v>
      </c>
    </row>
    <row r="14" spans="1:16" x14ac:dyDescent="0.2">
      <c r="A14" s="557" t="s">
        <v>5702</v>
      </c>
    </row>
    <row r="15" spans="1:16" x14ac:dyDescent="0.2">
      <c r="A15" s="557" t="s">
        <v>5703</v>
      </c>
    </row>
    <row r="16" spans="1:16" x14ac:dyDescent="0.2">
      <c r="A16" t="s">
        <v>5704</v>
      </c>
    </row>
    <row r="17" spans="1:8" x14ac:dyDescent="0.2">
      <c r="A17" s="557" t="s">
        <v>3187</v>
      </c>
    </row>
    <row r="18" spans="1:8" x14ac:dyDescent="0.2">
      <c r="A18" s="557" t="s">
        <v>5705</v>
      </c>
    </row>
    <row r="19" spans="1:8" x14ac:dyDescent="0.2">
      <c r="A19" s="557" t="s">
        <v>3188</v>
      </c>
    </row>
    <row r="20" spans="1:8" x14ac:dyDescent="0.2">
      <c r="A20" s="557" t="s">
        <v>5706</v>
      </c>
    </row>
    <row r="21" spans="1:8" x14ac:dyDescent="0.2">
      <c r="A21" s="557" t="s">
        <v>5707</v>
      </c>
    </row>
    <row r="22" spans="1:8" x14ac:dyDescent="0.2">
      <c r="A22" t="s">
        <v>5708</v>
      </c>
    </row>
    <row r="23" spans="1:8" x14ac:dyDescent="0.2">
      <c r="A23" s="557" t="s">
        <v>5709</v>
      </c>
    </row>
    <row r="24" spans="1:8" x14ac:dyDescent="0.2">
      <c r="A24" s="557" t="s">
        <v>5710</v>
      </c>
    </row>
    <row r="25" spans="1:8" x14ac:dyDescent="0.2">
      <c r="A25" s="557" t="s">
        <v>5711</v>
      </c>
    </row>
    <row r="26" spans="1:8" x14ac:dyDescent="0.2">
      <c r="A26" s="557" t="s">
        <v>5712</v>
      </c>
    </row>
    <row r="27" spans="1:8" x14ac:dyDescent="0.2">
      <c r="A27" t="s">
        <v>5713</v>
      </c>
    </row>
    <row r="28" spans="1:8" x14ac:dyDescent="0.2">
      <c r="H28" t="s">
        <v>5717</v>
      </c>
    </row>
    <row r="29" spans="1:8" x14ac:dyDescent="0.2">
      <c r="A29" t="s">
        <v>3189</v>
      </c>
      <c r="H29" t="s">
        <v>5714</v>
      </c>
    </row>
    <row r="30" spans="1:8" x14ac:dyDescent="0.2">
      <c r="A30" s="379" t="s">
        <v>3200</v>
      </c>
      <c r="B30" s="379" t="s">
        <v>3201</v>
      </c>
      <c r="C30" s="379" t="s">
        <v>3202</v>
      </c>
      <c r="H30" t="s">
        <v>5715</v>
      </c>
    </row>
    <row r="31" spans="1:8" x14ac:dyDescent="0.2">
      <c r="A31" t="s">
        <v>3190</v>
      </c>
      <c r="B31" t="s">
        <v>3191</v>
      </c>
      <c r="C31" t="s">
        <v>3205</v>
      </c>
      <c r="H31" t="s">
        <v>5716</v>
      </c>
    </row>
    <row r="32" spans="1:8" x14ac:dyDescent="0.2">
      <c r="A32" t="s">
        <v>3192</v>
      </c>
      <c r="B32" t="s">
        <v>3197</v>
      </c>
      <c r="C32" t="s">
        <v>3203</v>
      </c>
    </row>
    <row r="33" spans="1:3" x14ac:dyDescent="0.2">
      <c r="A33" t="s">
        <v>3193</v>
      </c>
      <c r="B33" t="s">
        <v>3198</v>
      </c>
    </row>
    <row r="34" spans="1:3" x14ac:dyDescent="0.2">
      <c r="A34" t="s">
        <v>3194</v>
      </c>
      <c r="B34" t="s">
        <v>3198</v>
      </c>
    </row>
    <row r="35" spans="1:3" x14ac:dyDescent="0.2">
      <c r="A35" t="s">
        <v>3195</v>
      </c>
      <c r="B35" t="s">
        <v>3198</v>
      </c>
    </row>
    <row r="36" spans="1:3" x14ac:dyDescent="0.2">
      <c r="A36" t="s">
        <v>3199</v>
      </c>
      <c r="B36" t="s">
        <v>3197</v>
      </c>
      <c r="C36" t="s">
        <v>3204</v>
      </c>
    </row>
    <row r="37" spans="1:3" x14ac:dyDescent="0.2">
      <c r="A37" t="s">
        <v>3196</v>
      </c>
      <c r="B37" t="s">
        <v>3198</v>
      </c>
    </row>
    <row r="39" spans="1:3" x14ac:dyDescent="0.2">
      <c r="A39" t="s">
        <v>3207</v>
      </c>
    </row>
    <row r="40" spans="1:3" x14ac:dyDescent="0.2">
      <c r="A40" t="s">
        <v>3208</v>
      </c>
    </row>
    <row r="41" spans="1:3" x14ac:dyDescent="0.2">
      <c r="A41" t="s">
        <v>3209</v>
      </c>
    </row>
    <row r="43" spans="1:3" x14ac:dyDescent="0.2">
      <c r="A43" t="s">
        <v>3210</v>
      </c>
    </row>
    <row r="44" spans="1:3" x14ac:dyDescent="0.2">
      <c r="A44" t="s">
        <v>3211</v>
      </c>
    </row>
    <row r="46" spans="1:3" x14ac:dyDescent="0.2">
      <c r="A46" t="s">
        <v>3212</v>
      </c>
    </row>
    <row r="47" spans="1:3" x14ac:dyDescent="0.2">
      <c r="A47" s="379" t="s">
        <v>3200</v>
      </c>
      <c r="B47" s="379" t="s">
        <v>3201</v>
      </c>
      <c r="C47" s="379" t="s">
        <v>3202</v>
      </c>
    </row>
    <row r="48" spans="1:3" x14ac:dyDescent="0.2">
      <c r="A48" t="s">
        <v>3190</v>
      </c>
      <c r="B48" s="380" t="s">
        <v>3213</v>
      </c>
      <c r="C48" t="s">
        <v>3216</v>
      </c>
    </row>
    <row r="49" spans="1:3" x14ac:dyDescent="0.2">
      <c r="A49" t="s">
        <v>3192</v>
      </c>
      <c r="B49" s="380" t="s">
        <v>3214</v>
      </c>
      <c r="C49" t="s">
        <v>3217</v>
      </c>
    </row>
    <row r="50" spans="1:3" x14ac:dyDescent="0.2">
      <c r="A50" t="s">
        <v>3193</v>
      </c>
      <c r="B50" t="s">
        <v>3215</v>
      </c>
      <c r="C50" t="s">
        <v>3218</v>
      </c>
    </row>
    <row r="51" spans="1:3" x14ac:dyDescent="0.2">
      <c r="A51" t="s">
        <v>3194</v>
      </c>
      <c r="B51" t="s">
        <v>3215</v>
      </c>
      <c r="C51" t="s">
        <v>3218</v>
      </c>
    </row>
    <row r="52" spans="1:3" x14ac:dyDescent="0.2">
      <c r="A52" t="s">
        <v>3195</v>
      </c>
      <c r="B52" t="s">
        <v>3215</v>
      </c>
      <c r="C52" t="s">
        <v>3218</v>
      </c>
    </row>
    <row r="53" spans="1:3" x14ac:dyDescent="0.2">
      <c r="A53" t="s">
        <v>3199</v>
      </c>
      <c r="B53" s="380" t="s">
        <v>3213</v>
      </c>
      <c r="C53" t="s">
        <v>3219</v>
      </c>
    </row>
    <row r="54" spans="1:3" x14ac:dyDescent="0.2">
      <c r="A54" t="s">
        <v>3196</v>
      </c>
      <c r="B54" t="s">
        <v>3215</v>
      </c>
      <c r="C54" t="s">
        <v>3218</v>
      </c>
    </row>
    <row r="55" spans="1:3" x14ac:dyDescent="0.2">
      <c r="A55" t="s">
        <v>3222</v>
      </c>
    </row>
    <row r="57" spans="1:3" x14ac:dyDescent="0.2">
      <c r="A57" t="s">
        <v>3220</v>
      </c>
    </row>
    <row r="59" spans="1:3" x14ac:dyDescent="0.2">
      <c r="A59" t="s">
        <v>3221</v>
      </c>
    </row>
    <row r="60" spans="1:3" x14ac:dyDescent="0.2">
      <c r="B60" t="s">
        <v>3224</v>
      </c>
    </row>
    <row r="62" spans="1:3" x14ac:dyDescent="0.2">
      <c r="A62" t="s">
        <v>3223</v>
      </c>
    </row>
    <row r="64" spans="1:3" x14ac:dyDescent="0.2">
      <c r="A64" t="s">
        <v>4574</v>
      </c>
    </row>
  </sheetData>
  <conditionalFormatting sqref="P1:P8">
    <cfRule type="containsBlanks" dxfId="2703" priority="1" stopIfTrue="1">
      <formula>LEN(TRIM(P1))=0</formula>
    </cfRule>
    <cfRule type="cellIs" dxfId="2702" priority="2" operator="lessThan">
      <formula>2</formula>
    </cfRule>
    <cfRule type="cellIs" dxfId="2701" priority="3" operator="between">
      <formula>2</formula>
      <formula>4.9</formula>
    </cfRule>
    <cfRule type="cellIs" dxfId="2700" priority="4" operator="between">
      <formula>5</formula>
      <formula>6.9</formula>
    </cfRule>
    <cfRule type="cellIs" dxfId="2699" priority="5" operator="between">
      <formula>10.1</formula>
      <formula>10.6</formula>
    </cfRule>
    <cfRule type="cellIs" dxfId="2698" priority="6" operator="between">
      <formula>7</formula>
      <formula>7.9</formula>
    </cfRule>
    <cfRule type="cellIs" dxfId="2697" priority="7" stopIfTrue="1" operator="between">
      <formula>8</formula>
      <formula>8.9</formula>
    </cfRule>
    <cfRule type="cellIs" dxfId="2696" priority="8" operator="between">
      <formula>9</formula>
      <formula>9.9</formula>
    </cfRule>
    <cfRule type="cellIs" dxfId="2695" priority="9" stopIfTrue="1" operator="between">
      <formula>10</formula>
      <formula>10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1144-513A-CB48-A218-A302FC3F4F77}">
  <sheetPr>
    <pageSetUpPr fitToPage="1"/>
  </sheetPr>
  <dimension ref="A1:AI1000"/>
  <sheetViews>
    <sheetView zoomScaleNormal="100" zoomScaleSheetLayoutView="90" workbookViewId="0">
      <pane ySplit="1" topLeftCell="A846" activePane="bottomLeft" state="frozen"/>
      <selection pane="bottomLeft" activeCell="G871" sqref="G871"/>
    </sheetView>
  </sheetViews>
  <sheetFormatPr baseColWidth="10" defaultColWidth="11.1640625" defaultRowHeight="16" x14ac:dyDescent="0.2"/>
  <cols>
    <col min="1" max="1" width="35.1640625" style="3" customWidth="1"/>
    <col min="2" max="2" width="11.33203125" style="3" customWidth="1"/>
    <col min="3" max="3" width="3.83203125" style="3" customWidth="1"/>
    <col min="4" max="4" width="35.1640625" style="3" customWidth="1"/>
    <col min="5" max="5" width="11.1640625" style="3"/>
    <col min="6" max="6" width="3.83203125" style="3" customWidth="1"/>
    <col min="7" max="7" width="35.1640625" style="3" customWidth="1"/>
    <col min="8" max="8" width="11.1640625" style="3"/>
    <col min="9" max="9" width="3.83203125" style="3" customWidth="1"/>
    <col min="10" max="10" width="35.1640625" style="3" customWidth="1"/>
    <col min="11" max="11" width="11.1640625" style="3"/>
    <col min="12" max="12" width="3.83203125" style="3" customWidth="1"/>
    <col min="13" max="13" width="35.1640625" style="3" customWidth="1"/>
    <col min="14" max="14" width="12" style="3" customWidth="1"/>
    <col min="15" max="15" width="3.83203125" style="3" customWidth="1"/>
    <col min="16" max="17" width="3.6640625" style="3" customWidth="1"/>
    <col min="18" max="18" width="5.6640625" style="3" customWidth="1"/>
    <col min="19" max="19" width="25.6640625" style="3" bestFit="1" customWidth="1"/>
    <col min="20" max="20" width="42.33203125" style="3" bestFit="1" customWidth="1"/>
    <col min="21" max="21" width="6.1640625" style="3" bestFit="1" customWidth="1"/>
    <col min="22" max="22" width="14.6640625" style="199" bestFit="1" customWidth="1"/>
    <col min="23" max="23" width="8.1640625" style="199" bestFit="1" customWidth="1"/>
    <col min="24" max="24" width="11.1640625" style="199" bestFit="1" customWidth="1"/>
    <col min="25" max="25" width="9.5" style="199" bestFit="1" customWidth="1"/>
    <col min="26" max="26" width="14.33203125" style="199" bestFit="1" customWidth="1"/>
    <col min="27" max="27" width="10" style="3" bestFit="1" customWidth="1"/>
    <col min="28" max="28" width="8.1640625" style="3" bestFit="1" customWidth="1"/>
    <col min="29" max="29" width="4.33203125" style="3" bestFit="1" customWidth="1"/>
    <col min="30" max="30" width="8.6640625" style="3" bestFit="1" customWidth="1"/>
    <col min="31" max="31" width="14.1640625" style="3" bestFit="1" customWidth="1"/>
    <col min="32" max="32" width="28.33203125" style="3" bestFit="1" customWidth="1"/>
    <col min="33" max="33" width="29.1640625" style="3" bestFit="1" customWidth="1"/>
    <col min="34" max="34" width="29.5" style="3" bestFit="1" customWidth="1"/>
    <col min="35" max="35" width="42.1640625" style="3" bestFit="1" customWidth="1"/>
    <col min="36" max="36" width="13.33203125" style="3" customWidth="1"/>
    <col min="37" max="37" width="11" style="3" bestFit="1" customWidth="1"/>
    <col min="38" max="38" width="9.6640625" style="3" bestFit="1" customWidth="1"/>
    <col min="39" max="39" width="14.6640625" style="3" bestFit="1" customWidth="1"/>
    <col min="40" max="40" width="10.5" style="3" bestFit="1" customWidth="1"/>
    <col min="41" max="44" width="11.1640625" style="3"/>
    <col min="45" max="45" width="13" style="3" bestFit="1" customWidth="1"/>
    <col min="46" max="16384" width="11.1640625" style="3"/>
  </cols>
  <sheetData>
    <row r="1" spans="1:35" ht="16" customHeight="1" thickBot="1" x14ac:dyDescent="0.25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7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16" customHeight="1" thickBot="1" x14ac:dyDescent="0.25">
      <c r="A2" s="70" t="s">
        <v>849</v>
      </c>
      <c r="B2" s="1">
        <f>ROUND(SUM(B3:B14)/COUNT(B3:B14), 2)</f>
        <v>10.11</v>
      </c>
      <c r="C2" s="2"/>
      <c r="D2" s="71" t="s">
        <v>850</v>
      </c>
      <c r="E2" s="12">
        <f>ROUND(SUM(E3:E12)/COUNT(E3:E12), 2)</f>
        <v>9.6999999999999993</v>
      </c>
      <c r="F2" s="2"/>
      <c r="G2" s="90" t="s">
        <v>1076</v>
      </c>
      <c r="H2" s="1">
        <f>ROUND(SUM(H3:H15)/COUNT(H3:H15), 2)</f>
        <v>8.8800000000000008</v>
      </c>
      <c r="I2" s="2"/>
      <c r="J2" s="27" t="s">
        <v>404</v>
      </c>
      <c r="K2" s="1">
        <f>ROUND(SUM(K3:K12)/COUNT(K3:K12), 2)</f>
        <v>9.15</v>
      </c>
      <c r="L2" s="2"/>
      <c r="M2" s="19" t="s">
        <v>282</v>
      </c>
      <c r="N2" s="1">
        <f>ROUND(SUM(N3:N12)/COUNT(N3:N12), 2)</f>
        <v>9.61</v>
      </c>
      <c r="O2" s="16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ht="16" customHeight="1" x14ac:dyDescent="0.2">
      <c r="A3" s="4" t="s">
        <v>0</v>
      </c>
      <c r="B3" s="133">
        <v>10.5</v>
      </c>
      <c r="C3" s="2"/>
      <c r="D3" s="4" t="s">
        <v>12</v>
      </c>
      <c r="E3" s="133">
        <v>10</v>
      </c>
      <c r="F3" s="2"/>
      <c r="G3" s="4" t="s">
        <v>22</v>
      </c>
      <c r="H3" s="133">
        <v>9</v>
      </c>
      <c r="I3" s="2"/>
      <c r="J3" s="4" t="s">
        <v>35</v>
      </c>
      <c r="K3" s="133">
        <v>9.5</v>
      </c>
      <c r="L3" s="2"/>
      <c r="M3" s="4" t="s">
        <v>45</v>
      </c>
      <c r="N3" s="133"/>
      <c r="O3" s="16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ht="16" customHeight="1" x14ac:dyDescent="0.2">
      <c r="A4" s="4" t="s">
        <v>1</v>
      </c>
      <c r="B4" s="134"/>
      <c r="C4" s="2"/>
      <c r="D4" s="4" t="s">
        <v>13</v>
      </c>
      <c r="E4" s="134">
        <v>9</v>
      </c>
      <c r="F4" s="2"/>
      <c r="G4" s="4" t="s">
        <v>23</v>
      </c>
      <c r="H4" s="134">
        <v>9</v>
      </c>
      <c r="I4" s="2"/>
      <c r="J4" s="4" t="s">
        <v>36</v>
      </c>
      <c r="K4" s="134">
        <v>10</v>
      </c>
      <c r="L4" s="2"/>
      <c r="M4" s="4" t="s">
        <v>46</v>
      </c>
      <c r="N4" s="134">
        <v>9</v>
      </c>
      <c r="O4" s="16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ht="16" customHeight="1" x14ac:dyDescent="0.2">
      <c r="A5" s="4" t="s">
        <v>2</v>
      </c>
      <c r="B5" s="134">
        <v>10</v>
      </c>
      <c r="C5" s="2"/>
      <c r="D5" s="4" t="s">
        <v>14</v>
      </c>
      <c r="E5" s="134">
        <v>10.5</v>
      </c>
      <c r="F5" s="2"/>
      <c r="G5" s="4" t="s">
        <v>24</v>
      </c>
      <c r="H5" s="134">
        <v>8</v>
      </c>
      <c r="I5" s="2"/>
      <c r="J5" s="4" t="s">
        <v>37</v>
      </c>
      <c r="K5" s="134">
        <v>8.5</v>
      </c>
      <c r="L5" s="2"/>
      <c r="M5" s="4" t="s">
        <v>47</v>
      </c>
      <c r="N5" s="134">
        <v>7.5</v>
      </c>
      <c r="O5" s="16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ht="16" customHeight="1" x14ac:dyDescent="0.2">
      <c r="A6" s="4" t="s">
        <v>3</v>
      </c>
      <c r="B6" s="134"/>
      <c r="C6" s="2"/>
      <c r="D6" s="4" t="s">
        <v>16</v>
      </c>
      <c r="E6" s="134">
        <v>10.5</v>
      </c>
      <c r="F6" s="2"/>
      <c r="G6" s="4" t="s">
        <v>25</v>
      </c>
      <c r="H6" s="134">
        <v>10</v>
      </c>
      <c r="I6" s="2"/>
      <c r="J6" s="4" t="s">
        <v>38</v>
      </c>
      <c r="K6" s="134">
        <v>8</v>
      </c>
      <c r="L6" s="2"/>
      <c r="M6" s="4" t="s">
        <v>48</v>
      </c>
      <c r="N6" s="134">
        <v>10.5</v>
      </c>
      <c r="O6" s="1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spans="1:35" ht="16" customHeight="1" x14ac:dyDescent="0.2">
      <c r="A7" s="4" t="s">
        <v>4</v>
      </c>
      <c r="B7" s="134">
        <v>10.5</v>
      </c>
      <c r="C7" s="2"/>
      <c r="D7" s="4" t="s">
        <v>15</v>
      </c>
      <c r="E7" s="134">
        <v>10</v>
      </c>
      <c r="F7" s="2"/>
      <c r="G7" s="4" t="s">
        <v>26</v>
      </c>
      <c r="H7" s="134">
        <v>10.5</v>
      </c>
      <c r="I7" s="2"/>
      <c r="J7" s="4" t="s">
        <v>39</v>
      </c>
      <c r="K7" s="134">
        <v>10.5</v>
      </c>
      <c r="L7" s="2"/>
      <c r="M7" s="4" t="s">
        <v>49</v>
      </c>
      <c r="N7" s="134">
        <v>10.5</v>
      </c>
      <c r="O7" s="16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spans="1:35" ht="16" customHeight="1" x14ac:dyDescent="0.2">
      <c r="A8" s="4" t="s">
        <v>5</v>
      </c>
      <c r="B8" s="134">
        <v>10.5</v>
      </c>
      <c r="C8" s="2"/>
      <c r="D8" s="4" t="s">
        <v>17</v>
      </c>
      <c r="E8" s="134">
        <v>8.5</v>
      </c>
      <c r="F8" s="2"/>
      <c r="G8" s="4" t="s">
        <v>27</v>
      </c>
      <c r="H8" s="134">
        <v>10.5</v>
      </c>
      <c r="I8" s="2"/>
      <c r="J8" s="4" t="s">
        <v>40</v>
      </c>
      <c r="K8" s="134">
        <v>8.5</v>
      </c>
      <c r="L8" s="2"/>
      <c r="M8" s="4" t="s">
        <v>50</v>
      </c>
      <c r="N8" s="134">
        <v>10</v>
      </c>
      <c r="O8" s="16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ht="16" customHeight="1" x14ac:dyDescent="0.2">
      <c r="A9" s="4" t="s">
        <v>6</v>
      </c>
      <c r="B9" s="134">
        <v>9.5</v>
      </c>
      <c r="C9" s="2"/>
      <c r="D9" s="4" t="s">
        <v>18</v>
      </c>
      <c r="E9" s="134">
        <v>10.5</v>
      </c>
      <c r="F9" s="2"/>
      <c r="G9" s="4" t="s">
        <v>28</v>
      </c>
      <c r="H9" s="134">
        <v>9</v>
      </c>
      <c r="I9" s="2"/>
      <c r="J9" s="4" t="s">
        <v>41</v>
      </c>
      <c r="K9" s="134">
        <v>9</v>
      </c>
      <c r="L9" s="2"/>
      <c r="M9" s="4" t="s">
        <v>51</v>
      </c>
      <c r="N9" s="134">
        <v>10</v>
      </c>
      <c r="O9" s="16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ht="16" customHeight="1" x14ac:dyDescent="0.2">
      <c r="A10" s="4" t="s">
        <v>7</v>
      </c>
      <c r="B10" s="134">
        <v>10.5</v>
      </c>
      <c r="C10" s="2"/>
      <c r="D10" s="4" t="s">
        <v>19</v>
      </c>
      <c r="E10" s="134">
        <v>9.5</v>
      </c>
      <c r="F10" s="2"/>
      <c r="G10" s="4" t="s">
        <v>29</v>
      </c>
      <c r="H10" s="134">
        <v>7.5</v>
      </c>
      <c r="I10" s="2"/>
      <c r="J10" s="4" t="s">
        <v>42</v>
      </c>
      <c r="K10" s="134">
        <v>9</v>
      </c>
      <c r="L10" s="2"/>
      <c r="M10" s="4" t="s">
        <v>52</v>
      </c>
      <c r="N10" s="134">
        <v>9</v>
      </c>
      <c r="O10" s="16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ht="16" customHeight="1" x14ac:dyDescent="0.2">
      <c r="A11" s="4" t="s">
        <v>8</v>
      </c>
      <c r="B11" s="134">
        <v>9</v>
      </c>
      <c r="C11" s="2"/>
      <c r="D11" s="4" t="s">
        <v>20</v>
      </c>
      <c r="E11" s="134">
        <v>10.5</v>
      </c>
      <c r="F11" s="2"/>
      <c r="G11" s="4" t="s">
        <v>30</v>
      </c>
      <c r="H11" s="134">
        <v>8</v>
      </c>
      <c r="I11" s="2"/>
      <c r="J11" s="4" t="s">
        <v>43</v>
      </c>
      <c r="K11" s="134">
        <v>8.5</v>
      </c>
      <c r="L11" s="2"/>
      <c r="M11" s="4" t="s">
        <v>53</v>
      </c>
      <c r="N11" s="134">
        <v>10</v>
      </c>
      <c r="O11" s="16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ht="16" customHeight="1" thickBot="1" x14ac:dyDescent="0.25">
      <c r="A12" s="4" t="s">
        <v>9</v>
      </c>
      <c r="B12" s="134">
        <v>10.5</v>
      </c>
      <c r="C12" s="2"/>
      <c r="D12" s="7" t="s">
        <v>21</v>
      </c>
      <c r="E12" s="135">
        <v>8</v>
      </c>
      <c r="F12" s="2"/>
      <c r="G12" s="4" t="s">
        <v>31</v>
      </c>
      <c r="H12" s="134">
        <v>8</v>
      </c>
      <c r="I12" s="2"/>
      <c r="J12" s="7" t="s">
        <v>44</v>
      </c>
      <c r="K12" s="135">
        <v>10</v>
      </c>
      <c r="L12" s="2"/>
      <c r="M12" s="7" t="s">
        <v>54</v>
      </c>
      <c r="N12" s="135">
        <v>10</v>
      </c>
      <c r="O12" s="16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ht="16" customHeight="1" thickBot="1" x14ac:dyDescent="0.25">
      <c r="A13" s="4" t="s">
        <v>10</v>
      </c>
      <c r="B13" s="134">
        <v>10</v>
      </c>
      <c r="C13" s="2"/>
      <c r="D13" s="2"/>
      <c r="E13" s="2"/>
      <c r="F13" s="2"/>
      <c r="G13" s="4" t="s">
        <v>32</v>
      </c>
      <c r="H13" s="134">
        <v>9</v>
      </c>
      <c r="I13" s="9"/>
      <c r="J13" s="9"/>
      <c r="K13" s="9"/>
      <c r="L13" s="9"/>
      <c r="M13" s="9"/>
      <c r="N13" s="9"/>
      <c r="O13" s="17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ht="16" customHeight="1" thickBot="1" x14ac:dyDescent="0.25">
      <c r="A14" s="4" t="s">
        <v>11</v>
      </c>
      <c r="B14" s="135"/>
      <c r="C14" s="2"/>
      <c r="D14" s="66" t="s">
        <v>845</v>
      </c>
      <c r="E14" s="1">
        <f>ROUND(SUM(E15:E28)/COUNT(E15:E28), 2)</f>
        <v>9</v>
      </c>
      <c r="F14" s="2"/>
      <c r="G14" s="4" t="s">
        <v>33</v>
      </c>
      <c r="H14" s="134">
        <v>8.5</v>
      </c>
      <c r="I14" s="9"/>
      <c r="J14" s="68" t="s">
        <v>847</v>
      </c>
      <c r="K14" s="1">
        <f>ROUND(SUM(K15:K23)/COUNT(K15:K23), 2)</f>
        <v>8.94</v>
      </c>
      <c r="L14" s="2"/>
      <c r="M14" s="69" t="s">
        <v>848</v>
      </c>
      <c r="N14" s="1">
        <f>ROUND(SUM(N15:N26)/COUNT(N15:N26), 2)</f>
        <v>8.7100000000000009</v>
      </c>
      <c r="O14" s="16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ht="16" customHeight="1" thickBot="1" x14ac:dyDescent="0.25">
      <c r="A15" s="9"/>
      <c r="B15" s="9"/>
      <c r="C15" s="2"/>
      <c r="D15" s="11" t="s">
        <v>63</v>
      </c>
      <c r="E15" s="133">
        <v>9</v>
      </c>
      <c r="F15" s="2"/>
      <c r="G15" s="7" t="s">
        <v>34</v>
      </c>
      <c r="H15" s="135">
        <v>8.5</v>
      </c>
      <c r="I15" s="9"/>
      <c r="J15" s="4" t="s">
        <v>87</v>
      </c>
      <c r="K15" s="133">
        <v>9.5</v>
      </c>
      <c r="L15" s="2"/>
      <c r="M15" s="4" t="s">
        <v>96</v>
      </c>
      <c r="N15" s="133">
        <v>9</v>
      </c>
      <c r="O15" s="16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ht="16" customHeight="1" thickBot="1" x14ac:dyDescent="0.25">
      <c r="A16" s="67" t="s">
        <v>846</v>
      </c>
      <c r="B16" s="1">
        <f>ROUND(SUM(B17:B24)/COUNT(B17:B24), 2)</f>
        <v>9.25</v>
      </c>
      <c r="C16" s="2"/>
      <c r="D16" s="4" t="s">
        <v>64</v>
      </c>
      <c r="E16" s="134">
        <v>10.5</v>
      </c>
      <c r="F16" s="9"/>
      <c r="G16" s="9"/>
      <c r="H16" s="9"/>
      <c r="I16" s="9"/>
      <c r="J16" s="4" t="s">
        <v>88</v>
      </c>
      <c r="K16" s="134">
        <v>10</v>
      </c>
      <c r="L16" s="2"/>
      <c r="M16" s="4" t="s">
        <v>97</v>
      </c>
      <c r="N16" s="134">
        <v>10</v>
      </c>
      <c r="O16" s="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6" customHeight="1" thickBot="1" x14ac:dyDescent="0.25">
      <c r="A17" s="4" t="s">
        <v>55</v>
      </c>
      <c r="B17" s="133">
        <v>9.5</v>
      </c>
      <c r="C17" s="2"/>
      <c r="D17" s="4" t="s">
        <v>65</v>
      </c>
      <c r="E17" s="134">
        <v>10</v>
      </c>
      <c r="F17" s="10"/>
      <c r="G17" s="91" t="s">
        <v>1077</v>
      </c>
      <c r="H17" s="1">
        <f>ROUND(SUM(H18:H28)/COUNT(H18:H28), 2)</f>
        <v>8.77</v>
      </c>
      <c r="I17" s="9"/>
      <c r="J17" s="4" t="s">
        <v>89</v>
      </c>
      <c r="K17" s="134">
        <v>9.5</v>
      </c>
      <c r="L17" s="2"/>
      <c r="M17" s="4" t="s">
        <v>98</v>
      </c>
      <c r="N17" s="134">
        <v>8</v>
      </c>
      <c r="O17" s="16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6" customHeight="1" x14ac:dyDescent="0.2">
      <c r="A18" s="4" t="s">
        <v>56</v>
      </c>
      <c r="B18" s="134">
        <v>10</v>
      </c>
      <c r="C18" s="2"/>
      <c r="D18" s="4" t="s">
        <v>66</v>
      </c>
      <c r="E18" s="134">
        <v>9.5</v>
      </c>
      <c r="F18" s="10"/>
      <c r="G18" s="4" t="s">
        <v>76</v>
      </c>
      <c r="H18" s="133">
        <v>10</v>
      </c>
      <c r="I18" s="9"/>
      <c r="J18" s="4" t="s">
        <v>90</v>
      </c>
      <c r="K18" s="134">
        <v>9</v>
      </c>
      <c r="L18" s="2"/>
      <c r="M18" s="4" t="s">
        <v>99</v>
      </c>
      <c r="N18" s="134">
        <v>8.5</v>
      </c>
      <c r="O18" s="16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6" customHeight="1" x14ac:dyDescent="0.2">
      <c r="A19" s="4" t="s">
        <v>57</v>
      </c>
      <c r="B19" s="134">
        <v>8.5</v>
      </c>
      <c r="C19" s="2"/>
      <c r="D19" s="4" t="s">
        <v>67</v>
      </c>
      <c r="E19" s="134">
        <v>8.5</v>
      </c>
      <c r="F19" s="10"/>
      <c r="G19" s="4" t="s">
        <v>77</v>
      </c>
      <c r="H19" s="134">
        <v>9</v>
      </c>
      <c r="I19" s="9"/>
      <c r="J19" s="4" t="s">
        <v>91</v>
      </c>
      <c r="K19" s="134">
        <v>7.5</v>
      </c>
      <c r="L19" s="2"/>
      <c r="M19" s="4" t="s">
        <v>100</v>
      </c>
      <c r="N19" s="134">
        <v>8.5</v>
      </c>
      <c r="O19" s="16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6" customHeight="1" x14ac:dyDescent="0.2">
      <c r="A20" s="4" t="s">
        <v>58</v>
      </c>
      <c r="B20" s="134">
        <v>10</v>
      </c>
      <c r="C20" s="2"/>
      <c r="D20" s="4" t="s">
        <v>68</v>
      </c>
      <c r="E20" s="134"/>
      <c r="F20" s="10"/>
      <c r="G20" s="4" t="s">
        <v>78</v>
      </c>
      <c r="H20" s="134">
        <v>10</v>
      </c>
      <c r="I20" s="9"/>
      <c r="J20" s="4" t="s">
        <v>92</v>
      </c>
      <c r="K20" s="134">
        <v>8</v>
      </c>
      <c r="L20" s="2"/>
      <c r="M20" s="4" t="s">
        <v>101</v>
      </c>
      <c r="N20" s="134">
        <v>7.5</v>
      </c>
      <c r="O20" s="16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6" customHeight="1" x14ac:dyDescent="0.2">
      <c r="A21" s="4" t="s">
        <v>59</v>
      </c>
      <c r="B21" s="134">
        <v>8.5</v>
      </c>
      <c r="C21" s="2"/>
      <c r="D21" s="4" t="s">
        <v>69</v>
      </c>
      <c r="E21" s="134">
        <v>9</v>
      </c>
      <c r="F21" s="10"/>
      <c r="G21" s="4" t="s">
        <v>79</v>
      </c>
      <c r="H21" s="134">
        <v>9</v>
      </c>
      <c r="I21" s="9"/>
      <c r="J21" s="4" t="s">
        <v>93</v>
      </c>
      <c r="K21" s="134">
        <v>8.5</v>
      </c>
      <c r="L21" s="2"/>
      <c r="M21" s="4" t="s">
        <v>102</v>
      </c>
      <c r="N21" s="134">
        <v>10</v>
      </c>
      <c r="O21" s="16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6" customHeight="1" x14ac:dyDescent="0.2">
      <c r="A22" s="4" t="s">
        <v>60</v>
      </c>
      <c r="B22" s="134">
        <v>9</v>
      </c>
      <c r="C22" s="2"/>
      <c r="D22" s="4" t="s">
        <v>70</v>
      </c>
      <c r="E22" s="134">
        <v>8</v>
      </c>
      <c r="F22" s="10"/>
      <c r="G22" s="4" t="s">
        <v>80</v>
      </c>
      <c r="H22" s="134">
        <v>8</v>
      </c>
      <c r="I22" s="9"/>
      <c r="J22" s="4" t="s">
        <v>94</v>
      </c>
      <c r="K22" s="134">
        <v>8</v>
      </c>
      <c r="L22" s="2"/>
      <c r="M22" s="4" t="s">
        <v>103</v>
      </c>
      <c r="N22" s="134">
        <v>9</v>
      </c>
      <c r="O22" s="16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" customHeight="1" thickBot="1" x14ac:dyDescent="0.25">
      <c r="A23" s="4" t="s">
        <v>61</v>
      </c>
      <c r="B23" s="134">
        <v>10.5</v>
      </c>
      <c r="C23" s="2"/>
      <c r="D23" s="4" t="s">
        <v>71</v>
      </c>
      <c r="E23" s="134">
        <v>10</v>
      </c>
      <c r="F23" s="10"/>
      <c r="G23" s="4" t="s">
        <v>81</v>
      </c>
      <c r="H23" s="134">
        <v>8.5</v>
      </c>
      <c r="I23" s="9"/>
      <c r="J23" s="7" t="s">
        <v>95</v>
      </c>
      <c r="K23" s="135">
        <v>10.5</v>
      </c>
      <c r="L23" s="2"/>
      <c r="M23" s="4" t="s">
        <v>104</v>
      </c>
      <c r="N23" s="134">
        <v>8.5</v>
      </c>
      <c r="O23" s="16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" customHeight="1" thickBot="1" x14ac:dyDescent="0.25">
      <c r="A24" s="7" t="s">
        <v>62</v>
      </c>
      <c r="B24" s="135">
        <v>8</v>
      </c>
      <c r="C24" s="2"/>
      <c r="D24" s="4" t="s">
        <v>72</v>
      </c>
      <c r="E24" s="134">
        <v>8.5</v>
      </c>
      <c r="F24" s="10"/>
      <c r="G24" s="4" t="s">
        <v>82</v>
      </c>
      <c r="H24" s="134">
        <v>8</v>
      </c>
      <c r="I24" s="9"/>
      <c r="J24" s="9"/>
      <c r="K24" s="9"/>
      <c r="L24" s="9"/>
      <c r="M24" s="4" t="s">
        <v>105</v>
      </c>
      <c r="N24" s="134">
        <v>7.5</v>
      </c>
      <c r="O24" s="16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" customHeight="1" thickBot="1" x14ac:dyDescent="0.25">
      <c r="A25" s="2"/>
      <c r="B25" s="2"/>
      <c r="C25" s="2"/>
      <c r="D25" s="4" t="s">
        <v>73</v>
      </c>
      <c r="E25" s="134">
        <v>9.5</v>
      </c>
      <c r="F25" s="10"/>
      <c r="G25" s="4" t="s">
        <v>83</v>
      </c>
      <c r="H25" s="134">
        <v>10</v>
      </c>
      <c r="I25" s="9"/>
      <c r="J25" s="65" t="s">
        <v>844</v>
      </c>
      <c r="K25" s="1">
        <f>ROUND(SUM(K26:K38)/COUNT(K26:K38), 2)</f>
        <v>8.42</v>
      </c>
      <c r="L25" s="2"/>
      <c r="M25" s="4" t="s">
        <v>106</v>
      </c>
      <c r="N25" s="134">
        <v>9</v>
      </c>
      <c r="O25" s="16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" customHeight="1" thickBot="1" x14ac:dyDescent="0.25">
      <c r="A26" s="92" t="s">
        <v>1078</v>
      </c>
      <c r="B26" s="1">
        <f>ROUND(SUM(B27:B31)/COUNT(B27:B31), 2)</f>
        <v>9.4</v>
      </c>
      <c r="C26" s="2"/>
      <c r="D26" s="4" t="s">
        <v>74</v>
      </c>
      <c r="E26" s="134">
        <v>8</v>
      </c>
      <c r="F26" s="10"/>
      <c r="G26" s="4" t="s">
        <v>84</v>
      </c>
      <c r="H26" s="134">
        <v>7.5</v>
      </c>
      <c r="I26" s="9"/>
      <c r="J26" s="4" t="s">
        <v>112</v>
      </c>
      <c r="K26" s="133">
        <v>10</v>
      </c>
      <c r="L26" s="2"/>
      <c r="M26" s="7" t="s">
        <v>107</v>
      </c>
      <c r="N26" s="135">
        <v>9</v>
      </c>
      <c r="O26" s="1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" customHeight="1" thickBot="1" x14ac:dyDescent="0.25">
      <c r="A27" s="4" t="s">
        <v>108</v>
      </c>
      <c r="B27" s="133">
        <v>10</v>
      </c>
      <c r="C27" s="2"/>
      <c r="D27" s="4" t="s">
        <v>75</v>
      </c>
      <c r="E27" s="134">
        <v>9</v>
      </c>
      <c r="F27" s="10"/>
      <c r="G27" s="4" t="s">
        <v>85</v>
      </c>
      <c r="H27" s="134">
        <v>8.5</v>
      </c>
      <c r="I27" s="9"/>
      <c r="J27" s="4" t="s">
        <v>113</v>
      </c>
      <c r="K27" s="134">
        <v>9.5</v>
      </c>
      <c r="L27" s="2"/>
      <c r="M27" s="2"/>
      <c r="N27" s="2"/>
      <c r="O27" s="16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" customHeight="1" thickBot="1" x14ac:dyDescent="0.25">
      <c r="A28" s="4" t="s">
        <v>109</v>
      </c>
      <c r="B28" s="134">
        <v>9</v>
      </c>
      <c r="C28" s="9"/>
      <c r="D28" s="7" t="s">
        <v>1730</v>
      </c>
      <c r="E28" s="135">
        <v>7.5</v>
      </c>
      <c r="F28" s="9"/>
      <c r="G28" s="7" t="s">
        <v>86</v>
      </c>
      <c r="H28" s="135">
        <v>8</v>
      </c>
      <c r="I28" s="9"/>
      <c r="J28" s="4" t="s">
        <v>114</v>
      </c>
      <c r="K28" s="134">
        <v>8.5</v>
      </c>
      <c r="L28" s="2"/>
      <c r="M28" s="18" t="s">
        <v>283</v>
      </c>
      <c r="N28" s="12">
        <f>ROUND(SUM(N29:N37)/COUNT(N29:N37), 2)</f>
        <v>8.89</v>
      </c>
      <c r="O28" s="16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" customHeight="1" thickBot="1" x14ac:dyDescent="0.25">
      <c r="A29" s="4" t="s">
        <v>391</v>
      </c>
      <c r="B29" s="134">
        <v>10.5</v>
      </c>
      <c r="C29" s="9"/>
      <c r="D29" s="9"/>
      <c r="E29" s="9"/>
      <c r="F29" s="2"/>
      <c r="G29" s="10"/>
      <c r="H29" s="10"/>
      <c r="I29" s="9"/>
      <c r="J29" s="4" t="s">
        <v>115</v>
      </c>
      <c r="K29" s="134">
        <v>8.5</v>
      </c>
      <c r="L29" s="2"/>
      <c r="M29" s="5" t="s">
        <v>132</v>
      </c>
      <c r="N29" s="133">
        <v>10</v>
      </c>
      <c r="O29" s="16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" customHeight="1" thickBot="1" x14ac:dyDescent="0.25">
      <c r="A30" s="4" t="s">
        <v>110</v>
      </c>
      <c r="B30" s="134">
        <v>8.5</v>
      </c>
      <c r="C30" s="9"/>
      <c r="D30" s="62" t="s">
        <v>841</v>
      </c>
      <c r="E30" s="1">
        <f>ROUND(SUM(E31:E37)/COUNT(E31:E37), 2)</f>
        <v>9.2899999999999991</v>
      </c>
      <c r="F30" s="2"/>
      <c r="G30" s="60" t="s">
        <v>839</v>
      </c>
      <c r="H30" s="1">
        <f>ROUND(SUM(H31:H45)/COUNT(H31:H45), 2)</f>
        <v>9.61</v>
      </c>
      <c r="I30" s="9"/>
      <c r="J30" s="4" t="s">
        <v>116</v>
      </c>
      <c r="K30" s="134">
        <v>9.5</v>
      </c>
      <c r="L30" s="2"/>
      <c r="M30" s="6" t="s">
        <v>133</v>
      </c>
      <c r="N30" s="134">
        <v>9</v>
      </c>
      <c r="O30" s="16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" customHeight="1" thickBot="1" x14ac:dyDescent="0.25">
      <c r="A31" s="7" t="s">
        <v>111</v>
      </c>
      <c r="B31" s="135">
        <v>9</v>
      </c>
      <c r="C31" s="9"/>
      <c r="D31" s="4" t="s">
        <v>125</v>
      </c>
      <c r="E31" s="133">
        <v>9.5</v>
      </c>
      <c r="F31" s="2"/>
      <c r="G31" s="5" t="s">
        <v>141</v>
      </c>
      <c r="H31" s="133">
        <v>10</v>
      </c>
      <c r="I31" s="9"/>
      <c r="J31" s="4" t="s">
        <v>117</v>
      </c>
      <c r="K31" s="134">
        <v>8.5</v>
      </c>
      <c r="L31" s="2"/>
      <c r="M31" s="6" t="s">
        <v>134</v>
      </c>
      <c r="N31" s="134">
        <v>8</v>
      </c>
      <c r="O31" s="16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" customHeight="1" thickBot="1" x14ac:dyDescent="0.25">
      <c r="A32" s="2"/>
      <c r="B32" s="2"/>
      <c r="C32" s="9"/>
      <c r="D32" s="4" t="s">
        <v>126</v>
      </c>
      <c r="E32" s="134">
        <v>10</v>
      </c>
      <c r="F32" s="2"/>
      <c r="G32" s="6" t="s">
        <v>142</v>
      </c>
      <c r="H32" s="134">
        <v>10.5</v>
      </c>
      <c r="I32" s="2"/>
      <c r="J32" s="4" t="s">
        <v>118</v>
      </c>
      <c r="K32" s="134">
        <v>7.5</v>
      </c>
      <c r="L32" s="2"/>
      <c r="M32" s="6" t="s">
        <v>135</v>
      </c>
      <c r="N32" s="134">
        <v>8.5</v>
      </c>
      <c r="O32" s="16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" customHeight="1" thickBot="1" x14ac:dyDescent="0.25">
      <c r="A33" s="61" t="s">
        <v>840</v>
      </c>
      <c r="B33" s="12">
        <f>ROUND(SUM(B34:B45)/COUNT(B34:B45), 2)</f>
        <v>9.68</v>
      </c>
      <c r="C33" s="9"/>
      <c r="D33" s="4" t="s">
        <v>127</v>
      </c>
      <c r="E33" s="134">
        <v>9</v>
      </c>
      <c r="F33" s="2"/>
      <c r="G33" s="4" t="s">
        <v>143</v>
      </c>
      <c r="H33" s="134">
        <v>10</v>
      </c>
      <c r="I33" s="2"/>
      <c r="J33" s="4" t="s">
        <v>119</v>
      </c>
      <c r="K33" s="134">
        <v>9</v>
      </c>
      <c r="L33" s="2"/>
      <c r="M33" s="6" t="s">
        <v>136</v>
      </c>
      <c r="N33" s="134">
        <v>9</v>
      </c>
      <c r="O33" s="16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" customHeight="1" x14ac:dyDescent="0.2">
      <c r="A34" s="11" t="s">
        <v>144</v>
      </c>
      <c r="B34" s="133">
        <v>9</v>
      </c>
      <c r="C34" s="9"/>
      <c r="D34" s="4" t="s">
        <v>128</v>
      </c>
      <c r="E34" s="134">
        <v>10.5</v>
      </c>
      <c r="F34" s="2"/>
      <c r="G34" s="4" t="s">
        <v>198</v>
      </c>
      <c r="H34" s="134"/>
      <c r="I34" s="2"/>
      <c r="J34" s="4" t="s">
        <v>120</v>
      </c>
      <c r="K34" s="134">
        <v>8</v>
      </c>
      <c r="L34" s="2"/>
      <c r="M34" s="6" t="s">
        <v>137</v>
      </c>
      <c r="N34" s="134">
        <v>8</v>
      </c>
      <c r="O34" s="16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" customHeight="1" x14ac:dyDescent="0.2">
      <c r="A35" s="4" t="s">
        <v>145</v>
      </c>
      <c r="B35" s="134">
        <v>10.5</v>
      </c>
      <c r="C35" s="9"/>
      <c r="D35" s="4" t="s">
        <v>129</v>
      </c>
      <c r="E35" s="134">
        <v>9.5</v>
      </c>
      <c r="F35" s="2"/>
      <c r="G35" s="4" t="s">
        <v>199</v>
      </c>
      <c r="H35" s="134">
        <v>10.5</v>
      </c>
      <c r="I35" s="2"/>
      <c r="J35" s="4" t="s">
        <v>121</v>
      </c>
      <c r="K35" s="134">
        <v>7</v>
      </c>
      <c r="L35" s="2"/>
      <c r="M35" s="6" t="s">
        <v>138</v>
      </c>
      <c r="N35" s="134">
        <v>9</v>
      </c>
      <c r="O35" s="16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" customHeight="1" x14ac:dyDescent="0.2">
      <c r="A36" s="4" t="s">
        <v>146</v>
      </c>
      <c r="B36" s="134">
        <v>9.5</v>
      </c>
      <c r="C36" s="9"/>
      <c r="D36" s="4" t="s">
        <v>130</v>
      </c>
      <c r="E36" s="134">
        <v>8</v>
      </c>
      <c r="F36" s="2"/>
      <c r="G36" s="4" t="s">
        <v>200</v>
      </c>
      <c r="H36" s="134"/>
      <c r="I36" s="2"/>
      <c r="J36" s="4" t="s">
        <v>122</v>
      </c>
      <c r="K36" s="134"/>
      <c r="L36" s="2"/>
      <c r="M36" s="6" t="s">
        <v>139</v>
      </c>
      <c r="N36" s="134">
        <v>8.5</v>
      </c>
      <c r="O36" s="1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" customHeight="1" thickBot="1" x14ac:dyDescent="0.25">
      <c r="A37" s="4" t="s">
        <v>147</v>
      </c>
      <c r="B37" s="134">
        <v>10</v>
      </c>
      <c r="C37" s="9"/>
      <c r="D37" s="7" t="s">
        <v>131</v>
      </c>
      <c r="E37" s="135">
        <v>8.5</v>
      </c>
      <c r="F37" s="2"/>
      <c r="G37" s="4" t="s">
        <v>201</v>
      </c>
      <c r="H37" s="134">
        <v>8.5</v>
      </c>
      <c r="I37" s="2"/>
      <c r="J37" s="4" t="s">
        <v>123</v>
      </c>
      <c r="K37" s="134">
        <v>7.5</v>
      </c>
      <c r="L37" s="2"/>
      <c r="M37" s="8" t="s">
        <v>140</v>
      </c>
      <c r="N37" s="135">
        <v>10</v>
      </c>
      <c r="O37" s="16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ht="16" customHeight="1" thickBot="1" x14ac:dyDescent="0.25">
      <c r="A38" s="4" t="s">
        <v>148</v>
      </c>
      <c r="B38" s="134">
        <v>10.5</v>
      </c>
      <c r="C38" s="2"/>
      <c r="D38" s="2"/>
      <c r="E38" s="2"/>
      <c r="F38" s="2"/>
      <c r="G38" s="4" t="s">
        <v>202</v>
      </c>
      <c r="H38" s="134"/>
      <c r="I38" s="2"/>
      <c r="J38" s="7" t="s">
        <v>124</v>
      </c>
      <c r="K38" s="135">
        <v>7.5</v>
      </c>
      <c r="L38" s="2"/>
      <c r="M38" s="15"/>
      <c r="N38" s="15"/>
      <c r="O38" s="16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ht="16" customHeight="1" thickBot="1" x14ac:dyDescent="0.25">
      <c r="A39" s="4" t="s">
        <v>149</v>
      </c>
      <c r="B39" s="134">
        <v>9.5</v>
      </c>
      <c r="C39" s="2"/>
      <c r="D39" s="59" t="s">
        <v>838</v>
      </c>
      <c r="E39" s="1">
        <f>ROUND(SUM(E40:E52)/COUNT(E40:E52), 2)</f>
        <v>8.65</v>
      </c>
      <c r="F39" s="2"/>
      <c r="G39" s="4" t="s">
        <v>203</v>
      </c>
      <c r="H39" s="134">
        <v>9</v>
      </c>
      <c r="I39" s="2"/>
      <c r="J39" s="15"/>
      <c r="K39" s="15"/>
      <c r="L39" s="2"/>
      <c r="M39" s="20" t="s">
        <v>284</v>
      </c>
      <c r="N39" s="12">
        <f>ROUND(SUM(N40:N52)/COUNT(N40:N52), 2)</f>
        <v>9.2100000000000009</v>
      </c>
      <c r="O39" s="16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ht="16" customHeight="1" thickBot="1" x14ac:dyDescent="0.25">
      <c r="A40" s="4" t="s">
        <v>150</v>
      </c>
      <c r="B40" s="134"/>
      <c r="C40" s="2"/>
      <c r="D40" s="5" t="s">
        <v>161</v>
      </c>
      <c r="E40" s="133">
        <v>8.5</v>
      </c>
      <c r="F40" s="2"/>
      <c r="G40" s="4" t="s">
        <v>204</v>
      </c>
      <c r="H40" s="134"/>
      <c r="I40" s="2"/>
      <c r="J40" s="63" t="s">
        <v>842</v>
      </c>
      <c r="K40" s="12">
        <f>ROUND(SUM(K41:K52)/COUNT(K41:K52), 2)</f>
        <v>8.3800000000000008</v>
      </c>
      <c r="L40" s="2"/>
      <c r="M40" s="4" t="s">
        <v>173</v>
      </c>
      <c r="N40" s="133">
        <v>10</v>
      </c>
      <c r="O40" s="16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ht="16" customHeight="1" x14ac:dyDescent="0.2">
      <c r="A41" s="4" t="s">
        <v>151</v>
      </c>
      <c r="B41" s="134">
        <v>9</v>
      </c>
      <c r="C41" s="2"/>
      <c r="D41" s="6" t="s">
        <v>162</v>
      </c>
      <c r="E41" s="134">
        <v>9</v>
      </c>
      <c r="F41" s="2"/>
      <c r="G41" s="4" t="s">
        <v>205</v>
      </c>
      <c r="H41" s="134">
        <v>10</v>
      </c>
      <c r="I41" s="2"/>
      <c r="J41" s="11" t="s">
        <v>187</v>
      </c>
      <c r="K41" s="133">
        <v>9</v>
      </c>
      <c r="L41" s="2"/>
      <c r="M41" s="4" t="s">
        <v>174</v>
      </c>
      <c r="N41" s="134">
        <v>9.5</v>
      </c>
      <c r="O41" s="16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ht="16" customHeight="1" x14ac:dyDescent="0.2">
      <c r="A42" s="4" t="s">
        <v>152</v>
      </c>
      <c r="B42" s="134">
        <v>10</v>
      </c>
      <c r="C42" s="2"/>
      <c r="D42" s="6" t="s">
        <v>163</v>
      </c>
      <c r="E42" s="134">
        <v>8.5</v>
      </c>
      <c r="F42" s="2"/>
      <c r="G42" s="4" t="s">
        <v>206</v>
      </c>
      <c r="H42" s="134"/>
      <c r="I42" s="2"/>
      <c r="J42" s="4" t="s">
        <v>188</v>
      </c>
      <c r="K42" s="134">
        <v>8.5</v>
      </c>
      <c r="L42" s="2"/>
      <c r="M42" s="4" t="s">
        <v>175</v>
      </c>
      <c r="N42" s="134">
        <v>9</v>
      </c>
      <c r="O42" s="16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ht="16" customHeight="1" x14ac:dyDescent="0.2">
      <c r="A43" s="4" t="s">
        <v>153</v>
      </c>
      <c r="B43" s="134">
        <v>10</v>
      </c>
      <c r="C43" s="2"/>
      <c r="D43" s="6" t="s">
        <v>164</v>
      </c>
      <c r="E43" s="134">
        <v>10</v>
      </c>
      <c r="F43" s="2"/>
      <c r="G43" s="4" t="s">
        <v>207</v>
      </c>
      <c r="H43" s="134">
        <v>9.5</v>
      </c>
      <c r="I43" s="2"/>
      <c r="J43" s="4" t="s">
        <v>189</v>
      </c>
      <c r="K43" s="134">
        <v>9</v>
      </c>
      <c r="L43" s="2"/>
      <c r="M43" s="4" t="s">
        <v>176</v>
      </c>
      <c r="N43" s="134">
        <v>10.5</v>
      </c>
      <c r="O43" s="16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ht="16" customHeight="1" x14ac:dyDescent="0.2">
      <c r="A44" s="4" t="s">
        <v>154</v>
      </c>
      <c r="B44" s="134">
        <v>10</v>
      </c>
      <c r="C44" s="2"/>
      <c r="D44" s="6" t="s">
        <v>165</v>
      </c>
      <c r="E44" s="134">
        <v>9</v>
      </c>
      <c r="F44" s="2"/>
      <c r="G44" s="4" t="s">
        <v>208</v>
      </c>
      <c r="H44" s="134"/>
      <c r="I44" s="2"/>
      <c r="J44" s="4" t="s">
        <v>190</v>
      </c>
      <c r="K44" s="134">
        <v>9.5</v>
      </c>
      <c r="L44" s="2"/>
      <c r="M44" s="4" t="s">
        <v>177</v>
      </c>
      <c r="N44" s="134">
        <v>8.5</v>
      </c>
      <c r="O44" s="16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ht="16" customHeight="1" thickBot="1" x14ac:dyDescent="0.25">
      <c r="A45" s="7" t="s">
        <v>155</v>
      </c>
      <c r="B45" s="135">
        <v>8.5</v>
      </c>
      <c r="C45" s="2"/>
      <c r="D45" s="6" t="s">
        <v>158</v>
      </c>
      <c r="E45" s="134">
        <v>8</v>
      </c>
      <c r="F45" s="2"/>
      <c r="G45" s="4" t="s">
        <v>209</v>
      </c>
      <c r="H45" s="135">
        <v>8.5</v>
      </c>
      <c r="I45" s="2"/>
      <c r="J45" s="4" t="s">
        <v>191</v>
      </c>
      <c r="K45" s="134">
        <v>7.5</v>
      </c>
      <c r="L45" s="2"/>
      <c r="M45" s="4" t="s">
        <v>178</v>
      </c>
      <c r="N45" s="134">
        <v>8</v>
      </c>
      <c r="O45" s="16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ht="16" customHeight="1" thickBot="1" x14ac:dyDescent="0.25">
      <c r="A46" s="13"/>
      <c r="B46" s="13"/>
      <c r="C46" s="2"/>
      <c r="D46" s="6" t="s">
        <v>166</v>
      </c>
      <c r="E46" s="134">
        <v>9</v>
      </c>
      <c r="F46" s="2"/>
      <c r="G46" s="13"/>
      <c r="H46" s="13"/>
      <c r="I46" s="2"/>
      <c r="J46" s="4" t="s">
        <v>192</v>
      </c>
      <c r="K46" s="134">
        <v>10</v>
      </c>
      <c r="L46" s="2"/>
      <c r="M46" s="4" t="s">
        <v>179</v>
      </c>
      <c r="N46" s="134">
        <v>8.5</v>
      </c>
      <c r="O46" s="1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ht="16" customHeight="1" thickBot="1" x14ac:dyDescent="0.25">
      <c r="A47" s="58" t="s">
        <v>837</v>
      </c>
      <c r="B47" s="12">
        <f>ROUND(SUM(B48:B57)/COUNT(B48:B57), 2)</f>
        <v>8.7799999999999994</v>
      </c>
      <c r="C47" s="2"/>
      <c r="D47" s="6" t="s">
        <v>167</v>
      </c>
      <c r="E47" s="134">
        <v>8.5</v>
      </c>
      <c r="F47" s="16"/>
      <c r="G47" s="64" t="s">
        <v>843</v>
      </c>
      <c r="H47" s="1">
        <f>ROUND(SUM(H48:H55)/COUNT(H48:H55), 2)</f>
        <v>9.3800000000000008</v>
      </c>
      <c r="I47" s="2"/>
      <c r="J47" s="4" t="s">
        <v>193</v>
      </c>
      <c r="K47" s="134">
        <v>8</v>
      </c>
      <c r="L47" s="2"/>
      <c r="M47" s="4" t="s">
        <v>180</v>
      </c>
      <c r="N47" s="134">
        <v>8.5</v>
      </c>
      <c r="O47" s="16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ht="16" customHeight="1" x14ac:dyDescent="0.2">
      <c r="A48" s="5" t="s">
        <v>219</v>
      </c>
      <c r="B48" s="133"/>
      <c r="C48" s="2"/>
      <c r="D48" s="6" t="s">
        <v>168</v>
      </c>
      <c r="E48" s="134">
        <v>8</v>
      </c>
      <c r="F48" s="2"/>
      <c r="G48" s="5" t="s">
        <v>210</v>
      </c>
      <c r="H48" s="133">
        <v>10</v>
      </c>
      <c r="I48" s="2"/>
      <c r="J48" s="4" t="s">
        <v>160</v>
      </c>
      <c r="K48" s="134">
        <v>7.5</v>
      </c>
      <c r="L48" s="2"/>
      <c r="M48" s="4" t="s">
        <v>181</v>
      </c>
      <c r="N48" s="134">
        <v>10</v>
      </c>
      <c r="O48" s="16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ht="16" customHeight="1" x14ac:dyDescent="0.2">
      <c r="A49" s="6" t="s">
        <v>220</v>
      </c>
      <c r="B49" s="134">
        <v>10</v>
      </c>
      <c r="C49" s="2"/>
      <c r="D49" s="6" t="s">
        <v>169</v>
      </c>
      <c r="E49" s="134">
        <v>10</v>
      </c>
      <c r="F49" s="2"/>
      <c r="G49" s="6" t="s">
        <v>211</v>
      </c>
      <c r="H49" s="134">
        <v>9.5</v>
      </c>
      <c r="I49" s="2"/>
      <c r="J49" s="4" t="s">
        <v>194</v>
      </c>
      <c r="K49" s="134">
        <v>7</v>
      </c>
      <c r="L49" s="2"/>
      <c r="M49" s="4" t="s">
        <v>182</v>
      </c>
      <c r="N49" s="134"/>
      <c r="O49" s="16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ht="16" customHeight="1" x14ac:dyDescent="0.2">
      <c r="A50" s="6" t="s">
        <v>221</v>
      </c>
      <c r="B50" s="134">
        <v>9</v>
      </c>
      <c r="C50" s="2"/>
      <c r="D50" s="6" t="s">
        <v>170</v>
      </c>
      <c r="E50" s="134">
        <v>8.5</v>
      </c>
      <c r="F50" s="2"/>
      <c r="G50" s="6" t="s">
        <v>212</v>
      </c>
      <c r="H50" s="134">
        <v>9.5</v>
      </c>
      <c r="I50" s="2"/>
      <c r="J50" s="4" t="s">
        <v>195</v>
      </c>
      <c r="K50" s="134">
        <v>7</v>
      </c>
      <c r="L50" s="2"/>
      <c r="M50" s="4" t="s">
        <v>183</v>
      </c>
      <c r="N50" s="134">
        <v>8</v>
      </c>
      <c r="O50" s="16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ht="16" customHeight="1" x14ac:dyDescent="0.2">
      <c r="A51" s="6" t="s">
        <v>222</v>
      </c>
      <c r="B51" s="134">
        <v>9</v>
      </c>
      <c r="C51" s="2"/>
      <c r="D51" s="6" t="s">
        <v>171</v>
      </c>
      <c r="E51" s="134">
        <v>8</v>
      </c>
      <c r="F51" s="2"/>
      <c r="G51" s="6" t="s">
        <v>213</v>
      </c>
      <c r="H51" s="134">
        <v>10.5</v>
      </c>
      <c r="I51" s="2"/>
      <c r="J51" s="4" t="s">
        <v>196</v>
      </c>
      <c r="K51" s="134">
        <v>7.5</v>
      </c>
      <c r="L51" s="2"/>
      <c r="M51" s="4" t="s">
        <v>184</v>
      </c>
      <c r="N51" s="134">
        <v>10</v>
      </c>
      <c r="O51" s="16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ht="16" customHeight="1" thickBot="1" x14ac:dyDescent="0.25">
      <c r="A52" s="6" t="s">
        <v>223</v>
      </c>
      <c r="B52" s="134">
        <v>8</v>
      </c>
      <c r="C52" s="2"/>
      <c r="D52" s="8" t="s">
        <v>172</v>
      </c>
      <c r="E52" s="135">
        <v>7.5</v>
      </c>
      <c r="F52" s="2"/>
      <c r="G52" s="6" t="s">
        <v>214</v>
      </c>
      <c r="H52" s="134">
        <v>8.5</v>
      </c>
      <c r="I52" s="2"/>
      <c r="J52" s="7" t="s">
        <v>197</v>
      </c>
      <c r="K52" s="135">
        <v>10</v>
      </c>
      <c r="L52" s="2"/>
      <c r="M52" s="7" t="s">
        <v>185</v>
      </c>
      <c r="N52" s="135">
        <v>10</v>
      </c>
      <c r="O52" s="16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ht="16" customHeight="1" thickBot="1" x14ac:dyDescent="0.25">
      <c r="A53" s="6" t="s">
        <v>224</v>
      </c>
      <c r="B53" s="134">
        <v>8</v>
      </c>
      <c r="C53" s="2"/>
      <c r="D53" s="13"/>
      <c r="E53" s="15"/>
      <c r="F53" s="2"/>
      <c r="G53" s="6" t="s">
        <v>215</v>
      </c>
      <c r="H53" s="134">
        <v>8</v>
      </c>
      <c r="I53" s="2"/>
      <c r="J53" s="15"/>
      <c r="K53" s="15"/>
      <c r="L53" s="2"/>
      <c r="M53" s="15"/>
      <c r="N53" s="15"/>
      <c r="O53" s="16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ht="16" customHeight="1" thickBot="1" x14ac:dyDescent="0.25">
      <c r="A54" s="6" t="s">
        <v>225</v>
      </c>
      <c r="B54" s="134">
        <v>8</v>
      </c>
      <c r="C54" s="2"/>
      <c r="D54" s="57" t="s">
        <v>836</v>
      </c>
      <c r="E54" s="12">
        <f>ROUND(SUM(E55:E63)/COUNT(E55:E63), 2)</f>
        <v>9</v>
      </c>
      <c r="F54" s="2"/>
      <c r="G54" s="6" t="s">
        <v>216</v>
      </c>
      <c r="H54" s="134">
        <v>9</v>
      </c>
      <c r="I54" s="16"/>
      <c r="J54" s="26" t="s">
        <v>358</v>
      </c>
      <c r="K54" s="1">
        <f>ROUND(SUM(K55:K64)/COUNT(K55:K64), 2)</f>
        <v>8.35</v>
      </c>
      <c r="L54" s="2"/>
      <c r="M54" s="56" t="s">
        <v>835</v>
      </c>
      <c r="N54" s="12">
        <f>ROUND(SUM(N55:N65)/COUNT(N55:N65), 2)</f>
        <v>9.15</v>
      </c>
      <c r="O54" s="16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ht="16" customHeight="1" thickBot="1" x14ac:dyDescent="0.25">
      <c r="A55" s="6" t="s">
        <v>226</v>
      </c>
      <c r="B55" s="134">
        <v>8</v>
      </c>
      <c r="C55" s="2"/>
      <c r="D55" s="5" t="s">
        <v>230</v>
      </c>
      <c r="E55" s="133">
        <v>10</v>
      </c>
      <c r="F55" s="2"/>
      <c r="G55" s="8" t="s">
        <v>217</v>
      </c>
      <c r="H55" s="135">
        <v>10</v>
      </c>
      <c r="I55" s="2"/>
      <c r="J55" s="5" t="s">
        <v>261</v>
      </c>
      <c r="K55" s="133">
        <v>10</v>
      </c>
      <c r="L55" s="2"/>
      <c r="M55" s="5" t="s">
        <v>250</v>
      </c>
      <c r="N55" s="133">
        <v>10</v>
      </c>
      <c r="O55" s="16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ht="16" customHeight="1" thickBot="1" x14ac:dyDescent="0.25">
      <c r="A56" s="6" t="s">
        <v>227</v>
      </c>
      <c r="B56" s="134">
        <v>10</v>
      </c>
      <c r="C56" s="2"/>
      <c r="D56" s="6" t="s">
        <v>231</v>
      </c>
      <c r="E56" s="134">
        <v>9.5</v>
      </c>
      <c r="F56" s="2"/>
      <c r="G56" s="15"/>
      <c r="H56" s="15"/>
      <c r="I56" s="2"/>
      <c r="J56" s="6" t="s">
        <v>262</v>
      </c>
      <c r="K56" s="134">
        <v>9</v>
      </c>
      <c r="L56" s="2"/>
      <c r="M56" s="6" t="s">
        <v>251</v>
      </c>
      <c r="N56" s="134">
        <v>8.5</v>
      </c>
      <c r="O56" s="1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ht="16" customHeight="1" thickBot="1" x14ac:dyDescent="0.25">
      <c r="A57" s="8" t="s">
        <v>228</v>
      </c>
      <c r="B57" s="135">
        <v>9</v>
      </c>
      <c r="C57" s="2"/>
      <c r="D57" s="6" t="s">
        <v>232</v>
      </c>
      <c r="E57" s="134">
        <v>8</v>
      </c>
      <c r="F57" s="16"/>
      <c r="G57" s="157" t="s">
        <v>1895</v>
      </c>
      <c r="H57" s="1">
        <f>ROUND(SUM(H58:H67)/COUNT(H58:H67), 2)</f>
        <v>8.35</v>
      </c>
      <c r="I57" s="2"/>
      <c r="J57" s="6" t="s">
        <v>263</v>
      </c>
      <c r="K57" s="134">
        <v>8</v>
      </c>
      <c r="L57" s="2"/>
      <c r="M57" s="6" t="s">
        <v>252</v>
      </c>
      <c r="N57" s="134">
        <v>9</v>
      </c>
      <c r="O57" s="16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ht="16" customHeight="1" thickBot="1" x14ac:dyDescent="0.25">
      <c r="A58" s="15"/>
      <c r="B58" s="15"/>
      <c r="C58" s="2"/>
      <c r="D58" s="6" t="s">
        <v>233</v>
      </c>
      <c r="E58" s="134">
        <v>8.5</v>
      </c>
      <c r="F58" s="2"/>
      <c r="G58" s="5" t="s">
        <v>272</v>
      </c>
      <c r="H58" s="133">
        <v>8</v>
      </c>
      <c r="I58" s="2"/>
      <c r="J58" s="6" t="s">
        <v>264</v>
      </c>
      <c r="K58" s="134">
        <v>7</v>
      </c>
      <c r="L58" s="2"/>
      <c r="M58" s="6" t="s">
        <v>253</v>
      </c>
      <c r="N58" s="134">
        <v>10.5</v>
      </c>
      <c r="O58" s="16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ht="16" customHeight="1" thickBot="1" x14ac:dyDescent="0.25">
      <c r="A59" s="22" t="s">
        <v>317</v>
      </c>
      <c r="B59" s="12">
        <f>ROUND(SUM(B60:B69)/COUNT(B60:B69), 2)</f>
        <v>8.33</v>
      </c>
      <c r="C59" s="2"/>
      <c r="D59" s="6" t="s">
        <v>234</v>
      </c>
      <c r="E59" s="134">
        <v>9</v>
      </c>
      <c r="F59" s="2"/>
      <c r="G59" s="6" t="s">
        <v>273</v>
      </c>
      <c r="H59" s="134">
        <v>10</v>
      </c>
      <c r="I59" s="2"/>
      <c r="J59" s="6" t="s">
        <v>265</v>
      </c>
      <c r="K59" s="134">
        <v>8</v>
      </c>
      <c r="L59" s="2"/>
      <c r="M59" s="6" t="s">
        <v>254</v>
      </c>
      <c r="N59" s="134">
        <v>8</v>
      </c>
      <c r="O59" s="16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ht="16" customHeight="1" x14ac:dyDescent="0.2">
      <c r="A60" s="5" t="s">
        <v>241</v>
      </c>
      <c r="B60" s="133">
        <v>8</v>
      </c>
      <c r="C60" s="2"/>
      <c r="D60" s="6" t="s">
        <v>235</v>
      </c>
      <c r="E60" s="134">
        <v>9</v>
      </c>
      <c r="F60" s="2"/>
      <c r="G60" s="6" t="s">
        <v>274</v>
      </c>
      <c r="H60" s="134">
        <v>10</v>
      </c>
      <c r="I60" s="2"/>
      <c r="J60" s="6" t="s">
        <v>266</v>
      </c>
      <c r="K60" s="134">
        <v>8</v>
      </c>
      <c r="L60" s="2"/>
      <c r="M60" s="6" t="s">
        <v>255</v>
      </c>
      <c r="N60" s="134">
        <v>8.5</v>
      </c>
      <c r="O60" s="16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ht="16" customHeight="1" x14ac:dyDescent="0.2">
      <c r="A61" s="6" t="s">
        <v>242</v>
      </c>
      <c r="B61" s="134">
        <v>7</v>
      </c>
      <c r="C61" s="2"/>
      <c r="D61" s="6" t="s">
        <v>236</v>
      </c>
      <c r="E61" s="134">
        <v>10.5</v>
      </c>
      <c r="F61" s="2"/>
      <c r="G61" s="6" t="s">
        <v>275</v>
      </c>
      <c r="H61" s="134">
        <v>9</v>
      </c>
      <c r="I61" s="2"/>
      <c r="J61" s="6" t="s">
        <v>267</v>
      </c>
      <c r="K61" s="134">
        <v>9</v>
      </c>
      <c r="L61" s="2"/>
      <c r="M61" s="6" t="s">
        <v>256</v>
      </c>
      <c r="N61" s="134">
        <v>7.5</v>
      </c>
      <c r="O61" s="16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ht="16" customHeight="1" x14ac:dyDescent="0.2">
      <c r="A62" s="6" t="s">
        <v>243</v>
      </c>
      <c r="B62" s="134">
        <v>7.5</v>
      </c>
      <c r="C62" s="2"/>
      <c r="D62" s="6" t="s">
        <v>237</v>
      </c>
      <c r="E62" s="134">
        <v>8</v>
      </c>
      <c r="F62" s="2"/>
      <c r="G62" s="6" t="s">
        <v>276</v>
      </c>
      <c r="H62" s="134">
        <v>7</v>
      </c>
      <c r="I62" s="2"/>
      <c r="J62" s="6" t="s">
        <v>268</v>
      </c>
      <c r="K62" s="134">
        <v>8</v>
      </c>
      <c r="L62" s="2"/>
      <c r="M62" s="6" t="s">
        <v>257</v>
      </c>
      <c r="N62" s="134">
        <v>10</v>
      </c>
      <c r="O62" s="16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ht="16" customHeight="1" thickBot="1" x14ac:dyDescent="0.25">
      <c r="A63" s="6" t="s">
        <v>244</v>
      </c>
      <c r="B63" s="134">
        <v>8.5</v>
      </c>
      <c r="C63" s="2"/>
      <c r="D63" s="8" t="s">
        <v>238</v>
      </c>
      <c r="E63" s="135">
        <v>8.5</v>
      </c>
      <c r="F63" s="2"/>
      <c r="G63" s="6" t="s">
        <v>277</v>
      </c>
      <c r="H63" s="134">
        <v>8.5</v>
      </c>
      <c r="I63" s="2"/>
      <c r="J63" s="6" t="s">
        <v>269</v>
      </c>
      <c r="K63" s="134">
        <v>8.5</v>
      </c>
      <c r="L63" s="2"/>
      <c r="M63" s="6" t="s">
        <v>258</v>
      </c>
      <c r="N63" s="134">
        <v>9</v>
      </c>
      <c r="O63" s="16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ht="16" customHeight="1" thickBot="1" x14ac:dyDescent="0.25">
      <c r="A64" s="6" t="s">
        <v>245</v>
      </c>
      <c r="B64" s="134">
        <v>9</v>
      </c>
      <c r="C64" s="2"/>
      <c r="D64" s="13"/>
      <c r="E64" s="15"/>
      <c r="F64" s="2"/>
      <c r="G64" s="6" t="s">
        <v>278</v>
      </c>
      <c r="H64" s="134">
        <v>7.5</v>
      </c>
      <c r="I64" s="2"/>
      <c r="J64" s="8" t="s">
        <v>270</v>
      </c>
      <c r="K64" s="135">
        <v>8</v>
      </c>
      <c r="L64" s="2"/>
      <c r="M64" s="6" t="s">
        <v>259</v>
      </c>
      <c r="N64" s="134">
        <v>10.5</v>
      </c>
      <c r="O64" s="16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ht="16" customHeight="1" thickBot="1" x14ac:dyDescent="0.25">
      <c r="A65" s="6" t="s">
        <v>246</v>
      </c>
      <c r="B65" s="134">
        <v>9.5</v>
      </c>
      <c r="C65" s="16"/>
      <c r="D65" s="55" t="s">
        <v>834</v>
      </c>
      <c r="E65" s="1">
        <f>ROUND(SUM(E66:E78)/COUNT(E66:E78), 2)</f>
        <v>8.4600000000000009</v>
      </c>
      <c r="F65" s="2"/>
      <c r="G65" s="6" t="s">
        <v>279</v>
      </c>
      <c r="H65" s="134">
        <v>10</v>
      </c>
      <c r="I65" s="2"/>
      <c r="J65" s="15"/>
      <c r="K65" s="15"/>
      <c r="L65" s="2"/>
      <c r="M65" s="8" t="s">
        <v>260</v>
      </c>
      <c r="N65" s="135"/>
      <c r="O65" s="16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ht="16" customHeight="1" thickBot="1" x14ac:dyDescent="0.25">
      <c r="A66" s="6" t="s">
        <v>247</v>
      </c>
      <c r="B66" s="134">
        <v>10</v>
      </c>
      <c r="C66" s="16"/>
      <c r="D66" s="3" t="s">
        <v>321</v>
      </c>
      <c r="E66" s="134">
        <v>8</v>
      </c>
      <c r="F66" s="2"/>
      <c r="G66" s="6" t="s">
        <v>280</v>
      </c>
      <c r="H66" s="134">
        <v>7.5</v>
      </c>
      <c r="I66" s="16"/>
      <c r="J66" s="24" t="s">
        <v>345</v>
      </c>
      <c r="K66" s="1">
        <f>ROUND(SUM(K67:K75)/COUNT(K67:K75), 2)</f>
        <v>8</v>
      </c>
      <c r="L66" s="2"/>
      <c r="M66" s="15"/>
      <c r="N66" s="15"/>
      <c r="O66" s="1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ht="16" customHeight="1" thickBot="1" x14ac:dyDescent="0.25">
      <c r="A67" s="6" t="s">
        <v>248</v>
      </c>
      <c r="B67" s="134">
        <v>8</v>
      </c>
      <c r="C67" s="16"/>
      <c r="D67" s="3" t="s">
        <v>322</v>
      </c>
      <c r="E67" s="134">
        <v>10</v>
      </c>
      <c r="F67" s="2"/>
      <c r="G67" s="8" t="s">
        <v>281</v>
      </c>
      <c r="H67" s="135">
        <v>6</v>
      </c>
      <c r="I67" s="2"/>
      <c r="J67" s="5" t="s">
        <v>336</v>
      </c>
      <c r="K67" s="133"/>
      <c r="L67" s="16"/>
      <c r="M67" s="85" t="s">
        <v>956</v>
      </c>
      <c r="N67" s="1">
        <f>ROUND(SUM(N68:N77)/COUNT(N68:N77), 2)</f>
        <v>9.0500000000000007</v>
      </c>
      <c r="O67" s="16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ht="16" customHeight="1" thickBot="1" x14ac:dyDescent="0.25">
      <c r="A68" s="8" t="s">
        <v>249</v>
      </c>
      <c r="B68" s="135">
        <v>7.5</v>
      </c>
      <c r="C68" s="16"/>
      <c r="D68" s="3" t="s">
        <v>323</v>
      </c>
      <c r="E68" s="134">
        <v>9</v>
      </c>
      <c r="F68" s="2"/>
      <c r="G68" s="15"/>
      <c r="H68" s="15"/>
      <c r="I68" s="2"/>
      <c r="J68" s="6" t="s">
        <v>337</v>
      </c>
      <c r="K68" s="134">
        <v>7</v>
      </c>
      <c r="L68" s="16"/>
      <c r="M68" s="3" t="s">
        <v>347</v>
      </c>
      <c r="N68" s="134">
        <v>10.5</v>
      </c>
      <c r="O68" s="16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ht="16" customHeight="1" thickBot="1" x14ac:dyDescent="0.25">
      <c r="A69" s="15"/>
      <c r="B69" s="15"/>
      <c r="C69" s="16"/>
      <c r="D69" s="3" t="s">
        <v>324</v>
      </c>
      <c r="E69" s="134">
        <v>8.5</v>
      </c>
      <c r="F69" s="16"/>
      <c r="G69" s="54" t="s">
        <v>833</v>
      </c>
      <c r="H69" s="1">
        <f>ROUND(SUM(H70:H81)/COUNT(H70:H81), 2)</f>
        <v>8.67</v>
      </c>
      <c r="I69" s="2"/>
      <c r="J69" s="6" t="s">
        <v>338</v>
      </c>
      <c r="K69" s="134">
        <v>8.5</v>
      </c>
      <c r="L69" s="16"/>
      <c r="M69" s="3" t="s">
        <v>348</v>
      </c>
      <c r="N69" s="134">
        <v>9.5</v>
      </c>
      <c r="O69" s="16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ht="16" customHeight="1" thickBot="1" x14ac:dyDescent="0.25">
      <c r="A70" s="28" t="s">
        <v>425</v>
      </c>
      <c r="B70" s="1">
        <f>ROUND(SUM(B71:B77)/COUNT(B71:B77), 2)</f>
        <v>7.29</v>
      </c>
      <c r="C70" s="16"/>
      <c r="D70" s="3" t="s">
        <v>325</v>
      </c>
      <c r="E70" s="134">
        <v>10</v>
      </c>
      <c r="F70" s="16"/>
      <c r="G70" s="3" t="s">
        <v>359</v>
      </c>
      <c r="H70" s="134">
        <v>8.5</v>
      </c>
      <c r="I70" s="2"/>
      <c r="J70" s="6" t="s">
        <v>339</v>
      </c>
      <c r="K70" s="134">
        <v>8.5</v>
      </c>
      <c r="L70" s="16"/>
      <c r="M70" s="3" t="s">
        <v>349</v>
      </c>
      <c r="N70" s="134">
        <v>8</v>
      </c>
      <c r="O70" s="16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ht="16" customHeight="1" x14ac:dyDescent="0.2">
      <c r="A71" s="11" t="s">
        <v>371</v>
      </c>
      <c r="B71" s="133">
        <v>8</v>
      </c>
      <c r="C71" s="16"/>
      <c r="D71" s="3" t="s">
        <v>326</v>
      </c>
      <c r="E71" s="134">
        <v>8</v>
      </c>
      <c r="F71" s="16"/>
      <c r="G71" s="3" t="s">
        <v>360</v>
      </c>
      <c r="H71" s="134">
        <v>9</v>
      </c>
      <c r="I71" s="2"/>
      <c r="J71" s="6" t="s">
        <v>340</v>
      </c>
      <c r="K71" s="134">
        <v>8</v>
      </c>
      <c r="L71" s="16"/>
      <c r="M71" s="3" t="s">
        <v>350</v>
      </c>
      <c r="N71" s="134">
        <v>9</v>
      </c>
      <c r="O71" s="16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ht="16" customHeight="1" x14ac:dyDescent="0.2">
      <c r="A72" s="4" t="s">
        <v>372</v>
      </c>
      <c r="B72" s="134">
        <v>7</v>
      </c>
      <c r="C72" s="16"/>
      <c r="D72" s="3" t="s">
        <v>327</v>
      </c>
      <c r="E72" s="134">
        <v>7.5</v>
      </c>
      <c r="F72" s="16"/>
      <c r="G72" s="3" t="s">
        <v>361</v>
      </c>
      <c r="H72" s="134">
        <v>8.5</v>
      </c>
      <c r="I72" s="2"/>
      <c r="J72" s="6" t="s">
        <v>341</v>
      </c>
      <c r="K72" s="134">
        <v>8.5</v>
      </c>
      <c r="L72" s="16"/>
      <c r="M72" s="3" t="s">
        <v>351</v>
      </c>
      <c r="N72" s="134">
        <v>10</v>
      </c>
      <c r="O72" s="16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ht="16" customHeight="1" x14ac:dyDescent="0.2">
      <c r="A73" s="4" t="s">
        <v>373</v>
      </c>
      <c r="B73" s="134">
        <v>6.5</v>
      </c>
      <c r="C73" s="16"/>
      <c r="D73" s="3" t="s">
        <v>328</v>
      </c>
      <c r="E73" s="134">
        <v>9</v>
      </c>
      <c r="F73" s="16"/>
      <c r="G73" s="3" t="s">
        <v>362</v>
      </c>
      <c r="H73" s="134">
        <v>10</v>
      </c>
      <c r="I73" s="2"/>
      <c r="J73" s="6" t="s">
        <v>342</v>
      </c>
      <c r="K73" s="134">
        <v>8.5</v>
      </c>
      <c r="L73" s="16"/>
      <c r="M73" s="3" t="s">
        <v>352</v>
      </c>
      <c r="N73" s="134">
        <v>8.5</v>
      </c>
      <c r="O73" s="16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ht="16" customHeight="1" x14ac:dyDescent="0.2">
      <c r="A74" s="4" t="s">
        <v>374</v>
      </c>
      <c r="B74" s="134">
        <v>7</v>
      </c>
      <c r="C74" s="16"/>
      <c r="D74" s="3" t="s">
        <v>329</v>
      </c>
      <c r="E74" s="134">
        <v>7</v>
      </c>
      <c r="F74" s="16"/>
      <c r="G74" s="3" t="s">
        <v>363</v>
      </c>
      <c r="H74" s="134">
        <v>8.5</v>
      </c>
      <c r="I74" s="2"/>
      <c r="J74" s="6" t="s">
        <v>343</v>
      </c>
      <c r="K74" s="134">
        <v>7.5</v>
      </c>
      <c r="L74" s="16"/>
      <c r="M74" s="3" t="s">
        <v>353</v>
      </c>
      <c r="N74" s="134">
        <v>8</v>
      </c>
      <c r="O74" s="16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 ht="16" customHeight="1" thickBot="1" x14ac:dyDescent="0.25">
      <c r="A75" s="4" t="s">
        <v>375</v>
      </c>
      <c r="B75" s="134">
        <v>8</v>
      </c>
      <c r="C75" s="16"/>
      <c r="D75" s="3" t="s">
        <v>330</v>
      </c>
      <c r="E75" s="134">
        <v>8.5</v>
      </c>
      <c r="F75" s="16"/>
      <c r="G75" s="3" t="s">
        <v>364</v>
      </c>
      <c r="H75" s="134">
        <v>10.5</v>
      </c>
      <c r="I75" s="2"/>
      <c r="J75" s="8" t="s">
        <v>344</v>
      </c>
      <c r="K75" s="135">
        <v>7.5</v>
      </c>
      <c r="L75" s="16"/>
      <c r="M75" s="3" t="s">
        <v>354</v>
      </c>
      <c r="N75" s="134">
        <v>9</v>
      </c>
      <c r="O75" s="16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 ht="16" customHeight="1" thickBot="1" x14ac:dyDescent="0.25">
      <c r="A76" s="4" t="s">
        <v>376</v>
      </c>
      <c r="B76" s="134">
        <v>7.5</v>
      </c>
      <c r="C76" s="16"/>
      <c r="D76" s="3" t="s">
        <v>331</v>
      </c>
      <c r="E76" s="134">
        <v>8</v>
      </c>
      <c r="F76" s="16"/>
      <c r="G76" s="3" t="s">
        <v>365</v>
      </c>
      <c r="H76" s="134">
        <v>9</v>
      </c>
      <c r="I76" s="2"/>
      <c r="J76" s="15"/>
      <c r="K76" s="15"/>
      <c r="L76" s="16"/>
      <c r="M76" s="3" t="s">
        <v>355</v>
      </c>
      <c r="N76" s="134">
        <v>8</v>
      </c>
      <c r="O76" s="1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ht="16" customHeight="1" thickBot="1" x14ac:dyDescent="0.25">
      <c r="A77" s="7" t="s">
        <v>377</v>
      </c>
      <c r="B77" s="135">
        <v>7</v>
      </c>
      <c r="C77" s="16"/>
      <c r="D77" s="3" t="s">
        <v>333</v>
      </c>
      <c r="E77" s="134">
        <v>8.5</v>
      </c>
      <c r="F77" s="16"/>
      <c r="G77" s="3" t="s">
        <v>366</v>
      </c>
      <c r="H77" s="134">
        <v>8.5</v>
      </c>
      <c r="I77" s="16"/>
      <c r="J77" s="72" t="s">
        <v>851</v>
      </c>
      <c r="K77" s="1">
        <f>ROUND(SUM(K78:K88)/COUNT(K78:K88), 2)</f>
        <v>7.77</v>
      </c>
      <c r="L77" s="16"/>
      <c r="M77" s="25" t="s">
        <v>356</v>
      </c>
      <c r="N77" s="135">
        <v>10</v>
      </c>
      <c r="O77" s="16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ht="16" customHeight="1" thickBot="1" x14ac:dyDescent="0.25">
      <c r="A78" s="15"/>
      <c r="B78" s="15"/>
      <c r="C78" s="16"/>
      <c r="D78" s="23" t="s">
        <v>332</v>
      </c>
      <c r="E78" s="135">
        <v>8</v>
      </c>
      <c r="F78" s="16"/>
      <c r="G78" s="3" t="s">
        <v>367</v>
      </c>
      <c r="H78" s="136">
        <v>7.5</v>
      </c>
      <c r="I78" s="2"/>
      <c r="J78" s="5" t="s">
        <v>380</v>
      </c>
      <c r="K78" s="133">
        <v>8.5</v>
      </c>
      <c r="L78" s="2"/>
      <c r="M78" s="15"/>
      <c r="N78" s="15"/>
      <c r="O78" s="16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ht="16" customHeight="1" thickBot="1" x14ac:dyDescent="0.25">
      <c r="A79" s="29" t="s">
        <v>440</v>
      </c>
      <c r="B79" s="1">
        <f>ROUND(SUM(B80:B91)/COUNT(B80:B91), 2)</f>
        <v>9.0399999999999991</v>
      </c>
      <c r="C79" s="2"/>
      <c r="D79" s="13"/>
      <c r="E79" s="15"/>
      <c r="F79" s="16"/>
      <c r="G79" s="3" t="s">
        <v>368</v>
      </c>
      <c r="H79" s="134">
        <v>8.5</v>
      </c>
      <c r="I79" s="2"/>
      <c r="J79" s="6" t="s">
        <v>381</v>
      </c>
      <c r="K79" s="134">
        <v>8.5</v>
      </c>
      <c r="L79" s="16"/>
      <c r="M79" s="84" t="s">
        <v>955</v>
      </c>
      <c r="N79" s="1">
        <f>ROUND(SUM(N80:N91)/COUNT(N80:N91), 2)</f>
        <v>8.7899999999999991</v>
      </c>
      <c r="O79" s="16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ht="16" customHeight="1" thickBot="1" x14ac:dyDescent="0.25">
      <c r="A80" s="5" t="s">
        <v>392</v>
      </c>
      <c r="B80" s="133">
        <v>9</v>
      </c>
      <c r="C80" s="2"/>
      <c r="D80" s="53" t="s">
        <v>832</v>
      </c>
      <c r="E80" s="1">
        <f>ROUND(SUM(E81:E99)/COUNT(E81:E99), 2)</f>
        <v>8.18</v>
      </c>
      <c r="F80" s="16"/>
      <c r="G80" s="3" t="s">
        <v>369</v>
      </c>
      <c r="H80" s="134">
        <v>8</v>
      </c>
      <c r="I80" s="2"/>
      <c r="J80" s="6" t="s">
        <v>382</v>
      </c>
      <c r="K80" s="134">
        <v>7.5</v>
      </c>
      <c r="L80" s="16"/>
      <c r="M80" s="3" t="s">
        <v>428</v>
      </c>
      <c r="N80" s="134">
        <v>10</v>
      </c>
      <c r="O80" s="16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ht="16" customHeight="1" thickBot="1" x14ac:dyDescent="0.25">
      <c r="A81" s="6" t="s">
        <v>393</v>
      </c>
      <c r="B81" s="134">
        <v>9</v>
      </c>
      <c r="C81" s="2"/>
      <c r="D81" s="11" t="s">
        <v>406</v>
      </c>
      <c r="E81" s="133">
        <v>10</v>
      </c>
      <c r="F81" s="16"/>
      <c r="G81" s="23" t="s">
        <v>260</v>
      </c>
      <c r="H81" s="135">
        <v>7.5</v>
      </c>
      <c r="I81" s="2"/>
      <c r="J81" s="6" t="s">
        <v>383</v>
      </c>
      <c r="K81" s="134">
        <v>7</v>
      </c>
      <c r="L81" s="16"/>
      <c r="M81" s="3" t="s">
        <v>429</v>
      </c>
      <c r="N81" s="134">
        <v>10.5</v>
      </c>
      <c r="O81" s="16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ht="16" customHeight="1" thickBot="1" x14ac:dyDescent="0.25">
      <c r="A82" s="6" t="s">
        <v>394</v>
      </c>
      <c r="B82" s="134">
        <v>10</v>
      </c>
      <c r="C82" s="2"/>
      <c r="D82" s="4" t="s">
        <v>407</v>
      </c>
      <c r="E82" s="134">
        <v>8</v>
      </c>
      <c r="F82" s="2"/>
      <c r="G82" s="15"/>
      <c r="H82" s="15"/>
      <c r="I82" s="2"/>
      <c r="J82" s="6" t="s">
        <v>384</v>
      </c>
      <c r="K82" s="134">
        <v>8</v>
      </c>
      <c r="L82" s="16"/>
      <c r="M82" s="3" t="s">
        <v>430</v>
      </c>
      <c r="N82" s="134">
        <v>8.5</v>
      </c>
      <c r="O82" s="16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ht="16" customHeight="1" thickBot="1" x14ac:dyDescent="0.25">
      <c r="A83" s="6" t="s">
        <v>395</v>
      </c>
      <c r="B83" s="134">
        <v>10.5</v>
      </c>
      <c r="C83" s="2"/>
      <c r="D83" s="4" t="s">
        <v>408</v>
      </c>
      <c r="E83" s="134">
        <v>8.5</v>
      </c>
      <c r="F83" s="16"/>
      <c r="G83" s="30" t="s">
        <v>443</v>
      </c>
      <c r="H83" s="1">
        <f>ROUND(SUM(H84:H95)/COUNT(H84:H95), 2)</f>
        <v>7.67</v>
      </c>
      <c r="I83" s="2"/>
      <c r="J83" s="6" t="s">
        <v>385</v>
      </c>
      <c r="K83" s="134">
        <v>7.5</v>
      </c>
      <c r="L83" s="16"/>
      <c r="M83" s="3" t="s">
        <v>431</v>
      </c>
      <c r="N83" s="134">
        <v>9.5</v>
      </c>
      <c r="O83" s="16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ht="16" customHeight="1" x14ac:dyDescent="0.2">
      <c r="A84" s="6" t="s">
        <v>396</v>
      </c>
      <c r="B84" s="134">
        <v>8.5</v>
      </c>
      <c r="C84" s="2"/>
      <c r="D84" s="4" t="s">
        <v>409</v>
      </c>
      <c r="E84" s="134">
        <v>10</v>
      </c>
      <c r="F84" s="16"/>
      <c r="G84" s="3" t="s">
        <v>444</v>
      </c>
      <c r="H84" s="133">
        <v>8</v>
      </c>
      <c r="I84" s="2"/>
      <c r="J84" s="6" t="s">
        <v>386</v>
      </c>
      <c r="K84" s="134">
        <v>7.5</v>
      </c>
      <c r="L84" s="16"/>
      <c r="M84" s="3" t="s">
        <v>432</v>
      </c>
      <c r="N84" s="134">
        <v>8</v>
      </c>
      <c r="O84" s="16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ht="16" customHeight="1" x14ac:dyDescent="0.2">
      <c r="A85" s="6" t="s">
        <v>397</v>
      </c>
      <c r="B85" s="134">
        <v>8.5</v>
      </c>
      <c r="C85" s="2"/>
      <c r="D85" s="4" t="s">
        <v>410</v>
      </c>
      <c r="E85" s="134">
        <v>8.5</v>
      </c>
      <c r="F85" s="16"/>
      <c r="G85" s="3" t="s">
        <v>445</v>
      </c>
      <c r="H85" s="134">
        <v>8</v>
      </c>
      <c r="I85" s="2"/>
      <c r="J85" s="6" t="s">
        <v>387</v>
      </c>
      <c r="K85" s="134">
        <v>7.5</v>
      </c>
      <c r="L85" s="16"/>
      <c r="M85" s="3" t="s">
        <v>433</v>
      </c>
      <c r="N85" s="134">
        <v>8</v>
      </c>
      <c r="O85" s="16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ht="16" customHeight="1" x14ac:dyDescent="0.2">
      <c r="A86" s="6" t="s">
        <v>398</v>
      </c>
      <c r="B86" s="134">
        <v>9</v>
      </c>
      <c r="C86" s="2"/>
      <c r="D86" s="4" t="s">
        <v>411</v>
      </c>
      <c r="E86" s="134">
        <v>7</v>
      </c>
      <c r="F86" s="16"/>
      <c r="G86" s="3" t="s">
        <v>446</v>
      </c>
      <c r="H86" s="134">
        <v>8</v>
      </c>
      <c r="I86" s="2"/>
      <c r="J86" s="6" t="s">
        <v>388</v>
      </c>
      <c r="K86" s="134">
        <v>7</v>
      </c>
      <c r="L86" s="16"/>
      <c r="M86" s="3" t="s">
        <v>434</v>
      </c>
      <c r="N86" s="134">
        <v>8.5</v>
      </c>
      <c r="O86" s="1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ht="16" customHeight="1" x14ac:dyDescent="0.2">
      <c r="A87" s="6" t="s">
        <v>399</v>
      </c>
      <c r="B87" s="134">
        <v>8</v>
      </c>
      <c r="C87" s="2"/>
      <c r="D87" s="4" t="s">
        <v>412</v>
      </c>
      <c r="E87" s="134">
        <v>7.5</v>
      </c>
      <c r="F87" s="16"/>
      <c r="G87" s="3" t="s">
        <v>447</v>
      </c>
      <c r="H87" s="134">
        <v>8.5</v>
      </c>
      <c r="I87" s="2"/>
      <c r="J87" s="6" t="s">
        <v>389</v>
      </c>
      <c r="K87" s="134">
        <v>7.5</v>
      </c>
      <c r="L87" s="16"/>
      <c r="M87" s="3" t="s">
        <v>435</v>
      </c>
      <c r="N87" s="134">
        <v>9</v>
      </c>
      <c r="O87" s="16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ht="16" customHeight="1" thickBot="1" x14ac:dyDescent="0.25">
      <c r="A88" s="6" t="s">
        <v>400</v>
      </c>
      <c r="B88" s="134">
        <v>8.5</v>
      </c>
      <c r="C88" s="2"/>
      <c r="D88" s="4" t="s">
        <v>413</v>
      </c>
      <c r="E88" s="134">
        <v>9</v>
      </c>
      <c r="F88" s="16"/>
      <c r="G88" s="3" t="s">
        <v>448</v>
      </c>
      <c r="H88" s="134">
        <v>7</v>
      </c>
      <c r="I88" s="2"/>
      <c r="J88" s="8" t="s">
        <v>390</v>
      </c>
      <c r="K88" s="135">
        <v>9</v>
      </c>
      <c r="L88" s="16"/>
      <c r="M88" s="3" t="s">
        <v>436</v>
      </c>
      <c r="N88" s="134">
        <v>8</v>
      </c>
      <c r="O88" s="16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ht="16" customHeight="1" thickBot="1" x14ac:dyDescent="0.25">
      <c r="A89" s="6" t="s">
        <v>401</v>
      </c>
      <c r="B89" s="134">
        <v>9.5</v>
      </c>
      <c r="C89" s="2"/>
      <c r="D89" s="4" t="s">
        <v>414</v>
      </c>
      <c r="E89" s="134">
        <v>7</v>
      </c>
      <c r="F89" s="16"/>
      <c r="G89" s="3" t="s">
        <v>449</v>
      </c>
      <c r="H89" s="134">
        <v>8</v>
      </c>
      <c r="I89" s="2"/>
      <c r="J89" s="15"/>
      <c r="K89" s="15"/>
      <c r="L89" s="16"/>
      <c r="M89" s="3" t="s">
        <v>437</v>
      </c>
      <c r="N89" s="134">
        <v>7</v>
      </c>
      <c r="O89" s="16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ht="16" customHeight="1" thickBot="1" x14ac:dyDescent="0.25">
      <c r="A90" s="6" t="s">
        <v>402</v>
      </c>
      <c r="B90" s="134">
        <v>8</v>
      </c>
      <c r="C90" s="2"/>
      <c r="D90" s="4" t="s">
        <v>415</v>
      </c>
      <c r="E90" s="134">
        <v>8</v>
      </c>
      <c r="F90" s="16"/>
      <c r="G90" s="3" t="s">
        <v>450</v>
      </c>
      <c r="H90" s="134">
        <v>7</v>
      </c>
      <c r="I90" s="16"/>
      <c r="J90" s="32" t="s">
        <v>458</v>
      </c>
      <c r="K90" s="1">
        <f>ROUND(SUM(K91:K96)/COUNT(K91:K96), 2)</f>
        <v>9.17</v>
      </c>
      <c r="L90" s="16"/>
      <c r="M90" s="3" t="s">
        <v>438</v>
      </c>
      <c r="N90" s="134">
        <v>8.5</v>
      </c>
      <c r="O90" s="16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ht="16" customHeight="1" thickBot="1" x14ac:dyDescent="0.25">
      <c r="A91" s="8" t="s">
        <v>403</v>
      </c>
      <c r="B91" s="135">
        <v>10</v>
      </c>
      <c r="C91" s="2"/>
      <c r="D91" s="4" t="s">
        <v>416</v>
      </c>
      <c r="E91" s="134">
        <v>7.5</v>
      </c>
      <c r="F91" s="16"/>
      <c r="G91" s="3" t="s">
        <v>451</v>
      </c>
      <c r="H91" s="134">
        <v>8</v>
      </c>
      <c r="I91" s="2"/>
      <c r="J91" s="5" t="s">
        <v>459</v>
      </c>
      <c r="K91" s="133">
        <v>9.5</v>
      </c>
      <c r="L91" s="16"/>
      <c r="M91" s="23" t="s">
        <v>439</v>
      </c>
      <c r="N91" s="135">
        <v>10</v>
      </c>
      <c r="O91" s="16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ht="16" customHeight="1" thickBot="1" x14ac:dyDescent="0.25">
      <c r="A92" s="15"/>
      <c r="B92" s="15"/>
      <c r="C92" s="2"/>
      <c r="D92" s="4" t="s">
        <v>417</v>
      </c>
      <c r="E92" s="134">
        <v>8.5</v>
      </c>
      <c r="F92" s="16"/>
      <c r="G92" s="3" t="s">
        <v>452</v>
      </c>
      <c r="H92" s="134">
        <v>7</v>
      </c>
      <c r="I92" s="2"/>
      <c r="J92" s="6" t="s">
        <v>460</v>
      </c>
      <c r="K92" s="134">
        <v>8.5</v>
      </c>
      <c r="L92" s="2"/>
      <c r="M92" s="15"/>
      <c r="N92" s="15"/>
      <c r="O92" s="16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ht="16" customHeight="1" thickBot="1" x14ac:dyDescent="0.25">
      <c r="A93" s="73" t="s">
        <v>852</v>
      </c>
      <c r="B93" s="12">
        <f>ROUND(SUM(B94:B101)/COUNT(B94:B101), 2)</f>
        <v>8.81</v>
      </c>
      <c r="C93" s="2"/>
      <c r="D93" s="4" t="s">
        <v>418</v>
      </c>
      <c r="E93" s="134">
        <v>8</v>
      </c>
      <c r="F93" s="16"/>
      <c r="G93" s="3" t="s">
        <v>453</v>
      </c>
      <c r="H93" s="134">
        <v>8</v>
      </c>
      <c r="I93" s="2"/>
      <c r="J93" s="6" t="s">
        <v>461</v>
      </c>
      <c r="K93" s="134">
        <v>10.5</v>
      </c>
      <c r="L93" s="16"/>
      <c r="M93" s="83" t="s">
        <v>954</v>
      </c>
      <c r="N93" s="1">
        <f>ROUND(SUM(N94:N110)/COUNT(N94:N110), 2)</f>
        <v>8.5</v>
      </c>
      <c r="O93" s="16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ht="16" customHeight="1" x14ac:dyDescent="0.2">
      <c r="A94" s="11" t="s">
        <v>465</v>
      </c>
      <c r="B94" s="133">
        <v>10</v>
      </c>
      <c r="C94" s="2"/>
      <c r="D94" s="4" t="s">
        <v>419</v>
      </c>
      <c r="E94" s="134">
        <v>8</v>
      </c>
      <c r="F94" s="16"/>
      <c r="G94" s="3" t="s">
        <v>454</v>
      </c>
      <c r="H94" s="134">
        <v>6.5</v>
      </c>
      <c r="I94" s="2"/>
      <c r="J94" s="6" t="s">
        <v>462</v>
      </c>
      <c r="K94" s="134">
        <v>9</v>
      </c>
      <c r="L94" s="2"/>
      <c r="M94" s="5" t="s">
        <v>476</v>
      </c>
      <c r="N94" s="133">
        <v>8</v>
      </c>
      <c r="O94" s="16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ht="16" customHeight="1" thickBot="1" x14ac:dyDescent="0.25">
      <c r="A95" s="4" t="s">
        <v>466</v>
      </c>
      <c r="B95" s="134">
        <v>9.5</v>
      </c>
      <c r="C95" s="2"/>
      <c r="D95" s="4" t="s">
        <v>420</v>
      </c>
      <c r="E95" s="134">
        <v>7</v>
      </c>
      <c r="F95" s="16"/>
      <c r="G95" s="7" t="s">
        <v>455</v>
      </c>
      <c r="H95" s="135">
        <v>8</v>
      </c>
      <c r="I95" s="2"/>
      <c r="J95" s="6" t="s">
        <v>463</v>
      </c>
      <c r="K95" s="134">
        <v>9</v>
      </c>
      <c r="L95" s="2"/>
      <c r="M95" s="6" t="s">
        <v>477</v>
      </c>
      <c r="N95" s="134">
        <v>8</v>
      </c>
      <c r="O95" s="16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ht="16" customHeight="1" thickBot="1" x14ac:dyDescent="0.25">
      <c r="A96" s="4" t="s">
        <v>467</v>
      </c>
      <c r="B96" s="134">
        <v>8.5</v>
      </c>
      <c r="C96" s="2"/>
      <c r="D96" s="4" t="s">
        <v>421</v>
      </c>
      <c r="E96" s="134">
        <v>8.5</v>
      </c>
      <c r="F96" s="2"/>
      <c r="G96" s="15"/>
      <c r="H96" s="15"/>
      <c r="I96" s="2"/>
      <c r="J96" s="8" t="s">
        <v>464</v>
      </c>
      <c r="K96" s="135">
        <v>8.5</v>
      </c>
      <c r="L96" s="2"/>
      <c r="M96" s="6" t="s">
        <v>478</v>
      </c>
      <c r="N96" s="134">
        <v>9</v>
      </c>
      <c r="O96" s="1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ht="16" customHeight="1" thickBot="1" x14ac:dyDescent="0.25">
      <c r="A97" s="4" t="s">
        <v>468</v>
      </c>
      <c r="B97" s="134">
        <v>8</v>
      </c>
      <c r="C97" s="2"/>
      <c r="D97" s="4" t="s">
        <v>422</v>
      </c>
      <c r="E97" s="134">
        <v>8.5</v>
      </c>
      <c r="F97" s="16"/>
      <c r="G97" s="31" t="s">
        <v>505</v>
      </c>
      <c r="H97" s="1">
        <f>ROUND(SUM(H98:H108)/COUNT(H98:H109), 2)</f>
        <v>8.77</v>
      </c>
      <c r="I97" s="2"/>
      <c r="J97" s="15"/>
      <c r="K97" s="15"/>
      <c r="L97" s="2"/>
      <c r="M97" s="6" t="s">
        <v>479</v>
      </c>
      <c r="N97" s="134"/>
      <c r="O97" s="16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ht="16" customHeight="1" thickBot="1" x14ac:dyDescent="0.25">
      <c r="A98" s="4" t="s">
        <v>469</v>
      </c>
      <c r="B98" s="134">
        <v>9</v>
      </c>
      <c r="C98" s="2"/>
      <c r="D98" s="4" t="s">
        <v>423</v>
      </c>
      <c r="E98" s="134">
        <v>7</v>
      </c>
      <c r="F98" s="2"/>
      <c r="G98" s="5" t="s">
        <v>495</v>
      </c>
      <c r="H98" s="133">
        <v>9.5</v>
      </c>
      <c r="I98" s="16"/>
      <c r="J98" s="165" t="s">
        <v>2091</v>
      </c>
      <c r="K98" s="1">
        <f>ROUND(SUM(K99:K109)/COUNT(K99:K109), 2)</f>
        <v>9.61</v>
      </c>
      <c r="L98" s="2"/>
      <c r="M98" s="6" t="s">
        <v>480</v>
      </c>
      <c r="N98" s="134">
        <v>8.5</v>
      </c>
      <c r="O98" s="16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ht="16" customHeight="1" thickBot="1" x14ac:dyDescent="0.25">
      <c r="A99" s="4" t="s">
        <v>470</v>
      </c>
      <c r="B99" s="134">
        <v>8.5</v>
      </c>
      <c r="C99" s="2"/>
      <c r="D99" s="7" t="s">
        <v>424</v>
      </c>
      <c r="E99" s="135">
        <v>9</v>
      </c>
      <c r="F99" s="2"/>
      <c r="G99" s="6" t="s">
        <v>496</v>
      </c>
      <c r="H99" s="134">
        <v>8.5</v>
      </c>
      <c r="I99" s="2"/>
      <c r="J99" s="5" t="s">
        <v>506</v>
      </c>
      <c r="K99" s="133">
        <v>10.5</v>
      </c>
      <c r="L99" s="2"/>
      <c r="M99" s="6" t="s">
        <v>481</v>
      </c>
      <c r="N99" s="134">
        <v>7.5</v>
      </c>
      <c r="O99" s="16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ht="16" customHeight="1" thickBot="1" x14ac:dyDescent="0.25">
      <c r="A100" s="4" t="s">
        <v>471</v>
      </c>
      <c r="B100" s="134">
        <v>9.5</v>
      </c>
      <c r="C100" s="2"/>
      <c r="D100" s="13"/>
      <c r="E100" s="15"/>
      <c r="F100" s="2"/>
      <c r="G100" s="6" t="s">
        <v>497</v>
      </c>
      <c r="H100" s="134">
        <v>8.5</v>
      </c>
      <c r="I100" s="2"/>
      <c r="J100" s="6" t="s">
        <v>507</v>
      </c>
      <c r="K100" s="134">
        <v>10</v>
      </c>
      <c r="L100" s="2"/>
      <c r="M100" s="6" t="s">
        <v>482</v>
      </c>
      <c r="N100" s="134">
        <v>9.5</v>
      </c>
      <c r="O100" s="16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ht="16" customHeight="1" thickBot="1" x14ac:dyDescent="0.25">
      <c r="A101" s="7" t="s">
        <v>472</v>
      </c>
      <c r="B101" s="135">
        <v>7.5</v>
      </c>
      <c r="C101" s="2"/>
      <c r="D101" s="52" t="s">
        <v>831</v>
      </c>
      <c r="E101" s="1">
        <f>ROUND(SUM(E102:E115)/COUNT(E102:E115), 2)</f>
        <v>8.31</v>
      </c>
      <c r="F101" s="2"/>
      <c r="G101" s="6" t="s">
        <v>498</v>
      </c>
      <c r="H101" s="134">
        <v>8</v>
      </c>
      <c r="I101" s="2"/>
      <c r="J101" s="6" t="s">
        <v>508</v>
      </c>
      <c r="K101" s="134">
        <v>8.5</v>
      </c>
      <c r="L101" s="2"/>
      <c r="M101" s="6" t="s">
        <v>492</v>
      </c>
      <c r="N101" s="134"/>
      <c r="O101" s="16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ht="16" customHeight="1" thickBot="1" x14ac:dyDescent="0.25">
      <c r="A102" s="15"/>
      <c r="B102" s="15"/>
      <c r="C102" s="16"/>
      <c r="D102" s="5" t="s">
        <v>520</v>
      </c>
      <c r="E102" s="137"/>
      <c r="F102" s="2"/>
      <c r="G102" s="6" t="s">
        <v>499</v>
      </c>
      <c r="H102" s="134">
        <v>9</v>
      </c>
      <c r="I102" s="2"/>
      <c r="J102" s="6" t="s">
        <v>509</v>
      </c>
      <c r="K102" s="134">
        <v>9.5</v>
      </c>
      <c r="L102" s="2"/>
      <c r="M102" s="6" t="s">
        <v>483</v>
      </c>
      <c r="N102" s="134">
        <v>9</v>
      </c>
      <c r="O102" s="16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ht="16" customHeight="1" thickBot="1" x14ac:dyDescent="0.25">
      <c r="A103" s="33" t="s">
        <v>535</v>
      </c>
      <c r="B103" s="1">
        <f>ROUND(SUM(B104:B112)/COUNT(B104:B112), 2)</f>
        <v>8.7799999999999994</v>
      </c>
      <c r="C103" s="16"/>
      <c r="D103" s="14" t="s">
        <v>521</v>
      </c>
      <c r="E103" s="134">
        <v>8</v>
      </c>
      <c r="F103" s="2"/>
      <c r="G103" s="6" t="s">
        <v>500</v>
      </c>
      <c r="H103" s="134">
        <v>8</v>
      </c>
      <c r="I103" s="2"/>
      <c r="J103" s="6" t="s">
        <v>510</v>
      </c>
      <c r="K103" s="134">
        <v>10</v>
      </c>
      <c r="L103" s="2"/>
      <c r="M103" s="6" t="s">
        <v>484</v>
      </c>
      <c r="N103" s="134"/>
      <c r="O103" s="16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ht="16" customHeight="1" x14ac:dyDescent="0.2">
      <c r="A104" s="3" t="s">
        <v>536</v>
      </c>
      <c r="B104" s="134">
        <v>9.5</v>
      </c>
      <c r="C104" s="21"/>
      <c r="D104" s="14" t="s">
        <v>522</v>
      </c>
      <c r="E104" s="134">
        <v>9</v>
      </c>
      <c r="F104" s="2"/>
      <c r="G104" s="6" t="s">
        <v>501</v>
      </c>
      <c r="H104" s="134">
        <v>9.5</v>
      </c>
      <c r="I104" s="2"/>
      <c r="J104" s="6" t="s">
        <v>511</v>
      </c>
      <c r="K104" s="134"/>
      <c r="L104" s="2"/>
      <c r="M104" s="6" t="s">
        <v>485</v>
      </c>
      <c r="N104" s="134">
        <v>8</v>
      </c>
      <c r="O104" s="16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ht="16" customHeight="1" x14ac:dyDescent="0.2">
      <c r="A105" s="3" t="s">
        <v>537</v>
      </c>
      <c r="B105" s="134">
        <v>9</v>
      </c>
      <c r="C105" s="2"/>
      <c r="D105" s="6" t="s">
        <v>523</v>
      </c>
      <c r="E105" s="134">
        <v>8.5</v>
      </c>
      <c r="F105" s="2"/>
      <c r="G105" s="6" t="s">
        <v>502</v>
      </c>
      <c r="H105" s="134">
        <v>10</v>
      </c>
      <c r="I105" s="2"/>
      <c r="J105" s="6" t="s">
        <v>512</v>
      </c>
      <c r="K105" s="134">
        <v>9</v>
      </c>
      <c r="L105" s="2"/>
      <c r="M105" s="6" t="s">
        <v>486</v>
      </c>
      <c r="N105" s="134"/>
      <c r="O105" s="16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ht="16" customHeight="1" x14ac:dyDescent="0.2">
      <c r="A106" s="3" t="s">
        <v>538</v>
      </c>
      <c r="B106" s="134">
        <v>10.5</v>
      </c>
      <c r="C106" s="2"/>
      <c r="D106" s="6" t="s">
        <v>524</v>
      </c>
      <c r="E106" s="134">
        <v>7.5</v>
      </c>
      <c r="F106" s="2"/>
      <c r="G106" s="6" t="s">
        <v>503</v>
      </c>
      <c r="H106" s="134">
        <v>9</v>
      </c>
      <c r="I106" s="2"/>
      <c r="J106" s="6" t="s">
        <v>513</v>
      </c>
      <c r="K106" s="134">
        <v>10.5</v>
      </c>
      <c r="L106" s="2"/>
      <c r="M106" s="6" t="s">
        <v>487</v>
      </c>
      <c r="N106" s="134">
        <v>8</v>
      </c>
      <c r="O106" s="1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ht="16" customHeight="1" x14ac:dyDescent="0.2">
      <c r="A107" s="3" t="s">
        <v>539</v>
      </c>
      <c r="B107" s="134">
        <v>8.5</v>
      </c>
      <c r="C107" s="2"/>
      <c r="D107" s="6" t="s">
        <v>525</v>
      </c>
      <c r="E107" s="134">
        <v>7.5</v>
      </c>
      <c r="F107" s="2"/>
      <c r="G107" s="6" t="s">
        <v>504</v>
      </c>
      <c r="H107" s="134">
        <v>7.5</v>
      </c>
      <c r="I107" s="2"/>
      <c r="J107" s="6" t="s">
        <v>514</v>
      </c>
      <c r="K107" s="136">
        <v>8.5</v>
      </c>
      <c r="L107" s="2"/>
      <c r="M107" s="6" t="s">
        <v>488</v>
      </c>
      <c r="N107" s="134">
        <v>9</v>
      </c>
      <c r="O107" s="16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ht="16" customHeight="1" thickBot="1" x14ac:dyDescent="0.25">
      <c r="A108" s="3" t="s">
        <v>540</v>
      </c>
      <c r="B108" s="134">
        <v>8</v>
      </c>
      <c r="C108" s="2"/>
      <c r="D108" s="6" t="s">
        <v>526</v>
      </c>
      <c r="E108" s="134">
        <v>10</v>
      </c>
      <c r="F108" s="2"/>
      <c r="G108" s="8" t="s">
        <v>519</v>
      </c>
      <c r="H108" s="135">
        <v>9</v>
      </c>
      <c r="I108" s="2"/>
      <c r="J108" s="6" t="s">
        <v>515</v>
      </c>
      <c r="K108" s="134">
        <v>10</v>
      </c>
      <c r="L108" s="2"/>
      <c r="M108" s="6" t="s">
        <v>489</v>
      </c>
      <c r="N108" s="134">
        <v>9</v>
      </c>
      <c r="O108" s="16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ht="16" customHeight="1" thickBot="1" x14ac:dyDescent="0.25">
      <c r="A109" s="3" t="s">
        <v>541</v>
      </c>
      <c r="B109" s="134">
        <v>7.5</v>
      </c>
      <c r="C109" s="2"/>
      <c r="D109" s="6" t="s">
        <v>50</v>
      </c>
      <c r="E109" s="134">
        <v>9</v>
      </c>
      <c r="F109" s="2"/>
      <c r="G109" s="15"/>
      <c r="H109" s="15"/>
      <c r="I109" s="2"/>
      <c r="J109" s="8" t="s">
        <v>516</v>
      </c>
      <c r="K109" s="135"/>
      <c r="L109" s="2"/>
      <c r="M109" s="6" t="s">
        <v>490</v>
      </c>
      <c r="N109" s="134">
        <v>9</v>
      </c>
      <c r="O109" s="16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ht="16" customHeight="1" thickBot="1" x14ac:dyDescent="0.25">
      <c r="A110" s="3" t="s">
        <v>542</v>
      </c>
      <c r="B110" s="134">
        <v>8</v>
      </c>
      <c r="C110" s="2"/>
      <c r="D110" s="6" t="s">
        <v>527</v>
      </c>
      <c r="E110" s="134">
        <v>8</v>
      </c>
      <c r="F110" s="16"/>
      <c r="G110" s="51" t="s">
        <v>830</v>
      </c>
      <c r="H110" s="1">
        <f>ROUND(SUM(H111:H124)/COUNT(H111:H124), 2)</f>
        <v>8.73</v>
      </c>
      <c r="I110" s="2"/>
      <c r="J110" s="15"/>
      <c r="K110" s="15"/>
      <c r="L110" s="2"/>
      <c r="M110" s="8" t="s">
        <v>491</v>
      </c>
      <c r="N110" s="135">
        <v>8</v>
      </c>
      <c r="O110" s="16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ht="16" customHeight="1" thickBot="1" x14ac:dyDescent="0.25">
      <c r="A111" s="3" t="s">
        <v>543</v>
      </c>
      <c r="B111" s="134">
        <v>8</v>
      </c>
      <c r="C111" s="2"/>
      <c r="D111" s="6" t="s">
        <v>528</v>
      </c>
      <c r="E111" s="134">
        <v>7.5</v>
      </c>
      <c r="F111" s="2"/>
      <c r="G111" s="5" t="s">
        <v>547</v>
      </c>
      <c r="H111" s="133">
        <v>10</v>
      </c>
      <c r="I111" s="16"/>
      <c r="J111" s="50" t="s">
        <v>829</v>
      </c>
      <c r="K111" s="1">
        <f>ROUND(SUM(K112:K125)/COUNT(K112:K125), 2)</f>
        <v>7.96</v>
      </c>
      <c r="L111" s="2"/>
      <c r="M111" s="15"/>
      <c r="N111" s="15"/>
      <c r="O111" s="16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ht="16" customHeight="1" thickBot="1" x14ac:dyDescent="0.25">
      <c r="A112" s="25" t="s">
        <v>544</v>
      </c>
      <c r="B112" s="135">
        <v>10</v>
      </c>
      <c r="C112" s="2"/>
      <c r="D112" s="6" t="s">
        <v>529</v>
      </c>
      <c r="E112" s="134">
        <v>7.5</v>
      </c>
      <c r="F112" s="2"/>
      <c r="G112" s="6" t="s">
        <v>548</v>
      </c>
      <c r="H112" s="134">
        <v>8</v>
      </c>
      <c r="I112" s="16"/>
      <c r="J112" s="3" t="s">
        <v>562</v>
      </c>
      <c r="K112" s="134">
        <v>8</v>
      </c>
      <c r="L112" s="16"/>
      <c r="M112" s="35" t="s">
        <v>574</v>
      </c>
      <c r="N112" s="1">
        <f>ROUND(SUM(N113:N125)/COUNT(N113:N125), 2)</f>
        <v>8.77</v>
      </c>
      <c r="O112" s="16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ht="16" customHeight="1" thickBot="1" x14ac:dyDescent="0.25">
      <c r="A113" s="15"/>
      <c r="B113" s="15"/>
      <c r="C113" s="16"/>
      <c r="D113" s="14" t="s">
        <v>530</v>
      </c>
      <c r="E113" s="134">
        <v>8</v>
      </c>
      <c r="F113" s="2"/>
      <c r="G113" s="6" t="s">
        <v>549</v>
      </c>
      <c r="H113" s="134">
        <v>8.5</v>
      </c>
      <c r="I113" s="16"/>
      <c r="J113" s="3" t="s">
        <v>563</v>
      </c>
      <c r="K113" s="134">
        <v>10.5</v>
      </c>
      <c r="L113" s="16"/>
      <c r="M113" s="3" t="s">
        <v>575</v>
      </c>
      <c r="N113" s="134">
        <v>9</v>
      </c>
      <c r="O113" s="16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ht="16" customHeight="1" thickBot="1" x14ac:dyDescent="0.25">
      <c r="A114" s="49" t="s">
        <v>828</v>
      </c>
      <c r="B114" s="1">
        <f>ROUND(SUM(B115:B132)/COUNT(B115:B132), 2)</f>
        <v>7.72</v>
      </c>
      <c r="C114" s="16"/>
      <c r="D114" s="14" t="s">
        <v>531</v>
      </c>
      <c r="E114" s="134">
        <v>7.5</v>
      </c>
      <c r="F114" s="2"/>
      <c r="G114" s="6" t="s">
        <v>550</v>
      </c>
      <c r="H114" s="134">
        <v>9</v>
      </c>
      <c r="I114" s="16"/>
      <c r="J114" s="3" t="s">
        <v>564</v>
      </c>
      <c r="K114" s="134">
        <v>6</v>
      </c>
      <c r="L114" s="16"/>
      <c r="M114" s="3" t="s">
        <v>576</v>
      </c>
      <c r="N114" s="134">
        <v>8.5</v>
      </c>
      <c r="O114" s="16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ht="16" customHeight="1" thickBot="1" x14ac:dyDescent="0.25">
      <c r="A115" s="5" t="s">
        <v>589</v>
      </c>
      <c r="B115" s="134">
        <v>7.5</v>
      </c>
      <c r="C115" s="2"/>
      <c r="D115" s="8" t="s">
        <v>532</v>
      </c>
      <c r="E115" s="135">
        <v>10</v>
      </c>
      <c r="F115" s="2"/>
      <c r="G115" s="6" t="s">
        <v>551</v>
      </c>
      <c r="H115" s="134">
        <v>10</v>
      </c>
      <c r="I115" s="16"/>
      <c r="J115" s="3" t="s">
        <v>565</v>
      </c>
      <c r="K115" s="134">
        <v>9</v>
      </c>
      <c r="L115" s="16"/>
      <c r="M115" s="3" t="s">
        <v>577</v>
      </c>
      <c r="N115" s="134">
        <v>9</v>
      </c>
      <c r="O115" s="16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ht="16" customHeight="1" thickBot="1" x14ac:dyDescent="0.25">
      <c r="A116" s="6" t="s">
        <v>590</v>
      </c>
      <c r="B116" s="134">
        <v>8</v>
      </c>
      <c r="C116" s="2"/>
      <c r="D116" s="13"/>
      <c r="E116" s="13"/>
      <c r="F116" s="2"/>
      <c r="G116" s="6" t="s">
        <v>552</v>
      </c>
      <c r="H116" s="134"/>
      <c r="I116" s="16"/>
      <c r="J116" s="3" t="s">
        <v>566</v>
      </c>
      <c r="K116" s="134">
        <v>8.5</v>
      </c>
      <c r="L116" s="16"/>
      <c r="M116" s="3" t="s">
        <v>578</v>
      </c>
      <c r="N116" s="134">
        <v>8</v>
      </c>
      <c r="O116" s="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ht="16" customHeight="1" thickBot="1" x14ac:dyDescent="0.25">
      <c r="A117" s="6" t="s">
        <v>591</v>
      </c>
      <c r="B117" s="134">
        <v>8</v>
      </c>
      <c r="C117" s="16"/>
      <c r="D117" s="48" t="s">
        <v>827</v>
      </c>
      <c r="E117" s="1">
        <f>ROUND(SUM(E118:E131)/COUNT(E118:E131), 2)</f>
        <v>8.76</v>
      </c>
      <c r="F117" s="2"/>
      <c r="G117" s="6" t="s">
        <v>553</v>
      </c>
      <c r="H117" s="134">
        <v>10</v>
      </c>
      <c r="I117" s="16"/>
      <c r="J117" s="3" t="s">
        <v>567</v>
      </c>
      <c r="K117" s="134">
        <v>8.5</v>
      </c>
      <c r="L117" s="16"/>
      <c r="M117" s="3" t="s">
        <v>579</v>
      </c>
      <c r="N117" s="134">
        <v>10</v>
      </c>
      <c r="O117" s="16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ht="16" customHeight="1" x14ac:dyDescent="0.2">
      <c r="A118" s="6" t="s">
        <v>592</v>
      </c>
      <c r="B118" s="134">
        <v>7</v>
      </c>
      <c r="C118" s="16"/>
      <c r="D118" s="3" t="s">
        <v>609</v>
      </c>
      <c r="E118" s="134">
        <v>9</v>
      </c>
      <c r="F118" s="2"/>
      <c r="G118" s="6" t="s">
        <v>554</v>
      </c>
      <c r="H118" s="134">
        <v>7.5</v>
      </c>
      <c r="I118" s="16"/>
      <c r="J118" s="3" t="s">
        <v>568</v>
      </c>
      <c r="K118" s="134">
        <v>7.5</v>
      </c>
      <c r="L118" s="16"/>
      <c r="M118" s="3" t="s">
        <v>580</v>
      </c>
      <c r="N118" s="134">
        <v>9.5</v>
      </c>
      <c r="O118" s="16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ht="16" customHeight="1" x14ac:dyDescent="0.2">
      <c r="A119" s="6" t="s">
        <v>593</v>
      </c>
      <c r="B119" s="134">
        <v>7.5</v>
      </c>
      <c r="C119" s="16"/>
      <c r="D119" s="3" t="s">
        <v>610</v>
      </c>
      <c r="E119" s="134">
        <v>9.5</v>
      </c>
      <c r="F119" s="2"/>
      <c r="G119" s="6" t="s">
        <v>555</v>
      </c>
      <c r="H119" s="134"/>
      <c r="I119" s="16"/>
      <c r="J119" s="3" t="s">
        <v>569</v>
      </c>
      <c r="K119" s="134">
        <v>7</v>
      </c>
      <c r="L119" s="16"/>
      <c r="M119" s="3" t="s">
        <v>581</v>
      </c>
      <c r="N119" s="134">
        <v>10.5</v>
      </c>
      <c r="O119" s="16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ht="16" customHeight="1" x14ac:dyDescent="0.2">
      <c r="A120" s="6" t="s">
        <v>594</v>
      </c>
      <c r="B120" s="134">
        <v>8</v>
      </c>
      <c r="C120" s="16"/>
      <c r="D120" s="3" t="s">
        <v>450</v>
      </c>
      <c r="E120" s="134">
        <v>10</v>
      </c>
      <c r="F120" s="2"/>
      <c r="G120" s="34" t="s">
        <v>556</v>
      </c>
      <c r="H120" s="134">
        <v>8</v>
      </c>
      <c r="I120" s="16"/>
      <c r="J120" s="3" t="s">
        <v>570</v>
      </c>
      <c r="K120" s="134"/>
      <c r="L120" s="16"/>
      <c r="M120" s="3" t="s">
        <v>582</v>
      </c>
      <c r="N120" s="134">
        <v>10</v>
      </c>
      <c r="O120" s="16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ht="16" customHeight="1" x14ac:dyDescent="0.2">
      <c r="A121" s="6" t="s">
        <v>595</v>
      </c>
      <c r="B121" s="134">
        <v>8</v>
      </c>
      <c r="C121" s="16"/>
      <c r="D121" s="3" t="s">
        <v>611</v>
      </c>
      <c r="E121" s="134">
        <v>8</v>
      </c>
      <c r="F121" s="2"/>
      <c r="G121" s="6" t="s">
        <v>557</v>
      </c>
      <c r="H121" s="134">
        <v>8</v>
      </c>
      <c r="I121" s="16"/>
      <c r="J121" s="3" t="s">
        <v>571</v>
      </c>
      <c r="K121" s="134">
        <v>7</v>
      </c>
      <c r="L121" s="16"/>
      <c r="M121" s="3" t="s">
        <v>583</v>
      </c>
      <c r="N121" s="134">
        <v>8.5</v>
      </c>
      <c r="O121" s="16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ht="16" customHeight="1" thickBot="1" x14ac:dyDescent="0.25">
      <c r="A122" s="6" t="s">
        <v>596</v>
      </c>
      <c r="B122" s="134">
        <v>8</v>
      </c>
      <c r="C122" s="16"/>
      <c r="D122" s="3" t="s">
        <v>612</v>
      </c>
      <c r="E122" s="134">
        <v>10.5</v>
      </c>
      <c r="F122" s="2"/>
      <c r="G122" s="6" t="s">
        <v>558</v>
      </c>
      <c r="H122" s="134">
        <v>8</v>
      </c>
      <c r="I122" s="16"/>
      <c r="J122" s="7" t="s">
        <v>572</v>
      </c>
      <c r="K122" s="135">
        <v>8.5</v>
      </c>
      <c r="L122" s="16"/>
      <c r="M122" s="3" t="s">
        <v>584</v>
      </c>
      <c r="N122" s="134">
        <v>7.5</v>
      </c>
      <c r="O122" s="16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ht="16" customHeight="1" thickBot="1" x14ac:dyDescent="0.25">
      <c r="A123" s="6" t="s">
        <v>597</v>
      </c>
      <c r="B123" s="134">
        <v>6.5</v>
      </c>
      <c r="C123" s="16"/>
      <c r="D123" s="3" t="s">
        <v>613</v>
      </c>
      <c r="E123" s="134">
        <v>8</v>
      </c>
      <c r="F123" s="2"/>
      <c r="G123" s="8" t="s">
        <v>559</v>
      </c>
      <c r="H123" s="135">
        <v>9</v>
      </c>
      <c r="I123" s="2"/>
      <c r="J123" s="15"/>
      <c r="K123" s="15"/>
      <c r="L123" s="16"/>
      <c r="M123" s="3" t="s">
        <v>585</v>
      </c>
      <c r="N123" s="134">
        <v>8</v>
      </c>
      <c r="O123" s="16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ht="16" customHeight="1" thickBot="1" x14ac:dyDescent="0.25">
      <c r="A124" s="6" t="s">
        <v>598</v>
      </c>
      <c r="B124" s="134">
        <v>7.5</v>
      </c>
      <c r="C124" s="16"/>
      <c r="D124" s="3" t="s">
        <v>614</v>
      </c>
      <c r="E124" s="134">
        <v>9</v>
      </c>
      <c r="F124" s="2"/>
      <c r="G124" s="15"/>
      <c r="H124" s="15"/>
      <c r="I124" s="2"/>
      <c r="J124" s="37" t="s">
        <v>627</v>
      </c>
      <c r="K124" s="1">
        <f>ROUND(SUM(K125:K134)/COUNT(K125:K134), 2)</f>
        <v>7.06</v>
      </c>
      <c r="L124" s="16"/>
      <c r="M124" s="3" t="s">
        <v>586</v>
      </c>
      <c r="N124" s="134">
        <v>8.5</v>
      </c>
      <c r="O124" s="16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ht="16" customHeight="1" thickBot="1" x14ac:dyDescent="0.25">
      <c r="A125" s="6" t="s">
        <v>599</v>
      </c>
      <c r="B125" s="134">
        <v>7</v>
      </c>
      <c r="C125" s="16"/>
      <c r="D125" s="3" t="s">
        <v>615</v>
      </c>
      <c r="E125" s="134">
        <v>8.5</v>
      </c>
      <c r="F125" s="16"/>
      <c r="G125" s="394" t="s">
        <v>2463</v>
      </c>
      <c r="H125" s="1">
        <f>ROUND(SUM(H126:H129)/COUNT(H126:H129), 2)</f>
        <v>9.8800000000000008</v>
      </c>
      <c r="I125" s="2"/>
      <c r="J125" s="11" t="s">
        <v>617</v>
      </c>
      <c r="K125" s="134"/>
      <c r="L125" s="16"/>
      <c r="M125" s="23" t="s">
        <v>587</v>
      </c>
      <c r="N125" s="135">
        <v>7</v>
      </c>
      <c r="O125" s="16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ht="16" customHeight="1" thickBot="1" x14ac:dyDescent="0.25">
      <c r="A126" s="6" t="s">
        <v>600</v>
      </c>
      <c r="B126" s="134">
        <v>8</v>
      </c>
      <c r="C126" s="2"/>
      <c r="D126" s="7" t="s">
        <v>616</v>
      </c>
      <c r="E126" s="135">
        <v>8</v>
      </c>
      <c r="F126" s="2"/>
      <c r="G126" s="11" t="s">
        <v>630</v>
      </c>
      <c r="H126" s="133">
        <v>10</v>
      </c>
      <c r="I126" s="2"/>
      <c r="J126" s="4" t="s">
        <v>618</v>
      </c>
      <c r="K126" s="134">
        <v>7.5</v>
      </c>
      <c r="L126" s="2"/>
      <c r="M126" s="15"/>
      <c r="N126" s="15"/>
      <c r="O126" s="1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ht="16" customHeight="1" thickBot="1" x14ac:dyDescent="0.25">
      <c r="A127" s="6" t="s">
        <v>601</v>
      </c>
      <c r="B127" s="134">
        <v>7</v>
      </c>
      <c r="C127" s="2"/>
      <c r="D127" s="13"/>
      <c r="E127" s="15"/>
      <c r="F127" s="2"/>
      <c r="G127" s="4" t="s">
        <v>631</v>
      </c>
      <c r="H127" s="134">
        <v>9.5</v>
      </c>
      <c r="I127" s="21"/>
      <c r="J127" s="4" t="s">
        <v>619</v>
      </c>
      <c r="K127" s="134">
        <v>7</v>
      </c>
      <c r="L127" s="16"/>
      <c r="M127" s="38" t="s">
        <v>660</v>
      </c>
      <c r="N127" s="1">
        <f>ROUND(SUM(N128:N135)/COUNT(N128:N135), 2)</f>
        <v>9.1300000000000008</v>
      </c>
      <c r="O127" s="16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ht="16" customHeight="1" thickBot="1" x14ac:dyDescent="0.25">
      <c r="A128" s="6" t="s">
        <v>602</v>
      </c>
      <c r="B128" s="134">
        <v>8</v>
      </c>
      <c r="C128" s="2"/>
      <c r="D128" s="47" t="s">
        <v>826</v>
      </c>
      <c r="E128" s="1">
        <f>ROUND(SUM(E129:E144)/COUNT(E129:E144), 2)</f>
        <v>8.07</v>
      </c>
      <c r="F128" s="2"/>
      <c r="G128" s="4" t="s">
        <v>632</v>
      </c>
      <c r="H128" s="134">
        <v>10.5</v>
      </c>
      <c r="I128" s="2"/>
      <c r="J128" s="4" t="s">
        <v>620</v>
      </c>
      <c r="K128" s="134">
        <v>7</v>
      </c>
      <c r="L128" s="2"/>
      <c r="M128" s="11" t="s">
        <v>652</v>
      </c>
      <c r="N128" s="133">
        <v>8.5</v>
      </c>
      <c r="O128" s="16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ht="16" customHeight="1" thickBot="1" x14ac:dyDescent="0.25">
      <c r="A129" s="6" t="s">
        <v>603</v>
      </c>
      <c r="B129" s="134">
        <v>8.5</v>
      </c>
      <c r="C129" s="2"/>
      <c r="D129" s="11" t="s">
        <v>635</v>
      </c>
      <c r="E129" s="133">
        <v>7.5</v>
      </c>
      <c r="F129" s="2"/>
      <c r="G129" s="7" t="s">
        <v>633</v>
      </c>
      <c r="H129" s="135">
        <v>9.5</v>
      </c>
      <c r="I129" s="2"/>
      <c r="J129" s="4" t="s">
        <v>621</v>
      </c>
      <c r="K129" s="134">
        <v>6.5</v>
      </c>
      <c r="L129" s="2"/>
      <c r="M129" s="4" t="s">
        <v>653</v>
      </c>
      <c r="N129" s="134">
        <v>10</v>
      </c>
      <c r="O129" s="16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ht="16" customHeight="1" thickBot="1" x14ac:dyDescent="0.25">
      <c r="A130" s="6" t="s">
        <v>604</v>
      </c>
      <c r="B130" s="134">
        <v>8</v>
      </c>
      <c r="C130" s="2"/>
      <c r="D130" s="4" t="s">
        <v>636</v>
      </c>
      <c r="E130" s="134"/>
      <c r="F130" s="2"/>
      <c r="G130" s="15"/>
      <c r="H130" s="15"/>
      <c r="I130" s="2"/>
      <c r="J130" s="4" t="s">
        <v>622</v>
      </c>
      <c r="K130" s="134">
        <v>8</v>
      </c>
      <c r="L130" s="2"/>
      <c r="M130" s="4" t="s">
        <v>654</v>
      </c>
      <c r="N130" s="134">
        <v>10</v>
      </c>
      <c r="O130" s="16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ht="16" customHeight="1" thickBot="1" x14ac:dyDescent="0.25">
      <c r="A131" s="6" t="s">
        <v>605</v>
      </c>
      <c r="B131" s="134">
        <v>9</v>
      </c>
      <c r="C131" s="2"/>
      <c r="D131" s="4" t="s">
        <v>637</v>
      </c>
      <c r="E131" s="134">
        <v>9</v>
      </c>
      <c r="F131" s="16"/>
      <c r="G131" s="46" t="s">
        <v>825</v>
      </c>
      <c r="H131" s="1">
        <f>ROUND(SUM(H132:H147)/COUNT(H132:H147), 2)</f>
        <v>8.67</v>
      </c>
      <c r="I131" s="2"/>
      <c r="J131" s="4" t="s">
        <v>623</v>
      </c>
      <c r="K131" s="134">
        <v>6.5</v>
      </c>
      <c r="L131" s="2"/>
      <c r="M131" s="4" t="s">
        <v>655</v>
      </c>
      <c r="N131" s="134">
        <v>10.5</v>
      </c>
      <c r="O131" s="16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ht="16" customHeight="1" thickBot="1" x14ac:dyDescent="0.25">
      <c r="A132" s="6" t="s">
        <v>606</v>
      </c>
      <c r="B132" s="134">
        <v>7.5</v>
      </c>
      <c r="C132" s="2"/>
      <c r="D132" s="4" t="s">
        <v>638</v>
      </c>
      <c r="E132" s="134">
        <v>10</v>
      </c>
      <c r="F132" s="2"/>
      <c r="G132" s="11" t="s">
        <v>661</v>
      </c>
      <c r="H132" s="133"/>
      <c r="I132" s="2"/>
      <c r="J132" s="4" t="s">
        <v>624</v>
      </c>
      <c r="K132" s="134">
        <v>7</v>
      </c>
      <c r="L132" s="2"/>
      <c r="M132" s="4" t="s">
        <v>656</v>
      </c>
      <c r="N132" s="134">
        <v>8.5</v>
      </c>
      <c r="O132" s="16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ht="16" customHeight="1" thickBot="1" x14ac:dyDescent="0.25">
      <c r="A133" s="36"/>
      <c r="B133" s="13"/>
      <c r="C133" s="2"/>
      <c r="D133" s="4" t="s">
        <v>639</v>
      </c>
      <c r="E133" s="134">
        <v>8</v>
      </c>
      <c r="F133" s="2"/>
      <c r="G133" s="4" t="s">
        <v>662</v>
      </c>
      <c r="H133" s="134">
        <v>8</v>
      </c>
      <c r="I133" s="2"/>
      <c r="J133" s="4" t="s">
        <v>625</v>
      </c>
      <c r="K133" s="134">
        <v>7</v>
      </c>
      <c r="L133" s="2"/>
      <c r="M133" s="4" t="s">
        <v>657</v>
      </c>
      <c r="N133" s="134">
        <v>7.5</v>
      </c>
      <c r="O133" s="16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ht="16" customHeight="1" thickBot="1" x14ac:dyDescent="0.25">
      <c r="A134" s="74" t="s">
        <v>853</v>
      </c>
      <c r="B134" s="1">
        <f>ROUND(SUM(B135:B143)/COUNT(B135:B143), 2)</f>
        <v>8.67</v>
      </c>
      <c r="C134" s="2"/>
      <c r="D134" s="4" t="s">
        <v>640</v>
      </c>
      <c r="E134" s="134">
        <v>8.5</v>
      </c>
      <c r="F134" s="2"/>
      <c r="G134" s="4" t="s">
        <v>663</v>
      </c>
      <c r="H134" s="134">
        <v>8</v>
      </c>
      <c r="I134" s="2"/>
      <c r="J134" s="7" t="s">
        <v>626</v>
      </c>
      <c r="K134" s="135">
        <v>7</v>
      </c>
      <c r="L134" s="2"/>
      <c r="M134" s="4" t="s">
        <v>658</v>
      </c>
      <c r="N134" s="134">
        <v>9</v>
      </c>
      <c r="O134" s="16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ht="16" customHeight="1" thickBot="1" x14ac:dyDescent="0.25">
      <c r="A135" s="11" t="s">
        <v>678</v>
      </c>
      <c r="B135" s="133">
        <v>9</v>
      </c>
      <c r="C135" s="2"/>
      <c r="D135" s="4" t="s">
        <v>641</v>
      </c>
      <c r="E135" s="134">
        <v>10</v>
      </c>
      <c r="F135" s="2"/>
      <c r="G135" s="4" t="s">
        <v>664</v>
      </c>
      <c r="H135" s="134">
        <v>10</v>
      </c>
      <c r="I135" s="2"/>
      <c r="J135" s="15"/>
      <c r="K135" s="15"/>
      <c r="L135" s="2"/>
      <c r="M135" s="7" t="s">
        <v>659</v>
      </c>
      <c r="N135" s="135">
        <v>9</v>
      </c>
      <c r="O135" s="16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ht="16" customHeight="1" thickBot="1" x14ac:dyDescent="0.25">
      <c r="A136" s="4" t="s">
        <v>679</v>
      </c>
      <c r="B136" s="134">
        <v>9</v>
      </c>
      <c r="C136" s="2"/>
      <c r="D136" s="4" t="s">
        <v>642</v>
      </c>
      <c r="E136" s="134">
        <v>8</v>
      </c>
      <c r="F136" s="2"/>
      <c r="G136" s="4" t="s">
        <v>665</v>
      </c>
      <c r="H136" s="134">
        <v>9</v>
      </c>
      <c r="I136" s="16"/>
      <c r="J136" s="131" t="s">
        <v>1671</v>
      </c>
      <c r="K136" s="12">
        <f>ROUND(SUM(K137:K147)/COUNT(K137:K147), 2)</f>
        <v>8.91</v>
      </c>
      <c r="L136" s="2"/>
      <c r="M136" s="15"/>
      <c r="N136" s="15"/>
      <c r="O136" s="1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ht="16" customHeight="1" thickBot="1" x14ac:dyDescent="0.25">
      <c r="A137" s="4" t="s">
        <v>680</v>
      </c>
      <c r="B137" s="134">
        <v>8.5</v>
      </c>
      <c r="C137" s="2"/>
      <c r="D137" s="4" t="s">
        <v>643</v>
      </c>
      <c r="E137" s="134">
        <v>8</v>
      </c>
      <c r="F137" s="2"/>
      <c r="G137" s="4" t="s">
        <v>666</v>
      </c>
      <c r="H137" s="134">
        <v>8.5</v>
      </c>
      <c r="I137" s="16"/>
      <c r="J137" s="11" t="s">
        <v>260</v>
      </c>
      <c r="K137" s="133">
        <v>10</v>
      </c>
      <c r="L137" s="16"/>
      <c r="M137" s="45" t="s">
        <v>824</v>
      </c>
      <c r="N137" s="12">
        <f>ROUND(SUM(N138:N142)/COUNT(N138:N142), 2)</f>
        <v>9.4</v>
      </c>
      <c r="O137" s="16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ht="16" customHeight="1" x14ac:dyDescent="0.2">
      <c r="A138" s="4" t="s">
        <v>681</v>
      </c>
      <c r="B138" s="134">
        <v>9</v>
      </c>
      <c r="C138" s="2"/>
      <c r="D138" s="4" t="s">
        <v>644</v>
      </c>
      <c r="E138" s="134">
        <v>7</v>
      </c>
      <c r="F138" s="2"/>
      <c r="G138" s="4" t="s">
        <v>667</v>
      </c>
      <c r="H138" s="134">
        <v>10.5</v>
      </c>
      <c r="I138" s="16"/>
      <c r="J138" s="4" t="s">
        <v>689</v>
      </c>
      <c r="K138" s="134">
        <v>10</v>
      </c>
      <c r="L138" s="16"/>
      <c r="M138" s="11" t="s">
        <v>701</v>
      </c>
      <c r="N138" s="133">
        <v>8.5</v>
      </c>
      <c r="O138" s="16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ht="16" customHeight="1" x14ac:dyDescent="0.2">
      <c r="A139" s="4" t="s">
        <v>682</v>
      </c>
      <c r="B139" s="134">
        <v>10</v>
      </c>
      <c r="C139" s="2"/>
      <c r="D139" s="4" t="s">
        <v>645</v>
      </c>
      <c r="E139" s="134">
        <v>6.5</v>
      </c>
      <c r="F139" s="2"/>
      <c r="G139" s="4" t="s">
        <v>668</v>
      </c>
      <c r="H139" s="134">
        <v>8</v>
      </c>
      <c r="I139" s="16"/>
      <c r="J139" s="4" t="s">
        <v>690</v>
      </c>
      <c r="K139" s="134">
        <v>8.5</v>
      </c>
      <c r="L139" s="16"/>
      <c r="M139" s="4" t="s">
        <v>702</v>
      </c>
      <c r="N139" s="134">
        <v>10.5</v>
      </c>
      <c r="O139" s="16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ht="16" customHeight="1" x14ac:dyDescent="0.2">
      <c r="A140" s="4" t="s">
        <v>683</v>
      </c>
      <c r="B140" s="134">
        <v>8</v>
      </c>
      <c r="C140" s="2"/>
      <c r="D140" s="4" t="s">
        <v>646</v>
      </c>
      <c r="E140" s="134">
        <v>7</v>
      </c>
      <c r="F140" s="2"/>
      <c r="G140" s="4" t="s">
        <v>669</v>
      </c>
      <c r="H140" s="134">
        <v>8</v>
      </c>
      <c r="I140" s="16"/>
      <c r="J140" s="4" t="s">
        <v>691</v>
      </c>
      <c r="K140" s="134">
        <v>10.5</v>
      </c>
      <c r="L140" s="16"/>
      <c r="M140" s="4" t="s">
        <v>703</v>
      </c>
      <c r="N140" s="134">
        <v>10</v>
      </c>
      <c r="O140" s="16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ht="16" customHeight="1" x14ac:dyDescent="0.2">
      <c r="A141" s="4" t="s">
        <v>684</v>
      </c>
      <c r="B141" s="134">
        <v>8.5</v>
      </c>
      <c r="C141" s="2"/>
      <c r="D141" s="4" t="s">
        <v>647</v>
      </c>
      <c r="E141" s="134">
        <v>7.5</v>
      </c>
      <c r="F141" s="2"/>
      <c r="G141" s="4" t="s">
        <v>670</v>
      </c>
      <c r="H141" s="134">
        <v>10.5</v>
      </c>
      <c r="I141" s="16"/>
      <c r="J141" s="4" t="s">
        <v>692</v>
      </c>
      <c r="K141" s="134">
        <v>9</v>
      </c>
      <c r="L141" s="16"/>
      <c r="M141" s="4" t="s">
        <v>704</v>
      </c>
      <c r="N141" s="134">
        <v>9.5</v>
      </c>
      <c r="O141" s="16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ht="16" customHeight="1" thickBot="1" x14ac:dyDescent="0.25">
      <c r="A142" s="4" t="s">
        <v>685</v>
      </c>
      <c r="B142" s="134">
        <v>8</v>
      </c>
      <c r="C142" s="2"/>
      <c r="D142" s="4" t="s">
        <v>648</v>
      </c>
      <c r="E142" s="134">
        <v>7</v>
      </c>
      <c r="F142" s="2"/>
      <c r="G142" s="4" t="s">
        <v>671</v>
      </c>
      <c r="H142" s="134">
        <v>8</v>
      </c>
      <c r="I142" s="16"/>
      <c r="J142" s="4" t="s">
        <v>693</v>
      </c>
      <c r="K142" s="134">
        <v>8.5</v>
      </c>
      <c r="L142" s="16"/>
      <c r="M142" s="7" t="s">
        <v>705</v>
      </c>
      <c r="N142" s="135">
        <v>8.5</v>
      </c>
      <c r="O142" s="16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ht="16" customHeight="1" thickBot="1" x14ac:dyDescent="0.25">
      <c r="A143" s="7" t="s">
        <v>686</v>
      </c>
      <c r="B143" s="135">
        <v>8</v>
      </c>
      <c r="C143" s="2"/>
      <c r="D143" s="4" t="s">
        <v>649</v>
      </c>
      <c r="E143" s="134">
        <v>9</v>
      </c>
      <c r="F143" s="2"/>
      <c r="G143" s="4" t="s">
        <v>672</v>
      </c>
      <c r="H143" s="134">
        <v>7</v>
      </c>
      <c r="I143" s="16"/>
      <c r="J143" s="4" t="s">
        <v>694</v>
      </c>
      <c r="K143" s="134">
        <v>8</v>
      </c>
      <c r="L143" s="2"/>
      <c r="M143" s="15"/>
      <c r="N143" s="15"/>
      <c r="O143" s="16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ht="16" customHeight="1" thickBot="1" x14ac:dyDescent="0.25">
      <c r="A144" s="15"/>
      <c r="B144" s="15"/>
      <c r="C144" s="2"/>
      <c r="D144" s="7" t="s">
        <v>650</v>
      </c>
      <c r="E144" s="135"/>
      <c r="F144" s="2"/>
      <c r="G144" s="4" t="s">
        <v>673</v>
      </c>
      <c r="H144" s="134">
        <v>10</v>
      </c>
      <c r="I144" s="16"/>
      <c r="J144" s="4" t="s">
        <v>695</v>
      </c>
      <c r="K144" s="134">
        <v>8.5</v>
      </c>
      <c r="L144" s="16"/>
      <c r="M144" s="39" t="s">
        <v>743</v>
      </c>
      <c r="N144" s="12">
        <f>ROUND(SUM(N145:N150)/COUNT(N145:N150), 2)</f>
        <v>8.67</v>
      </c>
      <c r="O144" s="16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ht="16" customHeight="1" thickBot="1" x14ac:dyDescent="0.25">
      <c r="A145" s="44" t="s">
        <v>823</v>
      </c>
      <c r="B145" s="12">
        <f>ROUND(SUM(B146:B160)/COUNT(B146:B160), 2)</f>
        <v>8.5299999999999994</v>
      </c>
      <c r="C145" s="2"/>
      <c r="D145" s="13"/>
      <c r="E145" s="15"/>
      <c r="F145" s="2"/>
      <c r="G145" s="4" t="s">
        <v>674</v>
      </c>
      <c r="H145" s="134">
        <v>8.5</v>
      </c>
      <c r="I145" s="16"/>
      <c r="J145" s="4" t="s">
        <v>696</v>
      </c>
      <c r="K145" s="134">
        <v>8</v>
      </c>
      <c r="L145" s="2"/>
      <c r="M145" s="11" t="s">
        <v>706</v>
      </c>
      <c r="N145" s="133">
        <v>10</v>
      </c>
      <c r="O145" s="16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ht="16" customHeight="1" thickBot="1" x14ac:dyDescent="0.25">
      <c r="A146" s="11" t="s">
        <v>744</v>
      </c>
      <c r="B146" s="133">
        <v>8</v>
      </c>
      <c r="C146" s="16"/>
      <c r="D146" s="40" t="s">
        <v>773</v>
      </c>
      <c r="E146" s="12">
        <f>ROUND(SUM(E147:E159)/COUNT(E147:E159), 2)</f>
        <v>8.82</v>
      </c>
      <c r="F146" s="2"/>
      <c r="G146" s="4" t="s">
        <v>675</v>
      </c>
      <c r="H146" s="134">
        <v>8</v>
      </c>
      <c r="I146" s="16"/>
      <c r="J146" s="4" t="s">
        <v>697</v>
      </c>
      <c r="K146" s="134">
        <v>8</v>
      </c>
      <c r="L146" s="2"/>
      <c r="M146" s="4" t="s">
        <v>707</v>
      </c>
      <c r="N146" s="134">
        <v>8</v>
      </c>
      <c r="O146" s="1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ht="16" customHeight="1" thickBot="1" x14ac:dyDescent="0.25">
      <c r="A147" s="4" t="s">
        <v>745</v>
      </c>
      <c r="B147" s="134">
        <v>9</v>
      </c>
      <c r="C147" s="16"/>
      <c r="D147" s="11" t="s">
        <v>761</v>
      </c>
      <c r="E147" s="133">
        <v>9</v>
      </c>
      <c r="F147" s="2"/>
      <c r="G147" s="7" t="s">
        <v>676</v>
      </c>
      <c r="H147" s="135">
        <v>8</v>
      </c>
      <c r="I147" s="16"/>
      <c r="J147" s="7" t="s">
        <v>698</v>
      </c>
      <c r="K147" s="135">
        <v>9</v>
      </c>
      <c r="L147" s="2"/>
      <c r="M147" s="4" t="s">
        <v>708</v>
      </c>
      <c r="N147" s="134">
        <v>9</v>
      </c>
      <c r="O147" s="16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ht="16" customHeight="1" thickBot="1" x14ac:dyDescent="0.25">
      <c r="A148" s="4" t="s">
        <v>746</v>
      </c>
      <c r="B148" s="134">
        <v>10</v>
      </c>
      <c r="C148" s="16"/>
      <c r="D148" s="4" t="s">
        <v>762</v>
      </c>
      <c r="E148" s="134">
        <v>8.5</v>
      </c>
      <c r="F148" s="2"/>
      <c r="G148" s="15"/>
      <c r="H148" s="15"/>
      <c r="I148" s="2"/>
      <c r="J148" s="15"/>
      <c r="K148" s="15"/>
      <c r="L148" s="2"/>
      <c r="M148" s="4" t="s">
        <v>709</v>
      </c>
      <c r="N148" s="134">
        <v>8</v>
      </c>
      <c r="O148" s="16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ht="16" customHeight="1" thickBot="1" x14ac:dyDescent="0.25">
      <c r="A149" s="4" t="s">
        <v>747</v>
      </c>
      <c r="B149" s="134">
        <v>8</v>
      </c>
      <c r="C149" s="16"/>
      <c r="D149" s="4" t="s">
        <v>763</v>
      </c>
      <c r="E149" s="134">
        <v>10</v>
      </c>
      <c r="F149" s="16"/>
      <c r="G149" s="43" t="s">
        <v>822</v>
      </c>
      <c r="H149" s="12">
        <f>ROUND(SUM(H150:H163)/COUNT(H150:H163), 2)</f>
        <v>8.7100000000000009</v>
      </c>
      <c r="I149" s="16"/>
      <c r="J149" s="41" t="s">
        <v>798</v>
      </c>
      <c r="K149" s="12">
        <f>ROUND(SUM(K150:K163)/COUNT(K150:K163), 2)</f>
        <v>8.5</v>
      </c>
      <c r="L149" s="2"/>
      <c r="M149" s="4" t="s">
        <v>710</v>
      </c>
      <c r="N149" s="134">
        <v>8</v>
      </c>
      <c r="O149" s="16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ht="16" customHeight="1" thickBot="1" x14ac:dyDescent="0.25">
      <c r="A150" s="4" t="s">
        <v>748</v>
      </c>
      <c r="B150" s="134">
        <v>7</v>
      </c>
      <c r="C150" s="16"/>
      <c r="D150" s="4" t="s">
        <v>764</v>
      </c>
      <c r="E150" s="134"/>
      <c r="F150" s="2"/>
      <c r="G150" s="11" t="s">
        <v>782</v>
      </c>
      <c r="H150" s="133">
        <v>10</v>
      </c>
      <c r="I150" s="16"/>
      <c r="J150" s="11" t="s">
        <v>799</v>
      </c>
      <c r="K150" s="133">
        <v>10</v>
      </c>
      <c r="L150" s="2"/>
      <c r="M150" s="7" t="s">
        <v>711</v>
      </c>
      <c r="N150" s="135">
        <v>9</v>
      </c>
      <c r="O150" s="16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ht="16" customHeight="1" thickBot="1" x14ac:dyDescent="0.25">
      <c r="A151" s="4" t="s">
        <v>749</v>
      </c>
      <c r="B151" s="134">
        <v>10</v>
      </c>
      <c r="C151" s="16"/>
      <c r="D151" s="4" t="s">
        <v>765</v>
      </c>
      <c r="E151" s="134">
        <v>9</v>
      </c>
      <c r="F151" s="2"/>
      <c r="G151" s="4" t="s">
        <v>783</v>
      </c>
      <c r="H151" s="134">
        <v>9</v>
      </c>
      <c r="I151" s="16"/>
      <c r="J151" s="4" t="s">
        <v>800</v>
      </c>
      <c r="K151" s="134">
        <v>9</v>
      </c>
      <c r="L151" s="2"/>
      <c r="M151" s="15"/>
      <c r="N151" s="15"/>
      <c r="O151" s="16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ht="16" customHeight="1" thickBot="1" x14ac:dyDescent="0.25">
      <c r="A152" s="4" t="s">
        <v>750</v>
      </c>
      <c r="B152" s="134">
        <v>9</v>
      </c>
      <c r="C152" s="16"/>
      <c r="D152" s="4" t="s">
        <v>766</v>
      </c>
      <c r="E152" s="134">
        <v>7.5</v>
      </c>
      <c r="F152" s="2"/>
      <c r="G152" s="4" t="s">
        <v>784</v>
      </c>
      <c r="H152" s="134">
        <v>8.5</v>
      </c>
      <c r="I152" s="16"/>
      <c r="J152" s="4" t="s">
        <v>801</v>
      </c>
      <c r="K152" s="134">
        <v>9</v>
      </c>
      <c r="L152" s="16"/>
      <c r="M152" s="42" t="s">
        <v>815</v>
      </c>
      <c r="N152" s="12">
        <f>ROUND(SUM(N153:N159)/COUNT(N153:N159), 2)</f>
        <v>8.86</v>
      </c>
      <c r="O152" s="16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ht="16" customHeight="1" x14ac:dyDescent="0.2">
      <c r="A153" s="4" t="s">
        <v>751</v>
      </c>
      <c r="B153" s="134">
        <v>8</v>
      </c>
      <c r="C153" s="16"/>
      <c r="D153" s="4" t="s">
        <v>767</v>
      </c>
      <c r="E153" s="134">
        <v>8</v>
      </c>
      <c r="F153" s="2"/>
      <c r="G153" s="4" t="s">
        <v>785</v>
      </c>
      <c r="H153" s="134">
        <v>10.5</v>
      </c>
      <c r="I153" s="16"/>
      <c r="J153" s="4" t="s">
        <v>802</v>
      </c>
      <c r="K153" s="134">
        <v>8.5</v>
      </c>
      <c r="L153" s="16"/>
      <c r="M153" s="11" t="s">
        <v>816</v>
      </c>
      <c r="N153" s="133">
        <v>9.5</v>
      </c>
      <c r="O153" s="16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ht="16" customHeight="1" x14ac:dyDescent="0.2">
      <c r="A154" s="4" t="s">
        <v>752</v>
      </c>
      <c r="B154" s="134">
        <v>8</v>
      </c>
      <c r="C154" s="16"/>
      <c r="D154" s="4" t="s">
        <v>768</v>
      </c>
      <c r="E154" s="134">
        <v>10</v>
      </c>
      <c r="F154" s="2"/>
      <c r="G154" s="4" t="s">
        <v>786</v>
      </c>
      <c r="H154" s="134">
        <v>8</v>
      </c>
      <c r="I154" s="16"/>
      <c r="J154" s="4" t="s">
        <v>803</v>
      </c>
      <c r="K154" s="134">
        <v>8</v>
      </c>
      <c r="L154" s="16"/>
      <c r="M154" s="4" t="s">
        <v>817</v>
      </c>
      <c r="N154" s="134">
        <v>8.5</v>
      </c>
      <c r="O154" s="16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ht="16" customHeight="1" x14ac:dyDescent="0.2">
      <c r="A155" s="4" t="s">
        <v>753</v>
      </c>
      <c r="B155" s="134">
        <v>8</v>
      </c>
      <c r="C155" s="16"/>
      <c r="D155" s="4" t="s">
        <v>117</v>
      </c>
      <c r="E155" s="134">
        <v>10</v>
      </c>
      <c r="F155" s="2"/>
      <c r="G155" s="4" t="s">
        <v>54</v>
      </c>
      <c r="H155" s="134">
        <v>8</v>
      </c>
      <c r="I155" s="16"/>
      <c r="J155" s="4" t="s">
        <v>804</v>
      </c>
      <c r="K155" s="134">
        <v>8</v>
      </c>
      <c r="L155" s="16"/>
      <c r="M155" s="4" t="s">
        <v>818</v>
      </c>
      <c r="N155" s="134">
        <v>9.5</v>
      </c>
      <c r="O155" s="16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ht="16" customHeight="1" x14ac:dyDescent="0.2">
      <c r="A156" s="4" t="s">
        <v>754</v>
      </c>
      <c r="B156" s="134">
        <v>10.5</v>
      </c>
      <c r="C156" s="16"/>
      <c r="D156" s="4" t="s">
        <v>769</v>
      </c>
      <c r="E156" s="134">
        <v>8</v>
      </c>
      <c r="F156" s="2"/>
      <c r="G156" s="4" t="s">
        <v>787</v>
      </c>
      <c r="H156" s="134">
        <v>8</v>
      </c>
      <c r="I156" s="16"/>
      <c r="J156" s="4" t="s">
        <v>805</v>
      </c>
      <c r="K156" s="134">
        <v>7.5</v>
      </c>
      <c r="L156" s="16"/>
      <c r="M156" s="4" t="s">
        <v>819</v>
      </c>
      <c r="N156" s="134">
        <v>8.5</v>
      </c>
      <c r="O156" s="1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ht="16" customHeight="1" x14ac:dyDescent="0.2">
      <c r="A157" s="4" t="s">
        <v>755</v>
      </c>
      <c r="B157" s="134">
        <v>6</v>
      </c>
      <c r="C157" s="16"/>
      <c r="D157" s="4" t="s">
        <v>770</v>
      </c>
      <c r="E157" s="134">
        <v>9</v>
      </c>
      <c r="F157" s="2"/>
      <c r="G157" s="4" t="s">
        <v>788</v>
      </c>
      <c r="H157" s="134">
        <v>9</v>
      </c>
      <c r="I157" s="16"/>
      <c r="J157" s="4" t="s">
        <v>806</v>
      </c>
      <c r="K157" s="134">
        <v>7</v>
      </c>
      <c r="L157" s="16"/>
      <c r="M157" s="4" t="s">
        <v>854</v>
      </c>
      <c r="N157" s="134">
        <v>10.5</v>
      </c>
      <c r="O157" s="16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ht="16" customHeight="1" x14ac:dyDescent="0.2">
      <c r="A158" s="4" t="s">
        <v>756</v>
      </c>
      <c r="B158" s="134">
        <v>7.5</v>
      </c>
      <c r="C158" s="16"/>
      <c r="D158" s="4" t="s">
        <v>771</v>
      </c>
      <c r="E158" s="134">
        <v>8</v>
      </c>
      <c r="F158" s="2"/>
      <c r="G158" s="4" t="s">
        <v>789</v>
      </c>
      <c r="H158" s="134">
        <v>9</v>
      </c>
      <c r="I158" s="16"/>
      <c r="J158" s="4" t="s">
        <v>807</v>
      </c>
      <c r="K158" s="134">
        <v>10.5</v>
      </c>
      <c r="L158" s="16"/>
      <c r="M158" s="4" t="s">
        <v>820</v>
      </c>
      <c r="N158" s="134">
        <v>8</v>
      </c>
      <c r="O158" s="16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ht="16" customHeight="1" thickBot="1" x14ac:dyDescent="0.25">
      <c r="A159" s="4" t="s">
        <v>757</v>
      </c>
      <c r="B159" s="134">
        <v>10</v>
      </c>
      <c r="C159" s="2"/>
      <c r="D159" s="7" t="s">
        <v>772</v>
      </c>
      <c r="E159" s="135"/>
      <c r="F159" s="2"/>
      <c r="G159" s="4" t="s">
        <v>790</v>
      </c>
      <c r="H159" s="134">
        <v>8.5</v>
      </c>
      <c r="I159" s="16"/>
      <c r="J159" s="4" t="s">
        <v>808</v>
      </c>
      <c r="K159" s="134"/>
      <c r="L159" s="16"/>
      <c r="M159" s="7" t="s">
        <v>821</v>
      </c>
      <c r="N159" s="135">
        <v>7.5</v>
      </c>
      <c r="O159" s="16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ht="16" customHeight="1" thickBot="1" x14ac:dyDescent="0.25">
      <c r="A160" s="7" t="s">
        <v>758</v>
      </c>
      <c r="B160" s="135">
        <v>9</v>
      </c>
      <c r="C160" s="2"/>
      <c r="D160" s="13"/>
      <c r="E160" s="15"/>
      <c r="F160" s="2"/>
      <c r="G160" s="4" t="s">
        <v>791</v>
      </c>
      <c r="H160" s="134">
        <v>8</v>
      </c>
      <c r="I160" s="16"/>
      <c r="J160" s="4" t="s">
        <v>809</v>
      </c>
      <c r="K160" s="134">
        <v>8.5</v>
      </c>
      <c r="L160" s="2"/>
      <c r="M160" s="15"/>
      <c r="N160" s="15"/>
      <c r="O160" s="16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ht="16" customHeight="1" thickBot="1" x14ac:dyDescent="0.25">
      <c r="A161" s="15"/>
      <c r="B161" s="15"/>
      <c r="C161" s="16"/>
      <c r="D161" s="75" t="s">
        <v>856</v>
      </c>
      <c r="E161" s="12">
        <f>ROUND(SUM(E162:E170)/COUNT(E162:E170), 2)</f>
        <v>9.06</v>
      </c>
      <c r="F161" s="2"/>
      <c r="G161" s="4" t="s">
        <v>792</v>
      </c>
      <c r="H161" s="134">
        <v>8.5</v>
      </c>
      <c r="I161" s="16"/>
      <c r="J161" s="4" t="s">
        <v>810</v>
      </c>
      <c r="K161" s="134">
        <v>8</v>
      </c>
      <c r="L161" s="16"/>
      <c r="M161" s="76" t="s">
        <v>868</v>
      </c>
      <c r="N161" s="12">
        <f>ROUND(SUM(N162:N180)/COUNT(N162:N180), 2)</f>
        <v>8.5500000000000007</v>
      </c>
      <c r="O161" s="16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ht="16" customHeight="1" thickBot="1" x14ac:dyDescent="0.25">
      <c r="A162" s="77" t="s">
        <v>890</v>
      </c>
      <c r="B162" s="12">
        <f>ROUND(SUM(B163:B170)/COUNT(B163:B170), 2)</f>
        <v>7.88</v>
      </c>
      <c r="C162" s="2"/>
      <c r="D162" s="11" t="s">
        <v>857</v>
      </c>
      <c r="E162" s="133">
        <v>10</v>
      </c>
      <c r="F162" s="2"/>
      <c r="G162" s="4" t="s">
        <v>793</v>
      </c>
      <c r="H162" s="134">
        <v>8</v>
      </c>
      <c r="I162" s="16"/>
      <c r="J162" s="4" t="s">
        <v>811</v>
      </c>
      <c r="K162" s="134">
        <v>7.5</v>
      </c>
      <c r="L162" s="2"/>
      <c r="M162" s="11" t="s">
        <v>869</v>
      </c>
      <c r="N162" s="133">
        <v>10</v>
      </c>
      <c r="O162" s="16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ht="16" customHeight="1" thickBot="1" x14ac:dyDescent="0.25">
      <c r="A163" s="11" t="s">
        <v>891</v>
      </c>
      <c r="B163" s="133">
        <v>9</v>
      </c>
      <c r="C163" s="2"/>
      <c r="D163" s="4" t="s">
        <v>858</v>
      </c>
      <c r="E163" s="134">
        <v>10</v>
      </c>
      <c r="F163" s="2"/>
      <c r="G163" s="7" t="s">
        <v>794</v>
      </c>
      <c r="H163" s="135">
        <v>9</v>
      </c>
      <c r="I163" s="16"/>
      <c r="J163" s="7" t="s">
        <v>812</v>
      </c>
      <c r="K163" s="135">
        <v>9</v>
      </c>
      <c r="L163" s="2"/>
      <c r="M163" s="4" t="s">
        <v>870</v>
      </c>
      <c r="N163" s="134">
        <v>9</v>
      </c>
      <c r="O163" s="16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ht="16" customHeight="1" thickBot="1" x14ac:dyDescent="0.25">
      <c r="A164" s="4" t="s">
        <v>892</v>
      </c>
      <c r="B164" s="134">
        <v>7</v>
      </c>
      <c r="C164" s="2"/>
      <c r="D164" s="4" t="s">
        <v>859</v>
      </c>
      <c r="E164" s="134">
        <v>8.5</v>
      </c>
      <c r="F164" s="2"/>
      <c r="G164" s="15"/>
      <c r="H164" s="15"/>
      <c r="I164" s="2"/>
      <c r="J164" s="15"/>
      <c r="K164" s="15"/>
      <c r="L164" s="2"/>
      <c r="M164" s="4" t="s">
        <v>871</v>
      </c>
      <c r="N164" s="134">
        <v>9</v>
      </c>
      <c r="O164" s="16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ht="16" customHeight="1" thickBot="1" x14ac:dyDescent="0.25">
      <c r="A165" s="4" t="s">
        <v>893</v>
      </c>
      <c r="B165" s="134">
        <v>7.5</v>
      </c>
      <c r="C165" s="2"/>
      <c r="D165" s="4" t="s">
        <v>860</v>
      </c>
      <c r="E165" s="134">
        <v>8.5</v>
      </c>
      <c r="F165" s="16"/>
      <c r="G165" s="78" t="s">
        <v>901</v>
      </c>
      <c r="H165" s="12">
        <f>ROUND(SUM(H166:H175)/COUNT(H166:H175), 2)</f>
        <v>8.67</v>
      </c>
      <c r="I165" s="16"/>
      <c r="J165" s="192" t="s">
        <v>914</v>
      </c>
      <c r="K165" s="12">
        <f>ROUND(SUM(K166:K173)/COUNT(K166:K173), 2)</f>
        <v>9.1300000000000008</v>
      </c>
      <c r="L165" s="2"/>
      <c r="M165" s="4" t="s">
        <v>872</v>
      </c>
      <c r="N165" s="134">
        <v>10</v>
      </c>
      <c r="O165" s="16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ht="16" customHeight="1" x14ac:dyDescent="0.2">
      <c r="A166" s="4" t="s">
        <v>894</v>
      </c>
      <c r="B166" s="134">
        <v>6.5</v>
      </c>
      <c r="C166" s="2"/>
      <c r="D166" s="4" t="s">
        <v>861</v>
      </c>
      <c r="E166" s="134"/>
      <c r="F166" s="2"/>
      <c r="G166" s="11" t="s">
        <v>902</v>
      </c>
      <c r="H166" s="133"/>
      <c r="I166" s="16"/>
      <c r="J166" s="11" t="s">
        <v>915</v>
      </c>
      <c r="K166" s="133">
        <v>10.5</v>
      </c>
      <c r="L166" s="2"/>
      <c r="M166" s="4" t="s">
        <v>873</v>
      </c>
      <c r="N166" s="134">
        <v>8.5</v>
      </c>
      <c r="O166" s="1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ht="16" customHeight="1" x14ac:dyDescent="0.2">
      <c r="A167" s="4" t="s">
        <v>895</v>
      </c>
      <c r="B167" s="134">
        <v>9</v>
      </c>
      <c r="C167" s="2"/>
      <c r="D167" s="4" t="s">
        <v>862</v>
      </c>
      <c r="E167" s="134">
        <v>10.5</v>
      </c>
      <c r="F167" s="2"/>
      <c r="G167" s="4" t="s">
        <v>903</v>
      </c>
      <c r="H167" s="134">
        <v>10</v>
      </c>
      <c r="I167" s="16"/>
      <c r="J167" s="4" t="s">
        <v>3154</v>
      </c>
      <c r="K167" s="134">
        <v>9.5</v>
      </c>
      <c r="L167" s="2"/>
      <c r="M167" s="4" t="s">
        <v>874</v>
      </c>
      <c r="N167" s="134">
        <v>9.5</v>
      </c>
      <c r="O167" s="16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ht="16" customHeight="1" x14ac:dyDescent="0.2">
      <c r="A168" s="4" t="s">
        <v>896</v>
      </c>
      <c r="B168" s="134">
        <v>8.5</v>
      </c>
      <c r="C168" s="2"/>
      <c r="D168" s="4" t="s">
        <v>863</v>
      </c>
      <c r="E168" s="134">
        <v>8</v>
      </c>
      <c r="F168" s="2"/>
      <c r="G168" s="4" t="s">
        <v>904</v>
      </c>
      <c r="H168" s="134">
        <v>8.5</v>
      </c>
      <c r="I168" s="16"/>
      <c r="J168" s="4" t="s">
        <v>916</v>
      </c>
      <c r="K168" s="134">
        <v>8.5</v>
      </c>
      <c r="L168" s="2"/>
      <c r="M168" s="4" t="s">
        <v>875</v>
      </c>
      <c r="N168" s="134">
        <v>8</v>
      </c>
      <c r="O168" s="16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ht="16" customHeight="1" x14ac:dyDescent="0.2">
      <c r="A169" s="4" t="s">
        <v>897</v>
      </c>
      <c r="B169" s="134">
        <v>7.5</v>
      </c>
      <c r="C169" s="2"/>
      <c r="D169" s="4" t="s">
        <v>864</v>
      </c>
      <c r="E169" s="134">
        <v>8</v>
      </c>
      <c r="F169" s="2"/>
      <c r="G169" s="4" t="s">
        <v>905</v>
      </c>
      <c r="H169" s="134">
        <v>8.5</v>
      </c>
      <c r="I169" s="16"/>
      <c r="J169" s="4" t="s">
        <v>917</v>
      </c>
      <c r="K169" s="134">
        <v>8</v>
      </c>
      <c r="L169" s="2"/>
      <c r="M169" s="4" t="s">
        <v>876</v>
      </c>
      <c r="N169" s="134">
        <v>9</v>
      </c>
      <c r="O169" s="16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ht="16" customHeight="1" thickBot="1" x14ac:dyDescent="0.25">
      <c r="A170" s="7" t="s">
        <v>898</v>
      </c>
      <c r="B170" s="135">
        <v>8</v>
      </c>
      <c r="C170" s="2"/>
      <c r="D170" s="7" t="s">
        <v>865</v>
      </c>
      <c r="E170" s="135">
        <v>9</v>
      </c>
      <c r="F170" s="2"/>
      <c r="G170" s="4" t="s">
        <v>906</v>
      </c>
      <c r="H170" s="134">
        <v>9.5</v>
      </c>
      <c r="I170" s="16"/>
      <c r="J170" s="4" t="s">
        <v>918</v>
      </c>
      <c r="K170" s="134">
        <v>10</v>
      </c>
      <c r="L170" s="2"/>
      <c r="M170" s="4" t="s">
        <v>877</v>
      </c>
      <c r="N170" s="134">
        <v>8</v>
      </c>
      <c r="O170" s="16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ht="16" customHeight="1" thickBot="1" x14ac:dyDescent="0.25">
      <c r="A171" s="15"/>
      <c r="B171" s="15"/>
      <c r="C171" s="2"/>
      <c r="D171" s="13"/>
      <c r="E171" s="15"/>
      <c r="F171" s="2"/>
      <c r="G171" s="4" t="s">
        <v>907</v>
      </c>
      <c r="H171" s="134">
        <v>8</v>
      </c>
      <c r="I171" s="16"/>
      <c r="J171" s="4" t="s">
        <v>919</v>
      </c>
      <c r="K171" s="134">
        <v>8</v>
      </c>
      <c r="L171" s="2"/>
      <c r="M171" s="4" t="s">
        <v>878</v>
      </c>
      <c r="N171" s="134">
        <v>8</v>
      </c>
      <c r="O171" s="16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ht="16" customHeight="1" thickBot="1" x14ac:dyDescent="0.25">
      <c r="A172" s="81" t="s">
        <v>937</v>
      </c>
      <c r="B172" s="12">
        <f>ROUND(SUM(B173:B183)/COUNT(B173:B183), 2)</f>
        <v>8.82</v>
      </c>
      <c r="C172" s="16"/>
      <c r="D172" s="79" t="s">
        <v>923</v>
      </c>
      <c r="E172" s="12">
        <f>ROUND(SUM(E173:E184)/COUNT(E173:E184), 2)</f>
        <v>7.5</v>
      </c>
      <c r="F172" s="2"/>
      <c r="G172" s="4" t="s">
        <v>908</v>
      </c>
      <c r="H172" s="134">
        <v>8.5</v>
      </c>
      <c r="I172" s="16"/>
      <c r="J172" s="4" t="s">
        <v>920</v>
      </c>
      <c r="K172" s="134">
        <v>9</v>
      </c>
      <c r="L172" s="2"/>
      <c r="M172" s="4" t="s">
        <v>879</v>
      </c>
      <c r="N172" s="134">
        <v>7.5</v>
      </c>
      <c r="O172" s="16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ht="16" customHeight="1" thickBot="1" x14ac:dyDescent="0.25">
      <c r="A173" s="11" t="s">
        <v>938</v>
      </c>
      <c r="B173" s="133">
        <v>9</v>
      </c>
      <c r="C173" s="21"/>
      <c r="D173" s="80" t="s">
        <v>924</v>
      </c>
      <c r="E173" s="133">
        <v>8</v>
      </c>
      <c r="F173" s="2"/>
      <c r="G173" s="4" t="s">
        <v>909</v>
      </c>
      <c r="H173" s="134">
        <v>9</v>
      </c>
      <c r="I173" s="16"/>
      <c r="J173" s="7" t="s">
        <v>921</v>
      </c>
      <c r="K173" s="135">
        <v>9.5</v>
      </c>
      <c r="L173" s="2"/>
      <c r="M173" s="4" t="s">
        <v>880</v>
      </c>
      <c r="N173" s="134">
        <v>8.5</v>
      </c>
      <c r="O173" s="16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ht="16" customHeight="1" thickBot="1" x14ac:dyDescent="0.25">
      <c r="A174" s="4" t="s">
        <v>939</v>
      </c>
      <c r="B174" s="134">
        <v>10</v>
      </c>
      <c r="C174" s="2"/>
      <c r="D174" s="4" t="s">
        <v>925</v>
      </c>
      <c r="E174" s="134">
        <v>9</v>
      </c>
      <c r="F174" s="2"/>
      <c r="G174" s="4" t="s">
        <v>910</v>
      </c>
      <c r="H174" s="134">
        <v>8.5</v>
      </c>
      <c r="I174" s="2"/>
      <c r="J174" s="13"/>
      <c r="K174" s="13"/>
      <c r="L174" s="2"/>
      <c r="M174" s="4" t="s">
        <v>881</v>
      </c>
      <c r="N174" s="134">
        <v>8.5</v>
      </c>
      <c r="O174" s="16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ht="16" customHeight="1" thickBot="1" x14ac:dyDescent="0.25">
      <c r="A175" s="4" t="s">
        <v>940</v>
      </c>
      <c r="B175" s="134">
        <v>9</v>
      </c>
      <c r="C175" s="2"/>
      <c r="D175" s="4" t="s">
        <v>926</v>
      </c>
      <c r="E175" s="134">
        <v>7.5</v>
      </c>
      <c r="F175" s="2"/>
      <c r="G175" s="7" t="s">
        <v>911</v>
      </c>
      <c r="H175" s="135">
        <v>7.5</v>
      </c>
      <c r="I175" s="16"/>
      <c r="J175" s="86" t="s">
        <v>958</v>
      </c>
      <c r="K175" s="12">
        <f>ROUND(SUM(K176:K180)/COUNT(K176:K180), 2)</f>
        <v>9.3000000000000007</v>
      </c>
      <c r="L175" s="2"/>
      <c r="M175" s="4" t="s">
        <v>882</v>
      </c>
      <c r="N175" s="134">
        <v>9</v>
      </c>
      <c r="O175" s="16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ht="16" customHeight="1" thickBot="1" x14ac:dyDescent="0.25">
      <c r="A176" s="4" t="s">
        <v>941</v>
      </c>
      <c r="B176" s="134">
        <v>9.5</v>
      </c>
      <c r="C176" s="2"/>
      <c r="D176" s="4" t="s">
        <v>927</v>
      </c>
      <c r="E176" s="134">
        <v>8.5</v>
      </c>
      <c r="F176" s="2"/>
      <c r="G176" s="15"/>
      <c r="H176" s="15"/>
      <c r="I176" s="2"/>
      <c r="J176" s="11" t="s">
        <v>959</v>
      </c>
      <c r="K176" s="133">
        <v>9</v>
      </c>
      <c r="L176" s="2"/>
      <c r="M176" s="4" t="s">
        <v>883</v>
      </c>
      <c r="N176" s="134">
        <v>7.5</v>
      </c>
      <c r="O176" s="1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ht="16" customHeight="1" thickBot="1" x14ac:dyDescent="0.25">
      <c r="A177" s="4" t="s">
        <v>942</v>
      </c>
      <c r="B177" s="134">
        <v>10.5</v>
      </c>
      <c r="C177" s="2"/>
      <c r="D177" s="4" t="s">
        <v>928</v>
      </c>
      <c r="E177" s="134">
        <v>7.5</v>
      </c>
      <c r="F177" s="16"/>
      <c r="G177" s="138" t="s">
        <v>1149</v>
      </c>
      <c r="H177" s="12">
        <f>ROUND(SUM(H178:H189)/COUNT(H178:H189), 2)</f>
        <v>8.5500000000000007</v>
      </c>
      <c r="I177" s="2"/>
      <c r="J177" s="4" t="s">
        <v>960</v>
      </c>
      <c r="K177" s="134">
        <v>10</v>
      </c>
      <c r="L177" s="2"/>
      <c r="M177" s="4" t="s">
        <v>884</v>
      </c>
      <c r="N177" s="134">
        <v>7</v>
      </c>
      <c r="O177" s="16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ht="16" customHeight="1" x14ac:dyDescent="0.2">
      <c r="A178" s="4" t="s">
        <v>943</v>
      </c>
      <c r="B178" s="134">
        <v>8</v>
      </c>
      <c r="C178" s="2"/>
      <c r="D178" s="4" t="s">
        <v>929</v>
      </c>
      <c r="E178" s="134">
        <v>7.5</v>
      </c>
      <c r="F178" s="2"/>
      <c r="G178" s="11" t="s">
        <v>964</v>
      </c>
      <c r="H178" s="133"/>
      <c r="I178" s="2"/>
      <c r="J178" s="4" t="s">
        <v>961</v>
      </c>
      <c r="K178" s="134">
        <v>9</v>
      </c>
      <c r="L178" s="2"/>
      <c r="M178" s="4" t="s">
        <v>885</v>
      </c>
      <c r="N178" s="134">
        <v>7.5</v>
      </c>
      <c r="O178" s="16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ht="16" customHeight="1" x14ac:dyDescent="0.2">
      <c r="A179" s="4" t="s">
        <v>944</v>
      </c>
      <c r="B179" s="134">
        <v>7.5</v>
      </c>
      <c r="C179" s="2"/>
      <c r="D179" s="4" t="s">
        <v>930</v>
      </c>
      <c r="E179" s="134">
        <v>6.5</v>
      </c>
      <c r="F179" s="2"/>
      <c r="G179" s="4" t="s">
        <v>965</v>
      </c>
      <c r="H179" s="134">
        <v>8.5</v>
      </c>
      <c r="I179" s="2"/>
      <c r="J179" s="4" t="s">
        <v>962</v>
      </c>
      <c r="K179" s="134">
        <v>8</v>
      </c>
      <c r="L179" s="2"/>
      <c r="M179" s="4" t="s">
        <v>886</v>
      </c>
      <c r="N179" s="134">
        <v>7.5</v>
      </c>
      <c r="O179" s="16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ht="16" customHeight="1" thickBot="1" x14ac:dyDescent="0.25">
      <c r="A180" s="4" t="s">
        <v>945</v>
      </c>
      <c r="B180" s="134">
        <v>9</v>
      </c>
      <c r="C180" s="2"/>
      <c r="D180" s="4" t="s">
        <v>931</v>
      </c>
      <c r="E180" s="134">
        <v>7.5</v>
      </c>
      <c r="F180" s="2"/>
      <c r="G180" s="4" t="s">
        <v>966</v>
      </c>
      <c r="H180" s="134">
        <v>9</v>
      </c>
      <c r="I180" s="2"/>
      <c r="J180" s="7" t="s">
        <v>963</v>
      </c>
      <c r="K180" s="135">
        <v>10.5</v>
      </c>
      <c r="L180" s="2"/>
      <c r="M180" s="7" t="s">
        <v>887</v>
      </c>
      <c r="N180" s="135">
        <v>10.5</v>
      </c>
      <c r="O180" s="16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ht="16" customHeight="1" thickBot="1" x14ac:dyDescent="0.25">
      <c r="A181" s="4" t="s">
        <v>946</v>
      </c>
      <c r="B181" s="134">
        <v>8</v>
      </c>
      <c r="C181" s="2"/>
      <c r="D181" s="4" t="s">
        <v>932</v>
      </c>
      <c r="E181" s="134">
        <v>7</v>
      </c>
      <c r="F181" s="2"/>
      <c r="G181" s="4" t="s">
        <v>967</v>
      </c>
      <c r="H181" s="134">
        <v>8</v>
      </c>
      <c r="I181" s="2"/>
      <c r="J181" s="15"/>
      <c r="K181" s="15"/>
      <c r="L181" s="2"/>
      <c r="M181" s="15"/>
      <c r="N181" s="15"/>
      <c r="O181" s="16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ht="16" customHeight="1" thickBot="1" x14ac:dyDescent="0.25">
      <c r="A182" s="4" t="s">
        <v>947</v>
      </c>
      <c r="B182" s="134">
        <v>8</v>
      </c>
      <c r="C182" s="2"/>
      <c r="D182" s="4" t="s">
        <v>933</v>
      </c>
      <c r="E182" s="134">
        <v>6.5</v>
      </c>
      <c r="F182" s="2"/>
      <c r="G182" s="4" t="s">
        <v>968</v>
      </c>
      <c r="H182" s="134">
        <v>8.5</v>
      </c>
      <c r="I182" s="16"/>
      <c r="J182" s="87" t="s">
        <v>983</v>
      </c>
      <c r="K182" s="12">
        <f>ROUND(SUM(K183:K187)/COUNT(K183:K187), 2)</f>
        <v>10</v>
      </c>
      <c r="L182" s="2"/>
      <c r="M182" s="82" t="s">
        <v>950</v>
      </c>
      <c r="N182" s="12">
        <f>ROUND(SUM(N183)/COUNT(N183), 2)</f>
        <v>10.5</v>
      </c>
      <c r="O182" s="16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ht="16" customHeight="1" thickBot="1" x14ac:dyDescent="0.25">
      <c r="A183" s="7" t="s">
        <v>948</v>
      </c>
      <c r="B183" s="135">
        <v>8.5</v>
      </c>
      <c r="C183" s="2"/>
      <c r="D183" s="4" t="s">
        <v>934</v>
      </c>
      <c r="E183" s="134">
        <v>6.5</v>
      </c>
      <c r="F183" s="2"/>
      <c r="G183" s="4" t="s">
        <v>969</v>
      </c>
      <c r="H183" s="134">
        <v>8</v>
      </c>
      <c r="I183" s="16"/>
      <c r="J183" s="11" t="s">
        <v>978</v>
      </c>
      <c r="K183" s="133">
        <v>10.5</v>
      </c>
      <c r="L183" s="2"/>
      <c r="M183" s="139" t="s">
        <v>949</v>
      </c>
      <c r="N183" s="140">
        <v>10.5</v>
      </c>
      <c r="O183" s="16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ht="16" customHeight="1" thickBot="1" x14ac:dyDescent="0.25">
      <c r="A184" s="15"/>
      <c r="B184" s="15"/>
      <c r="C184" s="2"/>
      <c r="D184" s="7" t="s">
        <v>935</v>
      </c>
      <c r="E184" s="135">
        <v>8</v>
      </c>
      <c r="F184" s="2"/>
      <c r="G184" s="4" t="s">
        <v>970</v>
      </c>
      <c r="H184" s="134">
        <v>7.5</v>
      </c>
      <c r="I184" s="16"/>
      <c r="J184" s="4" t="s">
        <v>979</v>
      </c>
      <c r="K184" s="134">
        <v>9</v>
      </c>
      <c r="L184" s="2"/>
      <c r="M184" s="15"/>
      <c r="N184" s="15"/>
      <c r="O184" s="16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ht="16" customHeight="1" thickBot="1" x14ac:dyDescent="0.25">
      <c r="A185" s="88" t="s">
        <v>1024</v>
      </c>
      <c r="B185" s="12">
        <f>ROUND(SUM(B186:B194)/COUNT(B186:B194), 2)</f>
        <v>9</v>
      </c>
      <c r="C185" s="2"/>
      <c r="D185" s="13"/>
      <c r="E185" s="15"/>
      <c r="F185" s="2"/>
      <c r="G185" s="4" t="s">
        <v>971</v>
      </c>
      <c r="H185" s="134">
        <v>8</v>
      </c>
      <c r="I185" s="16"/>
      <c r="J185" s="4" t="s">
        <v>980</v>
      </c>
      <c r="K185" s="134">
        <v>10</v>
      </c>
      <c r="L185" s="16"/>
      <c r="M185" s="113" t="s">
        <v>1412</v>
      </c>
      <c r="N185" s="12">
        <f>ROUND(SUM(N186:N209)/COUNT(N186:N209), 2)</f>
        <v>8.7200000000000006</v>
      </c>
      <c r="O185" s="16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ht="16" customHeight="1" thickBot="1" x14ac:dyDescent="0.25">
      <c r="A186" s="11" t="s">
        <v>1025</v>
      </c>
      <c r="B186" s="133">
        <v>9.5</v>
      </c>
      <c r="C186" s="21"/>
      <c r="D186" s="89" t="s">
        <v>1034</v>
      </c>
      <c r="E186" s="12">
        <f>ROUND(SUM(E187:E199)/COUNT(E187:E199), 2)</f>
        <v>8.4600000000000009</v>
      </c>
      <c r="F186" s="2"/>
      <c r="G186" s="4" t="s">
        <v>972</v>
      </c>
      <c r="H186" s="134">
        <v>9.5</v>
      </c>
      <c r="I186" s="16"/>
      <c r="J186" s="4" t="s">
        <v>981</v>
      </c>
      <c r="K186" s="134">
        <v>10.5</v>
      </c>
      <c r="L186" s="2"/>
      <c r="M186" s="11" t="s">
        <v>1051</v>
      </c>
      <c r="N186" s="133">
        <v>8</v>
      </c>
      <c r="O186" s="1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ht="16" customHeight="1" thickBot="1" x14ac:dyDescent="0.25">
      <c r="A187" s="4" t="s">
        <v>1026</v>
      </c>
      <c r="B187" s="134">
        <v>9</v>
      </c>
      <c r="C187" s="2"/>
      <c r="D187" s="11" t="s">
        <v>1035</v>
      </c>
      <c r="E187" s="133">
        <v>9</v>
      </c>
      <c r="F187" s="2"/>
      <c r="G187" s="4" t="s">
        <v>973</v>
      </c>
      <c r="H187" s="134">
        <v>10</v>
      </c>
      <c r="I187" s="16"/>
      <c r="J187" s="7" t="s">
        <v>982</v>
      </c>
      <c r="K187" s="135">
        <v>10</v>
      </c>
      <c r="L187" s="2"/>
      <c r="M187" s="4" t="s">
        <v>1052</v>
      </c>
      <c r="N187" s="134">
        <v>8.5</v>
      </c>
      <c r="O187" s="16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ht="16" customHeight="1" thickBot="1" x14ac:dyDescent="0.25">
      <c r="A188" s="4" t="s">
        <v>1027</v>
      </c>
      <c r="B188" s="134">
        <v>10</v>
      </c>
      <c r="C188" s="2"/>
      <c r="D188" s="4" t="s">
        <v>1036</v>
      </c>
      <c r="E188" s="134">
        <v>8</v>
      </c>
      <c r="F188" s="2"/>
      <c r="G188" s="4" t="s">
        <v>974</v>
      </c>
      <c r="H188" s="134">
        <v>8.5</v>
      </c>
      <c r="I188" s="2"/>
      <c r="J188" s="15"/>
      <c r="K188" s="15"/>
      <c r="L188" s="2"/>
      <c r="M188" s="4" t="s">
        <v>1053</v>
      </c>
      <c r="N188" s="134">
        <v>10</v>
      </c>
      <c r="O188" s="16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ht="16" customHeight="1" thickBot="1" x14ac:dyDescent="0.25">
      <c r="A189" s="4" t="s">
        <v>1028</v>
      </c>
      <c r="B189" s="134">
        <v>10.5</v>
      </c>
      <c r="C189" s="2"/>
      <c r="D189" s="4" t="s">
        <v>1037</v>
      </c>
      <c r="E189" s="134">
        <v>10</v>
      </c>
      <c r="F189" s="2"/>
      <c r="G189" s="7" t="s">
        <v>975</v>
      </c>
      <c r="H189" s="135">
        <v>8.5</v>
      </c>
      <c r="I189" s="16"/>
      <c r="J189" s="93" t="s">
        <v>1083</v>
      </c>
      <c r="K189" s="12">
        <f>ROUND(SUM(K190:K197)/COUNT(K190:K197), 2)</f>
        <v>7.71</v>
      </c>
      <c r="L189" s="2"/>
      <c r="M189" s="4" t="s">
        <v>1054</v>
      </c>
      <c r="N189" s="134"/>
      <c r="O189" s="16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ht="16" customHeight="1" thickBot="1" x14ac:dyDescent="0.25">
      <c r="A190" s="4" t="s">
        <v>1029</v>
      </c>
      <c r="B190" s="134">
        <v>8</v>
      </c>
      <c r="C190" s="2"/>
      <c r="D190" s="4" t="s">
        <v>1038</v>
      </c>
      <c r="E190" s="134">
        <v>7.5</v>
      </c>
      <c r="F190" s="2"/>
      <c r="G190" s="15"/>
      <c r="H190" s="15"/>
      <c r="I190" s="2"/>
      <c r="J190" s="11" t="s">
        <v>1084</v>
      </c>
      <c r="K190" s="133"/>
      <c r="L190" s="2"/>
      <c r="M190" s="4" t="s">
        <v>1055</v>
      </c>
      <c r="N190" s="134">
        <v>10.5</v>
      </c>
      <c r="O190" s="16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ht="16" customHeight="1" thickBot="1" x14ac:dyDescent="0.25">
      <c r="A191" s="4" t="s">
        <v>1030</v>
      </c>
      <c r="B191" s="134">
        <v>8.5</v>
      </c>
      <c r="C191" s="2"/>
      <c r="D191" s="4" t="s">
        <v>1039</v>
      </c>
      <c r="E191" s="134">
        <v>7</v>
      </c>
      <c r="F191" s="16"/>
      <c r="G191" s="94" t="s">
        <v>1096</v>
      </c>
      <c r="H191" s="12">
        <f>ROUND(SUM(H192:H200)/COUNT(H192:H200), 2)</f>
        <v>8.83</v>
      </c>
      <c r="I191" s="2"/>
      <c r="J191" s="4" t="s">
        <v>1085</v>
      </c>
      <c r="K191" s="134">
        <v>7</v>
      </c>
      <c r="L191" s="2"/>
      <c r="M191" s="4" t="s">
        <v>1056</v>
      </c>
      <c r="N191" s="134">
        <v>10</v>
      </c>
      <c r="O191" s="16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ht="16" customHeight="1" x14ac:dyDescent="0.2">
      <c r="A192" s="4" t="s">
        <v>1031</v>
      </c>
      <c r="B192" s="134">
        <v>8</v>
      </c>
      <c r="C192" s="2"/>
      <c r="D192" s="4" t="s">
        <v>1040</v>
      </c>
      <c r="E192" s="134">
        <v>9.5</v>
      </c>
      <c r="F192" s="2"/>
      <c r="G192" s="11" t="s">
        <v>1097</v>
      </c>
      <c r="H192" s="133">
        <v>9</v>
      </c>
      <c r="I192" s="2"/>
      <c r="J192" s="4" t="s">
        <v>1086</v>
      </c>
      <c r="K192" s="134">
        <v>7.5</v>
      </c>
      <c r="L192" s="2"/>
      <c r="M192" s="4" t="s">
        <v>1057</v>
      </c>
      <c r="N192" s="134">
        <v>9</v>
      </c>
      <c r="O192" s="16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ht="16" customHeight="1" x14ac:dyDescent="0.2">
      <c r="A193" s="4" t="s">
        <v>1032</v>
      </c>
      <c r="B193" s="134">
        <v>9.5</v>
      </c>
      <c r="C193" s="2"/>
      <c r="D193" s="4" t="s">
        <v>1041</v>
      </c>
      <c r="E193" s="134">
        <v>8</v>
      </c>
      <c r="F193" s="2"/>
      <c r="G193" s="4" t="s">
        <v>1098</v>
      </c>
      <c r="H193" s="134">
        <v>8.5</v>
      </c>
      <c r="I193" s="2"/>
      <c r="J193" s="4" t="s">
        <v>1087</v>
      </c>
      <c r="K193" s="134">
        <v>8</v>
      </c>
      <c r="L193" s="2"/>
      <c r="M193" s="4" t="s">
        <v>1058</v>
      </c>
      <c r="N193" s="134">
        <v>9</v>
      </c>
      <c r="O193" s="16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ht="16" customHeight="1" thickBot="1" x14ac:dyDescent="0.25">
      <c r="A194" s="7" t="s">
        <v>1033</v>
      </c>
      <c r="B194" s="135">
        <v>8</v>
      </c>
      <c r="C194" s="2"/>
      <c r="D194" s="4" t="s">
        <v>1042</v>
      </c>
      <c r="E194" s="134">
        <v>7.5</v>
      </c>
      <c r="F194" s="2"/>
      <c r="G194" s="4" t="s">
        <v>1099</v>
      </c>
      <c r="H194" s="134">
        <v>8.5</v>
      </c>
      <c r="I194" s="2"/>
      <c r="J194" s="4" t="s">
        <v>1088</v>
      </c>
      <c r="K194" s="134">
        <v>7.5</v>
      </c>
      <c r="L194" s="2"/>
      <c r="M194" s="4" t="s">
        <v>1059</v>
      </c>
      <c r="N194" s="134">
        <v>8.5</v>
      </c>
      <c r="O194" s="16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ht="16" customHeight="1" thickBot="1" x14ac:dyDescent="0.25">
      <c r="A195" s="15"/>
      <c r="B195" s="15"/>
      <c r="C195" s="2"/>
      <c r="D195" s="4" t="s">
        <v>1043</v>
      </c>
      <c r="E195" s="134">
        <v>10</v>
      </c>
      <c r="F195" s="2"/>
      <c r="G195" s="4" t="s">
        <v>1100</v>
      </c>
      <c r="H195" s="134">
        <v>10</v>
      </c>
      <c r="I195" s="2"/>
      <c r="J195" s="4" t="s">
        <v>1089</v>
      </c>
      <c r="K195" s="134">
        <v>8.5</v>
      </c>
      <c r="L195" s="2"/>
      <c r="M195" s="4" t="s">
        <v>1060</v>
      </c>
      <c r="N195" s="134">
        <v>8</v>
      </c>
      <c r="O195" s="16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ht="16" customHeight="1" thickBot="1" x14ac:dyDescent="0.25">
      <c r="A196" s="97" t="s">
        <v>1120</v>
      </c>
      <c r="B196" s="12">
        <f>ROUND(SUM(B197:B211)/COUNT(B197:B211), 2)</f>
        <v>8.5299999999999994</v>
      </c>
      <c r="C196" s="2"/>
      <c r="D196" s="4" t="s">
        <v>1044</v>
      </c>
      <c r="E196" s="134">
        <v>8</v>
      </c>
      <c r="F196" s="2"/>
      <c r="G196" s="4" t="s">
        <v>1101</v>
      </c>
      <c r="H196" s="134">
        <v>8</v>
      </c>
      <c r="I196" s="2"/>
      <c r="J196" s="4" t="s">
        <v>1090</v>
      </c>
      <c r="K196" s="134">
        <v>8</v>
      </c>
      <c r="L196" s="2"/>
      <c r="M196" s="4" t="s">
        <v>1061</v>
      </c>
      <c r="N196" s="134">
        <v>10.5</v>
      </c>
      <c r="O196" s="1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ht="16" customHeight="1" thickBot="1" x14ac:dyDescent="0.25">
      <c r="A197" s="141">
        <v>360</v>
      </c>
      <c r="B197" s="133">
        <v>10</v>
      </c>
      <c r="C197" s="2"/>
      <c r="D197" s="4" t="s">
        <v>1045</v>
      </c>
      <c r="E197" s="134">
        <v>7</v>
      </c>
      <c r="F197" s="2"/>
      <c r="G197" s="4" t="s">
        <v>1102</v>
      </c>
      <c r="H197" s="134">
        <v>10.5</v>
      </c>
      <c r="I197" s="2"/>
      <c r="J197" s="7" t="s">
        <v>1091</v>
      </c>
      <c r="K197" s="135">
        <v>7.5</v>
      </c>
      <c r="L197" s="2"/>
      <c r="M197" s="4" t="s">
        <v>1062</v>
      </c>
      <c r="N197" s="134">
        <v>8.5</v>
      </c>
      <c r="O197" s="16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ht="16" customHeight="1" thickBot="1" x14ac:dyDescent="0.25">
      <c r="A198" s="4" t="s">
        <v>1107</v>
      </c>
      <c r="B198" s="134">
        <v>8.5</v>
      </c>
      <c r="C198" s="2"/>
      <c r="D198" s="4" t="s">
        <v>1046</v>
      </c>
      <c r="E198" s="134"/>
      <c r="F198" s="2"/>
      <c r="G198" s="4" t="s">
        <v>1103</v>
      </c>
      <c r="H198" s="134">
        <v>8</v>
      </c>
      <c r="I198" s="2"/>
      <c r="J198" s="15"/>
      <c r="K198" s="15"/>
      <c r="L198" s="2"/>
      <c r="M198" s="4" t="s">
        <v>1063</v>
      </c>
      <c r="N198" s="134">
        <v>9</v>
      </c>
      <c r="O198" s="16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ht="16" customHeight="1" thickBot="1" x14ac:dyDescent="0.25">
      <c r="A199" s="4" t="s">
        <v>1108</v>
      </c>
      <c r="B199" s="134">
        <v>8.5</v>
      </c>
      <c r="C199" s="2"/>
      <c r="D199" s="7" t="s">
        <v>1047</v>
      </c>
      <c r="E199" s="135">
        <v>10</v>
      </c>
      <c r="F199" s="2"/>
      <c r="G199" s="4" t="s">
        <v>1104</v>
      </c>
      <c r="H199" s="134">
        <v>8.5</v>
      </c>
      <c r="I199" s="16"/>
      <c r="J199" s="95" t="s">
        <v>1126</v>
      </c>
      <c r="K199" s="12">
        <f>ROUND(SUM(K200:K206)/COUNT(K200:K206), 2)</f>
        <v>8.75</v>
      </c>
      <c r="L199" s="2"/>
      <c r="M199" s="4" t="s">
        <v>1064</v>
      </c>
      <c r="N199" s="134">
        <v>8</v>
      </c>
      <c r="O199" s="16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ht="16" customHeight="1" thickBot="1" x14ac:dyDescent="0.25">
      <c r="A200" s="4" t="s">
        <v>1109</v>
      </c>
      <c r="B200" s="134">
        <v>7.5</v>
      </c>
      <c r="C200" s="2"/>
      <c r="D200" s="13"/>
      <c r="E200" s="15"/>
      <c r="F200" s="2"/>
      <c r="G200" s="7" t="s">
        <v>1105</v>
      </c>
      <c r="H200" s="135">
        <v>8.5</v>
      </c>
      <c r="I200" s="2"/>
      <c r="J200" s="11" t="s">
        <v>1127</v>
      </c>
      <c r="K200" s="133">
        <v>10</v>
      </c>
      <c r="L200" s="2"/>
      <c r="M200" s="4" t="s">
        <v>1065</v>
      </c>
      <c r="N200" s="134">
        <v>9</v>
      </c>
      <c r="O200" s="16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ht="16" customHeight="1" thickBot="1" x14ac:dyDescent="0.25">
      <c r="A201" s="4" t="s">
        <v>1110</v>
      </c>
      <c r="B201" s="134">
        <v>8</v>
      </c>
      <c r="C201" s="16"/>
      <c r="D201" s="96" t="s">
        <v>1148</v>
      </c>
      <c r="E201" s="12">
        <f>ROUND(SUM(E202:E211)/COUNT(E202:E211), 2)</f>
        <v>9.2899999999999991</v>
      </c>
      <c r="F201" s="2"/>
      <c r="G201" s="15"/>
      <c r="H201" s="15"/>
      <c r="I201" s="2"/>
      <c r="J201" s="4" t="s">
        <v>1128</v>
      </c>
      <c r="K201" s="134">
        <v>8</v>
      </c>
      <c r="L201" s="2"/>
      <c r="M201" s="4" t="s">
        <v>1066</v>
      </c>
      <c r="N201" s="134">
        <v>6</v>
      </c>
      <c r="O201" s="16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ht="16" customHeight="1" thickBot="1" x14ac:dyDescent="0.25">
      <c r="A202" s="4" t="s">
        <v>1111</v>
      </c>
      <c r="B202" s="134">
        <v>10</v>
      </c>
      <c r="C202" s="16"/>
      <c r="D202" s="11" t="s">
        <v>1138</v>
      </c>
      <c r="E202" s="133">
        <v>9</v>
      </c>
      <c r="F202" s="16"/>
      <c r="G202" s="98" t="s">
        <v>1151</v>
      </c>
      <c r="H202" s="12">
        <f>ROUND(SUM(H203:H213)/COUNT(H203:H213), 2)</f>
        <v>8.4499999999999993</v>
      </c>
      <c r="I202" s="2"/>
      <c r="J202" s="4" t="s">
        <v>1129</v>
      </c>
      <c r="K202" s="134">
        <v>9.5</v>
      </c>
      <c r="L202" s="2"/>
      <c r="M202" s="4" t="s">
        <v>1067</v>
      </c>
      <c r="N202" s="134">
        <v>7</v>
      </c>
      <c r="O202" s="16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ht="16" customHeight="1" x14ac:dyDescent="0.2">
      <c r="A203" s="4" t="s">
        <v>1112</v>
      </c>
      <c r="B203" s="134">
        <v>8</v>
      </c>
      <c r="C203" s="16"/>
      <c r="D203" s="4" t="s">
        <v>1139</v>
      </c>
      <c r="E203" s="134">
        <v>10.5</v>
      </c>
      <c r="F203" s="2"/>
      <c r="G203" s="11" t="s">
        <v>1152</v>
      </c>
      <c r="H203" s="133">
        <v>8.5</v>
      </c>
      <c r="I203" s="2"/>
      <c r="J203" s="4" t="s">
        <v>1130</v>
      </c>
      <c r="K203" s="134">
        <v>8</v>
      </c>
      <c r="L203" s="2"/>
      <c r="M203" s="4" t="s">
        <v>1068</v>
      </c>
      <c r="N203" s="134">
        <v>10</v>
      </c>
      <c r="O203" s="16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ht="16" customHeight="1" x14ac:dyDescent="0.2">
      <c r="A204" s="4" t="s">
        <v>1113</v>
      </c>
      <c r="B204" s="134">
        <v>8.5</v>
      </c>
      <c r="C204" s="16"/>
      <c r="D204" s="4" t="s">
        <v>1140</v>
      </c>
      <c r="E204" s="134"/>
      <c r="F204" s="2"/>
      <c r="G204" s="4" t="s">
        <v>1153</v>
      </c>
      <c r="H204" s="134">
        <v>8.5</v>
      </c>
      <c r="I204" s="2"/>
      <c r="J204" s="4" t="s">
        <v>1131</v>
      </c>
      <c r="K204" s="134">
        <v>9</v>
      </c>
      <c r="L204" s="2"/>
      <c r="M204" s="4" t="s">
        <v>1069</v>
      </c>
      <c r="N204" s="134">
        <v>9</v>
      </c>
      <c r="O204" s="16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ht="16" customHeight="1" x14ac:dyDescent="0.2">
      <c r="A205" s="4" t="s">
        <v>1114</v>
      </c>
      <c r="B205" s="134">
        <v>7.5</v>
      </c>
      <c r="C205" s="16"/>
      <c r="D205" s="4" t="s">
        <v>1141</v>
      </c>
      <c r="E205" s="134">
        <v>9.5</v>
      </c>
      <c r="F205" s="2"/>
      <c r="G205" s="4" t="s">
        <v>1154</v>
      </c>
      <c r="H205" s="134">
        <v>9</v>
      </c>
      <c r="I205" s="2"/>
      <c r="J205" s="4" t="s">
        <v>1132</v>
      </c>
      <c r="K205" s="134"/>
      <c r="L205" s="2"/>
      <c r="M205" s="4" t="s">
        <v>1070</v>
      </c>
      <c r="N205" s="134">
        <v>8.5</v>
      </c>
      <c r="O205" s="16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ht="16" customHeight="1" thickBot="1" x14ac:dyDescent="0.25">
      <c r="A206" s="4" t="s">
        <v>1115</v>
      </c>
      <c r="B206" s="134">
        <v>8.5</v>
      </c>
      <c r="C206" s="16"/>
      <c r="D206" s="4" t="s">
        <v>1142</v>
      </c>
      <c r="E206" s="134"/>
      <c r="F206" s="2"/>
      <c r="G206" s="4" t="s">
        <v>1155</v>
      </c>
      <c r="H206" s="134">
        <v>10</v>
      </c>
      <c r="I206" s="2"/>
      <c r="J206" s="7" t="s">
        <v>1133</v>
      </c>
      <c r="K206" s="135">
        <v>8</v>
      </c>
      <c r="L206" s="2"/>
      <c r="M206" s="4" t="s">
        <v>1071</v>
      </c>
      <c r="N206" s="134">
        <v>8.5</v>
      </c>
      <c r="O206" s="1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ht="16" customHeight="1" thickBot="1" x14ac:dyDescent="0.25">
      <c r="A207" s="4" t="s">
        <v>1116</v>
      </c>
      <c r="B207" s="134">
        <v>10</v>
      </c>
      <c r="C207" s="16"/>
      <c r="D207" s="4" t="s">
        <v>1143</v>
      </c>
      <c r="E207" s="134">
        <v>10</v>
      </c>
      <c r="F207" s="2"/>
      <c r="G207" s="4" t="s">
        <v>1156</v>
      </c>
      <c r="H207" s="134">
        <v>9</v>
      </c>
      <c r="I207" s="2"/>
      <c r="J207" s="15"/>
      <c r="K207" s="15"/>
      <c r="L207" s="2"/>
      <c r="M207" s="4" t="s">
        <v>1072</v>
      </c>
      <c r="N207" s="134">
        <v>8.5</v>
      </c>
      <c r="O207" s="16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ht="16" customHeight="1" thickBot="1" x14ac:dyDescent="0.25">
      <c r="A208" s="4" t="s">
        <v>1117</v>
      </c>
      <c r="B208" s="134">
        <v>9</v>
      </c>
      <c r="C208" s="16"/>
      <c r="D208" s="4" t="s">
        <v>1144</v>
      </c>
      <c r="E208" s="134">
        <v>8</v>
      </c>
      <c r="F208" s="2"/>
      <c r="G208" s="4" t="s">
        <v>1157</v>
      </c>
      <c r="H208" s="134">
        <v>8.5</v>
      </c>
      <c r="I208" s="16"/>
      <c r="J208" s="102" t="s">
        <v>1233</v>
      </c>
      <c r="K208" s="12">
        <f>ROUND(SUM(K209:K217)/COUNT(K209:K217), 2)</f>
        <v>8.7200000000000006</v>
      </c>
      <c r="L208" s="2"/>
      <c r="M208" s="4" t="s">
        <v>1073</v>
      </c>
      <c r="N208" s="134">
        <v>8</v>
      </c>
      <c r="O208" s="16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ht="16" customHeight="1" thickBot="1" x14ac:dyDescent="0.25">
      <c r="A209" s="4" t="s">
        <v>1118</v>
      </c>
      <c r="B209" s="134">
        <v>8.5</v>
      </c>
      <c r="C209" s="16"/>
      <c r="D209" s="4" t="s">
        <v>1145</v>
      </c>
      <c r="E209" s="134">
        <v>8</v>
      </c>
      <c r="F209" s="2"/>
      <c r="G209" s="4" t="s">
        <v>1158</v>
      </c>
      <c r="H209" s="134">
        <v>9</v>
      </c>
      <c r="I209" s="2"/>
      <c r="J209" s="11" t="s">
        <v>1165</v>
      </c>
      <c r="K209" s="133">
        <v>9</v>
      </c>
      <c r="L209" s="2"/>
      <c r="M209" s="7" t="s">
        <v>1074</v>
      </c>
      <c r="N209" s="135">
        <v>8.5</v>
      </c>
      <c r="O209" s="16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ht="16" customHeight="1" thickBot="1" x14ac:dyDescent="0.25">
      <c r="A210" s="4" t="s">
        <v>1119</v>
      </c>
      <c r="B210" s="134">
        <v>6.5</v>
      </c>
      <c r="C210" s="16"/>
      <c r="D210" s="4" t="s">
        <v>1146</v>
      </c>
      <c r="E210" s="134">
        <v>10</v>
      </c>
      <c r="F210" s="2"/>
      <c r="G210" s="4" t="s">
        <v>1159</v>
      </c>
      <c r="H210" s="134">
        <v>8</v>
      </c>
      <c r="I210" s="2"/>
      <c r="J210" s="4" t="s">
        <v>1166</v>
      </c>
      <c r="K210" s="134">
        <v>8.5</v>
      </c>
      <c r="L210" s="2"/>
      <c r="M210" s="15"/>
      <c r="N210" s="15"/>
      <c r="O210" s="16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ht="16" customHeight="1" thickBot="1" x14ac:dyDescent="0.25">
      <c r="A211" s="142">
        <v>365</v>
      </c>
      <c r="B211" s="135">
        <v>9</v>
      </c>
      <c r="C211" s="2"/>
      <c r="D211" s="7" t="s">
        <v>1147</v>
      </c>
      <c r="E211" s="135"/>
      <c r="F211" s="2"/>
      <c r="G211" s="4" t="s">
        <v>1160</v>
      </c>
      <c r="H211" s="134">
        <v>7.5</v>
      </c>
      <c r="I211" s="2"/>
      <c r="J211" s="4" t="s">
        <v>1167</v>
      </c>
      <c r="K211" s="134">
        <v>10.5</v>
      </c>
      <c r="L211" s="16"/>
      <c r="M211" s="99" t="s">
        <v>1195</v>
      </c>
      <c r="N211" s="12">
        <f>ROUND(SUM(N212:N226)/COUNT(N212:N226), 2)</f>
        <v>8.11</v>
      </c>
      <c r="O211" s="16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ht="16" customHeight="1" thickBot="1" x14ac:dyDescent="0.25">
      <c r="A212" s="15"/>
      <c r="B212" s="15"/>
      <c r="C212" s="2"/>
      <c r="D212" s="15"/>
      <c r="E212" s="15"/>
      <c r="F212" s="2"/>
      <c r="G212" s="4" t="s">
        <v>1161</v>
      </c>
      <c r="H212" s="134">
        <v>8</v>
      </c>
      <c r="I212" s="2"/>
      <c r="J212" s="4" t="s">
        <v>1168</v>
      </c>
      <c r="K212" s="134">
        <v>7.5</v>
      </c>
      <c r="L212" s="2"/>
      <c r="M212" s="11" t="s">
        <v>1180</v>
      </c>
      <c r="N212" s="133">
        <v>8</v>
      </c>
      <c r="O212" s="16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ht="16" customHeight="1" thickBot="1" x14ac:dyDescent="0.25">
      <c r="A213" s="101" t="s">
        <v>1213</v>
      </c>
      <c r="B213" s="12">
        <f>ROUND(SUM(B214:B224)/COUNT(B214:B224), 2)</f>
        <v>9</v>
      </c>
      <c r="C213" s="2"/>
      <c r="D213" s="100" t="s">
        <v>1198</v>
      </c>
      <c r="E213" s="12">
        <f>ROUND(SUM(E214:E227)/COUNT(E214:E227), 2)</f>
        <v>8.77</v>
      </c>
      <c r="F213" s="2"/>
      <c r="G213" s="7" t="s">
        <v>1162</v>
      </c>
      <c r="H213" s="135">
        <v>7</v>
      </c>
      <c r="I213" s="2"/>
      <c r="J213" s="4" t="s">
        <v>1169</v>
      </c>
      <c r="K213" s="134">
        <v>9</v>
      </c>
      <c r="L213" s="2"/>
      <c r="M213" s="4" t="s">
        <v>1181</v>
      </c>
      <c r="N213" s="134">
        <v>7.5</v>
      </c>
      <c r="O213" s="16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ht="16" customHeight="1" thickBot="1" x14ac:dyDescent="0.25">
      <c r="A214" s="11" t="s">
        <v>1214</v>
      </c>
      <c r="B214" s="133">
        <v>8.5</v>
      </c>
      <c r="C214" s="2"/>
      <c r="D214" s="11" t="s">
        <v>1199</v>
      </c>
      <c r="E214" s="133">
        <v>9</v>
      </c>
      <c r="F214" s="2"/>
      <c r="G214" s="15"/>
      <c r="H214" s="15"/>
      <c r="I214" s="2"/>
      <c r="J214" s="4" t="s">
        <v>1170</v>
      </c>
      <c r="K214" s="134">
        <v>7</v>
      </c>
      <c r="L214" s="2"/>
      <c r="M214" s="4" t="s">
        <v>1182</v>
      </c>
      <c r="N214" s="134">
        <v>9</v>
      </c>
      <c r="O214" s="16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ht="16" customHeight="1" thickBot="1" x14ac:dyDescent="0.25">
      <c r="A215" s="4" t="s">
        <v>1215</v>
      </c>
      <c r="B215" s="134">
        <v>10</v>
      </c>
      <c r="C215" s="2"/>
      <c r="D215" s="4" t="s">
        <v>1200</v>
      </c>
      <c r="E215" s="134">
        <v>10</v>
      </c>
      <c r="F215" s="16"/>
      <c r="G215" s="106" t="s">
        <v>1234</v>
      </c>
      <c r="H215" s="12">
        <f>ROUND(SUM(H216:H227)/COUNT(H216:H227), 2)</f>
        <v>8.4600000000000009</v>
      </c>
      <c r="I215" s="2"/>
      <c r="J215" s="4" t="s">
        <v>1171</v>
      </c>
      <c r="K215" s="134">
        <v>8</v>
      </c>
      <c r="L215" s="2"/>
      <c r="M215" s="4" t="s">
        <v>1183</v>
      </c>
      <c r="N215" s="134"/>
      <c r="O215" s="16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ht="16" customHeight="1" x14ac:dyDescent="0.2">
      <c r="A216" s="4" t="s">
        <v>1216</v>
      </c>
      <c r="B216" s="134">
        <v>10</v>
      </c>
      <c r="C216" s="2"/>
      <c r="D216" s="4" t="s">
        <v>1201</v>
      </c>
      <c r="E216" s="134">
        <v>9.5</v>
      </c>
      <c r="F216" s="2"/>
      <c r="G216" s="11" t="s">
        <v>1235</v>
      </c>
      <c r="H216" s="133">
        <v>10</v>
      </c>
      <c r="I216" s="2"/>
      <c r="J216" s="4" t="s">
        <v>1172</v>
      </c>
      <c r="K216" s="134">
        <v>9</v>
      </c>
      <c r="L216" s="2"/>
      <c r="M216" s="4" t="s">
        <v>1184</v>
      </c>
      <c r="N216" s="134">
        <v>9</v>
      </c>
      <c r="O216" s="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ht="16" customHeight="1" thickBot="1" x14ac:dyDescent="0.25">
      <c r="A217" s="4" t="s">
        <v>1217</v>
      </c>
      <c r="B217" s="134">
        <v>9</v>
      </c>
      <c r="C217" s="2"/>
      <c r="D217" s="4" t="s">
        <v>1202</v>
      </c>
      <c r="E217" s="134">
        <v>10</v>
      </c>
      <c r="F217" s="2"/>
      <c r="G217" s="4" t="s">
        <v>1236</v>
      </c>
      <c r="H217" s="134">
        <v>9</v>
      </c>
      <c r="I217" s="2"/>
      <c r="J217" s="7" t="s">
        <v>1173</v>
      </c>
      <c r="K217" s="135">
        <v>10</v>
      </c>
      <c r="L217" s="2"/>
      <c r="M217" s="4" t="s">
        <v>1185</v>
      </c>
      <c r="N217" s="134">
        <v>7.5</v>
      </c>
      <c r="O217" s="16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ht="16" customHeight="1" thickBot="1" x14ac:dyDescent="0.25">
      <c r="A218" s="4" t="s">
        <v>1218</v>
      </c>
      <c r="B218" s="134">
        <v>9</v>
      </c>
      <c r="C218" s="2"/>
      <c r="D218" s="4" t="s">
        <v>1203</v>
      </c>
      <c r="E218" s="134">
        <v>8.5</v>
      </c>
      <c r="F218" s="2"/>
      <c r="G218" s="4" t="s">
        <v>1237</v>
      </c>
      <c r="H218" s="134">
        <v>8.5</v>
      </c>
      <c r="I218" s="2"/>
      <c r="J218" s="15"/>
      <c r="K218" s="15"/>
      <c r="L218" s="2"/>
      <c r="M218" s="4" t="s">
        <v>1186</v>
      </c>
      <c r="N218" s="134">
        <v>9</v>
      </c>
      <c r="O218" s="16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ht="16" customHeight="1" thickBot="1" x14ac:dyDescent="0.25">
      <c r="A219" s="4" t="s">
        <v>1219</v>
      </c>
      <c r="B219" s="134">
        <v>8.5</v>
      </c>
      <c r="C219" s="2"/>
      <c r="D219" s="4" t="s">
        <v>1204</v>
      </c>
      <c r="E219" s="134"/>
      <c r="F219" s="2"/>
      <c r="G219" s="4" t="s">
        <v>1238</v>
      </c>
      <c r="H219" s="134">
        <v>10.5</v>
      </c>
      <c r="I219" s="16"/>
      <c r="J219" s="103" t="s">
        <v>1248</v>
      </c>
      <c r="K219" s="12">
        <f>ROUND(SUM(K220:K235)/COUNT(K220:K235), 2)</f>
        <v>8.7899999999999991</v>
      </c>
      <c r="L219" s="2"/>
      <c r="M219" s="4" t="s">
        <v>1187</v>
      </c>
      <c r="N219" s="134">
        <v>9</v>
      </c>
      <c r="O219" s="16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ht="16" customHeight="1" x14ac:dyDescent="0.2">
      <c r="A220" s="4" t="s">
        <v>1220</v>
      </c>
      <c r="B220" s="134">
        <v>8</v>
      </c>
      <c r="C220" s="2"/>
      <c r="D220" s="4" t="s">
        <v>1205</v>
      </c>
      <c r="E220" s="134">
        <v>8</v>
      </c>
      <c r="F220" s="2"/>
      <c r="G220" s="4" t="s">
        <v>1239</v>
      </c>
      <c r="H220" s="134">
        <v>8.5</v>
      </c>
      <c r="I220" s="2"/>
      <c r="J220" s="11" t="s">
        <v>1249</v>
      </c>
      <c r="K220" s="133">
        <v>10</v>
      </c>
      <c r="L220" s="2"/>
      <c r="M220" s="4" t="s">
        <v>1188</v>
      </c>
      <c r="N220" s="134">
        <v>7.5</v>
      </c>
      <c r="O220" s="16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ht="16" customHeight="1" x14ac:dyDescent="0.2">
      <c r="A221" s="4" t="s">
        <v>1221</v>
      </c>
      <c r="B221" s="134">
        <v>9.5</v>
      </c>
      <c r="C221" s="2"/>
      <c r="D221" s="4" t="s">
        <v>1206</v>
      </c>
      <c r="E221" s="134">
        <v>9.5</v>
      </c>
      <c r="F221" s="2"/>
      <c r="G221" s="4" t="s">
        <v>1240</v>
      </c>
      <c r="H221" s="134">
        <v>9</v>
      </c>
      <c r="I221" s="2"/>
      <c r="J221" s="4" t="s">
        <v>1250</v>
      </c>
      <c r="K221" s="134"/>
      <c r="L221" s="2"/>
      <c r="M221" s="4" t="s">
        <v>1189</v>
      </c>
      <c r="N221" s="134">
        <v>8</v>
      </c>
      <c r="O221" s="16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ht="16" customHeight="1" x14ac:dyDescent="0.2">
      <c r="A222" s="4" t="s">
        <v>1222</v>
      </c>
      <c r="B222" s="134">
        <v>9</v>
      </c>
      <c r="C222" s="2"/>
      <c r="D222" s="4" t="s">
        <v>1207</v>
      </c>
      <c r="E222" s="134">
        <v>8</v>
      </c>
      <c r="F222" s="2"/>
      <c r="G222" s="4" t="s">
        <v>1241</v>
      </c>
      <c r="H222" s="134">
        <v>7.5</v>
      </c>
      <c r="I222" s="2"/>
      <c r="J222" s="4" t="s">
        <v>1251</v>
      </c>
      <c r="K222" s="134">
        <v>10</v>
      </c>
      <c r="L222" s="2"/>
      <c r="M222" s="4" t="s">
        <v>1190</v>
      </c>
      <c r="N222" s="134">
        <v>9</v>
      </c>
      <c r="O222" s="16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ht="16" customHeight="1" x14ac:dyDescent="0.2">
      <c r="A223" s="4" t="s">
        <v>1223</v>
      </c>
      <c r="B223" s="134">
        <v>9</v>
      </c>
      <c r="C223" s="2"/>
      <c r="D223" s="4" t="s">
        <v>1208</v>
      </c>
      <c r="E223" s="134">
        <v>8</v>
      </c>
      <c r="F223" s="2"/>
      <c r="G223" s="4" t="s">
        <v>1242</v>
      </c>
      <c r="H223" s="134">
        <v>10.5</v>
      </c>
      <c r="I223" s="2"/>
      <c r="J223" s="4" t="s">
        <v>1252</v>
      </c>
      <c r="K223" s="134">
        <v>8.5</v>
      </c>
      <c r="L223" s="2"/>
      <c r="M223" s="4" t="s">
        <v>1191</v>
      </c>
      <c r="N223" s="134">
        <v>8</v>
      </c>
      <c r="O223" s="16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ht="16" customHeight="1" thickBot="1" x14ac:dyDescent="0.25">
      <c r="A224" s="7" t="s">
        <v>1224</v>
      </c>
      <c r="B224" s="135">
        <v>8.5</v>
      </c>
      <c r="C224" s="2"/>
      <c r="D224" s="4" t="s">
        <v>1209</v>
      </c>
      <c r="E224" s="134">
        <v>8</v>
      </c>
      <c r="F224" s="2"/>
      <c r="G224" s="4" t="s">
        <v>1243</v>
      </c>
      <c r="H224" s="134">
        <v>7</v>
      </c>
      <c r="I224" s="2"/>
      <c r="J224" s="4" t="s">
        <v>1253</v>
      </c>
      <c r="K224" s="134">
        <v>9</v>
      </c>
      <c r="L224" s="2"/>
      <c r="M224" s="4" t="s">
        <v>1192</v>
      </c>
      <c r="N224" s="134">
        <v>7</v>
      </c>
      <c r="O224" s="16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ht="16" customHeight="1" thickBot="1" x14ac:dyDescent="0.25">
      <c r="A225" s="36"/>
      <c r="B225" s="13"/>
      <c r="C225" s="16"/>
      <c r="D225" s="4" t="s">
        <v>1210</v>
      </c>
      <c r="E225" s="134">
        <v>8</v>
      </c>
      <c r="F225" s="2"/>
      <c r="G225" s="4" t="s">
        <v>1244</v>
      </c>
      <c r="H225" s="134">
        <v>7.5</v>
      </c>
      <c r="I225" s="2"/>
      <c r="J225" s="4" t="s">
        <v>1254</v>
      </c>
      <c r="K225" s="134">
        <v>8</v>
      </c>
      <c r="L225" s="2"/>
      <c r="M225" s="4" t="s">
        <v>1193</v>
      </c>
      <c r="N225" s="134">
        <v>7.5</v>
      </c>
      <c r="O225" s="16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ht="16" customHeight="1" thickBot="1" x14ac:dyDescent="0.25">
      <c r="A226" s="107" t="s">
        <v>1268</v>
      </c>
      <c r="B226" s="12">
        <f>ROUND(SUM(B227:B233)/COUNT(B227:B233), 2)</f>
        <v>8.86</v>
      </c>
      <c r="C226" s="21"/>
      <c r="D226" s="3" t="s">
        <v>1211</v>
      </c>
      <c r="E226" s="134">
        <v>8.5</v>
      </c>
      <c r="F226" s="2"/>
      <c r="G226" s="4" t="s">
        <v>1245</v>
      </c>
      <c r="H226" s="134">
        <v>6.5</v>
      </c>
      <c r="I226" s="2"/>
      <c r="J226" s="4" t="s">
        <v>1255</v>
      </c>
      <c r="K226" s="134">
        <v>9.5</v>
      </c>
      <c r="L226" s="2"/>
      <c r="M226" s="7" t="s">
        <v>1194</v>
      </c>
      <c r="N226" s="135">
        <v>7.5</v>
      </c>
      <c r="O226" s="1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ht="16" customHeight="1" thickBot="1" x14ac:dyDescent="0.25">
      <c r="A227" s="11" t="s">
        <v>1269</v>
      </c>
      <c r="B227" s="133">
        <v>10</v>
      </c>
      <c r="C227" s="2"/>
      <c r="D227" s="7" t="s">
        <v>1212</v>
      </c>
      <c r="E227" s="135">
        <v>9</v>
      </c>
      <c r="F227" s="2"/>
      <c r="G227" s="7" t="s">
        <v>1246</v>
      </c>
      <c r="H227" s="135">
        <v>7</v>
      </c>
      <c r="I227" s="2"/>
      <c r="J227" s="4" t="s">
        <v>1256</v>
      </c>
      <c r="K227" s="134"/>
      <c r="L227" s="2"/>
      <c r="M227" s="15"/>
      <c r="N227" s="15"/>
      <c r="O227" s="16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ht="16" customHeight="1" thickBot="1" x14ac:dyDescent="0.25">
      <c r="A228" s="4" t="s">
        <v>1270</v>
      </c>
      <c r="B228" s="134">
        <v>9.5</v>
      </c>
      <c r="C228" s="2"/>
      <c r="D228" s="13"/>
      <c r="E228" s="15"/>
      <c r="F228" s="2"/>
      <c r="G228" s="15"/>
      <c r="H228" s="15"/>
      <c r="I228" s="2"/>
      <c r="J228" s="4" t="s">
        <v>1257</v>
      </c>
      <c r="K228" s="134">
        <v>8</v>
      </c>
      <c r="L228" s="16"/>
      <c r="M228" s="105" t="s">
        <v>1302</v>
      </c>
      <c r="N228" s="12">
        <f>ROUND(SUM(N229:N238)/COUNT(N229:N238), 2)</f>
        <v>8.0500000000000007</v>
      </c>
      <c r="O228" s="16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ht="16" customHeight="1" thickBot="1" x14ac:dyDescent="0.25">
      <c r="A229" s="4" t="s">
        <v>1271</v>
      </c>
      <c r="B229" s="134">
        <v>9</v>
      </c>
      <c r="C229" s="2"/>
      <c r="D229" s="221" t="s">
        <v>1279</v>
      </c>
      <c r="E229" s="12">
        <f>ROUND(SUM(E230:E235)/COUNT(E230:E235), 2)</f>
        <v>8.83</v>
      </c>
      <c r="F229" s="16"/>
      <c r="G229" s="104" t="s">
        <v>1303</v>
      </c>
      <c r="H229" s="12">
        <f>ROUND(SUM(H230:H244)/COUNT(H230:H244), 2)</f>
        <v>8.8800000000000008</v>
      </c>
      <c r="I229" s="2"/>
      <c r="J229" s="4" t="s">
        <v>1258</v>
      </c>
      <c r="K229" s="134">
        <v>8</v>
      </c>
      <c r="L229" s="2"/>
      <c r="M229" s="11" t="s">
        <v>1290</v>
      </c>
      <c r="N229" s="133">
        <v>8</v>
      </c>
      <c r="O229" s="16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ht="16" customHeight="1" x14ac:dyDescent="0.2">
      <c r="A230" s="4" t="s">
        <v>1272</v>
      </c>
      <c r="B230" s="134">
        <v>8</v>
      </c>
      <c r="C230" s="2"/>
      <c r="D230" s="11" t="s">
        <v>1280</v>
      </c>
      <c r="E230" s="133">
        <v>8.5</v>
      </c>
      <c r="F230" s="2"/>
      <c r="G230" s="11" t="s">
        <v>1304</v>
      </c>
      <c r="H230" s="133"/>
      <c r="I230" s="2"/>
      <c r="J230" s="4" t="s">
        <v>1259</v>
      </c>
      <c r="K230" s="134">
        <v>10</v>
      </c>
      <c r="L230" s="2"/>
      <c r="M230" s="4" t="s">
        <v>1291</v>
      </c>
      <c r="N230" s="134">
        <v>8.5</v>
      </c>
      <c r="O230" s="16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ht="16" customHeight="1" x14ac:dyDescent="0.2">
      <c r="A231" s="4" t="s">
        <v>1273</v>
      </c>
      <c r="B231" s="134">
        <v>9</v>
      </c>
      <c r="C231" s="2"/>
      <c r="D231" s="4" t="s">
        <v>1281</v>
      </c>
      <c r="E231" s="134">
        <v>8.5</v>
      </c>
      <c r="F231" s="2"/>
      <c r="G231" s="4" t="s">
        <v>1305</v>
      </c>
      <c r="H231" s="134">
        <v>8.5</v>
      </c>
      <c r="I231" s="2"/>
      <c r="J231" s="4" t="s">
        <v>1260</v>
      </c>
      <c r="K231" s="134">
        <v>7.5</v>
      </c>
      <c r="L231" s="2"/>
      <c r="M231" s="4" t="s">
        <v>1292</v>
      </c>
      <c r="N231" s="134">
        <v>9.5</v>
      </c>
      <c r="O231" s="16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ht="16" customHeight="1" x14ac:dyDescent="0.2">
      <c r="A232" s="4" t="s">
        <v>1274</v>
      </c>
      <c r="B232" s="134">
        <v>8.5</v>
      </c>
      <c r="C232" s="2"/>
      <c r="D232" s="4" t="s">
        <v>1282</v>
      </c>
      <c r="E232" s="134">
        <v>8</v>
      </c>
      <c r="F232" s="2"/>
      <c r="G232" s="4" t="s">
        <v>1306</v>
      </c>
      <c r="H232" s="134">
        <v>9.5</v>
      </c>
      <c r="I232" s="2"/>
      <c r="J232" s="4" t="s">
        <v>1261</v>
      </c>
      <c r="K232" s="134">
        <v>9.5</v>
      </c>
      <c r="L232" s="2"/>
      <c r="M232" s="4" t="s">
        <v>1293</v>
      </c>
      <c r="N232" s="134">
        <v>8.5</v>
      </c>
      <c r="O232" s="16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ht="16" customHeight="1" thickBot="1" x14ac:dyDescent="0.25">
      <c r="A233" s="7" t="s">
        <v>1275</v>
      </c>
      <c r="B233" s="135">
        <v>8</v>
      </c>
      <c r="C233" s="2"/>
      <c r="D233" s="4" t="s">
        <v>1283</v>
      </c>
      <c r="E233" s="134">
        <v>9</v>
      </c>
      <c r="F233" s="2"/>
      <c r="G233" s="4" t="s">
        <v>1307</v>
      </c>
      <c r="H233" s="134">
        <v>8.5</v>
      </c>
      <c r="I233" s="2"/>
      <c r="J233" s="4" t="s">
        <v>1262</v>
      </c>
      <c r="K233" s="134">
        <v>8</v>
      </c>
      <c r="L233" s="2"/>
      <c r="M233" s="4" t="s">
        <v>1294</v>
      </c>
      <c r="N233" s="134">
        <v>7</v>
      </c>
      <c r="O233" s="16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ht="16" customHeight="1" thickBot="1" x14ac:dyDescent="0.25">
      <c r="A234" s="15"/>
      <c r="B234" s="15"/>
      <c r="C234" s="2"/>
      <c r="D234" s="4" t="s">
        <v>1284</v>
      </c>
      <c r="E234" s="134">
        <v>9</v>
      </c>
      <c r="F234" s="2"/>
      <c r="G234" s="4" t="s">
        <v>1308</v>
      </c>
      <c r="H234" s="134">
        <v>10</v>
      </c>
      <c r="I234" s="2"/>
      <c r="J234" s="4" t="s">
        <v>1263</v>
      </c>
      <c r="K234" s="134">
        <v>9</v>
      </c>
      <c r="L234" s="2"/>
      <c r="M234" s="4" t="s">
        <v>1295</v>
      </c>
      <c r="N234" s="134">
        <v>8</v>
      </c>
      <c r="O234" s="16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ht="16" customHeight="1" thickBot="1" x14ac:dyDescent="0.25">
      <c r="A235" s="109" t="s">
        <v>1320</v>
      </c>
      <c r="B235" s="12">
        <f>ROUND(SUM(B236:B244)/COUNT(B236:B244), 2)</f>
        <v>8.83</v>
      </c>
      <c r="C235" s="2"/>
      <c r="D235" s="7" t="s">
        <v>1285</v>
      </c>
      <c r="E235" s="135">
        <v>10</v>
      </c>
      <c r="F235" s="2"/>
      <c r="G235" s="4" t="s">
        <v>1309</v>
      </c>
      <c r="H235" s="136">
        <v>10.5</v>
      </c>
      <c r="I235" s="2"/>
      <c r="J235" s="7" t="s">
        <v>1264</v>
      </c>
      <c r="K235" s="135">
        <v>8</v>
      </c>
      <c r="L235" s="2"/>
      <c r="M235" s="4" t="s">
        <v>1296</v>
      </c>
      <c r="N235" s="134">
        <v>8.5</v>
      </c>
      <c r="O235" s="16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ht="16" customHeight="1" thickBot="1" x14ac:dyDescent="0.25">
      <c r="A236" s="11" t="s">
        <v>1321</v>
      </c>
      <c r="B236" s="133">
        <v>9</v>
      </c>
      <c r="C236" s="2"/>
      <c r="D236" s="15"/>
      <c r="E236" s="15"/>
      <c r="F236" s="2"/>
      <c r="G236" s="4" t="s">
        <v>1310</v>
      </c>
      <c r="H236" s="134">
        <v>9</v>
      </c>
      <c r="I236" s="2"/>
      <c r="J236" s="15"/>
      <c r="K236" s="15"/>
      <c r="L236" s="2"/>
      <c r="M236" s="4" t="s">
        <v>1297</v>
      </c>
      <c r="N236" s="134">
        <v>7</v>
      </c>
      <c r="O236" s="1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ht="16" customHeight="1" thickBot="1" x14ac:dyDescent="0.25">
      <c r="A237" s="4" t="s">
        <v>1322</v>
      </c>
      <c r="B237" s="134">
        <v>10</v>
      </c>
      <c r="C237" s="2"/>
      <c r="D237" s="108" t="s">
        <v>1352</v>
      </c>
      <c r="E237" s="1">
        <f>ROUND(SUM(E238:E252)/COUNT(E238:E252), 2)</f>
        <v>8.8000000000000007</v>
      </c>
      <c r="F237" s="2"/>
      <c r="G237" s="4" t="s">
        <v>1311</v>
      </c>
      <c r="H237" s="134">
        <v>8.5</v>
      </c>
      <c r="I237" s="16"/>
      <c r="J237" s="110" t="s">
        <v>1354</v>
      </c>
      <c r="K237" s="12">
        <f>ROUND(SUM(K238:K250)/COUNT(K238:K250), 2)</f>
        <v>8.73</v>
      </c>
      <c r="L237" s="2"/>
      <c r="M237" s="4" t="s">
        <v>1298</v>
      </c>
      <c r="N237" s="134">
        <v>8</v>
      </c>
      <c r="O237" s="16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ht="16" customHeight="1" thickBot="1" x14ac:dyDescent="0.25">
      <c r="A238" s="4" t="s">
        <v>1323</v>
      </c>
      <c r="B238" s="134">
        <v>8.5</v>
      </c>
      <c r="C238" s="2"/>
      <c r="D238" s="11" t="s">
        <v>1333</v>
      </c>
      <c r="E238" s="133">
        <v>8</v>
      </c>
      <c r="F238" s="2"/>
      <c r="G238" s="4" t="s">
        <v>1312</v>
      </c>
      <c r="H238" s="134">
        <v>8.5</v>
      </c>
      <c r="I238" s="2"/>
      <c r="J238" s="11" t="s">
        <v>1367</v>
      </c>
      <c r="K238" s="133">
        <v>10.5</v>
      </c>
      <c r="L238" s="2"/>
      <c r="M238" s="7" t="s">
        <v>1299</v>
      </c>
      <c r="N238" s="135">
        <v>7.5</v>
      </c>
      <c r="O238" s="16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ht="16" customHeight="1" thickBot="1" x14ac:dyDescent="0.25">
      <c r="A239" s="4" t="s">
        <v>1324</v>
      </c>
      <c r="B239" s="134">
        <v>8.5</v>
      </c>
      <c r="C239" s="2"/>
      <c r="D239" s="4" t="s">
        <v>1334</v>
      </c>
      <c r="E239" s="134">
        <v>8.5</v>
      </c>
      <c r="F239" s="2"/>
      <c r="G239" s="4" t="s">
        <v>1313</v>
      </c>
      <c r="H239" s="134">
        <v>8</v>
      </c>
      <c r="I239" s="2"/>
      <c r="J239" s="4" t="s">
        <v>1355</v>
      </c>
      <c r="K239" s="134">
        <v>9.5</v>
      </c>
      <c r="L239" s="2"/>
      <c r="M239" s="15"/>
      <c r="N239" s="15"/>
      <c r="O239" s="16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ht="16" customHeight="1" thickBot="1" x14ac:dyDescent="0.25">
      <c r="A240" s="4" t="s">
        <v>1325</v>
      </c>
      <c r="B240" s="134">
        <v>9.5</v>
      </c>
      <c r="C240" s="2"/>
      <c r="D240" s="4" t="s">
        <v>1335</v>
      </c>
      <c r="E240" s="134">
        <v>9.5</v>
      </c>
      <c r="F240" s="2"/>
      <c r="G240" s="4" t="s">
        <v>1314</v>
      </c>
      <c r="H240" s="134"/>
      <c r="I240" s="2"/>
      <c r="J240" s="4" t="s">
        <v>1356</v>
      </c>
      <c r="K240" s="134">
        <v>9</v>
      </c>
      <c r="L240" s="2"/>
      <c r="M240" s="143" t="s">
        <v>1370</v>
      </c>
      <c r="N240" s="1">
        <f>ROUND(SUM(N241:N247)/COUNT(N241:N247), 2)</f>
        <v>8.93</v>
      </c>
      <c r="O240" s="16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ht="16" customHeight="1" x14ac:dyDescent="0.2">
      <c r="A241" s="4" t="s">
        <v>1326</v>
      </c>
      <c r="B241" s="134">
        <v>8</v>
      </c>
      <c r="C241" s="2"/>
      <c r="D241" s="4" t="s">
        <v>1336</v>
      </c>
      <c r="E241" s="134">
        <v>10</v>
      </c>
      <c r="F241" s="2"/>
      <c r="G241" s="4" t="s">
        <v>1315</v>
      </c>
      <c r="H241" s="134">
        <v>9.5</v>
      </c>
      <c r="I241" s="2"/>
      <c r="J241" s="4" t="s">
        <v>1357</v>
      </c>
      <c r="K241" s="134">
        <v>9.5</v>
      </c>
      <c r="L241" s="2"/>
      <c r="M241" s="11" t="s">
        <v>1371</v>
      </c>
      <c r="N241" s="133">
        <v>9.5</v>
      </c>
      <c r="O241" s="16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ht="16" customHeight="1" x14ac:dyDescent="0.2">
      <c r="A242" s="4" t="s">
        <v>1327</v>
      </c>
      <c r="B242" s="134">
        <v>8.5</v>
      </c>
      <c r="C242" s="2"/>
      <c r="D242" s="4" t="s">
        <v>1337</v>
      </c>
      <c r="E242" s="134">
        <v>8.5</v>
      </c>
      <c r="F242" s="2"/>
      <c r="G242" s="4" t="s">
        <v>1316</v>
      </c>
      <c r="H242" s="134">
        <v>8</v>
      </c>
      <c r="I242" s="2"/>
      <c r="J242" s="4" t="s">
        <v>1358</v>
      </c>
      <c r="K242" s="134">
        <v>9</v>
      </c>
      <c r="L242" s="2"/>
      <c r="M242" s="4" t="s">
        <v>1372</v>
      </c>
      <c r="N242" s="134">
        <v>8</v>
      </c>
      <c r="O242" s="16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ht="16" customHeight="1" x14ac:dyDescent="0.2">
      <c r="A243" s="4" t="s">
        <v>1328</v>
      </c>
      <c r="B243" s="134">
        <v>9</v>
      </c>
      <c r="C243" s="2"/>
      <c r="D243" s="4" t="s">
        <v>1338</v>
      </c>
      <c r="E243" s="134">
        <v>9.5</v>
      </c>
      <c r="F243" s="2"/>
      <c r="G243" s="4" t="s">
        <v>1317</v>
      </c>
      <c r="H243" s="134">
        <v>8.5</v>
      </c>
      <c r="I243" s="2"/>
      <c r="J243" s="4" t="s">
        <v>1359</v>
      </c>
      <c r="K243" s="134">
        <v>8</v>
      </c>
      <c r="L243" s="2"/>
      <c r="M243" s="4" t="s">
        <v>1373</v>
      </c>
      <c r="N243" s="134">
        <v>10</v>
      </c>
      <c r="O243" s="16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ht="16" customHeight="1" thickBot="1" x14ac:dyDescent="0.25">
      <c r="A244" s="7" t="s">
        <v>1329</v>
      </c>
      <c r="B244" s="135">
        <v>8.5</v>
      </c>
      <c r="C244" s="2"/>
      <c r="D244" s="4" t="s">
        <v>1339</v>
      </c>
      <c r="E244" s="134">
        <v>9.5</v>
      </c>
      <c r="F244" s="2"/>
      <c r="G244" s="7" t="s">
        <v>1318</v>
      </c>
      <c r="H244" s="135">
        <v>8.5</v>
      </c>
      <c r="I244" s="2"/>
      <c r="J244" s="4" t="s">
        <v>1360</v>
      </c>
      <c r="K244" s="134">
        <v>9</v>
      </c>
      <c r="L244" s="2"/>
      <c r="M244" s="4" t="s">
        <v>1374</v>
      </c>
      <c r="N244" s="134">
        <v>8</v>
      </c>
      <c r="O244" s="16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ht="16" customHeight="1" thickBot="1" x14ac:dyDescent="0.25">
      <c r="A245" s="2"/>
      <c r="B245" s="2"/>
      <c r="C245" s="2"/>
      <c r="D245" s="4" t="s">
        <v>1340</v>
      </c>
      <c r="E245" s="134">
        <v>8</v>
      </c>
      <c r="F245" s="2"/>
      <c r="G245" s="15"/>
      <c r="H245" s="15"/>
      <c r="I245" s="2"/>
      <c r="J245" s="4" t="s">
        <v>1361</v>
      </c>
      <c r="K245" s="134">
        <v>8.5</v>
      </c>
      <c r="L245" s="2"/>
      <c r="M245" s="4" t="s">
        <v>1375</v>
      </c>
      <c r="N245" s="134">
        <v>9</v>
      </c>
      <c r="O245" s="16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ht="16" customHeight="1" thickBot="1" x14ac:dyDescent="0.25">
      <c r="A246" s="112" t="s">
        <v>1409</v>
      </c>
      <c r="B246" s="12">
        <f>ROUND(SUM(B247:B258)/COUNT(B247:B258), 2)</f>
        <v>8.82</v>
      </c>
      <c r="C246" s="2"/>
      <c r="D246" s="4" t="s">
        <v>1341</v>
      </c>
      <c r="E246" s="134">
        <v>8</v>
      </c>
      <c r="F246" s="2"/>
      <c r="G246" s="111" t="s">
        <v>1392</v>
      </c>
      <c r="H246" s="1">
        <f>ROUND(SUM(H247:H256)/COUNT(H247:H256), 2)</f>
        <v>8.75</v>
      </c>
      <c r="I246" s="2"/>
      <c r="J246" s="4" t="s">
        <v>1362</v>
      </c>
      <c r="K246" s="134">
        <v>8</v>
      </c>
      <c r="L246" s="2"/>
      <c r="M246" s="4" t="s">
        <v>1376</v>
      </c>
      <c r="N246" s="134">
        <v>8.5</v>
      </c>
      <c r="O246" s="1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ht="16" customHeight="1" thickBot="1" x14ac:dyDescent="0.25">
      <c r="A247" s="11" t="s">
        <v>1397</v>
      </c>
      <c r="B247" s="133">
        <v>9.5</v>
      </c>
      <c r="C247" s="2"/>
      <c r="D247" s="4" t="s">
        <v>1342</v>
      </c>
      <c r="E247" s="134">
        <v>8.5</v>
      </c>
      <c r="F247" s="2"/>
      <c r="G247" s="4" t="s">
        <v>1383</v>
      </c>
      <c r="H247" s="134">
        <v>10</v>
      </c>
      <c r="I247" s="2"/>
      <c r="J247" s="4" t="s">
        <v>1363</v>
      </c>
      <c r="K247" s="134">
        <v>8</v>
      </c>
      <c r="L247" s="2"/>
      <c r="M247" s="7" t="s">
        <v>1377</v>
      </c>
      <c r="N247" s="135">
        <v>9.5</v>
      </c>
      <c r="O247" s="16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ht="16" customHeight="1" thickBot="1" x14ac:dyDescent="0.25">
      <c r="A248" s="4" t="s">
        <v>1398</v>
      </c>
      <c r="B248" s="134">
        <v>8.5</v>
      </c>
      <c r="C248" s="2"/>
      <c r="D248" s="4" t="s">
        <v>1343</v>
      </c>
      <c r="E248" s="134">
        <v>10</v>
      </c>
      <c r="F248" s="2"/>
      <c r="G248" s="4" t="s">
        <v>1384</v>
      </c>
      <c r="H248" s="134">
        <v>9</v>
      </c>
      <c r="I248" s="2"/>
      <c r="J248" s="4" t="s">
        <v>1364</v>
      </c>
      <c r="K248" s="134">
        <v>8</v>
      </c>
      <c r="L248" s="2"/>
      <c r="M248" s="2"/>
      <c r="N248" s="2"/>
      <c r="O248" s="16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ht="16" customHeight="1" thickBot="1" x14ac:dyDescent="0.25">
      <c r="A249" s="4" t="s">
        <v>1399</v>
      </c>
      <c r="B249" s="134">
        <v>8.5</v>
      </c>
      <c r="C249" s="2"/>
      <c r="D249" s="4" t="s">
        <v>1344</v>
      </c>
      <c r="E249" s="134">
        <v>8.5</v>
      </c>
      <c r="F249" s="2"/>
      <c r="G249" s="4" t="s">
        <v>15</v>
      </c>
      <c r="H249" s="134">
        <v>10</v>
      </c>
      <c r="I249" s="2"/>
      <c r="J249" s="4" t="s">
        <v>1365</v>
      </c>
      <c r="K249" s="134">
        <v>8.5</v>
      </c>
      <c r="L249" s="2"/>
      <c r="M249" s="144" t="s">
        <v>1414</v>
      </c>
      <c r="N249" s="12">
        <f>ROUND(SUM(N250:N275)/COUNT(N250:N275), 2)</f>
        <v>8.67</v>
      </c>
      <c r="O249" s="16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ht="16" customHeight="1" thickBot="1" x14ac:dyDescent="0.25">
      <c r="A250" s="4" t="s">
        <v>1400</v>
      </c>
      <c r="B250" s="134"/>
      <c r="C250" s="2"/>
      <c r="D250" s="4" t="s">
        <v>1345</v>
      </c>
      <c r="E250" s="134">
        <v>9</v>
      </c>
      <c r="F250" s="2"/>
      <c r="G250" s="4" t="s">
        <v>1385</v>
      </c>
      <c r="H250" s="134">
        <v>9</v>
      </c>
      <c r="I250" s="2"/>
      <c r="J250" s="7" t="s">
        <v>1366</v>
      </c>
      <c r="K250" s="135">
        <v>8</v>
      </c>
      <c r="L250" s="2"/>
      <c r="M250" s="11" t="s">
        <v>1413</v>
      </c>
      <c r="N250" s="133">
        <v>10</v>
      </c>
      <c r="O250" s="16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ht="16" customHeight="1" thickBot="1" x14ac:dyDescent="0.25">
      <c r="A251" s="4" t="s">
        <v>1401</v>
      </c>
      <c r="B251" s="134">
        <v>8</v>
      </c>
      <c r="C251" s="2"/>
      <c r="D251" s="4" t="s">
        <v>1346</v>
      </c>
      <c r="E251" s="134">
        <v>8.5</v>
      </c>
      <c r="F251" s="2"/>
      <c r="G251" s="4" t="s">
        <v>1386</v>
      </c>
      <c r="H251" s="134">
        <v>8.5</v>
      </c>
      <c r="I251" s="2"/>
      <c r="J251" s="2"/>
      <c r="K251" s="2"/>
      <c r="L251" s="2"/>
      <c r="M251" s="4" t="s">
        <v>1415</v>
      </c>
      <c r="N251" s="134">
        <v>9</v>
      </c>
      <c r="O251" s="16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ht="16" customHeight="1" thickBot="1" x14ac:dyDescent="0.25">
      <c r="A252" s="4" t="s">
        <v>1402</v>
      </c>
      <c r="B252" s="134">
        <v>10</v>
      </c>
      <c r="C252" s="2"/>
      <c r="D252" s="7" t="s">
        <v>1347</v>
      </c>
      <c r="E252" s="135">
        <v>8</v>
      </c>
      <c r="F252" s="2"/>
      <c r="G252" s="4" t="s">
        <v>1387</v>
      </c>
      <c r="H252" s="134">
        <v>8</v>
      </c>
      <c r="I252" s="2"/>
      <c r="J252" s="114" t="s">
        <v>1454</v>
      </c>
      <c r="K252" s="1">
        <f>ROUND(SUM(K253:K262)/COUNT(K253:K262), 2)</f>
        <v>8</v>
      </c>
      <c r="L252" s="2"/>
      <c r="M252" s="4" t="s">
        <v>1416</v>
      </c>
      <c r="N252" s="134">
        <v>8.5</v>
      </c>
      <c r="O252" s="16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ht="16" customHeight="1" thickBot="1" x14ac:dyDescent="0.25">
      <c r="A253" s="4" t="s">
        <v>1403</v>
      </c>
      <c r="B253" s="134">
        <v>10.5</v>
      </c>
      <c r="C253" s="2"/>
      <c r="D253" s="2"/>
      <c r="E253" s="2"/>
      <c r="F253" s="2"/>
      <c r="G253" s="4" t="s">
        <v>1388</v>
      </c>
      <c r="H253" s="134">
        <v>9</v>
      </c>
      <c r="I253" s="2"/>
      <c r="J253" s="11" t="s">
        <v>1444</v>
      </c>
      <c r="K253" s="133">
        <v>8.5</v>
      </c>
      <c r="L253" s="2"/>
      <c r="M253" s="4" t="s">
        <v>1417</v>
      </c>
      <c r="N253" s="134">
        <v>8</v>
      </c>
      <c r="O253" s="16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ht="16" customHeight="1" thickBot="1" x14ac:dyDescent="0.25">
      <c r="A254" s="4" t="s">
        <v>1404</v>
      </c>
      <c r="B254" s="134">
        <v>9</v>
      </c>
      <c r="C254" s="2"/>
      <c r="D254" s="115" t="s">
        <v>1458</v>
      </c>
      <c r="E254" s="1">
        <f>ROUND(SUM(E255:E264)/COUNT(E255:E264), 2)</f>
        <v>8.44</v>
      </c>
      <c r="F254" s="2"/>
      <c r="G254" s="4" t="s">
        <v>1389</v>
      </c>
      <c r="H254" s="134">
        <v>8</v>
      </c>
      <c r="I254" s="2"/>
      <c r="J254" s="4" t="s">
        <v>1445</v>
      </c>
      <c r="K254" s="134">
        <v>7.5</v>
      </c>
      <c r="L254" s="2"/>
      <c r="M254" s="4" t="s">
        <v>1418</v>
      </c>
      <c r="N254" s="134">
        <v>10.5</v>
      </c>
      <c r="O254" s="16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ht="16" customHeight="1" x14ac:dyDescent="0.2">
      <c r="A255" s="4" t="s">
        <v>1405</v>
      </c>
      <c r="B255" s="134">
        <v>8</v>
      </c>
      <c r="C255" s="2"/>
      <c r="D255" s="11" t="s">
        <v>1459</v>
      </c>
      <c r="E255" s="133">
        <v>8.5</v>
      </c>
      <c r="F255" s="2"/>
      <c r="G255" s="4" t="s">
        <v>1390</v>
      </c>
      <c r="H255" s="134">
        <v>8</v>
      </c>
      <c r="I255" s="2"/>
      <c r="J255" s="4" t="s">
        <v>1446</v>
      </c>
      <c r="K255" s="134">
        <v>9.5</v>
      </c>
      <c r="L255" s="2"/>
      <c r="M255" s="4" t="s">
        <v>1419</v>
      </c>
      <c r="N255" s="134">
        <v>9.5</v>
      </c>
      <c r="O255" s="16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ht="16" customHeight="1" thickBot="1" x14ac:dyDescent="0.25">
      <c r="A256" s="4" t="s">
        <v>1406</v>
      </c>
      <c r="B256" s="134">
        <v>8</v>
      </c>
      <c r="C256" s="2"/>
      <c r="D256" s="4" t="s">
        <v>1460</v>
      </c>
      <c r="E256" s="134">
        <v>10</v>
      </c>
      <c r="F256" s="2"/>
      <c r="G256" s="7" t="s">
        <v>1391</v>
      </c>
      <c r="H256" s="135">
        <v>8</v>
      </c>
      <c r="I256" s="2"/>
      <c r="J256" s="4" t="s">
        <v>1447</v>
      </c>
      <c r="K256" s="134">
        <v>7.5</v>
      </c>
      <c r="L256" s="2"/>
      <c r="M256" s="4" t="s">
        <v>9</v>
      </c>
      <c r="N256" s="134">
        <v>8</v>
      </c>
      <c r="O256" s="1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ht="16" customHeight="1" thickBot="1" x14ac:dyDescent="0.25">
      <c r="A257" s="4" t="s">
        <v>1407</v>
      </c>
      <c r="B257" s="134">
        <v>8.5</v>
      </c>
      <c r="C257" s="2"/>
      <c r="D257" s="4" t="s">
        <v>1461</v>
      </c>
      <c r="E257" s="134">
        <v>9.5</v>
      </c>
      <c r="F257" s="2"/>
      <c r="G257" s="2"/>
      <c r="H257" s="2"/>
      <c r="I257" s="2"/>
      <c r="J257" s="4" t="s">
        <v>1448</v>
      </c>
      <c r="K257" s="134">
        <v>9</v>
      </c>
      <c r="L257" s="2"/>
      <c r="M257" s="4" t="s">
        <v>1420</v>
      </c>
      <c r="N257" s="134">
        <v>10.5</v>
      </c>
      <c r="O257" s="16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ht="16" customHeight="1" thickBot="1" x14ac:dyDescent="0.25">
      <c r="A258" s="7" t="s">
        <v>1408</v>
      </c>
      <c r="B258" s="135">
        <v>8.5</v>
      </c>
      <c r="C258" s="2"/>
      <c r="D258" s="4" t="s">
        <v>1462</v>
      </c>
      <c r="E258" s="134">
        <v>10</v>
      </c>
      <c r="F258" s="2"/>
      <c r="G258" s="116" t="s">
        <v>1471</v>
      </c>
      <c r="H258" s="12">
        <f>ROUND(SUM(H259:H263)/COUNT(H259:H263), 2)</f>
        <v>9.1</v>
      </c>
      <c r="I258" s="2"/>
      <c r="J258" s="4" t="s">
        <v>1449</v>
      </c>
      <c r="K258" s="134">
        <v>6.5</v>
      </c>
      <c r="L258" s="2"/>
      <c r="M258" s="4" t="s">
        <v>1421</v>
      </c>
      <c r="N258" s="134">
        <v>10.5</v>
      </c>
      <c r="O258" s="16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ht="16" customHeight="1" thickBot="1" x14ac:dyDescent="0.25">
      <c r="A259" s="2"/>
      <c r="B259" s="2"/>
      <c r="C259" s="2"/>
      <c r="D259" s="4" t="s">
        <v>1463</v>
      </c>
      <c r="E259" s="134"/>
      <c r="F259" s="2"/>
      <c r="G259" s="11" t="s">
        <v>1472</v>
      </c>
      <c r="H259" s="133">
        <v>8.5</v>
      </c>
      <c r="I259" s="2"/>
      <c r="J259" s="4" t="s">
        <v>1450</v>
      </c>
      <c r="K259" s="134"/>
      <c r="L259" s="2"/>
      <c r="M259" s="4" t="s">
        <v>1422</v>
      </c>
      <c r="N259" s="134">
        <v>9</v>
      </c>
      <c r="O259" s="16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ht="16" customHeight="1" thickBot="1" x14ac:dyDescent="0.25">
      <c r="A260" s="117" t="s">
        <v>1480</v>
      </c>
      <c r="B260" s="1">
        <f>ROUND(SUM(B261:B270)/COUNT(B261:B270), 2)</f>
        <v>8.75</v>
      </c>
      <c r="C260" s="2"/>
      <c r="D260" s="4" t="s">
        <v>1464</v>
      </c>
      <c r="E260" s="134">
        <v>8</v>
      </c>
      <c r="F260" s="2"/>
      <c r="G260" s="4" t="s">
        <v>1473</v>
      </c>
      <c r="H260" s="134">
        <v>10</v>
      </c>
      <c r="I260" s="2"/>
      <c r="J260" s="4" t="s">
        <v>1451</v>
      </c>
      <c r="K260" s="134">
        <v>7.5</v>
      </c>
      <c r="L260" s="2"/>
      <c r="M260" s="4" t="s">
        <v>1423</v>
      </c>
      <c r="N260" s="134">
        <v>8.5</v>
      </c>
      <c r="O260" s="16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ht="16" customHeight="1" x14ac:dyDescent="0.2">
      <c r="A261" s="4" t="s">
        <v>1481</v>
      </c>
      <c r="B261" s="134">
        <v>8</v>
      </c>
      <c r="C261" s="2"/>
      <c r="D261" s="4" t="s">
        <v>1465</v>
      </c>
      <c r="E261" s="134">
        <v>9</v>
      </c>
      <c r="F261" s="2"/>
      <c r="G261" s="4" t="s">
        <v>1474</v>
      </c>
      <c r="H261" s="134">
        <v>9</v>
      </c>
      <c r="I261" s="2"/>
      <c r="J261" s="4" t="s">
        <v>1452</v>
      </c>
      <c r="K261" s="134">
        <v>8.5</v>
      </c>
      <c r="L261" s="2"/>
      <c r="M261" s="4" t="s">
        <v>1424</v>
      </c>
      <c r="N261" s="134">
        <v>8</v>
      </c>
      <c r="O261" s="16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ht="16" customHeight="1" thickBot="1" x14ac:dyDescent="0.25">
      <c r="A262" s="4" t="s">
        <v>1482</v>
      </c>
      <c r="B262" s="134">
        <v>9.5</v>
      </c>
      <c r="C262" s="2"/>
      <c r="D262" s="4" t="s">
        <v>1466</v>
      </c>
      <c r="E262" s="134">
        <v>8</v>
      </c>
      <c r="F262" s="2"/>
      <c r="G262" s="4" t="s">
        <v>1475</v>
      </c>
      <c r="H262" s="134">
        <v>8</v>
      </c>
      <c r="I262" s="2"/>
      <c r="J262" s="7" t="s">
        <v>1453</v>
      </c>
      <c r="K262" s="135">
        <v>7.5</v>
      </c>
      <c r="L262" s="2"/>
      <c r="M262" s="4" t="s">
        <v>1425</v>
      </c>
      <c r="N262" s="134">
        <v>8</v>
      </c>
      <c r="O262" s="16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ht="16" customHeight="1" thickBot="1" x14ac:dyDescent="0.25">
      <c r="A263" s="4" t="s">
        <v>1483</v>
      </c>
      <c r="B263" s="134">
        <v>10</v>
      </c>
      <c r="C263" s="2"/>
      <c r="D263" s="4" t="s">
        <v>1467</v>
      </c>
      <c r="E263" s="134">
        <v>7</v>
      </c>
      <c r="F263" s="2"/>
      <c r="G263" s="7" t="s">
        <v>1476</v>
      </c>
      <c r="H263" s="135">
        <v>10</v>
      </c>
      <c r="I263" s="2"/>
      <c r="J263" s="2"/>
      <c r="K263" s="2"/>
      <c r="L263" s="2"/>
      <c r="M263" s="4" t="s">
        <v>1426</v>
      </c>
      <c r="N263" s="134">
        <v>7.5</v>
      </c>
      <c r="O263" s="16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ht="16" customHeight="1" thickBot="1" x14ac:dyDescent="0.25">
      <c r="A264" s="4" t="s">
        <v>1484</v>
      </c>
      <c r="B264" s="134">
        <v>9.5</v>
      </c>
      <c r="C264" s="2"/>
      <c r="D264" s="7" t="s">
        <v>1468</v>
      </c>
      <c r="E264" s="135">
        <v>6</v>
      </c>
      <c r="F264" s="2"/>
      <c r="G264" s="2"/>
      <c r="H264" s="2"/>
      <c r="I264" s="2"/>
      <c r="J264" s="118" t="s">
        <v>1495</v>
      </c>
      <c r="K264" s="1">
        <f>ROUND(SUM(K265:K274)/COUNT(K265:K274), 2)</f>
        <v>8.94</v>
      </c>
      <c r="L264" s="2"/>
      <c r="M264" s="4" t="s">
        <v>1427</v>
      </c>
      <c r="N264" s="134">
        <v>8</v>
      </c>
      <c r="O264" s="16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ht="16" customHeight="1" thickBot="1" x14ac:dyDescent="0.25">
      <c r="A265" s="4" t="s">
        <v>1485</v>
      </c>
      <c r="B265" s="134">
        <v>8</v>
      </c>
      <c r="C265" s="2"/>
      <c r="D265" s="2"/>
      <c r="E265" s="2"/>
      <c r="F265" s="2"/>
      <c r="G265" s="120" t="s">
        <v>1529</v>
      </c>
      <c r="H265" s="12">
        <f>ROUND(SUM(H266:H274)/COUNT(H266:H274), 2)</f>
        <v>8.75</v>
      </c>
      <c r="I265" s="2"/>
      <c r="J265" s="11" t="s">
        <v>1496</v>
      </c>
      <c r="K265" s="133">
        <v>8</v>
      </c>
      <c r="L265" s="2"/>
      <c r="M265" s="4" t="s">
        <v>1428</v>
      </c>
      <c r="N265" s="134">
        <v>9</v>
      </c>
      <c r="O265" s="16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ht="16" customHeight="1" thickBot="1" x14ac:dyDescent="0.25">
      <c r="A266" s="4" t="s">
        <v>1486</v>
      </c>
      <c r="B266" s="134">
        <v>8.5</v>
      </c>
      <c r="C266" s="2"/>
      <c r="D266" s="119" t="s">
        <v>1506</v>
      </c>
      <c r="E266" s="12">
        <f>ROUND(SUM(E267:E276)/COUNT(E267:E276), 2)</f>
        <v>8.6</v>
      </c>
      <c r="F266" s="2"/>
      <c r="G266" s="11" t="s">
        <v>1520</v>
      </c>
      <c r="H266" s="133">
        <v>8.5</v>
      </c>
      <c r="I266" s="2"/>
      <c r="J266" s="4" t="s">
        <v>1497</v>
      </c>
      <c r="K266" s="134">
        <v>8.5</v>
      </c>
      <c r="L266" s="2"/>
      <c r="M266" s="4" t="s">
        <v>1429</v>
      </c>
      <c r="N266" s="134">
        <v>8</v>
      </c>
      <c r="O266" s="1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ht="16" customHeight="1" x14ac:dyDescent="0.2">
      <c r="A267" s="4" t="s">
        <v>1487</v>
      </c>
      <c r="B267" s="134">
        <v>8.5</v>
      </c>
      <c r="C267" s="2"/>
      <c r="D267" s="11" t="s">
        <v>1507</v>
      </c>
      <c r="E267" s="133">
        <v>9.5</v>
      </c>
      <c r="F267" s="2"/>
      <c r="G267" s="4" t="s">
        <v>1521</v>
      </c>
      <c r="H267" s="134">
        <v>10</v>
      </c>
      <c r="I267" s="2"/>
      <c r="J267" s="4" t="s">
        <v>1498</v>
      </c>
      <c r="K267" s="134">
        <v>8.5</v>
      </c>
      <c r="L267" s="2"/>
      <c r="M267" s="4" t="s">
        <v>1430</v>
      </c>
      <c r="N267" s="134">
        <v>7.5</v>
      </c>
      <c r="O267" s="16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ht="16" customHeight="1" x14ac:dyDescent="0.2">
      <c r="A268" s="4" t="s">
        <v>1488</v>
      </c>
      <c r="B268" s="134">
        <v>8</v>
      </c>
      <c r="C268" s="2"/>
      <c r="D268" s="4" t="s">
        <v>1508</v>
      </c>
      <c r="E268" s="134">
        <v>8.5</v>
      </c>
      <c r="F268" s="2"/>
      <c r="G268" s="4" t="s">
        <v>1528</v>
      </c>
      <c r="H268" s="134">
        <v>9</v>
      </c>
      <c r="I268" s="2"/>
      <c r="J268" s="4" t="s">
        <v>1499</v>
      </c>
      <c r="K268" s="134">
        <v>9</v>
      </c>
      <c r="L268" s="2"/>
      <c r="M268" s="4" t="s">
        <v>1431</v>
      </c>
      <c r="N268" s="134">
        <v>8</v>
      </c>
      <c r="O268" s="16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ht="16" customHeight="1" x14ac:dyDescent="0.2">
      <c r="A269" s="4" t="s">
        <v>1489</v>
      </c>
      <c r="B269" s="134">
        <v>7.5</v>
      </c>
      <c r="C269" s="2"/>
      <c r="D269" s="4" t="s">
        <v>1509</v>
      </c>
      <c r="E269" s="134">
        <v>8.5</v>
      </c>
      <c r="F269" s="2"/>
      <c r="G269" s="4" t="s">
        <v>1522</v>
      </c>
      <c r="H269" s="134">
        <v>8.5</v>
      </c>
      <c r="I269" s="2"/>
      <c r="J269" s="4" t="s">
        <v>1500</v>
      </c>
      <c r="K269" s="134">
        <v>10</v>
      </c>
      <c r="L269" s="2"/>
      <c r="M269" s="4" t="s">
        <v>1432</v>
      </c>
      <c r="N269" s="134">
        <v>7.5</v>
      </c>
      <c r="O269" s="16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ht="16" customHeight="1" thickBot="1" x14ac:dyDescent="0.25">
      <c r="A270" s="7" t="s">
        <v>1490</v>
      </c>
      <c r="B270" s="135">
        <v>10</v>
      </c>
      <c r="C270" s="2"/>
      <c r="D270" s="4" t="s">
        <v>1510</v>
      </c>
      <c r="E270" s="134">
        <v>8</v>
      </c>
      <c r="F270" s="2"/>
      <c r="G270" s="4" t="s">
        <v>1523</v>
      </c>
      <c r="H270" s="134">
        <v>8.5</v>
      </c>
      <c r="I270" s="2"/>
      <c r="J270" s="4" t="s">
        <v>1501</v>
      </c>
      <c r="K270" s="134">
        <v>10.5</v>
      </c>
      <c r="L270" s="2"/>
      <c r="M270" s="4" t="s">
        <v>1433</v>
      </c>
      <c r="N270" s="134">
        <v>7.5</v>
      </c>
      <c r="O270" s="16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ht="16" customHeight="1" thickBot="1" x14ac:dyDescent="0.25">
      <c r="A271" s="2"/>
      <c r="B271" s="2"/>
      <c r="C271" s="2"/>
      <c r="D271" s="4" t="s">
        <v>1511</v>
      </c>
      <c r="E271" s="134">
        <v>7.5</v>
      </c>
      <c r="F271" s="2"/>
      <c r="G271" s="4" t="s">
        <v>1524</v>
      </c>
      <c r="H271" s="134"/>
      <c r="I271" s="2"/>
      <c r="J271" s="4" t="s">
        <v>1502</v>
      </c>
      <c r="K271" s="134"/>
      <c r="L271" s="2"/>
      <c r="M271" s="4" t="s">
        <v>1434</v>
      </c>
      <c r="N271" s="134">
        <v>7.5</v>
      </c>
      <c r="O271" s="16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ht="16" customHeight="1" thickBot="1" x14ac:dyDescent="0.25">
      <c r="A272" s="121" t="s">
        <v>1534</v>
      </c>
      <c r="B272" s="12">
        <f>ROUND(SUM(B273:B277)/COUNT(B273:B277), 2)</f>
        <v>8.4</v>
      </c>
      <c r="C272" s="2"/>
      <c r="D272" s="4" t="s">
        <v>1512</v>
      </c>
      <c r="E272" s="134">
        <v>9.5</v>
      </c>
      <c r="F272" s="2"/>
      <c r="G272" s="4" t="s">
        <v>1525</v>
      </c>
      <c r="H272" s="134">
        <v>8.5</v>
      </c>
      <c r="I272" s="2"/>
      <c r="J272" s="4" t="s">
        <v>1503</v>
      </c>
      <c r="K272" s="134">
        <v>9</v>
      </c>
      <c r="L272" s="2"/>
      <c r="M272" s="4" t="s">
        <v>1435</v>
      </c>
      <c r="N272" s="134">
        <v>9</v>
      </c>
      <c r="O272" s="16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ht="16" customHeight="1" x14ac:dyDescent="0.2">
      <c r="A273" s="4" t="s">
        <v>1535</v>
      </c>
      <c r="B273" s="134">
        <v>8.5</v>
      </c>
      <c r="C273" s="2"/>
      <c r="D273" s="4" t="s">
        <v>1513</v>
      </c>
      <c r="E273" s="134">
        <v>10</v>
      </c>
      <c r="F273" s="2"/>
      <c r="G273" s="4" t="s">
        <v>1526</v>
      </c>
      <c r="H273" s="134">
        <v>9</v>
      </c>
      <c r="I273" s="2"/>
      <c r="J273" s="4" t="s">
        <v>1504</v>
      </c>
      <c r="K273" s="134">
        <v>8.5</v>
      </c>
      <c r="L273" s="2"/>
      <c r="M273" s="4" t="s">
        <v>1436</v>
      </c>
      <c r="N273" s="134">
        <v>10</v>
      </c>
      <c r="O273" s="16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ht="16" customHeight="1" thickBot="1" x14ac:dyDescent="0.25">
      <c r="A274" s="4" t="s">
        <v>1536</v>
      </c>
      <c r="B274" s="134">
        <v>9</v>
      </c>
      <c r="C274" s="2"/>
      <c r="D274" s="4" t="s">
        <v>1514</v>
      </c>
      <c r="E274" s="134">
        <v>8</v>
      </c>
      <c r="F274" s="2"/>
      <c r="G274" s="7" t="s">
        <v>1527</v>
      </c>
      <c r="H274" s="135">
        <v>8</v>
      </c>
      <c r="I274" s="2"/>
      <c r="J274" s="7" t="s">
        <v>1505</v>
      </c>
      <c r="K274" s="135">
        <v>8.5</v>
      </c>
      <c r="L274" s="2"/>
      <c r="M274" s="4" t="s">
        <v>1437</v>
      </c>
      <c r="N274" s="134">
        <v>9</v>
      </c>
      <c r="O274" s="16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ht="16" customHeight="1" thickBot="1" x14ac:dyDescent="0.25">
      <c r="A275" s="4" t="s">
        <v>1537</v>
      </c>
      <c r="B275" s="134">
        <v>8.5</v>
      </c>
      <c r="C275" s="2"/>
      <c r="D275" s="4" t="s">
        <v>1515</v>
      </c>
      <c r="E275" s="134">
        <v>7.5</v>
      </c>
      <c r="F275" s="2"/>
      <c r="G275" s="2"/>
      <c r="H275" s="2"/>
      <c r="I275" s="2"/>
      <c r="J275" s="2"/>
      <c r="K275" s="2"/>
      <c r="L275" s="2"/>
      <c r="M275" s="7" t="s">
        <v>1438</v>
      </c>
      <c r="N275" s="135">
        <v>9</v>
      </c>
      <c r="O275" s="16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ht="16" customHeight="1" thickBot="1" x14ac:dyDescent="0.25">
      <c r="A276" s="4" t="s">
        <v>1538</v>
      </c>
      <c r="B276" s="134">
        <v>8</v>
      </c>
      <c r="C276" s="2"/>
      <c r="D276" s="7" t="s">
        <v>1516</v>
      </c>
      <c r="E276" s="135">
        <v>9</v>
      </c>
      <c r="F276" s="2"/>
      <c r="G276" s="122" t="s">
        <v>1544</v>
      </c>
      <c r="H276" s="1">
        <f>ROUND(SUM(H277:H286)/COUNT(H277:H286), 2)</f>
        <v>8.85</v>
      </c>
      <c r="I276" s="2"/>
      <c r="J276" s="123" t="s">
        <v>1567</v>
      </c>
      <c r="K276" s="1">
        <f>ROUND(SUM(K277:K284)/COUNT(K277:K284), 2)</f>
        <v>8.93</v>
      </c>
      <c r="L276" s="2"/>
      <c r="M276" s="2"/>
      <c r="N276" s="2"/>
      <c r="O276" s="1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ht="16" customHeight="1" thickBot="1" x14ac:dyDescent="0.25">
      <c r="A277" s="7" t="s">
        <v>1539</v>
      </c>
      <c r="B277" s="135">
        <v>8</v>
      </c>
      <c r="C277" s="2"/>
      <c r="D277" s="2"/>
      <c r="E277" s="2"/>
      <c r="F277" s="2"/>
      <c r="G277" s="11" t="s">
        <v>1545</v>
      </c>
      <c r="H277" s="133">
        <v>9.5</v>
      </c>
      <c r="I277" s="2"/>
      <c r="J277" s="11" t="s">
        <v>1557</v>
      </c>
      <c r="K277" s="133">
        <v>8.5</v>
      </c>
      <c r="L277" s="2"/>
      <c r="M277" s="125" t="s">
        <v>1578</v>
      </c>
      <c r="N277" s="1">
        <f>ROUND(SUM(N278:N282)/COUNT(N278:N282), 2)</f>
        <v>8.4</v>
      </c>
      <c r="O277" s="16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ht="16" customHeight="1" thickBot="1" x14ac:dyDescent="0.25">
      <c r="A278" s="2"/>
      <c r="B278" s="2"/>
      <c r="C278" s="2"/>
      <c r="D278" s="124" t="s">
        <v>1568</v>
      </c>
      <c r="E278" s="12">
        <f>ROUND(SUM(E279:E286)/COUNT(E279:E286), 2)</f>
        <v>8.81</v>
      </c>
      <c r="F278" s="2"/>
      <c r="G278" s="4" t="s">
        <v>1546</v>
      </c>
      <c r="H278" s="134">
        <v>9</v>
      </c>
      <c r="I278" s="2"/>
      <c r="J278" s="4" t="s">
        <v>1558</v>
      </c>
      <c r="K278" s="134">
        <v>10</v>
      </c>
      <c r="L278" s="2"/>
      <c r="M278" s="4" t="s">
        <v>1579</v>
      </c>
      <c r="N278" s="134">
        <v>8</v>
      </c>
      <c r="O278" s="16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ht="16" customHeight="1" thickBot="1" x14ac:dyDescent="0.25">
      <c r="A279" s="126" t="s">
        <v>1585</v>
      </c>
      <c r="B279" s="12">
        <f>ROUND(SUM(B280:B307)/COUNT(B280:B307), 2)</f>
        <v>8.57</v>
      </c>
      <c r="C279" s="2"/>
      <c r="D279" s="11" t="s">
        <v>1569</v>
      </c>
      <c r="E279" s="133">
        <v>8</v>
      </c>
      <c r="F279" s="2"/>
      <c r="G279" s="4" t="s">
        <v>1547</v>
      </c>
      <c r="H279" s="134">
        <v>10</v>
      </c>
      <c r="I279" s="2"/>
      <c r="J279" s="4" t="s">
        <v>1559</v>
      </c>
      <c r="K279" s="134"/>
      <c r="L279" s="2"/>
      <c r="M279" s="4" t="s">
        <v>1580</v>
      </c>
      <c r="N279" s="134">
        <v>7.5</v>
      </c>
      <c r="O279" s="16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ht="16" customHeight="1" x14ac:dyDescent="0.2">
      <c r="A280" s="11" t="s">
        <v>1586</v>
      </c>
      <c r="B280" s="133"/>
      <c r="C280" s="2"/>
      <c r="D280" s="4" t="s">
        <v>1570</v>
      </c>
      <c r="E280" s="134">
        <v>8.5</v>
      </c>
      <c r="F280" s="2"/>
      <c r="G280" s="4" t="s">
        <v>1548</v>
      </c>
      <c r="H280" s="134">
        <v>8.5</v>
      </c>
      <c r="I280" s="2"/>
      <c r="J280" s="4" t="s">
        <v>1560</v>
      </c>
      <c r="K280" s="134">
        <v>8.5</v>
      </c>
      <c r="L280" s="2"/>
      <c r="M280" s="4" t="s">
        <v>1581</v>
      </c>
      <c r="N280" s="134">
        <v>8</v>
      </c>
      <c r="O280" s="16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ht="16" customHeight="1" x14ac:dyDescent="0.2">
      <c r="A281" s="4" t="s">
        <v>1587</v>
      </c>
      <c r="B281" s="134">
        <v>10</v>
      </c>
      <c r="C281" s="2"/>
      <c r="D281" s="4" t="s">
        <v>1571</v>
      </c>
      <c r="E281" s="134">
        <v>8</v>
      </c>
      <c r="F281" s="2"/>
      <c r="G281" s="4" t="s">
        <v>1549</v>
      </c>
      <c r="H281" s="134">
        <v>8</v>
      </c>
      <c r="I281" s="2"/>
      <c r="J281" s="4" t="s">
        <v>1561</v>
      </c>
      <c r="K281" s="134">
        <v>10.5</v>
      </c>
      <c r="L281" s="2"/>
      <c r="M281" s="4" t="s">
        <v>1582</v>
      </c>
      <c r="N281" s="134">
        <v>8.5</v>
      </c>
      <c r="O281" s="16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ht="16" customHeight="1" thickBot="1" x14ac:dyDescent="0.25">
      <c r="A282" s="4" t="s">
        <v>1588</v>
      </c>
      <c r="B282" s="134">
        <v>8</v>
      </c>
      <c r="C282" s="2"/>
      <c r="D282" s="4" t="s">
        <v>1572</v>
      </c>
      <c r="E282" s="134">
        <v>8.5</v>
      </c>
      <c r="F282" s="2"/>
      <c r="G282" s="4" t="s">
        <v>1550</v>
      </c>
      <c r="H282" s="134">
        <v>8.5</v>
      </c>
      <c r="I282" s="2"/>
      <c r="J282" s="4" t="s">
        <v>1562</v>
      </c>
      <c r="K282" s="134">
        <v>8</v>
      </c>
      <c r="L282" s="2"/>
      <c r="M282" s="7" t="s">
        <v>1583</v>
      </c>
      <c r="N282" s="135">
        <v>10</v>
      </c>
      <c r="O282" s="16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ht="16" customHeight="1" thickBot="1" x14ac:dyDescent="0.25">
      <c r="A283" s="4" t="s">
        <v>1589</v>
      </c>
      <c r="B283" s="134">
        <v>9.5</v>
      </c>
      <c r="C283" s="2"/>
      <c r="D283" s="4" t="s">
        <v>1573</v>
      </c>
      <c r="E283" s="134">
        <v>10</v>
      </c>
      <c r="F283" s="2"/>
      <c r="G283" s="4" t="s">
        <v>1551</v>
      </c>
      <c r="H283" s="134">
        <v>8.5</v>
      </c>
      <c r="I283" s="2"/>
      <c r="J283" s="4" t="s">
        <v>1563</v>
      </c>
      <c r="K283" s="134">
        <v>9</v>
      </c>
      <c r="L283" s="2"/>
      <c r="M283" s="2"/>
      <c r="N283" s="2"/>
      <c r="O283" s="16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ht="16" customHeight="1" thickBot="1" x14ac:dyDescent="0.25">
      <c r="A284" s="4" t="s">
        <v>1590</v>
      </c>
      <c r="B284" s="134">
        <v>8</v>
      </c>
      <c r="C284" s="2"/>
      <c r="D284" s="4" t="s">
        <v>1574</v>
      </c>
      <c r="E284" s="134">
        <v>9.5</v>
      </c>
      <c r="F284" s="2"/>
      <c r="G284" s="4" t="s">
        <v>1552</v>
      </c>
      <c r="H284" s="134">
        <v>9</v>
      </c>
      <c r="I284" s="2"/>
      <c r="J284" s="7" t="s">
        <v>1564</v>
      </c>
      <c r="K284" s="135">
        <v>8</v>
      </c>
      <c r="L284" s="2"/>
      <c r="M284" s="132" t="s">
        <v>1614</v>
      </c>
      <c r="N284" s="127">
        <f>ROUND(SUM(N285:N295)/COUNT(N285:N295), 2)</f>
        <v>8.91</v>
      </c>
      <c r="O284" s="16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ht="16" customHeight="1" thickBot="1" x14ac:dyDescent="0.25">
      <c r="A285" s="4" t="s">
        <v>1591</v>
      </c>
      <c r="B285" s="134">
        <v>10</v>
      </c>
      <c r="C285" s="2"/>
      <c r="D285" s="4" t="s">
        <v>1575</v>
      </c>
      <c r="E285" s="134">
        <v>8</v>
      </c>
      <c r="F285" s="2"/>
      <c r="G285" s="4" t="s">
        <v>1553</v>
      </c>
      <c r="H285" s="134">
        <v>8.5</v>
      </c>
      <c r="I285" s="2"/>
      <c r="J285" s="2"/>
      <c r="K285" s="2"/>
      <c r="L285" s="2"/>
      <c r="M285" s="11" t="s">
        <v>1615</v>
      </c>
      <c r="N285" s="133">
        <v>9</v>
      </c>
      <c r="O285" s="16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ht="16" customHeight="1" thickBot="1" x14ac:dyDescent="0.25">
      <c r="A286" s="4" t="s">
        <v>1592</v>
      </c>
      <c r="B286" s="134">
        <v>9</v>
      </c>
      <c r="C286" s="2"/>
      <c r="D286" s="7" t="s">
        <v>1576</v>
      </c>
      <c r="E286" s="135">
        <v>10</v>
      </c>
      <c r="F286" s="2"/>
      <c r="G286" s="7" t="s">
        <v>1554</v>
      </c>
      <c r="H286" s="135">
        <v>9</v>
      </c>
      <c r="I286" s="2"/>
      <c r="J286" s="128" t="s">
        <v>1635</v>
      </c>
      <c r="K286" s="1">
        <f>ROUND(SUM(K287:K294)/COUNT(K287:K294), 2)</f>
        <v>8.25</v>
      </c>
      <c r="L286" s="2"/>
      <c r="M286" s="4" t="s">
        <v>1616</v>
      </c>
      <c r="N286" s="134">
        <v>9.5</v>
      </c>
      <c r="O286" s="1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ht="16" customHeight="1" thickBot="1" x14ac:dyDescent="0.25">
      <c r="A287" s="4" t="s">
        <v>1593</v>
      </c>
      <c r="B287" s="134">
        <v>8.5</v>
      </c>
      <c r="C287" s="2"/>
      <c r="D287" s="2"/>
      <c r="E287" s="2"/>
      <c r="F287" s="2"/>
      <c r="G287" s="2"/>
      <c r="H287" s="2"/>
      <c r="I287" s="2"/>
      <c r="J287" s="4" t="s">
        <v>1627</v>
      </c>
      <c r="K287" s="134">
        <v>9.5</v>
      </c>
      <c r="L287" s="2"/>
      <c r="M287" s="4" t="s">
        <v>1617</v>
      </c>
      <c r="N287" s="134">
        <v>9</v>
      </c>
      <c r="O287" s="16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ht="16" customHeight="1" thickBot="1" x14ac:dyDescent="0.25">
      <c r="A288" s="4" t="s">
        <v>1594</v>
      </c>
      <c r="B288" s="134">
        <v>7.5</v>
      </c>
      <c r="C288" s="2"/>
      <c r="D288" s="129" t="s">
        <v>1637</v>
      </c>
      <c r="E288" s="12">
        <f>ROUND(SUM(E289:E297)/COUNT(E289:E297), 2)</f>
        <v>8.5</v>
      </c>
      <c r="F288" s="2"/>
      <c r="G288" s="362" t="s">
        <v>3076</v>
      </c>
      <c r="H288" s="12">
        <f>ROUND(SUM(H289:H294)/COUNT(H289:H294), 2)</f>
        <v>8.92</v>
      </c>
      <c r="I288" s="2"/>
      <c r="J288" s="4" t="s">
        <v>1628</v>
      </c>
      <c r="K288" s="134">
        <v>9.5</v>
      </c>
      <c r="L288" s="2"/>
      <c r="M288" s="4" t="s">
        <v>1618</v>
      </c>
      <c r="N288" s="134">
        <v>8.5</v>
      </c>
      <c r="O288" s="16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ht="16" customHeight="1" x14ac:dyDescent="0.2">
      <c r="A289" s="4" t="s">
        <v>1595</v>
      </c>
      <c r="B289" s="134">
        <v>8.5</v>
      </c>
      <c r="C289" s="2"/>
      <c r="D289" s="11" t="s">
        <v>1638</v>
      </c>
      <c r="E289" s="133">
        <v>8</v>
      </c>
      <c r="F289" s="2"/>
      <c r="G289" s="11" t="s">
        <v>1649</v>
      </c>
      <c r="H289" s="133">
        <v>9</v>
      </c>
      <c r="I289" s="2"/>
      <c r="J289" s="4" t="s">
        <v>1629</v>
      </c>
      <c r="K289" s="134">
        <v>8.5</v>
      </c>
      <c r="L289" s="2"/>
      <c r="M289" s="4" t="s">
        <v>1619</v>
      </c>
      <c r="N289" s="134">
        <v>8.5</v>
      </c>
      <c r="O289" s="16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ht="16" customHeight="1" x14ac:dyDescent="0.2">
      <c r="A290" s="4" t="s">
        <v>1596</v>
      </c>
      <c r="B290" s="134">
        <v>8.5</v>
      </c>
      <c r="C290" s="2"/>
      <c r="D290" s="4" t="s">
        <v>1639</v>
      </c>
      <c r="E290" s="134">
        <v>9</v>
      </c>
      <c r="F290" s="2"/>
      <c r="G290" s="4" t="s">
        <v>1650</v>
      </c>
      <c r="H290" s="134">
        <v>8.5</v>
      </c>
      <c r="I290" s="2"/>
      <c r="J290" s="4" t="s">
        <v>1630</v>
      </c>
      <c r="K290" s="134">
        <v>7</v>
      </c>
      <c r="L290" s="2"/>
      <c r="M290" s="4" t="s">
        <v>1620</v>
      </c>
      <c r="N290" s="134">
        <v>9</v>
      </c>
      <c r="O290" s="16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ht="16" customHeight="1" x14ac:dyDescent="0.2">
      <c r="A291" s="4" t="s">
        <v>1597</v>
      </c>
      <c r="B291" s="134">
        <v>8</v>
      </c>
      <c r="C291" s="2"/>
      <c r="D291" s="4" t="s">
        <v>1640</v>
      </c>
      <c r="E291" s="134">
        <v>8.5</v>
      </c>
      <c r="F291" s="2"/>
      <c r="G291" s="4" t="s">
        <v>1651</v>
      </c>
      <c r="H291" s="134">
        <v>8</v>
      </c>
      <c r="I291" s="2"/>
      <c r="J291" s="4" t="s">
        <v>1631</v>
      </c>
      <c r="K291" s="134">
        <v>7.5</v>
      </c>
      <c r="L291" s="2"/>
      <c r="M291" s="4" t="s">
        <v>525</v>
      </c>
      <c r="N291" s="134">
        <v>8</v>
      </c>
      <c r="O291" s="16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ht="16" customHeight="1" x14ac:dyDescent="0.2">
      <c r="A292" s="4" t="s">
        <v>1598</v>
      </c>
      <c r="B292" s="134">
        <v>9</v>
      </c>
      <c r="C292" s="2"/>
      <c r="D292" s="4" t="s">
        <v>1641</v>
      </c>
      <c r="E292" s="134">
        <v>8.5</v>
      </c>
      <c r="F292" s="2"/>
      <c r="G292" s="4" t="s">
        <v>1652</v>
      </c>
      <c r="H292" s="134">
        <v>9.5</v>
      </c>
      <c r="I292" s="2"/>
      <c r="J292" s="4" t="s">
        <v>1632</v>
      </c>
      <c r="K292" s="134">
        <v>8</v>
      </c>
      <c r="L292" s="2"/>
      <c r="M292" s="4" t="s">
        <v>1621</v>
      </c>
      <c r="N292" s="134">
        <v>10</v>
      </c>
      <c r="O292" s="16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ht="16" customHeight="1" x14ac:dyDescent="0.2">
      <c r="A293" s="4" t="s">
        <v>1599</v>
      </c>
      <c r="B293" s="134">
        <v>8.5</v>
      </c>
      <c r="C293" s="2"/>
      <c r="D293" s="4" t="s">
        <v>1642</v>
      </c>
      <c r="E293" s="134">
        <v>9</v>
      </c>
      <c r="F293" s="2"/>
      <c r="G293" s="4" t="s">
        <v>1653</v>
      </c>
      <c r="H293" s="134">
        <v>8.5</v>
      </c>
      <c r="I293" s="2"/>
      <c r="J293" s="4" t="s">
        <v>1633</v>
      </c>
      <c r="K293" s="134">
        <v>7</v>
      </c>
      <c r="L293" s="2"/>
      <c r="M293" s="4" t="s">
        <v>1622</v>
      </c>
      <c r="N293" s="134">
        <v>8</v>
      </c>
      <c r="O293" s="16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ht="16" customHeight="1" thickBot="1" x14ac:dyDescent="0.25">
      <c r="A294" s="4" t="s">
        <v>1600</v>
      </c>
      <c r="B294" s="134">
        <v>8</v>
      </c>
      <c r="C294" s="2"/>
      <c r="D294" s="4" t="s">
        <v>1643</v>
      </c>
      <c r="E294" s="134">
        <v>8</v>
      </c>
      <c r="F294" s="2"/>
      <c r="G294" s="7" t="s">
        <v>1654</v>
      </c>
      <c r="H294" s="135">
        <v>10</v>
      </c>
      <c r="I294" s="2"/>
      <c r="J294" s="7" t="s">
        <v>1634</v>
      </c>
      <c r="K294" s="135">
        <v>9</v>
      </c>
      <c r="L294" s="2"/>
      <c r="M294" s="4" t="s">
        <v>1623</v>
      </c>
      <c r="N294" s="134">
        <v>8.5</v>
      </c>
      <c r="O294" s="16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ht="16" customHeight="1" thickBot="1" x14ac:dyDescent="0.25">
      <c r="A295" s="4" t="s">
        <v>1601</v>
      </c>
      <c r="B295" s="134">
        <v>8</v>
      </c>
      <c r="C295" s="2"/>
      <c r="D295" s="4" t="s">
        <v>1644</v>
      </c>
      <c r="E295" s="134">
        <v>9</v>
      </c>
      <c r="F295" s="2"/>
      <c r="G295" s="2"/>
      <c r="H295" s="2"/>
      <c r="I295" s="2"/>
      <c r="J295" s="2"/>
      <c r="K295" s="2"/>
      <c r="L295" s="2"/>
      <c r="M295" s="7" t="s">
        <v>1624</v>
      </c>
      <c r="N295" s="135">
        <v>10</v>
      </c>
      <c r="O295" s="16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ht="16" customHeight="1" thickBot="1" x14ac:dyDescent="0.25">
      <c r="A296" s="4" t="s">
        <v>1602</v>
      </c>
      <c r="B296" s="134">
        <v>9</v>
      </c>
      <c r="C296" s="2"/>
      <c r="D296" s="4" t="s">
        <v>1645</v>
      </c>
      <c r="E296" s="134">
        <v>8.5</v>
      </c>
      <c r="F296" s="2"/>
      <c r="G296" s="130" t="s">
        <v>1659</v>
      </c>
      <c r="H296" s="12">
        <f>ROUND(SUM(H297:H307)/COUNT(H297:H307), 2)</f>
        <v>3.68</v>
      </c>
      <c r="I296" s="2"/>
      <c r="J296" s="146" t="s">
        <v>1672</v>
      </c>
      <c r="K296" s="12">
        <f>ROUND(SUM(K297:K302)/COUNT(K297:K302), 2)</f>
        <v>8.92</v>
      </c>
      <c r="L296" s="2"/>
      <c r="M296" s="2"/>
      <c r="N296" s="2"/>
      <c r="O296" s="1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ht="16" customHeight="1" thickBot="1" x14ac:dyDescent="0.25">
      <c r="A297" s="4" t="s">
        <v>1603</v>
      </c>
      <c r="B297" s="134">
        <v>8</v>
      </c>
      <c r="C297" s="2"/>
      <c r="D297" s="7" t="s">
        <v>1646</v>
      </c>
      <c r="E297" s="135">
        <v>8</v>
      </c>
      <c r="F297" s="2"/>
      <c r="G297" s="11" t="s">
        <v>1660</v>
      </c>
      <c r="H297" s="133">
        <v>6.5</v>
      </c>
      <c r="I297" s="2"/>
      <c r="J297" s="11" t="s">
        <v>1673</v>
      </c>
      <c r="K297" s="133">
        <v>9</v>
      </c>
      <c r="L297" s="2"/>
      <c r="M297" s="147" t="s">
        <v>1687</v>
      </c>
      <c r="N297" s="12">
        <f>ROUND(SUM(N298:N304)/COUNT(N298:N304), 2)</f>
        <v>8.2899999999999991</v>
      </c>
      <c r="O297" s="16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ht="16" customHeight="1" thickBot="1" x14ac:dyDescent="0.25">
      <c r="A298" s="145">
        <v>1979</v>
      </c>
      <c r="B298" s="134">
        <v>10.5</v>
      </c>
      <c r="C298" s="2"/>
      <c r="D298" s="2"/>
      <c r="E298" s="2"/>
      <c r="F298" s="2"/>
      <c r="G298" s="4" t="s">
        <v>1661</v>
      </c>
      <c r="H298" s="134">
        <v>5</v>
      </c>
      <c r="I298" s="2"/>
      <c r="J298" s="4" t="s">
        <v>1674</v>
      </c>
      <c r="K298" s="134">
        <v>8.5</v>
      </c>
      <c r="L298" s="2"/>
      <c r="M298" s="11" t="s">
        <v>1680</v>
      </c>
      <c r="N298" s="133">
        <v>8</v>
      </c>
      <c r="O298" s="16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ht="16" customHeight="1" thickBot="1" x14ac:dyDescent="0.25">
      <c r="A299" s="4" t="s">
        <v>1604</v>
      </c>
      <c r="B299" s="134">
        <v>7</v>
      </c>
      <c r="C299" s="2"/>
      <c r="D299" s="148" t="s">
        <v>1690</v>
      </c>
      <c r="E299" s="12">
        <f>ROUND(SUM(E300:E309)/COUNT(E300:E309), 2)</f>
        <v>8.2899999999999991</v>
      </c>
      <c r="F299" s="2"/>
      <c r="G299" s="4" t="s">
        <v>1662</v>
      </c>
      <c r="H299" s="134">
        <v>5.5</v>
      </c>
      <c r="I299" s="2"/>
      <c r="J299" s="4" t="s">
        <v>1675</v>
      </c>
      <c r="K299" s="134">
        <v>9</v>
      </c>
      <c r="L299" s="2"/>
      <c r="M299" s="4" t="s">
        <v>1681</v>
      </c>
      <c r="N299" s="134">
        <v>7.5</v>
      </c>
      <c r="O299" s="16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ht="16" customHeight="1" x14ac:dyDescent="0.2">
      <c r="A300" s="4" t="s">
        <v>1605</v>
      </c>
      <c r="B300" s="134">
        <v>8.5</v>
      </c>
      <c r="C300" s="2"/>
      <c r="D300" s="11" t="s">
        <v>1691</v>
      </c>
      <c r="E300" s="133"/>
      <c r="F300" s="2"/>
      <c r="G300" s="4" t="s">
        <v>1663</v>
      </c>
      <c r="H300" s="134">
        <v>4</v>
      </c>
      <c r="I300" s="2"/>
      <c r="J300" s="4" t="s">
        <v>1676</v>
      </c>
      <c r="K300" s="134">
        <v>8.5</v>
      </c>
      <c r="L300" s="2"/>
      <c r="M300" s="4" t="s">
        <v>1682</v>
      </c>
      <c r="N300" s="134">
        <v>9</v>
      </c>
      <c r="O300" s="16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 ht="16" customHeight="1" x14ac:dyDescent="0.2">
      <c r="A301" s="4" t="s">
        <v>1606</v>
      </c>
      <c r="B301" s="134">
        <v>8.5</v>
      </c>
      <c r="C301" s="2"/>
      <c r="D301" s="4" t="s">
        <v>1692</v>
      </c>
      <c r="E301" s="134">
        <v>8.5</v>
      </c>
      <c r="F301" s="2"/>
      <c r="G301" s="4" t="s">
        <v>1664</v>
      </c>
      <c r="H301" s="134">
        <v>3</v>
      </c>
      <c r="I301" s="2"/>
      <c r="J301" s="4" t="s">
        <v>1677</v>
      </c>
      <c r="K301" s="134">
        <v>8</v>
      </c>
      <c r="L301" s="2"/>
      <c r="M301" s="4" t="s">
        <v>1683</v>
      </c>
      <c r="N301" s="134">
        <v>8</v>
      </c>
      <c r="O301" s="16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ht="16" customHeight="1" thickBot="1" x14ac:dyDescent="0.25">
      <c r="A302" s="4" t="s">
        <v>1607</v>
      </c>
      <c r="B302" s="134">
        <v>7.5</v>
      </c>
      <c r="C302" s="2"/>
      <c r="D302" s="4" t="s">
        <v>1693</v>
      </c>
      <c r="E302" s="134">
        <v>9</v>
      </c>
      <c r="F302" s="2"/>
      <c r="G302" s="4" t="s">
        <v>1665</v>
      </c>
      <c r="H302" s="134">
        <v>3</v>
      </c>
      <c r="I302" s="2"/>
      <c r="J302" s="7" t="s">
        <v>1678</v>
      </c>
      <c r="K302" s="135">
        <v>10.5</v>
      </c>
      <c r="L302" s="2"/>
      <c r="M302" s="4" t="s">
        <v>1684</v>
      </c>
      <c r="N302" s="134">
        <v>8.5</v>
      </c>
      <c r="O302" s="16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ht="16" customHeight="1" thickBot="1" x14ac:dyDescent="0.25">
      <c r="A303" s="4" t="s">
        <v>1608</v>
      </c>
      <c r="B303" s="134">
        <v>8.5</v>
      </c>
      <c r="C303" s="2"/>
      <c r="D303" s="4" t="s">
        <v>1694</v>
      </c>
      <c r="E303" s="134"/>
      <c r="F303" s="2"/>
      <c r="G303" s="4" t="s">
        <v>1666</v>
      </c>
      <c r="H303" s="134">
        <v>3</v>
      </c>
      <c r="I303" s="2"/>
      <c r="J303" s="2"/>
      <c r="K303" s="2"/>
      <c r="L303" s="2"/>
      <c r="M303" s="4" t="s">
        <v>1685</v>
      </c>
      <c r="N303" s="134">
        <v>8</v>
      </c>
      <c r="O303" s="16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ht="16" customHeight="1" thickBot="1" x14ac:dyDescent="0.25">
      <c r="A304" s="4" t="s">
        <v>1609</v>
      </c>
      <c r="B304" s="134">
        <v>9</v>
      </c>
      <c r="C304" s="2"/>
      <c r="D304" s="4" t="s">
        <v>1695</v>
      </c>
      <c r="E304" s="134">
        <v>7.5</v>
      </c>
      <c r="F304" s="2"/>
      <c r="G304" s="4" t="s">
        <v>1667</v>
      </c>
      <c r="H304" s="134">
        <v>3.5</v>
      </c>
      <c r="I304" s="2"/>
      <c r="J304" s="149" t="s">
        <v>1713</v>
      </c>
      <c r="K304" s="12">
        <f>ROUND(SUM(K305:K316)/COUNT(K305:K316), 2)</f>
        <v>9</v>
      </c>
      <c r="L304" s="2"/>
      <c r="M304" s="7" t="s">
        <v>1686</v>
      </c>
      <c r="N304" s="135">
        <v>9</v>
      </c>
      <c r="O304" s="16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ht="16" customHeight="1" thickBot="1" x14ac:dyDescent="0.25">
      <c r="A305" s="4" t="s">
        <v>1610</v>
      </c>
      <c r="B305" s="134">
        <v>8.5</v>
      </c>
      <c r="C305" s="2"/>
      <c r="D305" s="4" t="s">
        <v>1696</v>
      </c>
      <c r="E305" s="134">
        <v>8.5</v>
      </c>
      <c r="F305" s="2"/>
      <c r="G305" s="4" t="s">
        <v>1668</v>
      </c>
      <c r="H305" s="134">
        <v>3</v>
      </c>
      <c r="I305" s="2"/>
      <c r="J305" s="11" t="s">
        <v>1701</v>
      </c>
      <c r="K305" s="133">
        <v>8.5</v>
      </c>
      <c r="L305" s="2"/>
      <c r="M305" s="2"/>
      <c r="N305" s="2"/>
      <c r="O305" s="16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ht="16" customHeight="1" thickBot="1" x14ac:dyDescent="0.25">
      <c r="A306" s="4" t="s">
        <v>1611</v>
      </c>
      <c r="B306" s="134">
        <v>9</v>
      </c>
      <c r="C306" s="2"/>
      <c r="D306" s="4" t="s">
        <v>1697</v>
      </c>
      <c r="E306" s="134">
        <v>8</v>
      </c>
      <c r="F306" s="2"/>
      <c r="G306" s="4" t="s">
        <v>1669</v>
      </c>
      <c r="H306" s="134">
        <v>2</v>
      </c>
      <c r="I306" s="2"/>
      <c r="J306" s="4" t="s">
        <v>1702</v>
      </c>
      <c r="K306" s="134">
        <v>10</v>
      </c>
      <c r="L306" s="2"/>
      <c r="M306" s="150" t="s">
        <v>1716</v>
      </c>
      <c r="N306" s="12">
        <f>ROUND(SUM(N307:N316)/COUNT(N307:N316), 2)</f>
        <v>8.6</v>
      </c>
      <c r="O306" s="1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ht="16" customHeight="1" thickBot="1" x14ac:dyDescent="0.25">
      <c r="A307" s="7" t="s">
        <v>1612</v>
      </c>
      <c r="B307" s="135">
        <v>8.5</v>
      </c>
      <c r="C307" s="2"/>
      <c r="D307" s="4" t="s">
        <v>1698</v>
      </c>
      <c r="E307" s="134">
        <v>8</v>
      </c>
      <c r="F307" s="2"/>
      <c r="G307" s="7" t="s">
        <v>1670</v>
      </c>
      <c r="H307" s="135">
        <v>2</v>
      </c>
      <c r="I307" s="2"/>
      <c r="J307" s="4" t="s">
        <v>1703</v>
      </c>
      <c r="K307" s="134">
        <v>9</v>
      </c>
      <c r="L307" s="2"/>
      <c r="M307" s="11" t="s">
        <v>1717</v>
      </c>
      <c r="N307" s="133">
        <v>8</v>
      </c>
      <c r="O307" s="16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ht="16" customHeight="1" thickBot="1" x14ac:dyDescent="0.25">
      <c r="A308" s="2"/>
      <c r="B308" s="2"/>
      <c r="C308" s="2"/>
      <c r="D308" s="7" t="s">
        <v>1699</v>
      </c>
      <c r="E308" s="135">
        <v>8.5</v>
      </c>
      <c r="F308" s="2"/>
      <c r="G308" s="2"/>
      <c r="H308" s="2"/>
      <c r="I308" s="2"/>
      <c r="J308" s="4" t="s">
        <v>1704</v>
      </c>
      <c r="K308" s="134">
        <v>9</v>
      </c>
      <c r="L308" s="2"/>
      <c r="M308" s="4" t="s">
        <v>1718</v>
      </c>
      <c r="N308" s="134">
        <v>9</v>
      </c>
      <c r="O308" s="16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ht="16" customHeight="1" thickBot="1" x14ac:dyDescent="0.25">
      <c r="A309" s="151" t="s">
        <v>1731</v>
      </c>
      <c r="B309" s="12">
        <f>ROUND(SUM(B310:B320)/COUNT(B310:B320), 2)</f>
        <v>8.18</v>
      </c>
      <c r="C309" s="2"/>
      <c r="D309" s="2"/>
      <c r="E309" s="2"/>
      <c r="F309" s="2"/>
      <c r="G309" s="152" t="s">
        <v>1761</v>
      </c>
      <c r="H309" s="12">
        <f>ROUND(SUM(H310:H327)/COUNT(H310:H327), 2)</f>
        <v>7.31</v>
      </c>
      <c r="I309" s="2"/>
      <c r="J309" s="4" t="s">
        <v>1705</v>
      </c>
      <c r="K309" s="134">
        <v>9</v>
      </c>
      <c r="L309" s="2"/>
      <c r="M309" s="4" t="s">
        <v>1719</v>
      </c>
      <c r="N309" s="134">
        <v>9</v>
      </c>
      <c r="O309" s="16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ht="16" customHeight="1" thickBot="1" x14ac:dyDescent="0.25">
      <c r="A310" s="11" t="s">
        <v>1732</v>
      </c>
      <c r="B310" s="133">
        <v>7.5</v>
      </c>
      <c r="C310" s="2"/>
      <c r="D310" s="153" t="s">
        <v>1831</v>
      </c>
      <c r="E310" s="12">
        <f>ROUND(SUM(E311:E318)/COUNT(E311:E318), 2)</f>
        <v>8.5</v>
      </c>
      <c r="F310" s="2"/>
      <c r="G310" s="11" t="s">
        <v>1743</v>
      </c>
      <c r="H310" s="133">
        <v>8.5</v>
      </c>
      <c r="I310" s="2"/>
      <c r="J310" s="4" t="s">
        <v>1706</v>
      </c>
      <c r="K310" s="134">
        <v>10</v>
      </c>
      <c r="L310" s="2"/>
      <c r="M310" s="4" t="s">
        <v>1720</v>
      </c>
      <c r="N310" s="134">
        <v>10</v>
      </c>
      <c r="O310" s="16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ht="16" customHeight="1" x14ac:dyDescent="0.2">
      <c r="A311" s="4" t="s">
        <v>1733</v>
      </c>
      <c r="B311" s="134">
        <v>8.5</v>
      </c>
      <c r="C311" s="2"/>
      <c r="D311" s="11" t="s">
        <v>1832</v>
      </c>
      <c r="E311" s="133">
        <v>8.5</v>
      </c>
      <c r="F311" s="2"/>
      <c r="G311" s="4" t="s">
        <v>1744</v>
      </c>
      <c r="H311" s="134">
        <v>7.5</v>
      </c>
      <c r="I311" s="2"/>
      <c r="J311" s="4" t="s">
        <v>1707</v>
      </c>
      <c r="K311" s="134">
        <v>8</v>
      </c>
      <c r="L311" s="2"/>
      <c r="M311" s="4" t="s">
        <v>1721</v>
      </c>
      <c r="N311" s="134">
        <v>8.5</v>
      </c>
      <c r="O311" s="16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ht="16" customHeight="1" x14ac:dyDescent="0.2">
      <c r="A312" s="4" t="s">
        <v>1041</v>
      </c>
      <c r="B312" s="134">
        <v>8</v>
      </c>
      <c r="C312" s="2"/>
      <c r="D312" s="4" t="s">
        <v>1833</v>
      </c>
      <c r="E312" s="134">
        <v>8.5</v>
      </c>
      <c r="F312" s="2"/>
      <c r="G312" s="4" t="s">
        <v>1745</v>
      </c>
      <c r="H312" s="134">
        <v>8.5</v>
      </c>
      <c r="I312" s="2"/>
      <c r="J312" s="4" t="s">
        <v>1708</v>
      </c>
      <c r="K312" s="134">
        <v>8.5</v>
      </c>
      <c r="L312" s="2"/>
      <c r="M312" s="4" t="s">
        <v>1722</v>
      </c>
      <c r="N312" s="134">
        <v>8.5</v>
      </c>
      <c r="O312" s="16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ht="16" customHeight="1" x14ac:dyDescent="0.2">
      <c r="A313" s="4" t="s">
        <v>1734</v>
      </c>
      <c r="B313" s="134">
        <v>8</v>
      </c>
      <c r="C313" s="2"/>
      <c r="D313" s="4" t="s">
        <v>1834</v>
      </c>
      <c r="E313" s="134">
        <v>9</v>
      </c>
      <c r="F313" s="2"/>
      <c r="G313" s="4" t="s">
        <v>1746</v>
      </c>
      <c r="H313" s="134">
        <v>8.5</v>
      </c>
      <c r="I313" s="2"/>
      <c r="J313" s="4" t="s">
        <v>1709</v>
      </c>
      <c r="K313" s="134">
        <v>8.5</v>
      </c>
      <c r="L313" s="2"/>
      <c r="M313" s="4" t="s">
        <v>1723</v>
      </c>
      <c r="N313" s="134">
        <v>8</v>
      </c>
      <c r="O313" s="16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ht="16" customHeight="1" x14ac:dyDescent="0.2">
      <c r="A314" s="4" t="s">
        <v>1735</v>
      </c>
      <c r="B314" s="134">
        <v>9.5</v>
      </c>
      <c r="C314" s="2"/>
      <c r="D314" s="4" t="s">
        <v>1835</v>
      </c>
      <c r="E314" s="134">
        <v>9</v>
      </c>
      <c r="F314" s="2"/>
      <c r="G314" s="4" t="s">
        <v>1747</v>
      </c>
      <c r="H314" s="134">
        <v>7.5</v>
      </c>
      <c r="I314" s="2"/>
      <c r="J314" s="4" t="s">
        <v>1710</v>
      </c>
      <c r="K314" s="134">
        <v>9.5</v>
      </c>
      <c r="L314" s="2"/>
      <c r="M314" s="4" t="s">
        <v>1724</v>
      </c>
      <c r="N314" s="134">
        <v>8.5</v>
      </c>
      <c r="O314" s="16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ht="16" customHeight="1" x14ac:dyDescent="0.2">
      <c r="A315" s="4" t="s">
        <v>1736</v>
      </c>
      <c r="B315" s="134">
        <v>7</v>
      </c>
      <c r="C315" s="2"/>
      <c r="D315" s="4" t="s">
        <v>1836</v>
      </c>
      <c r="E315" s="134">
        <v>8</v>
      </c>
      <c r="F315" s="2"/>
      <c r="G315" s="4" t="s">
        <v>1748</v>
      </c>
      <c r="H315" s="134">
        <v>7</v>
      </c>
      <c r="I315" s="2"/>
      <c r="J315" s="4" t="s">
        <v>1711</v>
      </c>
      <c r="K315" s="134">
        <v>9.5</v>
      </c>
      <c r="L315" s="2"/>
      <c r="M315" s="4" t="s">
        <v>1725</v>
      </c>
      <c r="N315" s="134">
        <v>7.5</v>
      </c>
      <c r="O315" s="16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ht="16" customHeight="1" thickBot="1" x14ac:dyDescent="0.25">
      <c r="A316" s="4" t="s">
        <v>1737</v>
      </c>
      <c r="B316" s="134">
        <v>10</v>
      </c>
      <c r="C316" s="2"/>
      <c r="D316" s="4" t="s">
        <v>1837</v>
      </c>
      <c r="E316" s="134">
        <v>8</v>
      </c>
      <c r="F316" s="2"/>
      <c r="G316" s="4" t="s">
        <v>1749</v>
      </c>
      <c r="H316" s="134">
        <v>7</v>
      </c>
      <c r="I316" s="2"/>
      <c r="J316" s="7" t="s">
        <v>1712</v>
      </c>
      <c r="K316" s="135">
        <v>8.5</v>
      </c>
      <c r="L316" s="2"/>
      <c r="M316" s="7" t="s">
        <v>1726</v>
      </c>
      <c r="N316" s="135">
        <v>9</v>
      </c>
      <c r="O316" s="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ht="16" customHeight="1" thickBot="1" x14ac:dyDescent="0.25">
      <c r="A317" s="4" t="s">
        <v>1738</v>
      </c>
      <c r="B317" s="134">
        <v>8.5</v>
      </c>
      <c r="C317" s="2"/>
      <c r="D317" s="4" t="s">
        <v>1838</v>
      </c>
      <c r="E317" s="134">
        <v>8.5</v>
      </c>
      <c r="F317" s="2"/>
      <c r="G317" s="4" t="s">
        <v>1750</v>
      </c>
      <c r="H317" s="134">
        <v>7.5</v>
      </c>
      <c r="I317" s="2"/>
      <c r="J317" s="2"/>
      <c r="K317" s="2"/>
      <c r="L317" s="2"/>
      <c r="M317" s="2"/>
      <c r="N317" s="2"/>
      <c r="O317" s="16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ht="16" customHeight="1" thickBot="1" x14ac:dyDescent="0.25">
      <c r="A318" s="4" t="s">
        <v>1739</v>
      </c>
      <c r="B318" s="134">
        <v>7.5</v>
      </c>
      <c r="C318" s="2"/>
      <c r="D318" s="7" t="s">
        <v>1839</v>
      </c>
      <c r="E318" s="135">
        <v>8.5</v>
      </c>
      <c r="F318" s="2"/>
      <c r="G318" s="4" t="s">
        <v>1751</v>
      </c>
      <c r="H318" s="134">
        <v>7</v>
      </c>
      <c r="I318" s="2"/>
      <c r="J318" s="453" t="s">
        <v>4206</v>
      </c>
      <c r="K318" s="12">
        <f>ROUND(SUM(K319:K326)/COUNT(K319:K326), 2)</f>
        <v>8.43</v>
      </c>
      <c r="L318" s="2"/>
      <c r="M318" s="155" t="s">
        <v>1862</v>
      </c>
      <c r="N318" s="12">
        <f>ROUND(SUM(N319:N326)/COUNT(N319:N326), 2)</f>
        <v>9.31</v>
      </c>
      <c r="O318" s="16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ht="16" customHeight="1" thickBot="1" x14ac:dyDescent="0.25">
      <c r="A319" s="4" t="s">
        <v>1740</v>
      </c>
      <c r="B319" s="134">
        <v>7.5</v>
      </c>
      <c r="C319" s="2"/>
      <c r="D319" s="2"/>
      <c r="E319" s="2"/>
      <c r="F319" s="2"/>
      <c r="G319" s="4" t="s">
        <v>1752</v>
      </c>
      <c r="H319" s="134">
        <v>7</v>
      </c>
      <c r="I319" s="2"/>
      <c r="J319" s="11" t="s">
        <v>1851</v>
      </c>
      <c r="K319" s="133"/>
      <c r="L319" s="2"/>
      <c r="M319" s="11" t="s">
        <v>1863</v>
      </c>
      <c r="N319" s="133">
        <v>10</v>
      </c>
      <c r="O319" s="16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ht="16" customHeight="1" thickBot="1" x14ac:dyDescent="0.25">
      <c r="A320" s="7" t="s">
        <v>1741</v>
      </c>
      <c r="B320" s="135">
        <v>8</v>
      </c>
      <c r="C320" s="2"/>
      <c r="D320" s="154" t="s">
        <v>1841</v>
      </c>
      <c r="E320" s="12">
        <f>ROUND(SUM(E321:E326)/COUNT(E321:E326), 2)</f>
        <v>8.67</v>
      </c>
      <c r="F320" s="2"/>
      <c r="G320" s="4" t="s">
        <v>1753</v>
      </c>
      <c r="H320" s="134">
        <v>7.5</v>
      </c>
      <c r="I320" s="2"/>
      <c r="J320" s="4" t="s">
        <v>1852</v>
      </c>
      <c r="K320" s="134">
        <v>8.5</v>
      </c>
      <c r="L320" s="2"/>
      <c r="M320" s="4" t="s">
        <v>1864</v>
      </c>
      <c r="N320" s="134">
        <v>10.5</v>
      </c>
      <c r="O320" s="16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ht="16" customHeight="1" thickBot="1" x14ac:dyDescent="0.25">
      <c r="A321" s="2"/>
      <c r="B321" s="2"/>
      <c r="C321" s="2"/>
      <c r="D321" s="11" t="s">
        <v>1842</v>
      </c>
      <c r="E321" s="133">
        <v>8.5</v>
      </c>
      <c r="F321" s="2"/>
      <c r="G321" s="4" t="s">
        <v>1754</v>
      </c>
      <c r="H321" s="134">
        <v>6</v>
      </c>
      <c r="I321" s="2"/>
      <c r="J321" s="4" t="s">
        <v>1853</v>
      </c>
      <c r="K321" s="134">
        <v>9</v>
      </c>
      <c r="L321" s="2"/>
      <c r="M321" s="4" t="s">
        <v>1865</v>
      </c>
      <c r="N321" s="134">
        <v>9.5</v>
      </c>
      <c r="O321" s="16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ht="16" customHeight="1" thickBot="1" x14ac:dyDescent="0.25">
      <c r="A322" s="156" t="s">
        <v>1873</v>
      </c>
      <c r="B322" s="12">
        <f>ROUND(SUM(B323:B341)/COUNT(B323:B341), 2)</f>
        <v>8.3800000000000008</v>
      </c>
      <c r="C322" s="2"/>
      <c r="D322" s="4" t="s">
        <v>1843</v>
      </c>
      <c r="E322" s="134">
        <v>9</v>
      </c>
      <c r="F322" s="2"/>
      <c r="G322" s="4" t="s">
        <v>1755</v>
      </c>
      <c r="H322" s="134">
        <v>7</v>
      </c>
      <c r="I322" s="2"/>
      <c r="J322" s="4" t="s">
        <v>1854</v>
      </c>
      <c r="K322" s="134">
        <v>8.5</v>
      </c>
      <c r="L322" s="2"/>
      <c r="M322" s="4" t="s">
        <v>1866</v>
      </c>
      <c r="N322" s="134">
        <v>10</v>
      </c>
      <c r="O322" s="16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ht="16" customHeight="1" x14ac:dyDescent="0.2">
      <c r="A323" s="11" t="s">
        <v>1304</v>
      </c>
      <c r="B323" s="133"/>
      <c r="C323" s="2"/>
      <c r="D323" s="4" t="s">
        <v>1844</v>
      </c>
      <c r="E323" s="134">
        <v>8.5</v>
      </c>
      <c r="F323" s="2"/>
      <c r="G323" s="4" t="s">
        <v>1756</v>
      </c>
      <c r="H323" s="134">
        <v>8</v>
      </c>
      <c r="I323" s="2"/>
      <c r="J323" s="4" t="s">
        <v>1855</v>
      </c>
      <c r="K323" s="134">
        <v>8.5</v>
      </c>
      <c r="L323" s="2"/>
      <c r="M323" s="4" t="s">
        <v>1867</v>
      </c>
      <c r="N323" s="134">
        <v>9</v>
      </c>
      <c r="O323" s="16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ht="16" customHeight="1" x14ac:dyDescent="0.2">
      <c r="A324" s="4" t="s">
        <v>1874</v>
      </c>
      <c r="B324" s="134">
        <v>8</v>
      </c>
      <c r="C324" s="2"/>
      <c r="D324" s="4" t="s">
        <v>1845</v>
      </c>
      <c r="E324" s="134">
        <v>7.5</v>
      </c>
      <c r="F324" s="2"/>
      <c r="G324" s="4" t="s">
        <v>1757</v>
      </c>
      <c r="H324" s="134">
        <v>7.5</v>
      </c>
      <c r="I324" s="2"/>
      <c r="J324" s="4" t="s">
        <v>1856</v>
      </c>
      <c r="K324" s="134">
        <v>7.5</v>
      </c>
      <c r="L324" s="2"/>
      <c r="M324" s="4" t="s">
        <v>1868</v>
      </c>
      <c r="N324" s="134">
        <v>8.5</v>
      </c>
      <c r="O324" s="16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ht="16" customHeight="1" x14ac:dyDescent="0.2">
      <c r="A325" s="4" t="s">
        <v>1875</v>
      </c>
      <c r="B325" s="134">
        <v>8</v>
      </c>
      <c r="C325" s="2"/>
      <c r="D325" s="4" t="s">
        <v>1846</v>
      </c>
      <c r="E325" s="134">
        <v>9</v>
      </c>
      <c r="F325" s="2"/>
      <c r="G325" s="4" t="s">
        <v>1758</v>
      </c>
      <c r="H325" s="134">
        <v>7</v>
      </c>
      <c r="I325" s="2"/>
      <c r="J325" s="4" t="s">
        <v>1857</v>
      </c>
      <c r="K325" s="134">
        <v>8</v>
      </c>
      <c r="L325" s="2"/>
      <c r="M325" s="4" t="s">
        <v>1869</v>
      </c>
      <c r="N325" s="134">
        <v>8.5</v>
      </c>
      <c r="O325" s="16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ht="16" customHeight="1" thickBot="1" x14ac:dyDescent="0.25">
      <c r="A326" s="4" t="s">
        <v>1876</v>
      </c>
      <c r="B326" s="134">
        <v>8.5</v>
      </c>
      <c r="C326" s="2"/>
      <c r="D326" s="7" t="s">
        <v>1847</v>
      </c>
      <c r="E326" s="135">
        <v>9.5</v>
      </c>
      <c r="F326" s="2"/>
      <c r="G326" s="4" t="s">
        <v>1759</v>
      </c>
      <c r="H326" s="134">
        <v>6</v>
      </c>
      <c r="I326" s="2"/>
      <c r="J326" s="7" t="s">
        <v>1858</v>
      </c>
      <c r="K326" s="135">
        <v>9</v>
      </c>
      <c r="L326" s="2"/>
      <c r="M326" s="7" t="s">
        <v>1870</v>
      </c>
      <c r="N326" s="135">
        <v>8.5</v>
      </c>
      <c r="O326" s="1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ht="16" customHeight="1" thickBot="1" x14ac:dyDescent="0.25">
      <c r="A327" s="4" t="s">
        <v>1877</v>
      </c>
      <c r="B327" s="134">
        <v>8</v>
      </c>
      <c r="C327" s="2"/>
      <c r="D327" s="2"/>
      <c r="E327" s="2"/>
      <c r="F327" s="2"/>
      <c r="G327" s="7" t="s">
        <v>1760</v>
      </c>
      <c r="H327" s="135">
        <v>6.5</v>
      </c>
      <c r="I327" s="2"/>
      <c r="J327" s="2"/>
      <c r="K327" s="2"/>
      <c r="L327" s="2"/>
      <c r="M327" s="2"/>
      <c r="N327" s="2"/>
      <c r="O327" s="16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ht="16" customHeight="1" thickBot="1" x14ac:dyDescent="0.25">
      <c r="A328" s="4" t="s">
        <v>1878</v>
      </c>
      <c r="B328" s="134">
        <v>9</v>
      </c>
      <c r="C328" s="2"/>
      <c r="D328" s="158" t="s">
        <v>1896</v>
      </c>
      <c r="E328" s="12">
        <f>ROUND(SUM(E329:E358)/COUNT(E329:E358), 2)</f>
        <v>8.7200000000000006</v>
      </c>
      <c r="F328" s="2"/>
      <c r="G328" s="2"/>
      <c r="H328" s="2"/>
      <c r="I328" s="2"/>
      <c r="J328" s="160" t="s">
        <v>2024</v>
      </c>
      <c r="K328" s="12">
        <f>ROUND(SUM(K329:K338)/COUNT(K329:K338), 2)</f>
        <v>8.6</v>
      </c>
      <c r="L328" s="2"/>
      <c r="M328" s="159" t="s">
        <v>1944</v>
      </c>
      <c r="N328" s="12">
        <f>ROUND(SUM(N329:N336)/COUNT(N329:N336), 2)</f>
        <v>8.81</v>
      </c>
      <c r="O328" s="16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ht="16" customHeight="1" thickBot="1" x14ac:dyDescent="0.25">
      <c r="A329" s="4" t="s">
        <v>1879</v>
      </c>
      <c r="B329" s="134">
        <v>8.5</v>
      </c>
      <c r="C329" s="2"/>
      <c r="D329" s="11" t="s">
        <v>1897</v>
      </c>
      <c r="E329" s="133">
        <v>8.5</v>
      </c>
      <c r="F329" s="2"/>
      <c r="G329" s="161" t="s">
        <v>2023</v>
      </c>
      <c r="H329" s="12">
        <f>ROUND(SUM(H330:H337)/COUNT(H330:H337), 2)</f>
        <v>8.75</v>
      </c>
      <c r="I329" s="2"/>
      <c r="J329" s="11" t="s">
        <v>1929</v>
      </c>
      <c r="K329" s="133">
        <v>10.5</v>
      </c>
      <c r="L329" s="2"/>
      <c r="M329" s="11" t="s">
        <v>110</v>
      </c>
      <c r="N329" s="133">
        <v>9</v>
      </c>
      <c r="O329" s="16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ht="16" customHeight="1" x14ac:dyDescent="0.2">
      <c r="A330" s="4" t="s">
        <v>1880</v>
      </c>
      <c r="B330" s="134"/>
      <c r="C330" s="2"/>
      <c r="D330" s="4" t="s">
        <v>1898</v>
      </c>
      <c r="E330" s="134">
        <v>10.5</v>
      </c>
      <c r="F330" s="2"/>
      <c r="G330" s="11" t="s">
        <v>2025</v>
      </c>
      <c r="H330" s="133">
        <v>9.5</v>
      </c>
      <c r="I330" s="2"/>
      <c r="J330" s="4" t="s">
        <v>1930</v>
      </c>
      <c r="K330" s="134">
        <v>8</v>
      </c>
      <c r="L330" s="2"/>
      <c r="M330" s="4" t="s">
        <v>1945</v>
      </c>
      <c r="N330" s="134">
        <v>8.5</v>
      </c>
      <c r="O330" s="16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ht="16" customHeight="1" x14ac:dyDescent="0.2">
      <c r="A331" s="4" t="s">
        <v>1881</v>
      </c>
      <c r="B331" s="134">
        <v>8.5</v>
      </c>
      <c r="C331" s="2"/>
      <c r="D331" s="4" t="s">
        <v>1899</v>
      </c>
      <c r="E331" s="134">
        <v>9.5</v>
      </c>
      <c r="F331" s="2"/>
      <c r="G331" s="4" t="s">
        <v>2026</v>
      </c>
      <c r="H331" s="134">
        <v>8.5</v>
      </c>
      <c r="I331" s="2"/>
      <c r="J331" s="4" t="s">
        <v>1931</v>
      </c>
      <c r="K331" s="134">
        <v>7.5</v>
      </c>
      <c r="L331" s="2"/>
      <c r="M331" s="4" t="s">
        <v>1946</v>
      </c>
      <c r="N331" s="134">
        <v>9.5</v>
      </c>
      <c r="O331" s="16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ht="16" customHeight="1" x14ac:dyDescent="0.2">
      <c r="A332" s="4" t="s">
        <v>1882</v>
      </c>
      <c r="B332" s="134">
        <v>10</v>
      </c>
      <c r="C332" s="2"/>
      <c r="D332" s="4" t="s">
        <v>1900</v>
      </c>
      <c r="E332" s="134">
        <v>9</v>
      </c>
      <c r="F332" s="2"/>
      <c r="G332" s="4" t="s">
        <v>2027</v>
      </c>
      <c r="H332" s="134">
        <v>8.5</v>
      </c>
      <c r="I332" s="2"/>
      <c r="J332" s="4" t="s">
        <v>1932</v>
      </c>
      <c r="K332" s="134">
        <v>9.5</v>
      </c>
      <c r="L332" s="2"/>
      <c r="M332" s="4" t="s">
        <v>1947</v>
      </c>
      <c r="N332" s="134">
        <v>10.5</v>
      </c>
      <c r="O332" s="16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ht="16" customHeight="1" x14ac:dyDescent="0.2">
      <c r="A333" s="4" t="s">
        <v>1883</v>
      </c>
      <c r="B333" s="134">
        <v>8.5</v>
      </c>
      <c r="C333" s="2"/>
      <c r="D333" s="4" t="s">
        <v>1901</v>
      </c>
      <c r="E333" s="134">
        <v>8.5</v>
      </c>
      <c r="F333" s="2"/>
      <c r="G333" s="4" t="s">
        <v>2028</v>
      </c>
      <c r="H333" s="134">
        <v>8</v>
      </c>
      <c r="I333" s="2"/>
      <c r="J333" s="4" t="s">
        <v>1933</v>
      </c>
      <c r="K333" s="134">
        <v>7.5</v>
      </c>
      <c r="L333" s="2"/>
      <c r="M333" s="4" t="s">
        <v>1948</v>
      </c>
      <c r="N333" s="134">
        <v>8.5</v>
      </c>
      <c r="O333" s="16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ht="16" customHeight="1" x14ac:dyDescent="0.2">
      <c r="A334" s="4" t="s">
        <v>1884</v>
      </c>
      <c r="B334" s="134">
        <v>7.5</v>
      </c>
      <c r="C334" s="2"/>
      <c r="D334" s="4" t="s">
        <v>1902</v>
      </c>
      <c r="E334" s="134">
        <v>9</v>
      </c>
      <c r="F334" s="2"/>
      <c r="G334" s="4" t="s">
        <v>2029</v>
      </c>
      <c r="H334" s="134">
        <v>9</v>
      </c>
      <c r="I334" s="2"/>
      <c r="J334" s="4" t="s">
        <v>1934</v>
      </c>
      <c r="K334" s="134">
        <v>8</v>
      </c>
      <c r="L334" s="2"/>
      <c r="M334" s="4" t="s">
        <v>1949</v>
      </c>
      <c r="N334" s="134">
        <v>8</v>
      </c>
      <c r="O334" s="16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ht="16" customHeight="1" x14ac:dyDescent="0.2">
      <c r="A335" s="4" t="s">
        <v>1885</v>
      </c>
      <c r="B335" s="134">
        <v>10</v>
      </c>
      <c r="C335" s="2"/>
      <c r="D335" s="4" t="s">
        <v>1903</v>
      </c>
      <c r="E335" s="134">
        <v>8.5</v>
      </c>
      <c r="F335" s="2"/>
      <c r="G335" s="4" t="s">
        <v>2030</v>
      </c>
      <c r="H335" s="134">
        <v>8.5</v>
      </c>
      <c r="I335" s="2"/>
      <c r="J335" s="4" t="s">
        <v>1935</v>
      </c>
      <c r="K335" s="134">
        <v>10</v>
      </c>
      <c r="L335" s="2"/>
      <c r="M335" s="4" t="s">
        <v>1950</v>
      </c>
      <c r="N335" s="134">
        <v>8.5</v>
      </c>
      <c r="O335" s="16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ht="16" customHeight="1" thickBot="1" x14ac:dyDescent="0.25">
      <c r="A336" s="4" t="s">
        <v>1886</v>
      </c>
      <c r="B336" s="134">
        <v>8</v>
      </c>
      <c r="C336" s="2"/>
      <c r="D336" s="4" t="s">
        <v>1904</v>
      </c>
      <c r="E336" s="134">
        <v>8.5</v>
      </c>
      <c r="F336" s="2"/>
      <c r="G336" s="4" t="s">
        <v>2031</v>
      </c>
      <c r="H336" s="134">
        <v>10</v>
      </c>
      <c r="I336" s="2"/>
      <c r="J336" s="4" t="s">
        <v>1936</v>
      </c>
      <c r="K336" s="134">
        <v>9</v>
      </c>
      <c r="L336" s="2"/>
      <c r="M336" s="7" t="s">
        <v>1951</v>
      </c>
      <c r="N336" s="135">
        <v>8</v>
      </c>
      <c r="O336" s="1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ht="16" customHeight="1" thickBot="1" x14ac:dyDescent="0.25">
      <c r="A337" s="4" t="s">
        <v>1887</v>
      </c>
      <c r="B337" s="134">
        <v>7</v>
      </c>
      <c r="C337" s="2"/>
      <c r="D337" s="4" t="s">
        <v>1905</v>
      </c>
      <c r="E337" s="134">
        <v>10</v>
      </c>
      <c r="F337" s="2"/>
      <c r="G337" s="7" t="s">
        <v>2032</v>
      </c>
      <c r="H337" s="135">
        <v>8</v>
      </c>
      <c r="I337" s="2"/>
      <c r="J337" s="4" t="s">
        <v>1937</v>
      </c>
      <c r="K337" s="134">
        <v>8</v>
      </c>
      <c r="L337" s="2"/>
      <c r="M337" s="2"/>
      <c r="N337" s="2"/>
      <c r="O337" s="16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ht="16" customHeight="1" thickBot="1" x14ac:dyDescent="0.25">
      <c r="A338" s="4" t="s">
        <v>1888</v>
      </c>
      <c r="B338" s="134">
        <v>8</v>
      </c>
      <c r="C338" s="2"/>
      <c r="D338" s="4" t="s">
        <v>1906</v>
      </c>
      <c r="E338" s="134">
        <v>8.5</v>
      </c>
      <c r="F338" s="2"/>
      <c r="G338" s="2"/>
      <c r="H338" s="2"/>
      <c r="I338" s="2"/>
      <c r="J338" s="7" t="s">
        <v>1938</v>
      </c>
      <c r="K338" s="135">
        <v>8</v>
      </c>
      <c r="L338" s="2"/>
      <c r="M338" s="162" t="s">
        <v>2036</v>
      </c>
      <c r="N338" s="12">
        <f>ROUND(SUM(N339:N353)/COUNT(N339:N353), 2)</f>
        <v>8.73</v>
      </c>
      <c r="O338" s="16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ht="16" customHeight="1" thickBot="1" x14ac:dyDescent="0.25">
      <c r="A339" s="4" t="s">
        <v>1889</v>
      </c>
      <c r="B339" s="134">
        <v>9</v>
      </c>
      <c r="C339" s="2"/>
      <c r="D339" s="4" t="s">
        <v>1907</v>
      </c>
      <c r="E339" s="134">
        <v>8.5</v>
      </c>
      <c r="F339" s="2"/>
      <c r="G339" s="163" t="s">
        <v>2055</v>
      </c>
      <c r="H339" s="12">
        <f>ROUND(SUM(H340:H351)/COUNT(H340:H351), 2)</f>
        <v>8.58</v>
      </c>
      <c r="I339" s="2"/>
      <c r="J339" s="2"/>
      <c r="K339" s="2"/>
      <c r="L339" s="2"/>
      <c r="M339" s="11" t="s">
        <v>2037</v>
      </c>
      <c r="N339" s="133">
        <v>8</v>
      </c>
      <c r="O339" s="16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ht="16" customHeight="1" thickBot="1" x14ac:dyDescent="0.25">
      <c r="A340" s="4" t="s">
        <v>1890</v>
      </c>
      <c r="B340" s="134">
        <v>8.5</v>
      </c>
      <c r="C340" s="2"/>
      <c r="D340" s="4" t="s">
        <v>1908</v>
      </c>
      <c r="E340" s="134">
        <v>7.5</v>
      </c>
      <c r="F340" s="2"/>
      <c r="G340" s="11" t="s">
        <v>2056</v>
      </c>
      <c r="H340" s="133">
        <v>8</v>
      </c>
      <c r="I340" s="2"/>
      <c r="J340" s="164" t="s">
        <v>2087</v>
      </c>
      <c r="K340" s="12">
        <f>ROUND(SUM(K341:K354)/COUNT(K341:K354), 2)</f>
        <v>8.5399999999999991</v>
      </c>
      <c r="L340" s="2"/>
      <c r="M340" s="4" t="s">
        <v>2038</v>
      </c>
      <c r="N340" s="134">
        <v>9</v>
      </c>
      <c r="O340" s="16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ht="16" customHeight="1" thickBot="1" x14ac:dyDescent="0.25">
      <c r="A341" s="7" t="s">
        <v>1891</v>
      </c>
      <c r="B341" s="135">
        <v>7.5</v>
      </c>
      <c r="C341" s="2"/>
      <c r="D341" s="4" t="s">
        <v>1909</v>
      </c>
      <c r="E341" s="134">
        <v>10.5</v>
      </c>
      <c r="F341" s="2"/>
      <c r="G341" s="4" t="s">
        <v>2057</v>
      </c>
      <c r="H341" s="134">
        <v>9</v>
      </c>
      <c r="I341" s="2"/>
      <c r="J341" s="11" t="s">
        <v>2073</v>
      </c>
      <c r="K341" s="133">
        <v>8.5</v>
      </c>
      <c r="L341" s="2"/>
      <c r="M341" s="4" t="s">
        <v>2039</v>
      </c>
      <c r="N341" s="134"/>
      <c r="O341" s="16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ht="16" customHeight="1" thickBot="1" x14ac:dyDescent="0.25">
      <c r="A342" s="2"/>
      <c r="B342" s="2"/>
      <c r="C342" s="2"/>
      <c r="D342" s="4" t="s">
        <v>1910</v>
      </c>
      <c r="E342" s="134">
        <v>8</v>
      </c>
      <c r="F342" s="2"/>
      <c r="G342" s="4" t="s">
        <v>2058</v>
      </c>
      <c r="H342" s="134">
        <v>9.5</v>
      </c>
      <c r="I342" s="2"/>
      <c r="J342" s="4" t="s">
        <v>2074</v>
      </c>
      <c r="K342" s="134">
        <v>9</v>
      </c>
      <c r="L342" s="2"/>
      <c r="M342" s="4" t="s">
        <v>2040</v>
      </c>
      <c r="N342" s="134">
        <v>10</v>
      </c>
      <c r="O342" s="16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ht="16" customHeight="1" thickBot="1" x14ac:dyDescent="0.25">
      <c r="A343" s="166" t="s">
        <v>2092</v>
      </c>
      <c r="B343" s="12">
        <f>ROUND(SUM(B344:B358)/COUNT(B344:B358), 2)</f>
        <v>8.57</v>
      </c>
      <c r="C343" s="2"/>
      <c r="D343" s="4" t="s">
        <v>1911</v>
      </c>
      <c r="E343" s="134">
        <v>7.5</v>
      </c>
      <c r="F343" s="2"/>
      <c r="G343" s="4" t="s">
        <v>2059</v>
      </c>
      <c r="H343" s="134">
        <v>8.5</v>
      </c>
      <c r="I343" s="2"/>
      <c r="J343" s="4" t="s">
        <v>2075</v>
      </c>
      <c r="K343" s="134">
        <v>8</v>
      </c>
      <c r="L343" s="2"/>
      <c r="M343" s="4" t="s">
        <v>2041</v>
      </c>
      <c r="N343" s="134">
        <v>8</v>
      </c>
      <c r="O343" s="16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ht="16" customHeight="1" x14ac:dyDescent="0.2">
      <c r="A344" s="11" t="s">
        <v>2093</v>
      </c>
      <c r="B344" s="133">
        <v>9</v>
      </c>
      <c r="C344" s="2"/>
      <c r="D344" s="4" t="s">
        <v>1912</v>
      </c>
      <c r="E344" s="134">
        <v>10</v>
      </c>
      <c r="F344" s="2"/>
      <c r="G344" s="4" t="s">
        <v>2060</v>
      </c>
      <c r="H344" s="134">
        <v>9</v>
      </c>
      <c r="I344" s="2"/>
      <c r="J344" s="4" t="s">
        <v>2076</v>
      </c>
      <c r="K344" s="134">
        <v>8.5</v>
      </c>
      <c r="L344" s="2"/>
      <c r="M344" s="4" t="s">
        <v>2042</v>
      </c>
      <c r="N344" s="134">
        <v>8.5</v>
      </c>
      <c r="O344" s="16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ht="16" customHeight="1" x14ac:dyDescent="0.2">
      <c r="A345" s="4" t="s">
        <v>2094</v>
      </c>
      <c r="B345" s="134">
        <v>8</v>
      </c>
      <c r="C345" s="2"/>
      <c r="D345" s="4" t="s">
        <v>1913</v>
      </c>
      <c r="E345" s="134">
        <v>9.5</v>
      </c>
      <c r="F345" s="2"/>
      <c r="G345" s="4" t="s">
        <v>2061</v>
      </c>
      <c r="H345" s="134">
        <v>10</v>
      </c>
      <c r="I345" s="2"/>
      <c r="J345" s="4" t="s">
        <v>2077</v>
      </c>
      <c r="K345" s="134">
        <v>9</v>
      </c>
      <c r="L345" s="2"/>
      <c r="M345" s="4" t="s">
        <v>2043</v>
      </c>
      <c r="N345" s="134">
        <v>8.5</v>
      </c>
      <c r="O345" s="16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ht="16" customHeight="1" x14ac:dyDescent="0.2">
      <c r="A346" s="4" t="s">
        <v>2095</v>
      </c>
      <c r="B346" s="134">
        <v>10</v>
      </c>
      <c r="C346" s="2"/>
      <c r="D346" s="4" t="s">
        <v>1914</v>
      </c>
      <c r="E346" s="134">
        <v>10</v>
      </c>
      <c r="F346" s="2"/>
      <c r="G346" s="4" t="s">
        <v>2062</v>
      </c>
      <c r="H346" s="134">
        <v>8.5</v>
      </c>
      <c r="I346" s="2"/>
      <c r="J346" s="4" t="s">
        <v>2078</v>
      </c>
      <c r="K346" s="134">
        <v>8</v>
      </c>
      <c r="L346" s="2"/>
      <c r="M346" s="4" t="s">
        <v>2044</v>
      </c>
      <c r="N346" s="134">
        <v>9</v>
      </c>
      <c r="O346" s="1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ht="16" customHeight="1" x14ac:dyDescent="0.2">
      <c r="A347" s="4" t="s">
        <v>2096</v>
      </c>
      <c r="B347" s="134">
        <v>9</v>
      </c>
      <c r="C347" s="2"/>
      <c r="D347" s="4" t="s">
        <v>1915</v>
      </c>
      <c r="E347" s="134">
        <v>8</v>
      </c>
      <c r="F347" s="2"/>
      <c r="G347" s="4" t="s">
        <v>2063</v>
      </c>
      <c r="H347" s="134">
        <v>8.5</v>
      </c>
      <c r="I347" s="2"/>
      <c r="J347" s="4" t="s">
        <v>2079</v>
      </c>
      <c r="K347" s="134">
        <v>8</v>
      </c>
      <c r="L347" s="2"/>
      <c r="M347" s="4" t="s">
        <v>2045</v>
      </c>
      <c r="N347" s="134">
        <v>8.5</v>
      </c>
      <c r="O347" s="16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ht="16" customHeight="1" x14ac:dyDescent="0.2">
      <c r="A348" s="4" t="s">
        <v>2097</v>
      </c>
      <c r="B348" s="134">
        <v>9</v>
      </c>
      <c r="C348" s="2"/>
      <c r="D348" s="4" t="s">
        <v>1916</v>
      </c>
      <c r="E348" s="134">
        <v>8.5</v>
      </c>
      <c r="F348" s="2"/>
      <c r="G348" s="4" t="s">
        <v>2064</v>
      </c>
      <c r="H348" s="134">
        <v>8</v>
      </c>
      <c r="I348" s="2"/>
      <c r="J348" s="4" t="s">
        <v>2080</v>
      </c>
      <c r="K348" s="134">
        <v>7.5</v>
      </c>
      <c r="L348" s="2"/>
      <c r="M348" s="4" t="s">
        <v>2046</v>
      </c>
      <c r="N348" s="134">
        <v>8</v>
      </c>
      <c r="O348" s="16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ht="16" customHeight="1" x14ac:dyDescent="0.2">
      <c r="A349" s="4" t="s">
        <v>2098</v>
      </c>
      <c r="B349" s="134">
        <v>8.5</v>
      </c>
      <c r="C349" s="2"/>
      <c r="D349" s="4" t="s">
        <v>1917</v>
      </c>
      <c r="E349" s="134">
        <v>8</v>
      </c>
      <c r="F349" s="2"/>
      <c r="G349" s="4" t="s">
        <v>2065</v>
      </c>
      <c r="H349" s="134">
        <v>8</v>
      </c>
      <c r="I349" s="2"/>
      <c r="J349" s="4" t="s">
        <v>2081</v>
      </c>
      <c r="K349" s="134">
        <v>9.5</v>
      </c>
      <c r="L349" s="2"/>
      <c r="M349" s="4" t="s">
        <v>2047</v>
      </c>
      <c r="N349" s="134"/>
      <c r="O349" s="16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ht="16" customHeight="1" x14ac:dyDescent="0.2">
      <c r="A350" s="4" t="s">
        <v>2099</v>
      </c>
      <c r="B350" s="134">
        <v>9</v>
      </c>
      <c r="C350" s="2"/>
      <c r="D350" s="4" t="s">
        <v>1918</v>
      </c>
      <c r="E350" s="134">
        <v>7.5</v>
      </c>
      <c r="F350" s="2"/>
      <c r="G350" s="4" t="s">
        <v>2066</v>
      </c>
      <c r="H350" s="134">
        <v>8.5</v>
      </c>
      <c r="I350" s="2"/>
      <c r="J350" s="4" t="s">
        <v>2082</v>
      </c>
      <c r="K350" s="134">
        <v>8</v>
      </c>
      <c r="L350" s="2"/>
      <c r="M350" s="4" t="s">
        <v>2048</v>
      </c>
      <c r="N350" s="134">
        <v>9</v>
      </c>
      <c r="O350" s="16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ht="16" customHeight="1" thickBot="1" x14ac:dyDescent="0.25">
      <c r="A351" s="4" t="s">
        <v>2100</v>
      </c>
      <c r="B351" s="134">
        <v>8.5</v>
      </c>
      <c r="C351" s="2"/>
      <c r="D351" s="4" t="s">
        <v>1919</v>
      </c>
      <c r="E351" s="134">
        <v>9</v>
      </c>
      <c r="F351" s="2"/>
      <c r="G351" s="7" t="s">
        <v>2067</v>
      </c>
      <c r="H351" s="135">
        <v>7.5</v>
      </c>
      <c r="I351" s="2"/>
      <c r="J351" s="4" t="s">
        <v>2083</v>
      </c>
      <c r="K351" s="134">
        <v>10</v>
      </c>
      <c r="L351" s="2"/>
      <c r="M351" s="4" t="s">
        <v>2049</v>
      </c>
      <c r="N351" s="134">
        <v>10</v>
      </c>
      <c r="O351" s="16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ht="16" customHeight="1" thickBot="1" x14ac:dyDescent="0.25">
      <c r="A352" s="4" t="s">
        <v>2101</v>
      </c>
      <c r="B352" s="134">
        <v>8</v>
      </c>
      <c r="C352" s="2"/>
      <c r="D352" s="4" t="s">
        <v>1920</v>
      </c>
      <c r="E352" s="134">
        <v>8</v>
      </c>
      <c r="F352" s="2"/>
      <c r="G352" s="2"/>
      <c r="H352" s="2"/>
      <c r="I352" s="2"/>
      <c r="J352" s="4" t="s">
        <v>2084</v>
      </c>
      <c r="K352" s="134">
        <v>8</v>
      </c>
      <c r="L352" s="2"/>
      <c r="M352" s="4" t="s">
        <v>2050</v>
      </c>
      <c r="N352" s="134">
        <v>8</v>
      </c>
      <c r="O352" s="16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ht="16" customHeight="1" thickBot="1" x14ac:dyDescent="0.25">
      <c r="A353" s="4" t="s">
        <v>2102</v>
      </c>
      <c r="B353" s="134">
        <v>8</v>
      </c>
      <c r="C353" s="2"/>
      <c r="D353" s="4" t="s">
        <v>1921</v>
      </c>
      <c r="E353" s="134"/>
      <c r="F353" s="2"/>
      <c r="G353" s="167" t="s">
        <v>2111</v>
      </c>
      <c r="H353" s="12">
        <f>ROUND(SUM(H354:H363)/COUNT(H354:H363), 2)</f>
        <v>8.6999999999999993</v>
      </c>
      <c r="I353" s="2"/>
      <c r="J353" s="4" t="s">
        <v>2085</v>
      </c>
      <c r="K353" s="134">
        <v>7.5</v>
      </c>
      <c r="L353" s="2"/>
      <c r="M353" s="7" t="s">
        <v>2051</v>
      </c>
      <c r="N353" s="135">
        <v>9</v>
      </c>
      <c r="O353" s="16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ht="16" customHeight="1" thickBot="1" x14ac:dyDescent="0.25">
      <c r="A354" s="4" t="s">
        <v>2103</v>
      </c>
      <c r="B354" s="134">
        <v>7.5</v>
      </c>
      <c r="C354" s="2"/>
      <c r="D354" s="4" t="s">
        <v>1922</v>
      </c>
      <c r="E354" s="134">
        <v>8</v>
      </c>
      <c r="F354" s="2"/>
      <c r="G354" s="11" t="s">
        <v>2112</v>
      </c>
      <c r="H354" s="133">
        <v>9</v>
      </c>
      <c r="I354" s="2"/>
      <c r="J354" s="7" t="s">
        <v>2086</v>
      </c>
      <c r="K354" s="135">
        <v>10</v>
      </c>
      <c r="L354" s="2"/>
      <c r="M354" s="2"/>
      <c r="N354" s="2"/>
      <c r="O354" s="16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ht="16" customHeight="1" thickBot="1" x14ac:dyDescent="0.25">
      <c r="A355" s="4" t="s">
        <v>2104</v>
      </c>
      <c r="B355" s="134">
        <v>8.5</v>
      </c>
      <c r="C355" s="2"/>
      <c r="D355" s="4" t="s">
        <v>1923</v>
      </c>
      <c r="E355" s="134">
        <v>8.5</v>
      </c>
      <c r="F355" s="2"/>
      <c r="G355" s="4" t="s">
        <v>2113</v>
      </c>
      <c r="H355" s="134">
        <v>10</v>
      </c>
      <c r="I355" s="2"/>
      <c r="J355" s="2"/>
      <c r="K355" s="2"/>
      <c r="L355" s="2"/>
      <c r="M355" s="168" t="s">
        <v>2135</v>
      </c>
      <c r="N355" s="12">
        <f>ROUND(SUM(N356:N365)/COUNT(N356:N365), 2)</f>
        <v>8</v>
      </c>
      <c r="O355" s="16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ht="16" customHeight="1" thickBot="1" x14ac:dyDescent="0.25">
      <c r="A356" s="4" t="s">
        <v>2105</v>
      </c>
      <c r="B356" s="134">
        <v>8</v>
      </c>
      <c r="C356" s="2"/>
      <c r="D356" s="4" t="s">
        <v>1924</v>
      </c>
      <c r="E356" s="134">
        <v>8</v>
      </c>
      <c r="F356" s="2"/>
      <c r="G356" s="4" t="s">
        <v>2114</v>
      </c>
      <c r="H356" s="134">
        <v>8</v>
      </c>
      <c r="I356" s="2"/>
      <c r="J356" s="169" t="s">
        <v>2138</v>
      </c>
      <c r="K356" s="12">
        <f>ROUND(SUM(K357:K363)/COUNT(K357:K363), 2)</f>
        <v>8.64</v>
      </c>
      <c r="L356" s="2"/>
      <c r="M356" s="11" t="s">
        <v>2125</v>
      </c>
      <c r="N356" s="133">
        <v>9</v>
      </c>
      <c r="O356" s="1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ht="16" customHeight="1" x14ac:dyDescent="0.2">
      <c r="A357" s="4" t="s">
        <v>2106</v>
      </c>
      <c r="B357" s="134">
        <v>9</v>
      </c>
      <c r="C357" s="2"/>
      <c r="D357" s="4" t="s">
        <v>1925</v>
      </c>
      <c r="E357" s="134">
        <v>8.5</v>
      </c>
      <c r="F357" s="2"/>
      <c r="G357" s="4" t="s">
        <v>2115</v>
      </c>
      <c r="H357" s="134">
        <v>9</v>
      </c>
      <c r="I357" s="2"/>
      <c r="J357" s="11" t="s">
        <v>2139</v>
      </c>
      <c r="K357" s="133">
        <v>8</v>
      </c>
      <c r="L357" s="2"/>
      <c r="M357" s="4" t="s">
        <v>2126</v>
      </c>
      <c r="N357" s="134">
        <v>8.5</v>
      </c>
      <c r="O357" s="16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ht="16" customHeight="1" thickBot="1" x14ac:dyDescent="0.25">
      <c r="A358" s="7" t="s">
        <v>2107</v>
      </c>
      <c r="B358" s="135">
        <v>8.5</v>
      </c>
      <c r="C358" s="2"/>
      <c r="D358" s="7" t="s">
        <v>1304</v>
      </c>
      <c r="E358" s="135">
        <v>9</v>
      </c>
      <c r="F358" s="2"/>
      <c r="G358" s="4" t="s">
        <v>2116</v>
      </c>
      <c r="H358" s="134">
        <v>8</v>
      </c>
      <c r="I358" s="2"/>
      <c r="J358" s="4" t="s">
        <v>2140</v>
      </c>
      <c r="K358" s="134">
        <v>9</v>
      </c>
      <c r="L358" s="2"/>
      <c r="M358" s="4" t="s">
        <v>2127</v>
      </c>
      <c r="N358" s="134">
        <v>8</v>
      </c>
      <c r="O358" s="16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ht="16" customHeight="1" thickBot="1" x14ac:dyDescent="0.25">
      <c r="A359" s="2"/>
      <c r="B359" s="2"/>
      <c r="C359" s="2"/>
      <c r="D359" s="2"/>
      <c r="E359" s="2"/>
      <c r="F359" s="2"/>
      <c r="G359" s="4" t="s">
        <v>2117</v>
      </c>
      <c r="H359" s="134">
        <v>8.5</v>
      </c>
      <c r="I359" s="2"/>
      <c r="J359" s="4" t="s">
        <v>2141</v>
      </c>
      <c r="K359" s="134">
        <v>8.5</v>
      </c>
      <c r="L359" s="2"/>
      <c r="M359" s="4" t="s">
        <v>2128</v>
      </c>
      <c r="N359" s="134">
        <v>7.5</v>
      </c>
      <c r="O359" s="16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ht="16" customHeight="1" thickBot="1" x14ac:dyDescent="0.25">
      <c r="A360" s="170" t="s">
        <v>2147</v>
      </c>
      <c r="B360" s="12">
        <f>ROUND(SUM(B361:B377)/COUNT(B361:B377), 2)</f>
        <v>8.81</v>
      </c>
      <c r="C360" s="2"/>
      <c r="D360" s="172" t="s">
        <v>2167</v>
      </c>
      <c r="E360" s="12">
        <f>ROUND(SUM(E361:E370)/COUNT(E361:E370), 2)</f>
        <v>8.67</v>
      </c>
      <c r="F360" s="2"/>
      <c r="G360" s="4" t="s">
        <v>2118</v>
      </c>
      <c r="H360" s="134">
        <v>8</v>
      </c>
      <c r="I360" s="2"/>
      <c r="J360" s="4" t="s">
        <v>2142</v>
      </c>
      <c r="K360" s="134">
        <v>10</v>
      </c>
      <c r="L360" s="2"/>
      <c r="M360" s="4" t="s">
        <v>2129</v>
      </c>
      <c r="N360" s="134">
        <v>7.5</v>
      </c>
      <c r="O360" s="16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ht="16" customHeight="1" x14ac:dyDescent="0.2">
      <c r="A361" s="11" t="s">
        <v>2148</v>
      </c>
      <c r="B361" s="133">
        <v>10</v>
      </c>
      <c r="C361" s="2"/>
      <c r="D361" s="11" t="s">
        <v>2168</v>
      </c>
      <c r="E361" s="133">
        <v>8.5</v>
      </c>
      <c r="F361" s="2"/>
      <c r="G361" s="4" t="s">
        <v>2119</v>
      </c>
      <c r="H361" s="134">
        <v>8</v>
      </c>
      <c r="I361" s="2"/>
      <c r="J361" s="4" t="s">
        <v>2143</v>
      </c>
      <c r="K361" s="134">
        <v>9</v>
      </c>
      <c r="L361" s="2"/>
      <c r="M361" s="4" t="s">
        <v>2130</v>
      </c>
      <c r="N361" s="134">
        <v>8</v>
      </c>
      <c r="O361" s="16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ht="16" customHeight="1" x14ac:dyDescent="0.2">
      <c r="A362" s="4" t="s">
        <v>2149</v>
      </c>
      <c r="B362" s="134">
        <v>9</v>
      </c>
      <c r="C362" s="2"/>
      <c r="D362" s="4" t="s">
        <v>2169</v>
      </c>
      <c r="E362" s="134">
        <v>8</v>
      </c>
      <c r="F362" s="2"/>
      <c r="G362" s="4" t="s">
        <v>2120</v>
      </c>
      <c r="H362" s="134">
        <v>10</v>
      </c>
      <c r="I362" s="2"/>
      <c r="J362" s="4" t="s">
        <v>2144</v>
      </c>
      <c r="K362" s="134">
        <v>8.5</v>
      </c>
      <c r="L362" s="2"/>
      <c r="M362" s="4" t="s">
        <v>2131</v>
      </c>
      <c r="N362" s="134">
        <v>8</v>
      </c>
      <c r="O362" s="16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ht="16" customHeight="1" thickBot="1" x14ac:dyDescent="0.25">
      <c r="A363" s="4" t="s">
        <v>2150</v>
      </c>
      <c r="B363" s="134">
        <v>8.5</v>
      </c>
      <c r="C363" s="2"/>
      <c r="D363" s="4" t="s">
        <v>2170</v>
      </c>
      <c r="E363" s="134">
        <v>10</v>
      </c>
      <c r="F363" s="2"/>
      <c r="G363" s="7" t="s">
        <v>2121</v>
      </c>
      <c r="H363" s="135">
        <v>8.5</v>
      </c>
      <c r="I363" s="2"/>
      <c r="J363" s="7" t="s">
        <v>2145</v>
      </c>
      <c r="K363" s="135">
        <v>7.5</v>
      </c>
      <c r="L363" s="2"/>
      <c r="M363" s="4" t="s">
        <v>2132</v>
      </c>
      <c r="N363" s="134">
        <v>8</v>
      </c>
      <c r="O363" s="16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ht="16" customHeight="1" thickBot="1" x14ac:dyDescent="0.25">
      <c r="A364" s="4" t="s">
        <v>2151</v>
      </c>
      <c r="B364" s="134">
        <v>9.5</v>
      </c>
      <c r="C364" s="2"/>
      <c r="D364" s="4" t="s">
        <v>2171</v>
      </c>
      <c r="E364" s="134">
        <v>8.5</v>
      </c>
      <c r="F364" s="2"/>
      <c r="G364" s="2"/>
      <c r="H364" s="2"/>
      <c r="I364" s="2"/>
      <c r="J364" s="2"/>
      <c r="K364" s="2"/>
      <c r="L364" s="2"/>
      <c r="M364" s="4" t="s">
        <v>2133</v>
      </c>
      <c r="N364" s="134">
        <v>7.5</v>
      </c>
      <c r="O364" s="16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ht="16" customHeight="1" thickBot="1" x14ac:dyDescent="0.25">
      <c r="A365" s="4" t="s">
        <v>2152</v>
      </c>
      <c r="B365" s="134">
        <v>8.5</v>
      </c>
      <c r="C365" s="2"/>
      <c r="D365" s="4" t="s">
        <v>2172</v>
      </c>
      <c r="E365" s="134">
        <v>8</v>
      </c>
      <c r="F365" s="2"/>
      <c r="G365" s="173" t="s">
        <v>2181</v>
      </c>
      <c r="H365" s="12">
        <f>ROUND(SUM(H366:H372)/COUNT(H366:H372), 2)</f>
        <v>9.07</v>
      </c>
      <c r="I365" s="2"/>
      <c r="J365" s="174" t="s">
        <v>2192</v>
      </c>
      <c r="K365" s="12">
        <f>ROUND(SUM(K366:K378)/COUNT(K366:K378), 2)</f>
        <v>8.92</v>
      </c>
      <c r="L365" s="2"/>
      <c r="M365" s="7" t="s">
        <v>2134</v>
      </c>
      <c r="N365" s="135">
        <v>8</v>
      </c>
      <c r="O365" s="16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ht="16" customHeight="1" thickBot="1" x14ac:dyDescent="0.25">
      <c r="A366" s="4" t="s">
        <v>2153</v>
      </c>
      <c r="B366" s="134">
        <v>9.5</v>
      </c>
      <c r="C366" s="2"/>
      <c r="D366" s="4" t="s">
        <v>2173</v>
      </c>
      <c r="E366" s="134">
        <v>7.5</v>
      </c>
      <c r="F366" s="2"/>
      <c r="G366" s="11" t="s">
        <v>2182</v>
      </c>
      <c r="H366" s="133">
        <v>10</v>
      </c>
      <c r="I366" s="2"/>
      <c r="J366" s="11" t="s">
        <v>2193</v>
      </c>
      <c r="K366" s="133"/>
      <c r="L366" s="2"/>
      <c r="M366" s="2"/>
      <c r="N366" s="2"/>
      <c r="O366" s="1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ht="16" customHeight="1" thickBot="1" x14ac:dyDescent="0.25">
      <c r="A367" s="4" t="s">
        <v>2154</v>
      </c>
      <c r="B367" s="134">
        <v>10.5</v>
      </c>
      <c r="C367" s="2"/>
      <c r="D367" s="4" t="s">
        <v>2174</v>
      </c>
      <c r="E367" s="134">
        <v>9</v>
      </c>
      <c r="F367" s="2"/>
      <c r="G367" s="4" t="s">
        <v>2183</v>
      </c>
      <c r="H367" s="134">
        <v>8.5</v>
      </c>
      <c r="I367" s="2"/>
      <c r="J367" s="4" t="s">
        <v>2194</v>
      </c>
      <c r="K367" s="134">
        <v>8.5</v>
      </c>
      <c r="L367" s="2"/>
      <c r="M367" s="175" t="s">
        <v>2206</v>
      </c>
      <c r="N367" s="12">
        <f>ROUND(SUM(N368:N372)/COUNT(N368:N372), 2)</f>
        <v>8.1999999999999993</v>
      </c>
      <c r="O367" s="16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ht="16" customHeight="1" x14ac:dyDescent="0.2">
      <c r="A368" s="4" t="s">
        <v>2155</v>
      </c>
      <c r="B368" s="134">
        <v>9</v>
      </c>
      <c r="C368" s="2"/>
      <c r="D368" s="4" t="s">
        <v>2175</v>
      </c>
      <c r="E368" s="134">
        <v>8.5</v>
      </c>
      <c r="F368" s="2"/>
      <c r="G368" s="4" t="s">
        <v>2184</v>
      </c>
      <c r="H368" s="134">
        <v>9.5</v>
      </c>
      <c r="I368" s="2"/>
      <c r="J368" s="4" t="s">
        <v>2195</v>
      </c>
      <c r="K368" s="134">
        <v>10.5</v>
      </c>
      <c r="L368" s="2"/>
      <c r="M368" s="11" t="s">
        <v>2207</v>
      </c>
      <c r="N368" s="133">
        <v>8.5</v>
      </c>
      <c r="O368" s="16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ht="16" customHeight="1" x14ac:dyDescent="0.2">
      <c r="A369" s="4" t="s">
        <v>2156</v>
      </c>
      <c r="B369" s="134">
        <v>8</v>
      </c>
      <c r="C369" s="2"/>
      <c r="D369" s="4" t="s">
        <v>2176</v>
      </c>
      <c r="E369" s="134"/>
      <c r="F369" s="2"/>
      <c r="G369" s="4" t="s">
        <v>2185</v>
      </c>
      <c r="H369" s="134">
        <v>8</v>
      </c>
      <c r="I369" s="2"/>
      <c r="J369" s="4" t="s">
        <v>2196</v>
      </c>
      <c r="K369" s="134">
        <v>9.5</v>
      </c>
      <c r="L369" s="2"/>
      <c r="M369" s="4" t="s">
        <v>2208</v>
      </c>
      <c r="N369" s="134">
        <v>8</v>
      </c>
      <c r="O369" s="16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ht="16" customHeight="1" thickBot="1" x14ac:dyDescent="0.25">
      <c r="A370" s="4" t="s">
        <v>2157</v>
      </c>
      <c r="B370" s="134">
        <v>8</v>
      </c>
      <c r="C370" s="2"/>
      <c r="D370" s="7" t="s">
        <v>2177</v>
      </c>
      <c r="E370" s="135">
        <v>10</v>
      </c>
      <c r="F370" s="2"/>
      <c r="G370" s="4" t="s">
        <v>2186</v>
      </c>
      <c r="H370" s="134">
        <v>8.5</v>
      </c>
      <c r="I370" s="2"/>
      <c r="J370" s="4" t="s">
        <v>2197</v>
      </c>
      <c r="K370" s="134">
        <v>8.5</v>
      </c>
      <c r="L370" s="2"/>
      <c r="M370" s="4" t="s">
        <v>2209</v>
      </c>
      <c r="N370" s="134">
        <v>8</v>
      </c>
      <c r="O370" s="16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ht="16" customHeight="1" thickBot="1" x14ac:dyDescent="0.25">
      <c r="A371" s="4" t="s">
        <v>2158</v>
      </c>
      <c r="B371" s="134">
        <v>8.5</v>
      </c>
      <c r="C371" s="2"/>
      <c r="D371" s="2"/>
      <c r="E371" s="2"/>
      <c r="F371" s="2"/>
      <c r="G371" s="4" t="s">
        <v>2187</v>
      </c>
      <c r="H371" s="134">
        <v>9</v>
      </c>
      <c r="I371" s="2"/>
      <c r="J371" s="4" t="s">
        <v>2198</v>
      </c>
      <c r="K371" s="134">
        <v>7.5</v>
      </c>
      <c r="L371" s="2"/>
      <c r="M371" s="4" t="s">
        <v>2210</v>
      </c>
      <c r="N371" s="134">
        <v>8</v>
      </c>
      <c r="O371" s="16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ht="16" customHeight="1" thickBot="1" x14ac:dyDescent="0.25">
      <c r="A372" s="4" t="s">
        <v>2159</v>
      </c>
      <c r="B372" s="134">
        <v>8</v>
      </c>
      <c r="C372" s="2"/>
      <c r="D372" s="121" t="s">
        <v>2212</v>
      </c>
      <c r="E372" s="12">
        <f>ROUND(SUM(E373:E381)/COUNT(E373:E381), 2)</f>
        <v>8.61</v>
      </c>
      <c r="F372" s="2"/>
      <c r="G372" s="7" t="s">
        <v>2188</v>
      </c>
      <c r="H372" s="135">
        <v>10</v>
      </c>
      <c r="I372" s="2"/>
      <c r="J372" s="4" t="s">
        <v>2199</v>
      </c>
      <c r="K372" s="134">
        <v>10</v>
      </c>
      <c r="L372" s="2"/>
      <c r="M372" s="7" t="s">
        <v>2211</v>
      </c>
      <c r="N372" s="135">
        <v>8.5</v>
      </c>
      <c r="O372" s="16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ht="16" customHeight="1" thickBot="1" x14ac:dyDescent="0.25">
      <c r="A373" s="171" t="s">
        <v>2160</v>
      </c>
      <c r="B373" s="134">
        <v>8</v>
      </c>
      <c r="C373" s="2"/>
      <c r="D373" s="11" t="s">
        <v>2213</v>
      </c>
      <c r="E373" s="133">
        <v>9</v>
      </c>
      <c r="F373" s="2"/>
      <c r="G373" s="2"/>
      <c r="H373" s="2"/>
      <c r="I373" s="2"/>
      <c r="J373" s="4" t="s">
        <v>2200</v>
      </c>
      <c r="K373" s="134">
        <v>9.5</v>
      </c>
      <c r="L373" s="2"/>
      <c r="M373" s="2"/>
      <c r="N373" s="2"/>
      <c r="O373" s="16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ht="16" customHeight="1" thickBot="1" x14ac:dyDescent="0.25">
      <c r="A374" s="4" t="s">
        <v>2161</v>
      </c>
      <c r="B374" s="134">
        <v>8.5</v>
      </c>
      <c r="C374" s="2"/>
      <c r="D374" s="4" t="s">
        <v>2214</v>
      </c>
      <c r="E374" s="134">
        <v>7</v>
      </c>
      <c r="F374" s="2"/>
      <c r="G374" s="176" t="s">
        <v>2226</v>
      </c>
      <c r="H374" s="12">
        <f>ROUND(SUM(H375:H385)/COUNT(H375:H385), 2)</f>
        <v>8.86</v>
      </c>
      <c r="I374" s="2"/>
      <c r="J374" s="4" t="s">
        <v>2201</v>
      </c>
      <c r="K374" s="134">
        <v>9</v>
      </c>
      <c r="L374" s="2"/>
      <c r="M374" s="177" t="s">
        <v>2251</v>
      </c>
      <c r="N374" s="12">
        <f>ROUND(SUM(N375:N387)/COUNT(N375:N387), 2)</f>
        <v>8.56</v>
      </c>
      <c r="O374" s="16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ht="16" customHeight="1" x14ac:dyDescent="0.2">
      <c r="A375" s="4" t="s">
        <v>2162</v>
      </c>
      <c r="B375" s="134">
        <v>9</v>
      </c>
      <c r="C375" s="2"/>
      <c r="D375" s="4" t="s">
        <v>2215</v>
      </c>
      <c r="E375" s="134">
        <v>10</v>
      </c>
      <c r="F375" s="2"/>
      <c r="G375" s="11" t="s">
        <v>2227</v>
      </c>
      <c r="H375" s="133">
        <v>8.5</v>
      </c>
      <c r="I375" s="2"/>
      <c r="J375" s="4" t="s">
        <v>2202</v>
      </c>
      <c r="K375" s="134">
        <v>9</v>
      </c>
      <c r="L375" s="2"/>
      <c r="M375" s="11" t="s">
        <v>2243</v>
      </c>
      <c r="N375" s="133">
        <v>9.5</v>
      </c>
      <c r="O375" s="16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ht="16" customHeight="1" x14ac:dyDescent="0.2">
      <c r="A376" s="4" t="s">
        <v>1915</v>
      </c>
      <c r="B376" s="134">
        <v>8.5</v>
      </c>
      <c r="C376" s="2"/>
      <c r="D376" s="4" t="s">
        <v>611</v>
      </c>
      <c r="E376" s="134">
        <v>8</v>
      </c>
      <c r="F376" s="2"/>
      <c r="G376" s="4" t="s">
        <v>2228</v>
      </c>
      <c r="H376" s="134">
        <v>9.5</v>
      </c>
      <c r="I376" s="2"/>
      <c r="J376" s="4" t="s">
        <v>2203</v>
      </c>
      <c r="K376" s="134">
        <v>8</v>
      </c>
      <c r="L376" s="2"/>
      <c r="M376" s="198" t="s">
        <v>2244</v>
      </c>
      <c r="N376" s="134">
        <v>10</v>
      </c>
      <c r="O376" s="1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ht="16" customHeight="1" thickBot="1" x14ac:dyDescent="0.25">
      <c r="A377" s="7" t="s">
        <v>2163</v>
      </c>
      <c r="B377" s="135"/>
      <c r="C377" s="2"/>
      <c r="D377" s="4" t="s">
        <v>2216</v>
      </c>
      <c r="E377" s="134">
        <v>7</v>
      </c>
      <c r="F377" s="2"/>
      <c r="G377" s="4" t="s">
        <v>2229</v>
      </c>
      <c r="H377" s="134">
        <v>8</v>
      </c>
      <c r="I377" s="2"/>
      <c r="J377" s="4" t="s">
        <v>2204</v>
      </c>
      <c r="K377" s="134">
        <v>7</v>
      </c>
      <c r="L377" s="2"/>
      <c r="M377" s="198" t="s">
        <v>2245</v>
      </c>
      <c r="N377" s="134">
        <v>8</v>
      </c>
      <c r="O377" s="16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ht="16" customHeight="1" thickBot="1" x14ac:dyDescent="0.25">
      <c r="A378" s="2"/>
      <c r="B378" s="2"/>
      <c r="C378" s="2"/>
      <c r="D378" s="4" t="s">
        <v>2217</v>
      </c>
      <c r="E378" s="134">
        <v>10</v>
      </c>
      <c r="F378" s="2"/>
      <c r="G378" s="4" t="s">
        <v>2230</v>
      </c>
      <c r="H378" s="134">
        <v>8</v>
      </c>
      <c r="I378" s="2"/>
      <c r="J378" s="7" t="s">
        <v>525</v>
      </c>
      <c r="K378" s="135">
        <v>10</v>
      </c>
      <c r="L378" s="2"/>
      <c r="M378" s="198" t="s">
        <v>2246</v>
      </c>
      <c r="N378" s="134">
        <v>9.5</v>
      </c>
      <c r="O378" s="16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ht="16" customHeight="1" thickBot="1" x14ac:dyDescent="0.25">
      <c r="A379" s="178" t="s">
        <v>2364</v>
      </c>
      <c r="B379" s="1">
        <f>ROUND(SUM(B380:B390)/COUNT(B380:B390), 2)</f>
        <v>9.16</v>
      </c>
      <c r="C379" s="2"/>
      <c r="D379" s="4" t="s">
        <v>2218</v>
      </c>
      <c r="E379" s="134">
        <v>10.5</v>
      </c>
      <c r="F379" s="2"/>
      <c r="G379" s="4" t="s">
        <v>2231</v>
      </c>
      <c r="H379" s="134">
        <v>8.5</v>
      </c>
      <c r="I379" s="2"/>
      <c r="J379" s="2"/>
      <c r="K379" s="2"/>
      <c r="L379" s="2"/>
      <c r="M379" s="4" t="s">
        <v>2247</v>
      </c>
      <c r="N379" s="134">
        <v>8</v>
      </c>
      <c r="O379" s="16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ht="16" customHeight="1" thickBot="1" x14ac:dyDescent="0.25">
      <c r="A380" s="11" t="s">
        <v>2256</v>
      </c>
      <c r="B380" s="133">
        <v>9</v>
      </c>
      <c r="C380" s="2"/>
      <c r="D380" s="4" t="s">
        <v>2219</v>
      </c>
      <c r="E380" s="134">
        <v>8</v>
      </c>
      <c r="F380" s="2"/>
      <c r="G380" s="4" t="s">
        <v>2232</v>
      </c>
      <c r="H380" s="134">
        <v>10</v>
      </c>
      <c r="I380" s="2"/>
      <c r="J380" s="179" t="s">
        <v>2266</v>
      </c>
      <c r="K380" s="12">
        <f>ROUND(SUM(K381:K391)/COUNT(K381:K391), 2)</f>
        <v>8.65</v>
      </c>
      <c r="L380" s="2"/>
      <c r="M380" s="198" t="s">
        <v>2248</v>
      </c>
      <c r="N380" s="134">
        <v>8</v>
      </c>
      <c r="O380" s="16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ht="16" customHeight="1" thickBot="1" x14ac:dyDescent="0.25">
      <c r="A381" s="4" t="s">
        <v>2257</v>
      </c>
      <c r="B381" s="134">
        <v>8</v>
      </c>
      <c r="C381" s="2"/>
      <c r="D381" s="7" t="s">
        <v>2220</v>
      </c>
      <c r="E381" s="135">
        <v>8</v>
      </c>
      <c r="F381" s="2"/>
      <c r="G381" s="4" t="s">
        <v>2233</v>
      </c>
      <c r="H381" s="134">
        <v>10</v>
      </c>
      <c r="I381" s="2"/>
      <c r="J381" s="11" t="s">
        <v>2267</v>
      </c>
      <c r="K381" s="133">
        <v>8</v>
      </c>
      <c r="L381" s="2"/>
      <c r="M381" s="198" t="s">
        <v>2249</v>
      </c>
      <c r="N381" s="134">
        <v>8</v>
      </c>
      <c r="O381" s="16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 ht="16" customHeight="1" thickBot="1" x14ac:dyDescent="0.25">
      <c r="A382" s="4" t="s">
        <v>2262</v>
      </c>
      <c r="B382" s="134">
        <v>10.5</v>
      </c>
      <c r="C382" s="2"/>
      <c r="D382" s="2"/>
      <c r="E382" s="2"/>
      <c r="F382" s="2"/>
      <c r="G382" s="4" t="s">
        <v>2234</v>
      </c>
      <c r="H382" s="134">
        <v>7.5</v>
      </c>
      <c r="I382" s="2"/>
      <c r="J382" s="4" t="s">
        <v>2268</v>
      </c>
      <c r="K382" s="134">
        <v>9</v>
      </c>
      <c r="L382" s="2"/>
      <c r="M382" s="7" t="s">
        <v>2250</v>
      </c>
      <c r="N382" s="135">
        <v>8.5</v>
      </c>
      <c r="O382" s="16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ht="16" customHeight="1" thickBot="1" x14ac:dyDescent="0.25">
      <c r="A383" s="4" t="s">
        <v>2258</v>
      </c>
      <c r="B383" s="134"/>
      <c r="C383" s="2"/>
      <c r="D383" s="180" t="s">
        <v>2276</v>
      </c>
      <c r="E383" s="12">
        <f>ROUND(SUM(E384:E386)/COUNT(E384:E386), 2)</f>
        <v>10</v>
      </c>
      <c r="F383" s="2"/>
      <c r="G383" s="4" t="s">
        <v>2235</v>
      </c>
      <c r="H383" s="134">
        <v>9</v>
      </c>
      <c r="I383" s="2"/>
      <c r="J383" s="4" t="s">
        <v>2269</v>
      </c>
      <c r="K383" s="134">
        <v>8.5</v>
      </c>
      <c r="L383" s="2"/>
      <c r="M383" s="2"/>
      <c r="N383" s="2"/>
      <c r="O383" s="16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ht="16" customHeight="1" thickBot="1" x14ac:dyDescent="0.25">
      <c r="A384" s="4" t="s">
        <v>2259</v>
      </c>
      <c r="B384" s="134">
        <v>10</v>
      </c>
      <c r="C384" s="2"/>
      <c r="D384" s="11" t="s">
        <v>2277</v>
      </c>
      <c r="E384" s="133">
        <v>10.5</v>
      </c>
      <c r="F384" s="2"/>
      <c r="G384" s="4" t="s">
        <v>2236</v>
      </c>
      <c r="H384" s="134">
        <v>8.5</v>
      </c>
      <c r="I384" s="2"/>
      <c r="J384" s="4" t="s">
        <v>2270</v>
      </c>
      <c r="K384" s="134">
        <v>8.5</v>
      </c>
      <c r="L384" s="2"/>
      <c r="M384" s="181" t="s">
        <v>2279</v>
      </c>
      <c r="N384" s="1">
        <f>ROUND(SUM(N385:N395)/COUNT(N385:N395), 2)</f>
        <v>8.11</v>
      </c>
      <c r="O384" s="16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ht="16" customHeight="1" thickBot="1" x14ac:dyDescent="0.25">
      <c r="A385" s="4" t="s">
        <v>2260</v>
      </c>
      <c r="B385" s="134">
        <v>7.5</v>
      </c>
      <c r="C385" s="2"/>
      <c r="D385" s="4" t="s">
        <v>3155</v>
      </c>
      <c r="E385" s="134">
        <v>9</v>
      </c>
      <c r="F385" s="2"/>
      <c r="G385" s="7" t="s">
        <v>2237</v>
      </c>
      <c r="H385" s="135">
        <v>10</v>
      </c>
      <c r="I385" s="2"/>
      <c r="J385" s="4" t="s">
        <v>2271</v>
      </c>
      <c r="K385" s="134">
        <v>8.5</v>
      </c>
      <c r="L385" s="2"/>
      <c r="M385" s="4" t="s">
        <v>2280</v>
      </c>
      <c r="N385" s="134"/>
      <c r="O385" s="16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ht="16" customHeight="1" thickBot="1" x14ac:dyDescent="0.25">
      <c r="A386" s="4" t="s">
        <v>2261</v>
      </c>
      <c r="B386" s="134">
        <v>10.5</v>
      </c>
      <c r="C386" s="2"/>
      <c r="D386" s="7" t="s">
        <v>2278</v>
      </c>
      <c r="E386" s="135">
        <v>10.5</v>
      </c>
      <c r="F386" s="2"/>
      <c r="G386" s="2"/>
      <c r="H386" s="2"/>
      <c r="I386" s="2"/>
      <c r="J386" s="4" t="s">
        <v>2272</v>
      </c>
      <c r="K386" s="134">
        <v>10</v>
      </c>
      <c r="L386" s="2"/>
      <c r="M386" s="4" t="s">
        <v>2281</v>
      </c>
      <c r="N386" s="134">
        <v>8</v>
      </c>
      <c r="O386" s="1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ht="16" customHeight="1" thickBot="1" x14ac:dyDescent="0.25">
      <c r="A387" s="7" t="s">
        <v>2263</v>
      </c>
      <c r="B387" s="135"/>
      <c r="C387" s="2"/>
      <c r="D387" s="2"/>
      <c r="E387" s="2"/>
      <c r="F387" s="2"/>
      <c r="G387" s="182" t="s">
        <v>2293</v>
      </c>
      <c r="H387" s="12">
        <f>ROUND(SUM(H388:H399)/COUNT(H388:H399), 2)</f>
        <v>7.17</v>
      </c>
      <c r="I387" s="2"/>
      <c r="J387" s="4" t="s">
        <v>2273</v>
      </c>
      <c r="K387" s="134">
        <v>8.5</v>
      </c>
      <c r="L387" s="2"/>
      <c r="M387" s="4" t="s">
        <v>2282</v>
      </c>
      <c r="N387" s="134">
        <v>8.5</v>
      </c>
      <c r="O387" s="16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ht="16" customHeight="1" thickBot="1" x14ac:dyDescent="0.25">
      <c r="A388" s="2"/>
      <c r="B388" s="2"/>
      <c r="C388" s="2"/>
      <c r="D388" s="183" t="s">
        <v>2312</v>
      </c>
      <c r="E388" s="12">
        <f>ROUND(SUM(E389:E401)/COUNT(E389:E401), 2)</f>
        <v>8.7899999999999991</v>
      </c>
      <c r="F388" s="2"/>
      <c r="G388" s="11" t="s">
        <v>2294</v>
      </c>
      <c r="H388" s="133">
        <v>8.5</v>
      </c>
      <c r="I388" s="2"/>
      <c r="J388" s="4" t="s">
        <v>2274</v>
      </c>
      <c r="K388" s="134">
        <v>7.5</v>
      </c>
      <c r="L388" s="2"/>
      <c r="M388" s="4" t="s">
        <v>2283</v>
      </c>
      <c r="N388" s="134">
        <v>8</v>
      </c>
      <c r="O388" s="16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ht="16" customHeight="1" thickBot="1" x14ac:dyDescent="0.25">
      <c r="A389" s="184" t="s">
        <v>2339</v>
      </c>
      <c r="B389" s="12">
        <f>ROUND(SUM(B390:B399)/COUNT(B390:B399), 2)</f>
        <v>8.75</v>
      </c>
      <c r="C389" s="2"/>
      <c r="D389" s="11" t="s">
        <v>2313</v>
      </c>
      <c r="E389" s="133">
        <v>8.5</v>
      </c>
      <c r="F389" s="2"/>
      <c r="G389" s="4" t="s">
        <v>2295</v>
      </c>
      <c r="H389" s="134">
        <v>7.5</v>
      </c>
      <c r="I389" s="2"/>
      <c r="J389" s="7" t="s">
        <v>2275</v>
      </c>
      <c r="K389" s="135">
        <v>9</v>
      </c>
      <c r="L389" s="2"/>
      <c r="M389" s="4" t="s">
        <v>2284</v>
      </c>
      <c r="N389" s="134">
        <v>8</v>
      </c>
      <c r="O389" s="16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ht="16" customHeight="1" thickBot="1" x14ac:dyDescent="0.25">
      <c r="A390" s="11" t="s">
        <v>2329</v>
      </c>
      <c r="B390" s="133">
        <v>9</v>
      </c>
      <c r="C390" s="2"/>
      <c r="D390" s="4" t="s">
        <v>2314</v>
      </c>
      <c r="E390" s="134">
        <v>9.5</v>
      </c>
      <c r="F390" s="2"/>
      <c r="G390" s="4" t="s">
        <v>2296</v>
      </c>
      <c r="H390" s="134">
        <v>7</v>
      </c>
      <c r="I390" s="2"/>
      <c r="J390" s="2"/>
      <c r="K390" s="2"/>
      <c r="L390" s="2"/>
      <c r="M390" s="4" t="s">
        <v>2285</v>
      </c>
      <c r="N390" s="134">
        <v>7.5</v>
      </c>
      <c r="O390" s="16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ht="16" customHeight="1" thickBot="1" x14ac:dyDescent="0.25">
      <c r="A391" s="4" t="s">
        <v>2330</v>
      </c>
      <c r="B391" s="134">
        <v>8</v>
      </c>
      <c r="C391" s="2"/>
      <c r="D391" s="4" t="s">
        <v>2315</v>
      </c>
      <c r="E391" s="134">
        <v>8.5</v>
      </c>
      <c r="F391" s="2"/>
      <c r="G391" s="4" t="s">
        <v>2297</v>
      </c>
      <c r="H391" s="134">
        <v>6.5</v>
      </c>
      <c r="I391" s="2"/>
      <c r="J391" s="185" t="s">
        <v>2342</v>
      </c>
      <c r="K391" s="12">
        <f>ROUND(SUM(K392:K397)/COUNT(K392:K397), 2)</f>
        <v>9</v>
      </c>
      <c r="L391" s="2"/>
      <c r="M391" s="4" t="s">
        <v>2286</v>
      </c>
      <c r="N391" s="134">
        <v>8</v>
      </c>
      <c r="O391" s="16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ht="16" customHeight="1" x14ac:dyDescent="0.2">
      <c r="A392" s="4" t="s">
        <v>2331</v>
      </c>
      <c r="B392" s="134">
        <v>9</v>
      </c>
      <c r="C392" s="2"/>
      <c r="D392" s="4" t="s">
        <v>2316</v>
      </c>
      <c r="E392" s="134">
        <v>8</v>
      </c>
      <c r="F392" s="2"/>
      <c r="G392" s="4" t="s">
        <v>2298</v>
      </c>
      <c r="H392" s="134">
        <v>7</v>
      </c>
      <c r="I392" s="2"/>
      <c r="J392" s="11" t="s">
        <v>2343</v>
      </c>
      <c r="K392" s="133">
        <v>8.5</v>
      </c>
      <c r="L392" s="2"/>
      <c r="M392" s="4" t="s">
        <v>2287</v>
      </c>
      <c r="N392" s="134">
        <v>7.5</v>
      </c>
      <c r="O392" s="16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ht="16" customHeight="1" x14ac:dyDescent="0.2">
      <c r="A393" s="4" t="s">
        <v>2332</v>
      </c>
      <c r="B393" s="134">
        <v>10.5</v>
      </c>
      <c r="C393" s="2"/>
      <c r="D393" s="4" t="s">
        <v>2317</v>
      </c>
      <c r="E393" s="134">
        <v>8</v>
      </c>
      <c r="F393" s="2"/>
      <c r="G393" s="4" t="s">
        <v>2299</v>
      </c>
      <c r="H393" s="134">
        <v>7.5</v>
      </c>
      <c r="I393" s="2"/>
      <c r="J393" s="4" t="s">
        <v>2344</v>
      </c>
      <c r="K393" s="134">
        <v>10.5</v>
      </c>
      <c r="L393" s="2"/>
      <c r="M393" s="4" t="s">
        <v>2288</v>
      </c>
      <c r="N393" s="134">
        <v>8.5</v>
      </c>
      <c r="O393" s="16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ht="16" customHeight="1" x14ac:dyDescent="0.2">
      <c r="A394" s="4" t="s">
        <v>2333</v>
      </c>
      <c r="B394" s="134">
        <v>8.5</v>
      </c>
      <c r="C394" s="2"/>
      <c r="D394" s="4" t="s">
        <v>2318</v>
      </c>
      <c r="E394" s="134">
        <v>9.5</v>
      </c>
      <c r="F394" s="2"/>
      <c r="G394" s="4" t="s">
        <v>2300</v>
      </c>
      <c r="H394" s="134">
        <v>6.5</v>
      </c>
      <c r="I394" s="2"/>
      <c r="J394" s="4" t="s">
        <v>2345</v>
      </c>
      <c r="K394" s="134">
        <v>9.5</v>
      </c>
      <c r="L394" s="2"/>
      <c r="M394" s="4" t="s">
        <v>2289</v>
      </c>
      <c r="N394" s="134">
        <v>9</v>
      </c>
      <c r="O394" s="16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ht="16" customHeight="1" thickBot="1" x14ac:dyDescent="0.25">
      <c r="A395" s="4" t="s">
        <v>2334</v>
      </c>
      <c r="B395" s="134">
        <v>8.5</v>
      </c>
      <c r="C395" s="2"/>
      <c r="D395" s="4" t="s">
        <v>2319</v>
      </c>
      <c r="E395" s="134">
        <v>8</v>
      </c>
      <c r="F395" s="2"/>
      <c r="G395" s="4" t="s">
        <v>2301</v>
      </c>
      <c r="H395" s="134">
        <v>6</v>
      </c>
      <c r="I395" s="2"/>
      <c r="J395" s="4" t="s">
        <v>2346</v>
      </c>
      <c r="K395" s="134"/>
      <c r="L395" s="2"/>
      <c r="M395" s="7" t="s">
        <v>2290</v>
      </c>
      <c r="N395" s="135"/>
      <c r="O395" s="16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ht="16" customHeight="1" thickBot="1" x14ac:dyDescent="0.25">
      <c r="A396" s="4" t="s">
        <v>2335</v>
      </c>
      <c r="B396" s="134">
        <v>8</v>
      </c>
      <c r="C396" s="2"/>
      <c r="D396" s="4" t="s">
        <v>2320</v>
      </c>
      <c r="E396" s="134">
        <v>9</v>
      </c>
      <c r="F396" s="2"/>
      <c r="G396" s="4" t="s">
        <v>2302</v>
      </c>
      <c r="H396" s="134">
        <v>8</v>
      </c>
      <c r="I396" s="2"/>
      <c r="J396" s="4" t="s">
        <v>2347</v>
      </c>
      <c r="K396" s="134">
        <v>8.5</v>
      </c>
      <c r="L396" s="2"/>
      <c r="M396" s="2"/>
      <c r="N396" s="2"/>
      <c r="O396" s="1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ht="16" customHeight="1" thickBot="1" x14ac:dyDescent="0.25">
      <c r="A397" s="4" t="s">
        <v>2336</v>
      </c>
      <c r="B397" s="134">
        <v>8.5</v>
      </c>
      <c r="C397" s="2"/>
      <c r="D397" s="4" t="s">
        <v>2321</v>
      </c>
      <c r="E397" s="134">
        <v>9</v>
      </c>
      <c r="F397" s="2"/>
      <c r="G397" s="4" t="s">
        <v>2303</v>
      </c>
      <c r="H397" s="134">
        <v>7</v>
      </c>
      <c r="I397" s="2"/>
      <c r="J397" s="7" t="s">
        <v>2348</v>
      </c>
      <c r="K397" s="135">
        <v>8</v>
      </c>
      <c r="L397" s="2"/>
      <c r="M397" s="195" t="s">
        <v>2363</v>
      </c>
      <c r="N397" s="12">
        <f>ROUND(SUM(N398:N410)/COUNT(N398:N410), 2)</f>
        <v>9.08</v>
      </c>
      <c r="O397" s="16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ht="16" customHeight="1" thickBot="1" x14ac:dyDescent="0.25">
      <c r="A398" s="4" t="s">
        <v>2337</v>
      </c>
      <c r="B398" s="134">
        <v>8.5</v>
      </c>
      <c r="C398" s="2"/>
      <c r="D398" s="4" t="s">
        <v>2322</v>
      </c>
      <c r="E398" s="134">
        <v>9</v>
      </c>
      <c r="F398" s="2"/>
      <c r="G398" s="4" t="s">
        <v>2304</v>
      </c>
      <c r="H398" s="134">
        <v>6.5</v>
      </c>
      <c r="I398" s="2"/>
      <c r="J398" s="2"/>
      <c r="K398" s="2"/>
      <c r="L398" s="2"/>
      <c r="M398" s="11" t="s">
        <v>2350</v>
      </c>
      <c r="N398" s="133">
        <v>9.5</v>
      </c>
      <c r="O398" s="16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ht="16" customHeight="1" thickBot="1" x14ac:dyDescent="0.25">
      <c r="A399" s="7" t="s">
        <v>2338</v>
      </c>
      <c r="B399" s="135">
        <v>9</v>
      </c>
      <c r="C399" s="2"/>
      <c r="D399" s="4" t="s">
        <v>2323</v>
      </c>
      <c r="E399" s="134">
        <v>8</v>
      </c>
      <c r="F399" s="2"/>
      <c r="G399" s="7" t="s">
        <v>2305</v>
      </c>
      <c r="H399" s="135">
        <v>8</v>
      </c>
      <c r="I399" s="2"/>
      <c r="J399" s="186" t="s">
        <v>2368</v>
      </c>
      <c r="K399" s="12">
        <f>ROUND(SUM(K400:K410)/COUNT(K400:K410), 2)</f>
        <v>8.86</v>
      </c>
      <c r="L399" s="2"/>
      <c r="M399" s="4" t="s">
        <v>2351</v>
      </c>
      <c r="N399" s="134">
        <v>10</v>
      </c>
      <c r="O399" s="16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ht="16" customHeight="1" thickBot="1" x14ac:dyDescent="0.25">
      <c r="A400" s="2"/>
      <c r="B400" s="2"/>
      <c r="C400" s="2"/>
      <c r="D400" s="4" t="s">
        <v>2324</v>
      </c>
      <c r="E400" s="134"/>
      <c r="F400" s="2"/>
      <c r="G400" s="2"/>
      <c r="H400" s="2"/>
      <c r="I400" s="2"/>
      <c r="J400" s="11" t="s">
        <v>2369</v>
      </c>
      <c r="K400" s="133">
        <v>8.5</v>
      </c>
      <c r="L400" s="2"/>
      <c r="M400" s="4" t="s">
        <v>2352</v>
      </c>
      <c r="N400" s="134">
        <v>9.5</v>
      </c>
      <c r="O400" s="16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ht="16" customHeight="1" thickBot="1" x14ac:dyDescent="0.25">
      <c r="A401" s="187" t="s">
        <v>2385</v>
      </c>
      <c r="B401" s="12">
        <f>ROUND(SUM(B402:B411)/COUNT(B402:B411), 2)</f>
        <v>8.75</v>
      </c>
      <c r="C401" s="2"/>
      <c r="D401" s="7" t="s">
        <v>2325</v>
      </c>
      <c r="E401" s="135">
        <v>10.5</v>
      </c>
      <c r="F401" s="2"/>
      <c r="G401" s="188" t="s">
        <v>2392</v>
      </c>
      <c r="H401" s="12">
        <f>ROUND(SUM(H402:H413)/COUNT(H402:H413), 2)</f>
        <v>8.6300000000000008</v>
      </c>
      <c r="I401" s="2"/>
      <c r="J401" s="4" t="s">
        <v>2370</v>
      </c>
      <c r="K401" s="134">
        <v>10</v>
      </c>
      <c r="L401" s="2"/>
      <c r="M401" s="4" t="s">
        <v>2353</v>
      </c>
      <c r="N401" s="134">
        <v>9</v>
      </c>
      <c r="O401" s="16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ht="16" customHeight="1" thickBot="1" x14ac:dyDescent="0.25">
      <c r="A402" s="11" t="s">
        <v>2386</v>
      </c>
      <c r="B402" s="133"/>
      <c r="C402" s="2"/>
      <c r="D402" s="2"/>
      <c r="E402" s="2"/>
      <c r="F402" s="2"/>
      <c r="G402" s="11" t="s">
        <v>2393</v>
      </c>
      <c r="H402" s="133">
        <v>10.5</v>
      </c>
      <c r="I402" s="2"/>
      <c r="J402" s="4" t="s">
        <v>649</v>
      </c>
      <c r="K402" s="134">
        <v>10</v>
      </c>
      <c r="L402" s="2"/>
      <c r="M402" s="4" t="s">
        <v>2354</v>
      </c>
      <c r="N402" s="134">
        <v>10.5</v>
      </c>
      <c r="O402" s="16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ht="16" customHeight="1" thickBot="1" x14ac:dyDescent="0.25">
      <c r="A403" s="4" t="s">
        <v>2387</v>
      </c>
      <c r="B403" s="134">
        <v>10</v>
      </c>
      <c r="C403" s="2"/>
      <c r="D403" s="193" t="s">
        <v>2415</v>
      </c>
      <c r="E403" s="12">
        <f>ROUND(SUM(E404:E413)/COUNT(E404:E413), 2)</f>
        <v>2.5</v>
      </c>
      <c r="F403" s="2"/>
      <c r="G403" s="4" t="s">
        <v>2394</v>
      </c>
      <c r="H403" s="134">
        <v>9</v>
      </c>
      <c r="I403" s="2"/>
      <c r="J403" s="4" t="s">
        <v>2371</v>
      </c>
      <c r="K403" s="134">
        <v>8.5</v>
      </c>
      <c r="L403" s="2"/>
      <c r="M403" s="4" t="s">
        <v>2355</v>
      </c>
      <c r="N403" s="134">
        <v>8.5</v>
      </c>
      <c r="O403" s="16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ht="16" customHeight="1" x14ac:dyDescent="0.2">
      <c r="A404" s="4" t="s">
        <v>2388</v>
      </c>
      <c r="B404" s="134">
        <v>9.5</v>
      </c>
      <c r="C404" s="2"/>
      <c r="D404" s="11" t="s">
        <v>2405</v>
      </c>
      <c r="E404" s="133">
        <v>3.5</v>
      </c>
      <c r="F404" s="2"/>
      <c r="G404" s="4" t="s">
        <v>2395</v>
      </c>
      <c r="H404" s="134">
        <v>8.5</v>
      </c>
      <c r="I404" s="2"/>
      <c r="J404" s="4" t="s">
        <v>2372</v>
      </c>
      <c r="K404" s="134">
        <v>10.5</v>
      </c>
      <c r="L404" s="2"/>
      <c r="M404" s="4" t="s">
        <v>2356</v>
      </c>
      <c r="N404" s="134">
        <v>8.5</v>
      </c>
      <c r="O404" s="16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ht="16" customHeight="1" x14ac:dyDescent="0.2">
      <c r="A405" s="4" t="s">
        <v>2389</v>
      </c>
      <c r="B405" s="134">
        <v>8</v>
      </c>
      <c r="C405" s="2"/>
      <c r="D405" s="4" t="s">
        <v>2406</v>
      </c>
      <c r="E405" s="134">
        <v>0</v>
      </c>
      <c r="F405" s="2"/>
      <c r="G405" s="4" t="s">
        <v>2396</v>
      </c>
      <c r="H405" s="134">
        <v>8.5</v>
      </c>
      <c r="I405" s="2"/>
      <c r="J405" s="4" t="s">
        <v>2373</v>
      </c>
      <c r="K405" s="134">
        <v>9.5</v>
      </c>
      <c r="L405" s="2"/>
      <c r="M405" s="4" t="s">
        <v>2357</v>
      </c>
      <c r="N405" s="134">
        <v>10</v>
      </c>
      <c r="O405" s="16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ht="16" customHeight="1" x14ac:dyDescent="0.2">
      <c r="A406" s="4" t="s">
        <v>2390</v>
      </c>
      <c r="B406" s="134"/>
      <c r="C406" s="2"/>
      <c r="D406" s="4" t="s">
        <v>2407</v>
      </c>
      <c r="E406" s="134">
        <v>3</v>
      </c>
      <c r="F406" s="2"/>
      <c r="G406" s="4" t="s">
        <v>2397</v>
      </c>
      <c r="H406" s="134">
        <v>8</v>
      </c>
      <c r="I406" s="2"/>
      <c r="J406" s="4" t="s">
        <v>2374</v>
      </c>
      <c r="K406" s="134">
        <v>8</v>
      </c>
      <c r="L406" s="2"/>
      <c r="M406" s="4" t="s">
        <v>2358</v>
      </c>
      <c r="N406" s="134">
        <v>8.5</v>
      </c>
      <c r="O406" s="1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ht="16" customHeight="1" thickBot="1" x14ac:dyDescent="0.25">
      <c r="A407" s="7" t="s">
        <v>2391</v>
      </c>
      <c r="B407" s="135">
        <v>8</v>
      </c>
      <c r="C407" s="2"/>
      <c r="D407" s="4" t="s">
        <v>2408</v>
      </c>
      <c r="E407" s="134">
        <v>2</v>
      </c>
      <c r="F407" s="2"/>
      <c r="G407" s="4" t="s">
        <v>2398</v>
      </c>
      <c r="H407" s="134">
        <v>7.5</v>
      </c>
      <c r="I407" s="2"/>
      <c r="J407" s="4" t="s">
        <v>2375</v>
      </c>
      <c r="K407" s="134">
        <v>8.5</v>
      </c>
      <c r="L407" s="2"/>
      <c r="M407" s="4" t="s">
        <v>2359</v>
      </c>
      <c r="N407" s="134">
        <v>8</v>
      </c>
      <c r="O407" s="16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ht="16" customHeight="1" thickBot="1" x14ac:dyDescent="0.25">
      <c r="A408" s="2"/>
      <c r="B408" s="2"/>
      <c r="C408" s="2"/>
      <c r="D408" s="4" t="s">
        <v>2409</v>
      </c>
      <c r="E408" s="134">
        <v>3</v>
      </c>
      <c r="F408" s="2"/>
      <c r="G408" s="4" t="s">
        <v>2399</v>
      </c>
      <c r="H408" s="134">
        <v>8</v>
      </c>
      <c r="I408" s="2"/>
      <c r="J408" s="4" t="s">
        <v>2376</v>
      </c>
      <c r="K408" s="134">
        <v>7.5</v>
      </c>
      <c r="L408" s="2"/>
      <c r="M408" s="4" t="s">
        <v>2360</v>
      </c>
      <c r="N408" s="134">
        <v>8.5</v>
      </c>
      <c r="O408" s="16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ht="16" customHeight="1" thickBot="1" x14ac:dyDescent="0.25">
      <c r="A409" s="191" t="s">
        <v>2427</v>
      </c>
      <c r="B409" s="12">
        <f>ROUND(SUM(B410:B426)/COUNT(B410:B426), 2)</f>
        <v>8.24</v>
      </c>
      <c r="C409" s="2"/>
      <c r="D409" s="4" t="s">
        <v>2410</v>
      </c>
      <c r="E409" s="136">
        <v>5</v>
      </c>
      <c r="F409" s="2"/>
      <c r="G409" s="4" t="s">
        <v>2400</v>
      </c>
      <c r="H409" s="134">
        <v>7.5</v>
      </c>
      <c r="I409" s="2"/>
      <c r="J409" s="4" t="s">
        <v>2377</v>
      </c>
      <c r="K409" s="134">
        <v>8</v>
      </c>
      <c r="L409" s="2"/>
      <c r="M409" s="4" t="s">
        <v>2361</v>
      </c>
      <c r="N409" s="134">
        <v>8.5</v>
      </c>
      <c r="O409" s="16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ht="16" customHeight="1" thickBot="1" x14ac:dyDescent="0.25">
      <c r="A410" s="11" t="s">
        <v>2428</v>
      </c>
      <c r="B410" s="189">
        <v>7.5</v>
      </c>
      <c r="C410" s="2"/>
      <c r="D410" s="4" t="s">
        <v>2411</v>
      </c>
      <c r="E410" s="134">
        <v>2.5</v>
      </c>
      <c r="F410" s="2"/>
      <c r="G410" s="4" t="s">
        <v>2401</v>
      </c>
      <c r="H410" s="134">
        <v>9</v>
      </c>
      <c r="I410" s="2"/>
      <c r="J410" s="7" t="s">
        <v>2378</v>
      </c>
      <c r="K410" s="135">
        <v>8.5</v>
      </c>
      <c r="L410" s="2"/>
      <c r="M410" s="7" t="s">
        <v>2362</v>
      </c>
      <c r="N410" s="135">
        <v>9</v>
      </c>
      <c r="O410" s="16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ht="16" customHeight="1" thickBot="1" x14ac:dyDescent="0.25">
      <c r="A411" s="145" t="s">
        <v>2429</v>
      </c>
      <c r="B411" s="136">
        <v>10</v>
      </c>
      <c r="C411" s="2"/>
      <c r="D411" s="4" t="s">
        <v>2412</v>
      </c>
      <c r="E411" s="134">
        <v>3</v>
      </c>
      <c r="F411" s="2"/>
      <c r="G411" s="4" t="s">
        <v>2402</v>
      </c>
      <c r="H411" s="134">
        <v>10</v>
      </c>
      <c r="I411" s="2"/>
      <c r="J411" s="2"/>
      <c r="K411" s="2"/>
      <c r="L411" s="2"/>
      <c r="M411" s="2"/>
      <c r="N411" s="2"/>
      <c r="O411" s="16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ht="16" customHeight="1" thickBot="1" x14ac:dyDescent="0.25">
      <c r="A412" s="4" t="s">
        <v>2430</v>
      </c>
      <c r="B412" s="136">
        <v>9</v>
      </c>
      <c r="C412" s="2"/>
      <c r="D412" s="4" t="s">
        <v>2413</v>
      </c>
      <c r="E412" s="134">
        <v>2</v>
      </c>
      <c r="F412" s="2"/>
      <c r="G412" s="4" t="s">
        <v>2403</v>
      </c>
      <c r="H412" s="134">
        <v>9</v>
      </c>
      <c r="I412" s="2"/>
      <c r="J412" s="194" t="s">
        <v>2447</v>
      </c>
      <c r="K412" s="12">
        <f>ROUND(SUM(K413:K419)/COUNT(K413:K419), 2)</f>
        <v>8.86</v>
      </c>
      <c r="L412" s="2"/>
      <c r="M412" s="200" t="s">
        <v>2456</v>
      </c>
      <c r="N412" s="12">
        <f>ROUND(SUM(N413:N419)/COUNT(N413:N419), 2)</f>
        <v>8.7899999999999991</v>
      </c>
      <c r="O412" s="16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ht="16" customHeight="1" thickBot="1" x14ac:dyDescent="0.25">
      <c r="A413" s="4" t="s">
        <v>2431</v>
      </c>
      <c r="B413" s="136">
        <v>8</v>
      </c>
      <c r="C413" s="2"/>
      <c r="D413" s="7" t="s">
        <v>2414</v>
      </c>
      <c r="E413" s="135">
        <v>1</v>
      </c>
      <c r="F413" s="2"/>
      <c r="G413" s="7" t="s">
        <v>2404</v>
      </c>
      <c r="H413" s="135">
        <v>8</v>
      </c>
      <c r="I413" s="2"/>
      <c r="J413" s="11" t="s">
        <v>2448</v>
      </c>
      <c r="K413" s="133">
        <v>8.5</v>
      </c>
      <c r="L413" s="2"/>
      <c r="M413" s="11" t="s">
        <v>2457</v>
      </c>
      <c r="N413" s="133">
        <v>9</v>
      </c>
      <c r="O413" s="16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ht="16" customHeight="1" thickBot="1" x14ac:dyDescent="0.25">
      <c r="A414" s="4" t="s">
        <v>2432</v>
      </c>
      <c r="B414" s="136">
        <v>10.5</v>
      </c>
      <c r="C414" s="2"/>
      <c r="D414" s="2"/>
      <c r="E414" s="2"/>
      <c r="F414" s="2"/>
      <c r="G414" s="2"/>
      <c r="H414" s="2"/>
      <c r="I414" s="2"/>
      <c r="J414" s="4" t="s">
        <v>2449</v>
      </c>
      <c r="K414" s="134">
        <v>9.5</v>
      </c>
      <c r="L414" s="2"/>
      <c r="M414" s="4" t="s">
        <v>2458</v>
      </c>
      <c r="N414" s="134">
        <v>9</v>
      </c>
      <c r="O414" s="16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ht="16" customHeight="1" thickBot="1" x14ac:dyDescent="0.25">
      <c r="A415" s="4" t="s">
        <v>2433</v>
      </c>
      <c r="B415" s="136">
        <v>7.5</v>
      </c>
      <c r="C415" s="2"/>
      <c r="D415" s="201" t="s">
        <v>2465</v>
      </c>
      <c r="E415" s="12">
        <f>ROUND(SUM(E416:E423)/COUNT(E416:E423), 2)</f>
        <v>8.69</v>
      </c>
      <c r="F415" s="2"/>
      <c r="G415" s="202" t="s">
        <v>2475</v>
      </c>
      <c r="H415" s="12">
        <f>ROUND(SUM(H416:H419)/COUNT(H416:H419), 2)</f>
        <v>8.8800000000000008</v>
      </c>
      <c r="I415" s="2"/>
      <c r="J415" s="4" t="s">
        <v>2450</v>
      </c>
      <c r="K415" s="134">
        <v>9.5</v>
      </c>
      <c r="L415" s="2"/>
      <c r="M415" s="7" t="s">
        <v>962</v>
      </c>
      <c r="N415" s="135">
        <v>8.5</v>
      </c>
      <c r="O415" s="16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ht="16" customHeight="1" thickBot="1" x14ac:dyDescent="0.25">
      <c r="A416" s="4" t="s">
        <v>2434</v>
      </c>
      <c r="B416" s="136">
        <v>6</v>
      </c>
      <c r="C416" s="2"/>
      <c r="D416" s="11" t="s">
        <v>2466</v>
      </c>
      <c r="E416" s="133">
        <v>10</v>
      </c>
      <c r="F416" s="2"/>
      <c r="G416" s="11" t="s">
        <v>2479</v>
      </c>
      <c r="H416" s="133">
        <v>8</v>
      </c>
      <c r="I416" s="2"/>
      <c r="J416" s="4" t="s">
        <v>2451</v>
      </c>
      <c r="K416" s="134">
        <v>9</v>
      </c>
      <c r="L416" s="2"/>
      <c r="M416" s="2"/>
      <c r="N416" s="2"/>
      <c r="O416" s="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ht="16" customHeight="1" thickBot="1" x14ac:dyDescent="0.25">
      <c r="A417" s="4" t="s">
        <v>2435</v>
      </c>
      <c r="B417" s="136">
        <v>7.5</v>
      </c>
      <c r="C417" s="2"/>
      <c r="D417" s="4" t="s">
        <v>2467</v>
      </c>
      <c r="E417" s="134">
        <v>10</v>
      </c>
      <c r="F417" s="2"/>
      <c r="G417" s="4" t="s">
        <v>2480</v>
      </c>
      <c r="H417" s="134">
        <v>9</v>
      </c>
      <c r="I417" s="2"/>
      <c r="J417" s="4" t="s">
        <v>2452</v>
      </c>
      <c r="K417" s="134">
        <v>9</v>
      </c>
      <c r="L417" s="2"/>
      <c r="M417" s="203" t="s">
        <v>2483</v>
      </c>
      <c r="N417" s="12">
        <f>ROUND(SUM(N418:N428)/COUNT(N418:N428), 2)</f>
        <v>8.75</v>
      </c>
      <c r="O417" s="16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ht="16" customHeight="1" x14ac:dyDescent="0.2">
      <c r="A418" s="4" t="s">
        <v>2436</v>
      </c>
      <c r="B418" s="136">
        <v>7</v>
      </c>
      <c r="C418" s="2"/>
      <c r="D418" s="4" t="s">
        <v>2468</v>
      </c>
      <c r="E418" s="134">
        <v>7.5</v>
      </c>
      <c r="F418" s="2"/>
      <c r="G418" s="4" t="s">
        <v>2481</v>
      </c>
      <c r="H418" s="134">
        <v>10</v>
      </c>
      <c r="I418" s="2"/>
      <c r="J418" s="4" t="s">
        <v>2453</v>
      </c>
      <c r="K418" s="134">
        <v>8.5</v>
      </c>
      <c r="L418" s="2"/>
      <c r="M418" s="11" t="s">
        <v>2484</v>
      </c>
      <c r="N418" s="133">
        <v>9.5</v>
      </c>
      <c r="O418" s="16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ht="16" customHeight="1" thickBot="1" x14ac:dyDescent="0.25">
      <c r="A419" s="4" t="s">
        <v>2437</v>
      </c>
      <c r="B419" s="136">
        <v>8.5</v>
      </c>
      <c r="C419" s="2"/>
      <c r="D419" s="4" t="s">
        <v>2469</v>
      </c>
      <c r="E419" s="134">
        <v>8.5</v>
      </c>
      <c r="F419" s="2"/>
      <c r="G419" s="7" t="s">
        <v>2482</v>
      </c>
      <c r="H419" s="135">
        <v>8.5</v>
      </c>
      <c r="I419" s="2"/>
      <c r="J419" s="7" t="s">
        <v>2454</v>
      </c>
      <c r="K419" s="135">
        <v>8</v>
      </c>
      <c r="L419" s="2"/>
      <c r="M419" s="4" t="s">
        <v>2485</v>
      </c>
      <c r="N419" s="134">
        <v>8</v>
      </c>
      <c r="O419" s="16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ht="16" customHeight="1" thickBot="1" x14ac:dyDescent="0.25">
      <c r="A420" s="4" t="s">
        <v>2438</v>
      </c>
      <c r="B420" s="136">
        <v>10</v>
      </c>
      <c r="C420" s="2"/>
      <c r="D420" s="4" t="s">
        <v>2470</v>
      </c>
      <c r="E420" s="134">
        <v>8</v>
      </c>
      <c r="F420" s="2"/>
      <c r="G420" s="2"/>
      <c r="H420" s="2"/>
      <c r="I420" s="2"/>
      <c r="J420" s="2"/>
      <c r="K420" s="2"/>
      <c r="L420" s="2"/>
      <c r="M420" s="4" t="s">
        <v>2486</v>
      </c>
      <c r="N420" s="134"/>
      <c r="O420" s="16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ht="16" customHeight="1" thickBot="1" x14ac:dyDescent="0.25">
      <c r="A421" s="4" t="s">
        <v>2439</v>
      </c>
      <c r="B421" s="136">
        <v>8</v>
      </c>
      <c r="C421" s="2"/>
      <c r="D421" s="4" t="s">
        <v>2471</v>
      </c>
      <c r="E421" s="134">
        <v>8</v>
      </c>
      <c r="F421" s="2"/>
      <c r="G421" s="204" t="s">
        <v>2506</v>
      </c>
      <c r="H421" s="12">
        <f>ROUND(SUM(H422:H432)/COUNT(H422:H432), 2)</f>
        <v>8.5500000000000007</v>
      </c>
      <c r="I421" s="2"/>
      <c r="J421" s="205" t="s">
        <v>2517</v>
      </c>
      <c r="K421" s="12">
        <f>ROUND(SUM(K422:K429)/COUNT(K422:K429), 2)</f>
        <v>8.31</v>
      </c>
      <c r="L421" s="2"/>
      <c r="M421" s="4" t="s">
        <v>2487</v>
      </c>
      <c r="N421" s="134">
        <v>7.5</v>
      </c>
      <c r="O421" s="16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ht="16" customHeight="1" x14ac:dyDescent="0.2">
      <c r="A422" s="4" t="s">
        <v>2440</v>
      </c>
      <c r="B422" s="136">
        <v>8</v>
      </c>
      <c r="C422" s="2"/>
      <c r="D422" s="4" t="s">
        <v>2472</v>
      </c>
      <c r="E422" s="134">
        <v>7.5</v>
      </c>
      <c r="F422" s="2"/>
      <c r="G422" s="11" t="s">
        <v>2495</v>
      </c>
      <c r="H422" s="133">
        <v>9</v>
      </c>
      <c r="I422" s="2"/>
      <c r="J422" s="11" t="s">
        <v>2518</v>
      </c>
      <c r="K422" s="133">
        <v>9.5</v>
      </c>
      <c r="L422" s="2"/>
      <c r="M422" s="4" t="s">
        <v>2488</v>
      </c>
      <c r="N422" s="134">
        <v>10</v>
      </c>
      <c r="O422" s="16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ht="16" customHeight="1" thickBot="1" x14ac:dyDescent="0.25">
      <c r="A423" s="4" t="s">
        <v>2441</v>
      </c>
      <c r="B423" s="136">
        <v>8</v>
      </c>
      <c r="C423" s="2"/>
      <c r="D423" s="7" t="s">
        <v>2473</v>
      </c>
      <c r="E423" s="135">
        <v>10</v>
      </c>
      <c r="F423" s="2"/>
      <c r="G423" s="4" t="s">
        <v>2496</v>
      </c>
      <c r="H423" s="134">
        <v>8.5</v>
      </c>
      <c r="I423" s="2"/>
      <c r="J423" s="4" t="s">
        <v>2519</v>
      </c>
      <c r="K423" s="134">
        <v>8.5</v>
      </c>
      <c r="L423" s="2"/>
      <c r="M423" s="4" t="s">
        <v>2489</v>
      </c>
      <c r="N423" s="134">
        <v>9</v>
      </c>
      <c r="O423" s="16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ht="16" customHeight="1" thickBot="1" x14ac:dyDescent="0.25">
      <c r="A424" s="4" t="s">
        <v>2442</v>
      </c>
      <c r="B424" s="136">
        <v>8</v>
      </c>
      <c r="C424" s="2"/>
      <c r="D424" s="2"/>
      <c r="E424" s="2"/>
      <c r="F424" s="2"/>
      <c r="G424" s="4" t="s">
        <v>2497</v>
      </c>
      <c r="H424" s="134">
        <v>10</v>
      </c>
      <c r="I424" s="2"/>
      <c r="J424" s="4" t="s">
        <v>2520</v>
      </c>
      <c r="K424" s="134">
        <v>8</v>
      </c>
      <c r="L424" s="2"/>
      <c r="M424" s="4" t="s">
        <v>2490</v>
      </c>
      <c r="N424" s="134">
        <v>8.5</v>
      </c>
      <c r="O424" s="16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ht="16" customHeight="1" thickBot="1" x14ac:dyDescent="0.25">
      <c r="A425" s="4" t="s">
        <v>2443</v>
      </c>
      <c r="B425" s="136">
        <v>7.5</v>
      </c>
      <c r="C425" s="2"/>
      <c r="D425" s="206" t="s">
        <v>2538</v>
      </c>
      <c r="E425" s="12">
        <f>ROUND(SUM(E426:E434)/COUNT(E426:E434), 2)</f>
        <v>9.06</v>
      </c>
      <c r="F425" s="2"/>
      <c r="G425" s="4" t="s">
        <v>2498</v>
      </c>
      <c r="H425" s="134">
        <v>8.5</v>
      </c>
      <c r="I425" s="2"/>
      <c r="J425" s="4" t="s">
        <v>2521</v>
      </c>
      <c r="K425" s="134">
        <v>7.5</v>
      </c>
      <c r="L425" s="2"/>
      <c r="M425" s="4" t="s">
        <v>2491</v>
      </c>
      <c r="N425" s="134">
        <v>9.5</v>
      </c>
      <c r="O425" s="16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ht="16" customHeight="1" thickBot="1" x14ac:dyDescent="0.25">
      <c r="A426" s="7" t="s">
        <v>2444</v>
      </c>
      <c r="B426" s="190">
        <v>9</v>
      </c>
      <c r="C426" s="2"/>
      <c r="D426" s="11" t="s">
        <v>2529</v>
      </c>
      <c r="E426" s="189">
        <v>8.5</v>
      </c>
      <c r="F426" s="2"/>
      <c r="G426" s="4" t="s">
        <v>2499</v>
      </c>
      <c r="H426" s="134">
        <v>8</v>
      </c>
      <c r="I426" s="2"/>
      <c r="J426" s="4" t="s">
        <v>2522</v>
      </c>
      <c r="K426" s="134">
        <v>8</v>
      </c>
      <c r="L426" s="2"/>
      <c r="M426" s="4" t="s">
        <v>2492</v>
      </c>
      <c r="N426" s="134">
        <v>8</v>
      </c>
      <c r="O426" s="1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ht="16" customHeight="1" thickBot="1" x14ac:dyDescent="0.25">
      <c r="A427" s="2"/>
      <c r="B427" s="2"/>
      <c r="C427" s="2"/>
      <c r="D427" s="4" t="s">
        <v>2530</v>
      </c>
      <c r="E427" s="136">
        <v>8</v>
      </c>
      <c r="F427" s="2"/>
      <c r="G427" s="4" t="s">
        <v>2500</v>
      </c>
      <c r="H427" s="134">
        <v>7.5</v>
      </c>
      <c r="I427" s="2"/>
      <c r="J427" s="4" t="s">
        <v>2523</v>
      </c>
      <c r="K427" s="134">
        <v>7</v>
      </c>
      <c r="L427" s="2"/>
      <c r="M427" s="4" t="s">
        <v>2493</v>
      </c>
      <c r="N427" s="134">
        <v>8.5</v>
      </c>
      <c r="O427" s="16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ht="16" customHeight="1" thickBot="1" x14ac:dyDescent="0.25">
      <c r="A428" s="207" t="s">
        <v>2543</v>
      </c>
      <c r="B428" s="12">
        <f>ROUND(SUM(B429:B439)/COUNT(B429:B439), 2)</f>
        <v>9</v>
      </c>
      <c r="C428" s="2"/>
      <c r="D428" s="4" t="s">
        <v>2531</v>
      </c>
      <c r="E428" s="136">
        <v>8.5</v>
      </c>
      <c r="F428" s="2"/>
      <c r="G428" s="4" t="s">
        <v>2501</v>
      </c>
      <c r="H428" s="134">
        <v>8</v>
      </c>
      <c r="I428" s="2"/>
      <c r="J428" s="4" t="s">
        <v>2524</v>
      </c>
      <c r="K428" s="134">
        <v>10</v>
      </c>
      <c r="L428" s="2"/>
      <c r="M428" s="7" t="s">
        <v>2494</v>
      </c>
      <c r="N428" s="135">
        <v>9</v>
      </c>
      <c r="O428" s="16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ht="16" customHeight="1" thickBot="1" x14ac:dyDescent="0.25">
      <c r="A429" s="11" t="s">
        <v>2544</v>
      </c>
      <c r="B429" s="189">
        <v>9.5</v>
      </c>
      <c r="C429" s="2"/>
      <c r="D429" s="4" t="s">
        <v>2532</v>
      </c>
      <c r="E429" s="136">
        <v>10</v>
      </c>
      <c r="F429" s="2"/>
      <c r="G429" s="4" t="s">
        <v>2502</v>
      </c>
      <c r="H429" s="134">
        <v>8</v>
      </c>
      <c r="I429" s="2"/>
      <c r="J429" s="7" t="s">
        <v>2525</v>
      </c>
      <c r="K429" s="135">
        <v>8</v>
      </c>
      <c r="L429" s="2"/>
      <c r="M429" s="2"/>
      <c r="N429" s="2"/>
      <c r="O429" s="16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ht="16" customHeight="1" thickBot="1" x14ac:dyDescent="0.25">
      <c r="A430" s="4" t="s">
        <v>2545</v>
      </c>
      <c r="B430" s="136">
        <v>8</v>
      </c>
      <c r="C430" s="2"/>
      <c r="D430" s="4" t="s">
        <v>2533</v>
      </c>
      <c r="E430" s="136">
        <v>10</v>
      </c>
      <c r="F430" s="2"/>
      <c r="G430" s="4" t="s">
        <v>2503</v>
      </c>
      <c r="H430" s="134">
        <v>8</v>
      </c>
      <c r="I430" s="2"/>
      <c r="J430" s="2"/>
      <c r="K430" s="2"/>
      <c r="L430" s="2"/>
      <c r="M430" s="208" t="s">
        <v>2570</v>
      </c>
      <c r="N430" s="12">
        <f>ROUND(SUM(N431:N441)/COUNT(N431:N441), 2)</f>
        <v>8.5</v>
      </c>
      <c r="O430" s="16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ht="16" customHeight="1" thickBot="1" x14ac:dyDescent="0.25">
      <c r="A431" s="4" t="s">
        <v>2546</v>
      </c>
      <c r="B431" s="136">
        <v>8</v>
      </c>
      <c r="C431" s="2"/>
      <c r="D431" s="4" t="s">
        <v>2534</v>
      </c>
      <c r="E431" s="136">
        <v>10</v>
      </c>
      <c r="F431" s="2"/>
      <c r="G431" s="4" t="s">
        <v>2504</v>
      </c>
      <c r="H431" s="134">
        <v>10</v>
      </c>
      <c r="I431" s="2"/>
      <c r="J431" s="209" t="s">
        <v>2583</v>
      </c>
      <c r="K431" s="12">
        <f>ROUND(SUM(K432:K443)/COUNT(K432:K443), 2)</f>
        <v>8.6300000000000008</v>
      </c>
      <c r="L431" s="2"/>
      <c r="M431" s="11" t="s">
        <v>2571</v>
      </c>
      <c r="N431" s="133">
        <v>8.5</v>
      </c>
      <c r="O431" s="16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ht="16" customHeight="1" thickBot="1" x14ac:dyDescent="0.25">
      <c r="A432" s="4" t="s">
        <v>2547</v>
      </c>
      <c r="B432" s="136">
        <v>10</v>
      </c>
      <c r="C432" s="2"/>
      <c r="D432" s="4" t="s">
        <v>2535</v>
      </c>
      <c r="E432" s="136">
        <v>9</v>
      </c>
      <c r="F432" s="2"/>
      <c r="G432" s="7" t="s">
        <v>2505</v>
      </c>
      <c r="H432" s="135">
        <v>8.5</v>
      </c>
      <c r="I432" s="2"/>
      <c r="J432" s="11" t="s">
        <v>2584</v>
      </c>
      <c r="K432" s="133">
        <v>10</v>
      </c>
      <c r="L432" s="2"/>
      <c r="M432" s="4" t="s">
        <v>176</v>
      </c>
      <c r="N432" s="134">
        <v>8</v>
      </c>
      <c r="O432" s="16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ht="16" customHeight="1" thickBot="1" x14ac:dyDescent="0.25">
      <c r="A433" s="4" t="s">
        <v>2548</v>
      </c>
      <c r="B433" s="136">
        <v>9</v>
      </c>
      <c r="C433" s="2"/>
      <c r="D433" s="4" t="s">
        <v>2536</v>
      </c>
      <c r="E433" s="136">
        <v>9</v>
      </c>
      <c r="F433" s="2"/>
      <c r="G433" s="2"/>
      <c r="H433" s="2"/>
      <c r="I433" s="2"/>
      <c r="J433" s="4" t="s">
        <v>2585</v>
      </c>
      <c r="K433" s="134">
        <v>9</v>
      </c>
      <c r="L433" s="2"/>
      <c r="M433" s="4" t="s">
        <v>2572</v>
      </c>
      <c r="N433" s="134">
        <v>8</v>
      </c>
      <c r="O433" s="16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ht="16" customHeight="1" thickBot="1" x14ac:dyDescent="0.25">
      <c r="A434" s="4" t="s">
        <v>2549</v>
      </c>
      <c r="B434" s="136">
        <v>10</v>
      </c>
      <c r="C434" s="2"/>
      <c r="D434" s="7" t="s">
        <v>2537</v>
      </c>
      <c r="E434" s="190">
        <v>8.5</v>
      </c>
      <c r="F434" s="2"/>
      <c r="G434" s="210" t="s">
        <v>2599</v>
      </c>
      <c r="H434" s="12">
        <f>ROUND(SUM(H435:H449)/COUNT(H435:H449), 2)</f>
        <v>8.83</v>
      </c>
      <c r="I434" s="2"/>
      <c r="J434" s="4" t="s">
        <v>2586</v>
      </c>
      <c r="K434" s="134">
        <v>10</v>
      </c>
      <c r="L434" s="2"/>
      <c r="M434" s="4" t="s">
        <v>2573</v>
      </c>
      <c r="N434" s="134">
        <v>10.5</v>
      </c>
      <c r="O434" s="16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ht="16" customHeight="1" thickBot="1" x14ac:dyDescent="0.25">
      <c r="A435" s="4" t="s">
        <v>2550</v>
      </c>
      <c r="B435" s="136">
        <v>9.5</v>
      </c>
      <c r="C435" s="2"/>
      <c r="D435" s="2"/>
      <c r="E435" s="2"/>
      <c r="F435" s="2"/>
      <c r="G435" s="11" t="s">
        <v>2600</v>
      </c>
      <c r="H435" s="189">
        <v>9</v>
      </c>
      <c r="I435" s="2"/>
      <c r="J435" s="4" t="s">
        <v>2587</v>
      </c>
      <c r="K435" s="134">
        <v>8.5</v>
      </c>
      <c r="L435" s="2"/>
      <c r="M435" s="4" t="s">
        <v>2574</v>
      </c>
      <c r="N435" s="134">
        <v>7.5</v>
      </c>
      <c r="O435" s="16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ht="16" customHeight="1" thickBot="1" x14ac:dyDescent="0.25">
      <c r="A436" s="4" t="s">
        <v>2551</v>
      </c>
      <c r="B436" s="136">
        <v>9</v>
      </c>
      <c r="C436" s="2"/>
      <c r="D436" s="211" t="s">
        <v>2616</v>
      </c>
      <c r="E436" s="12">
        <f>ROUND(SUM(E437:E457)/COUNT(E437:E457), 2)</f>
        <v>8.73</v>
      </c>
      <c r="F436" s="2"/>
      <c r="G436" s="4" t="s">
        <v>2601</v>
      </c>
      <c r="H436" s="136">
        <v>9</v>
      </c>
      <c r="I436" s="2"/>
      <c r="J436" s="4" t="s">
        <v>2588</v>
      </c>
      <c r="K436" s="134">
        <v>8</v>
      </c>
      <c r="L436" s="2"/>
      <c r="M436" s="4" t="s">
        <v>2575</v>
      </c>
      <c r="N436" s="134">
        <v>9</v>
      </c>
      <c r="O436" s="1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ht="16" customHeight="1" x14ac:dyDescent="0.2">
      <c r="A437" s="4" t="s">
        <v>2552</v>
      </c>
      <c r="B437" s="136">
        <v>8</v>
      </c>
      <c r="C437" s="2"/>
      <c r="D437" s="11" t="s">
        <v>1304</v>
      </c>
      <c r="E437" s="189"/>
      <c r="F437" s="2"/>
      <c r="G437" s="4" t="s">
        <v>2602</v>
      </c>
      <c r="H437" s="136">
        <v>8</v>
      </c>
      <c r="I437" s="2"/>
      <c r="J437" s="4" t="s">
        <v>2589</v>
      </c>
      <c r="K437" s="134">
        <v>9</v>
      </c>
      <c r="L437" s="2"/>
      <c r="M437" s="4" t="s">
        <v>2576</v>
      </c>
      <c r="N437" s="134">
        <v>9</v>
      </c>
      <c r="O437" s="16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ht="16" customHeight="1" x14ac:dyDescent="0.2">
      <c r="A438" s="4" t="s">
        <v>2553</v>
      </c>
      <c r="B438" s="136">
        <v>8.5</v>
      </c>
      <c r="C438" s="2"/>
      <c r="D438" s="4" t="s">
        <v>2617</v>
      </c>
      <c r="E438" s="136">
        <v>9.5</v>
      </c>
      <c r="F438" s="2"/>
      <c r="G438" s="4" t="s">
        <v>2603</v>
      </c>
      <c r="H438" s="136">
        <v>7.5</v>
      </c>
      <c r="I438" s="2"/>
      <c r="J438" s="4" t="s">
        <v>2590</v>
      </c>
      <c r="K438" s="134">
        <v>8</v>
      </c>
      <c r="L438" s="2"/>
      <c r="M438" s="4" t="s">
        <v>1508</v>
      </c>
      <c r="N438" s="134">
        <v>9</v>
      </c>
      <c r="O438" s="16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ht="16" customHeight="1" thickBot="1" x14ac:dyDescent="0.25">
      <c r="A439" s="7" t="s">
        <v>2554</v>
      </c>
      <c r="B439" s="190">
        <v>9.5</v>
      </c>
      <c r="C439" s="2"/>
      <c r="D439" s="4" t="s">
        <v>2618</v>
      </c>
      <c r="E439" s="136">
        <v>8.5</v>
      </c>
      <c r="F439" s="2"/>
      <c r="G439" s="4" t="s">
        <v>2604</v>
      </c>
      <c r="H439" s="136">
        <v>8</v>
      </c>
      <c r="I439" s="2"/>
      <c r="J439" s="4" t="s">
        <v>2591</v>
      </c>
      <c r="K439" s="134">
        <v>8.5</v>
      </c>
      <c r="L439" s="2"/>
      <c r="M439" s="4" t="s">
        <v>2577</v>
      </c>
      <c r="N439" s="134">
        <v>8</v>
      </c>
      <c r="O439" s="16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ht="16" customHeight="1" thickBot="1" x14ac:dyDescent="0.25">
      <c r="A440" s="2"/>
      <c r="B440" s="2"/>
      <c r="C440" s="2"/>
      <c r="D440" s="4" t="s">
        <v>2619</v>
      </c>
      <c r="E440" s="136">
        <v>10</v>
      </c>
      <c r="F440" s="2"/>
      <c r="G440" s="4" t="s">
        <v>2605</v>
      </c>
      <c r="H440" s="136">
        <v>10.5</v>
      </c>
      <c r="I440" s="2"/>
      <c r="J440" s="4" t="s">
        <v>2592</v>
      </c>
      <c r="K440" s="134">
        <v>8.5</v>
      </c>
      <c r="L440" s="2"/>
      <c r="M440" s="4" t="s">
        <v>2578</v>
      </c>
      <c r="N440" s="134">
        <v>8</v>
      </c>
      <c r="O440" s="16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ht="16" customHeight="1" thickBot="1" x14ac:dyDescent="0.25">
      <c r="A441" s="224" t="s">
        <v>2843</v>
      </c>
      <c r="B441" s="12">
        <f>ROUND(SUM(B442:B446)/COUNT(B442:B446), 2)</f>
        <v>8.8000000000000007</v>
      </c>
      <c r="C441" s="2"/>
      <c r="D441" s="4" t="s">
        <v>2620</v>
      </c>
      <c r="E441" s="136"/>
      <c r="F441" s="2"/>
      <c r="G441" s="4" t="s">
        <v>2606</v>
      </c>
      <c r="H441" s="136">
        <v>8.5</v>
      </c>
      <c r="I441" s="2"/>
      <c r="J441" s="4" t="s">
        <v>2593</v>
      </c>
      <c r="K441" s="134">
        <v>8</v>
      </c>
      <c r="L441" s="2"/>
      <c r="M441" s="7" t="s">
        <v>2579</v>
      </c>
      <c r="N441" s="135">
        <v>8</v>
      </c>
      <c r="O441" s="16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ht="16" customHeight="1" thickBot="1" x14ac:dyDescent="0.25">
      <c r="A442" s="11" t="s">
        <v>2639</v>
      </c>
      <c r="B442" s="189">
        <v>10.5</v>
      </c>
      <c r="C442" s="2"/>
      <c r="D442" s="4" t="s">
        <v>2621</v>
      </c>
      <c r="E442" s="136">
        <v>9</v>
      </c>
      <c r="F442" s="2"/>
      <c r="G442" s="4" t="s">
        <v>2607</v>
      </c>
      <c r="H442" s="136">
        <v>9</v>
      </c>
      <c r="I442" s="2"/>
      <c r="J442" s="4" t="s">
        <v>2594</v>
      </c>
      <c r="K442" s="134">
        <v>8</v>
      </c>
      <c r="L442" s="2"/>
      <c r="M442" s="2"/>
      <c r="N442" s="2"/>
      <c r="O442" s="16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ht="16" customHeight="1" thickBot="1" x14ac:dyDescent="0.25">
      <c r="A443" s="4" t="s">
        <v>2640</v>
      </c>
      <c r="B443" s="136">
        <v>9</v>
      </c>
      <c r="C443" s="2"/>
      <c r="D443" s="4" t="s">
        <v>2622</v>
      </c>
      <c r="E443" s="136">
        <v>8</v>
      </c>
      <c r="F443" s="2"/>
      <c r="G443" s="4" t="s">
        <v>2608</v>
      </c>
      <c r="H443" s="136">
        <v>9</v>
      </c>
      <c r="I443" s="2"/>
      <c r="J443" s="7" t="s">
        <v>527</v>
      </c>
      <c r="K443" s="135">
        <v>8</v>
      </c>
      <c r="L443" s="2"/>
      <c r="M443" s="212" t="s">
        <v>2647</v>
      </c>
      <c r="N443" s="12">
        <f>ROUND(SUM(N444:N466)/COUNT(N444:N466), 2)</f>
        <v>8.8800000000000008</v>
      </c>
      <c r="O443" s="16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ht="16" customHeight="1" thickBot="1" x14ac:dyDescent="0.25">
      <c r="A444" s="4" t="s">
        <v>2641</v>
      </c>
      <c r="B444" s="136">
        <v>8.5</v>
      </c>
      <c r="C444" s="2"/>
      <c r="D444" s="4" t="s">
        <v>2623</v>
      </c>
      <c r="E444" s="136">
        <v>9.5</v>
      </c>
      <c r="F444" s="2"/>
      <c r="G444" s="4" t="s">
        <v>2609</v>
      </c>
      <c r="H444" s="136">
        <v>8</v>
      </c>
      <c r="I444" s="2"/>
      <c r="J444" s="2"/>
      <c r="K444" s="2"/>
      <c r="L444" s="2"/>
      <c r="M444" s="11" t="s">
        <v>2648</v>
      </c>
      <c r="N444" s="133"/>
      <c r="O444" s="16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ht="16" customHeight="1" thickBot="1" x14ac:dyDescent="0.25">
      <c r="A445" s="4" t="s">
        <v>2642</v>
      </c>
      <c r="B445" s="136">
        <v>8</v>
      </c>
      <c r="C445" s="2"/>
      <c r="D445" s="4" t="s">
        <v>2624</v>
      </c>
      <c r="E445" s="136">
        <v>8</v>
      </c>
      <c r="F445" s="2"/>
      <c r="G445" s="4" t="s">
        <v>2610</v>
      </c>
      <c r="H445" s="136">
        <v>8.5</v>
      </c>
      <c r="I445" s="2"/>
      <c r="J445" s="214" t="s">
        <v>2678</v>
      </c>
      <c r="K445" s="12">
        <f>ROUND(SUM(K446:K463)/COUNT(K446:K463), 2)</f>
        <v>8.8800000000000008</v>
      </c>
      <c r="L445" s="2"/>
      <c r="M445" s="4" t="s">
        <v>2649</v>
      </c>
      <c r="N445" s="134">
        <v>10</v>
      </c>
      <c r="O445" s="16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ht="16" customHeight="1" thickBot="1" x14ac:dyDescent="0.25">
      <c r="A446" s="7" t="s">
        <v>2643</v>
      </c>
      <c r="B446" s="190">
        <v>8</v>
      </c>
      <c r="C446" s="2"/>
      <c r="D446" s="4" t="s">
        <v>2625</v>
      </c>
      <c r="E446" s="136"/>
      <c r="F446" s="2"/>
      <c r="G446" s="4" t="s">
        <v>2611</v>
      </c>
      <c r="H446" s="136">
        <v>10</v>
      </c>
      <c r="I446" s="2"/>
      <c r="J446" s="11" t="s">
        <v>2679</v>
      </c>
      <c r="K446" s="133">
        <v>9</v>
      </c>
      <c r="L446" s="2"/>
      <c r="M446" s="4" t="s">
        <v>2650</v>
      </c>
      <c r="N446" s="134">
        <v>10</v>
      </c>
      <c r="O446" s="1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ht="16" customHeight="1" thickBot="1" x14ac:dyDescent="0.25">
      <c r="A447" s="2"/>
      <c r="B447" s="2"/>
      <c r="C447" s="2"/>
      <c r="D447" s="4" t="s">
        <v>2626</v>
      </c>
      <c r="E447" s="136">
        <v>8.5</v>
      </c>
      <c r="F447" s="2"/>
      <c r="G447" s="4" t="s">
        <v>2612</v>
      </c>
      <c r="H447" s="136">
        <v>8.5</v>
      </c>
      <c r="I447" s="2"/>
      <c r="J447" s="4" t="s">
        <v>2680</v>
      </c>
      <c r="K447" s="134">
        <v>10</v>
      </c>
      <c r="L447" s="2"/>
      <c r="M447" s="4" t="s">
        <v>2651</v>
      </c>
      <c r="N447" s="134">
        <v>9</v>
      </c>
      <c r="O447" s="16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ht="16" customHeight="1" thickBot="1" x14ac:dyDescent="0.25">
      <c r="A448" s="213" t="s">
        <v>2670</v>
      </c>
      <c r="B448" s="12">
        <f>ROUND(SUM(B449:B455)/COUNT(B449:B455), 2)</f>
        <v>8.4</v>
      </c>
      <c r="C448" s="2"/>
      <c r="D448" s="4" t="s">
        <v>2627</v>
      </c>
      <c r="E448" s="136">
        <v>9</v>
      </c>
      <c r="F448" s="2"/>
      <c r="G448" s="4" t="s">
        <v>2613</v>
      </c>
      <c r="H448" s="136">
        <v>10.5</v>
      </c>
      <c r="I448" s="2"/>
      <c r="J448" s="4" t="s">
        <v>2681</v>
      </c>
      <c r="K448" s="134">
        <v>8</v>
      </c>
      <c r="L448" s="2"/>
      <c r="M448" s="4" t="s">
        <v>2652</v>
      </c>
      <c r="N448" s="134"/>
      <c r="O448" s="16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ht="16" customHeight="1" thickBot="1" x14ac:dyDescent="0.25">
      <c r="A449" s="11" t="s">
        <v>2671</v>
      </c>
      <c r="B449" s="189"/>
      <c r="C449" s="2"/>
      <c r="D449" s="4" t="s">
        <v>2628</v>
      </c>
      <c r="E449" s="136">
        <v>8.5</v>
      </c>
      <c r="F449" s="2"/>
      <c r="G449" s="7" t="s">
        <v>2614</v>
      </c>
      <c r="H449" s="190">
        <v>8.5</v>
      </c>
      <c r="I449" s="2"/>
      <c r="J449" s="4" t="s">
        <v>2682</v>
      </c>
      <c r="K449" s="134">
        <v>10</v>
      </c>
      <c r="L449" s="2"/>
      <c r="M449" s="4" t="s">
        <v>2653</v>
      </c>
      <c r="N449" s="134">
        <v>8.5</v>
      </c>
      <c r="O449" s="16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ht="16" customHeight="1" thickBot="1" x14ac:dyDescent="0.25">
      <c r="A450" s="4" t="s">
        <v>2672</v>
      </c>
      <c r="B450" s="136">
        <v>9</v>
      </c>
      <c r="C450" s="2"/>
      <c r="D450" s="4" t="s">
        <v>2629</v>
      </c>
      <c r="E450" s="136"/>
      <c r="F450" s="2"/>
      <c r="G450" s="2"/>
      <c r="H450" s="2"/>
      <c r="I450" s="2"/>
      <c r="J450" s="4" t="s">
        <v>2683</v>
      </c>
      <c r="K450" s="134">
        <v>8.5</v>
      </c>
      <c r="L450" s="2"/>
      <c r="M450" s="4" t="s">
        <v>2654</v>
      </c>
      <c r="N450" s="134"/>
      <c r="O450" s="16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ht="16" customHeight="1" thickBot="1" x14ac:dyDescent="0.25">
      <c r="A451" s="4" t="s">
        <v>2673</v>
      </c>
      <c r="B451" s="136">
        <v>8</v>
      </c>
      <c r="C451" s="2"/>
      <c r="D451" s="4" t="s">
        <v>2630</v>
      </c>
      <c r="E451" s="136">
        <v>8.5</v>
      </c>
      <c r="F451" s="2"/>
      <c r="G451" s="215" t="s">
        <v>2706</v>
      </c>
      <c r="H451" s="12">
        <f>ROUND(SUM(H452:H465)/COUNT(H452:H465), 2)</f>
        <v>8.65</v>
      </c>
      <c r="I451" s="2"/>
      <c r="J451" s="4" t="s">
        <v>2684</v>
      </c>
      <c r="K451" s="134">
        <v>8.5</v>
      </c>
      <c r="L451" s="2"/>
      <c r="M451" s="4" t="s">
        <v>2655</v>
      </c>
      <c r="N451" s="134">
        <v>9</v>
      </c>
      <c r="O451" s="16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ht="16" customHeight="1" x14ac:dyDescent="0.2">
      <c r="A452" s="4" t="s">
        <v>2674</v>
      </c>
      <c r="B452" s="136">
        <v>8.5</v>
      </c>
      <c r="C452" s="2"/>
      <c r="D452" s="4" t="s">
        <v>2631</v>
      </c>
      <c r="E452" s="136"/>
      <c r="F452" s="2"/>
      <c r="G452" s="11" t="s">
        <v>2707</v>
      </c>
      <c r="H452" s="189">
        <v>9.5</v>
      </c>
      <c r="I452" s="2"/>
      <c r="J452" s="4" t="s">
        <v>2685</v>
      </c>
      <c r="K452" s="134">
        <v>9</v>
      </c>
      <c r="L452" s="2"/>
      <c r="M452" s="4" t="s">
        <v>2656</v>
      </c>
      <c r="N452" s="134"/>
      <c r="O452" s="16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ht="16" customHeight="1" x14ac:dyDescent="0.2">
      <c r="A453" s="4" t="s">
        <v>2675</v>
      </c>
      <c r="B453" s="136"/>
      <c r="C453" s="2"/>
      <c r="D453" s="4" t="s">
        <v>2632</v>
      </c>
      <c r="E453" s="136"/>
      <c r="F453" s="2"/>
      <c r="G453" s="4" t="s">
        <v>2708</v>
      </c>
      <c r="H453" s="136">
        <v>10</v>
      </c>
      <c r="I453" s="2"/>
      <c r="J453" s="4" t="s">
        <v>2686</v>
      </c>
      <c r="K453" s="134">
        <v>8</v>
      </c>
      <c r="L453" s="2"/>
      <c r="M453" s="145">
        <v>1969</v>
      </c>
      <c r="N453" s="134">
        <v>10</v>
      </c>
      <c r="O453" s="16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ht="16" customHeight="1" x14ac:dyDescent="0.2">
      <c r="A454" s="4" t="s">
        <v>2676</v>
      </c>
      <c r="B454" s="136">
        <v>8</v>
      </c>
      <c r="C454" s="2"/>
      <c r="D454" s="4" t="s">
        <v>2633</v>
      </c>
      <c r="E454" s="136">
        <v>9</v>
      </c>
      <c r="F454" s="2"/>
      <c r="G454" s="4" t="s">
        <v>2709</v>
      </c>
      <c r="H454" s="136">
        <v>9</v>
      </c>
      <c r="I454" s="2"/>
      <c r="J454" s="4" t="s">
        <v>2687</v>
      </c>
      <c r="K454" s="134">
        <v>7.5</v>
      </c>
      <c r="L454" s="2"/>
      <c r="M454" s="4" t="s">
        <v>2657</v>
      </c>
      <c r="N454" s="134"/>
      <c r="O454" s="16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ht="16" customHeight="1" thickBot="1" x14ac:dyDescent="0.25">
      <c r="A455" s="7" t="s">
        <v>2677</v>
      </c>
      <c r="B455" s="190">
        <v>8.5</v>
      </c>
      <c r="C455" s="2"/>
      <c r="D455" s="4" t="s">
        <v>2634</v>
      </c>
      <c r="E455" s="136">
        <v>8.5</v>
      </c>
      <c r="F455" s="2"/>
      <c r="G455" s="4" t="s">
        <v>2710</v>
      </c>
      <c r="H455" s="136">
        <v>8.5</v>
      </c>
      <c r="I455" s="2"/>
      <c r="J455" s="4" t="s">
        <v>2688</v>
      </c>
      <c r="K455" s="134">
        <v>10.5</v>
      </c>
      <c r="L455" s="2"/>
      <c r="M455" s="4" t="s">
        <v>2658</v>
      </c>
      <c r="N455" s="134">
        <v>8</v>
      </c>
      <c r="O455" s="16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ht="16" customHeight="1" thickBot="1" x14ac:dyDescent="0.25">
      <c r="A456" s="2"/>
      <c r="B456" s="2"/>
      <c r="C456" s="2"/>
      <c r="D456" s="4" t="s">
        <v>2635</v>
      </c>
      <c r="E456" s="136">
        <v>8.5</v>
      </c>
      <c r="F456" s="2"/>
      <c r="G456" s="4" t="s">
        <v>2711</v>
      </c>
      <c r="H456" s="136">
        <v>10</v>
      </c>
      <c r="I456" s="2"/>
      <c r="J456" s="4" t="s">
        <v>2689</v>
      </c>
      <c r="K456" s="134">
        <v>8</v>
      </c>
      <c r="L456" s="2"/>
      <c r="M456" s="4" t="s">
        <v>2659</v>
      </c>
      <c r="N456" s="134"/>
      <c r="O456" s="1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ht="16" customHeight="1" thickBot="1" x14ac:dyDescent="0.25">
      <c r="A457" s="216" t="s">
        <v>2725</v>
      </c>
      <c r="B457" s="12">
        <f>ROUND(SUM(B458:B471)/COUNT(B458:B471), 2)</f>
        <v>8.39</v>
      </c>
      <c r="C457" s="2"/>
      <c r="D457" s="7" t="s">
        <v>2636</v>
      </c>
      <c r="E457" s="190">
        <v>8</v>
      </c>
      <c r="F457" s="2"/>
      <c r="G457" s="4" t="s">
        <v>2712</v>
      </c>
      <c r="H457" s="136">
        <v>8</v>
      </c>
      <c r="I457" s="2"/>
      <c r="J457" s="4" t="s">
        <v>2690</v>
      </c>
      <c r="K457" s="134">
        <v>9</v>
      </c>
      <c r="L457" s="2"/>
      <c r="M457" s="4" t="s">
        <v>2660</v>
      </c>
      <c r="N457" s="134">
        <v>8.5</v>
      </c>
      <c r="O457" s="16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ht="16" customHeight="1" thickBot="1" x14ac:dyDescent="0.25">
      <c r="A458" s="11" t="s">
        <v>2726</v>
      </c>
      <c r="B458" s="189">
        <v>8</v>
      </c>
      <c r="C458" s="2"/>
      <c r="D458" s="2"/>
      <c r="E458" s="2"/>
      <c r="F458" s="2"/>
      <c r="G458" s="4" t="s">
        <v>2713</v>
      </c>
      <c r="H458" s="136">
        <v>7.5</v>
      </c>
      <c r="I458" s="2"/>
      <c r="J458" s="4" t="s">
        <v>2691</v>
      </c>
      <c r="K458" s="134">
        <v>10.5</v>
      </c>
      <c r="L458" s="2"/>
      <c r="M458" s="4" t="s">
        <v>2661</v>
      </c>
      <c r="N458" s="134"/>
      <c r="O458" s="16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ht="16" customHeight="1" thickBot="1" x14ac:dyDescent="0.25">
      <c r="A459" s="4" t="s">
        <v>2727</v>
      </c>
      <c r="B459" s="136">
        <v>10</v>
      </c>
      <c r="C459" s="2"/>
      <c r="D459" s="217" t="s">
        <v>2742</v>
      </c>
      <c r="E459" s="12">
        <f>ROUND(SUM(E460:E485)/COUNT(E460:E485), 2)</f>
        <v>8.8000000000000007</v>
      </c>
      <c r="F459" s="2"/>
      <c r="G459" s="4" t="s">
        <v>2714</v>
      </c>
      <c r="H459" s="136">
        <v>8.5</v>
      </c>
      <c r="I459" s="2"/>
      <c r="J459" s="4" t="s">
        <v>2692</v>
      </c>
      <c r="K459" s="134">
        <v>8.5</v>
      </c>
      <c r="L459" s="2"/>
      <c r="M459" s="4" t="s">
        <v>2662</v>
      </c>
      <c r="N459" s="134">
        <v>8</v>
      </c>
      <c r="O459" s="16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ht="16" customHeight="1" x14ac:dyDescent="0.2">
      <c r="A460" s="4" t="s">
        <v>2728</v>
      </c>
      <c r="B460" s="136">
        <v>8</v>
      </c>
      <c r="C460" s="2"/>
      <c r="D460" s="11" t="s">
        <v>2743</v>
      </c>
      <c r="E460" s="189">
        <v>9</v>
      </c>
      <c r="F460" s="2"/>
      <c r="G460" s="4" t="s">
        <v>2719</v>
      </c>
      <c r="H460" s="136">
        <v>8</v>
      </c>
      <c r="I460" s="2"/>
      <c r="J460" s="4" t="s">
        <v>2693</v>
      </c>
      <c r="K460" s="134">
        <v>8.5</v>
      </c>
      <c r="L460" s="2"/>
      <c r="M460" s="4" t="s">
        <v>2663</v>
      </c>
      <c r="N460" s="134"/>
      <c r="O460" s="16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ht="16" customHeight="1" x14ac:dyDescent="0.2">
      <c r="A461" s="4" t="s">
        <v>2729</v>
      </c>
      <c r="B461" s="136">
        <v>8</v>
      </c>
      <c r="C461" s="2"/>
      <c r="D461" s="4" t="s">
        <v>2744</v>
      </c>
      <c r="E461" s="136">
        <v>8.5</v>
      </c>
      <c r="F461" s="2"/>
      <c r="G461" s="4" t="s">
        <v>2715</v>
      </c>
      <c r="H461" s="136">
        <v>8</v>
      </c>
      <c r="I461" s="2"/>
      <c r="J461" s="4" t="s">
        <v>2694</v>
      </c>
      <c r="K461" s="134">
        <v>8.5</v>
      </c>
      <c r="L461" s="2"/>
      <c r="M461" s="4" t="s">
        <v>2664</v>
      </c>
      <c r="N461" s="134">
        <v>9</v>
      </c>
      <c r="O461" s="16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ht="16" customHeight="1" x14ac:dyDescent="0.2">
      <c r="A462" s="4" t="s">
        <v>2730</v>
      </c>
      <c r="B462" s="136">
        <v>8.5</v>
      </c>
      <c r="C462" s="2"/>
      <c r="D462" s="4" t="s">
        <v>2745</v>
      </c>
      <c r="E462" s="136">
        <v>9</v>
      </c>
      <c r="F462" s="2"/>
      <c r="G462" s="4" t="s">
        <v>2716</v>
      </c>
      <c r="H462" s="136">
        <v>8.5</v>
      </c>
      <c r="I462" s="2"/>
      <c r="J462" s="4" t="s">
        <v>2695</v>
      </c>
      <c r="K462" s="134"/>
      <c r="L462" s="2"/>
      <c r="M462" s="4" t="s">
        <v>2665</v>
      </c>
      <c r="N462" s="134">
        <v>9.5</v>
      </c>
      <c r="O462" s="16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ht="16" customHeight="1" thickBot="1" x14ac:dyDescent="0.25">
      <c r="A463" s="4" t="s">
        <v>2731</v>
      </c>
      <c r="B463" s="136">
        <v>10.5</v>
      </c>
      <c r="C463" s="2"/>
      <c r="D463" s="4" t="s">
        <v>2746</v>
      </c>
      <c r="E463" s="136">
        <v>8.5</v>
      </c>
      <c r="F463" s="2"/>
      <c r="G463" s="4" t="s">
        <v>2717</v>
      </c>
      <c r="H463" s="136">
        <v>8</v>
      </c>
      <c r="I463" s="2"/>
      <c r="J463" s="7" t="s">
        <v>2696</v>
      </c>
      <c r="K463" s="135">
        <v>9</v>
      </c>
      <c r="L463" s="2"/>
      <c r="M463" s="4" t="s">
        <v>2666</v>
      </c>
      <c r="N463" s="134"/>
      <c r="O463" s="16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ht="16" customHeight="1" thickBot="1" x14ac:dyDescent="0.25">
      <c r="A464" s="4" t="s">
        <v>2732</v>
      </c>
      <c r="B464" s="136">
        <v>8.5</v>
      </c>
      <c r="C464" s="2"/>
      <c r="D464" s="4" t="s">
        <v>2747</v>
      </c>
      <c r="E464" s="136">
        <v>10.5</v>
      </c>
      <c r="F464" s="2"/>
      <c r="G464" s="4" t="s">
        <v>2771</v>
      </c>
      <c r="H464" s="136"/>
      <c r="I464" s="2"/>
      <c r="J464" s="2"/>
      <c r="K464" s="2"/>
      <c r="L464" s="2"/>
      <c r="M464" s="4" t="s">
        <v>2667</v>
      </c>
      <c r="N464" s="134">
        <v>8.5</v>
      </c>
      <c r="O464" s="16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ht="16" customHeight="1" thickBot="1" x14ac:dyDescent="0.25">
      <c r="A465" s="4" t="s">
        <v>2733</v>
      </c>
      <c r="B465" s="136">
        <v>8</v>
      </c>
      <c r="C465" s="2"/>
      <c r="D465" s="4" t="s">
        <v>2748</v>
      </c>
      <c r="E465" s="136">
        <v>9.5</v>
      </c>
      <c r="F465" s="2"/>
      <c r="G465" s="7" t="s">
        <v>2718</v>
      </c>
      <c r="H465" s="190">
        <v>9</v>
      </c>
      <c r="I465" s="2"/>
      <c r="J465" s="218" t="s">
        <v>2777</v>
      </c>
      <c r="K465" s="12">
        <f>ROUND(SUM(K466:K477)/COUNT(K466:K477), 2)</f>
        <v>8.25</v>
      </c>
      <c r="L465" s="2"/>
      <c r="M465" s="4" t="s">
        <v>2668</v>
      </c>
      <c r="N465" s="134">
        <v>7.5</v>
      </c>
      <c r="O465" s="16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ht="16" customHeight="1" thickBot="1" x14ac:dyDescent="0.25">
      <c r="A466" s="4" t="s">
        <v>2734</v>
      </c>
      <c r="B466" s="136">
        <v>8.5</v>
      </c>
      <c r="C466" s="2"/>
      <c r="D466" s="4" t="s">
        <v>2749</v>
      </c>
      <c r="E466" s="136">
        <v>8.5</v>
      </c>
      <c r="F466" s="2"/>
      <c r="G466" s="2"/>
      <c r="H466" s="2"/>
      <c r="I466" s="2"/>
      <c r="J466" s="11" t="s">
        <v>2778</v>
      </c>
      <c r="K466" s="189">
        <v>8.5</v>
      </c>
      <c r="L466" s="2"/>
      <c r="M466" s="7" t="s">
        <v>2669</v>
      </c>
      <c r="N466" s="135"/>
      <c r="O466" s="1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ht="16" customHeight="1" thickBot="1" x14ac:dyDescent="0.25">
      <c r="A467" s="4" t="s">
        <v>2735</v>
      </c>
      <c r="B467" s="136">
        <v>8.5</v>
      </c>
      <c r="C467" s="2"/>
      <c r="D467" s="4" t="s">
        <v>2750</v>
      </c>
      <c r="E467" s="136"/>
      <c r="F467" s="2"/>
      <c r="G467" s="219" t="s">
        <v>4589</v>
      </c>
      <c r="H467" s="12">
        <f>ROUND(SUM(H468:H472)/COUNT(H468:H472), 2)</f>
        <v>8.8000000000000007</v>
      </c>
      <c r="I467" s="2"/>
      <c r="J467" s="4" t="s">
        <v>2779</v>
      </c>
      <c r="K467" s="136">
        <v>9</v>
      </c>
      <c r="L467" s="2"/>
      <c r="M467" s="2"/>
      <c r="N467" s="2"/>
      <c r="O467" s="16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ht="16" customHeight="1" thickBot="1" x14ac:dyDescent="0.25">
      <c r="A468" s="4" t="s">
        <v>2736</v>
      </c>
      <c r="B468" s="136">
        <v>8</v>
      </c>
      <c r="C468" s="2"/>
      <c r="D468" s="4" t="s">
        <v>2751</v>
      </c>
      <c r="E468" s="136">
        <v>9</v>
      </c>
      <c r="F468" s="2"/>
      <c r="G468" s="11" t="s">
        <v>2792</v>
      </c>
      <c r="H468" s="189">
        <v>8</v>
      </c>
      <c r="I468" s="2"/>
      <c r="J468" s="4" t="s">
        <v>2780</v>
      </c>
      <c r="K468" s="136">
        <v>7.5</v>
      </c>
      <c r="L468" s="2"/>
      <c r="M468" s="220" t="s">
        <v>2798</v>
      </c>
      <c r="N468" s="12">
        <f>ROUND(SUM(N469:N478)/COUNT(N469:N478), 2)</f>
        <v>8.44</v>
      </c>
      <c r="O468" s="16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ht="16" customHeight="1" x14ac:dyDescent="0.2">
      <c r="A469" s="4" t="s">
        <v>2737</v>
      </c>
      <c r="B469" s="136">
        <v>7.5</v>
      </c>
      <c r="C469" s="2"/>
      <c r="D469" s="4" t="s">
        <v>2752</v>
      </c>
      <c r="E469" s="136">
        <v>8</v>
      </c>
      <c r="F469" s="2"/>
      <c r="G469" s="4" t="s">
        <v>381</v>
      </c>
      <c r="H469" s="136">
        <v>9</v>
      </c>
      <c r="I469" s="2"/>
      <c r="J469" s="4" t="s">
        <v>2781</v>
      </c>
      <c r="K469" s="136">
        <v>8</v>
      </c>
      <c r="L469" s="2"/>
      <c r="M469" s="11" t="s">
        <v>2799</v>
      </c>
      <c r="N469" s="189">
        <v>8.5</v>
      </c>
      <c r="O469" s="16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ht="16" customHeight="1" x14ac:dyDescent="0.2">
      <c r="A470" s="4" t="s">
        <v>2738</v>
      </c>
      <c r="B470" s="136">
        <v>8</v>
      </c>
      <c r="C470" s="2"/>
      <c r="D470" s="4" t="s">
        <v>2753</v>
      </c>
      <c r="E470" s="136">
        <v>8.5</v>
      </c>
      <c r="F470" s="2"/>
      <c r="G470" s="4" t="s">
        <v>2793</v>
      </c>
      <c r="H470" s="136">
        <v>8.5</v>
      </c>
      <c r="I470" s="2"/>
      <c r="J470" s="4" t="s">
        <v>2782</v>
      </c>
      <c r="K470" s="136">
        <v>8</v>
      </c>
      <c r="L470" s="2"/>
      <c r="M470" s="4" t="s">
        <v>2800</v>
      </c>
      <c r="N470" s="136">
        <v>9.5</v>
      </c>
      <c r="O470" s="16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ht="16" customHeight="1" thickBot="1" x14ac:dyDescent="0.25">
      <c r="A471" s="7" t="s">
        <v>2739</v>
      </c>
      <c r="B471" s="190">
        <v>7.5</v>
      </c>
      <c r="C471" s="2"/>
      <c r="D471" s="4" t="s">
        <v>2754</v>
      </c>
      <c r="E471" s="136">
        <v>8</v>
      </c>
      <c r="F471" s="2"/>
      <c r="G471" s="4" t="s">
        <v>2794</v>
      </c>
      <c r="H471" s="136">
        <v>10</v>
      </c>
      <c r="I471" s="2"/>
      <c r="J471" s="4" t="s">
        <v>2783</v>
      </c>
      <c r="K471" s="136">
        <v>8</v>
      </c>
      <c r="L471" s="2"/>
      <c r="M471" s="4" t="s">
        <v>2801</v>
      </c>
      <c r="N471" s="136">
        <v>8.5</v>
      </c>
      <c r="O471" s="16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ht="16" customHeight="1" thickBot="1" x14ac:dyDescent="0.25">
      <c r="A472" s="2"/>
      <c r="B472" s="2"/>
      <c r="C472" s="2"/>
      <c r="D472" s="4" t="s">
        <v>2755</v>
      </c>
      <c r="E472" s="136"/>
      <c r="F472" s="2"/>
      <c r="G472" s="7" t="s">
        <v>2440</v>
      </c>
      <c r="H472" s="190">
        <v>8.5</v>
      </c>
      <c r="I472" s="2"/>
      <c r="J472" s="4" t="s">
        <v>2784</v>
      </c>
      <c r="K472" s="136">
        <v>9</v>
      </c>
      <c r="L472" s="2"/>
      <c r="M472" s="4" t="s">
        <v>2802</v>
      </c>
      <c r="N472" s="136">
        <v>9</v>
      </c>
      <c r="O472" s="16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ht="16" customHeight="1" thickBot="1" x14ac:dyDescent="0.25">
      <c r="A473" s="222" t="s">
        <v>2822</v>
      </c>
      <c r="B473" s="12">
        <f>ROUND(SUM(B474:B485)/COUNT(B474:B485), 2)</f>
        <v>8.41</v>
      </c>
      <c r="C473" s="2"/>
      <c r="D473" s="4" t="s">
        <v>2756</v>
      </c>
      <c r="E473" s="136">
        <v>10</v>
      </c>
      <c r="F473" s="2"/>
      <c r="G473" s="2"/>
      <c r="H473" s="2"/>
      <c r="I473" s="2"/>
      <c r="J473" s="4" t="s">
        <v>2785</v>
      </c>
      <c r="K473" s="136">
        <v>8.5</v>
      </c>
      <c r="L473" s="2"/>
      <c r="M473" s="4" t="s">
        <v>2803</v>
      </c>
      <c r="N473" s="136">
        <v>8.5</v>
      </c>
      <c r="O473" s="16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ht="16" customHeight="1" thickBot="1" x14ac:dyDescent="0.25">
      <c r="A474" s="11" t="s">
        <v>2811</v>
      </c>
      <c r="B474" s="189">
        <v>10</v>
      </c>
      <c r="C474" s="2"/>
      <c r="D474" s="4" t="s">
        <v>2757</v>
      </c>
      <c r="E474" s="136">
        <v>8.5</v>
      </c>
      <c r="F474" s="2"/>
      <c r="G474" s="223" t="s">
        <v>2840</v>
      </c>
      <c r="H474" s="12">
        <f>ROUND(SUM(H475:H486)/COUNT(H475:H486), 2)</f>
        <v>8.9600000000000009</v>
      </c>
      <c r="I474" s="2"/>
      <c r="J474" s="4" t="s">
        <v>2786</v>
      </c>
      <c r="K474" s="136">
        <v>8</v>
      </c>
      <c r="L474" s="2"/>
      <c r="M474" s="4" t="s">
        <v>2804</v>
      </c>
      <c r="N474" s="136"/>
      <c r="O474" s="16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ht="16" customHeight="1" x14ac:dyDescent="0.2">
      <c r="A475" s="4" t="s">
        <v>2812</v>
      </c>
      <c r="B475" s="136">
        <v>8.5</v>
      </c>
      <c r="C475" s="2"/>
      <c r="D475" s="4" t="s">
        <v>2758</v>
      </c>
      <c r="E475" s="136">
        <v>9</v>
      </c>
      <c r="F475" s="2"/>
      <c r="G475" s="11" t="s">
        <v>2828</v>
      </c>
      <c r="H475" s="189">
        <v>9.5</v>
      </c>
      <c r="I475" s="2"/>
      <c r="J475" s="4" t="s">
        <v>2787</v>
      </c>
      <c r="K475" s="136">
        <v>9</v>
      </c>
      <c r="L475" s="2"/>
      <c r="M475" s="4" t="s">
        <v>2805</v>
      </c>
      <c r="N475" s="136">
        <v>8</v>
      </c>
      <c r="O475" s="16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ht="16" customHeight="1" x14ac:dyDescent="0.2">
      <c r="A476" s="4" t="s">
        <v>2813</v>
      </c>
      <c r="B476" s="136">
        <v>8.5</v>
      </c>
      <c r="C476" s="2"/>
      <c r="D476" s="4" t="s">
        <v>2759</v>
      </c>
      <c r="E476" s="136">
        <v>8.5</v>
      </c>
      <c r="F476" s="2"/>
      <c r="G476" s="4" t="s">
        <v>2829</v>
      </c>
      <c r="H476" s="136">
        <v>8</v>
      </c>
      <c r="I476" s="2"/>
      <c r="J476" s="4" t="s">
        <v>2788</v>
      </c>
      <c r="K476" s="136">
        <v>8.5</v>
      </c>
      <c r="L476" s="2"/>
      <c r="M476" s="4" t="s">
        <v>2806</v>
      </c>
      <c r="N476" s="136">
        <v>7.5</v>
      </c>
      <c r="O476" s="1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ht="16" customHeight="1" thickBot="1" x14ac:dyDescent="0.25">
      <c r="A477" s="4" t="s">
        <v>2814</v>
      </c>
      <c r="B477" s="136">
        <v>8</v>
      </c>
      <c r="C477" s="2"/>
      <c r="D477" s="4" t="s">
        <v>2760</v>
      </c>
      <c r="E477" s="136"/>
      <c r="F477" s="2"/>
      <c r="G477" s="4" t="s">
        <v>2830</v>
      </c>
      <c r="H477" s="136">
        <v>10</v>
      </c>
      <c r="I477" s="2"/>
      <c r="J477" s="7" t="s">
        <v>2789</v>
      </c>
      <c r="K477" s="190">
        <v>7</v>
      </c>
      <c r="L477" s="2"/>
      <c r="M477" s="4" t="s">
        <v>2807</v>
      </c>
      <c r="N477" s="136">
        <v>8.5</v>
      </c>
      <c r="O477" s="16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ht="16" customHeight="1" thickBot="1" x14ac:dyDescent="0.25">
      <c r="A478" s="4" t="s">
        <v>2815</v>
      </c>
      <c r="B478" s="136">
        <v>7.5</v>
      </c>
      <c r="C478" s="2"/>
      <c r="D478" s="4" t="s">
        <v>2761</v>
      </c>
      <c r="E478" s="136">
        <v>10.5</v>
      </c>
      <c r="F478" s="2"/>
      <c r="G478" s="4" t="s">
        <v>2831</v>
      </c>
      <c r="H478" s="136">
        <v>8.5</v>
      </c>
      <c r="I478" s="2"/>
      <c r="J478" s="2"/>
      <c r="K478" s="2"/>
      <c r="L478" s="2"/>
      <c r="M478" s="7" t="s">
        <v>2808</v>
      </c>
      <c r="N478" s="190">
        <v>8</v>
      </c>
      <c r="O478" s="16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ht="16" customHeight="1" thickBot="1" x14ac:dyDescent="0.25">
      <c r="A479" s="4" t="s">
        <v>2816</v>
      </c>
      <c r="B479" s="136">
        <v>7.5</v>
      </c>
      <c r="C479" s="2"/>
      <c r="D479" s="4" t="s">
        <v>2762</v>
      </c>
      <c r="E479" s="136">
        <v>8.5</v>
      </c>
      <c r="F479" s="2"/>
      <c r="G479" s="4" t="s">
        <v>2832</v>
      </c>
      <c r="H479" s="136">
        <v>9</v>
      </c>
      <c r="I479" s="2"/>
      <c r="J479" s="343" t="s">
        <v>2844</v>
      </c>
      <c r="K479" s="12">
        <f>ROUND(SUM(K480:K489)/COUNT(K480:K489), 2)</f>
        <v>8.6</v>
      </c>
      <c r="L479" s="2"/>
      <c r="M479" s="2"/>
      <c r="N479" s="2"/>
      <c r="O479" s="16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ht="16" customHeight="1" thickBot="1" x14ac:dyDescent="0.25">
      <c r="A480" s="4" t="s">
        <v>2817</v>
      </c>
      <c r="B480" s="136">
        <v>9.5</v>
      </c>
      <c r="C480" s="2"/>
      <c r="D480" s="4" t="s">
        <v>2763</v>
      </c>
      <c r="E480" s="136">
        <v>8.5</v>
      </c>
      <c r="F480" s="2"/>
      <c r="G480" s="4" t="s">
        <v>2833</v>
      </c>
      <c r="H480" s="136">
        <v>8</v>
      </c>
      <c r="I480" s="2"/>
      <c r="J480" s="11" t="s">
        <v>2845</v>
      </c>
      <c r="K480" s="189">
        <v>8</v>
      </c>
      <c r="L480" s="2"/>
      <c r="M480" s="344" t="s">
        <v>2858</v>
      </c>
      <c r="N480" s="12">
        <f>ROUND(SUM(N481:N486)/COUNT(N481:N486), 2)</f>
        <v>8.58</v>
      </c>
      <c r="O480" s="16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ht="16" customHeight="1" x14ac:dyDescent="0.2">
      <c r="A481" s="4" t="s">
        <v>2818</v>
      </c>
      <c r="B481" s="136">
        <v>8</v>
      </c>
      <c r="C481" s="2"/>
      <c r="D481" s="4" t="s">
        <v>2764</v>
      </c>
      <c r="E481" s="136">
        <v>9</v>
      </c>
      <c r="F481" s="2"/>
      <c r="G481" s="4" t="s">
        <v>2834</v>
      </c>
      <c r="H481" s="136">
        <v>8</v>
      </c>
      <c r="I481" s="2"/>
      <c r="J481" s="4" t="s">
        <v>2846</v>
      </c>
      <c r="K481" s="136">
        <v>9</v>
      </c>
      <c r="L481" s="2"/>
      <c r="M481" s="11" t="s">
        <v>2859</v>
      </c>
      <c r="N481" s="189">
        <v>8</v>
      </c>
      <c r="O481" s="16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ht="16" customHeight="1" x14ac:dyDescent="0.2">
      <c r="A482" s="4" t="s">
        <v>2819</v>
      </c>
      <c r="B482" s="136">
        <v>7.5</v>
      </c>
      <c r="C482" s="2"/>
      <c r="D482" s="4" t="s">
        <v>2765</v>
      </c>
      <c r="E482" s="136">
        <v>8</v>
      </c>
      <c r="F482" s="2"/>
      <c r="G482" s="4" t="s">
        <v>2835</v>
      </c>
      <c r="H482" s="136">
        <v>9</v>
      </c>
      <c r="I482" s="2"/>
      <c r="J482" s="4" t="s">
        <v>2847</v>
      </c>
      <c r="K482" s="136">
        <v>9</v>
      </c>
      <c r="L482" s="2"/>
      <c r="M482" s="4" t="s">
        <v>2860</v>
      </c>
      <c r="N482" s="136">
        <v>8.5</v>
      </c>
      <c r="O482" s="16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ht="16" customHeight="1" x14ac:dyDescent="0.2">
      <c r="A483" s="4" t="s">
        <v>2820</v>
      </c>
      <c r="B483" s="136">
        <v>10</v>
      </c>
      <c r="C483" s="2"/>
      <c r="D483" s="4" t="s">
        <v>2766</v>
      </c>
      <c r="E483" s="136"/>
      <c r="F483" s="2"/>
      <c r="G483" s="4" t="s">
        <v>2836</v>
      </c>
      <c r="H483" s="136">
        <v>8.5</v>
      </c>
      <c r="I483" s="2"/>
      <c r="J483" s="4" t="s">
        <v>2848</v>
      </c>
      <c r="K483" s="136">
        <v>10</v>
      </c>
      <c r="L483" s="2"/>
      <c r="M483" s="4" t="s">
        <v>2861</v>
      </c>
      <c r="N483" s="136">
        <v>8.5</v>
      </c>
      <c r="O483" s="16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ht="16" customHeight="1" x14ac:dyDescent="0.2">
      <c r="A484" s="4" t="s">
        <v>364</v>
      </c>
      <c r="B484" s="136"/>
      <c r="C484" s="2"/>
      <c r="D484" s="4" t="s">
        <v>2767</v>
      </c>
      <c r="E484" s="136">
        <v>8</v>
      </c>
      <c r="F484" s="2"/>
      <c r="G484" s="4" t="s">
        <v>2837</v>
      </c>
      <c r="H484" s="136">
        <v>10</v>
      </c>
      <c r="I484" s="2"/>
      <c r="J484" s="4" t="s">
        <v>2849</v>
      </c>
      <c r="K484" s="136">
        <v>7.5</v>
      </c>
      <c r="L484" s="2"/>
      <c r="M484" s="4" t="s">
        <v>2862</v>
      </c>
      <c r="N484" s="136">
        <v>7.5</v>
      </c>
      <c r="O484" s="16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ht="16" customHeight="1" thickBot="1" x14ac:dyDescent="0.25">
      <c r="A485" s="7" t="s">
        <v>2821</v>
      </c>
      <c r="B485" s="190">
        <v>7.5</v>
      </c>
      <c r="C485" s="2"/>
      <c r="D485" s="7" t="s">
        <v>2768</v>
      </c>
      <c r="E485" s="190">
        <v>8</v>
      </c>
      <c r="F485" s="2"/>
      <c r="G485" s="4" t="s">
        <v>2838</v>
      </c>
      <c r="H485" s="136">
        <v>10</v>
      </c>
      <c r="I485" s="2"/>
      <c r="J485" s="4" t="s">
        <v>2850</v>
      </c>
      <c r="K485" s="136">
        <v>10.5</v>
      </c>
      <c r="L485" s="2"/>
      <c r="M485" s="4" t="s">
        <v>2391</v>
      </c>
      <c r="N485" s="136">
        <v>10</v>
      </c>
      <c r="O485" s="16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ht="16" customHeight="1" thickBot="1" x14ac:dyDescent="0.25">
      <c r="A486" s="2"/>
      <c r="B486" s="2"/>
      <c r="C486" s="2"/>
      <c r="D486" s="2"/>
      <c r="E486" s="2"/>
      <c r="F486" s="2"/>
      <c r="G486" s="7" t="s">
        <v>2839</v>
      </c>
      <c r="H486" s="190">
        <v>9</v>
      </c>
      <c r="I486" s="2"/>
      <c r="J486" s="4" t="s">
        <v>2851</v>
      </c>
      <c r="K486" s="136">
        <v>8</v>
      </c>
      <c r="L486" s="2"/>
      <c r="M486" s="7" t="s">
        <v>2863</v>
      </c>
      <c r="N486" s="190">
        <v>9</v>
      </c>
      <c r="O486" s="1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ht="16" customHeight="1" thickBot="1" x14ac:dyDescent="0.25">
      <c r="A487" s="346" t="s">
        <v>2897</v>
      </c>
      <c r="B487" s="12">
        <f>ROUND(SUM(B488:B501)/COUNT(B488:B501), 2)</f>
        <v>8.85</v>
      </c>
      <c r="C487" s="2"/>
      <c r="D487" s="345" t="s">
        <v>2882</v>
      </c>
      <c r="E487" s="12">
        <f>ROUND(SUM(E488:E497)/COUNT(E488:E497), 2)</f>
        <v>8.8000000000000007</v>
      </c>
      <c r="F487" s="2"/>
      <c r="G487" s="2"/>
      <c r="H487" s="2"/>
      <c r="I487" s="2"/>
      <c r="J487" s="4" t="s">
        <v>2852</v>
      </c>
      <c r="K487" s="136">
        <v>8</v>
      </c>
      <c r="L487" s="2"/>
      <c r="M487" s="2"/>
      <c r="N487" s="2"/>
      <c r="O487" s="16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ht="16" customHeight="1" thickBot="1" x14ac:dyDescent="0.25">
      <c r="A488" s="11" t="s">
        <v>1691</v>
      </c>
      <c r="B488" s="189">
        <v>8.5</v>
      </c>
      <c r="C488" s="2"/>
      <c r="D488" s="11" t="s">
        <v>2883</v>
      </c>
      <c r="E488" s="189">
        <v>9</v>
      </c>
      <c r="F488" s="2"/>
      <c r="G488" s="347" t="s">
        <v>2901</v>
      </c>
      <c r="H488" s="12">
        <f>ROUND(SUM(H489:H498)/COUNT(H489:H498), 2)</f>
        <v>8.4</v>
      </c>
      <c r="I488" s="2"/>
      <c r="J488" s="4" t="s">
        <v>2853</v>
      </c>
      <c r="K488" s="136">
        <v>8.5</v>
      </c>
      <c r="L488" s="2"/>
      <c r="M488" s="349" t="s">
        <v>2915</v>
      </c>
      <c r="N488" s="12">
        <f>ROUND(SUM(N489:N498)/COUNT(N489:N498), 2)</f>
        <v>8.4499999999999993</v>
      </c>
      <c r="O488" s="16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ht="16" customHeight="1" thickBot="1" x14ac:dyDescent="0.25">
      <c r="A489" s="4" t="s">
        <v>2869</v>
      </c>
      <c r="B489" s="136">
        <v>9</v>
      </c>
      <c r="C489" s="2"/>
      <c r="D489" s="4" t="s">
        <v>2884</v>
      </c>
      <c r="E489" s="136">
        <v>8.5</v>
      </c>
      <c r="F489" s="2"/>
      <c r="G489" s="11" t="s">
        <v>2902</v>
      </c>
      <c r="H489" s="189">
        <v>10</v>
      </c>
      <c r="I489" s="2"/>
      <c r="J489" s="7" t="s">
        <v>2854</v>
      </c>
      <c r="K489" s="190">
        <v>7.5</v>
      </c>
      <c r="L489" s="2"/>
      <c r="M489" s="11" t="s">
        <v>2916</v>
      </c>
      <c r="N489" s="189">
        <v>9</v>
      </c>
      <c r="O489" s="16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ht="16" customHeight="1" thickBot="1" x14ac:dyDescent="0.25">
      <c r="A490" s="4" t="s">
        <v>2870</v>
      </c>
      <c r="B490" s="136">
        <v>8.5</v>
      </c>
      <c r="C490" s="2"/>
      <c r="D490" s="4" t="s">
        <v>2885</v>
      </c>
      <c r="E490" s="136">
        <v>9</v>
      </c>
      <c r="F490" s="2"/>
      <c r="G490" s="4" t="s">
        <v>2903</v>
      </c>
      <c r="H490" s="136">
        <v>8.5</v>
      </c>
      <c r="I490" s="2"/>
      <c r="J490" s="2"/>
      <c r="K490" s="2"/>
      <c r="L490" s="2"/>
      <c r="M490" s="4" t="s">
        <v>2917</v>
      </c>
      <c r="N490" s="136">
        <v>8</v>
      </c>
      <c r="O490" s="16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ht="16" customHeight="1" thickBot="1" x14ac:dyDescent="0.25">
      <c r="A491" s="4" t="s">
        <v>2871</v>
      </c>
      <c r="B491" s="136">
        <v>8</v>
      </c>
      <c r="C491" s="2"/>
      <c r="D491" s="4" t="s">
        <v>2886</v>
      </c>
      <c r="E491" s="136">
        <v>8</v>
      </c>
      <c r="F491" s="2"/>
      <c r="G491" s="4" t="s">
        <v>2904</v>
      </c>
      <c r="H491" s="136">
        <v>8</v>
      </c>
      <c r="I491" s="2"/>
      <c r="J491" s="352" t="s">
        <v>2935</v>
      </c>
      <c r="K491" s="12">
        <f>ROUND(SUM(K492:K497)/COUNT(K492:K497), 2)</f>
        <v>7.92</v>
      </c>
      <c r="L491" s="2"/>
      <c r="M491" s="4" t="s">
        <v>2918</v>
      </c>
      <c r="N491" s="136">
        <v>8</v>
      </c>
      <c r="O491" s="16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ht="16" customHeight="1" x14ac:dyDescent="0.2">
      <c r="A492" s="4" t="s">
        <v>2872</v>
      </c>
      <c r="B492" s="136">
        <v>8.5</v>
      </c>
      <c r="C492" s="2"/>
      <c r="D492" s="4" t="s">
        <v>2887</v>
      </c>
      <c r="E492" s="136">
        <v>8.5</v>
      </c>
      <c r="F492" s="2"/>
      <c r="G492" s="4" t="s">
        <v>2905</v>
      </c>
      <c r="H492" s="136">
        <v>9</v>
      </c>
      <c r="I492" s="2"/>
      <c r="J492" s="11" t="s">
        <v>2929</v>
      </c>
      <c r="K492" s="189">
        <v>8.5</v>
      </c>
      <c r="L492" s="2"/>
      <c r="M492" s="4" t="s">
        <v>2919</v>
      </c>
      <c r="N492" s="136">
        <v>8.5</v>
      </c>
      <c r="O492" s="16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ht="16" customHeight="1" x14ac:dyDescent="0.2">
      <c r="A493" s="4" t="s">
        <v>2873</v>
      </c>
      <c r="B493" s="136">
        <v>9.5</v>
      </c>
      <c r="C493" s="2"/>
      <c r="D493" s="4" t="s">
        <v>2888</v>
      </c>
      <c r="E493" s="136">
        <v>10</v>
      </c>
      <c r="F493" s="2"/>
      <c r="G493" s="4" t="s">
        <v>2906</v>
      </c>
      <c r="H493" s="136">
        <v>8</v>
      </c>
      <c r="I493" s="2"/>
      <c r="J493" s="4" t="s">
        <v>2930</v>
      </c>
      <c r="K493" s="136">
        <v>8</v>
      </c>
      <c r="L493" s="2"/>
      <c r="M493" s="4" t="s">
        <v>2920</v>
      </c>
      <c r="N493" s="136">
        <v>9</v>
      </c>
      <c r="O493" s="16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ht="16" customHeight="1" x14ac:dyDescent="0.2">
      <c r="A494" s="4" t="s">
        <v>2874</v>
      </c>
      <c r="B494" s="136"/>
      <c r="C494" s="2"/>
      <c r="D494" s="4" t="s">
        <v>2889</v>
      </c>
      <c r="E494" s="136">
        <v>9</v>
      </c>
      <c r="F494" s="2"/>
      <c r="G494" s="4" t="s">
        <v>2907</v>
      </c>
      <c r="H494" s="136">
        <v>9</v>
      </c>
      <c r="I494" s="2"/>
      <c r="J494" s="4" t="s">
        <v>2931</v>
      </c>
      <c r="K494" s="136">
        <v>7.5</v>
      </c>
      <c r="L494" s="2"/>
      <c r="M494" s="4" t="s">
        <v>2921</v>
      </c>
      <c r="N494" s="136">
        <v>8.5</v>
      </c>
      <c r="O494" s="16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ht="16" customHeight="1" x14ac:dyDescent="0.2">
      <c r="A495" s="4" t="s">
        <v>2875</v>
      </c>
      <c r="B495" s="136">
        <v>9.5</v>
      </c>
      <c r="C495" s="2"/>
      <c r="D495" s="4" t="s">
        <v>2890</v>
      </c>
      <c r="E495" s="136">
        <v>7.5</v>
      </c>
      <c r="F495" s="2"/>
      <c r="G495" s="4" t="s">
        <v>2908</v>
      </c>
      <c r="H495" s="136">
        <v>7.5</v>
      </c>
      <c r="I495" s="2"/>
      <c r="J495" s="4" t="s">
        <v>2932</v>
      </c>
      <c r="K495" s="136">
        <v>8</v>
      </c>
      <c r="L495" s="2"/>
      <c r="M495" s="4" t="s">
        <v>1684</v>
      </c>
      <c r="N495" s="136">
        <v>8</v>
      </c>
      <c r="O495" s="16"/>
      <c r="V495" s="3"/>
      <c r="W495" s="3"/>
      <c r="X495" s="3"/>
      <c r="Y495" s="3"/>
      <c r="Z495" s="3"/>
    </row>
    <row r="496" spans="1:35" ht="16" customHeight="1" x14ac:dyDescent="0.2">
      <c r="A496" s="4" t="s">
        <v>2876</v>
      </c>
      <c r="B496" s="136">
        <v>8.5</v>
      </c>
      <c r="C496" s="2"/>
      <c r="D496" s="4" t="s">
        <v>2891</v>
      </c>
      <c r="E496" s="136">
        <v>10.5</v>
      </c>
      <c r="F496" s="2"/>
      <c r="G496" s="4" t="s">
        <v>473</v>
      </c>
      <c r="H496" s="136">
        <v>8.5</v>
      </c>
      <c r="I496" s="2"/>
      <c r="J496" s="4" t="s">
        <v>2933</v>
      </c>
      <c r="K496" s="136">
        <v>6.5</v>
      </c>
      <c r="L496" s="2"/>
      <c r="M496" s="4" t="s">
        <v>2922</v>
      </c>
      <c r="N496" s="136">
        <v>7.5</v>
      </c>
      <c r="O496" s="16"/>
      <c r="V496" s="3"/>
      <c r="W496" s="3"/>
      <c r="X496" s="3"/>
      <c r="Y496" s="3"/>
      <c r="Z496" s="3"/>
    </row>
    <row r="497" spans="1:15" s="3" customFormat="1" ht="16" customHeight="1" thickBot="1" x14ac:dyDescent="0.25">
      <c r="A497" s="4" t="s">
        <v>2877</v>
      </c>
      <c r="B497" s="136">
        <v>10</v>
      </c>
      <c r="C497" s="2"/>
      <c r="D497" s="7" t="s">
        <v>2892</v>
      </c>
      <c r="E497" s="190">
        <v>8</v>
      </c>
      <c r="F497" s="2"/>
      <c r="G497" s="4" t="s">
        <v>2909</v>
      </c>
      <c r="H497" s="136">
        <v>8</v>
      </c>
      <c r="I497" s="2"/>
      <c r="J497" s="7" t="s">
        <v>2934</v>
      </c>
      <c r="K497" s="190">
        <v>9</v>
      </c>
      <c r="L497" s="2"/>
      <c r="M497" s="4" t="s">
        <v>2923</v>
      </c>
      <c r="N497" s="136">
        <v>8</v>
      </c>
      <c r="O497" s="16"/>
    </row>
    <row r="498" spans="1:15" s="3" customFormat="1" ht="16" customHeight="1" thickBot="1" x14ac:dyDescent="0.25">
      <c r="A498" s="4" t="s">
        <v>2878</v>
      </c>
      <c r="B498" s="136">
        <v>8.5</v>
      </c>
      <c r="C498" s="2"/>
      <c r="D498" s="2"/>
      <c r="E498" s="2"/>
      <c r="F498" s="2"/>
      <c r="G498" s="7" t="s">
        <v>2910</v>
      </c>
      <c r="H498" s="190">
        <v>7.5</v>
      </c>
      <c r="I498" s="2"/>
      <c r="J498" s="2"/>
      <c r="K498" s="2"/>
      <c r="L498" s="2"/>
      <c r="M498" s="7" t="s">
        <v>2924</v>
      </c>
      <c r="N498" s="190">
        <v>10</v>
      </c>
      <c r="O498" s="16"/>
    </row>
    <row r="499" spans="1:15" s="3" customFormat="1" ht="16" customHeight="1" thickBot="1" x14ac:dyDescent="0.25">
      <c r="A499" s="4" t="s">
        <v>2879</v>
      </c>
      <c r="B499" s="136">
        <v>10</v>
      </c>
      <c r="C499" s="2"/>
      <c r="D499" s="360" t="s">
        <v>3074</v>
      </c>
      <c r="E499" s="12">
        <f>ROUND(SUM(E500:E512)/COUNT(E500:E512), 2)</f>
        <v>8.6300000000000008</v>
      </c>
      <c r="F499" s="2"/>
      <c r="G499" s="2"/>
      <c r="H499" s="2"/>
      <c r="I499" s="2"/>
      <c r="J499" s="351" t="s">
        <v>2952</v>
      </c>
      <c r="K499" s="12">
        <f>ROUND(SUM(K500:K517)/COUNT(K500:K517), 2)</f>
        <v>8.75</v>
      </c>
      <c r="L499" s="2"/>
      <c r="M499" s="2"/>
      <c r="N499" s="2"/>
      <c r="O499" s="16"/>
    </row>
    <row r="500" spans="1:15" s="3" customFormat="1" ht="16" customHeight="1" thickBot="1" x14ac:dyDescent="0.25">
      <c r="A500" s="4" t="s">
        <v>2880</v>
      </c>
      <c r="B500" s="136">
        <v>8</v>
      </c>
      <c r="C500" s="2"/>
      <c r="D500" s="11" t="s">
        <v>2937</v>
      </c>
      <c r="E500" s="189">
        <v>8.5</v>
      </c>
      <c r="F500" s="2"/>
      <c r="G500" s="353" t="s">
        <v>2977</v>
      </c>
      <c r="H500" s="12">
        <f>ROUND(SUM(H501:H510)/COUNT(H501:H510), 2)</f>
        <v>8.6</v>
      </c>
      <c r="I500" s="2"/>
      <c r="J500" s="11" t="s">
        <v>2953</v>
      </c>
      <c r="K500" s="189"/>
      <c r="L500" s="2"/>
      <c r="M500" s="354" t="s">
        <v>2992</v>
      </c>
      <c r="N500" s="12">
        <f>ROUND(SUM(N501:N510)/COUNT(N501:N510), 2)</f>
        <v>8.6999999999999993</v>
      </c>
      <c r="O500" s="16"/>
    </row>
    <row r="501" spans="1:15" s="3" customFormat="1" ht="16" customHeight="1" thickBot="1" x14ac:dyDescent="0.25">
      <c r="A501" s="7" t="s">
        <v>2881</v>
      </c>
      <c r="B501" s="190">
        <v>8.5</v>
      </c>
      <c r="C501" s="2"/>
      <c r="D501" s="4" t="s">
        <v>2938</v>
      </c>
      <c r="E501" s="136">
        <v>8.5</v>
      </c>
      <c r="F501" s="2"/>
      <c r="G501" s="11" t="s">
        <v>2978</v>
      </c>
      <c r="H501" s="189">
        <v>9</v>
      </c>
      <c r="I501" s="2"/>
      <c r="J501" s="4" t="s">
        <v>2954</v>
      </c>
      <c r="K501" s="136">
        <v>9</v>
      </c>
      <c r="L501" s="2"/>
      <c r="M501" s="11" t="s">
        <v>2993</v>
      </c>
      <c r="N501" s="189">
        <v>9</v>
      </c>
      <c r="O501" s="16"/>
    </row>
    <row r="502" spans="1:15" s="3" customFormat="1" ht="16" customHeight="1" thickBot="1" x14ac:dyDescent="0.25">
      <c r="A502" s="2"/>
      <c r="B502" s="2"/>
      <c r="C502" s="2"/>
      <c r="D502" s="4" t="s">
        <v>2939</v>
      </c>
      <c r="E502" s="136">
        <v>8</v>
      </c>
      <c r="F502" s="2"/>
      <c r="G502" s="4" t="s">
        <v>2979</v>
      </c>
      <c r="H502" s="136">
        <v>9</v>
      </c>
      <c r="I502" s="2"/>
      <c r="J502" s="4" t="s">
        <v>2955</v>
      </c>
      <c r="K502" s="136">
        <v>8.5</v>
      </c>
      <c r="L502" s="2"/>
      <c r="M502" s="4" t="s">
        <v>2994</v>
      </c>
      <c r="N502" s="136">
        <v>10</v>
      </c>
      <c r="O502" s="16"/>
    </row>
    <row r="503" spans="1:15" s="3" customFormat="1" ht="16" customHeight="1" thickBot="1" x14ac:dyDescent="0.25">
      <c r="A503" s="355" t="s">
        <v>3007</v>
      </c>
      <c r="B503" s="12">
        <f>ROUND(SUM(B504:B513)/COUNT(B504:B513), 2)</f>
        <v>7.95</v>
      </c>
      <c r="C503" s="2"/>
      <c r="D503" s="4" t="s">
        <v>2940</v>
      </c>
      <c r="E503" s="136">
        <v>9.5</v>
      </c>
      <c r="F503" s="2"/>
      <c r="G503" s="4" t="s">
        <v>2980</v>
      </c>
      <c r="H503" s="136">
        <v>8.5</v>
      </c>
      <c r="I503" s="2"/>
      <c r="J503" s="4" t="s">
        <v>2956</v>
      </c>
      <c r="K503" s="136">
        <v>9</v>
      </c>
      <c r="L503" s="2"/>
      <c r="M503" s="4" t="s">
        <v>2995</v>
      </c>
      <c r="N503" s="136">
        <v>8.5</v>
      </c>
      <c r="O503" s="16"/>
    </row>
    <row r="504" spans="1:15" s="3" customFormat="1" ht="16" customHeight="1" x14ac:dyDescent="0.2">
      <c r="A504" s="11" t="s">
        <v>3008</v>
      </c>
      <c r="B504" s="189">
        <v>7.5</v>
      </c>
      <c r="C504" s="2"/>
      <c r="D504" s="4" t="s">
        <v>2941</v>
      </c>
      <c r="E504" s="136">
        <v>8</v>
      </c>
      <c r="F504" s="2"/>
      <c r="G504" s="4" t="s">
        <v>2981</v>
      </c>
      <c r="H504" s="136">
        <v>10</v>
      </c>
      <c r="I504" s="2"/>
      <c r="J504" s="4" t="s">
        <v>2504</v>
      </c>
      <c r="K504" s="136">
        <v>8.5</v>
      </c>
      <c r="L504" s="2"/>
      <c r="M504" s="4" t="s">
        <v>2996</v>
      </c>
      <c r="N504" s="136">
        <v>8</v>
      </c>
      <c r="O504" s="16"/>
    </row>
    <row r="505" spans="1:15" s="3" customFormat="1" ht="16" customHeight="1" x14ac:dyDescent="0.2">
      <c r="A505" s="4" t="s">
        <v>3009</v>
      </c>
      <c r="B505" s="136">
        <v>8.5</v>
      </c>
      <c r="C505" s="2"/>
      <c r="D505" s="4" t="s">
        <v>2942</v>
      </c>
      <c r="E505" s="136">
        <v>10</v>
      </c>
      <c r="F505" s="2"/>
      <c r="G505" s="4" t="s">
        <v>2982</v>
      </c>
      <c r="H505" s="136">
        <v>8.5</v>
      </c>
      <c r="I505" s="2"/>
      <c r="J505" s="4" t="s">
        <v>2957</v>
      </c>
      <c r="K505" s="136">
        <v>8.5</v>
      </c>
      <c r="L505" s="2"/>
      <c r="M505" s="4" t="s">
        <v>2997</v>
      </c>
      <c r="N505" s="136">
        <v>8.5</v>
      </c>
      <c r="O505" s="16"/>
    </row>
    <row r="506" spans="1:15" s="3" customFormat="1" ht="16" customHeight="1" x14ac:dyDescent="0.2">
      <c r="A506" s="4" t="s">
        <v>3010</v>
      </c>
      <c r="B506" s="136">
        <v>9</v>
      </c>
      <c r="C506" s="2"/>
      <c r="D506" s="4" t="s">
        <v>2943</v>
      </c>
      <c r="E506" s="136"/>
      <c r="F506" s="2"/>
      <c r="G506" s="4" t="s">
        <v>2983</v>
      </c>
      <c r="H506" s="136">
        <v>8</v>
      </c>
      <c r="I506" s="2"/>
      <c r="J506" s="4" t="s">
        <v>2958</v>
      </c>
      <c r="K506" s="136">
        <v>9</v>
      </c>
      <c r="L506" s="2"/>
      <c r="M506" s="4" t="s">
        <v>2998</v>
      </c>
      <c r="N506" s="136">
        <v>8</v>
      </c>
      <c r="O506" s="16"/>
    </row>
    <row r="507" spans="1:15" s="3" customFormat="1" ht="16" customHeight="1" x14ac:dyDescent="0.2">
      <c r="A507" s="4" t="s">
        <v>3011</v>
      </c>
      <c r="B507" s="136">
        <v>7</v>
      </c>
      <c r="C507" s="2"/>
      <c r="D507" s="4" t="s">
        <v>2944</v>
      </c>
      <c r="E507" s="136">
        <v>8</v>
      </c>
      <c r="F507" s="2"/>
      <c r="G507" s="4" t="s">
        <v>2984</v>
      </c>
      <c r="H507" s="136">
        <v>8</v>
      </c>
      <c r="I507" s="2"/>
      <c r="J507" s="4" t="s">
        <v>2959</v>
      </c>
      <c r="K507" s="136"/>
      <c r="L507" s="2"/>
      <c r="M507" s="4" t="s">
        <v>2999</v>
      </c>
      <c r="N507" s="136">
        <v>8.5</v>
      </c>
      <c r="O507" s="16"/>
    </row>
    <row r="508" spans="1:15" s="3" customFormat="1" ht="16" customHeight="1" x14ac:dyDescent="0.2">
      <c r="A508" s="4" t="s">
        <v>3012</v>
      </c>
      <c r="B508" s="136">
        <v>8</v>
      </c>
      <c r="C508" s="2"/>
      <c r="D508" s="4" t="s">
        <v>2945</v>
      </c>
      <c r="E508" s="136">
        <v>8</v>
      </c>
      <c r="F508" s="2"/>
      <c r="G508" s="4" t="s">
        <v>2985</v>
      </c>
      <c r="H508" s="136">
        <v>8.5</v>
      </c>
      <c r="I508" s="2"/>
      <c r="J508" s="4" t="s">
        <v>2960</v>
      </c>
      <c r="K508" s="136">
        <v>9</v>
      </c>
      <c r="L508" s="2"/>
      <c r="M508" s="4" t="s">
        <v>3000</v>
      </c>
      <c r="N508" s="136">
        <v>9</v>
      </c>
      <c r="O508" s="16"/>
    </row>
    <row r="509" spans="1:15" s="3" customFormat="1" ht="16" customHeight="1" x14ac:dyDescent="0.2">
      <c r="A509" s="4" t="s">
        <v>3013</v>
      </c>
      <c r="B509" s="136">
        <v>7.5</v>
      </c>
      <c r="C509" s="2"/>
      <c r="D509" s="4" t="s">
        <v>2946</v>
      </c>
      <c r="E509" s="136">
        <v>8.5</v>
      </c>
      <c r="F509" s="2"/>
      <c r="G509" s="4" t="s">
        <v>2986</v>
      </c>
      <c r="H509" s="136">
        <v>8.5</v>
      </c>
      <c r="I509" s="2"/>
      <c r="J509" s="4" t="s">
        <v>2961</v>
      </c>
      <c r="K509" s="136">
        <v>8.5</v>
      </c>
      <c r="L509" s="2"/>
      <c r="M509" s="4" t="s">
        <v>3001</v>
      </c>
      <c r="N509" s="136">
        <v>9</v>
      </c>
      <c r="O509" s="16"/>
    </row>
    <row r="510" spans="1:15" s="3" customFormat="1" ht="16" customHeight="1" thickBot="1" x14ac:dyDescent="0.25">
      <c r="A510" s="4" t="s">
        <v>3014</v>
      </c>
      <c r="B510" s="136">
        <v>8</v>
      </c>
      <c r="C510" s="2"/>
      <c r="D510" s="4" t="s">
        <v>2947</v>
      </c>
      <c r="E510" s="136">
        <v>9</v>
      </c>
      <c r="F510" s="2"/>
      <c r="G510" s="7" t="s">
        <v>2987</v>
      </c>
      <c r="H510" s="190">
        <v>8</v>
      </c>
      <c r="I510" s="2"/>
      <c r="J510" s="4" t="s">
        <v>2962</v>
      </c>
      <c r="K510" s="136">
        <v>9</v>
      </c>
      <c r="L510" s="2"/>
      <c r="M510" s="7" t="s">
        <v>3002</v>
      </c>
      <c r="N510" s="190">
        <v>8.5</v>
      </c>
      <c r="O510" s="16"/>
    </row>
    <row r="511" spans="1:15" s="3" customFormat="1" ht="16" customHeight="1" thickBot="1" x14ac:dyDescent="0.25">
      <c r="A511" s="4" t="s">
        <v>3015</v>
      </c>
      <c r="B511" s="136">
        <v>8</v>
      </c>
      <c r="C511" s="2"/>
      <c r="D511" s="4" t="s">
        <v>2948</v>
      </c>
      <c r="E511" s="136">
        <v>9.5</v>
      </c>
      <c r="F511" s="2"/>
      <c r="G511" s="2"/>
      <c r="H511" s="2"/>
      <c r="I511" s="2"/>
      <c r="J511" s="4" t="s">
        <v>2963</v>
      </c>
      <c r="K511" s="136">
        <v>8.5</v>
      </c>
      <c r="L511" s="2"/>
      <c r="M511" s="2"/>
      <c r="N511" s="2"/>
      <c r="O511" s="16"/>
    </row>
    <row r="512" spans="1:15" s="3" customFormat="1" ht="16" customHeight="1" thickBot="1" x14ac:dyDescent="0.25">
      <c r="A512" s="4" t="s">
        <v>3016</v>
      </c>
      <c r="B512" s="136">
        <v>7.5</v>
      </c>
      <c r="C512" s="2"/>
      <c r="D512" s="7" t="s">
        <v>2949</v>
      </c>
      <c r="E512" s="190">
        <v>8</v>
      </c>
      <c r="F512" s="2"/>
      <c r="G512" s="357" t="s">
        <v>3022</v>
      </c>
      <c r="H512" s="12">
        <f>ROUND(SUM(H513:H519)/COUNT(H513:H519), 2)</f>
        <v>9.14</v>
      </c>
      <c r="I512" s="2"/>
      <c r="J512" s="4" t="s">
        <v>2964</v>
      </c>
      <c r="K512" s="136">
        <v>10</v>
      </c>
      <c r="L512" s="2"/>
      <c r="M512" s="359" t="s">
        <v>3059</v>
      </c>
      <c r="N512" s="12">
        <f>ROUND(SUM(N513:N523)/COUNT(N513:N523), 2)</f>
        <v>8.73</v>
      </c>
      <c r="O512" s="16"/>
    </row>
    <row r="513" spans="1:15" s="3" customFormat="1" ht="16" customHeight="1" thickBot="1" x14ac:dyDescent="0.25">
      <c r="A513" s="7" t="s">
        <v>3017</v>
      </c>
      <c r="B513" s="190">
        <v>8.5</v>
      </c>
      <c r="C513" s="2"/>
      <c r="D513" s="2"/>
      <c r="E513" s="2"/>
      <c r="F513" s="2"/>
      <c r="G513" s="11" t="s">
        <v>3023</v>
      </c>
      <c r="H513" s="189">
        <v>8.5</v>
      </c>
      <c r="I513" s="2"/>
      <c r="J513" s="4" t="s">
        <v>2965</v>
      </c>
      <c r="K513" s="136">
        <v>8</v>
      </c>
      <c r="L513" s="2"/>
      <c r="M513" s="11" t="s">
        <v>3048</v>
      </c>
      <c r="N513" s="189">
        <v>10</v>
      </c>
      <c r="O513" s="16"/>
    </row>
    <row r="514" spans="1:15" s="3" customFormat="1" ht="16" customHeight="1" thickBot="1" x14ac:dyDescent="0.25">
      <c r="A514" s="2"/>
      <c r="B514" s="2"/>
      <c r="C514" s="2"/>
      <c r="D514" s="361" t="s">
        <v>3075</v>
      </c>
      <c r="E514" s="12">
        <f>ROUND(SUM(E515:E526)/COUNT(E515:E526), 2)</f>
        <v>8.58</v>
      </c>
      <c r="F514" s="2"/>
      <c r="G514" s="4" t="s">
        <v>3024</v>
      </c>
      <c r="H514" s="136">
        <v>9</v>
      </c>
      <c r="I514" s="2"/>
      <c r="J514" s="4" t="s">
        <v>2966</v>
      </c>
      <c r="K514" s="136">
        <v>8.5</v>
      </c>
      <c r="L514" s="2"/>
      <c r="M514" s="4" t="s">
        <v>3049</v>
      </c>
      <c r="N514" s="136">
        <v>8.5</v>
      </c>
      <c r="O514" s="16"/>
    </row>
    <row r="515" spans="1:15" s="3" customFormat="1" ht="16" customHeight="1" thickBot="1" x14ac:dyDescent="0.25">
      <c r="A515" s="129" t="s">
        <v>3087</v>
      </c>
      <c r="B515" s="12">
        <f>ROUND(SUM(B516:B522)/COUNT(B516:B522), 2)</f>
        <v>8.7899999999999991</v>
      </c>
      <c r="C515" s="2"/>
      <c r="D515" s="11" t="s">
        <v>3062</v>
      </c>
      <c r="E515" s="189">
        <v>8.5</v>
      </c>
      <c r="F515" s="2"/>
      <c r="G515" s="4" t="s">
        <v>3025</v>
      </c>
      <c r="H515" s="136">
        <v>9</v>
      </c>
      <c r="I515" s="2"/>
      <c r="J515" s="4" t="s">
        <v>2967</v>
      </c>
      <c r="K515" s="136">
        <v>7.5</v>
      </c>
      <c r="L515" s="2"/>
      <c r="M515" s="4" t="s">
        <v>3050</v>
      </c>
      <c r="N515" s="136">
        <v>8</v>
      </c>
      <c r="O515" s="16"/>
    </row>
    <row r="516" spans="1:15" s="3" customFormat="1" ht="16" customHeight="1" x14ac:dyDescent="0.2">
      <c r="A516" s="364" t="s">
        <v>3081</v>
      </c>
      <c r="B516" s="189">
        <v>9</v>
      </c>
      <c r="C516" s="2"/>
      <c r="D516" s="4" t="s">
        <v>3063</v>
      </c>
      <c r="E516" s="136">
        <v>9</v>
      </c>
      <c r="F516" s="2"/>
      <c r="G516" s="4" t="s">
        <v>3026</v>
      </c>
      <c r="H516" s="136">
        <v>10.5</v>
      </c>
      <c r="I516" s="2"/>
      <c r="J516" s="4" t="s">
        <v>2968</v>
      </c>
      <c r="K516" s="136">
        <v>10</v>
      </c>
      <c r="L516" s="2"/>
      <c r="M516" s="4" t="s">
        <v>3051</v>
      </c>
      <c r="N516" s="136">
        <v>8</v>
      </c>
      <c r="O516" s="16"/>
    </row>
    <row r="517" spans="1:15" s="3" customFormat="1" ht="16" customHeight="1" thickBot="1" x14ac:dyDescent="0.25">
      <c r="A517" s="365" t="s">
        <v>3082</v>
      </c>
      <c r="B517" s="136">
        <v>8.5</v>
      </c>
      <c r="C517" s="2"/>
      <c r="D517" s="4" t="s">
        <v>3064</v>
      </c>
      <c r="E517" s="136">
        <v>10</v>
      </c>
      <c r="F517" s="2"/>
      <c r="G517" s="4" t="s">
        <v>3027</v>
      </c>
      <c r="H517" s="136">
        <v>10</v>
      </c>
      <c r="I517" s="2"/>
      <c r="J517" s="7" t="s">
        <v>2969</v>
      </c>
      <c r="K517" s="190">
        <v>8.5</v>
      </c>
      <c r="L517" s="2"/>
      <c r="M517" s="4" t="s">
        <v>3052</v>
      </c>
      <c r="N517" s="136">
        <v>10</v>
      </c>
      <c r="O517" s="16"/>
    </row>
    <row r="518" spans="1:15" s="3" customFormat="1" ht="16" customHeight="1" thickBot="1" x14ac:dyDescent="0.25">
      <c r="A518" s="4" t="s">
        <v>450</v>
      </c>
      <c r="B518" s="136">
        <v>10</v>
      </c>
      <c r="C518" s="2"/>
      <c r="D518" s="4" t="s">
        <v>3065</v>
      </c>
      <c r="E518" s="136">
        <v>10</v>
      </c>
      <c r="F518" s="2"/>
      <c r="G518" s="4" t="s">
        <v>3028</v>
      </c>
      <c r="H518" s="136">
        <v>8.5</v>
      </c>
      <c r="I518" s="2"/>
      <c r="J518" s="2"/>
      <c r="K518" s="2"/>
      <c r="L518" s="2"/>
      <c r="M518" s="4" t="s">
        <v>3053</v>
      </c>
      <c r="N518" s="136">
        <v>7.5</v>
      </c>
      <c r="O518" s="16"/>
    </row>
    <row r="519" spans="1:15" s="3" customFormat="1" ht="16" customHeight="1" thickBot="1" x14ac:dyDescent="0.25">
      <c r="A519" s="4" t="s">
        <v>3083</v>
      </c>
      <c r="B519" s="136">
        <v>8</v>
      </c>
      <c r="C519" s="2"/>
      <c r="D519" s="4" t="s">
        <v>3066</v>
      </c>
      <c r="E519" s="136">
        <v>8</v>
      </c>
      <c r="F519" s="2"/>
      <c r="G519" s="7" t="s">
        <v>3029</v>
      </c>
      <c r="H519" s="190">
        <v>8.5</v>
      </c>
      <c r="I519" s="2"/>
      <c r="J519" s="366" t="s">
        <v>3091</v>
      </c>
      <c r="K519" s="12">
        <f>ROUND(SUM(K520:K526)/COUNT(K520:K526), 2)</f>
        <v>8</v>
      </c>
      <c r="L519" s="2"/>
      <c r="M519" s="4" t="s">
        <v>3054</v>
      </c>
      <c r="N519" s="136">
        <v>9</v>
      </c>
      <c r="O519" s="16"/>
    </row>
    <row r="520" spans="1:15" s="3" customFormat="1" ht="16" customHeight="1" thickBot="1" x14ac:dyDescent="0.25">
      <c r="A520" s="4" t="s">
        <v>3084</v>
      </c>
      <c r="B520" s="136">
        <v>8</v>
      </c>
      <c r="C520" s="2"/>
      <c r="D520" s="4" t="s">
        <v>3067</v>
      </c>
      <c r="E520" s="136">
        <v>7.5</v>
      </c>
      <c r="F520" s="2"/>
      <c r="G520" s="2"/>
      <c r="H520" s="2"/>
      <c r="I520" s="2"/>
      <c r="J520" s="11" t="s">
        <v>3092</v>
      </c>
      <c r="K520" s="189">
        <v>9</v>
      </c>
      <c r="L520" s="2"/>
      <c r="M520" s="4" t="s">
        <v>3055</v>
      </c>
      <c r="N520" s="136">
        <v>8</v>
      </c>
      <c r="O520" s="16"/>
    </row>
    <row r="521" spans="1:15" s="3" customFormat="1" ht="16" customHeight="1" thickBot="1" x14ac:dyDescent="0.25">
      <c r="A521" s="4" t="s">
        <v>3085</v>
      </c>
      <c r="B521" s="136">
        <v>9.5</v>
      </c>
      <c r="C521" s="2"/>
      <c r="D521" s="4" t="s">
        <v>3068</v>
      </c>
      <c r="E521" s="136">
        <v>8.5</v>
      </c>
      <c r="F521" s="2"/>
      <c r="G521" s="367" t="s">
        <v>3103</v>
      </c>
      <c r="H521" s="12">
        <f>ROUND(SUM(H522:H533)/COUNT(H522:H533), 2)</f>
        <v>8.89</v>
      </c>
      <c r="I521" s="2"/>
      <c r="J521" s="4" t="s">
        <v>3093</v>
      </c>
      <c r="K521" s="136">
        <v>8</v>
      </c>
      <c r="L521" s="2"/>
      <c r="M521" s="4" t="s">
        <v>3056</v>
      </c>
      <c r="N521" s="136">
        <v>10.5</v>
      </c>
      <c r="O521" s="16"/>
    </row>
    <row r="522" spans="1:15" s="3" customFormat="1" ht="16" customHeight="1" thickBot="1" x14ac:dyDescent="0.25">
      <c r="A522" s="7" t="s">
        <v>3086</v>
      </c>
      <c r="B522" s="190">
        <v>8.5</v>
      </c>
      <c r="C522" s="2"/>
      <c r="D522" s="4" t="s">
        <v>3069</v>
      </c>
      <c r="E522" s="136">
        <v>8</v>
      </c>
      <c r="F522" s="2"/>
      <c r="G522" s="11" t="s">
        <v>3104</v>
      </c>
      <c r="H522" s="189">
        <v>9</v>
      </c>
      <c r="I522" s="2"/>
      <c r="J522" s="4" t="s">
        <v>3094</v>
      </c>
      <c r="K522" s="136">
        <v>8</v>
      </c>
      <c r="L522" s="2"/>
      <c r="M522" s="4" t="s">
        <v>3057</v>
      </c>
      <c r="N522" s="136">
        <v>8.5</v>
      </c>
      <c r="O522" s="16"/>
    </row>
    <row r="523" spans="1:15" s="3" customFormat="1" ht="16" customHeight="1" thickBot="1" x14ac:dyDescent="0.25">
      <c r="A523" s="2"/>
      <c r="B523" s="2"/>
      <c r="C523" s="2"/>
      <c r="D523" s="4" t="s">
        <v>3070</v>
      </c>
      <c r="E523" s="136">
        <v>8</v>
      </c>
      <c r="F523" s="2"/>
      <c r="G523" s="4" t="s">
        <v>3105</v>
      </c>
      <c r="H523" s="136">
        <v>9</v>
      </c>
      <c r="I523" s="2"/>
      <c r="J523" s="4" t="s">
        <v>3095</v>
      </c>
      <c r="K523" s="136">
        <v>7.5</v>
      </c>
      <c r="L523" s="2"/>
      <c r="M523" s="7" t="s">
        <v>3058</v>
      </c>
      <c r="N523" s="190">
        <v>8</v>
      </c>
      <c r="O523" s="16"/>
    </row>
    <row r="524" spans="1:15" s="3" customFormat="1" ht="16" customHeight="1" thickBot="1" x14ac:dyDescent="0.25">
      <c r="A524" s="368" t="s">
        <v>3117</v>
      </c>
      <c r="B524" s="12">
        <f>ROUND(SUM(B525:B541)/COUNT(B525:B541), 2)</f>
        <v>4.79</v>
      </c>
      <c r="C524" s="2"/>
      <c r="D524" s="4" t="s">
        <v>3071</v>
      </c>
      <c r="E524" s="136">
        <v>9</v>
      </c>
      <c r="F524" s="2"/>
      <c r="G524" s="4" t="s">
        <v>3106</v>
      </c>
      <c r="H524" s="136">
        <v>9</v>
      </c>
      <c r="I524" s="2"/>
      <c r="J524" s="4" t="s">
        <v>3096</v>
      </c>
      <c r="K524" s="136">
        <v>8</v>
      </c>
      <c r="L524" s="2"/>
      <c r="M524" s="2"/>
      <c r="N524" s="2"/>
      <c r="O524" s="16"/>
    </row>
    <row r="525" spans="1:15" s="3" customFormat="1" ht="16" customHeight="1" thickBot="1" x14ac:dyDescent="0.25">
      <c r="A525" s="11" t="s">
        <v>3118</v>
      </c>
      <c r="B525" s="189">
        <v>5</v>
      </c>
      <c r="C525" s="2"/>
      <c r="D525" s="145" t="s">
        <v>3072</v>
      </c>
      <c r="E525" s="136">
        <v>8</v>
      </c>
      <c r="F525" s="2"/>
      <c r="G525" s="4" t="s">
        <v>3107</v>
      </c>
      <c r="H525" s="136">
        <v>8.5</v>
      </c>
      <c r="I525" s="2"/>
      <c r="J525" s="4" t="s">
        <v>3097</v>
      </c>
      <c r="K525" s="136"/>
      <c r="L525" s="2"/>
      <c r="M525" s="369" t="s">
        <v>3138</v>
      </c>
      <c r="N525" s="12">
        <f>ROUND(SUM(N526:N534)/COUNT(N526:N534), 2)</f>
        <v>8.56</v>
      </c>
      <c r="O525" s="16"/>
    </row>
    <row r="526" spans="1:15" s="3" customFormat="1" ht="16" customHeight="1" thickBot="1" x14ac:dyDescent="0.25">
      <c r="A526" s="4" t="s">
        <v>3119</v>
      </c>
      <c r="B526" s="136">
        <v>4</v>
      </c>
      <c r="C526" s="2"/>
      <c r="D526" s="7" t="s">
        <v>3073</v>
      </c>
      <c r="E526" s="190">
        <v>8.5</v>
      </c>
      <c r="F526" s="2"/>
      <c r="G526" s="4" t="s">
        <v>3108</v>
      </c>
      <c r="H526" s="136">
        <v>8</v>
      </c>
      <c r="I526" s="2"/>
      <c r="J526" s="7" t="s">
        <v>3098</v>
      </c>
      <c r="K526" s="190">
        <v>7.5</v>
      </c>
      <c r="L526" s="2"/>
      <c r="M526" s="11" t="s">
        <v>3139</v>
      </c>
      <c r="N526" s="189">
        <v>10</v>
      </c>
      <c r="O526" s="16"/>
    </row>
    <row r="527" spans="1:15" s="3" customFormat="1" ht="16" customHeight="1" thickBot="1" x14ac:dyDescent="0.25">
      <c r="A527" s="4" t="s">
        <v>3120</v>
      </c>
      <c r="B527" s="136">
        <v>7</v>
      </c>
      <c r="C527" s="2"/>
      <c r="D527" s="2"/>
      <c r="E527" s="2"/>
      <c r="F527" s="2"/>
      <c r="G527" s="4" t="s">
        <v>3109</v>
      </c>
      <c r="H527" s="136">
        <v>9</v>
      </c>
      <c r="I527" s="2"/>
      <c r="J527" s="2"/>
      <c r="K527" s="2"/>
      <c r="L527" s="2"/>
      <c r="M527" s="4" t="s">
        <v>3140</v>
      </c>
      <c r="N527" s="136">
        <v>7.5</v>
      </c>
      <c r="O527" s="16"/>
    </row>
    <row r="528" spans="1:15" s="3" customFormat="1" ht="16" customHeight="1" thickBot="1" x14ac:dyDescent="0.25">
      <c r="A528" s="4" t="s">
        <v>3121</v>
      </c>
      <c r="B528" s="136">
        <v>6</v>
      </c>
      <c r="C528" s="2"/>
      <c r="D528" s="374" t="s">
        <v>3156</v>
      </c>
      <c r="E528" s="12">
        <f>ROUND(SUM(E529:E540)/COUNT(E529:E540), 2)</f>
        <v>8.64</v>
      </c>
      <c r="F528" s="2"/>
      <c r="G528" s="7" t="s">
        <v>3110</v>
      </c>
      <c r="H528" s="190">
        <v>7.5</v>
      </c>
      <c r="I528" s="2"/>
      <c r="J528" s="377" t="s">
        <v>3169</v>
      </c>
      <c r="K528" s="12">
        <f>ROUND(SUM(K529:K543)/COUNT(K529:K543), 2)</f>
        <v>8.6300000000000008</v>
      </c>
      <c r="L528" s="2"/>
      <c r="M528" s="4" t="s">
        <v>3141</v>
      </c>
      <c r="N528" s="136">
        <v>8</v>
      </c>
      <c r="O528" s="16"/>
    </row>
    <row r="529" spans="1:15" s="3" customFormat="1" ht="16" customHeight="1" thickBot="1" x14ac:dyDescent="0.25">
      <c r="A529" s="4" t="s">
        <v>3122</v>
      </c>
      <c r="B529" s="136">
        <v>6</v>
      </c>
      <c r="C529" s="2"/>
      <c r="D529" s="11" t="s">
        <v>3157</v>
      </c>
      <c r="E529" s="189">
        <v>9</v>
      </c>
      <c r="F529" s="2"/>
      <c r="G529" s="2"/>
      <c r="H529" s="2"/>
      <c r="I529" s="2"/>
      <c r="J529" s="375" t="s">
        <v>3181</v>
      </c>
      <c r="K529" s="189">
        <v>8.5</v>
      </c>
      <c r="L529" s="2"/>
      <c r="M529" s="4" t="s">
        <v>3142</v>
      </c>
      <c r="N529" s="136">
        <v>8</v>
      </c>
      <c r="O529" s="16"/>
    </row>
    <row r="530" spans="1:15" s="3" customFormat="1" ht="16" customHeight="1" thickBot="1" x14ac:dyDescent="0.25">
      <c r="A530" s="4" t="s">
        <v>3123</v>
      </c>
      <c r="B530" s="136">
        <v>3</v>
      </c>
      <c r="C530" s="2"/>
      <c r="D530" s="4" t="s">
        <v>3159</v>
      </c>
      <c r="E530" s="136">
        <v>10</v>
      </c>
      <c r="F530" s="2"/>
      <c r="G530" s="381" t="s">
        <v>3242</v>
      </c>
      <c r="H530" s="12">
        <f>ROUND(SUM(H531:H542)/COUNT(H531:H542), 2)</f>
        <v>8.82</v>
      </c>
      <c r="I530" s="2"/>
      <c r="J530" s="376" t="s">
        <v>2586</v>
      </c>
      <c r="K530" s="136">
        <v>9</v>
      </c>
      <c r="L530" s="2"/>
      <c r="M530" s="4" t="s">
        <v>3143</v>
      </c>
      <c r="N530" s="136"/>
      <c r="O530" s="16"/>
    </row>
    <row r="531" spans="1:15" s="3" customFormat="1" ht="16" customHeight="1" x14ac:dyDescent="0.2">
      <c r="A531" s="4" t="s">
        <v>3124</v>
      </c>
      <c r="B531" s="136">
        <v>5</v>
      </c>
      <c r="C531" s="2"/>
      <c r="D531" s="4" t="s">
        <v>3158</v>
      </c>
      <c r="E531" s="136">
        <v>8.5</v>
      </c>
      <c r="F531" s="2"/>
      <c r="G531" s="11" t="s">
        <v>3231</v>
      </c>
      <c r="H531" s="189">
        <v>10.5</v>
      </c>
      <c r="I531" s="2"/>
      <c r="J531" s="376" t="s">
        <v>3170</v>
      </c>
      <c r="K531" s="136">
        <v>8</v>
      </c>
      <c r="L531" s="2"/>
      <c r="M531" s="4" t="s">
        <v>3144</v>
      </c>
      <c r="N531" s="136">
        <v>8.5</v>
      </c>
      <c r="O531" s="16"/>
    </row>
    <row r="532" spans="1:15" s="3" customFormat="1" ht="16" customHeight="1" x14ac:dyDescent="0.2">
      <c r="A532" s="4" t="s">
        <v>3125</v>
      </c>
      <c r="B532" s="136">
        <v>4</v>
      </c>
      <c r="C532" s="2"/>
      <c r="D532" s="4" t="s">
        <v>3160</v>
      </c>
      <c r="E532" s="136">
        <v>8</v>
      </c>
      <c r="F532" s="2"/>
      <c r="G532" s="4" t="s">
        <v>3232</v>
      </c>
      <c r="H532" s="136">
        <v>9</v>
      </c>
      <c r="I532" s="2"/>
      <c r="J532" s="376" t="s">
        <v>3171</v>
      </c>
      <c r="K532" s="136">
        <v>10</v>
      </c>
      <c r="L532" s="2"/>
      <c r="M532" s="4" t="s">
        <v>3145</v>
      </c>
      <c r="N532" s="136">
        <v>8.5</v>
      </c>
      <c r="O532" s="16"/>
    </row>
    <row r="533" spans="1:15" s="3" customFormat="1" ht="16" customHeight="1" x14ac:dyDescent="0.2">
      <c r="A533" s="4" t="s">
        <v>3126</v>
      </c>
      <c r="B533" s="136">
        <v>3</v>
      </c>
      <c r="C533" s="2"/>
      <c r="D533" s="4" t="s">
        <v>3161</v>
      </c>
      <c r="E533" s="136"/>
      <c r="F533" s="2"/>
      <c r="G533" s="4" t="s">
        <v>3233</v>
      </c>
      <c r="H533" s="136">
        <v>9.5</v>
      </c>
      <c r="I533" s="2"/>
      <c r="J533" s="376" t="s">
        <v>3172</v>
      </c>
      <c r="K533" s="136">
        <v>9</v>
      </c>
      <c r="L533" s="2"/>
      <c r="M533" s="4" t="s">
        <v>3146</v>
      </c>
      <c r="N533" s="136">
        <v>9</v>
      </c>
      <c r="O533" s="16"/>
    </row>
    <row r="534" spans="1:15" s="3" customFormat="1" ht="16" customHeight="1" thickBot="1" x14ac:dyDescent="0.25">
      <c r="A534" s="4" t="s">
        <v>3127</v>
      </c>
      <c r="B534" s="136">
        <v>6</v>
      </c>
      <c r="C534" s="2"/>
      <c r="D534" s="4" t="s">
        <v>3162</v>
      </c>
      <c r="E534" s="136">
        <v>7.5</v>
      </c>
      <c r="F534" s="2"/>
      <c r="G534" s="4" t="s">
        <v>99</v>
      </c>
      <c r="H534" s="136">
        <v>8.5</v>
      </c>
      <c r="I534" s="2"/>
      <c r="J534" s="4" t="s">
        <v>3173</v>
      </c>
      <c r="K534" s="136">
        <v>9</v>
      </c>
      <c r="L534" s="2"/>
      <c r="M534" s="7" t="s">
        <v>3147</v>
      </c>
      <c r="N534" s="190">
        <v>9</v>
      </c>
      <c r="O534" s="16"/>
    </row>
    <row r="535" spans="1:15" s="3" customFormat="1" ht="16" customHeight="1" thickBot="1" x14ac:dyDescent="0.25">
      <c r="A535" s="4" t="s">
        <v>3128</v>
      </c>
      <c r="B535" s="136">
        <v>5</v>
      </c>
      <c r="C535" s="2"/>
      <c r="D535" s="4" t="s">
        <v>3163</v>
      </c>
      <c r="E535" s="136">
        <v>8</v>
      </c>
      <c r="F535" s="2"/>
      <c r="G535" s="4" t="s">
        <v>3234</v>
      </c>
      <c r="H535" s="136">
        <v>8</v>
      </c>
      <c r="I535" s="2"/>
      <c r="J535" s="4" t="s">
        <v>2593</v>
      </c>
      <c r="K535" s="136">
        <v>8</v>
      </c>
      <c r="L535" s="2"/>
      <c r="M535" s="2"/>
      <c r="N535" s="2"/>
      <c r="O535" s="16"/>
    </row>
    <row r="536" spans="1:15" s="3" customFormat="1" ht="16" customHeight="1" thickBot="1" x14ac:dyDescent="0.25">
      <c r="A536" s="4" t="s">
        <v>3129</v>
      </c>
      <c r="B536" s="136">
        <v>4</v>
      </c>
      <c r="C536" s="2"/>
      <c r="D536" s="4" t="s">
        <v>3164</v>
      </c>
      <c r="E536" s="136">
        <v>10.5</v>
      </c>
      <c r="F536" s="2"/>
      <c r="G536" s="4" t="s">
        <v>3235</v>
      </c>
      <c r="H536" s="136"/>
      <c r="I536" s="2"/>
      <c r="J536" s="4" t="s">
        <v>3174</v>
      </c>
      <c r="K536" s="136">
        <v>9.5</v>
      </c>
      <c r="L536" s="2"/>
      <c r="M536" s="382" t="s">
        <v>3243</v>
      </c>
      <c r="N536" s="12">
        <f>ROUND(SUM(N537:N544)/COUNT(N537:N544), 2)</f>
        <v>8.2899999999999991</v>
      </c>
      <c r="O536" s="16"/>
    </row>
    <row r="537" spans="1:15" s="3" customFormat="1" ht="16" customHeight="1" x14ac:dyDescent="0.2">
      <c r="A537" s="4" t="s">
        <v>3130</v>
      </c>
      <c r="B537" s="136">
        <v>4</v>
      </c>
      <c r="C537" s="2"/>
      <c r="D537" s="4" t="s">
        <v>3165</v>
      </c>
      <c r="E537" s="136">
        <v>9</v>
      </c>
      <c r="F537" s="2"/>
      <c r="G537" s="4" t="s">
        <v>3236</v>
      </c>
      <c r="H537" s="136">
        <v>8</v>
      </c>
      <c r="I537" s="2"/>
      <c r="J537" s="4" t="s">
        <v>3175</v>
      </c>
      <c r="K537" s="136">
        <v>8</v>
      </c>
      <c r="L537" s="2"/>
      <c r="M537" s="11" t="s">
        <v>3244</v>
      </c>
      <c r="N537" s="189"/>
      <c r="O537" s="16"/>
    </row>
    <row r="538" spans="1:15" s="3" customFormat="1" ht="16" customHeight="1" x14ac:dyDescent="0.2">
      <c r="A538" s="4" t="s">
        <v>3131</v>
      </c>
      <c r="B538" s="136">
        <v>6</v>
      </c>
      <c r="C538" s="2"/>
      <c r="D538" s="4" t="s">
        <v>3166</v>
      </c>
      <c r="E538" s="136">
        <v>8</v>
      </c>
      <c r="F538" s="2"/>
      <c r="G538" s="4" t="s">
        <v>3237</v>
      </c>
      <c r="H538" s="136">
        <v>10</v>
      </c>
      <c r="I538" s="2"/>
      <c r="J538" s="4" t="s">
        <v>3176</v>
      </c>
      <c r="K538" s="136">
        <v>8.5</v>
      </c>
      <c r="L538" s="2"/>
      <c r="M538" s="4" t="s">
        <v>3245</v>
      </c>
      <c r="N538" s="136">
        <v>8</v>
      </c>
      <c r="O538" s="16"/>
    </row>
    <row r="539" spans="1:15" s="3" customFormat="1" ht="16" customHeight="1" x14ac:dyDescent="0.2">
      <c r="A539" s="4" t="s">
        <v>3132</v>
      </c>
      <c r="B539" s="136">
        <v>6.5</v>
      </c>
      <c r="C539" s="2"/>
      <c r="D539" s="4" t="s">
        <v>3167</v>
      </c>
      <c r="E539" s="136">
        <v>8</v>
      </c>
      <c r="F539" s="2"/>
      <c r="G539" s="4" t="s">
        <v>3238</v>
      </c>
      <c r="H539" s="136">
        <v>7.5</v>
      </c>
      <c r="I539" s="2"/>
      <c r="J539" s="4" t="s">
        <v>3177</v>
      </c>
      <c r="K539" s="136">
        <v>8</v>
      </c>
      <c r="L539" s="2"/>
      <c r="M539" s="4" t="s">
        <v>3246</v>
      </c>
      <c r="N539" s="136">
        <v>8.5</v>
      </c>
      <c r="O539" s="16"/>
    </row>
    <row r="540" spans="1:15" s="3" customFormat="1" ht="16" customHeight="1" thickBot="1" x14ac:dyDescent="0.25">
      <c r="A540" s="4" t="s">
        <v>3133</v>
      </c>
      <c r="B540" s="136">
        <v>0</v>
      </c>
      <c r="C540" s="2"/>
      <c r="D540" s="7" t="s">
        <v>3168</v>
      </c>
      <c r="E540" s="190">
        <v>8.5</v>
      </c>
      <c r="F540" s="2"/>
      <c r="G540" s="4" t="s">
        <v>3239</v>
      </c>
      <c r="H540" s="136">
        <v>8.5</v>
      </c>
      <c r="I540" s="2"/>
      <c r="J540" s="4" t="s">
        <v>3178</v>
      </c>
      <c r="K540" s="136">
        <v>7.5</v>
      </c>
      <c r="L540" s="2"/>
      <c r="M540" s="4" t="s">
        <v>3247</v>
      </c>
      <c r="N540" s="136">
        <v>8</v>
      </c>
      <c r="O540" s="16"/>
    </row>
    <row r="541" spans="1:15" s="3" customFormat="1" ht="16" customHeight="1" thickBot="1" x14ac:dyDescent="0.25">
      <c r="A541" s="7" t="s">
        <v>3134</v>
      </c>
      <c r="B541" s="190">
        <v>7</v>
      </c>
      <c r="C541" s="2"/>
      <c r="D541" s="2"/>
      <c r="E541" s="2"/>
      <c r="F541" s="2"/>
      <c r="G541" s="4" t="s">
        <v>3240</v>
      </c>
      <c r="H541" s="136">
        <v>9</v>
      </c>
      <c r="I541" s="2"/>
      <c r="J541" s="4" t="s">
        <v>2766</v>
      </c>
      <c r="K541" s="136">
        <v>8</v>
      </c>
      <c r="L541" s="2"/>
      <c r="M541" s="4" t="s">
        <v>3258</v>
      </c>
      <c r="N541" s="136">
        <v>8</v>
      </c>
      <c r="O541" s="16"/>
    </row>
    <row r="542" spans="1:15" s="3" customFormat="1" ht="16" customHeight="1" thickBot="1" x14ac:dyDescent="0.25">
      <c r="A542" s="2"/>
      <c r="B542" s="2"/>
      <c r="C542" s="2"/>
      <c r="D542" s="383" t="s">
        <v>3263</v>
      </c>
      <c r="E542" s="12">
        <f>ROUND(SUM(E543:E552)/COUNT(E543:E552), 2)</f>
        <v>8.1999999999999993</v>
      </c>
      <c r="F542" s="2"/>
      <c r="G542" s="7" t="s">
        <v>3241</v>
      </c>
      <c r="H542" s="190">
        <v>8.5</v>
      </c>
      <c r="I542" s="2"/>
      <c r="J542" s="4" t="s">
        <v>3179</v>
      </c>
      <c r="K542" s="136">
        <v>9</v>
      </c>
      <c r="L542" s="2"/>
      <c r="M542" s="4" t="s">
        <v>3248</v>
      </c>
      <c r="N542" s="136">
        <v>8.5</v>
      </c>
      <c r="O542" s="16"/>
    </row>
    <row r="543" spans="1:15" s="3" customFormat="1" ht="16" customHeight="1" thickBot="1" x14ac:dyDescent="0.25">
      <c r="A543" s="384" t="s">
        <v>3274</v>
      </c>
      <c r="B543" s="12">
        <f>ROUND(SUM(B544:B555)/COUNT(B544:B555), 2)</f>
        <v>8.82</v>
      </c>
      <c r="C543" s="2"/>
      <c r="D543" s="11" t="s">
        <v>3264</v>
      </c>
      <c r="E543" s="189">
        <v>8.5</v>
      </c>
      <c r="F543" s="2"/>
      <c r="G543" s="2"/>
      <c r="H543" s="2"/>
      <c r="I543" s="2"/>
      <c r="J543" s="7" t="s">
        <v>3180</v>
      </c>
      <c r="K543" s="190">
        <v>9.5</v>
      </c>
      <c r="L543" s="2"/>
      <c r="M543" s="4" t="s">
        <v>3249</v>
      </c>
      <c r="N543" s="136">
        <v>8.5</v>
      </c>
      <c r="O543" s="16"/>
    </row>
    <row r="544" spans="1:15" s="3" customFormat="1" ht="16" customHeight="1" thickBot="1" x14ac:dyDescent="0.25">
      <c r="A544" s="141">
        <v>4</v>
      </c>
      <c r="B544" s="189">
        <v>10</v>
      </c>
      <c r="C544" s="2"/>
      <c r="D544" s="4" t="s">
        <v>3265</v>
      </c>
      <c r="E544" s="136">
        <v>10.5</v>
      </c>
      <c r="F544" s="2"/>
      <c r="G544" s="386" t="s">
        <v>3290</v>
      </c>
      <c r="H544" s="12">
        <f>ROUND(SUM(H545:H560)/COUNT(H545:H560), 2)</f>
        <v>8.3800000000000008</v>
      </c>
      <c r="I544" s="2"/>
      <c r="J544" s="2"/>
      <c r="K544" s="2"/>
      <c r="L544" s="2"/>
      <c r="M544" s="7" t="s">
        <v>3250</v>
      </c>
      <c r="N544" s="190">
        <v>8.5</v>
      </c>
      <c r="O544" s="16"/>
    </row>
    <row r="545" spans="1:18" s="3" customFormat="1" ht="16" customHeight="1" thickBot="1" x14ac:dyDescent="0.25">
      <c r="A545" s="4" t="s">
        <v>3275</v>
      </c>
      <c r="B545" s="136">
        <v>8.5</v>
      </c>
      <c r="C545" s="2"/>
      <c r="D545" s="4" t="s">
        <v>3266</v>
      </c>
      <c r="E545" s="136">
        <v>9</v>
      </c>
      <c r="F545" s="2"/>
      <c r="G545" s="11" t="s">
        <v>3291</v>
      </c>
      <c r="H545" s="189">
        <v>8.5</v>
      </c>
      <c r="I545" s="2"/>
      <c r="J545" s="389" t="s">
        <v>3309</v>
      </c>
      <c r="K545" s="12">
        <f>ROUND(SUM(K546:K569)/COUNT(K546:K569), 2)</f>
        <v>8.6</v>
      </c>
      <c r="L545" s="2"/>
      <c r="M545" s="2"/>
      <c r="N545" s="2"/>
      <c r="O545" s="16"/>
    </row>
    <row r="546" spans="1:18" s="3" customFormat="1" ht="16" customHeight="1" thickBot="1" x14ac:dyDescent="0.25">
      <c r="A546" s="4" t="s">
        <v>3276</v>
      </c>
      <c r="B546" s="136">
        <v>8</v>
      </c>
      <c r="C546" s="2"/>
      <c r="D546" s="4" t="s">
        <v>3267</v>
      </c>
      <c r="E546" s="136">
        <v>8.5</v>
      </c>
      <c r="F546" s="2"/>
      <c r="G546" s="4" t="s">
        <v>3292</v>
      </c>
      <c r="H546" s="136">
        <v>10</v>
      </c>
      <c r="I546" s="2"/>
      <c r="J546" s="11" t="s">
        <v>3310</v>
      </c>
      <c r="K546" s="189">
        <v>10</v>
      </c>
      <c r="L546" s="2"/>
      <c r="M546" s="390" t="s">
        <v>3337</v>
      </c>
      <c r="N546" s="12">
        <f>ROUND(SUM(N547:N557)/COUNT(N547:N557), 2)</f>
        <v>8.65</v>
      </c>
      <c r="O546" s="16"/>
    </row>
    <row r="547" spans="1:18" s="3" customFormat="1" ht="16" customHeight="1" x14ac:dyDescent="0.2">
      <c r="A547" s="4" t="s">
        <v>3277</v>
      </c>
      <c r="B547" s="136">
        <v>10</v>
      </c>
      <c r="C547" s="2"/>
      <c r="D547" s="4" t="s">
        <v>3268</v>
      </c>
      <c r="E547" s="136">
        <v>8</v>
      </c>
      <c r="F547" s="2"/>
      <c r="G547" s="4" t="s">
        <v>3293</v>
      </c>
      <c r="H547" s="136">
        <v>9</v>
      </c>
      <c r="I547" s="2"/>
      <c r="J547" s="4" t="s">
        <v>3311</v>
      </c>
      <c r="K547" s="136">
        <v>7.5</v>
      </c>
      <c r="L547" s="2"/>
      <c r="M547" s="11" t="s">
        <v>3338</v>
      </c>
      <c r="N547" s="189">
        <v>8.5</v>
      </c>
      <c r="O547" s="16"/>
    </row>
    <row r="548" spans="1:18" s="3" customFormat="1" ht="16" customHeight="1" x14ac:dyDescent="0.2">
      <c r="A548" s="4" t="s">
        <v>3278</v>
      </c>
      <c r="B548" s="136">
        <v>8.5</v>
      </c>
      <c r="C548" s="2"/>
      <c r="D548" s="4" t="s">
        <v>3269</v>
      </c>
      <c r="E548" s="136">
        <v>7.5</v>
      </c>
      <c r="F548" s="2"/>
      <c r="G548" s="4" t="s">
        <v>3294</v>
      </c>
      <c r="H548" s="136">
        <v>8.5</v>
      </c>
      <c r="I548" s="2"/>
      <c r="J548" s="4" t="s">
        <v>3312</v>
      </c>
      <c r="K548" s="136">
        <v>10</v>
      </c>
      <c r="L548" s="2"/>
      <c r="M548" s="4" t="s">
        <v>3339</v>
      </c>
      <c r="N548" s="136">
        <v>9.5</v>
      </c>
      <c r="O548" s="16"/>
      <c r="R548"/>
    </row>
    <row r="549" spans="1:18" s="3" customFormat="1" ht="16" customHeight="1" x14ac:dyDescent="0.2">
      <c r="A549" s="4" t="s">
        <v>2470</v>
      </c>
      <c r="B549" s="136">
        <v>9</v>
      </c>
      <c r="C549" s="2"/>
      <c r="D549" s="4" t="s">
        <v>3270</v>
      </c>
      <c r="E549" s="136">
        <v>8</v>
      </c>
      <c r="F549" s="2"/>
      <c r="G549" s="4" t="s">
        <v>3295</v>
      </c>
      <c r="H549" s="136">
        <v>9</v>
      </c>
      <c r="I549" s="2"/>
      <c r="J549" s="4" t="s">
        <v>3313</v>
      </c>
      <c r="K549" s="136">
        <v>8</v>
      </c>
      <c r="L549" s="2"/>
      <c r="M549" s="4" t="s">
        <v>3340</v>
      </c>
      <c r="N549" s="136">
        <v>9.5</v>
      </c>
      <c r="O549" s="16"/>
      <c r="R549"/>
    </row>
    <row r="550" spans="1:18" s="3" customFormat="1" ht="16" customHeight="1" x14ac:dyDescent="0.2">
      <c r="A550" s="4" t="s">
        <v>3279</v>
      </c>
      <c r="B550" s="136">
        <v>8.5</v>
      </c>
      <c r="C550" s="2"/>
      <c r="D550" s="4" t="s">
        <v>3271</v>
      </c>
      <c r="E550" s="136">
        <v>7.5</v>
      </c>
      <c r="F550" s="2"/>
      <c r="G550" s="4" t="s">
        <v>3296</v>
      </c>
      <c r="H550" s="136">
        <v>8</v>
      </c>
      <c r="I550" s="2"/>
      <c r="J550" s="4" t="s">
        <v>3314</v>
      </c>
      <c r="K550" s="136">
        <v>8.5</v>
      </c>
      <c r="L550" s="2"/>
      <c r="M550" s="4" t="s">
        <v>3341</v>
      </c>
      <c r="N550" s="136">
        <v>8.5</v>
      </c>
      <c r="O550" s="16"/>
      <c r="R550"/>
    </row>
    <row r="551" spans="1:18" s="3" customFormat="1" ht="16" customHeight="1" x14ac:dyDescent="0.2">
      <c r="A551" s="4" t="s">
        <v>3280</v>
      </c>
      <c r="B551" s="136">
        <v>8.5</v>
      </c>
      <c r="C551" s="2"/>
      <c r="D551" s="4" t="s">
        <v>3272</v>
      </c>
      <c r="E551" s="136">
        <v>7.5</v>
      </c>
      <c r="F551" s="2"/>
      <c r="G551" s="4" t="s">
        <v>3297</v>
      </c>
      <c r="H551" s="136">
        <v>9</v>
      </c>
      <c r="I551" s="2"/>
      <c r="J551" s="4" t="s">
        <v>3315</v>
      </c>
      <c r="K551" s="136">
        <v>8</v>
      </c>
      <c r="L551" s="2"/>
      <c r="M551" s="4" t="s">
        <v>3342</v>
      </c>
      <c r="N551" s="136">
        <v>8.5</v>
      </c>
      <c r="O551" s="16"/>
      <c r="R551"/>
    </row>
    <row r="552" spans="1:18" s="3" customFormat="1" ht="16" customHeight="1" thickBot="1" x14ac:dyDescent="0.25">
      <c r="A552" s="4" t="s">
        <v>3281</v>
      </c>
      <c r="B552" s="136">
        <v>9</v>
      </c>
      <c r="C552" s="2"/>
      <c r="D552" s="7" t="s">
        <v>3273</v>
      </c>
      <c r="E552" s="190">
        <v>7</v>
      </c>
      <c r="F552" s="2"/>
      <c r="G552" s="4" t="s">
        <v>3298</v>
      </c>
      <c r="H552" s="136">
        <v>8</v>
      </c>
      <c r="I552" s="2"/>
      <c r="J552" s="4" t="s">
        <v>3316</v>
      </c>
      <c r="K552" s="136">
        <v>9</v>
      </c>
      <c r="L552" s="2"/>
      <c r="M552" s="4" t="s">
        <v>3343</v>
      </c>
      <c r="N552" s="136">
        <v>9</v>
      </c>
      <c r="O552" s="16"/>
      <c r="R552"/>
    </row>
    <row r="553" spans="1:18" s="3" customFormat="1" ht="16" customHeight="1" thickBot="1" x14ac:dyDescent="0.25">
      <c r="A553" s="7" t="s">
        <v>3282</v>
      </c>
      <c r="B553" s="190">
        <v>8</v>
      </c>
      <c r="C553" s="2"/>
      <c r="D553" s="2"/>
      <c r="E553" s="2"/>
      <c r="F553" s="2"/>
      <c r="G553" s="4" t="s">
        <v>3299</v>
      </c>
      <c r="H553" s="136">
        <v>8</v>
      </c>
      <c r="I553" s="2"/>
      <c r="J553" s="4" t="s">
        <v>3317</v>
      </c>
      <c r="K553" s="136">
        <v>9</v>
      </c>
      <c r="L553" s="2"/>
      <c r="M553" s="4" t="s">
        <v>3344</v>
      </c>
      <c r="N553" s="136">
        <v>8.5</v>
      </c>
      <c r="O553" s="16"/>
      <c r="R553"/>
    </row>
    <row r="554" spans="1:18" s="3" customFormat="1" ht="16" customHeight="1" thickBot="1" x14ac:dyDescent="0.25">
      <c r="A554" s="2"/>
      <c r="B554" s="2"/>
      <c r="C554" s="2"/>
      <c r="D554" s="391" t="s">
        <v>3372</v>
      </c>
      <c r="E554" s="12">
        <f>ROUND(SUM(E555:E569)/COUNT(E555:E569), 2)</f>
        <v>7.75</v>
      </c>
      <c r="F554" s="2"/>
      <c r="G554" s="4" t="s">
        <v>3300</v>
      </c>
      <c r="H554" s="136">
        <v>9</v>
      </c>
      <c r="I554" s="2"/>
      <c r="J554" s="4" t="s">
        <v>3318</v>
      </c>
      <c r="K554" s="136">
        <v>8.5</v>
      </c>
      <c r="L554" s="2"/>
      <c r="M554" s="4" t="s">
        <v>3345</v>
      </c>
      <c r="N554" s="136">
        <v>8</v>
      </c>
      <c r="O554" s="16"/>
      <c r="R554"/>
    </row>
    <row r="555" spans="1:18" s="3" customFormat="1" ht="16" customHeight="1" thickBot="1" x14ac:dyDescent="0.25">
      <c r="A555" s="393" t="s">
        <v>3375</v>
      </c>
      <c r="B555" s="12">
        <f>ROUND(SUM(B556:B559)/COUNT(B556:B559), 2)</f>
        <v>9</v>
      </c>
      <c r="C555" s="2"/>
      <c r="D555" s="141" t="s">
        <v>3370</v>
      </c>
      <c r="E555" s="189"/>
      <c r="F555" s="2"/>
      <c r="G555" s="4" t="s">
        <v>3301</v>
      </c>
      <c r="H555" s="136">
        <v>8.5</v>
      </c>
      <c r="I555" s="2"/>
      <c r="J555" s="4" t="s">
        <v>3319</v>
      </c>
      <c r="K555" s="136">
        <v>8</v>
      </c>
      <c r="L555" s="2"/>
      <c r="M555" s="4" t="s">
        <v>3346</v>
      </c>
      <c r="N555" s="136">
        <v>8</v>
      </c>
      <c r="O555" s="16"/>
      <c r="R555"/>
    </row>
    <row r="556" spans="1:18" s="3" customFormat="1" ht="16" customHeight="1" x14ac:dyDescent="0.2">
      <c r="A556" s="11" t="s">
        <v>3379</v>
      </c>
      <c r="B556" s="189">
        <v>10</v>
      </c>
      <c r="C556" s="2"/>
      <c r="D556" s="4" t="s">
        <v>3356</v>
      </c>
      <c r="E556" s="136">
        <v>8</v>
      </c>
      <c r="F556" s="2"/>
      <c r="G556" s="4" t="s">
        <v>3302</v>
      </c>
      <c r="H556" s="136">
        <v>8</v>
      </c>
      <c r="I556" s="2"/>
      <c r="J556" s="4" t="s">
        <v>3320</v>
      </c>
      <c r="K556" s="136">
        <v>8</v>
      </c>
      <c r="L556" s="2"/>
      <c r="M556" s="4" t="s">
        <v>3347</v>
      </c>
      <c r="N556" s="136"/>
      <c r="O556" s="16"/>
      <c r="R556"/>
    </row>
    <row r="557" spans="1:18" s="3" customFormat="1" ht="16" customHeight="1" thickBot="1" x14ac:dyDescent="0.25">
      <c r="A557" s="4" t="s">
        <v>3376</v>
      </c>
      <c r="B557" s="136">
        <v>8.5</v>
      </c>
      <c r="C557" s="2"/>
      <c r="D557" s="4" t="s">
        <v>3357</v>
      </c>
      <c r="E557" s="136">
        <v>9</v>
      </c>
      <c r="F557" s="2"/>
      <c r="G557" s="4" t="s">
        <v>3303</v>
      </c>
      <c r="H557" s="136">
        <v>7.5</v>
      </c>
      <c r="I557" s="2"/>
      <c r="J557" s="4" t="s">
        <v>3321</v>
      </c>
      <c r="K557" s="136">
        <v>8</v>
      </c>
      <c r="L557" s="2"/>
      <c r="M557" s="7" t="s">
        <v>3348</v>
      </c>
      <c r="N557" s="190">
        <v>8.5</v>
      </c>
      <c r="O557" s="16"/>
    </row>
    <row r="558" spans="1:18" s="3" customFormat="1" ht="16" customHeight="1" thickBot="1" x14ac:dyDescent="0.25">
      <c r="A558" s="4" t="s">
        <v>3377</v>
      </c>
      <c r="B558" s="136">
        <v>9</v>
      </c>
      <c r="C558" s="2"/>
      <c r="D558" s="4" t="s">
        <v>3358</v>
      </c>
      <c r="E558" s="136">
        <v>9</v>
      </c>
      <c r="F558" s="2"/>
      <c r="G558" s="4" t="s">
        <v>3304</v>
      </c>
      <c r="H558" s="136">
        <v>8</v>
      </c>
      <c r="I558" s="2"/>
      <c r="J558" s="4" t="s">
        <v>3322</v>
      </c>
      <c r="K558" s="136">
        <v>9.5</v>
      </c>
      <c r="L558" s="2"/>
      <c r="M558" s="2"/>
      <c r="N558" s="2"/>
      <c r="O558" s="16"/>
    </row>
    <row r="559" spans="1:18" s="3" customFormat="1" ht="16" customHeight="1" thickBot="1" x14ac:dyDescent="0.25">
      <c r="A559" s="7" t="s">
        <v>3378</v>
      </c>
      <c r="B559" s="190">
        <v>8.5</v>
      </c>
      <c r="C559" s="2"/>
      <c r="D559" s="4" t="s">
        <v>3359</v>
      </c>
      <c r="E559" s="136">
        <v>8.5</v>
      </c>
      <c r="F559" s="2"/>
      <c r="G559" s="4" t="s">
        <v>3305</v>
      </c>
      <c r="H559" s="136">
        <v>7.5</v>
      </c>
      <c r="I559" s="2"/>
      <c r="J559" s="4" t="s">
        <v>3323</v>
      </c>
      <c r="K559" s="136">
        <v>9</v>
      </c>
      <c r="L559" s="2"/>
      <c r="M559" s="395" t="s">
        <v>3385</v>
      </c>
      <c r="N559" s="12">
        <f>ROUND(SUM(N560:N564)/COUNT(N560:N564), 2)</f>
        <v>9</v>
      </c>
      <c r="O559" s="16"/>
    </row>
    <row r="560" spans="1:18" s="3" customFormat="1" ht="16" customHeight="1" thickBot="1" x14ac:dyDescent="0.25">
      <c r="A560" s="2"/>
      <c r="B560" s="2"/>
      <c r="C560" s="2"/>
      <c r="D560" s="4" t="s">
        <v>3360</v>
      </c>
      <c r="E560" s="136">
        <v>8</v>
      </c>
      <c r="F560" s="2"/>
      <c r="G560" s="7" t="s">
        <v>3306</v>
      </c>
      <c r="H560" s="190">
        <v>7.5</v>
      </c>
      <c r="I560" s="2"/>
      <c r="J560" s="4" t="s">
        <v>3324</v>
      </c>
      <c r="K560" s="136">
        <v>8</v>
      </c>
      <c r="L560" s="2"/>
      <c r="M560" s="11" t="s">
        <v>3386</v>
      </c>
      <c r="N560" s="189">
        <v>9</v>
      </c>
      <c r="O560" s="16"/>
    </row>
    <row r="561" spans="1:15" s="3" customFormat="1" ht="16" customHeight="1" thickBot="1" x14ac:dyDescent="0.25">
      <c r="A561" s="396" t="s">
        <v>3391</v>
      </c>
      <c r="B561" s="12">
        <f>ROUND(SUM(B562:B587)/COUNT(B562:B587), 2)</f>
        <v>8.61</v>
      </c>
      <c r="C561" s="2"/>
      <c r="D561" s="4" t="s">
        <v>3361</v>
      </c>
      <c r="E561" s="136">
        <v>7</v>
      </c>
      <c r="F561" s="2" t="s">
        <v>3371</v>
      </c>
      <c r="G561" s="2"/>
      <c r="H561" s="2"/>
      <c r="I561" s="2"/>
      <c r="J561" s="4" t="s">
        <v>3325</v>
      </c>
      <c r="K561" s="136">
        <v>7.5</v>
      </c>
      <c r="L561" s="2"/>
      <c r="M561" s="4" t="s">
        <v>3387</v>
      </c>
      <c r="N561" s="136">
        <v>8.5</v>
      </c>
      <c r="O561" s="16"/>
    </row>
    <row r="562" spans="1:15" s="3" customFormat="1" ht="16" customHeight="1" thickBot="1" x14ac:dyDescent="0.25">
      <c r="A562" s="11" t="s">
        <v>3392</v>
      </c>
      <c r="B562" s="189">
        <v>8.5</v>
      </c>
      <c r="C562" s="2"/>
      <c r="D562" s="4" t="s">
        <v>3362</v>
      </c>
      <c r="E562" s="136">
        <v>8</v>
      </c>
      <c r="F562" s="2"/>
      <c r="G562" s="397" t="s">
        <v>3428</v>
      </c>
      <c r="H562" s="12">
        <f>ROUND(SUM(H563:H570)/COUNT(H563:H570), 2)</f>
        <v>8.81</v>
      </c>
      <c r="I562" s="2"/>
      <c r="J562" s="4" t="s">
        <v>3326</v>
      </c>
      <c r="K562" s="136">
        <v>10</v>
      </c>
      <c r="L562" s="2"/>
      <c r="M562" s="4" t="s">
        <v>3388</v>
      </c>
      <c r="N562" s="136">
        <v>9</v>
      </c>
      <c r="O562" s="16"/>
    </row>
    <row r="563" spans="1:15" s="3" customFormat="1" ht="16" customHeight="1" x14ac:dyDescent="0.2">
      <c r="A563" s="4" t="s">
        <v>3393</v>
      </c>
      <c r="B563" s="136">
        <v>8</v>
      </c>
      <c r="C563" s="2"/>
      <c r="D563" s="4" t="s">
        <v>3363</v>
      </c>
      <c r="E563" s="136">
        <v>7.5</v>
      </c>
      <c r="F563" s="2"/>
      <c r="G563" s="11" t="s">
        <v>3420</v>
      </c>
      <c r="H563" s="189">
        <v>8.5</v>
      </c>
      <c r="I563" s="2"/>
      <c r="J563" s="4" t="s">
        <v>3327</v>
      </c>
      <c r="K563" s="136">
        <v>8.5</v>
      </c>
      <c r="L563" s="2"/>
      <c r="M563" s="4" t="s">
        <v>3389</v>
      </c>
      <c r="N563" s="136">
        <v>9.5</v>
      </c>
      <c r="O563" s="16"/>
    </row>
    <row r="564" spans="1:15" s="3" customFormat="1" ht="16" customHeight="1" thickBot="1" x14ac:dyDescent="0.25">
      <c r="A564" s="4" t="s">
        <v>3394</v>
      </c>
      <c r="B564" s="136">
        <v>10</v>
      </c>
      <c r="C564" s="2"/>
      <c r="D564" s="4" t="s">
        <v>3364</v>
      </c>
      <c r="E564" s="136">
        <v>6.5</v>
      </c>
      <c r="F564" s="2"/>
      <c r="G564" s="4" t="s">
        <v>3421</v>
      </c>
      <c r="H564" s="136">
        <v>9.5</v>
      </c>
      <c r="I564" s="2"/>
      <c r="J564" s="4" t="s">
        <v>3328</v>
      </c>
      <c r="K564" s="136">
        <v>9</v>
      </c>
      <c r="L564" s="2"/>
      <c r="M564" s="7" t="s">
        <v>3390</v>
      </c>
      <c r="N564" s="190">
        <v>9</v>
      </c>
      <c r="O564" s="16"/>
    </row>
    <row r="565" spans="1:15" s="3" customFormat="1" ht="16" customHeight="1" thickBot="1" x14ac:dyDescent="0.25">
      <c r="A565" s="4" t="s">
        <v>3395</v>
      </c>
      <c r="B565" s="136">
        <v>9</v>
      </c>
      <c r="C565" s="2"/>
      <c r="D565" s="4" t="s">
        <v>3365</v>
      </c>
      <c r="E565" s="136">
        <v>8</v>
      </c>
      <c r="F565" s="2"/>
      <c r="G565" s="4" t="s">
        <v>3422</v>
      </c>
      <c r="H565" s="136">
        <v>10.5</v>
      </c>
      <c r="I565" s="2"/>
      <c r="J565" s="4" t="s">
        <v>3329</v>
      </c>
      <c r="K565" s="136">
        <v>10.5</v>
      </c>
      <c r="L565" s="2"/>
      <c r="M565" s="2"/>
      <c r="N565" s="2"/>
      <c r="O565" s="16"/>
    </row>
    <row r="566" spans="1:15" s="3" customFormat="1" ht="16" customHeight="1" thickBot="1" x14ac:dyDescent="0.25">
      <c r="A566" s="4" t="s">
        <v>3396</v>
      </c>
      <c r="B566" s="136">
        <v>8.5</v>
      </c>
      <c r="C566" s="2"/>
      <c r="D566" s="4" t="s">
        <v>3366</v>
      </c>
      <c r="E566" s="136">
        <v>7.5</v>
      </c>
      <c r="F566" s="2"/>
      <c r="G566" s="4" t="s">
        <v>3423</v>
      </c>
      <c r="H566" s="136">
        <v>8.5</v>
      </c>
      <c r="I566" s="2"/>
      <c r="J566" s="4" t="s">
        <v>3330</v>
      </c>
      <c r="K566" s="136">
        <v>8</v>
      </c>
      <c r="L566" s="2"/>
      <c r="M566" s="398" t="s">
        <v>3435</v>
      </c>
      <c r="N566" s="12">
        <f>ROUND(SUM(N567:N578)/COUNT(N567:N578), 2)</f>
        <v>8.35</v>
      </c>
      <c r="O566" s="16"/>
    </row>
    <row r="567" spans="1:15" s="3" customFormat="1" ht="16" customHeight="1" x14ac:dyDescent="0.2">
      <c r="A567" s="4" t="s">
        <v>3397</v>
      </c>
      <c r="B567" s="136">
        <v>8.5</v>
      </c>
      <c r="C567" s="2"/>
      <c r="D567" s="4" t="s">
        <v>3367</v>
      </c>
      <c r="E567" s="136">
        <v>7</v>
      </c>
      <c r="F567" s="2"/>
      <c r="G567" s="4" t="s">
        <v>3424</v>
      </c>
      <c r="H567" s="136">
        <v>8.5</v>
      </c>
      <c r="I567" s="2"/>
      <c r="J567" s="4" t="s">
        <v>3331</v>
      </c>
      <c r="K567" s="136">
        <v>8</v>
      </c>
      <c r="L567" s="2"/>
      <c r="M567" s="11" t="s">
        <v>3436</v>
      </c>
      <c r="N567" s="189">
        <v>9</v>
      </c>
      <c r="O567" s="16"/>
    </row>
    <row r="568" spans="1:15" s="3" customFormat="1" ht="16" customHeight="1" x14ac:dyDescent="0.2">
      <c r="A568" s="4" t="s">
        <v>3398</v>
      </c>
      <c r="B568" s="136">
        <v>8.5</v>
      </c>
      <c r="C568" s="2"/>
      <c r="D568" s="4" t="s">
        <v>3368</v>
      </c>
      <c r="E568" s="136">
        <v>7.5</v>
      </c>
      <c r="F568" s="2"/>
      <c r="G568" s="4" t="s">
        <v>3425</v>
      </c>
      <c r="H568" s="136">
        <v>8</v>
      </c>
      <c r="I568" s="2"/>
      <c r="J568" s="4" t="s">
        <v>3332</v>
      </c>
      <c r="K568" s="136">
        <v>7</v>
      </c>
      <c r="L568" s="2"/>
      <c r="M568" s="4" t="s">
        <v>3437</v>
      </c>
      <c r="N568" s="136">
        <v>8.5</v>
      </c>
      <c r="O568" s="16"/>
    </row>
    <row r="569" spans="1:15" s="3" customFormat="1" ht="16" customHeight="1" thickBot="1" x14ac:dyDescent="0.25">
      <c r="A569" s="4" t="s">
        <v>3399</v>
      </c>
      <c r="B569" s="136">
        <v>8</v>
      </c>
      <c r="C569" s="2"/>
      <c r="D569" s="7" t="s">
        <v>3369</v>
      </c>
      <c r="E569" s="190">
        <v>7</v>
      </c>
      <c r="F569" s="2"/>
      <c r="G569" s="4" t="s">
        <v>3426</v>
      </c>
      <c r="H569" s="136">
        <v>9</v>
      </c>
      <c r="I569" s="2"/>
      <c r="J569" s="7" t="s">
        <v>3333</v>
      </c>
      <c r="K569" s="190">
        <v>9</v>
      </c>
      <c r="L569" s="2"/>
      <c r="M569" s="4" t="s">
        <v>3438</v>
      </c>
      <c r="N569" s="136">
        <v>7</v>
      </c>
      <c r="O569" s="16"/>
    </row>
    <row r="570" spans="1:15" s="3" customFormat="1" ht="16" customHeight="1" thickBot="1" x14ac:dyDescent="0.25">
      <c r="A570" s="4" t="s">
        <v>3400</v>
      </c>
      <c r="B570" s="136">
        <v>9</v>
      </c>
      <c r="C570" s="2"/>
      <c r="D570" s="2"/>
      <c r="E570" s="2"/>
      <c r="F570" s="2"/>
      <c r="G570" s="7" t="s">
        <v>3427</v>
      </c>
      <c r="H570" s="190">
        <v>8</v>
      </c>
      <c r="I570" s="2"/>
      <c r="J570" s="2"/>
      <c r="K570" s="2"/>
      <c r="L570" s="2"/>
      <c r="M570" s="4" t="s">
        <v>3439</v>
      </c>
      <c r="N570" s="136">
        <v>10</v>
      </c>
      <c r="O570" s="16"/>
    </row>
    <row r="571" spans="1:15" s="3" customFormat="1" ht="16" customHeight="1" thickBot="1" x14ac:dyDescent="0.25">
      <c r="A571" s="4" t="s">
        <v>3401</v>
      </c>
      <c r="B571" s="136"/>
      <c r="C571" s="2"/>
      <c r="D571" s="399" t="s">
        <v>3460</v>
      </c>
      <c r="E571" s="12">
        <f>ROUND(AVERAGE(E572:E581), 2)</f>
        <v>7.75</v>
      </c>
      <c r="F571" s="2"/>
      <c r="G571" s="2"/>
      <c r="H571" s="2"/>
      <c r="I571" s="2"/>
      <c r="J571" s="400" t="s">
        <v>3461</v>
      </c>
      <c r="K571" s="12">
        <f>ROUND(AVERAGE(K572:K583), 2)</f>
        <v>8.36</v>
      </c>
      <c r="L571" s="2"/>
      <c r="M571" s="4" t="s">
        <v>3440</v>
      </c>
      <c r="N571" s="136">
        <v>9</v>
      </c>
      <c r="O571" s="16"/>
    </row>
    <row r="572" spans="1:15" s="3" customFormat="1" ht="16" customHeight="1" thickBot="1" x14ac:dyDescent="0.25">
      <c r="A572" s="4" t="s">
        <v>3402</v>
      </c>
      <c r="B572" s="136">
        <v>8.5</v>
      </c>
      <c r="C572" s="2"/>
      <c r="D572" s="11" t="s">
        <v>3450</v>
      </c>
      <c r="E572" s="189">
        <v>8.5</v>
      </c>
      <c r="F572" s="2"/>
      <c r="G572" s="401" t="s">
        <v>3492</v>
      </c>
      <c r="H572" s="12">
        <f>ROUND(AVERAGE(H573:H585), 2)</f>
        <v>8.82</v>
      </c>
      <c r="I572" s="2"/>
      <c r="J572" s="11" t="s">
        <v>3462</v>
      </c>
      <c r="K572" s="189">
        <v>9.5</v>
      </c>
      <c r="L572" s="2"/>
      <c r="M572" s="4" t="s">
        <v>3441</v>
      </c>
      <c r="N572" s="136">
        <v>9</v>
      </c>
      <c r="O572" s="16"/>
    </row>
    <row r="573" spans="1:15" s="3" customFormat="1" ht="16" customHeight="1" x14ac:dyDescent="0.2">
      <c r="A573" s="4" t="s">
        <v>3403</v>
      </c>
      <c r="B573" s="136">
        <v>9</v>
      </c>
      <c r="C573" s="2"/>
      <c r="D573" s="4" t="s">
        <v>3451</v>
      </c>
      <c r="E573" s="136">
        <v>9</v>
      </c>
      <c r="F573" s="2"/>
      <c r="G573" s="11" t="s">
        <v>260</v>
      </c>
      <c r="H573" s="189"/>
      <c r="I573" s="2"/>
      <c r="J573" s="4" t="s">
        <v>3463</v>
      </c>
      <c r="K573" s="136">
        <v>10.5</v>
      </c>
      <c r="L573" s="2"/>
      <c r="M573" s="4" t="s">
        <v>3442</v>
      </c>
      <c r="N573" s="136">
        <v>8</v>
      </c>
      <c r="O573" s="16"/>
    </row>
    <row r="574" spans="1:15" s="3" customFormat="1" ht="16" customHeight="1" x14ac:dyDescent="0.2">
      <c r="A574" s="4" t="s">
        <v>3404</v>
      </c>
      <c r="B574" s="136"/>
      <c r="C574" s="2"/>
      <c r="D574" s="4" t="s">
        <v>3452</v>
      </c>
      <c r="E574" s="136">
        <v>8.5</v>
      </c>
      <c r="F574" s="2"/>
      <c r="G574" s="4" t="s">
        <v>3480</v>
      </c>
      <c r="H574" s="136">
        <v>9.5</v>
      </c>
      <c r="I574" s="2"/>
      <c r="J574" s="4" t="s">
        <v>3464</v>
      </c>
      <c r="K574" s="136">
        <v>9</v>
      </c>
      <c r="L574" s="2"/>
      <c r="M574" s="4" t="s">
        <v>3443</v>
      </c>
      <c r="N574" s="136">
        <v>7.5</v>
      </c>
      <c r="O574" s="16"/>
    </row>
    <row r="575" spans="1:15" s="3" customFormat="1" ht="16" customHeight="1" x14ac:dyDescent="0.2">
      <c r="A575" s="4" t="s">
        <v>3405</v>
      </c>
      <c r="B575" s="136">
        <v>10</v>
      </c>
      <c r="C575" s="2"/>
      <c r="D575" s="4" t="s">
        <v>3453</v>
      </c>
      <c r="E575" s="136">
        <v>8</v>
      </c>
      <c r="F575" s="2"/>
      <c r="G575" s="4" t="s">
        <v>3481</v>
      </c>
      <c r="H575" s="136">
        <v>9</v>
      </c>
      <c r="I575" s="2"/>
      <c r="J575" s="4" t="s">
        <v>3465</v>
      </c>
      <c r="K575" s="136">
        <v>8</v>
      </c>
      <c r="L575" s="2"/>
      <c r="M575" s="4" t="s">
        <v>3444</v>
      </c>
      <c r="N575" s="136"/>
      <c r="O575" s="16"/>
    </row>
    <row r="576" spans="1:15" s="3" customFormat="1" ht="16" customHeight="1" x14ac:dyDescent="0.2">
      <c r="A576" s="4" t="s">
        <v>3406</v>
      </c>
      <c r="B576" s="136">
        <v>7.5</v>
      </c>
      <c r="C576" s="2"/>
      <c r="D576" s="4" t="s">
        <v>3454</v>
      </c>
      <c r="E576" s="136">
        <v>7.5</v>
      </c>
      <c r="F576" s="2"/>
      <c r="G576" s="4" t="s">
        <v>3482</v>
      </c>
      <c r="H576" s="136">
        <v>8.5</v>
      </c>
      <c r="I576" s="2"/>
      <c r="J576" s="4" t="s">
        <v>3466</v>
      </c>
      <c r="K576" s="136">
        <v>8.5</v>
      </c>
      <c r="L576" s="2"/>
      <c r="M576" s="4" t="s">
        <v>3445</v>
      </c>
      <c r="N576" s="136">
        <v>7.5</v>
      </c>
      <c r="O576" s="16"/>
    </row>
    <row r="577" spans="1:15" s="3" customFormat="1" ht="16" customHeight="1" x14ac:dyDescent="0.2">
      <c r="A577" s="4" t="s">
        <v>3407</v>
      </c>
      <c r="B577" s="136">
        <v>8.5</v>
      </c>
      <c r="C577" s="2"/>
      <c r="D577" s="4" t="s">
        <v>3455</v>
      </c>
      <c r="E577" s="136">
        <v>8</v>
      </c>
      <c r="F577" s="2"/>
      <c r="G577" s="4" t="s">
        <v>3483</v>
      </c>
      <c r="H577" s="136">
        <v>8.5</v>
      </c>
      <c r="I577" s="2"/>
      <c r="J577" s="4" t="s">
        <v>3467</v>
      </c>
      <c r="K577" s="136">
        <v>7.5</v>
      </c>
      <c r="L577" s="2"/>
      <c r="M577" s="4" t="s">
        <v>3446</v>
      </c>
      <c r="N577" s="136">
        <v>8</v>
      </c>
      <c r="O577" s="16"/>
    </row>
    <row r="578" spans="1:15" s="3" customFormat="1" ht="16" customHeight="1" thickBot="1" x14ac:dyDescent="0.25">
      <c r="A578" s="4" t="s">
        <v>3408</v>
      </c>
      <c r="B578" s="136">
        <v>9</v>
      </c>
      <c r="C578" s="2"/>
      <c r="D578" s="4" t="s">
        <v>3456</v>
      </c>
      <c r="E578" s="136">
        <v>6.5</v>
      </c>
      <c r="F578" s="2"/>
      <c r="G578" s="4" t="s">
        <v>3484</v>
      </c>
      <c r="H578" s="136">
        <v>8</v>
      </c>
      <c r="I578" s="2"/>
      <c r="J578" s="4" t="s">
        <v>3468</v>
      </c>
      <c r="K578" s="136">
        <v>8</v>
      </c>
      <c r="L578" s="2"/>
      <c r="M578" s="7" t="s">
        <v>3447</v>
      </c>
      <c r="N578" s="190"/>
      <c r="O578" s="16"/>
    </row>
    <row r="579" spans="1:15" s="3" customFormat="1" ht="16" customHeight="1" thickBot="1" x14ac:dyDescent="0.25">
      <c r="A579" s="4" t="s">
        <v>3409</v>
      </c>
      <c r="B579" s="136">
        <v>8</v>
      </c>
      <c r="C579" s="2"/>
      <c r="D579" s="4" t="s">
        <v>3457</v>
      </c>
      <c r="E579" s="136">
        <v>7</v>
      </c>
      <c r="F579" s="2"/>
      <c r="G579" s="4" t="s">
        <v>3485</v>
      </c>
      <c r="H579" s="136">
        <v>8.5</v>
      </c>
      <c r="I579" s="2"/>
      <c r="J579" s="4" t="s">
        <v>3469</v>
      </c>
      <c r="K579" s="136">
        <v>7.5</v>
      </c>
      <c r="L579" s="2"/>
      <c r="M579" s="2"/>
      <c r="N579" s="2"/>
      <c r="O579" s="16"/>
    </row>
    <row r="580" spans="1:15" s="3" customFormat="1" ht="16" customHeight="1" thickBot="1" x14ac:dyDescent="0.25">
      <c r="A580" s="4" t="s">
        <v>3410</v>
      </c>
      <c r="B580" s="136">
        <v>9</v>
      </c>
      <c r="C580" s="2"/>
      <c r="D580" s="4" t="s">
        <v>3458</v>
      </c>
      <c r="E580" s="136">
        <v>7.5</v>
      </c>
      <c r="F580" s="2"/>
      <c r="G580" s="4" t="s">
        <v>3486</v>
      </c>
      <c r="H580" s="136">
        <v>9.5</v>
      </c>
      <c r="I580" s="2"/>
      <c r="J580" s="4" t="s">
        <v>3470</v>
      </c>
      <c r="K580" s="136">
        <v>8</v>
      </c>
      <c r="L580" s="2"/>
      <c r="M580" s="402" t="s">
        <v>3506</v>
      </c>
      <c r="N580" s="12">
        <f>ROUND(AVERAGE(N581:N589), 2)</f>
        <v>8.7200000000000006</v>
      </c>
      <c r="O580" s="16"/>
    </row>
    <row r="581" spans="1:15" s="3" customFormat="1" ht="16" customHeight="1" thickBot="1" x14ac:dyDescent="0.25">
      <c r="A581" s="4" t="s">
        <v>3411</v>
      </c>
      <c r="B581" s="136">
        <v>8.5</v>
      </c>
      <c r="C581" s="2"/>
      <c r="D581" s="7" t="s">
        <v>3459</v>
      </c>
      <c r="E581" s="190">
        <v>7</v>
      </c>
      <c r="F581" s="2"/>
      <c r="G581" s="4" t="s">
        <v>3487</v>
      </c>
      <c r="H581" s="136">
        <v>8</v>
      </c>
      <c r="I581" s="2"/>
      <c r="J581" s="4" t="s">
        <v>3471</v>
      </c>
      <c r="K581" s="136">
        <v>8</v>
      </c>
      <c r="L581" s="2"/>
      <c r="M581" s="11" t="s">
        <v>3497</v>
      </c>
      <c r="N581" s="189">
        <v>9</v>
      </c>
      <c r="O581" s="16"/>
    </row>
    <row r="582" spans="1:15" s="3" customFormat="1" ht="16" customHeight="1" thickBot="1" x14ac:dyDescent="0.25">
      <c r="A582" s="4" t="s">
        <v>3412</v>
      </c>
      <c r="B582" s="136">
        <v>8</v>
      </c>
      <c r="C582" s="2"/>
      <c r="D582" s="2"/>
      <c r="E582" s="2"/>
      <c r="F582" s="2"/>
      <c r="G582" s="4" t="s">
        <v>3488</v>
      </c>
      <c r="H582" s="136">
        <v>9</v>
      </c>
      <c r="I582" s="2"/>
      <c r="J582" s="4" t="s">
        <v>3472</v>
      </c>
      <c r="K582" s="136"/>
      <c r="L582" s="2"/>
      <c r="M582" s="4" t="s">
        <v>3498</v>
      </c>
      <c r="N582" s="136">
        <v>8.5</v>
      </c>
      <c r="O582" s="16"/>
    </row>
    <row r="583" spans="1:15" s="3" customFormat="1" ht="16" customHeight="1" thickBot="1" x14ac:dyDescent="0.25">
      <c r="A583" s="4" t="s">
        <v>3413</v>
      </c>
      <c r="B583" s="136"/>
      <c r="C583" s="2"/>
      <c r="D583" s="409" t="s">
        <v>3549</v>
      </c>
      <c r="E583" s="12">
        <f>ROUND(AVERAGE(E584:E597), 2)</f>
        <v>8.0399999999999991</v>
      </c>
      <c r="F583" s="2"/>
      <c r="G583" s="4" t="s">
        <v>3489</v>
      </c>
      <c r="H583" s="136">
        <v>8.5</v>
      </c>
      <c r="I583" s="2"/>
      <c r="J583" s="7" t="s">
        <v>3473</v>
      </c>
      <c r="K583" s="190">
        <v>7.5</v>
      </c>
      <c r="L583" s="2"/>
      <c r="M583" s="4" t="s">
        <v>3499</v>
      </c>
      <c r="N583" s="136">
        <v>9</v>
      </c>
      <c r="O583" s="16"/>
    </row>
    <row r="584" spans="1:15" s="3" customFormat="1" ht="16" customHeight="1" thickBot="1" x14ac:dyDescent="0.25">
      <c r="A584" s="4" t="s">
        <v>3414</v>
      </c>
      <c r="B584" s="136">
        <v>8</v>
      </c>
      <c r="C584" s="2"/>
      <c r="D584" s="11" t="s">
        <v>3508</v>
      </c>
      <c r="E584" s="189">
        <v>8.5</v>
      </c>
      <c r="F584" s="2"/>
      <c r="G584" s="4" t="s">
        <v>3490</v>
      </c>
      <c r="H584" s="136"/>
      <c r="I584" s="2"/>
      <c r="J584" s="2"/>
      <c r="K584" s="2"/>
      <c r="L584" s="2"/>
      <c r="M584" s="4" t="s">
        <v>3500</v>
      </c>
      <c r="N584" s="136">
        <v>8.5</v>
      </c>
      <c r="O584" s="16"/>
    </row>
    <row r="585" spans="1:15" s="3" customFormat="1" ht="16" customHeight="1" thickBot="1" x14ac:dyDescent="0.25">
      <c r="A585" s="4" t="s">
        <v>3415</v>
      </c>
      <c r="B585" s="136">
        <v>9.5</v>
      </c>
      <c r="C585" s="2"/>
      <c r="D585" s="4" t="s">
        <v>3509</v>
      </c>
      <c r="E585" s="136">
        <v>8.5</v>
      </c>
      <c r="F585" s="2"/>
      <c r="G585" s="7" t="s">
        <v>3491</v>
      </c>
      <c r="H585" s="190">
        <v>10</v>
      </c>
      <c r="I585" s="2"/>
      <c r="J585" s="406" t="s">
        <v>3529</v>
      </c>
      <c r="K585" s="12">
        <f>ROUND(AVERAGE(K586:K595), 2)</f>
        <v>8.5</v>
      </c>
      <c r="L585" s="2"/>
      <c r="M585" s="4" t="s">
        <v>3501</v>
      </c>
      <c r="N585" s="136">
        <v>8.5</v>
      </c>
      <c r="O585" s="16"/>
    </row>
    <row r="586" spans="1:15" s="3" customFormat="1" ht="16" customHeight="1" thickBot="1" x14ac:dyDescent="0.25">
      <c r="A586" s="4" t="s">
        <v>3417</v>
      </c>
      <c r="B586" s="136">
        <v>8.5</v>
      </c>
      <c r="C586" s="2"/>
      <c r="D586" s="4" t="s">
        <v>3510</v>
      </c>
      <c r="E586" s="136">
        <v>8</v>
      </c>
      <c r="F586" s="2"/>
      <c r="G586" s="2"/>
      <c r="H586" s="2"/>
      <c r="I586" s="2"/>
      <c r="J586" s="11" t="s">
        <v>3526</v>
      </c>
      <c r="K586" s="189">
        <v>9.5</v>
      </c>
      <c r="L586" s="2"/>
      <c r="M586" s="4" t="s">
        <v>3502</v>
      </c>
      <c r="N586" s="136">
        <v>9</v>
      </c>
      <c r="O586" s="16"/>
    </row>
    <row r="587" spans="1:15" s="3" customFormat="1" ht="16" customHeight="1" thickBot="1" x14ac:dyDescent="0.25">
      <c r="A587" s="7" t="s">
        <v>3416</v>
      </c>
      <c r="B587" s="190">
        <v>8</v>
      </c>
      <c r="C587" s="2"/>
      <c r="D587" s="4" t="s">
        <v>3511</v>
      </c>
      <c r="E587" s="136">
        <v>9</v>
      </c>
      <c r="F587" s="2"/>
      <c r="G587" s="408" t="s">
        <v>3541</v>
      </c>
      <c r="H587" s="12">
        <f>ROUND(AVERAGE(H588:H594), 2)</f>
        <v>8.7899999999999991</v>
      </c>
      <c r="I587" s="2"/>
      <c r="J587" s="4" t="s">
        <v>1067</v>
      </c>
      <c r="K587" s="136">
        <v>9</v>
      </c>
      <c r="L587" s="2"/>
      <c r="M587" s="4" t="s">
        <v>3503</v>
      </c>
      <c r="N587" s="136">
        <v>10</v>
      </c>
      <c r="O587" s="16"/>
    </row>
    <row r="588" spans="1:15" s="3" customFormat="1" ht="16" customHeight="1" thickBot="1" x14ac:dyDescent="0.25">
      <c r="A588" s="2"/>
      <c r="B588" s="2"/>
      <c r="C588" s="2"/>
      <c r="D588" s="4" t="s">
        <v>3512</v>
      </c>
      <c r="E588" s="136">
        <v>7.5</v>
      </c>
      <c r="F588" s="2"/>
      <c r="G588" s="11" t="s">
        <v>3542</v>
      </c>
      <c r="H588" s="189">
        <v>10</v>
      </c>
      <c r="I588" s="2"/>
      <c r="J588" s="4" t="s">
        <v>3527</v>
      </c>
      <c r="K588" s="136">
        <v>8.5</v>
      </c>
      <c r="L588" s="2"/>
      <c r="M588" s="4" t="s">
        <v>3504</v>
      </c>
      <c r="N588" s="136">
        <v>8</v>
      </c>
      <c r="O588" s="16"/>
    </row>
    <row r="589" spans="1:15" s="3" customFormat="1" ht="16" customHeight="1" thickBot="1" x14ac:dyDescent="0.25">
      <c r="A589" s="411" t="s">
        <v>3560</v>
      </c>
      <c r="B589" s="12">
        <f>ROUND(AVERAGE(B590:B599), 2)</f>
        <v>8.35</v>
      </c>
      <c r="C589" s="2"/>
      <c r="D589" s="4" t="s">
        <v>3513</v>
      </c>
      <c r="E589" s="136">
        <v>8.5</v>
      </c>
      <c r="F589" s="2"/>
      <c r="G589" s="4" t="s">
        <v>3543</v>
      </c>
      <c r="H589" s="136">
        <v>8.5</v>
      </c>
      <c r="I589" s="2"/>
      <c r="J589" s="4" t="s">
        <v>3528</v>
      </c>
      <c r="K589" s="136">
        <v>9</v>
      </c>
      <c r="L589" s="2"/>
      <c r="M589" s="7" t="s">
        <v>3505</v>
      </c>
      <c r="N589" s="190">
        <v>8</v>
      </c>
      <c r="O589" s="16"/>
    </row>
    <row r="590" spans="1:15" s="3" customFormat="1" ht="16" customHeight="1" thickBot="1" x14ac:dyDescent="0.25">
      <c r="A590" s="375" t="s">
        <v>3550</v>
      </c>
      <c r="B590" s="189">
        <v>8.5</v>
      </c>
      <c r="C590" s="2"/>
      <c r="D590" s="4" t="s">
        <v>3514</v>
      </c>
      <c r="E590" s="136">
        <v>8</v>
      </c>
      <c r="F590" s="2"/>
      <c r="G590" s="4" t="s">
        <v>3544</v>
      </c>
      <c r="H590" s="136">
        <v>9.5</v>
      </c>
      <c r="I590" s="2"/>
      <c r="J590" s="4" t="s">
        <v>3530</v>
      </c>
      <c r="K590" s="136">
        <v>8</v>
      </c>
      <c r="L590" s="2"/>
      <c r="M590" s="2"/>
      <c r="N590" s="2"/>
      <c r="O590" s="16"/>
    </row>
    <row r="591" spans="1:15" s="3" customFormat="1" ht="16" customHeight="1" thickBot="1" x14ac:dyDescent="0.25">
      <c r="A591" s="376" t="s">
        <v>3551</v>
      </c>
      <c r="B591" s="136">
        <v>8.5</v>
      </c>
      <c r="C591" s="2"/>
      <c r="D591" s="4" t="s">
        <v>3515</v>
      </c>
      <c r="E591" s="136">
        <v>7.5</v>
      </c>
      <c r="F591" s="2"/>
      <c r="G591" s="4" t="s">
        <v>3545</v>
      </c>
      <c r="H591" s="136">
        <v>9</v>
      </c>
      <c r="I591" s="2"/>
      <c r="J591" s="4" t="s">
        <v>3531</v>
      </c>
      <c r="K591" s="136">
        <v>8</v>
      </c>
      <c r="L591" s="2"/>
      <c r="M591" s="412" t="s">
        <v>3569</v>
      </c>
      <c r="N591" s="12">
        <f>ROUND(AVERAGE(N592:N601), 2)</f>
        <v>9</v>
      </c>
      <c r="O591" s="16"/>
    </row>
    <row r="592" spans="1:15" s="3" customFormat="1" ht="16" customHeight="1" x14ac:dyDescent="0.2">
      <c r="A592" s="376" t="s">
        <v>3552</v>
      </c>
      <c r="B592" s="136">
        <v>8</v>
      </c>
      <c r="C592" s="2"/>
      <c r="D592" s="4" t="s">
        <v>3516</v>
      </c>
      <c r="E592" s="136">
        <v>8</v>
      </c>
      <c r="F592" s="2"/>
      <c r="G592" s="4" t="s">
        <v>3546</v>
      </c>
      <c r="H592" s="136">
        <v>8</v>
      </c>
      <c r="I592" s="2"/>
      <c r="J592" s="4" t="s">
        <v>3532</v>
      </c>
      <c r="K592" s="136">
        <v>8</v>
      </c>
      <c r="L592" s="2"/>
      <c r="M592" s="11" t="s">
        <v>3570</v>
      </c>
      <c r="N592" s="189">
        <v>9</v>
      </c>
      <c r="O592" s="16"/>
    </row>
    <row r="593" spans="1:15" s="3" customFormat="1" ht="16" customHeight="1" x14ac:dyDescent="0.2">
      <c r="A593" s="376" t="s">
        <v>3553</v>
      </c>
      <c r="B593" s="136">
        <v>9</v>
      </c>
      <c r="C593" s="2"/>
      <c r="D593" s="4" t="s">
        <v>3517</v>
      </c>
      <c r="E593" s="136">
        <v>7.5</v>
      </c>
      <c r="F593" s="2"/>
      <c r="G593" s="4" t="s">
        <v>3547</v>
      </c>
      <c r="H593" s="136">
        <v>8</v>
      </c>
      <c r="I593" s="2"/>
      <c r="J593" s="4" t="s">
        <v>3533</v>
      </c>
      <c r="K593" s="136"/>
      <c r="L593" s="2"/>
      <c r="M593" s="4" t="s">
        <v>3571</v>
      </c>
      <c r="N593" s="136">
        <v>9</v>
      </c>
      <c r="O593" s="16"/>
    </row>
    <row r="594" spans="1:15" s="3" customFormat="1" ht="16" customHeight="1" thickBot="1" x14ac:dyDescent="0.25">
      <c r="A594" s="376" t="s">
        <v>3554</v>
      </c>
      <c r="B594" s="136">
        <v>9</v>
      </c>
      <c r="C594" s="2"/>
      <c r="D594" s="4" t="s">
        <v>3518</v>
      </c>
      <c r="E594" s="136">
        <v>9</v>
      </c>
      <c r="F594" s="2"/>
      <c r="G594" s="7" t="s">
        <v>3548</v>
      </c>
      <c r="H594" s="190">
        <v>8.5</v>
      </c>
      <c r="I594" s="2"/>
      <c r="J594" s="4" t="s">
        <v>3534</v>
      </c>
      <c r="K594" s="136">
        <v>8</v>
      </c>
      <c r="L594" s="2"/>
      <c r="M594" s="4" t="s">
        <v>3572</v>
      </c>
      <c r="N594" s="136">
        <v>8.5</v>
      </c>
      <c r="O594" s="16"/>
    </row>
    <row r="595" spans="1:15" s="3" customFormat="1" ht="16" customHeight="1" thickBot="1" x14ac:dyDescent="0.25">
      <c r="A595" s="376" t="s">
        <v>3555</v>
      </c>
      <c r="B595" s="136">
        <v>8</v>
      </c>
      <c r="C595" s="2"/>
      <c r="D595" s="4" t="s">
        <v>3519</v>
      </c>
      <c r="E595" s="136">
        <v>7.5</v>
      </c>
      <c r="F595" s="2"/>
      <c r="G595" s="2"/>
      <c r="H595" s="2"/>
      <c r="I595" s="2"/>
      <c r="J595" s="7" t="s">
        <v>3535</v>
      </c>
      <c r="K595" s="190">
        <v>8.5</v>
      </c>
      <c r="L595" s="2"/>
      <c r="M595" s="4" t="s">
        <v>3573</v>
      </c>
      <c r="N595" s="136">
        <v>8</v>
      </c>
      <c r="O595" s="16"/>
    </row>
    <row r="596" spans="1:15" s="3" customFormat="1" ht="16" customHeight="1" thickBot="1" x14ac:dyDescent="0.25">
      <c r="A596" s="376" t="s">
        <v>3556</v>
      </c>
      <c r="B596" s="136">
        <v>7.5</v>
      </c>
      <c r="C596" s="2"/>
      <c r="D596" s="4" t="s">
        <v>3520</v>
      </c>
      <c r="E596" s="136">
        <v>7</v>
      </c>
      <c r="F596" s="2"/>
      <c r="G596" s="413" t="s">
        <v>3584</v>
      </c>
      <c r="H596" s="12">
        <f>ROUND(AVERAGE(H597:H602), 2)</f>
        <v>8.75</v>
      </c>
      <c r="I596" s="2"/>
      <c r="J596" s="2"/>
      <c r="K596" s="2"/>
      <c r="L596" s="2"/>
      <c r="M596" s="4" t="s">
        <v>3574</v>
      </c>
      <c r="N596" s="136">
        <v>10</v>
      </c>
      <c r="O596" s="16"/>
    </row>
    <row r="597" spans="1:15" s="3" customFormat="1" ht="16" customHeight="1" thickBot="1" x14ac:dyDescent="0.25">
      <c r="A597" s="376" t="s">
        <v>3557</v>
      </c>
      <c r="B597" s="136">
        <v>9</v>
      </c>
      <c r="C597" s="2"/>
      <c r="D597" s="7" t="s">
        <v>3521</v>
      </c>
      <c r="E597" s="190">
        <v>8</v>
      </c>
      <c r="F597" s="2"/>
      <c r="G597" s="11" t="s">
        <v>3585</v>
      </c>
      <c r="H597" s="189">
        <v>10.5</v>
      </c>
      <c r="I597" s="2"/>
      <c r="J597" s="414" t="s">
        <v>3604</v>
      </c>
      <c r="K597" s="12">
        <f>ROUND(AVERAGE(K598:K610), 2)</f>
        <v>8.5399999999999991</v>
      </c>
      <c r="L597" s="2"/>
      <c r="M597" s="4" t="s">
        <v>3575</v>
      </c>
      <c r="N597" s="136">
        <v>9</v>
      </c>
      <c r="O597" s="16"/>
    </row>
    <row r="598" spans="1:15" s="3" customFormat="1" ht="16" customHeight="1" thickBot="1" x14ac:dyDescent="0.25">
      <c r="A598" s="376" t="s">
        <v>3558</v>
      </c>
      <c r="B598" s="136">
        <v>8</v>
      </c>
      <c r="C598" s="2"/>
      <c r="D598" s="2"/>
      <c r="E598" s="2"/>
      <c r="F598" s="2"/>
      <c r="G598" s="4" t="s">
        <v>3586</v>
      </c>
      <c r="H598" s="136">
        <v>9</v>
      </c>
      <c r="I598" s="2"/>
      <c r="J598" s="11" t="s">
        <v>3591</v>
      </c>
      <c r="K598" s="189">
        <v>9.5</v>
      </c>
      <c r="L598" s="2"/>
      <c r="M598" s="4" t="s">
        <v>3576</v>
      </c>
      <c r="N598" s="136">
        <v>9.5</v>
      </c>
      <c r="O598" s="16"/>
    </row>
    <row r="599" spans="1:15" s="3" customFormat="1" ht="16" customHeight="1" thickBot="1" x14ac:dyDescent="0.25">
      <c r="A599" s="410" t="s">
        <v>3559</v>
      </c>
      <c r="B599" s="190">
        <v>8</v>
      </c>
      <c r="C599" s="2"/>
      <c r="D599" s="415" t="s">
        <v>3614</v>
      </c>
      <c r="E599" s="12">
        <f>ROUND(AVERAGE(E600:E608), 2)</f>
        <v>8.39</v>
      </c>
      <c r="F599" s="2"/>
      <c r="G599" s="4" t="s">
        <v>3587</v>
      </c>
      <c r="H599" s="136">
        <v>8.5</v>
      </c>
      <c r="I599" s="2"/>
      <c r="J599" s="4" t="s">
        <v>3592</v>
      </c>
      <c r="K599" s="136">
        <v>10.5</v>
      </c>
      <c r="L599" s="2"/>
      <c r="M599" s="4" t="s">
        <v>3577</v>
      </c>
      <c r="N599" s="136">
        <v>9</v>
      </c>
      <c r="O599" s="16"/>
    </row>
    <row r="600" spans="1:15" s="3" customFormat="1" ht="16" customHeight="1" thickBot="1" x14ac:dyDescent="0.25">
      <c r="A600" s="2"/>
      <c r="B600" s="2"/>
      <c r="C600" s="2"/>
      <c r="D600" s="11" t="s">
        <v>3605</v>
      </c>
      <c r="E600" s="189">
        <v>9</v>
      </c>
      <c r="F600" s="2"/>
      <c r="G600" s="4" t="s">
        <v>3588</v>
      </c>
      <c r="H600" s="136">
        <v>8</v>
      </c>
      <c r="I600" s="2"/>
      <c r="J600" s="4" t="s">
        <v>3593</v>
      </c>
      <c r="K600" s="136">
        <v>8</v>
      </c>
      <c r="L600" s="2"/>
      <c r="M600" s="4" t="s">
        <v>3578</v>
      </c>
      <c r="N600" s="136">
        <v>8.5</v>
      </c>
      <c r="O600" s="16"/>
    </row>
    <row r="601" spans="1:15" s="3" customFormat="1" ht="16" customHeight="1" thickBot="1" x14ac:dyDescent="0.25">
      <c r="A601" s="419" t="s">
        <v>3787</v>
      </c>
      <c r="B601" s="12">
        <f>ROUND(AVERAGE(B602:B611), 2)</f>
        <v>8.11</v>
      </c>
      <c r="C601" s="2"/>
      <c r="D601" s="4" t="s">
        <v>3606</v>
      </c>
      <c r="E601" s="136">
        <v>8</v>
      </c>
      <c r="F601" s="2"/>
      <c r="G601" s="4" t="s">
        <v>3589</v>
      </c>
      <c r="H601" s="136">
        <v>8.5</v>
      </c>
      <c r="I601" s="2"/>
      <c r="J601" s="4" t="s">
        <v>3594</v>
      </c>
      <c r="K601" s="136">
        <v>8</v>
      </c>
      <c r="L601" s="2"/>
      <c r="M601" s="7" t="s">
        <v>3579</v>
      </c>
      <c r="N601" s="190">
        <v>9.5</v>
      </c>
      <c r="O601" s="16"/>
    </row>
    <row r="602" spans="1:15" s="3" customFormat="1" ht="16" customHeight="1" thickBot="1" x14ac:dyDescent="0.25">
      <c r="A602" s="11" t="s">
        <v>3788</v>
      </c>
      <c r="B602" s="189">
        <v>8.5</v>
      </c>
      <c r="C602" s="2"/>
      <c r="D602" s="4" t="s">
        <v>3607</v>
      </c>
      <c r="E602" s="136">
        <v>9</v>
      </c>
      <c r="F602" s="2"/>
      <c r="G602" s="7" t="s">
        <v>3590</v>
      </c>
      <c r="H602" s="190">
        <v>8</v>
      </c>
      <c r="I602" s="2"/>
      <c r="J602" s="4" t="s">
        <v>3595</v>
      </c>
      <c r="K602" s="136">
        <v>8</v>
      </c>
      <c r="L602" s="2"/>
      <c r="M602" s="2"/>
      <c r="N602" s="2"/>
      <c r="O602" s="16"/>
    </row>
    <row r="603" spans="1:15" s="3" customFormat="1" ht="16" customHeight="1" thickBot="1" x14ac:dyDescent="0.25">
      <c r="A603" s="4" t="s">
        <v>3789</v>
      </c>
      <c r="B603" s="136">
        <v>8</v>
      </c>
      <c r="C603" s="2"/>
      <c r="D603" s="4" t="s">
        <v>3608</v>
      </c>
      <c r="E603" s="136">
        <v>8.5</v>
      </c>
      <c r="F603" s="2"/>
      <c r="G603" s="2"/>
      <c r="H603" s="2"/>
      <c r="I603" s="2"/>
      <c r="J603" s="4" t="s">
        <v>3596</v>
      </c>
      <c r="K603" s="136">
        <v>9.5</v>
      </c>
      <c r="L603" s="2"/>
      <c r="M603" s="417" t="s">
        <v>3624</v>
      </c>
      <c r="N603" s="12">
        <f>ROUND(AVERAGE(N604:N612), 2)</f>
        <v>8.67</v>
      </c>
      <c r="O603" s="16"/>
    </row>
    <row r="604" spans="1:15" s="3" customFormat="1" ht="16" customHeight="1" thickBot="1" x14ac:dyDescent="0.25">
      <c r="A604" s="4" t="s">
        <v>3790</v>
      </c>
      <c r="B604" s="136"/>
      <c r="C604" s="2"/>
      <c r="D604" s="4" t="s">
        <v>3609</v>
      </c>
      <c r="E604" s="136">
        <v>8</v>
      </c>
      <c r="F604" s="2"/>
      <c r="G604" s="421" t="s">
        <v>3803</v>
      </c>
      <c r="H604" s="12">
        <f>ROUND(AVERAGE(H605:H634), 2)</f>
        <v>8.65</v>
      </c>
      <c r="I604" s="2"/>
      <c r="J604" s="4" t="s">
        <v>3597</v>
      </c>
      <c r="K604" s="136">
        <v>8</v>
      </c>
      <c r="L604" s="2"/>
      <c r="M604" s="11" t="s">
        <v>3625</v>
      </c>
      <c r="N604" s="189">
        <v>9.5</v>
      </c>
      <c r="O604" s="16"/>
    </row>
    <row r="605" spans="1:15" s="3" customFormat="1" ht="16" customHeight="1" x14ac:dyDescent="0.2">
      <c r="A605" s="4" t="s">
        <v>3791</v>
      </c>
      <c r="B605" s="136">
        <v>10</v>
      </c>
      <c r="C605" s="2"/>
      <c r="D605" s="4" t="s">
        <v>3610</v>
      </c>
      <c r="E605" s="136">
        <v>8</v>
      </c>
      <c r="F605" s="2"/>
      <c r="G605" s="11" t="s">
        <v>3804</v>
      </c>
      <c r="H605" s="189">
        <v>8.5</v>
      </c>
      <c r="I605" s="2"/>
      <c r="J605" s="4" t="s">
        <v>3598</v>
      </c>
      <c r="K605" s="136">
        <v>8</v>
      </c>
      <c r="L605" s="2"/>
      <c r="M605" s="4" t="s">
        <v>3626</v>
      </c>
      <c r="N605" s="136">
        <v>10</v>
      </c>
      <c r="O605" s="16"/>
    </row>
    <row r="606" spans="1:15" s="3" customFormat="1" ht="16" customHeight="1" x14ac:dyDescent="0.2">
      <c r="A606" s="4" t="s">
        <v>3792</v>
      </c>
      <c r="B606" s="136">
        <v>7.5</v>
      </c>
      <c r="C606" s="2"/>
      <c r="D606" s="4" t="s">
        <v>3611</v>
      </c>
      <c r="E606" s="136">
        <v>8</v>
      </c>
      <c r="F606" s="2"/>
      <c r="G606" s="4" t="s">
        <v>3805</v>
      </c>
      <c r="H606" s="136">
        <v>9</v>
      </c>
      <c r="I606" s="2"/>
      <c r="J606" s="4" t="s">
        <v>3599</v>
      </c>
      <c r="K606" s="136">
        <v>9</v>
      </c>
      <c r="L606" s="2"/>
      <c r="M606" s="4" t="s">
        <v>3627</v>
      </c>
      <c r="N606" s="136">
        <v>8.5</v>
      </c>
      <c r="O606" s="16"/>
    </row>
    <row r="607" spans="1:15" s="3" customFormat="1" ht="16" customHeight="1" x14ac:dyDescent="0.2">
      <c r="A607" s="4" t="s">
        <v>3793</v>
      </c>
      <c r="B607" s="136">
        <v>8.5</v>
      </c>
      <c r="C607" s="2"/>
      <c r="D607" s="4" t="s">
        <v>3612</v>
      </c>
      <c r="E607" s="136">
        <v>8.5</v>
      </c>
      <c r="F607" s="2"/>
      <c r="G607" s="4" t="s">
        <v>3806</v>
      </c>
      <c r="H607" s="136">
        <v>8</v>
      </c>
      <c r="I607" s="2"/>
      <c r="J607" s="4" t="s">
        <v>3600</v>
      </c>
      <c r="K607" s="136">
        <v>8.5</v>
      </c>
      <c r="L607" s="2"/>
      <c r="M607" s="4" t="s">
        <v>3628</v>
      </c>
      <c r="N607" s="136">
        <v>8.5</v>
      </c>
      <c r="O607" s="16"/>
    </row>
    <row r="608" spans="1:15" s="3" customFormat="1" ht="16" customHeight="1" thickBot="1" x14ac:dyDescent="0.25">
      <c r="A608" s="4" t="s">
        <v>3794</v>
      </c>
      <c r="B608" s="136">
        <v>8</v>
      </c>
      <c r="C608" s="2"/>
      <c r="D608" s="7" t="s">
        <v>3613</v>
      </c>
      <c r="E608" s="190">
        <v>8.5</v>
      </c>
      <c r="F608" s="2"/>
      <c r="G608" s="4" t="s">
        <v>3807</v>
      </c>
      <c r="H608" s="136">
        <v>8</v>
      </c>
      <c r="I608" s="2"/>
      <c r="J608" s="4" t="s">
        <v>3601</v>
      </c>
      <c r="K608" s="136">
        <v>7.5</v>
      </c>
      <c r="L608" s="2"/>
      <c r="M608" s="4" t="s">
        <v>3629</v>
      </c>
      <c r="N608" s="136">
        <v>8.5</v>
      </c>
      <c r="O608" s="16"/>
    </row>
    <row r="609" spans="1:15" s="3" customFormat="1" ht="16" customHeight="1" thickBot="1" x14ac:dyDescent="0.25">
      <c r="A609" s="4" t="s">
        <v>3795</v>
      </c>
      <c r="B609" s="136">
        <v>7.5</v>
      </c>
      <c r="C609" s="2"/>
      <c r="D609" s="2"/>
      <c r="E609" s="2"/>
      <c r="F609" s="2"/>
      <c r="G609" s="4" t="s">
        <v>3808</v>
      </c>
      <c r="H609" s="136">
        <v>8.5</v>
      </c>
      <c r="I609" s="2"/>
      <c r="J609" s="4" t="s">
        <v>3602</v>
      </c>
      <c r="K609" s="136">
        <v>8</v>
      </c>
      <c r="L609" s="2"/>
      <c r="M609" s="4" t="s">
        <v>3630</v>
      </c>
      <c r="N609" s="136">
        <v>8</v>
      </c>
      <c r="O609" s="16"/>
    </row>
    <row r="610" spans="1:15" s="3" customFormat="1" ht="16" customHeight="1" thickBot="1" x14ac:dyDescent="0.25">
      <c r="A610" s="4" t="s">
        <v>3796</v>
      </c>
      <c r="B610" s="136">
        <v>8</v>
      </c>
      <c r="C610" s="2"/>
      <c r="D610" s="422" t="s">
        <v>3839</v>
      </c>
      <c r="E610" s="12">
        <f>ROUND(AVERAGE(E611:E621), 2)</f>
        <v>8.27</v>
      </c>
      <c r="F610" s="2"/>
      <c r="G610" s="4" t="s">
        <v>3809</v>
      </c>
      <c r="H610" s="136">
        <v>8</v>
      </c>
      <c r="I610" s="2"/>
      <c r="J610" s="7" t="s">
        <v>3603</v>
      </c>
      <c r="K610" s="190">
        <v>8.5</v>
      </c>
      <c r="L610" s="2"/>
      <c r="M610" s="4" t="s">
        <v>3631</v>
      </c>
      <c r="N610" s="136">
        <v>8</v>
      </c>
      <c r="O610" s="16"/>
    </row>
    <row r="611" spans="1:15" s="3" customFormat="1" ht="16" customHeight="1" thickBot="1" x14ac:dyDescent="0.25">
      <c r="A611" s="7" t="s">
        <v>3797</v>
      </c>
      <c r="B611" s="190">
        <v>7</v>
      </c>
      <c r="C611" s="2"/>
      <c r="D611" s="11" t="s">
        <v>3840</v>
      </c>
      <c r="E611" s="189">
        <v>9</v>
      </c>
      <c r="F611" s="2"/>
      <c r="G611" s="4" t="s">
        <v>3810</v>
      </c>
      <c r="H611" s="136">
        <v>9.5</v>
      </c>
      <c r="I611" s="2"/>
      <c r="J611" s="2"/>
      <c r="K611" s="2"/>
      <c r="L611" s="2"/>
      <c r="M611" s="4" t="s">
        <v>3632</v>
      </c>
      <c r="N611" s="136">
        <v>9</v>
      </c>
      <c r="O611" s="16"/>
    </row>
    <row r="612" spans="1:15" s="3" customFormat="1" ht="16" customHeight="1" thickBot="1" x14ac:dyDescent="0.25">
      <c r="A612" s="2"/>
      <c r="B612" s="2"/>
      <c r="C612" s="2"/>
      <c r="D612" s="4" t="s">
        <v>3841</v>
      </c>
      <c r="E612" s="136">
        <v>8.5</v>
      </c>
      <c r="F612" s="2"/>
      <c r="G612" s="4" t="s">
        <v>3811</v>
      </c>
      <c r="H612" s="136">
        <v>9</v>
      </c>
      <c r="I612" s="2"/>
      <c r="J612" s="423" t="s">
        <v>3864</v>
      </c>
      <c r="K612" s="12">
        <f>ROUND(AVERAGE(K613:K623), 2)</f>
        <v>8.64</v>
      </c>
      <c r="L612" s="2"/>
      <c r="M612" s="7" t="s">
        <v>3633</v>
      </c>
      <c r="N612" s="190">
        <v>8</v>
      </c>
      <c r="O612" s="16"/>
    </row>
    <row r="613" spans="1:15" s="3" customFormat="1" ht="16" customHeight="1" thickBot="1" x14ac:dyDescent="0.25">
      <c r="A613" s="424" t="s">
        <v>3870</v>
      </c>
      <c r="B613" s="12">
        <f>ROUND(AVERAGE(B614:B628), 2)</f>
        <v>8.68</v>
      </c>
      <c r="C613" s="2"/>
      <c r="D613" s="4" t="s">
        <v>3842</v>
      </c>
      <c r="E613" s="136">
        <v>8</v>
      </c>
      <c r="F613" s="2"/>
      <c r="G613" s="4" t="s">
        <v>3812</v>
      </c>
      <c r="H613" s="136">
        <v>10.5</v>
      </c>
      <c r="I613" s="2"/>
      <c r="J613" s="11" t="s">
        <v>3853</v>
      </c>
      <c r="K613" s="189">
        <v>9.5</v>
      </c>
      <c r="L613" s="2"/>
      <c r="M613" s="2"/>
      <c r="N613" s="2"/>
      <c r="O613" s="16"/>
    </row>
    <row r="614" spans="1:15" s="3" customFormat="1" ht="16" customHeight="1" thickBot="1" x14ac:dyDescent="0.25">
      <c r="A614" s="11" t="s">
        <v>3871</v>
      </c>
      <c r="B614" s="189"/>
      <c r="C614" s="2"/>
      <c r="D614" s="4" t="s">
        <v>3843</v>
      </c>
      <c r="E614" s="136">
        <v>8</v>
      </c>
      <c r="F614" s="2"/>
      <c r="G614" s="4" t="s">
        <v>3813</v>
      </c>
      <c r="H614" s="136">
        <v>8.5</v>
      </c>
      <c r="I614" s="2"/>
      <c r="J614" s="4" t="s">
        <v>3854</v>
      </c>
      <c r="K614" s="136">
        <v>9.5</v>
      </c>
      <c r="L614" s="2"/>
      <c r="M614" s="425" t="s">
        <v>3898</v>
      </c>
      <c r="N614" s="12">
        <f>ROUND(AVERAGE(N615:N622), 2)</f>
        <v>8.3800000000000008</v>
      </c>
      <c r="O614" s="16"/>
    </row>
    <row r="615" spans="1:15" s="3" customFormat="1" ht="16" customHeight="1" x14ac:dyDescent="0.2">
      <c r="A615" s="4" t="s">
        <v>3872</v>
      </c>
      <c r="B615" s="136">
        <v>9.5</v>
      </c>
      <c r="C615" s="2"/>
      <c r="D615" s="4" t="s">
        <v>3844</v>
      </c>
      <c r="E615" s="136">
        <v>7.5</v>
      </c>
      <c r="F615" s="2"/>
      <c r="G615" s="4" t="s">
        <v>3814</v>
      </c>
      <c r="H615" s="136">
        <v>9</v>
      </c>
      <c r="I615" s="2"/>
      <c r="J615" s="4" t="s">
        <v>3855</v>
      </c>
      <c r="K615" s="136">
        <v>9.5</v>
      </c>
      <c r="L615" s="2"/>
      <c r="M615" s="11" t="s">
        <v>3890</v>
      </c>
      <c r="N615" s="189">
        <v>9</v>
      </c>
      <c r="O615" s="16"/>
    </row>
    <row r="616" spans="1:15" s="3" customFormat="1" ht="16" customHeight="1" x14ac:dyDescent="0.2">
      <c r="A616" s="4" t="s">
        <v>3873</v>
      </c>
      <c r="B616" s="136">
        <v>9</v>
      </c>
      <c r="C616" s="2"/>
      <c r="D616" s="4" t="s">
        <v>3845</v>
      </c>
      <c r="E616" s="136">
        <v>8</v>
      </c>
      <c r="F616" s="2"/>
      <c r="G616" s="4" t="s">
        <v>3815</v>
      </c>
      <c r="H616" s="136">
        <v>9</v>
      </c>
      <c r="I616" s="2"/>
      <c r="J616" s="4" t="s">
        <v>3856</v>
      </c>
      <c r="K616" s="136">
        <v>8.5</v>
      </c>
      <c r="L616" s="2"/>
      <c r="M616" s="4" t="s">
        <v>3891</v>
      </c>
      <c r="N616" s="136">
        <v>10.5</v>
      </c>
      <c r="O616" s="16"/>
    </row>
    <row r="617" spans="1:15" s="3" customFormat="1" ht="16" customHeight="1" x14ac:dyDescent="0.2">
      <c r="A617" s="4" t="s">
        <v>3874</v>
      </c>
      <c r="B617" s="136">
        <v>10</v>
      </c>
      <c r="C617" s="2"/>
      <c r="D617" s="4" t="s">
        <v>3846</v>
      </c>
      <c r="E617" s="136">
        <v>9.5</v>
      </c>
      <c r="F617" s="2"/>
      <c r="G617" s="4" t="s">
        <v>3816</v>
      </c>
      <c r="H617" s="136"/>
      <c r="I617" s="2"/>
      <c r="J617" s="4" t="s">
        <v>3857</v>
      </c>
      <c r="K617" s="136">
        <v>8.5</v>
      </c>
      <c r="L617" s="2"/>
      <c r="M617" s="4" t="s">
        <v>3892</v>
      </c>
      <c r="N617" s="136">
        <v>8.5</v>
      </c>
      <c r="O617" s="16"/>
    </row>
    <row r="618" spans="1:15" s="3" customFormat="1" ht="16" customHeight="1" x14ac:dyDescent="0.2">
      <c r="A618" s="4" t="s">
        <v>3875</v>
      </c>
      <c r="B618" s="136">
        <v>10.5</v>
      </c>
      <c r="C618" s="2"/>
      <c r="D618" s="4" t="s">
        <v>3847</v>
      </c>
      <c r="E618" s="136">
        <v>8</v>
      </c>
      <c r="F618" s="2"/>
      <c r="G618" s="4" t="s">
        <v>3817</v>
      </c>
      <c r="H618" s="136">
        <v>8</v>
      </c>
      <c r="I618" s="2"/>
      <c r="J618" s="4" t="s">
        <v>3858</v>
      </c>
      <c r="K618" s="136">
        <v>8</v>
      </c>
      <c r="L618" s="2"/>
      <c r="M618" s="4" t="s">
        <v>3893</v>
      </c>
      <c r="N618" s="136">
        <v>8</v>
      </c>
      <c r="O618" s="16"/>
    </row>
    <row r="619" spans="1:15" s="3" customFormat="1" ht="16" customHeight="1" x14ac:dyDescent="0.2">
      <c r="A619" s="4" t="s">
        <v>2274</v>
      </c>
      <c r="B619" s="136"/>
      <c r="C619" s="2"/>
      <c r="D619" s="4" t="s">
        <v>3848</v>
      </c>
      <c r="E619" s="136">
        <v>10</v>
      </c>
      <c r="F619" s="2"/>
      <c r="G619" s="4" t="s">
        <v>3818</v>
      </c>
      <c r="H619" s="136">
        <v>8.5</v>
      </c>
      <c r="I619" s="2"/>
      <c r="J619" s="4" t="s">
        <v>3859</v>
      </c>
      <c r="K619" s="136">
        <v>9</v>
      </c>
      <c r="L619" s="2"/>
      <c r="M619" s="4" t="s">
        <v>3894</v>
      </c>
      <c r="N619" s="136">
        <v>7.5</v>
      </c>
      <c r="O619" s="16"/>
    </row>
    <row r="620" spans="1:15" s="3" customFormat="1" ht="16" customHeight="1" x14ac:dyDescent="0.2">
      <c r="A620" s="365" t="s">
        <v>3876</v>
      </c>
      <c r="B620" s="136">
        <v>8.5</v>
      </c>
      <c r="C620" s="2"/>
      <c r="D620" s="4" t="s">
        <v>3849</v>
      </c>
      <c r="E620" s="136">
        <v>7.5</v>
      </c>
      <c r="F620" s="2"/>
      <c r="G620" s="4" t="s">
        <v>3819</v>
      </c>
      <c r="H620" s="136">
        <v>9</v>
      </c>
      <c r="I620" s="2"/>
      <c r="J620" s="4" t="s">
        <v>3860</v>
      </c>
      <c r="K620" s="136">
        <v>8</v>
      </c>
      <c r="L620" s="2"/>
      <c r="M620" s="4" t="s">
        <v>3895</v>
      </c>
      <c r="N620" s="136">
        <v>8</v>
      </c>
      <c r="O620" s="16"/>
    </row>
    <row r="621" spans="1:15" s="3" customFormat="1" ht="16" customHeight="1" thickBot="1" x14ac:dyDescent="0.25">
      <c r="A621" s="4" t="s">
        <v>3877</v>
      </c>
      <c r="B621" s="136">
        <v>8</v>
      </c>
      <c r="C621" s="2"/>
      <c r="D621" s="7" t="s">
        <v>3850</v>
      </c>
      <c r="E621" s="190">
        <v>7</v>
      </c>
      <c r="F621" s="2"/>
      <c r="G621" s="4" t="s">
        <v>3820</v>
      </c>
      <c r="H621" s="136">
        <v>8</v>
      </c>
      <c r="I621" s="2"/>
      <c r="J621" s="4" t="s">
        <v>3861</v>
      </c>
      <c r="K621" s="136">
        <v>8.5</v>
      </c>
      <c r="L621" s="2"/>
      <c r="M621" s="4" t="s">
        <v>3896</v>
      </c>
      <c r="N621" s="136">
        <v>8.5</v>
      </c>
      <c r="O621" s="16"/>
    </row>
    <row r="622" spans="1:15" s="3" customFormat="1" ht="16" customHeight="1" thickBot="1" x14ac:dyDescent="0.25">
      <c r="A622" s="4" t="s">
        <v>3878</v>
      </c>
      <c r="B622" s="136">
        <v>8</v>
      </c>
      <c r="C622" s="2"/>
      <c r="D622" s="2"/>
      <c r="E622" s="2"/>
      <c r="F622" s="2"/>
      <c r="G622" s="4" t="s">
        <v>3821</v>
      </c>
      <c r="H622" s="136"/>
      <c r="I622" s="2"/>
      <c r="J622" s="4" t="s">
        <v>3862</v>
      </c>
      <c r="K622" s="136">
        <v>8</v>
      </c>
      <c r="L622" s="2"/>
      <c r="M622" s="7" t="s">
        <v>3897</v>
      </c>
      <c r="N622" s="190">
        <v>7</v>
      </c>
      <c r="O622" s="16"/>
    </row>
    <row r="623" spans="1:15" s="3" customFormat="1" ht="16" customHeight="1" thickBot="1" x14ac:dyDescent="0.25">
      <c r="A623" s="4" t="s">
        <v>3879</v>
      </c>
      <c r="B623" s="136"/>
      <c r="C623" s="2"/>
      <c r="D623" s="427" t="s">
        <v>3907</v>
      </c>
      <c r="E623" s="12">
        <f>ROUND(AVERAGE(E624:E633), 2)</f>
        <v>8.5</v>
      </c>
      <c r="F623" s="2"/>
      <c r="G623" s="4" t="s">
        <v>3822</v>
      </c>
      <c r="H623" s="136">
        <v>10</v>
      </c>
      <c r="I623" s="2"/>
      <c r="J623" s="7" t="s">
        <v>3863</v>
      </c>
      <c r="K623" s="190">
        <v>8</v>
      </c>
      <c r="L623" s="2"/>
      <c r="M623" s="2"/>
      <c r="N623" s="2"/>
      <c r="O623" s="16"/>
    </row>
    <row r="624" spans="1:15" s="3" customFormat="1" ht="16" customHeight="1" thickBot="1" x14ac:dyDescent="0.25">
      <c r="A624" s="4" t="s">
        <v>3880</v>
      </c>
      <c r="B624" s="136">
        <v>8.5</v>
      </c>
      <c r="C624" s="2"/>
      <c r="D624" s="11" t="s">
        <v>3908</v>
      </c>
      <c r="E624" s="189">
        <v>10</v>
      </c>
      <c r="F624" s="2"/>
      <c r="G624" s="4" t="s">
        <v>3823</v>
      </c>
      <c r="H624" s="136">
        <v>9</v>
      </c>
      <c r="I624" s="2"/>
      <c r="J624" s="2"/>
      <c r="K624" s="2"/>
      <c r="L624" s="2"/>
      <c r="M624" s="216" t="s">
        <v>3933</v>
      </c>
      <c r="N624" s="12">
        <f>ROUND(AVERAGE(N625:N633), 2)</f>
        <v>8.83</v>
      </c>
      <c r="O624" s="16"/>
    </row>
    <row r="625" spans="1:15" s="3" customFormat="1" ht="16" customHeight="1" thickBot="1" x14ac:dyDescent="0.25">
      <c r="A625" s="4" t="s">
        <v>3881</v>
      </c>
      <c r="B625" s="136"/>
      <c r="C625" s="2"/>
      <c r="D625" s="4" t="s">
        <v>3909</v>
      </c>
      <c r="E625" s="136">
        <v>8.5</v>
      </c>
      <c r="F625" s="2"/>
      <c r="G625" s="4" t="s">
        <v>3824</v>
      </c>
      <c r="H625" s="136"/>
      <c r="I625" s="2"/>
      <c r="J625" s="428" t="s">
        <v>3947</v>
      </c>
      <c r="K625" s="12">
        <f>ROUND(AVERAGE(K626:K636), 2)</f>
        <v>8.5</v>
      </c>
      <c r="L625" s="2"/>
      <c r="M625" s="11" t="s">
        <v>3920</v>
      </c>
      <c r="N625" s="189">
        <v>10.5</v>
      </c>
      <c r="O625" s="16"/>
    </row>
    <row r="626" spans="1:15" s="3" customFormat="1" ht="16" customHeight="1" x14ac:dyDescent="0.2">
      <c r="A626" s="4" t="s">
        <v>3882</v>
      </c>
      <c r="B626" s="136">
        <v>8</v>
      </c>
      <c r="C626" s="2"/>
      <c r="D626" s="4" t="s">
        <v>3910</v>
      </c>
      <c r="E626" s="136">
        <v>9</v>
      </c>
      <c r="F626" s="2"/>
      <c r="G626" s="4" t="s">
        <v>3825</v>
      </c>
      <c r="H626" s="136">
        <v>8</v>
      </c>
      <c r="I626" s="2"/>
      <c r="J626" s="11" t="s">
        <v>3934</v>
      </c>
      <c r="K626" s="189">
        <v>10</v>
      </c>
      <c r="L626" s="2"/>
      <c r="M626" s="4" t="s">
        <v>3921</v>
      </c>
      <c r="N626" s="136">
        <v>8</v>
      </c>
      <c r="O626" s="16"/>
    </row>
    <row r="627" spans="1:15" s="3" customFormat="1" ht="16" customHeight="1" x14ac:dyDescent="0.2">
      <c r="A627" s="4" t="s">
        <v>3883</v>
      </c>
      <c r="B627" s="136">
        <v>8</v>
      </c>
      <c r="C627" s="2"/>
      <c r="D627" s="4" t="s">
        <v>3911</v>
      </c>
      <c r="E627" s="136">
        <v>8.5</v>
      </c>
      <c r="F627" s="2"/>
      <c r="G627" s="4" t="s">
        <v>3826</v>
      </c>
      <c r="H627" s="136"/>
      <c r="I627" s="2"/>
      <c r="J627" s="4" t="s">
        <v>3935</v>
      </c>
      <c r="K627" s="136">
        <v>9</v>
      </c>
      <c r="L627" s="2"/>
      <c r="M627" s="4" t="s">
        <v>3922</v>
      </c>
      <c r="N627" s="136">
        <v>8</v>
      </c>
      <c r="O627" s="16"/>
    </row>
    <row r="628" spans="1:15" s="3" customFormat="1" ht="16" customHeight="1" thickBot="1" x14ac:dyDescent="0.25">
      <c r="A628" s="7" t="s">
        <v>3884</v>
      </c>
      <c r="B628" s="190">
        <v>7.5</v>
      </c>
      <c r="C628" s="2"/>
      <c r="D628" s="4" t="s">
        <v>3912</v>
      </c>
      <c r="E628" s="136">
        <v>8</v>
      </c>
      <c r="F628" s="2"/>
      <c r="G628" s="4" t="s">
        <v>3827</v>
      </c>
      <c r="H628" s="136">
        <v>9</v>
      </c>
      <c r="I628" s="2"/>
      <c r="J628" s="4" t="s">
        <v>3936</v>
      </c>
      <c r="K628" s="136">
        <v>9</v>
      </c>
      <c r="L628" s="2"/>
      <c r="M628" s="4" t="s">
        <v>3923</v>
      </c>
      <c r="N628" s="136">
        <v>8</v>
      </c>
      <c r="O628" s="16"/>
    </row>
    <row r="629" spans="1:15" s="3" customFormat="1" ht="16" customHeight="1" thickBot="1" x14ac:dyDescent="0.25">
      <c r="A629" s="2"/>
      <c r="B629" s="2"/>
      <c r="C629" s="2"/>
      <c r="D629" s="4" t="s">
        <v>3913</v>
      </c>
      <c r="E629" s="136">
        <v>8.5</v>
      </c>
      <c r="F629" s="2"/>
      <c r="G629" s="4" t="s">
        <v>3828</v>
      </c>
      <c r="H629" s="136">
        <v>8.5</v>
      </c>
      <c r="I629" s="2"/>
      <c r="J629" s="4" t="s">
        <v>3937</v>
      </c>
      <c r="K629" s="136">
        <v>8</v>
      </c>
      <c r="L629" s="2"/>
      <c r="M629" s="4" t="s">
        <v>3924</v>
      </c>
      <c r="N629" s="136">
        <v>9</v>
      </c>
      <c r="O629" s="16"/>
    </row>
    <row r="630" spans="1:15" s="3" customFormat="1" ht="16" customHeight="1" thickBot="1" x14ac:dyDescent="0.25">
      <c r="A630" s="429" t="s">
        <v>3948</v>
      </c>
      <c r="B630" s="12">
        <f>ROUND(AVERAGE(B631:B632), 2)</f>
        <v>8.75</v>
      </c>
      <c r="C630" s="2"/>
      <c r="D630" s="4" t="s">
        <v>3914</v>
      </c>
      <c r="E630" s="136">
        <v>8</v>
      </c>
      <c r="F630" s="2"/>
      <c r="G630" s="4" t="s">
        <v>3829</v>
      </c>
      <c r="H630" s="136">
        <v>8</v>
      </c>
      <c r="I630" s="2"/>
      <c r="J630" s="4" t="s">
        <v>3938</v>
      </c>
      <c r="K630" s="136">
        <v>8</v>
      </c>
      <c r="L630" s="2"/>
      <c r="M630" s="4" t="s">
        <v>3925</v>
      </c>
      <c r="N630" s="136">
        <v>8.5</v>
      </c>
      <c r="O630" s="16"/>
    </row>
    <row r="631" spans="1:15" s="3" customFormat="1" ht="16" customHeight="1" x14ac:dyDescent="0.2">
      <c r="A631" s="11" t="s">
        <v>3949</v>
      </c>
      <c r="B631" s="189">
        <v>9</v>
      </c>
      <c r="C631" s="2"/>
      <c r="D631" s="4" t="s">
        <v>3915</v>
      </c>
      <c r="E631" s="136">
        <v>8</v>
      </c>
      <c r="F631" s="2"/>
      <c r="G631" s="4" t="s">
        <v>3830</v>
      </c>
      <c r="H631" s="136">
        <v>8</v>
      </c>
      <c r="I631" s="2"/>
      <c r="J631" s="4" t="s">
        <v>3939</v>
      </c>
      <c r="K631" s="136">
        <v>8.5</v>
      </c>
      <c r="L631" s="2"/>
      <c r="M631" s="4" t="s">
        <v>3926</v>
      </c>
      <c r="N631" s="136">
        <v>8.5</v>
      </c>
      <c r="O631" s="16"/>
    </row>
    <row r="632" spans="1:15" s="3" customFormat="1" ht="16" customHeight="1" thickBot="1" x14ac:dyDescent="0.25">
      <c r="A632" s="7" t="s">
        <v>3950</v>
      </c>
      <c r="B632" s="190">
        <v>8.5</v>
      </c>
      <c r="C632" s="2"/>
      <c r="D632" s="4" t="s">
        <v>3916</v>
      </c>
      <c r="E632" s="136">
        <v>8.5</v>
      </c>
      <c r="F632" s="2"/>
      <c r="G632" s="4" t="s">
        <v>3831</v>
      </c>
      <c r="H632" s="136">
        <v>8.5</v>
      </c>
      <c r="I632" s="2"/>
      <c r="J632" s="4" t="s">
        <v>3940</v>
      </c>
      <c r="K632" s="136"/>
      <c r="L632" s="2"/>
      <c r="M632" s="4" t="s">
        <v>3927</v>
      </c>
      <c r="N632" s="136">
        <v>9</v>
      </c>
      <c r="O632" s="16"/>
    </row>
    <row r="633" spans="1:15" s="3" customFormat="1" ht="16" customHeight="1" thickBot="1" x14ac:dyDescent="0.25">
      <c r="A633" s="2"/>
      <c r="B633" s="2"/>
      <c r="C633" s="2"/>
      <c r="D633" s="7" t="s">
        <v>3917</v>
      </c>
      <c r="E633" s="190">
        <v>8</v>
      </c>
      <c r="F633" s="2"/>
      <c r="G633" s="4" t="s">
        <v>3832</v>
      </c>
      <c r="H633" s="136">
        <v>8</v>
      </c>
      <c r="I633" s="2"/>
      <c r="J633" s="4" t="s">
        <v>3941</v>
      </c>
      <c r="K633" s="136">
        <v>8.5</v>
      </c>
      <c r="L633" s="2"/>
      <c r="M633" s="7" t="s">
        <v>3928</v>
      </c>
      <c r="N633" s="190">
        <v>10</v>
      </c>
      <c r="O633" s="16"/>
    </row>
    <row r="634" spans="1:15" s="3" customFormat="1" ht="16" customHeight="1" thickBot="1" x14ac:dyDescent="0.25">
      <c r="A634" s="430" t="s">
        <v>4867</v>
      </c>
      <c r="B634" s="12">
        <f>ROUND(AVERAGE(B635:B647), 2)</f>
        <v>8.67</v>
      </c>
      <c r="C634" s="2"/>
      <c r="D634" s="2"/>
      <c r="E634" s="2"/>
      <c r="F634" s="2"/>
      <c r="G634" s="7" t="s">
        <v>3833</v>
      </c>
      <c r="H634" s="190">
        <v>9</v>
      </c>
      <c r="I634" s="2"/>
      <c r="J634" s="4" t="s">
        <v>3942</v>
      </c>
      <c r="K634" s="136">
        <v>8</v>
      </c>
      <c r="L634" s="2"/>
      <c r="M634" s="2"/>
      <c r="N634" s="2"/>
      <c r="O634" s="16"/>
    </row>
    <row r="635" spans="1:15" s="3" customFormat="1" ht="16" customHeight="1" thickBot="1" x14ac:dyDescent="0.25">
      <c r="A635" s="11" t="s">
        <v>3953</v>
      </c>
      <c r="B635" s="189">
        <v>9.5</v>
      </c>
      <c r="C635" s="2"/>
      <c r="D635" s="431" t="s">
        <v>3965</v>
      </c>
      <c r="E635" s="12">
        <f>ROUND(AVERAGE(E636:E645), 2)</f>
        <v>7.75</v>
      </c>
      <c r="F635" s="2"/>
      <c r="G635" s="2"/>
      <c r="H635" s="2"/>
      <c r="I635" s="2"/>
      <c r="J635" s="4" t="s">
        <v>3943</v>
      </c>
      <c r="K635" s="136">
        <v>8.5</v>
      </c>
      <c r="L635" s="2"/>
      <c r="M635" s="433" t="s">
        <v>4008</v>
      </c>
      <c r="N635" s="12">
        <f>ROUND(AVERAGE(N636:N650), 2)</f>
        <v>8.77</v>
      </c>
      <c r="O635" s="16"/>
    </row>
    <row r="636" spans="1:15" s="3" customFormat="1" ht="16" customHeight="1" thickBot="1" x14ac:dyDescent="0.25">
      <c r="A636" s="4" t="s">
        <v>3954</v>
      </c>
      <c r="B636" s="136">
        <v>10</v>
      </c>
      <c r="C636" s="2"/>
      <c r="D636" s="11" t="s">
        <v>3966</v>
      </c>
      <c r="E636" s="189">
        <v>7.5</v>
      </c>
      <c r="F636" s="2"/>
      <c r="G636" s="432" t="s">
        <v>3976</v>
      </c>
      <c r="H636" s="12">
        <f>ROUND(AVERAGE(H637:H644), 2)</f>
        <v>9.1300000000000008</v>
      </c>
      <c r="I636" s="2"/>
      <c r="J636" s="7" t="s">
        <v>3944</v>
      </c>
      <c r="K636" s="190">
        <v>7.5</v>
      </c>
      <c r="L636" s="2"/>
      <c r="M636" s="11" t="s">
        <v>3993</v>
      </c>
      <c r="N636" s="189">
        <v>10</v>
      </c>
      <c r="O636" s="16"/>
    </row>
    <row r="637" spans="1:15" s="3" customFormat="1" ht="16" customHeight="1" thickBot="1" x14ac:dyDescent="0.25">
      <c r="A637" s="4" t="s">
        <v>3955</v>
      </c>
      <c r="B637" s="136">
        <v>9</v>
      </c>
      <c r="C637" s="2"/>
      <c r="D637" s="4" t="s">
        <v>3967</v>
      </c>
      <c r="E637" s="136">
        <v>8.5</v>
      </c>
      <c r="F637" s="2"/>
      <c r="G637" s="11" t="s">
        <v>3977</v>
      </c>
      <c r="H637" s="189">
        <v>9</v>
      </c>
      <c r="I637" s="2"/>
      <c r="J637" s="2"/>
      <c r="K637" s="2"/>
      <c r="L637" s="2"/>
      <c r="M637" s="4" t="s">
        <v>3994</v>
      </c>
      <c r="N637" s="136">
        <v>8</v>
      </c>
      <c r="O637" s="16"/>
    </row>
    <row r="638" spans="1:15" s="3" customFormat="1" ht="16" customHeight="1" thickBot="1" x14ac:dyDescent="0.25">
      <c r="A638" s="4" t="s">
        <v>3956</v>
      </c>
      <c r="B638" s="136">
        <v>8.5</v>
      </c>
      <c r="C638" s="2"/>
      <c r="D638" s="4" t="s">
        <v>3968</v>
      </c>
      <c r="E638" s="136">
        <v>8</v>
      </c>
      <c r="F638" s="2"/>
      <c r="G638" s="4" t="s">
        <v>3978</v>
      </c>
      <c r="H638" s="136">
        <v>10</v>
      </c>
      <c r="I638" s="2"/>
      <c r="J638" s="435" t="s">
        <v>4012</v>
      </c>
      <c r="K638" s="12">
        <f>ROUND(AVERAGE(K639:K650), 2)</f>
        <v>8.64</v>
      </c>
      <c r="L638" s="2"/>
      <c r="M638" s="4" t="s">
        <v>3995</v>
      </c>
      <c r="N638" s="136">
        <v>9.5</v>
      </c>
      <c r="O638" s="16"/>
    </row>
    <row r="639" spans="1:15" s="3" customFormat="1" ht="16" customHeight="1" x14ac:dyDescent="0.2">
      <c r="A639" s="4" t="s">
        <v>2943</v>
      </c>
      <c r="B639" s="136"/>
      <c r="C639" s="2"/>
      <c r="D639" s="4" t="s">
        <v>3969</v>
      </c>
      <c r="E639" s="136">
        <v>8</v>
      </c>
      <c r="F639" s="2"/>
      <c r="G639" s="4" t="s">
        <v>3979</v>
      </c>
      <c r="H639" s="136">
        <v>9.5</v>
      </c>
      <c r="I639" s="2"/>
      <c r="J639" s="11" t="s">
        <v>4013</v>
      </c>
      <c r="K639" s="189">
        <v>8.5</v>
      </c>
      <c r="L639" s="2"/>
      <c r="M639" s="4" t="s">
        <v>3996</v>
      </c>
      <c r="N639" s="136">
        <v>8.5</v>
      </c>
      <c r="O639" s="16"/>
    </row>
    <row r="640" spans="1:15" s="3" customFormat="1" ht="16" customHeight="1" x14ac:dyDescent="0.2">
      <c r="A640" s="4" t="s">
        <v>3957</v>
      </c>
      <c r="B640" s="136">
        <v>7.5</v>
      </c>
      <c r="C640" s="2"/>
      <c r="D640" s="4" t="s">
        <v>3970</v>
      </c>
      <c r="E640" s="136">
        <v>7.5</v>
      </c>
      <c r="F640" s="2"/>
      <c r="G640" s="4" t="s">
        <v>3980</v>
      </c>
      <c r="H640" s="136">
        <v>7</v>
      </c>
      <c r="I640" s="2"/>
      <c r="J640" s="4" t="s">
        <v>4014</v>
      </c>
      <c r="K640" s="136">
        <v>9</v>
      </c>
      <c r="L640" s="2"/>
      <c r="M640" s="4" t="s">
        <v>3997</v>
      </c>
      <c r="N640" s="136">
        <v>10</v>
      </c>
      <c r="O640" s="16"/>
    </row>
    <row r="641" spans="1:15" s="3" customFormat="1" ht="16" customHeight="1" x14ac:dyDescent="0.2">
      <c r="A641" s="4" t="s">
        <v>3958</v>
      </c>
      <c r="B641" s="136">
        <v>8</v>
      </c>
      <c r="C641" s="2"/>
      <c r="D641" s="4" t="s">
        <v>3971</v>
      </c>
      <c r="E641" s="136">
        <v>7</v>
      </c>
      <c r="F641" s="2"/>
      <c r="G641" s="4" t="s">
        <v>3981</v>
      </c>
      <c r="H641" s="136">
        <v>9</v>
      </c>
      <c r="I641" s="2"/>
      <c r="J641" s="4" t="s">
        <v>4015</v>
      </c>
      <c r="K641" s="136">
        <v>8</v>
      </c>
      <c r="L641" s="2"/>
      <c r="M641" s="4" t="s">
        <v>3998</v>
      </c>
      <c r="N641" s="136">
        <v>8</v>
      </c>
      <c r="O641" s="16"/>
    </row>
    <row r="642" spans="1:15" s="3" customFormat="1" ht="16" customHeight="1" x14ac:dyDescent="0.2">
      <c r="A642" s="4" t="s">
        <v>3959</v>
      </c>
      <c r="B642" s="136">
        <v>8</v>
      </c>
      <c r="C642" s="2"/>
      <c r="D642" s="4" t="s">
        <v>3972</v>
      </c>
      <c r="E642" s="136">
        <v>7</v>
      </c>
      <c r="F642" s="2"/>
      <c r="G642" s="4" t="s">
        <v>3982</v>
      </c>
      <c r="H642" s="136">
        <v>10</v>
      </c>
      <c r="I642" s="2"/>
      <c r="J642" s="4" t="s">
        <v>4016</v>
      </c>
      <c r="K642" s="136">
        <v>8.5</v>
      </c>
      <c r="L642" s="2"/>
      <c r="M642" s="4" t="s">
        <v>3999</v>
      </c>
      <c r="N642" s="136">
        <v>9.5</v>
      </c>
      <c r="O642" s="16"/>
    </row>
    <row r="643" spans="1:15" s="3" customFormat="1" ht="16" customHeight="1" x14ac:dyDescent="0.2">
      <c r="A643" s="4" t="s">
        <v>3960</v>
      </c>
      <c r="B643" s="136">
        <v>8.5</v>
      </c>
      <c r="C643" s="2"/>
      <c r="D643" s="4" t="s">
        <v>3973</v>
      </c>
      <c r="E643" s="136">
        <v>7.5</v>
      </c>
      <c r="F643" s="2"/>
      <c r="G643" s="4" t="s">
        <v>2261</v>
      </c>
      <c r="H643" s="136">
        <v>10</v>
      </c>
      <c r="I643" s="2"/>
      <c r="J643" s="4" t="s">
        <v>4017</v>
      </c>
      <c r="K643" s="136">
        <v>9.5</v>
      </c>
      <c r="L643" s="2"/>
      <c r="M643" s="4" t="s">
        <v>4000</v>
      </c>
      <c r="N643" s="136">
        <v>8</v>
      </c>
      <c r="O643" s="16"/>
    </row>
    <row r="644" spans="1:15" s="3" customFormat="1" ht="16" customHeight="1" thickBot="1" x14ac:dyDescent="0.25">
      <c r="A644" s="4" t="s">
        <v>3961</v>
      </c>
      <c r="B644" s="136">
        <v>8</v>
      </c>
      <c r="C644" s="2"/>
      <c r="D644" s="4" t="s">
        <v>3974</v>
      </c>
      <c r="E644" s="136">
        <v>8.5</v>
      </c>
      <c r="F644" s="2"/>
      <c r="G644" s="7" t="s">
        <v>3983</v>
      </c>
      <c r="H644" s="190">
        <v>8.5</v>
      </c>
      <c r="I644" s="2"/>
      <c r="J644" s="4" t="s">
        <v>4018</v>
      </c>
      <c r="K644" s="136">
        <v>8</v>
      </c>
      <c r="L644" s="2"/>
      <c r="M644" s="4" t="s">
        <v>4001</v>
      </c>
      <c r="N644" s="136">
        <v>8</v>
      </c>
      <c r="O644" s="16"/>
    </row>
    <row r="645" spans="1:15" s="3" customFormat="1" ht="16" customHeight="1" thickBot="1" x14ac:dyDescent="0.25">
      <c r="A645" s="4" t="s">
        <v>3962</v>
      </c>
      <c r="B645" s="136">
        <v>10</v>
      </c>
      <c r="C645" s="2"/>
      <c r="D645" s="7" t="s">
        <v>3975</v>
      </c>
      <c r="E645" s="190">
        <v>8</v>
      </c>
      <c r="F645" s="2"/>
      <c r="G645" s="2"/>
      <c r="H645" s="2"/>
      <c r="I645" s="2"/>
      <c r="J645" s="4" t="s">
        <v>4019</v>
      </c>
      <c r="K645" s="136"/>
      <c r="L645" s="2"/>
      <c r="M645" s="4" t="s">
        <v>4002</v>
      </c>
      <c r="N645" s="136">
        <v>8.5</v>
      </c>
      <c r="O645" s="16"/>
    </row>
    <row r="646" spans="1:15" s="3" customFormat="1" ht="16" customHeight="1" thickBot="1" x14ac:dyDescent="0.25">
      <c r="A646" s="4" t="s">
        <v>3963</v>
      </c>
      <c r="B646" s="136">
        <v>9</v>
      </c>
      <c r="C646" s="2"/>
      <c r="D646" s="2"/>
      <c r="E646" s="2"/>
      <c r="F646" s="2"/>
      <c r="G646" s="436" t="s">
        <v>4038</v>
      </c>
      <c r="H646" s="12">
        <f>ROUND(AVERAGE(H647:H655), 2)</f>
        <v>8.17</v>
      </c>
      <c r="I646" s="2"/>
      <c r="J646" s="4" t="s">
        <v>4020</v>
      </c>
      <c r="K646" s="136">
        <v>8</v>
      </c>
      <c r="L646" s="2"/>
      <c r="M646" s="4" t="s">
        <v>4003</v>
      </c>
      <c r="N646" s="136">
        <v>8</v>
      </c>
      <c r="O646" s="16"/>
    </row>
    <row r="647" spans="1:15" s="3" customFormat="1" ht="16" customHeight="1" thickBot="1" x14ac:dyDescent="0.25">
      <c r="A647" s="7" t="s">
        <v>3964</v>
      </c>
      <c r="B647" s="190">
        <v>8</v>
      </c>
      <c r="C647" s="2"/>
      <c r="D647" s="438" t="s">
        <v>4050</v>
      </c>
      <c r="E647" s="12">
        <f>ROUND(AVERAGE(E648:E650), 2)</f>
        <v>8.83</v>
      </c>
      <c r="F647" s="2"/>
      <c r="G647" s="11" t="s">
        <v>4029</v>
      </c>
      <c r="H647" s="189">
        <v>9</v>
      </c>
      <c r="I647" s="2"/>
      <c r="J647" s="4" t="s">
        <v>4021</v>
      </c>
      <c r="K647" s="136">
        <v>9</v>
      </c>
      <c r="L647" s="2"/>
      <c r="M647" s="4" t="s">
        <v>4004</v>
      </c>
      <c r="N647" s="136">
        <v>7.5</v>
      </c>
      <c r="O647" s="16"/>
    </row>
    <row r="648" spans="1:15" s="3" customFormat="1" ht="16" customHeight="1" thickBot="1" x14ac:dyDescent="0.25">
      <c r="A648" s="2"/>
      <c r="B648" s="2"/>
      <c r="C648" s="2"/>
      <c r="D648" s="11" t="s">
        <v>4045</v>
      </c>
      <c r="E648" s="189">
        <v>10.5</v>
      </c>
      <c r="F648" s="2"/>
      <c r="G648" s="4" t="s">
        <v>4030</v>
      </c>
      <c r="H648" s="136">
        <v>8.5</v>
      </c>
      <c r="I648" s="2"/>
      <c r="J648" s="4" t="s">
        <v>4022</v>
      </c>
      <c r="K648" s="136">
        <v>8.5</v>
      </c>
      <c r="L648" s="2"/>
      <c r="M648" s="4" t="s">
        <v>4005</v>
      </c>
      <c r="N648" s="136">
        <v>10.5</v>
      </c>
      <c r="O648" s="16"/>
    </row>
    <row r="649" spans="1:15" s="3" customFormat="1" ht="16" customHeight="1" thickBot="1" x14ac:dyDescent="0.25">
      <c r="A649" s="441" t="s">
        <v>4053</v>
      </c>
      <c r="B649" s="12">
        <f>ROUND(AVERAGE(B650:B661), 2)</f>
        <v>9</v>
      </c>
      <c r="C649" s="2"/>
      <c r="D649" s="4" t="s">
        <v>4049</v>
      </c>
      <c r="E649" s="136">
        <v>8</v>
      </c>
      <c r="F649" s="2"/>
      <c r="G649" s="4" t="s">
        <v>4031</v>
      </c>
      <c r="H649" s="136">
        <v>8.5</v>
      </c>
      <c r="I649" s="2"/>
      <c r="J649" s="4" t="s">
        <v>4023</v>
      </c>
      <c r="K649" s="136">
        <v>8</v>
      </c>
      <c r="L649" s="2"/>
      <c r="M649" s="4" t="s">
        <v>4006</v>
      </c>
      <c r="N649" s="136">
        <v>8.5</v>
      </c>
      <c r="O649" s="16"/>
    </row>
    <row r="650" spans="1:15" s="3" customFormat="1" ht="16" customHeight="1" thickBot="1" x14ac:dyDescent="0.25">
      <c r="A650" s="11" t="s">
        <v>4054</v>
      </c>
      <c r="B650" s="189">
        <v>10</v>
      </c>
      <c r="C650" s="2"/>
      <c r="D650" s="7" t="s">
        <v>4046</v>
      </c>
      <c r="E650" s="190">
        <v>8</v>
      </c>
      <c r="F650" s="2"/>
      <c r="G650" s="4" t="s">
        <v>4032</v>
      </c>
      <c r="H650" s="136">
        <v>8</v>
      </c>
      <c r="I650" s="2"/>
      <c r="J650" s="7" t="s">
        <v>4024</v>
      </c>
      <c r="K650" s="190">
        <v>10</v>
      </c>
      <c r="L650" s="2"/>
      <c r="M650" s="7" t="s">
        <v>4007</v>
      </c>
      <c r="N650" s="190">
        <v>9</v>
      </c>
      <c r="O650" s="16"/>
    </row>
    <row r="651" spans="1:15" s="3" customFormat="1" ht="16" customHeight="1" thickBot="1" x14ac:dyDescent="0.25">
      <c r="A651" s="4" t="s">
        <v>4055</v>
      </c>
      <c r="B651" s="136">
        <v>10</v>
      </c>
      <c r="C651" s="2"/>
      <c r="D651" s="2"/>
      <c r="E651" s="2"/>
      <c r="F651" s="2"/>
      <c r="G651" s="4" t="s">
        <v>4033</v>
      </c>
      <c r="H651" s="136">
        <v>8.5</v>
      </c>
      <c r="I651" s="2"/>
      <c r="J651" s="2"/>
      <c r="K651" s="2"/>
      <c r="L651" s="2"/>
      <c r="M651" s="2"/>
      <c r="N651" s="2"/>
      <c r="O651" s="16"/>
    </row>
    <row r="652" spans="1:15" s="3" customFormat="1" ht="16" customHeight="1" thickBot="1" x14ac:dyDescent="0.25">
      <c r="A652" s="4" t="s">
        <v>4056</v>
      </c>
      <c r="B652" s="136">
        <v>10</v>
      </c>
      <c r="C652" s="2"/>
      <c r="D652" s="440" t="s">
        <v>4091</v>
      </c>
      <c r="E652" s="12">
        <f>ROUND(AVERAGE(E653:E674), 2)</f>
        <v>9.09</v>
      </c>
      <c r="F652" s="2"/>
      <c r="G652" s="4" t="s">
        <v>4034</v>
      </c>
      <c r="H652" s="136">
        <v>8</v>
      </c>
      <c r="I652" s="2"/>
      <c r="J652" s="444" t="s">
        <v>4115</v>
      </c>
      <c r="K652" s="12">
        <f>ROUND(AVERAGE(K653:K659), 2)</f>
        <v>8.86</v>
      </c>
      <c r="L652" s="2"/>
      <c r="M652" s="445" t="s">
        <v>4138</v>
      </c>
      <c r="N652" s="12">
        <f>ROUND(AVERAGE(N653:N658), 2)</f>
        <v>8.75</v>
      </c>
      <c r="O652" s="16"/>
    </row>
    <row r="653" spans="1:15" s="3" customFormat="1" ht="16" customHeight="1" x14ac:dyDescent="0.2">
      <c r="A653" s="4" t="s">
        <v>4057</v>
      </c>
      <c r="B653" s="136">
        <v>8.5</v>
      </c>
      <c r="C653" s="2"/>
      <c r="D653" s="11" t="s">
        <v>4072</v>
      </c>
      <c r="E653" s="189">
        <v>8.5</v>
      </c>
      <c r="F653" s="2"/>
      <c r="G653" s="4" t="s">
        <v>4035</v>
      </c>
      <c r="H653" s="136">
        <v>8</v>
      </c>
      <c r="I653" s="2"/>
      <c r="J653" s="11" t="s">
        <v>4116</v>
      </c>
      <c r="K653" s="189">
        <v>9</v>
      </c>
      <c r="L653" s="2"/>
      <c r="M653" s="11" t="s">
        <v>4132</v>
      </c>
      <c r="N653" s="189">
        <v>10</v>
      </c>
      <c r="O653" s="16"/>
    </row>
    <row r="654" spans="1:15" s="3" customFormat="1" ht="16" customHeight="1" x14ac:dyDescent="0.2">
      <c r="A654" s="4" t="s">
        <v>4058</v>
      </c>
      <c r="B654" s="136">
        <v>10</v>
      </c>
      <c r="C654" s="2"/>
      <c r="D654" s="4" t="s">
        <v>4073</v>
      </c>
      <c r="E654" s="136">
        <v>8</v>
      </c>
      <c r="F654" s="2"/>
      <c r="G654" s="4" t="s">
        <v>4036</v>
      </c>
      <c r="H654" s="136">
        <v>7.5</v>
      </c>
      <c r="I654" s="2"/>
      <c r="J654" s="4" t="s">
        <v>4117</v>
      </c>
      <c r="K654" s="136">
        <v>8</v>
      </c>
      <c r="L654" s="2"/>
      <c r="M654" s="4" t="s">
        <v>4133</v>
      </c>
      <c r="N654" s="136">
        <v>9</v>
      </c>
      <c r="O654" s="16"/>
    </row>
    <row r="655" spans="1:15" s="3" customFormat="1" ht="16" customHeight="1" thickBot="1" x14ac:dyDescent="0.25">
      <c r="A655" s="4" t="s">
        <v>4059</v>
      </c>
      <c r="B655" s="136">
        <v>8</v>
      </c>
      <c r="C655" s="2"/>
      <c r="D655" s="4" t="s">
        <v>4074</v>
      </c>
      <c r="E655" s="136">
        <v>9</v>
      </c>
      <c r="F655" s="2"/>
      <c r="G655" s="7" t="s">
        <v>4037</v>
      </c>
      <c r="H655" s="190">
        <v>7.5</v>
      </c>
      <c r="I655" s="2"/>
      <c r="J655" s="4" t="s">
        <v>4118</v>
      </c>
      <c r="K655" s="136">
        <v>10</v>
      </c>
      <c r="L655" s="2"/>
      <c r="M655" s="4" t="s">
        <v>4134</v>
      </c>
      <c r="N655" s="136">
        <v>8</v>
      </c>
      <c r="O655" s="16"/>
    </row>
    <row r="656" spans="1:15" s="3" customFormat="1" ht="16" customHeight="1" thickBot="1" x14ac:dyDescent="0.25">
      <c r="A656" s="4" t="s">
        <v>4060</v>
      </c>
      <c r="B656" s="136">
        <v>8</v>
      </c>
      <c r="C656" s="2"/>
      <c r="D656" s="4" t="s">
        <v>4075</v>
      </c>
      <c r="E656" s="136">
        <v>9</v>
      </c>
      <c r="F656" s="2"/>
      <c r="G656" s="2"/>
      <c r="H656" s="2"/>
      <c r="I656" s="2"/>
      <c r="J656" s="4" t="s">
        <v>4119</v>
      </c>
      <c r="K656" s="136">
        <v>8.5</v>
      </c>
      <c r="L656" s="2"/>
      <c r="M656" s="4" t="s">
        <v>4135</v>
      </c>
      <c r="N656" s="136">
        <v>8.5</v>
      </c>
      <c r="O656" s="16"/>
    </row>
    <row r="657" spans="1:15" s="3" customFormat="1" ht="16" customHeight="1" thickBot="1" x14ac:dyDescent="0.25">
      <c r="A657" s="4" t="s">
        <v>4061</v>
      </c>
      <c r="B657" s="136">
        <v>9</v>
      </c>
      <c r="C657" s="2"/>
      <c r="D657" s="4" t="s">
        <v>4076</v>
      </c>
      <c r="E657" s="136">
        <v>8.5</v>
      </c>
      <c r="F657" s="2"/>
      <c r="G657" s="442" t="s">
        <v>4095</v>
      </c>
      <c r="H657" s="12">
        <f>ROUND(AVERAGE(H658:H668), 2)</f>
        <v>8.59</v>
      </c>
      <c r="I657" s="2"/>
      <c r="J657" s="4" t="s">
        <v>4120</v>
      </c>
      <c r="K657" s="136">
        <v>8.5</v>
      </c>
      <c r="L657" s="2"/>
      <c r="M657" s="4" t="s">
        <v>4136</v>
      </c>
      <c r="N657" s="136">
        <v>9</v>
      </c>
      <c r="O657" s="16"/>
    </row>
    <row r="658" spans="1:15" s="3" customFormat="1" ht="16" customHeight="1" thickBot="1" x14ac:dyDescent="0.25">
      <c r="A658" s="4" t="s">
        <v>4062</v>
      </c>
      <c r="B658" s="136">
        <v>8</v>
      </c>
      <c r="C658" s="2"/>
      <c r="D658" s="4" t="s">
        <v>4077</v>
      </c>
      <c r="E658" s="136">
        <v>10</v>
      </c>
      <c r="F658" s="2"/>
      <c r="G658" s="11" t="s">
        <v>4096</v>
      </c>
      <c r="H658" s="189">
        <v>9</v>
      </c>
      <c r="I658" s="2"/>
      <c r="J658" s="4" t="s">
        <v>4121</v>
      </c>
      <c r="K658" s="136">
        <v>9</v>
      </c>
      <c r="L658" s="2"/>
      <c r="M658" s="7" t="s">
        <v>4137</v>
      </c>
      <c r="N658" s="190">
        <v>8</v>
      </c>
      <c r="O658" s="16"/>
    </row>
    <row r="659" spans="1:15" s="3" customFormat="1" ht="16" customHeight="1" thickBot="1" x14ac:dyDescent="0.25">
      <c r="A659" s="4" t="s">
        <v>4063</v>
      </c>
      <c r="B659" s="136">
        <v>8.5</v>
      </c>
      <c r="C659" s="2"/>
      <c r="D659" s="4" t="s">
        <v>4078</v>
      </c>
      <c r="E659" s="136">
        <v>10</v>
      </c>
      <c r="F659" s="2"/>
      <c r="G659" s="4" t="s">
        <v>4097</v>
      </c>
      <c r="H659" s="136">
        <v>8.5</v>
      </c>
      <c r="I659" s="2"/>
      <c r="J659" s="7" t="s">
        <v>4122</v>
      </c>
      <c r="K659" s="190">
        <v>9</v>
      </c>
      <c r="L659" s="2"/>
      <c r="M659" s="2"/>
      <c r="N659" s="2"/>
      <c r="O659" s="16"/>
    </row>
    <row r="660" spans="1:15" s="3" customFormat="1" ht="16" customHeight="1" thickBot="1" x14ac:dyDescent="0.25">
      <c r="A660" s="4" t="s">
        <v>4065</v>
      </c>
      <c r="B660" s="136">
        <v>8</v>
      </c>
      <c r="C660" s="2"/>
      <c r="D660" s="4" t="s">
        <v>4079</v>
      </c>
      <c r="E660" s="136">
        <v>9</v>
      </c>
      <c r="F660" s="2"/>
      <c r="G660" s="4" t="s">
        <v>4098</v>
      </c>
      <c r="H660" s="136">
        <v>10</v>
      </c>
      <c r="I660" s="2"/>
      <c r="J660" s="2"/>
      <c r="K660" s="2"/>
      <c r="L660" s="2"/>
      <c r="M660" s="447" t="s">
        <v>4160</v>
      </c>
      <c r="N660" s="12">
        <f>ROUND(AVERAGE(N661:N674), 2)</f>
        <v>8.4600000000000009</v>
      </c>
      <c r="O660" s="16"/>
    </row>
    <row r="661" spans="1:15" s="3" customFormat="1" ht="16" customHeight="1" thickBot="1" x14ac:dyDescent="0.25">
      <c r="A661" s="7" t="s">
        <v>4064</v>
      </c>
      <c r="B661" s="190">
        <v>10</v>
      </c>
      <c r="C661" s="2"/>
      <c r="D661" s="4" t="s">
        <v>4080</v>
      </c>
      <c r="E661" s="136">
        <v>8</v>
      </c>
      <c r="F661" s="2"/>
      <c r="G661" s="4" t="s">
        <v>4099</v>
      </c>
      <c r="H661" s="136">
        <v>8</v>
      </c>
      <c r="I661" s="2"/>
      <c r="J661" s="448" t="s">
        <v>4161</v>
      </c>
      <c r="K661" s="12">
        <f>ROUND(AVERAGE(K662:K674), 2)</f>
        <v>7.92</v>
      </c>
      <c r="L661" s="2"/>
      <c r="M661" s="11" t="s">
        <v>4143</v>
      </c>
      <c r="N661" s="189">
        <v>8</v>
      </c>
      <c r="O661" s="16"/>
    </row>
    <row r="662" spans="1:15" s="3" customFormat="1" ht="16" customHeight="1" thickBot="1" x14ac:dyDescent="0.25">
      <c r="A662" s="2"/>
      <c r="B662" s="2"/>
      <c r="C662" s="2"/>
      <c r="D662" s="4" t="s">
        <v>4081</v>
      </c>
      <c r="E662" s="136">
        <v>8.5</v>
      </c>
      <c r="F662" s="2"/>
      <c r="G662" s="4" t="s">
        <v>4100</v>
      </c>
      <c r="H662" s="136">
        <v>8.5</v>
      </c>
      <c r="I662" s="2"/>
      <c r="J662" s="11" t="s">
        <v>4162</v>
      </c>
      <c r="K662" s="189">
        <v>7</v>
      </c>
      <c r="L662" s="2"/>
      <c r="M662" s="4" t="s">
        <v>4144</v>
      </c>
      <c r="N662" s="136">
        <v>8</v>
      </c>
      <c r="O662" s="16"/>
    </row>
    <row r="663" spans="1:15" s="3" customFormat="1" ht="16" customHeight="1" thickBot="1" x14ac:dyDescent="0.25">
      <c r="A663" s="449" t="s">
        <v>4183</v>
      </c>
      <c r="B663" s="12">
        <f>ROUND(AVERAGE(B664:B671), 2)</f>
        <v>0.81</v>
      </c>
      <c r="C663" s="2"/>
      <c r="D663" s="4" t="s">
        <v>4082</v>
      </c>
      <c r="E663" s="136">
        <v>9.5</v>
      </c>
      <c r="F663" s="2"/>
      <c r="G663" s="4" t="s">
        <v>4101</v>
      </c>
      <c r="H663" s="136">
        <v>10</v>
      </c>
      <c r="I663" s="2"/>
      <c r="J663" s="4" t="s">
        <v>4163</v>
      </c>
      <c r="K663" s="136">
        <v>8</v>
      </c>
      <c r="L663" s="2"/>
      <c r="M663" s="4" t="s">
        <v>4145</v>
      </c>
      <c r="N663" s="136">
        <v>10</v>
      </c>
      <c r="O663" s="16"/>
    </row>
    <row r="664" spans="1:15" s="3" customFormat="1" ht="16" customHeight="1" x14ac:dyDescent="0.2">
      <c r="A664" s="11" t="s">
        <v>4175</v>
      </c>
      <c r="B664" s="189">
        <v>2</v>
      </c>
      <c r="C664" s="2"/>
      <c r="D664" s="4" t="s">
        <v>4083</v>
      </c>
      <c r="E664" s="136">
        <v>8.5</v>
      </c>
      <c r="F664" s="2"/>
      <c r="G664" s="4" t="s">
        <v>4102</v>
      </c>
      <c r="H664" s="136">
        <v>8.5</v>
      </c>
      <c r="I664" s="2"/>
      <c r="J664" s="4" t="s">
        <v>4164</v>
      </c>
      <c r="K664" s="136">
        <v>8</v>
      </c>
      <c r="L664" s="2"/>
      <c r="M664" s="4" t="s">
        <v>4146</v>
      </c>
      <c r="N664" s="136">
        <v>8.5</v>
      </c>
      <c r="O664" s="16"/>
    </row>
    <row r="665" spans="1:15" s="3" customFormat="1" ht="16" customHeight="1" x14ac:dyDescent="0.2">
      <c r="A665" s="4" t="s">
        <v>4176</v>
      </c>
      <c r="B665" s="136">
        <v>0</v>
      </c>
      <c r="C665" s="2"/>
      <c r="D665" s="4" t="s">
        <v>4084</v>
      </c>
      <c r="E665" s="136">
        <v>10.5</v>
      </c>
      <c r="F665" s="2"/>
      <c r="G665" s="4" t="s">
        <v>4103</v>
      </c>
      <c r="H665" s="136">
        <v>8</v>
      </c>
      <c r="I665" s="2"/>
      <c r="J665" s="4" t="s">
        <v>4165</v>
      </c>
      <c r="K665" s="136">
        <v>7.5</v>
      </c>
      <c r="L665" s="2"/>
      <c r="M665" s="4" t="s">
        <v>4147</v>
      </c>
      <c r="N665" s="136">
        <v>8</v>
      </c>
      <c r="O665" s="16"/>
    </row>
    <row r="666" spans="1:15" s="3" customFormat="1" ht="16" customHeight="1" x14ac:dyDescent="0.2">
      <c r="A666" s="4" t="s">
        <v>4177</v>
      </c>
      <c r="B666" s="136">
        <v>1</v>
      </c>
      <c r="C666" s="2"/>
      <c r="D666" s="4" t="s">
        <v>4090</v>
      </c>
      <c r="E666" s="136">
        <v>8</v>
      </c>
      <c r="F666" s="2"/>
      <c r="G666" s="4" t="s">
        <v>4104</v>
      </c>
      <c r="H666" s="136">
        <v>7.5</v>
      </c>
      <c r="I666" s="2"/>
      <c r="J666" s="4" t="s">
        <v>4166</v>
      </c>
      <c r="K666" s="136">
        <v>8.5</v>
      </c>
      <c r="L666" s="2"/>
      <c r="M666" s="4" t="s">
        <v>4148</v>
      </c>
      <c r="N666" s="136">
        <v>9</v>
      </c>
      <c r="O666" s="16"/>
    </row>
    <row r="667" spans="1:15" s="3" customFormat="1" ht="16" customHeight="1" x14ac:dyDescent="0.2">
      <c r="A667" s="4" t="s">
        <v>4178</v>
      </c>
      <c r="B667" s="136">
        <v>1.5</v>
      </c>
      <c r="C667" s="2"/>
      <c r="D667" s="4" t="s">
        <v>4085</v>
      </c>
      <c r="E667" s="136">
        <v>10</v>
      </c>
      <c r="F667" s="2"/>
      <c r="G667" s="4" t="s">
        <v>4105</v>
      </c>
      <c r="H667" s="136">
        <v>8.5</v>
      </c>
      <c r="I667" s="2"/>
      <c r="J667" s="4" t="s">
        <v>4167</v>
      </c>
      <c r="K667" s="136">
        <v>8</v>
      </c>
      <c r="L667" s="2"/>
      <c r="M667" s="4" t="s">
        <v>4149</v>
      </c>
      <c r="N667" s="136">
        <v>8.5</v>
      </c>
      <c r="O667" s="16"/>
    </row>
    <row r="668" spans="1:15" s="3" customFormat="1" ht="16" customHeight="1" thickBot="1" x14ac:dyDescent="0.25">
      <c r="A668" s="4" t="s">
        <v>4179</v>
      </c>
      <c r="B668" s="136">
        <v>1</v>
      </c>
      <c r="C668" s="2"/>
      <c r="D668" s="4" t="s">
        <v>4086</v>
      </c>
      <c r="E668" s="136">
        <v>10.5</v>
      </c>
      <c r="F668" s="2"/>
      <c r="G668" s="7" t="s">
        <v>4106</v>
      </c>
      <c r="H668" s="190">
        <v>8</v>
      </c>
      <c r="I668" s="2"/>
      <c r="J668" s="4" t="s">
        <v>4168</v>
      </c>
      <c r="K668" s="136">
        <v>7</v>
      </c>
      <c r="L668" s="2"/>
      <c r="M668" s="4" t="s">
        <v>4150</v>
      </c>
      <c r="N668" s="136">
        <v>9.5</v>
      </c>
      <c r="O668" s="16"/>
    </row>
    <row r="669" spans="1:15" s="3" customFormat="1" ht="16" customHeight="1" thickBot="1" x14ac:dyDescent="0.25">
      <c r="A669" s="4" t="s">
        <v>4180</v>
      </c>
      <c r="B669" s="136">
        <v>1</v>
      </c>
      <c r="C669" s="2"/>
      <c r="D669" s="4" t="s">
        <v>4087</v>
      </c>
      <c r="E669" s="136">
        <v>9.5</v>
      </c>
      <c r="F669" s="2"/>
      <c r="G669" s="2"/>
      <c r="H669" s="2"/>
      <c r="I669" s="2"/>
      <c r="J669" s="4" t="s">
        <v>4169</v>
      </c>
      <c r="K669" s="136">
        <v>9</v>
      </c>
      <c r="L669" s="2"/>
      <c r="M669" s="4" t="s">
        <v>4151</v>
      </c>
      <c r="N669" s="136">
        <v>9</v>
      </c>
      <c r="O669" s="16"/>
    </row>
    <row r="670" spans="1:15" s="3" customFormat="1" ht="16" customHeight="1" thickBot="1" x14ac:dyDescent="0.25">
      <c r="A670" s="4" t="s">
        <v>4181</v>
      </c>
      <c r="B670" s="136">
        <v>0</v>
      </c>
      <c r="C670" s="2"/>
      <c r="D670" s="4" t="s">
        <v>4088</v>
      </c>
      <c r="E670" s="136">
        <v>9</v>
      </c>
      <c r="F670" s="2"/>
      <c r="G670" s="450" t="s">
        <v>4184</v>
      </c>
      <c r="H670" s="12">
        <f>ROUND(AVERAGE(H671:H679), 2)</f>
        <v>8.56</v>
      </c>
      <c r="I670" s="2"/>
      <c r="J670" s="4" t="s">
        <v>4170</v>
      </c>
      <c r="K670" s="136">
        <v>7.5</v>
      </c>
      <c r="L670" s="2"/>
      <c r="M670" s="4" t="s">
        <v>4152</v>
      </c>
      <c r="N670" s="136">
        <v>9</v>
      </c>
      <c r="O670" s="16"/>
    </row>
    <row r="671" spans="1:15" s="3" customFormat="1" ht="16" customHeight="1" thickBot="1" x14ac:dyDescent="0.25">
      <c r="A671" s="7" t="s">
        <v>4182</v>
      </c>
      <c r="B671" s="190">
        <v>0</v>
      </c>
      <c r="C671" s="2"/>
      <c r="D671" s="4" t="s">
        <v>4089</v>
      </c>
      <c r="E671" s="136">
        <v>10</v>
      </c>
      <c r="F671" s="2"/>
      <c r="G671" s="11" t="s">
        <v>4185</v>
      </c>
      <c r="H671" s="189">
        <v>8.5</v>
      </c>
      <c r="I671" s="2"/>
      <c r="J671" s="4" t="s">
        <v>4171</v>
      </c>
      <c r="K671" s="136">
        <v>7.5</v>
      </c>
      <c r="L671" s="2"/>
      <c r="M671" s="4" t="s">
        <v>4153</v>
      </c>
      <c r="N671" s="136">
        <v>7.5</v>
      </c>
      <c r="O671" s="16"/>
    </row>
    <row r="672" spans="1:15" s="3" customFormat="1" ht="16" customHeight="1" thickBot="1" x14ac:dyDescent="0.25">
      <c r="A672" s="2"/>
      <c r="B672" s="2"/>
      <c r="C672" s="2"/>
      <c r="D672" s="4" t="s">
        <v>4092</v>
      </c>
      <c r="E672" s="136">
        <v>8</v>
      </c>
      <c r="F672" s="2"/>
      <c r="G672" s="4" t="s">
        <v>4186</v>
      </c>
      <c r="H672" s="136">
        <v>8</v>
      </c>
      <c r="I672" s="2"/>
      <c r="J672" s="4" t="s">
        <v>4172</v>
      </c>
      <c r="K672" s="136">
        <v>8.5</v>
      </c>
      <c r="L672" s="2"/>
      <c r="M672" s="4" t="s">
        <v>4154</v>
      </c>
      <c r="N672" s="136">
        <v>8</v>
      </c>
      <c r="O672" s="16"/>
    </row>
    <row r="673" spans="1:15" s="3" customFormat="1" ht="16" customHeight="1" thickBot="1" x14ac:dyDescent="0.25">
      <c r="A673" s="454" t="s">
        <v>4207</v>
      </c>
      <c r="B673" s="12">
        <f>ROUND(AVERAGE(B674:B686), 2)</f>
        <v>8.65</v>
      </c>
      <c r="C673" s="2"/>
      <c r="D673" s="4" t="s">
        <v>4093</v>
      </c>
      <c r="E673" s="136">
        <v>9.5</v>
      </c>
      <c r="F673" s="2"/>
      <c r="G673" s="4" t="s">
        <v>4187</v>
      </c>
      <c r="H673" s="136">
        <v>8.5</v>
      </c>
      <c r="I673" s="2"/>
      <c r="J673" s="4" t="s">
        <v>4173</v>
      </c>
      <c r="K673" s="136">
        <v>8</v>
      </c>
      <c r="L673" s="2"/>
      <c r="M673" s="4" t="s">
        <v>4155</v>
      </c>
      <c r="N673" s="136">
        <v>7.5</v>
      </c>
      <c r="O673" s="16"/>
    </row>
    <row r="674" spans="1:15" s="3" customFormat="1" ht="16" customHeight="1" thickBot="1" x14ac:dyDescent="0.25">
      <c r="A674" s="11" t="s">
        <v>4208</v>
      </c>
      <c r="B674" s="189">
        <v>8.5</v>
      </c>
      <c r="C674" s="2"/>
      <c r="D674" s="7" t="s">
        <v>4094</v>
      </c>
      <c r="E674" s="190">
        <v>8.5</v>
      </c>
      <c r="F674" s="2"/>
      <c r="G674" s="4" t="s">
        <v>4188</v>
      </c>
      <c r="H674" s="136">
        <v>9</v>
      </c>
      <c r="I674" s="2"/>
      <c r="J674" s="7" t="s">
        <v>4174</v>
      </c>
      <c r="K674" s="190">
        <v>8.5</v>
      </c>
      <c r="L674" s="2"/>
      <c r="M674" s="7" t="s">
        <v>4156</v>
      </c>
      <c r="N674" s="190">
        <v>8</v>
      </c>
      <c r="O674" s="16"/>
    </row>
    <row r="675" spans="1:15" s="3" customFormat="1" ht="16" customHeight="1" thickBot="1" x14ac:dyDescent="0.25">
      <c r="A675" s="4" t="s">
        <v>4209</v>
      </c>
      <c r="B675" s="136">
        <v>10</v>
      </c>
      <c r="C675" s="2"/>
      <c r="D675" s="2"/>
      <c r="E675" s="2"/>
      <c r="F675" s="2"/>
      <c r="G675" s="4" t="s">
        <v>4189</v>
      </c>
      <c r="H675" s="136">
        <v>10</v>
      </c>
      <c r="I675" s="2"/>
      <c r="J675" s="2"/>
      <c r="K675" s="2"/>
      <c r="L675" s="2"/>
      <c r="M675" s="2"/>
      <c r="N675" s="2"/>
      <c r="O675" s="16"/>
    </row>
    <row r="676" spans="1:15" s="3" customFormat="1" ht="16" customHeight="1" thickBot="1" x14ac:dyDescent="0.25">
      <c r="A676" s="4" t="s">
        <v>4210</v>
      </c>
      <c r="B676" s="136">
        <v>8.5</v>
      </c>
      <c r="C676" s="2"/>
      <c r="D676" s="455" t="s">
        <v>4273</v>
      </c>
      <c r="E676" s="12">
        <f>ROUND(AVERAGE(E677:E685), 2)</f>
        <v>8.69</v>
      </c>
      <c r="F676" s="2"/>
      <c r="G676" s="4" t="s">
        <v>4190</v>
      </c>
      <c r="H676" s="136">
        <v>8</v>
      </c>
      <c r="I676" s="2"/>
      <c r="J676" s="456" t="s">
        <v>4284</v>
      </c>
      <c r="K676" s="12">
        <f>ROUND(AVERAGE(K677:K689), 2)</f>
        <v>8.42</v>
      </c>
      <c r="L676" s="2"/>
      <c r="M676" s="457" t="s">
        <v>4301</v>
      </c>
      <c r="N676" s="12">
        <f>ROUND(AVERAGE(N677:N686), 2)</f>
        <v>8.6999999999999993</v>
      </c>
      <c r="O676" s="16"/>
    </row>
    <row r="677" spans="1:15" s="3" customFormat="1" ht="16" customHeight="1" x14ac:dyDescent="0.2">
      <c r="A677" s="4" t="s">
        <v>4211</v>
      </c>
      <c r="B677" s="136">
        <v>8</v>
      </c>
      <c r="C677" s="2"/>
      <c r="D677" s="11" t="s">
        <v>4274</v>
      </c>
      <c r="E677" s="189">
        <v>9</v>
      </c>
      <c r="F677" s="2"/>
      <c r="G677" s="4" t="s">
        <v>4191</v>
      </c>
      <c r="H677" s="136">
        <v>7.5</v>
      </c>
      <c r="I677" s="2"/>
      <c r="J677" s="11" t="s">
        <v>4285</v>
      </c>
      <c r="K677" s="189">
        <v>8</v>
      </c>
      <c r="L677" s="2"/>
      <c r="M677" s="11" t="s">
        <v>4302</v>
      </c>
      <c r="N677" s="189">
        <v>10.5</v>
      </c>
      <c r="O677" s="16"/>
    </row>
    <row r="678" spans="1:15" s="3" customFormat="1" ht="16" customHeight="1" x14ac:dyDescent="0.2">
      <c r="A678" s="4" t="s">
        <v>4212</v>
      </c>
      <c r="B678" s="136">
        <v>7.5</v>
      </c>
      <c r="C678" s="2"/>
      <c r="D678" s="4" t="s">
        <v>4275</v>
      </c>
      <c r="E678" s="136">
        <v>9</v>
      </c>
      <c r="F678" s="2"/>
      <c r="G678" s="4" t="s">
        <v>4192</v>
      </c>
      <c r="H678" s="136">
        <v>8.5</v>
      </c>
      <c r="I678" s="2"/>
      <c r="J678" s="4" t="s">
        <v>4286</v>
      </c>
      <c r="K678" s="136">
        <v>8</v>
      </c>
      <c r="L678" s="2"/>
      <c r="M678" s="4" t="s">
        <v>4303</v>
      </c>
      <c r="N678" s="136">
        <v>8.5</v>
      </c>
      <c r="O678" s="16"/>
    </row>
    <row r="679" spans="1:15" s="3" customFormat="1" ht="16" customHeight="1" thickBot="1" x14ac:dyDescent="0.25">
      <c r="A679" s="4" t="s">
        <v>4213</v>
      </c>
      <c r="B679" s="136">
        <v>8</v>
      </c>
      <c r="C679" s="2"/>
      <c r="D679" s="4" t="s">
        <v>4276</v>
      </c>
      <c r="E679" s="136">
        <v>8.5</v>
      </c>
      <c r="F679" s="2"/>
      <c r="G679" s="7" t="s">
        <v>4193</v>
      </c>
      <c r="H679" s="190">
        <v>9</v>
      </c>
      <c r="I679" s="2"/>
      <c r="J679" s="4" t="s">
        <v>4287</v>
      </c>
      <c r="K679" s="136">
        <v>8.5</v>
      </c>
      <c r="L679" s="2"/>
      <c r="M679" s="4" t="s">
        <v>4304</v>
      </c>
      <c r="N679" s="136">
        <v>8</v>
      </c>
      <c r="O679" s="16"/>
    </row>
    <row r="680" spans="1:15" s="3" customFormat="1" ht="16" customHeight="1" thickBot="1" x14ac:dyDescent="0.25">
      <c r="A680" s="4" t="s">
        <v>4214</v>
      </c>
      <c r="B680" s="136">
        <v>8</v>
      </c>
      <c r="C680" s="2"/>
      <c r="D680" s="4" t="s">
        <v>4277</v>
      </c>
      <c r="E680" s="136">
        <v>8.5</v>
      </c>
      <c r="F680" s="2"/>
      <c r="G680" s="2"/>
      <c r="H680" s="2"/>
      <c r="I680" s="2"/>
      <c r="J680" s="4" t="s">
        <v>4288</v>
      </c>
      <c r="K680" s="136">
        <v>9</v>
      </c>
      <c r="L680" s="2"/>
      <c r="M680" s="4" t="s">
        <v>4305</v>
      </c>
      <c r="N680" s="136">
        <v>9</v>
      </c>
      <c r="O680" s="16"/>
    </row>
    <row r="681" spans="1:15" s="3" customFormat="1" ht="16" customHeight="1" thickBot="1" x14ac:dyDescent="0.25">
      <c r="A681" s="4" t="s">
        <v>4215</v>
      </c>
      <c r="B681" s="136">
        <v>9</v>
      </c>
      <c r="C681" s="2"/>
      <c r="D681" s="4" t="s">
        <v>260</v>
      </c>
      <c r="E681" s="136"/>
      <c r="F681" s="2"/>
      <c r="G681" s="458" t="s">
        <v>4316</v>
      </c>
      <c r="H681" s="12">
        <f>ROUND(AVERAGE(H682:H683), 2)</f>
        <v>8.75</v>
      </c>
      <c r="I681" s="2"/>
      <c r="J681" s="4" t="s">
        <v>4289</v>
      </c>
      <c r="K681" s="136">
        <v>7.5</v>
      </c>
      <c r="L681" s="2"/>
      <c r="M681" s="4" t="s">
        <v>4306</v>
      </c>
      <c r="N681" s="136">
        <v>8.5</v>
      </c>
      <c r="O681" s="16"/>
    </row>
    <row r="682" spans="1:15" s="3" customFormat="1" ht="16" customHeight="1" x14ac:dyDescent="0.2">
      <c r="A682" s="4" t="s">
        <v>4216</v>
      </c>
      <c r="B682" s="136">
        <v>9.5</v>
      </c>
      <c r="C682" s="2"/>
      <c r="D682" s="4" t="s">
        <v>4278</v>
      </c>
      <c r="E682" s="136">
        <v>8</v>
      </c>
      <c r="F682" s="2"/>
      <c r="G682" s="11" t="s">
        <v>4317</v>
      </c>
      <c r="H682" s="189">
        <v>9.5</v>
      </c>
      <c r="I682" s="2"/>
      <c r="J682" s="4" t="s">
        <v>4290</v>
      </c>
      <c r="K682" s="136">
        <v>8.5</v>
      </c>
      <c r="L682" s="2"/>
      <c r="M682" s="4" t="s">
        <v>4307</v>
      </c>
      <c r="N682" s="136">
        <v>10</v>
      </c>
      <c r="O682" s="16"/>
    </row>
    <row r="683" spans="1:15" s="3" customFormat="1" ht="16" customHeight="1" thickBot="1" x14ac:dyDescent="0.25">
      <c r="A683" s="4" t="s">
        <v>4217</v>
      </c>
      <c r="B683" s="136">
        <v>8</v>
      </c>
      <c r="C683" s="2"/>
      <c r="D683" s="4" t="s">
        <v>4279</v>
      </c>
      <c r="E683" s="136">
        <v>10</v>
      </c>
      <c r="F683" s="2"/>
      <c r="G683" s="7" t="s">
        <v>4318</v>
      </c>
      <c r="H683" s="190">
        <v>8</v>
      </c>
      <c r="I683" s="2"/>
      <c r="J683" s="4" t="s">
        <v>4291</v>
      </c>
      <c r="K683" s="136">
        <v>8</v>
      </c>
      <c r="L683" s="2"/>
      <c r="M683" s="4" t="s">
        <v>4308</v>
      </c>
      <c r="N683" s="136">
        <v>8</v>
      </c>
      <c r="O683" s="16"/>
    </row>
    <row r="684" spans="1:15" s="3" customFormat="1" ht="16" customHeight="1" thickBot="1" x14ac:dyDescent="0.25">
      <c r="A684" s="4" t="s">
        <v>4218</v>
      </c>
      <c r="B684" s="136">
        <v>10.5</v>
      </c>
      <c r="C684" s="2"/>
      <c r="D684" s="4" t="s">
        <v>4280</v>
      </c>
      <c r="E684" s="136">
        <v>8</v>
      </c>
      <c r="F684" s="2"/>
      <c r="G684" s="2"/>
      <c r="H684" s="2"/>
      <c r="I684" s="2"/>
      <c r="J684" s="4" t="s">
        <v>4292</v>
      </c>
      <c r="K684" s="136">
        <v>10.5</v>
      </c>
      <c r="L684" s="2"/>
      <c r="M684" s="4" t="s">
        <v>4309</v>
      </c>
      <c r="N684" s="136">
        <v>8.5</v>
      </c>
      <c r="O684" s="16"/>
    </row>
    <row r="685" spans="1:15" s="3" customFormat="1" ht="16" customHeight="1" thickBot="1" x14ac:dyDescent="0.25">
      <c r="A685" s="4" t="s">
        <v>4219</v>
      </c>
      <c r="B685" s="136">
        <v>8</v>
      </c>
      <c r="C685" s="2"/>
      <c r="D685" s="7" t="s">
        <v>4281</v>
      </c>
      <c r="E685" s="190">
        <v>8.5</v>
      </c>
      <c r="F685" s="2"/>
      <c r="G685" s="459" t="s">
        <v>4319</v>
      </c>
      <c r="H685" s="12">
        <f>ROUND(AVERAGE(H686:H694), 2)</f>
        <v>8.39</v>
      </c>
      <c r="I685" s="2"/>
      <c r="J685" s="4" t="s">
        <v>2220</v>
      </c>
      <c r="K685" s="136">
        <v>8</v>
      </c>
      <c r="L685" s="2"/>
      <c r="M685" s="4" t="s">
        <v>4310</v>
      </c>
      <c r="N685" s="136">
        <v>8</v>
      </c>
      <c r="O685" s="16"/>
    </row>
    <row r="686" spans="1:15" s="3" customFormat="1" ht="16" customHeight="1" thickBot="1" x14ac:dyDescent="0.25">
      <c r="A686" s="7" t="s">
        <v>4220</v>
      </c>
      <c r="B686" s="190">
        <v>9</v>
      </c>
      <c r="C686" s="2"/>
      <c r="D686" s="2"/>
      <c r="E686" s="2"/>
      <c r="F686" s="2"/>
      <c r="G686" s="11" t="s">
        <v>4320</v>
      </c>
      <c r="H686" s="189">
        <v>8</v>
      </c>
      <c r="I686" s="2"/>
      <c r="J686" s="4" t="s">
        <v>4293</v>
      </c>
      <c r="K686" s="136">
        <v>8</v>
      </c>
      <c r="L686" s="2"/>
      <c r="M686" s="7" t="s">
        <v>4311</v>
      </c>
      <c r="N686" s="190">
        <v>8</v>
      </c>
      <c r="O686" s="16"/>
    </row>
    <row r="687" spans="1:15" s="3" customFormat="1" ht="16" customHeight="1" thickBot="1" x14ac:dyDescent="0.25">
      <c r="A687" s="2"/>
      <c r="B687" s="2"/>
      <c r="C687" s="2"/>
      <c r="D687" s="463" t="s">
        <v>4346</v>
      </c>
      <c r="E687" s="12">
        <f>ROUND(AVERAGE(E688:E699), 2)</f>
        <v>8.3800000000000008</v>
      </c>
      <c r="F687" s="2"/>
      <c r="G687" s="4" t="s">
        <v>4321</v>
      </c>
      <c r="H687" s="136">
        <v>7.5</v>
      </c>
      <c r="I687" s="2"/>
      <c r="J687" s="4" t="s">
        <v>4294</v>
      </c>
      <c r="K687" s="136">
        <v>8.5</v>
      </c>
      <c r="L687" s="2"/>
      <c r="M687" s="2"/>
      <c r="N687" s="2"/>
      <c r="O687" s="16"/>
    </row>
    <row r="688" spans="1:15" s="3" customFormat="1" ht="16" customHeight="1" thickBot="1" x14ac:dyDescent="0.25">
      <c r="A688" s="465" t="s">
        <v>4350</v>
      </c>
      <c r="B688" s="12">
        <f>ROUND(AVERAGE(B689:B702), 2)</f>
        <v>8.86</v>
      </c>
      <c r="C688" s="2"/>
      <c r="D688" s="11" t="s">
        <v>4334</v>
      </c>
      <c r="E688" s="189">
        <v>9</v>
      </c>
      <c r="F688" s="2"/>
      <c r="G688" s="4" t="s">
        <v>4322</v>
      </c>
      <c r="H688" s="136">
        <v>8</v>
      </c>
      <c r="I688" s="2"/>
      <c r="J688" s="4" t="s">
        <v>4295</v>
      </c>
      <c r="K688" s="136">
        <v>9</v>
      </c>
      <c r="L688" s="2"/>
      <c r="M688" s="469" t="s">
        <v>4393</v>
      </c>
      <c r="N688" s="12">
        <f>ROUND(AVERAGE(N689:N700), 2)</f>
        <v>8.86</v>
      </c>
      <c r="O688" s="16"/>
    </row>
    <row r="689" spans="1:15" s="3" customFormat="1" ht="16" customHeight="1" thickBot="1" x14ac:dyDescent="0.25">
      <c r="A689" s="11" t="s">
        <v>4351</v>
      </c>
      <c r="B689" s="189">
        <v>9</v>
      </c>
      <c r="C689" s="2"/>
      <c r="D689" s="4" t="s">
        <v>4335</v>
      </c>
      <c r="E689" s="136">
        <v>8.5</v>
      </c>
      <c r="F689" s="2"/>
      <c r="G689" s="4" t="s">
        <v>4323</v>
      </c>
      <c r="H689" s="136">
        <v>10</v>
      </c>
      <c r="I689" s="2"/>
      <c r="J689" s="7" t="s">
        <v>4296</v>
      </c>
      <c r="K689" s="190">
        <v>8</v>
      </c>
      <c r="L689" s="2"/>
      <c r="M689" s="11" t="s">
        <v>4365</v>
      </c>
      <c r="N689" s="189">
        <v>10</v>
      </c>
      <c r="O689" s="16"/>
    </row>
    <row r="690" spans="1:15" s="3" customFormat="1" ht="16" customHeight="1" thickBot="1" x14ac:dyDescent="0.25">
      <c r="A690" s="4" t="s">
        <v>4352</v>
      </c>
      <c r="B690" s="136">
        <v>8.5</v>
      </c>
      <c r="C690" s="2"/>
      <c r="D690" s="4" t="s">
        <v>4336</v>
      </c>
      <c r="E690" s="136">
        <v>8.5</v>
      </c>
      <c r="F690" s="2"/>
      <c r="G690" s="4" t="s">
        <v>4324</v>
      </c>
      <c r="H690" s="136">
        <v>8.5</v>
      </c>
      <c r="I690" s="2"/>
      <c r="J690" s="2"/>
      <c r="K690" s="2"/>
      <c r="L690" s="2"/>
      <c r="M690" s="4" t="s">
        <v>4366</v>
      </c>
      <c r="N690" s="136">
        <v>10</v>
      </c>
      <c r="O690" s="16"/>
    </row>
    <row r="691" spans="1:15" s="3" customFormat="1" ht="16" customHeight="1" thickBot="1" x14ac:dyDescent="0.25">
      <c r="A691" s="4" t="s">
        <v>4353</v>
      </c>
      <c r="B691" s="136">
        <v>10</v>
      </c>
      <c r="C691" s="2"/>
      <c r="D691" s="4" t="s">
        <v>4337</v>
      </c>
      <c r="E691" s="136">
        <v>9</v>
      </c>
      <c r="F691" s="2"/>
      <c r="G691" s="4" t="s">
        <v>4325</v>
      </c>
      <c r="H691" s="136">
        <v>9.5</v>
      </c>
      <c r="I691" s="2"/>
      <c r="J691" s="468" t="s">
        <v>4376</v>
      </c>
      <c r="K691" s="12">
        <f>ROUND(AVERAGE(K692:K701), 2)</f>
        <v>8.69</v>
      </c>
      <c r="L691" s="2"/>
      <c r="M691" s="4" t="s">
        <v>4367</v>
      </c>
      <c r="N691" s="136">
        <v>10</v>
      </c>
      <c r="O691" s="16"/>
    </row>
    <row r="692" spans="1:15" s="3" customFormat="1" ht="16" customHeight="1" x14ac:dyDescent="0.2">
      <c r="A692" s="4" t="s">
        <v>4354</v>
      </c>
      <c r="B692" s="136">
        <v>9.5</v>
      </c>
      <c r="C692" s="2"/>
      <c r="D692" s="4" t="s">
        <v>4338</v>
      </c>
      <c r="E692" s="136">
        <v>10</v>
      </c>
      <c r="F692" s="2"/>
      <c r="G692" s="4" t="s">
        <v>4326</v>
      </c>
      <c r="H692" s="136">
        <v>9</v>
      </c>
      <c r="I692" s="2"/>
      <c r="J692" s="11" t="s">
        <v>4377</v>
      </c>
      <c r="K692" s="189"/>
      <c r="L692" s="2"/>
      <c r="M692" s="4" t="s">
        <v>4396</v>
      </c>
      <c r="N692" s="136">
        <v>8</v>
      </c>
      <c r="O692" s="16"/>
    </row>
    <row r="693" spans="1:15" s="3" customFormat="1" ht="16" customHeight="1" x14ac:dyDescent="0.2">
      <c r="A693" s="4" t="s">
        <v>530</v>
      </c>
      <c r="B693" s="136">
        <v>8</v>
      </c>
      <c r="C693" s="2"/>
      <c r="D693" s="4" t="s">
        <v>4339</v>
      </c>
      <c r="E693" s="136">
        <v>9</v>
      </c>
      <c r="F693" s="2"/>
      <c r="G693" s="4" t="s">
        <v>4327</v>
      </c>
      <c r="H693" s="136">
        <v>7.5</v>
      </c>
      <c r="I693" s="2"/>
      <c r="J693" s="4" t="s">
        <v>4378</v>
      </c>
      <c r="K693" s="136">
        <v>10.5</v>
      </c>
      <c r="L693" s="2"/>
      <c r="M693" s="4" t="s">
        <v>4368</v>
      </c>
      <c r="N693" s="136">
        <v>10.5</v>
      </c>
      <c r="O693" s="16"/>
    </row>
    <row r="694" spans="1:15" s="3" customFormat="1" ht="16" customHeight="1" thickBot="1" x14ac:dyDescent="0.25">
      <c r="A694" s="4" t="s">
        <v>4355</v>
      </c>
      <c r="B694" s="136">
        <v>9</v>
      </c>
      <c r="C694" s="2"/>
      <c r="D694" s="4" t="s">
        <v>4340</v>
      </c>
      <c r="E694" s="136">
        <v>8</v>
      </c>
      <c r="F694" s="2"/>
      <c r="G694" s="7" t="s">
        <v>4328</v>
      </c>
      <c r="H694" s="190">
        <v>7.5</v>
      </c>
      <c r="I694" s="2"/>
      <c r="J694" s="4" t="s">
        <v>4379</v>
      </c>
      <c r="K694" s="136">
        <v>8</v>
      </c>
      <c r="L694" s="2"/>
      <c r="M694" s="4" t="s">
        <v>4369</v>
      </c>
      <c r="N694" s="136">
        <v>8.5</v>
      </c>
      <c r="O694" s="16"/>
    </row>
    <row r="695" spans="1:15" s="3" customFormat="1" ht="16" customHeight="1" thickBot="1" x14ac:dyDescent="0.25">
      <c r="A695" s="4" t="s">
        <v>4356</v>
      </c>
      <c r="B695" s="136">
        <v>8.5</v>
      </c>
      <c r="C695" s="2"/>
      <c r="D695" s="4" t="s">
        <v>4341</v>
      </c>
      <c r="E695" s="136">
        <v>7</v>
      </c>
      <c r="F695" s="2"/>
      <c r="G695" s="2"/>
      <c r="H695" s="2"/>
      <c r="I695" s="2"/>
      <c r="J695" s="4" t="s">
        <v>4380</v>
      </c>
      <c r="K695" s="136"/>
      <c r="L695" s="2"/>
      <c r="M695" s="4" t="s">
        <v>4370</v>
      </c>
      <c r="N695" s="136"/>
      <c r="O695" s="16"/>
    </row>
    <row r="696" spans="1:15" s="3" customFormat="1" ht="16" customHeight="1" thickBot="1" x14ac:dyDescent="0.25">
      <c r="A696" s="4" t="s">
        <v>4357</v>
      </c>
      <c r="B696" s="136">
        <v>8</v>
      </c>
      <c r="C696" s="2"/>
      <c r="D696" s="4" t="s">
        <v>4342</v>
      </c>
      <c r="E696" s="136">
        <v>7.5</v>
      </c>
      <c r="F696" s="2"/>
      <c r="G696" s="471" t="s">
        <v>4421</v>
      </c>
      <c r="H696" s="12">
        <f>ROUND(AVERAGE(H697:H705), 2)</f>
        <v>8</v>
      </c>
      <c r="I696" s="2"/>
      <c r="J696" s="4" t="s">
        <v>4381</v>
      </c>
      <c r="K696" s="136">
        <v>8</v>
      </c>
      <c r="L696" s="2"/>
      <c r="M696" s="4" t="s">
        <v>4371</v>
      </c>
      <c r="N696" s="136">
        <v>7</v>
      </c>
      <c r="O696" s="16"/>
    </row>
    <row r="697" spans="1:15" s="3" customFormat="1" ht="16" customHeight="1" x14ac:dyDescent="0.2">
      <c r="A697" s="4" t="s">
        <v>4358</v>
      </c>
      <c r="B697" s="136">
        <v>10.5</v>
      </c>
      <c r="C697" s="2"/>
      <c r="D697" s="4" t="s">
        <v>4343</v>
      </c>
      <c r="E697" s="136">
        <v>8.5</v>
      </c>
      <c r="F697" s="2"/>
      <c r="G697" s="11" t="s">
        <v>4397</v>
      </c>
      <c r="H697" s="189">
        <v>7.5</v>
      </c>
      <c r="I697" s="2"/>
      <c r="J697" s="4" t="s">
        <v>4382</v>
      </c>
      <c r="K697" s="136">
        <v>9.5</v>
      </c>
      <c r="L697" s="2"/>
      <c r="M697" s="4" t="s">
        <v>4372</v>
      </c>
      <c r="N697" s="136">
        <v>8.5</v>
      </c>
      <c r="O697" s="16"/>
    </row>
    <row r="698" spans="1:15" s="3" customFormat="1" ht="16" customHeight="1" x14ac:dyDescent="0.2">
      <c r="A698" s="4" t="s">
        <v>4359</v>
      </c>
      <c r="B698" s="136">
        <v>9</v>
      </c>
      <c r="C698" s="2"/>
      <c r="D698" s="4" t="s">
        <v>4344</v>
      </c>
      <c r="E698" s="136">
        <v>7.5</v>
      </c>
      <c r="F698" s="2"/>
      <c r="G698" s="4" t="s">
        <v>4398</v>
      </c>
      <c r="H698" s="136">
        <v>8</v>
      </c>
      <c r="I698" s="2"/>
      <c r="J698" s="4" t="s">
        <v>4383</v>
      </c>
      <c r="K698" s="136">
        <v>8.5</v>
      </c>
      <c r="L698" s="2"/>
      <c r="M698" s="4" t="s">
        <v>4373</v>
      </c>
      <c r="N698" s="136">
        <v>9</v>
      </c>
      <c r="O698" s="16"/>
    </row>
    <row r="699" spans="1:15" s="3" customFormat="1" ht="16" customHeight="1" thickBot="1" x14ac:dyDescent="0.25">
      <c r="A699" s="4" t="s">
        <v>4360</v>
      </c>
      <c r="B699" s="136">
        <v>8</v>
      </c>
      <c r="C699" s="2"/>
      <c r="D699" s="7" t="s">
        <v>4345</v>
      </c>
      <c r="E699" s="190">
        <v>8</v>
      </c>
      <c r="F699" s="2"/>
      <c r="G699" s="4" t="s">
        <v>4399</v>
      </c>
      <c r="H699" s="136">
        <v>8</v>
      </c>
      <c r="I699" s="2"/>
      <c r="J699" s="4" t="s">
        <v>4384</v>
      </c>
      <c r="K699" s="136">
        <v>8</v>
      </c>
      <c r="L699" s="2"/>
      <c r="M699" s="4" t="s">
        <v>4374</v>
      </c>
      <c r="N699" s="136">
        <v>8</v>
      </c>
      <c r="O699" s="16"/>
    </row>
    <row r="700" spans="1:15" s="3" customFormat="1" ht="16" customHeight="1" thickBot="1" x14ac:dyDescent="0.25">
      <c r="A700" s="4" t="s">
        <v>4361</v>
      </c>
      <c r="B700" s="136">
        <v>10</v>
      </c>
      <c r="C700" s="2"/>
      <c r="D700" s="2"/>
      <c r="E700" s="2"/>
      <c r="F700" s="2"/>
      <c r="G700" s="4" t="s">
        <v>4400</v>
      </c>
      <c r="H700" s="136">
        <v>9</v>
      </c>
      <c r="I700" s="2"/>
      <c r="J700" s="4" t="s">
        <v>4385</v>
      </c>
      <c r="K700" s="136">
        <v>8.5</v>
      </c>
      <c r="L700" s="2"/>
      <c r="M700" s="7" t="s">
        <v>4375</v>
      </c>
      <c r="N700" s="190">
        <v>8</v>
      </c>
      <c r="O700" s="16"/>
    </row>
    <row r="701" spans="1:15" s="3" customFormat="1" ht="16" customHeight="1" thickBot="1" x14ac:dyDescent="0.25">
      <c r="A701" s="4" t="s">
        <v>4362</v>
      </c>
      <c r="B701" s="136">
        <v>8</v>
      </c>
      <c r="C701" s="2"/>
      <c r="D701" s="470" t="s">
        <v>4408</v>
      </c>
      <c r="E701" s="12">
        <f>ROUND(AVERAGE(E702:E710), 2)</f>
        <v>9</v>
      </c>
      <c r="F701" s="2"/>
      <c r="G701" s="4" t="s">
        <v>4401</v>
      </c>
      <c r="H701" s="136">
        <v>8.5</v>
      </c>
      <c r="I701" s="2"/>
      <c r="J701" s="7" t="s">
        <v>4386</v>
      </c>
      <c r="K701" s="190">
        <v>8.5</v>
      </c>
      <c r="L701" s="2"/>
      <c r="M701" s="2"/>
      <c r="N701" s="2"/>
      <c r="O701" s="16"/>
    </row>
    <row r="702" spans="1:15" s="3" customFormat="1" ht="16" customHeight="1" thickBot="1" x14ac:dyDescent="0.25">
      <c r="A702" s="7" t="s">
        <v>4363</v>
      </c>
      <c r="B702" s="190">
        <v>8</v>
      </c>
      <c r="C702" s="2"/>
      <c r="D702" s="11" t="s">
        <v>4409</v>
      </c>
      <c r="E702" s="189">
        <v>9.5</v>
      </c>
      <c r="F702" s="2"/>
      <c r="G702" s="4" t="s">
        <v>4402</v>
      </c>
      <c r="H702" s="136">
        <v>8</v>
      </c>
      <c r="I702" s="2"/>
      <c r="J702" s="2"/>
      <c r="K702" s="2"/>
      <c r="L702" s="2"/>
      <c r="M702" s="473" t="s">
        <v>4433</v>
      </c>
      <c r="N702" s="12">
        <f>ROUND(AVERAGE(N703:N712), 2)</f>
        <v>7.97</v>
      </c>
      <c r="O702" s="16"/>
    </row>
    <row r="703" spans="1:15" s="3" customFormat="1" ht="16" customHeight="1" thickBot="1" x14ac:dyDescent="0.25">
      <c r="A703" s="2"/>
      <c r="B703" s="2"/>
      <c r="C703" s="2"/>
      <c r="D703" s="4" t="s">
        <v>4410</v>
      </c>
      <c r="E703" s="136">
        <v>10</v>
      </c>
      <c r="F703" s="2"/>
      <c r="G703" s="4" t="s">
        <v>1632</v>
      </c>
      <c r="H703" s="136">
        <v>7.5</v>
      </c>
      <c r="I703" s="2"/>
      <c r="J703" s="474" t="s">
        <v>4448</v>
      </c>
      <c r="K703" s="12">
        <f>ROUND(AVERAGE(K704:K717), 2)</f>
        <v>8.69</v>
      </c>
      <c r="L703" s="2"/>
      <c r="M703" s="11" t="s">
        <v>4425</v>
      </c>
      <c r="N703" s="189">
        <v>8.5</v>
      </c>
      <c r="O703" s="16"/>
    </row>
    <row r="704" spans="1:15" s="3" customFormat="1" ht="16" customHeight="1" thickBot="1" x14ac:dyDescent="0.25">
      <c r="A704" s="476" t="s">
        <v>4470</v>
      </c>
      <c r="B704" s="12">
        <f>ROUND(AVERAGE(B705:B715), 2)</f>
        <v>8.8000000000000007</v>
      </c>
      <c r="C704" s="2"/>
      <c r="D704" s="4" t="s">
        <v>4411</v>
      </c>
      <c r="E704" s="136">
        <v>8.5</v>
      </c>
      <c r="F704" s="2"/>
      <c r="G704" s="4" t="s">
        <v>4403</v>
      </c>
      <c r="H704" s="136">
        <v>8</v>
      </c>
      <c r="I704" s="2"/>
      <c r="J704" s="11" t="s">
        <v>4434</v>
      </c>
      <c r="K704" s="189"/>
      <c r="L704" s="2"/>
      <c r="M704" s="4" t="s">
        <v>4426</v>
      </c>
      <c r="N704" s="136">
        <v>8</v>
      </c>
      <c r="O704" s="16"/>
    </row>
    <row r="705" spans="1:15" s="3" customFormat="1" ht="16" customHeight="1" thickBot="1" x14ac:dyDescent="0.25">
      <c r="A705" s="475" t="s">
        <v>4459</v>
      </c>
      <c r="B705" s="189"/>
      <c r="C705" s="2"/>
      <c r="D705" s="4" t="s">
        <v>4412</v>
      </c>
      <c r="E705" s="136">
        <v>8.5</v>
      </c>
      <c r="F705" s="2"/>
      <c r="G705" s="7" t="s">
        <v>4404</v>
      </c>
      <c r="H705" s="190">
        <v>7.5</v>
      </c>
      <c r="I705" s="2"/>
      <c r="J705" s="4" t="s">
        <v>4435</v>
      </c>
      <c r="K705" s="136">
        <v>9</v>
      </c>
      <c r="L705" s="2"/>
      <c r="M705" s="4" t="s">
        <v>4427</v>
      </c>
      <c r="N705" s="136">
        <v>7.5</v>
      </c>
      <c r="O705" s="16"/>
    </row>
    <row r="706" spans="1:15" s="3" customFormat="1" ht="16" customHeight="1" thickBot="1" x14ac:dyDescent="0.25">
      <c r="A706" s="4" t="s">
        <v>4460</v>
      </c>
      <c r="B706" s="136">
        <v>9.5</v>
      </c>
      <c r="C706" s="2"/>
      <c r="D706" s="4" t="s">
        <v>4413</v>
      </c>
      <c r="E706" s="136">
        <v>8</v>
      </c>
      <c r="F706" s="2"/>
      <c r="G706" s="2"/>
      <c r="H706" s="2"/>
      <c r="I706" s="2"/>
      <c r="J706" s="4" t="s">
        <v>4436</v>
      </c>
      <c r="K706" s="136">
        <v>7.5</v>
      </c>
      <c r="L706" s="2"/>
      <c r="M706" s="4" t="s">
        <v>4428</v>
      </c>
      <c r="N706" s="136">
        <v>8.5</v>
      </c>
      <c r="O706" s="16"/>
    </row>
    <row r="707" spans="1:15" s="3" customFormat="1" ht="16" customHeight="1" thickBot="1" x14ac:dyDescent="0.25">
      <c r="A707" s="4" t="s">
        <v>4461</v>
      </c>
      <c r="B707" s="136">
        <v>10</v>
      </c>
      <c r="C707" s="2"/>
      <c r="D707" s="4" t="s">
        <v>4414</v>
      </c>
      <c r="E707" s="136">
        <v>8.5</v>
      </c>
      <c r="F707" s="2"/>
      <c r="G707" s="477" t="s">
        <v>4480</v>
      </c>
      <c r="H707" s="12">
        <f>ROUND(AVERAGE(H708:H716), 2)</f>
        <v>8.11</v>
      </c>
      <c r="I707" s="2"/>
      <c r="J707" s="4" t="s">
        <v>4437</v>
      </c>
      <c r="K707" s="136">
        <v>7.5</v>
      </c>
      <c r="L707" s="2"/>
      <c r="M707" s="4" t="s">
        <v>4429</v>
      </c>
      <c r="N707" s="136">
        <v>8</v>
      </c>
      <c r="O707" s="16"/>
    </row>
    <row r="708" spans="1:15" s="3" customFormat="1" ht="16" customHeight="1" x14ac:dyDescent="0.2">
      <c r="A708" s="4" t="s">
        <v>4462</v>
      </c>
      <c r="B708" s="136">
        <v>8.5</v>
      </c>
      <c r="C708" s="2"/>
      <c r="D708" s="4" t="s">
        <v>4415</v>
      </c>
      <c r="E708" s="136">
        <v>9</v>
      </c>
      <c r="F708" s="2"/>
      <c r="G708" s="11" t="s">
        <v>4471</v>
      </c>
      <c r="H708" s="189">
        <v>9.5</v>
      </c>
      <c r="I708" s="2"/>
      <c r="J708" s="4" t="s">
        <v>4438</v>
      </c>
      <c r="K708" s="136">
        <v>10</v>
      </c>
      <c r="L708" s="2"/>
      <c r="M708" s="4" t="s">
        <v>4430</v>
      </c>
      <c r="N708" s="136">
        <v>8</v>
      </c>
      <c r="O708" s="16"/>
    </row>
    <row r="709" spans="1:15" s="3" customFormat="1" ht="16" customHeight="1" thickBot="1" x14ac:dyDescent="0.25">
      <c r="A709" t="s">
        <v>4463</v>
      </c>
      <c r="B709" s="136">
        <v>8.5</v>
      </c>
      <c r="C709" s="2"/>
      <c r="D709" s="7" t="s">
        <v>4416</v>
      </c>
      <c r="E709" s="190">
        <v>10</v>
      </c>
      <c r="F709" s="2"/>
      <c r="G709" s="4" t="s">
        <v>4472</v>
      </c>
      <c r="H709" s="136">
        <v>8.5</v>
      </c>
      <c r="I709" s="2"/>
      <c r="J709" s="4" t="s">
        <v>4439</v>
      </c>
      <c r="K709" s="136">
        <v>8</v>
      </c>
      <c r="L709" s="2"/>
      <c r="M709" s="4" t="s">
        <v>4431</v>
      </c>
      <c r="N709" s="136">
        <v>7.5</v>
      </c>
      <c r="O709" s="16"/>
    </row>
    <row r="710" spans="1:15" s="3" customFormat="1" ht="16" customHeight="1" thickBot="1" x14ac:dyDescent="0.25">
      <c r="A710" s="4" t="s">
        <v>4464</v>
      </c>
      <c r="B710" s="136">
        <v>9</v>
      </c>
      <c r="C710" s="2"/>
      <c r="D710" s="2"/>
      <c r="E710" s="2"/>
      <c r="F710" s="2"/>
      <c r="G710" s="4" t="s">
        <v>4473</v>
      </c>
      <c r="H710" s="136">
        <v>8.5</v>
      </c>
      <c r="I710" s="2"/>
      <c r="J710" s="4" t="s">
        <v>4440</v>
      </c>
      <c r="K710" s="136">
        <v>10</v>
      </c>
      <c r="L710" s="2"/>
      <c r="M710" s="7" t="s">
        <v>4432</v>
      </c>
      <c r="N710" s="190">
        <v>7</v>
      </c>
      <c r="O710" s="16"/>
    </row>
    <row r="711" spans="1:15" s="3" customFormat="1" ht="16" customHeight="1" thickBot="1" x14ac:dyDescent="0.25">
      <c r="A711" s="4" t="s">
        <v>4465</v>
      </c>
      <c r="B711" s="136">
        <v>8.5</v>
      </c>
      <c r="C711" s="2"/>
      <c r="D711" s="478" t="s">
        <v>4484</v>
      </c>
      <c r="E711" s="12">
        <f>ROUND(AVERAGE(E712:E720), 2)</f>
        <v>6.06</v>
      </c>
      <c r="F711" s="2"/>
      <c r="G711" s="4" t="s">
        <v>4474</v>
      </c>
      <c r="H711" s="136">
        <v>8</v>
      </c>
      <c r="I711" s="2"/>
      <c r="J711" s="4" t="s">
        <v>4441</v>
      </c>
      <c r="K711" s="136">
        <v>8.5</v>
      </c>
      <c r="L711" s="2"/>
      <c r="M711" s="2"/>
      <c r="N711" s="2"/>
      <c r="O711" s="16"/>
    </row>
    <row r="712" spans="1:15" s="3" customFormat="1" ht="16" customHeight="1" thickBot="1" x14ac:dyDescent="0.25">
      <c r="A712" t="s">
        <v>4466</v>
      </c>
      <c r="B712" s="136">
        <v>8</v>
      </c>
      <c r="C712" s="2"/>
      <c r="D712" s="11" t="s">
        <v>4485</v>
      </c>
      <c r="E712" s="189">
        <v>6.5</v>
      </c>
      <c r="F712" s="2"/>
      <c r="G712" s="4" t="s">
        <v>4475</v>
      </c>
      <c r="H712" s="136">
        <v>8</v>
      </c>
      <c r="I712" s="2"/>
      <c r="J712" s="4" t="s">
        <v>4442</v>
      </c>
      <c r="K712" s="136">
        <v>8.5</v>
      </c>
      <c r="L712" s="2"/>
      <c r="M712" s="479" t="s">
        <v>4509</v>
      </c>
      <c r="N712" s="12">
        <f>ROUND(AVERAGE(N713:N725), 2)</f>
        <v>8.69</v>
      </c>
      <c r="O712" s="16"/>
    </row>
    <row r="713" spans="1:15" s="3" customFormat="1" ht="16" customHeight="1" x14ac:dyDescent="0.2">
      <c r="A713" s="4" t="s">
        <v>4467</v>
      </c>
      <c r="B713" s="136">
        <v>8.5</v>
      </c>
      <c r="C713" s="2"/>
      <c r="D713" s="4" t="s">
        <v>4486</v>
      </c>
      <c r="E713" s="136">
        <v>8</v>
      </c>
      <c r="F713" s="2"/>
      <c r="G713" s="4" t="s">
        <v>4476</v>
      </c>
      <c r="H713" s="136">
        <v>7.5</v>
      </c>
      <c r="I713" s="2"/>
      <c r="J713" s="4" t="s">
        <v>4443</v>
      </c>
      <c r="K713" s="136">
        <v>7.5</v>
      </c>
      <c r="L713" s="2"/>
      <c r="M713" s="11" t="s">
        <v>4500</v>
      </c>
      <c r="N713" s="189">
        <v>10.5</v>
      </c>
      <c r="O713" s="16"/>
    </row>
    <row r="714" spans="1:15" s="3" customFormat="1" ht="16" customHeight="1" x14ac:dyDescent="0.2">
      <c r="A714" t="s">
        <v>4468</v>
      </c>
      <c r="B714" s="136">
        <v>9.5</v>
      </c>
      <c r="C714" s="2"/>
      <c r="D714" s="4" t="s">
        <v>4487</v>
      </c>
      <c r="E714" s="136">
        <v>7.5</v>
      </c>
      <c r="F714" s="2"/>
      <c r="G714" s="4" t="s">
        <v>4477</v>
      </c>
      <c r="H714" s="136">
        <v>7.5</v>
      </c>
      <c r="I714" s="2"/>
      <c r="J714" s="4" t="s">
        <v>4444</v>
      </c>
      <c r="K714" s="136">
        <v>9</v>
      </c>
      <c r="L714" s="2"/>
      <c r="M714" s="4" t="s">
        <v>4501</v>
      </c>
      <c r="N714" s="136">
        <v>9</v>
      </c>
      <c r="O714" s="16"/>
    </row>
    <row r="715" spans="1:15" s="3" customFormat="1" ht="16" customHeight="1" thickBot="1" x14ac:dyDescent="0.25">
      <c r="A715" t="s">
        <v>4469</v>
      </c>
      <c r="B715" s="190">
        <v>8</v>
      </c>
      <c r="C715" s="2"/>
      <c r="D715" s="4" t="s">
        <v>4488</v>
      </c>
      <c r="E715" s="136">
        <v>6</v>
      </c>
      <c r="F715" s="2"/>
      <c r="G715" s="4" t="s">
        <v>4478</v>
      </c>
      <c r="H715" s="136">
        <v>7</v>
      </c>
      <c r="I715" s="2"/>
      <c r="J715" s="4" t="s">
        <v>4445</v>
      </c>
      <c r="K715" s="136">
        <v>9</v>
      </c>
      <c r="L715" s="2"/>
      <c r="M715" s="4" t="s">
        <v>4502</v>
      </c>
      <c r="N715" s="136">
        <v>8.5</v>
      </c>
      <c r="O715" s="16"/>
    </row>
    <row r="716" spans="1:15" s="3" customFormat="1" ht="16" customHeight="1" thickBot="1" x14ac:dyDescent="0.25">
      <c r="A716" s="2"/>
      <c r="B716" s="2"/>
      <c r="C716" s="2"/>
      <c r="D716" s="4" t="s">
        <v>4489</v>
      </c>
      <c r="E716" s="136">
        <v>6.5</v>
      </c>
      <c r="F716" s="2"/>
      <c r="G716" s="7" t="s">
        <v>4479</v>
      </c>
      <c r="H716" s="190">
        <v>8.5</v>
      </c>
      <c r="I716" s="2"/>
      <c r="J716" s="4" t="s">
        <v>4446</v>
      </c>
      <c r="K716" s="136">
        <v>10.5</v>
      </c>
      <c r="L716" s="2"/>
      <c r="M716" s="4" t="s">
        <v>4503</v>
      </c>
      <c r="N716" s="136">
        <v>8</v>
      </c>
      <c r="O716" s="16"/>
    </row>
    <row r="717" spans="1:15" s="3" customFormat="1" ht="16" customHeight="1" thickBot="1" x14ac:dyDescent="0.25">
      <c r="A717" s="482" t="s">
        <v>4545</v>
      </c>
      <c r="B717" s="12">
        <f>ROUND(AVERAGE(B718:B723), 2)</f>
        <v>9.5</v>
      </c>
      <c r="C717" s="2"/>
      <c r="D717" s="4" t="s">
        <v>4490</v>
      </c>
      <c r="E717" s="136">
        <v>6</v>
      </c>
      <c r="F717" s="2"/>
      <c r="G717" s="2"/>
      <c r="H717" s="2"/>
      <c r="I717" s="2"/>
      <c r="J717" s="7" t="s">
        <v>4447</v>
      </c>
      <c r="K717" s="190">
        <v>8</v>
      </c>
      <c r="L717" s="2"/>
      <c r="M717" s="4" t="s">
        <v>190</v>
      </c>
      <c r="N717" s="136">
        <v>9.5</v>
      </c>
      <c r="O717" s="16"/>
    </row>
    <row r="718" spans="1:15" s="3" customFormat="1" ht="16" customHeight="1" thickBot="1" x14ac:dyDescent="0.25">
      <c r="A718" s="11" t="s">
        <v>4523</v>
      </c>
      <c r="B718" s="189">
        <v>10</v>
      </c>
      <c r="C718" s="2"/>
      <c r="D718" s="4" t="s">
        <v>4491</v>
      </c>
      <c r="E718" s="136">
        <v>4</v>
      </c>
      <c r="F718" s="2"/>
      <c r="G718" s="480" t="s">
        <v>4510</v>
      </c>
      <c r="H718" s="12">
        <f>ROUND(AVERAGE(H719:H726), 2)</f>
        <v>8.75</v>
      </c>
      <c r="I718" s="2"/>
      <c r="J718" s="2"/>
      <c r="K718" s="2"/>
      <c r="L718" s="2"/>
      <c r="M718" s="4" t="s">
        <v>196</v>
      </c>
      <c r="N718" s="136">
        <v>8</v>
      </c>
      <c r="O718" s="16"/>
    </row>
    <row r="719" spans="1:15" s="3" customFormat="1" ht="16" customHeight="1" thickBot="1" x14ac:dyDescent="0.25">
      <c r="A719" s="4" t="s">
        <v>4524</v>
      </c>
      <c r="B719" s="136">
        <v>10</v>
      </c>
      <c r="C719" s="2"/>
      <c r="D719" s="4" t="s">
        <v>4492</v>
      </c>
      <c r="E719" s="136">
        <v>5</v>
      </c>
      <c r="F719" s="2"/>
      <c r="G719" s="11" t="s">
        <v>4511</v>
      </c>
      <c r="H719" s="189"/>
      <c r="I719" s="2"/>
      <c r="J719" s="481" t="s">
        <v>4519</v>
      </c>
      <c r="K719" s="12">
        <f>ROUND(AVERAGE(K720:K722), 2)</f>
        <v>8.17</v>
      </c>
      <c r="L719" s="2"/>
      <c r="M719" s="4" t="s">
        <v>192</v>
      </c>
      <c r="N719" s="136">
        <v>10</v>
      </c>
      <c r="O719" s="16"/>
    </row>
    <row r="720" spans="1:15" s="3" customFormat="1" ht="16" customHeight="1" thickBot="1" x14ac:dyDescent="0.25">
      <c r="A720" s="4" t="s">
        <v>4525</v>
      </c>
      <c r="B720" s="136">
        <v>10</v>
      </c>
      <c r="C720" s="2"/>
      <c r="D720" s="7" t="s">
        <v>4493</v>
      </c>
      <c r="E720" s="190">
        <v>5</v>
      </c>
      <c r="F720" s="2"/>
      <c r="G720" s="4" t="s">
        <v>4512</v>
      </c>
      <c r="H720" s="136">
        <v>8.5</v>
      </c>
      <c r="I720" s="2"/>
      <c r="J720" s="11" t="s">
        <v>4520</v>
      </c>
      <c r="K720" s="189">
        <v>9</v>
      </c>
      <c r="L720" s="2"/>
      <c r="M720" s="4" t="s">
        <v>4504</v>
      </c>
      <c r="N720" s="136">
        <v>8.5</v>
      </c>
      <c r="O720" s="16"/>
    </row>
    <row r="721" spans="1:15" s="3" customFormat="1" ht="16" customHeight="1" thickBot="1" x14ac:dyDescent="0.25">
      <c r="A721" s="4" t="s">
        <v>4526</v>
      </c>
      <c r="B721" s="136">
        <v>8.5</v>
      </c>
      <c r="C721" s="2"/>
      <c r="D721" s="2"/>
      <c r="E721" s="2"/>
      <c r="F721" s="2"/>
      <c r="G721" s="4" t="s">
        <v>4513</v>
      </c>
      <c r="H721" s="136">
        <v>9</v>
      </c>
      <c r="I721" s="2"/>
      <c r="J721" s="4" t="s">
        <v>4521</v>
      </c>
      <c r="K721" s="136">
        <v>7.5</v>
      </c>
      <c r="L721" s="2"/>
      <c r="M721" s="4" t="s">
        <v>4505</v>
      </c>
      <c r="N721" s="136">
        <v>8</v>
      </c>
      <c r="O721" s="16"/>
    </row>
    <row r="722" spans="1:15" s="3" customFormat="1" ht="16" customHeight="1" thickBot="1" x14ac:dyDescent="0.25">
      <c r="A722" s="4" t="s">
        <v>4527</v>
      </c>
      <c r="B722" s="136">
        <v>10.5</v>
      </c>
      <c r="C722" s="2"/>
      <c r="D722" s="483" t="s">
        <v>4560</v>
      </c>
      <c r="E722" s="12">
        <f>ROUND(AVERAGE(E723:E736), 2)</f>
        <v>8.86</v>
      </c>
      <c r="F722" s="2"/>
      <c r="G722" s="4" t="s">
        <v>4514</v>
      </c>
      <c r="H722" s="136"/>
      <c r="I722" s="2"/>
      <c r="J722" s="7" t="s">
        <v>4522</v>
      </c>
      <c r="K722" s="190">
        <v>8</v>
      </c>
      <c r="L722" s="2"/>
      <c r="M722" s="4" t="s">
        <v>197</v>
      </c>
      <c r="N722" s="136">
        <v>9.5</v>
      </c>
      <c r="O722" s="16"/>
    </row>
    <row r="723" spans="1:15" s="3" customFormat="1" ht="16" customHeight="1" thickBot="1" x14ac:dyDescent="0.25">
      <c r="A723" s="7" t="s">
        <v>4528</v>
      </c>
      <c r="B723" s="190">
        <v>8</v>
      </c>
      <c r="C723" s="2"/>
      <c r="D723" s="5" t="s">
        <v>4546</v>
      </c>
      <c r="E723" s="189"/>
      <c r="F723" s="2"/>
      <c r="G723" s="4" t="s">
        <v>4515</v>
      </c>
      <c r="H723" s="136">
        <v>9</v>
      </c>
      <c r="I723" s="2"/>
      <c r="J723" s="2"/>
      <c r="K723" s="2"/>
      <c r="L723" s="2"/>
      <c r="M723" s="4" t="s">
        <v>4506</v>
      </c>
      <c r="N723" s="136">
        <v>8</v>
      </c>
      <c r="O723" s="16"/>
    </row>
    <row r="724" spans="1:15" s="3" customFormat="1" ht="16" customHeight="1" thickBot="1" x14ac:dyDescent="0.25">
      <c r="A724" s="2"/>
      <c r="B724" s="2"/>
      <c r="C724" s="2"/>
      <c r="D724" s="6" t="s">
        <v>4547</v>
      </c>
      <c r="E724" s="136">
        <v>9</v>
      </c>
      <c r="F724" s="2"/>
      <c r="G724" s="4" t="s">
        <v>4516</v>
      </c>
      <c r="H724" s="136">
        <v>8</v>
      </c>
      <c r="I724" s="2"/>
      <c r="J724" s="484" t="s">
        <v>4562</v>
      </c>
      <c r="K724" s="12">
        <f>ROUND(AVERAGE(K725:K729), 2)</f>
        <v>8.6</v>
      </c>
      <c r="L724" s="2"/>
      <c r="M724" s="4" t="s">
        <v>4507</v>
      </c>
      <c r="N724" s="136">
        <v>8</v>
      </c>
      <c r="O724" s="16"/>
    </row>
    <row r="725" spans="1:15" s="3" customFormat="1" ht="16" customHeight="1" thickBot="1" x14ac:dyDescent="0.25">
      <c r="A725" s="486" t="s">
        <v>4575</v>
      </c>
      <c r="B725" s="12">
        <f>ROUND(AVERAGE(B726:B733), 2)</f>
        <v>8.6300000000000008</v>
      </c>
      <c r="C725" s="2"/>
      <c r="D725" s="6" t="s">
        <v>4548</v>
      </c>
      <c r="E725" s="136">
        <v>8</v>
      </c>
      <c r="F725" s="2"/>
      <c r="G725" s="4" t="s">
        <v>4517</v>
      </c>
      <c r="H725" s="136">
        <v>10</v>
      </c>
      <c r="I725" s="2"/>
      <c r="J725" s="11" t="s">
        <v>4561</v>
      </c>
      <c r="K725" s="189">
        <v>8.5</v>
      </c>
      <c r="L725" s="2"/>
      <c r="M725" s="7" t="s">
        <v>4508</v>
      </c>
      <c r="N725" s="190">
        <v>7.5</v>
      </c>
      <c r="O725" s="16"/>
    </row>
    <row r="726" spans="1:15" s="3" customFormat="1" ht="16" customHeight="1" thickBot="1" x14ac:dyDescent="0.25">
      <c r="A726" s="11" t="s">
        <v>4576</v>
      </c>
      <c r="B726" s="189">
        <v>8.5</v>
      </c>
      <c r="C726" s="2"/>
      <c r="D726" s="6" t="s">
        <v>4549</v>
      </c>
      <c r="E726" s="136">
        <v>9</v>
      </c>
      <c r="F726" s="2"/>
      <c r="G726" s="7" t="s">
        <v>4518</v>
      </c>
      <c r="H726" s="190">
        <v>8</v>
      </c>
      <c r="I726" s="2"/>
      <c r="J726" s="4" t="s">
        <v>4563</v>
      </c>
      <c r="K726" s="136">
        <v>8.5</v>
      </c>
      <c r="L726" s="2"/>
      <c r="M726" s="2"/>
      <c r="N726" s="2"/>
      <c r="O726" s="16"/>
    </row>
    <row r="727" spans="1:15" s="3" customFormat="1" ht="16" customHeight="1" thickBot="1" x14ac:dyDescent="0.25">
      <c r="A727" s="4" t="s">
        <v>4577</v>
      </c>
      <c r="B727" s="136">
        <v>10</v>
      </c>
      <c r="C727" s="2"/>
      <c r="D727" s="6" t="s">
        <v>4550</v>
      </c>
      <c r="E727" s="136"/>
      <c r="F727" s="2"/>
      <c r="G727" s="2"/>
      <c r="H727" s="2"/>
      <c r="I727" s="2"/>
      <c r="J727" s="4" t="s">
        <v>4564</v>
      </c>
      <c r="K727" s="136">
        <v>8</v>
      </c>
      <c r="L727" s="2"/>
      <c r="M727" s="487" t="s">
        <v>4591</v>
      </c>
      <c r="N727" s="12">
        <f>ROUND(AVERAGE(N728:N738), 2)</f>
        <v>8.59</v>
      </c>
      <c r="O727" s="16"/>
    </row>
    <row r="728" spans="1:15" s="3" customFormat="1" ht="16" customHeight="1" thickBot="1" x14ac:dyDescent="0.25">
      <c r="A728" s="4" t="s">
        <v>4578</v>
      </c>
      <c r="B728" s="136">
        <v>8.5</v>
      </c>
      <c r="C728" s="2"/>
      <c r="D728" s="6" t="s">
        <v>4551</v>
      </c>
      <c r="E728" s="136">
        <v>9</v>
      </c>
      <c r="F728" s="2"/>
      <c r="G728" s="488" t="s">
        <v>4618</v>
      </c>
      <c r="H728" s="12">
        <f>ROUND(AVERAGE(H729:H739), 2)</f>
        <v>8.68</v>
      </c>
      <c r="I728" s="2"/>
      <c r="J728" s="4" t="s">
        <v>4565</v>
      </c>
      <c r="K728" s="136">
        <v>8.5</v>
      </c>
      <c r="L728" s="2"/>
      <c r="M728" s="11" t="s">
        <v>4592</v>
      </c>
      <c r="N728" s="189">
        <v>10</v>
      </c>
      <c r="O728" s="16"/>
    </row>
    <row r="729" spans="1:15" s="3" customFormat="1" ht="16" customHeight="1" thickBot="1" x14ac:dyDescent="0.25">
      <c r="A729" s="4" t="s">
        <v>4579</v>
      </c>
      <c r="B729" s="136">
        <v>8</v>
      </c>
      <c r="C729" s="2"/>
      <c r="D729" s="6" t="s">
        <v>4552</v>
      </c>
      <c r="E729" s="136">
        <v>8</v>
      </c>
      <c r="F729" s="2"/>
      <c r="G729" s="11" t="s">
        <v>4607</v>
      </c>
      <c r="H729" s="189">
        <v>9</v>
      </c>
      <c r="I729" s="2"/>
      <c r="J729" s="7" t="s">
        <v>4566</v>
      </c>
      <c r="K729" s="190">
        <v>9.5</v>
      </c>
      <c r="L729" s="2"/>
      <c r="M729" s="4" t="s">
        <v>4593</v>
      </c>
      <c r="N729" s="136">
        <v>9</v>
      </c>
      <c r="O729" s="16"/>
    </row>
    <row r="730" spans="1:15" s="3" customFormat="1" ht="16" customHeight="1" thickBot="1" x14ac:dyDescent="0.25">
      <c r="A730" s="4" t="s">
        <v>4580</v>
      </c>
      <c r="B730" s="136">
        <v>9</v>
      </c>
      <c r="C730" s="2"/>
      <c r="D730" s="6" t="s">
        <v>4553</v>
      </c>
      <c r="E730" s="136">
        <v>9.5</v>
      </c>
      <c r="F730" s="2"/>
      <c r="G730" s="4" t="s">
        <v>4608</v>
      </c>
      <c r="H730" s="136">
        <v>8.5</v>
      </c>
      <c r="I730" s="2"/>
      <c r="J730" s="2"/>
      <c r="K730" s="2"/>
      <c r="L730" s="2"/>
      <c r="M730" s="4" t="s">
        <v>4594</v>
      </c>
      <c r="N730" s="136">
        <v>8.5</v>
      </c>
      <c r="O730" s="16"/>
    </row>
    <row r="731" spans="1:15" s="3" customFormat="1" ht="16" customHeight="1" thickBot="1" x14ac:dyDescent="0.25">
      <c r="A731" s="4" t="s">
        <v>4581</v>
      </c>
      <c r="B731" s="136">
        <v>8</v>
      </c>
      <c r="C731" s="2"/>
      <c r="D731" s="6" t="s">
        <v>4554</v>
      </c>
      <c r="E731" s="136">
        <v>10</v>
      </c>
      <c r="F731" s="2"/>
      <c r="G731" s="4" t="s">
        <v>4609</v>
      </c>
      <c r="H731" s="136">
        <v>8.5</v>
      </c>
      <c r="I731" s="2"/>
      <c r="J731" s="489" t="s">
        <v>4624</v>
      </c>
      <c r="K731" s="12">
        <f>ROUND(AVERAGE(K732:K737), 2)</f>
        <v>8.92</v>
      </c>
      <c r="L731" s="2"/>
      <c r="M731" s="4" t="s">
        <v>4595</v>
      </c>
      <c r="N731" s="136">
        <v>7.5</v>
      </c>
      <c r="O731" s="16"/>
    </row>
    <row r="732" spans="1:15" s="3" customFormat="1" ht="16" customHeight="1" x14ac:dyDescent="0.2">
      <c r="A732" s="4" t="s">
        <v>4582</v>
      </c>
      <c r="B732" s="136">
        <v>9.5</v>
      </c>
      <c r="C732" s="2"/>
      <c r="D732" s="6" t="s">
        <v>4555</v>
      </c>
      <c r="E732" s="136">
        <v>8.5</v>
      </c>
      <c r="F732" s="2"/>
      <c r="G732" s="4" t="s">
        <v>4610</v>
      </c>
      <c r="H732" s="136">
        <v>9</v>
      </c>
      <c r="I732" s="2"/>
      <c r="J732" s="11" t="s">
        <v>4625</v>
      </c>
      <c r="K732" s="189">
        <v>8.5</v>
      </c>
      <c r="L732" s="2"/>
      <c r="M732" s="4" t="s">
        <v>4596</v>
      </c>
      <c r="N732" s="136">
        <v>8.5</v>
      </c>
      <c r="O732" s="16"/>
    </row>
    <row r="733" spans="1:15" s="3" customFormat="1" ht="16" customHeight="1" thickBot="1" x14ac:dyDescent="0.25">
      <c r="A733" s="7" t="s">
        <v>4583</v>
      </c>
      <c r="B733" s="190">
        <v>7.5</v>
      </c>
      <c r="C733" s="2"/>
      <c r="D733" s="6" t="s">
        <v>4556</v>
      </c>
      <c r="E733" s="136">
        <v>8</v>
      </c>
      <c r="F733" s="2"/>
      <c r="G733" s="4" t="s">
        <v>4611</v>
      </c>
      <c r="H733" s="136">
        <v>8</v>
      </c>
      <c r="I733" s="2"/>
      <c r="J733" s="4" t="s">
        <v>4626</v>
      </c>
      <c r="K733" s="136">
        <v>9.5</v>
      </c>
      <c r="L733" s="2"/>
      <c r="M733" s="4" t="s">
        <v>4597</v>
      </c>
      <c r="N733" s="136">
        <v>9</v>
      </c>
      <c r="O733" s="16"/>
    </row>
    <row r="734" spans="1:15" s="3" customFormat="1" ht="16" customHeight="1" thickBot="1" x14ac:dyDescent="0.25">
      <c r="A734" s="2"/>
      <c r="B734" s="2"/>
      <c r="C734" s="2"/>
      <c r="D734" s="6" t="s">
        <v>4557</v>
      </c>
      <c r="E734" s="136">
        <v>10</v>
      </c>
      <c r="F734" s="2"/>
      <c r="G734" s="4" t="s">
        <v>4612</v>
      </c>
      <c r="H734" s="136">
        <v>10</v>
      </c>
      <c r="I734" s="2"/>
      <c r="J734" s="4" t="s">
        <v>4627</v>
      </c>
      <c r="K734" s="136">
        <v>9.5</v>
      </c>
      <c r="L734" s="2"/>
      <c r="M734" s="4" t="s">
        <v>4598</v>
      </c>
      <c r="N734" s="136">
        <v>8.5</v>
      </c>
      <c r="O734" s="16"/>
    </row>
    <row r="735" spans="1:15" s="3" customFormat="1" ht="16" customHeight="1" thickBot="1" x14ac:dyDescent="0.25">
      <c r="A735" s="490" t="s">
        <v>4631</v>
      </c>
      <c r="B735" s="12">
        <f>ROUND(AVERAGE(B736:B745), 2)</f>
        <v>8.35</v>
      </c>
      <c r="C735" s="2"/>
      <c r="D735" s="6" t="s">
        <v>4558</v>
      </c>
      <c r="E735" s="136"/>
      <c r="F735" s="2"/>
      <c r="G735" s="4" t="s">
        <v>4613</v>
      </c>
      <c r="H735" s="136">
        <v>8.5</v>
      </c>
      <c r="I735" s="2"/>
      <c r="J735" s="4" t="s">
        <v>4628</v>
      </c>
      <c r="K735" s="136">
        <v>8.5</v>
      </c>
      <c r="L735" s="2"/>
      <c r="M735" s="4" t="s">
        <v>4599</v>
      </c>
      <c r="N735" s="136">
        <v>7.5</v>
      </c>
      <c r="O735" s="16"/>
    </row>
    <row r="736" spans="1:15" s="3" customFormat="1" ht="16" customHeight="1" thickBot="1" x14ac:dyDescent="0.25">
      <c r="A736" s="11" t="s">
        <v>4632</v>
      </c>
      <c r="B736" s="189">
        <v>7.5</v>
      </c>
      <c r="C736" s="2"/>
      <c r="D736" s="8" t="s">
        <v>4559</v>
      </c>
      <c r="E736" s="190">
        <v>8.5</v>
      </c>
      <c r="F736" s="2"/>
      <c r="G736" s="4" t="s">
        <v>4614</v>
      </c>
      <c r="H736" s="136">
        <v>8</v>
      </c>
      <c r="I736" s="2"/>
      <c r="J736" s="4" t="s">
        <v>4629</v>
      </c>
      <c r="K736" s="136">
        <v>8.5</v>
      </c>
      <c r="L736" s="2"/>
      <c r="M736" s="4" t="s">
        <v>4600</v>
      </c>
      <c r="N736" s="136">
        <v>9</v>
      </c>
      <c r="O736" s="16"/>
    </row>
    <row r="737" spans="1:15" s="3" customFormat="1" ht="16" customHeight="1" thickBot="1" x14ac:dyDescent="0.25">
      <c r="A737" s="4" t="s">
        <v>4633</v>
      </c>
      <c r="B737" s="136">
        <v>8</v>
      </c>
      <c r="C737" s="2"/>
      <c r="D737" s="2"/>
      <c r="E737" s="2"/>
      <c r="F737" s="2"/>
      <c r="G737" s="4" t="s">
        <v>4615</v>
      </c>
      <c r="H737" s="136">
        <v>9</v>
      </c>
      <c r="I737" s="2"/>
      <c r="J737" s="7" t="s">
        <v>4630</v>
      </c>
      <c r="K737" s="190">
        <v>9</v>
      </c>
      <c r="L737" s="2"/>
      <c r="M737" s="4" t="s">
        <v>4601</v>
      </c>
      <c r="N737" s="136">
        <v>8</v>
      </c>
      <c r="O737" s="16"/>
    </row>
    <row r="738" spans="1:15" s="3" customFormat="1" ht="16" customHeight="1" thickBot="1" x14ac:dyDescent="0.25">
      <c r="A738" s="4" t="s">
        <v>4634</v>
      </c>
      <c r="B738" s="136">
        <v>8</v>
      </c>
      <c r="C738" s="2"/>
      <c r="D738" s="492" t="s">
        <v>4664</v>
      </c>
      <c r="E738" s="12">
        <f>ROUND(AVERAGE(E739:E749), 2)</f>
        <v>8.82</v>
      </c>
      <c r="F738" s="2"/>
      <c r="G738" s="4" t="s">
        <v>4616</v>
      </c>
      <c r="H738" s="136">
        <v>9</v>
      </c>
      <c r="I738" s="2"/>
      <c r="J738" s="2"/>
      <c r="K738" s="2"/>
      <c r="L738" s="2"/>
      <c r="M738" s="7" t="s">
        <v>4602</v>
      </c>
      <c r="N738" s="190">
        <v>9</v>
      </c>
      <c r="O738" s="16"/>
    </row>
    <row r="739" spans="1:15" s="3" customFormat="1" ht="16" customHeight="1" thickBot="1" x14ac:dyDescent="0.25">
      <c r="A739" s="4" t="s">
        <v>4635</v>
      </c>
      <c r="B739" s="136">
        <v>9.5</v>
      </c>
      <c r="C739" s="2"/>
      <c r="D739" s="11" t="s">
        <v>4650</v>
      </c>
      <c r="E739" s="189">
        <v>10</v>
      </c>
      <c r="F739" s="2"/>
      <c r="G739" s="7" t="s">
        <v>4617</v>
      </c>
      <c r="H739" s="190">
        <v>8</v>
      </c>
      <c r="I739" s="2"/>
      <c r="J739" s="493" t="s">
        <v>4663</v>
      </c>
      <c r="K739" s="12">
        <f>ROUND(AVERAGE(K740:K745), 2)</f>
        <v>9.08</v>
      </c>
      <c r="L739" s="2"/>
      <c r="M739" s="2"/>
      <c r="N739" s="2"/>
      <c r="O739" s="16"/>
    </row>
    <row r="740" spans="1:15" s="3" customFormat="1" ht="16" customHeight="1" thickBot="1" x14ac:dyDescent="0.25">
      <c r="A740" s="4" t="s">
        <v>4661</v>
      </c>
      <c r="B740" s="136">
        <v>9</v>
      </c>
      <c r="C740" s="2"/>
      <c r="D740" s="4" t="s">
        <v>4651</v>
      </c>
      <c r="E740" s="136">
        <v>8.5</v>
      </c>
      <c r="F740" s="2"/>
      <c r="G740" s="2"/>
      <c r="H740" s="2"/>
      <c r="I740" s="2"/>
      <c r="J740" s="11" t="s">
        <v>4665</v>
      </c>
      <c r="K740" s="189">
        <v>10</v>
      </c>
      <c r="L740" s="2"/>
      <c r="M740" s="494" t="s">
        <v>4685</v>
      </c>
      <c r="N740" s="12">
        <f>ROUND(AVERAGE(N741:N750), 2)</f>
        <v>8.35</v>
      </c>
      <c r="O740" s="16"/>
    </row>
    <row r="741" spans="1:15" s="3" customFormat="1" ht="16" customHeight="1" thickBot="1" x14ac:dyDescent="0.25">
      <c r="A741" s="4" t="s">
        <v>4636</v>
      </c>
      <c r="B741" s="136">
        <v>7</v>
      </c>
      <c r="C741" s="2"/>
      <c r="D741" s="4" t="s">
        <v>4652</v>
      </c>
      <c r="E741" s="136">
        <v>8.5</v>
      </c>
      <c r="F741" s="2"/>
      <c r="G741" s="562" t="s">
        <v>4918</v>
      </c>
      <c r="H741" s="12">
        <f>ROUND(AVERAGE(H742:H752), 2)</f>
        <v>8.91</v>
      </c>
      <c r="I741" s="2"/>
      <c r="J741" s="4" t="s">
        <v>4666</v>
      </c>
      <c r="K741" s="136">
        <v>10</v>
      </c>
      <c r="L741" s="2"/>
      <c r="M741" s="11" t="s">
        <v>4686</v>
      </c>
      <c r="N741" s="189">
        <v>8</v>
      </c>
      <c r="O741" s="16"/>
    </row>
    <row r="742" spans="1:15" s="3" customFormat="1" ht="16" customHeight="1" x14ac:dyDescent="0.2">
      <c r="A742" s="4" t="s">
        <v>4637</v>
      </c>
      <c r="B742" s="136">
        <v>10</v>
      </c>
      <c r="C742" s="2"/>
      <c r="D742" s="4" t="s">
        <v>4653</v>
      </c>
      <c r="E742" s="136">
        <v>8</v>
      </c>
      <c r="F742" s="2"/>
      <c r="G742" s="11" t="s">
        <v>4676</v>
      </c>
      <c r="H742" s="189">
        <v>8.5</v>
      </c>
      <c r="I742" s="2"/>
      <c r="J742" s="4" t="s">
        <v>4667</v>
      </c>
      <c r="K742" s="136">
        <v>9</v>
      </c>
      <c r="L742" s="2"/>
      <c r="M742" s="4" t="s">
        <v>4687</v>
      </c>
      <c r="N742" s="136">
        <v>9</v>
      </c>
      <c r="O742" s="16"/>
    </row>
    <row r="743" spans="1:15" s="3" customFormat="1" ht="16" customHeight="1" x14ac:dyDescent="0.2">
      <c r="A743" s="4" t="s">
        <v>4638</v>
      </c>
      <c r="B743" s="136">
        <v>8.5</v>
      </c>
      <c r="C743" s="2"/>
      <c r="D743" s="4" t="s">
        <v>4655</v>
      </c>
      <c r="E743" s="136">
        <v>9</v>
      </c>
      <c r="F743" s="2"/>
      <c r="G743" s="4" t="s">
        <v>4674</v>
      </c>
      <c r="H743" s="136">
        <v>9</v>
      </c>
      <c r="I743" s="2"/>
      <c r="J743" s="4" t="s">
        <v>4668</v>
      </c>
      <c r="K743" s="136">
        <v>9</v>
      </c>
      <c r="L743" s="2"/>
      <c r="M743" s="4" t="s">
        <v>4688</v>
      </c>
      <c r="N743" s="136">
        <v>8.5</v>
      </c>
      <c r="O743" s="16"/>
    </row>
    <row r="744" spans="1:15" s="3" customFormat="1" ht="16" customHeight="1" x14ac:dyDescent="0.2">
      <c r="A744" s="4" t="s">
        <v>4639</v>
      </c>
      <c r="B744" s="136">
        <v>8</v>
      </c>
      <c r="C744" s="2"/>
      <c r="D744" s="4" t="s">
        <v>4654</v>
      </c>
      <c r="E744" s="136">
        <v>8.5</v>
      </c>
      <c r="F744" s="2"/>
      <c r="G744" s="4" t="s">
        <v>4675</v>
      </c>
      <c r="H744" s="136">
        <v>10</v>
      </c>
      <c r="I744" s="2"/>
      <c r="J744" s="4" t="s">
        <v>4669</v>
      </c>
      <c r="K744" s="136">
        <v>9</v>
      </c>
      <c r="L744" s="2"/>
      <c r="M744" s="4" t="s">
        <v>4689</v>
      </c>
      <c r="N744" s="136">
        <v>9.5</v>
      </c>
      <c r="O744" s="16"/>
    </row>
    <row r="745" spans="1:15" s="3" customFormat="1" ht="16" customHeight="1" thickBot="1" x14ac:dyDescent="0.25">
      <c r="A745" s="7" t="s">
        <v>4640</v>
      </c>
      <c r="B745" s="190">
        <v>8</v>
      </c>
      <c r="C745" s="2"/>
      <c r="D745" s="4" t="s">
        <v>4656</v>
      </c>
      <c r="E745" s="136">
        <v>8.5</v>
      </c>
      <c r="F745" s="2"/>
      <c r="G745" s="4" t="s">
        <v>4677</v>
      </c>
      <c r="H745" s="136">
        <v>8.5</v>
      </c>
      <c r="I745" s="2"/>
      <c r="J745" s="7" t="s">
        <v>4670</v>
      </c>
      <c r="K745" s="190">
        <v>7.5</v>
      </c>
      <c r="L745" s="2"/>
      <c r="M745" s="4" t="s">
        <v>4690</v>
      </c>
      <c r="N745" s="136">
        <v>8</v>
      </c>
      <c r="O745" s="16"/>
    </row>
    <row r="746" spans="1:15" s="3" customFormat="1" ht="16" customHeight="1" thickBot="1" x14ac:dyDescent="0.25">
      <c r="A746" s="2"/>
      <c r="B746" s="2"/>
      <c r="C746" s="2"/>
      <c r="D746" s="4" t="s">
        <v>4657</v>
      </c>
      <c r="E746" s="136">
        <v>10</v>
      </c>
      <c r="F746" s="2"/>
      <c r="G746" s="4" t="s">
        <v>4678</v>
      </c>
      <c r="H746" s="136">
        <v>8</v>
      </c>
      <c r="I746" s="2"/>
      <c r="J746" s="2"/>
      <c r="K746" s="2"/>
      <c r="L746" s="2"/>
      <c r="M746" s="4" t="s">
        <v>4691</v>
      </c>
      <c r="N746" s="136">
        <v>8.5</v>
      </c>
      <c r="O746" s="16"/>
    </row>
    <row r="747" spans="1:15" s="3" customFormat="1" ht="16" customHeight="1" thickBot="1" x14ac:dyDescent="0.25">
      <c r="A747" s="495" t="s">
        <v>4696</v>
      </c>
      <c r="B747" s="12">
        <f>ROUND(AVERAGE(B748:B757), 2)</f>
        <v>8.65</v>
      </c>
      <c r="C747" s="2"/>
      <c r="D747" s="4" t="s">
        <v>4658</v>
      </c>
      <c r="E747" s="136">
        <v>9.5</v>
      </c>
      <c r="F747" s="2"/>
      <c r="G747" s="4" t="s">
        <v>4679</v>
      </c>
      <c r="H747" s="136">
        <v>8.5</v>
      </c>
      <c r="I747" s="2"/>
      <c r="J747" s="493" t="s">
        <v>4707</v>
      </c>
      <c r="K747" s="12">
        <f>ROUND(AVERAGE(K748:K758), 2)</f>
        <v>8.6</v>
      </c>
      <c r="L747" s="2"/>
      <c r="M747" s="4" t="s">
        <v>4692</v>
      </c>
      <c r="N747" s="136">
        <v>8</v>
      </c>
      <c r="O747" s="16"/>
    </row>
    <row r="748" spans="1:15" s="3" customFormat="1" ht="16" customHeight="1" x14ac:dyDescent="0.2">
      <c r="A748" s="11" t="s">
        <v>4697</v>
      </c>
      <c r="B748" s="189">
        <v>8</v>
      </c>
      <c r="C748" s="2"/>
      <c r="D748" s="4" t="s">
        <v>4659</v>
      </c>
      <c r="E748" s="136">
        <v>8.5</v>
      </c>
      <c r="F748" s="2"/>
      <c r="G748" s="4" t="s">
        <v>4680</v>
      </c>
      <c r="H748" s="136">
        <v>10</v>
      </c>
      <c r="I748" s="2"/>
      <c r="J748" s="11" t="s">
        <v>4708</v>
      </c>
      <c r="K748" s="189">
        <v>10</v>
      </c>
      <c r="L748" s="2"/>
      <c r="M748" s="4" t="s">
        <v>4693</v>
      </c>
      <c r="N748" s="136">
        <v>8</v>
      </c>
      <c r="O748" s="16"/>
    </row>
    <row r="749" spans="1:15" s="3" customFormat="1" ht="16" customHeight="1" thickBot="1" x14ac:dyDescent="0.25">
      <c r="A749" s="4" t="s">
        <v>4698</v>
      </c>
      <c r="B749" s="136">
        <v>9</v>
      </c>
      <c r="C749" s="2"/>
      <c r="D749" s="7" t="s">
        <v>4660</v>
      </c>
      <c r="E749" s="190">
        <v>8</v>
      </c>
      <c r="F749" s="2"/>
      <c r="G749" s="4" t="s">
        <v>4681</v>
      </c>
      <c r="H749" s="136">
        <v>8.5</v>
      </c>
      <c r="I749" s="2"/>
      <c r="J749" s="4" t="s">
        <v>4709</v>
      </c>
      <c r="K749" s="136">
        <v>9</v>
      </c>
      <c r="L749" s="2"/>
      <c r="M749" s="4" t="s">
        <v>4694</v>
      </c>
      <c r="N749" s="136">
        <v>8</v>
      </c>
      <c r="O749" s="16"/>
    </row>
    <row r="750" spans="1:15" s="3" customFormat="1" ht="16" customHeight="1" thickBot="1" x14ac:dyDescent="0.25">
      <c r="A750" s="4" t="s">
        <v>4699</v>
      </c>
      <c r="B750" s="136">
        <v>8.5</v>
      </c>
      <c r="C750" s="2"/>
      <c r="D750" s="2"/>
      <c r="E750" s="2"/>
      <c r="F750" s="2"/>
      <c r="G750" s="4" t="s">
        <v>4682</v>
      </c>
      <c r="H750" s="136">
        <v>10</v>
      </c>
      <c r="I750" s="2"/>
      <c r="J750" s="4" t="s">
        <v>4710</v>
      </c>
      <c r="K750" s="136">
        <v>9</v>
      </c>
      <c r="L750" s="2"/>
      <c r="M750" s="7" t="s">
        <v>4695</v>
      </c>
      <c r="N750" s="190">
        <v>8</v>
      </c>
      <c r="O750" s="16"/>
    </row>
    <row r="751" spans="1:15" s="3" customFormat="1" ht="16" customHeight="1" thickBot="1" x14ac:dyDescent="0.25">
      <c r="A751" s="4" t="s">
        <v>4700</v>
      </c>
      <c r="B751" s="136">
        <v>9</v>
      </c>
      <c r="C751" s="2"/>
      <c r="D751" s="496" t="s">
        <v>4734</v>
      </c>
      <c r="E751" s="12">
        <f>ROUND(AVERAGE(E752:E768), 2)</f>
        <v>8.0299999999999994</v>
      </c>
      <c r="F751" s="2"/>
      <c r="G751" s="4" t="s">
        <v>4683</v>
      </c>
      <c r="H751" s="136">
        <v>8</v>
      </c>
      <c r="I751" s="2"/>
      <c r="J751" s="4" t="s">
        <v>4711</v>
      </c>
      <c r="K751" s="136">
        <v>8</v>
      </c>
      <c r="L751" s="2"/>
      <c r="M751" s="2"/>
      <c r="N751" s="2"/>
      <c r="O751" s="16"/>
    </row>
    <row r="752" spans="1:15" s="3" customFormat="1" ht="16" customHeight="1" thickBot="1" x14ac:dyDescent="0.25">
      <c r="A752" s="4" t="s">
        <v>4701</v>
      </c>
      <c r="B752" s="136">
        <v>10</v>
      </c>
      <c r="C752" s="2"/>
      <c r="D752" s="11" t="s">
        <v>4737</v>
      </c>
      <c r="E752" s="189">
        <v>9</v>
      </c>
      <c r="F752" s="2"/>
      <c r="G752" s="7" t="s">
        <v>4684</v>
      </c>
      <c r="H752" s="190">
        <v>9</v>
      </c>
      <c r="I752" s="2"/>
      <c r="J752" s="4" t="s">
        <v>4712</v>
      </c>
      <c r="K752" s="136">
        <v>8</v>
      </c>
      <c r="L752" s="2"/>
      <c r="M752" s="497" t="s">
        <v>4752</v>
      </c>
      <c r="N752" s="12">
        <f>ROUND(AVERAGE(N753:N755), 2)</f>
        <v>8.83</v>
      </c>
      <c r="O752" s="16"/>
    </row>
    <row r="753" spans="1:15" s="3" customFormat="1" ht="16" customHeight="1" thickBot="1" x14ac:dyDescent="0.25">
      <c r="A753" s="4" t="s">
        <v>4702</v>
      </c>
      <c r="B753" s="136">
        <v>7</v>
      </c>
      <c r="C753" s="2"/>
      <c r="D753" s="4" t="s">
        <v>4738</v>
      </c>
      <c r="E753" s="136">
        <v>8</v>
      </c>
      <c r="F753" s="2"/>
      <c r="G753" s="2"/>
      <c r="H753" s="2"/>
      <c r="I753" s="2"/>
      <c r="J753" s="4" t="s">
        <v>4713</v>
      </c>
      <c r="K753" s="136">
        <v>8.5</v>
      </c>
      <c r="L753" s="2"/>
      <c r="M753" s="11" t="s">
        <v>4753</v>
      </c>
      <c r="N753" s="189">
        <v>9.5</v>
      </c>
      <c r="O753" s="16"/>
    </row>
    <row r="754" spans="1:15" s="3" customFormat="1" ht="16" customHeight="1" thickBot="1" x14ac:dyDescent="0.25">
      <c r="A754" s="4" t="s">
        <v>4703</v>
      </c>
      <c r="B754" s="136">
        <v>8.5</v>
      </c>
      <c r="C754" s="2"/>
      <c r="D754" s="4" t="s">
        <v>4739</v>
      </c>
      <c r="E754" s="136">
        <v>10</v>
      </c>
      <c r="F754" s="2"/>
      <c r="G754" s="498" t="s">
        <v>4768</v>
      </c>
      <c r="H754" s="12">
        <f>ROUND(AVERAGE(H755:H763), 2)</f>
        <v>8.3800000000000008</v>
      </c>
      <c r="I754" s="2"/>
      <c r="J754" s="4" t="s">
        <v>4714</v>
      </c>
      <c r="K754" s="136">
        <v>8</v>
      </c>
      <c r="L754" s="2"/>
      <c r="M754" s="4" t="s">
        <v>4754</v>
      </c>
      <c r="N754" s="136">
        <v>8.5</v>
      </c>
      <c r="O754" s="16"/>
    </row>
    <row r="755" spans="1:15" s="3" customFormat="1" ht="16" customHeight="1" thickBot="1" x14ac:dyDescent="0.25">
      <c r="A755" s="4" t="s">
        <v>4704</v>
      </c>
      <c r="B755" s="136">
        <v>8</v>
      </c>
      <c r="C755" s="2"/>
      <c r="D755" s="4" t="s">
        <v>4740</v>
      </c>
      <c r="E755" s="136">
        <v>8.5</v>
      </c>
      <c r="F755" s="2"/>
      <c r="G755" s="11" t="s">
        <v>4760</v>
      </c>
      <c r="H755" s="189">
        <v>8</v>
      </c>
      <c r="I755" s="2"/>
      <c r="J755" s="4" t="s">
        <v>4715</v>
      </c>
      <c r="K755" s="136">
        <v>9</v>
      </c>
      <c r="L755" s="2"/>
      <c r="M755" s="7" t="s">
        <v>4755</v>
      </c>
      <c r="N755" s="190">
        <v>8.5</v>
      </c>
      <c r="O755" s="16"/>
    </row>
    <row r="756" spans="1:15" s="3" customFormat="1" ht="16" customHeight="1" thickBot="1" x14ac:dyDescent="0.25">
      <c r="A756" s="4" t="s">
        <v>4705</v>
      </c>
      <c r="B756" s="136">
        <v>8</v>
      </c>
      <c r="C756" s="2"/>
      <c r="D756" s="4" t="s">
        <v>4741</v>
      </c>
      <c r="E756" s="136">
        <v>8.5</v>
      </c>
      <c r="F756" s="2"/>
      <c r="G756" s="4" t="s">
        <v>4761</v>
      </c>
      <c r="H756" s="136">
        <v>8.5</v>
      </c>
      <c r="I756" s="2"/>
      <c r="J756" s="4" t="s">
        <v>4716</v>
      </c>
      <c r="K756" s="136">
        <v>8</v>
      </c>
      <c r="L756" s="2"/>
      <c r="M756" s="2"/>
      <c r="N756" s="2"/>
      <c r="O756" s="16"/>
    </row>
    <row r="757" spans="1:15" s="3" customFormat="1" ht="16" customHeight="1" thickBot="1" x14ac:dyDescent="0.25">
      <c r="A757" s="7" t="s">
        <v>4706</v>
      </c>
      <c r="B757" s="190">
        <v>10.5</v>
      </c>
      <c r="C757" s="2"/>
      <c r="D757" s="4" t="s">
        <v>4742</v>
      </c>
      <c r="E757" s="136">
        <v>7.5</v>
      </c>
      <c r="F757" s="2"/>
      <c r="G757" s="4" t="s">
        <v>4762</v>
      </c>
      <c r="H757" s="136">
        <v>8.5</v>
      </c>
      <c r="I757" s="2"/>
      <c r="J757" s="7" t="s">
        <v>4717</v>
      </c>
      <c r="K757" s="190">
        <v>8.5</v>
      </c>
      <c r="L757" s="2"/>
      <c r="M757" s="499" t="s">
        <v>4772</v>
      </c>
      <c r="N757" s="12">
        <f>ROUND(AVERAGE(N758:N763), 2)</f>
        <v>8.42</v>
      </c>
      <c r="O757" s="16"/>
    </row>
    <row r="758" spans="1:15" s="3" customFormat="1" ht="16" customHeight="1" thickBot="1" x14ac:dyDescent="0.25">
      <c r="A758" s="2"/>
      <c r="B758" s="2"/>
      <c r="C758" s="2"/>
      <c r="D758" s="4" t="s">
        <v>4743</v>
      </c>
      <c r="E758" s="136">
        <v>8</v>
      </c>
      <c r="F758" s="2"/>
      <c r="G758" s="4" t="s">
        <v>4763</v>
      </c>
      <c r="H758" s="136">
        <v>9</v>
      </c>
      <c r="I758" s="2"/>
      <c r="J758" s="2"/>
      <c r="K758" s="2"/>
      <c r="L758" s="2"/>
      <c r="M758" s="5" t="s">
        <v>4773</v>
      </c>
      <c r="N758" s="189">
        <v>9</v>
      </c>
      <c r="O758" s="16"/>
    </row>
    <row r="759" spans="1:15" s="3" customFormat="1" ht="16" customHeight="1" thickBot="1" x14ac:dyDescent="0.25">
      <c r="A759" s="500" t="s">
        <v>4786</v>
      </c>
      <c r="B759" s="12">
        <f>ROUND(AVERAGE(B760:B771), 2)</f>
        <v>8.9600000000000009</v>
      </c>
      <c r="C759" s="2"/>
      <c r="D759" s="4" t="s">
        <v>4744</v>
      </c>
      <c r="E759" s="136">
        <v>7</v>
      </c>
      <c r="F759" s="2"/>
      <c r="G759" s="4" t="s">
        <v>4764</v>
      </c>
      <c r="H759" s="136">
        <v>7.5</v>
      </c>
      <c r="I759" s="2"/>
      <c r="J759" s="502" t="s">
        <v>4807</v>
      </c>
      <c r="K759" s="12">
        <f>ROUND(AVERAGE(K760:K767), 2)</f>
        <v>8.81</v>
      </c>
      <c r="L759" s="2"/>
      <c r="M759" s="6" t="s">
        <v>4774</v>
      </c>
      <c r="N759" s="136">
        <v>10</v>
      </c>
      <c r="O759" s="16"/>
    </row>
    <row r="760" spans="1:15" s="3" customFormat="1" ht="16" customHeight="1" x14ac:dyDescent="0.2">
      <c r="A760" s="11" t="s">
        <v>4787</v>
      </c>
      <c r="B760" s="189">
        <v>9</v>
      </c>
      <c r="C760" s="2"/>
      <c r="D760" s="4" t="s">
        <v>4745</v>
      </c>
      <c r="E760" s="136">
        <v>8</v>
      </c>
      <c r="F760" s="2"/>
      <c r="G760" s="4" t="s">
        <v>4765</v>
      </c>
      <c r="H760" s="136">
        <v>8.5</v>
      </c>
      <c r="I760" s="2"/>
      <c r="J760" s="11" t="s">
        <v>4808</v>
      </c>
      <c r="K760" s="189">
        <v>9.5</v>
      </c>
      <c r="L760" s="2"/>
      <c r="M760" s="503" t="s">
        <v>4775</v>
      </c>
      <c r="N760" s="136">
        <v>8.5</v>
      </c>
      <c r="O760" s="16"/>
    </row>
    <row r="761" spans="1:15" s="3" customFormat="1" ht="16" customHeight="1" x14ac:dyDescent="0.2">
      <c r="A761" s="4" t="s">
        <v>4788</v>
      </c>
      <c r="B761" s="136">
        <v>9.5</v>
      </c>
      <c r="C761" s="2"/>
      <c r="D761" s="4" t="s">
        <v>4746</v>
      </c>
      <c r="E761" s="136">
        <v>8</v>
      </c>
      <c r="F761" s="2"/>
      <c r="G761" s="4" t="s">
        <v>4766</v>
      </c>
      <c r="H761" s="136">
        <v>9</v>
      </c>
      <c r="I761" s="2"/>
      <c r="J761" s="4" t="s">
        <v>4809</v>
      </c>
      <c r="K761" s="136">
        <v>9.5</v>
      </c>
      <c r="L761" s="2"/>
      <c r="M761" s="503" t="s">
        <v>4776</v>
      </c>
      <c r="N761" s="136">
        <v>7.5</v>
      </c>
      <c r="O761" s="16"/>
    </row>
    <row r="762" spans="1:15" s="3" customFormat="1" ht="16" customHeight="1" thickBot="1" x14ac:dyDescent="0.25">
      <c r="A762" s="4" t="s">
        <v>4789</v>
      </c>
      <c r="B762" s="136">
        <v>8.5</v>
      </c>
      <c r="C762" s="2"/>
      <c r="D762" s="4" t="s">
        <v>4747</v>
      </c>
      <c r="E762" s="136">
        <v>7.5</v>
      </c>
      <c r="F762" s="2"/>
      <c r="G762" s="7" t="s">
        <v>4767</v>
      </c>
      <c r="H762" s="190">
        <v>8</v>
      </c>
      <c r="I762" s="2"/>
      <c r="J762" s="4" t="s">
        <v>4810</v>
      </c>
      <c r="K762" s="136">
        <v>8.5</v>
      </c>
      <c r="L762" s="2"/>
      <c r="M762" s="503" t="s">
        <v>4777</v>
      </c>
      <c r="N762" s="136">
        <v>8</v>
      </c>
      <c r="O762" s="16"/>
    </row>
    <row r="763" spans="1:15" s="3" customFormat="1" ht="16" customHeight="1" thickBot="1" x14ac:dyDescent="0.25">
      <c r="A763" s="4" t="s">
        <v>4790</v>
      </c>
      <c r="B763" s="136">
        <v>10</v>
      </c>
      <c r="C763" s="2"/>
      <c r="D763" s="4" t="s">
        <v>4748</v>
      </c>
      <c r="E763" s="136">
        <v>7</v>
      </c>
      <c r="F763" s="2"/>
      <c r="G763" s="2"/>
      <c r="H763" s="2"/>
      <c r="I763" s="2"/>
      <c r="J763" s="4" t="s">
        <v>4811</v>
      </c>
      <c r="K763" s="136">
        <v>10</v>
      </c>
      <c r="L763" s="2"/>
      <c r="M763" s="504" t="s">
        <v>4778</v>
      </c>
      <c r="N763" s="190">
        <v>7.5</v>
      </c>
      <c r="O763" s="16"/>
    </row>
    <row r="764" spans="1:15" s="3" customFormat="1" ht="16" customHeight="1" thickBot="1" x14ac:dyDescent="0.25">
      <c r="A764" s="4" t="s">
        <v>4791</v>
      </c>
      <c r="B764" s="136">
        <v>10</v>
      </c>
      <c r="C764" s="2"/>
      <c r="D764" s="4" t="s">
        <v>4749</v>
      </c>
      <c r="E764" s="136">
        <v>8</v>
      </c>
      <c r="F764" s="2"/>
      <c r="G764" s="505" t="s">
        <v>4830</v>
      </c>
      <c r="H764" s="12">
        <f>ROUND(AVERAGE(H765:H776), 2)</f>
        <v>8.25</v>
      </c>
      <c r="I764" s="2"/>
      <c r="J764" s="4" t="s">
        <v>4812</v>
      </c>
      <c r="K764" s="136">
        <v>8.5</v>
      </c>
      <c r="L764" s="2"/>
      <c r="M764" s="2"/>
      <c r="N764" s="2"/>
      <c r="O764" s="16"/>
    </row>
    <row r="765" spans="1:15" s="3" customFormat="1" ht="16" customHeight="1" thickBot="1" x14ac:dyDescent="0.25">
      <c r="A765" s="4" t="s">
        <v>4792</v>
      </c>
      <c r="B765" s="136">
        <v>8.5</v>
      </c>
      <c r="C765" s="2"/>
      <c r="D765" s="4" t="s">
        <v>4750</v>
      </c>
      <c r="E765" s="136">
        <v>8</v>
      </c>
      <c r="F765" s="2"/>
      <c r="G765" s="11" t="s">
        <v>4818</v>
      </c>
      <c r="H765" s="189">
        <v>9</v>
      </c>
      <c r="I765" s="2"/>
      <c r="J765" s="4" t="s">
        <v>4813</v>
      </c>
      <c r="K765" s="136">
        <v>8</v>
      </c>
      <c r="L765" s="2"/>
      <c r="M765" s="512" t="s">
        <v>4908</v>
      </c>
      <c r="N765" s="12">
        <f>ROUND(AVERAGE(N766:N770), 2)</f>
        <v>9</v>
      </c>
      <c r="O765" s="16"/>
    </row>
    <row r="766" spans="1:15" s="3" customFormat="1" ht="16" customHeight="1" x14ac:dyDescent="0.2">
      <c r="A766" s="4" t="s">
        <v>4793</v>
      </c>
      <c r="B766" s="136">
        <v>10.5</v>
      </c>
      <c r="C766" s="2"/>
      <c r="D766" s="4" t="s">
        <v>4751</v>
      </c>
      <c r="E766" s="136">
        <v>7.5</v>
      </c>
      <c r="F766" s="2"/>
      <c r="G766" s="4" t="s">
        <v>4819</v>
      </c>
      <c r="H766" s="136">
        <v>8.5</v>
      </c>
      <c r="I766" s="2"/>
      <c r="J766" s="4" t="s">
        <v>4814</v>
      </c>
      <c r="K766" s="136">
        <v>8.5</v>
      </c>
      <c r="L766" s="2"/>
      <c r="M766" s="11" t="s">
        <v>4909</v>
      </c>
      <c r="N766" s="189">
        <v>9</v>
      </c>
      <c r="O766" s="16"/>
    </row>
    <row r="767" spans="1:15" s="3" customFormat="1" ht="16" customHeight="1" thickBot="1" x14ac:dyDescent="0.25">
      <c r="A767" s="4" t="s">
        <v>4794</v>
      </c>
      <c r="B767" s="136">
        <v>8</v>
      </c>
      <c r="C767" s="2"/>
      <c r="D767" s="4" t="s">
        <v>4735</v>
      </c>
      <c r="E767" s="136">
        <v>7</v>
      </c>
      <c r="F767" s="2"/>
      <c r="G767" s="4" t="s">
        <v>4820</v>
      </c>
      <c r="H767" s="136">
        <v>8.5</v>
      </c>
      <c r="I767" s="2"/>
      <c r="J767" s="7" t="s">
        <v>4815</v>
      </c>
      <c r="K767" s="190">
        <v>8</v>
      </c>
      <c r="L767" s="2"/>
      <c r="M767" s="4" t="s">
        <v>4910</v>
      </c>
      <c r="N767" s="136">
        <v>8.5</v>
      </c>
      <c r="O767" s="16"/>
    </row>
    <row r="768" spans="1:15" s="3" customFormat="1" ht="16" customHeight="1" thickBot="1" x14ac:dyDescent="0.25">
      <c r="A768" s="4" t="s">
        <v>4795</v>
      </c>
      <c r="B768" s="136">
        <v>9</v>
      </c>
      <c r="C768" s="2"/>
      <c r="D768" s="7" t="s">
        <v>4736</v>
      </c>
      <c r="E768" s="190">
        <v>9</v>
      </c>
      <c r="F768" s="2"/>
      <c r="G768" s="4" t="s">
        <v>4821</v>
      </c>
      <c r="H768" s="136">
        <v>8</v>
      </c>
      <c r="I768" s="2"/>
      <c r="J768" s="2"/>
      <c r="K768" s="2"/>
      <c r="L768" s="2"/>
      <c r="M768" s="4" t="s">
        <v>4911</v>
      </c>
      <c r="N768" s="136">
        <v>9</v>
      </c>
      <c r="O768" s="16"/>
    </row>
    <row r="769" spans="1:15" s="3" customFormat="1" ht="16" customHeight="1" thickBot="1" x14ac:dyDescent="0.25">
      <c r="A769" s="4" t="s">
        <v>4796</v>
      </c>
      <c r="B769" s="136">
        <v>8</v>
      </c>
      <c r="C769" s="2"/>
      <c r="D769" s="2"/>
      <c r="E769" s="2"/>
      <c r="F769" s="2"/>
      <c r="G769" s="4" t="s">
        <v>4822</v>
      </c>
      <c r="H769" s="136">
        <v>9</v>
      </c>
      <c r="I769" s="2"/>
      <c r="J769" s="513" t="s">
        <v>4919</v>
      </c>
      <c r="K769" s="12">
        <f>ROUND(AVERAGE(K770:K781), 2)</f>
        <v>7.14</v>
      </c>
      <c r="L769" s="2"/>
      <c r="M769" s="4" t="s">
        <v>4912</v>
      </c>
      <c r="N769" s="136">
        <v>10</v>
      </c>
      <c r="O769" s="16"/>
    </row>
    <row r="770" spans="1:15" s="3" customFormat="1" ht="16" customHeight="1" thickBot="1" x14ac:dyDescent="0.25">
      <c r="A770" s="4" t="s">
        <v>4797</v>
      </c>
      <c r="B770" s="136">
        <v>8.5</v>
      </c>
      <c r="C770" s="2"/>
      <c r="D770" s="522" t="s">
        <v>5150</v>
      </c>
      <c r="E770" s="12">
        <f>ROUND(AVERAGE(E771:E778), 2)</f>
        <v>8.56</v>
      </c>
      <c r="F770" s="2"/>
      <c r="G770" s="4" t="s">
        <v>4823</v>
      </c>
      <c r="H770" s="136">
        <v>8</v>
      </c>
      <c r="I770" s="2"/>
      <c r="J770" s="11" t="s">
        <v>4924</v>
      </c>
      <c r="K770" s="189"/>
      <c r="L770" s="2"/>
      <c r="M770" s="7" t="s">
        <v>4913</v>
      </c>
      <c r="N770" s="190">
        <v>8.5</v>
      </c>
      <c r="O770" s="16"/>
    </row>
    <row r="771" spans="1:15" s="3" customFormat="1" ht="16" customHeight="1" thickBot="1" x14ac:dyDescent="0.25">
      <c r="A771" s="7" t="s">
        <v>4798</v>
      </c>
      <c r="B771" s="190">
        <v>8</v>
      </c>
      <c r="C771" s="2"/>
      <c r="D771" s="11" t="s">
        <v>5151</v>
      </c>
      <c r="E771" s="189">
        <v>8</v>
      </c>
      <c r="F771" s="2"/>
      <c r="G771" s="4" t="s">
        <v>4824</v>
      </c>
      <c r="H771" s="136">
        <v>8</v>
      </c>
      <c r="I771" s="2"/>
      <c r="J771" s="4" t="s">
        <v>4925</v>
      </c>
      <c r="K771" s="136">
        <v>9</v>
      </c>
      <c r="L771" s="2"/>
      <c r="M771" s="2"/>
      <c r="N771" s="2"/>
      <c r="O771" s="16"/>
    </row>
    <row r="772" spans="1:15" s="3" customFormat="1" ht="16" customHeight="1" thickBot="1" x14ac:dyDescent="0.25">
      <c r="A772" s="2"/>
      <c r="B772" s="2"/>
      <c r="C772" s="2"/>
      <c r="D772" s="4" t="s">
        <v>5152</v>
      </c>
      <c r="E772" s="136">
        <v>8.5</v>
      </c>
      <c r="F772" s="2"/>
      <c r="G772" s="4" t="s">
        <v>4825</v>
      </c>
      <c r="H772" s="136">
        <v>7.5</v>
      </c>
      <c r="I772" s="2"/>
      <c r="J772" s="4" t="s">
        <v>4926</v>
      </c>
      <c r="K772" s="136">
        <v>7.5</v>
      </c>
      <c r="L772" s="2"/>
      <c r="M772" s="524" t="s">
        <v>5202</v>
      </c>
      <c r="N772" s="12">
        <f>ROUND(AVERAGE(N773:N800), 2)</f>
        <v>8.65</v>
      </c>
      <c r="O772" s="16"/>
    </row>
    <row r="773" spans="1:15" s="3" customFormat="1" ht="16" customHeight="1" thickBot="1" x14ac:dyDescent="0.25">
      <c r="A773" s="525" t="s">
        <v>5230</v>
      </c>
      <c r="B773" s="12">
        <f>ROUND(AVERAGE(B774:B784), 2)</f>
        <v>8.23</v>
      </c>
      <c r="C773" s="2"/>
      <c r="D773" s="4" t="s">
        <v>5153</v>
      </c>
      <c r="E773" s="136">
        <v>9</v>
      </c>
      <c r="F773" s="2"/>
      <c r="G773" s="4" t="s">
        <v>4826</v>
      </c>
      <c r="H773" s="136">
        <v>9</v>
      </c>
      <c r="I773" s="2"/>
      <c r="J773" s="4" t="s">
        <v>4927</v>
      </c>
      <c r="K773" s="136">
        <v>7</v>
      </c>
      <c r="L773" s="2"/>
      <c r="M773" s="11" t="s">
        <v>5203</v>
      </c>
      <c r="N773" s="189">
        <v>9.5</v>
      </c>
      <c r="O773" s="16"/>
    </row>
    <row r="774" spans="1:15" s="3" customFormat="1" ht="16" customHeight="1" x14ac:dyDescent="0.2">
      <c r="A774" s="11" t="s">
        <v>5231</v>
      </c>
      <c r="B774" s="189">
        <v>9</v>
      </c>
      <c r="C774" s="2"/>
      <c r="D774" s="4" t="s">
        <v>5154</v>
      </c>
      <c r="E774" s="136">
        <v>8.5</v>
      </c>
      <c r="F774" s="2"/>
      <c r="G774" s="4" t="s">
        <v>4827</v>
      </c>
      <c r="H774" s="136">
        <v>8.5</v>
      </c>
      <c r="I774" s="2"/>
      <c r="J774" s="4" t="s">
        <v>4928</v>
      </c>
      <c r="K774" s="136">
        <v>6</v>
      </c>
      <c r="L774" s="2"/>
      <c r="M774" s="4" t="s">
        <v>5204</v>
      </c>
      <c r="N774" s="136">
        <v>10</v>
      </c>
      <c r="O774" s="16"/>
    </row>
    <row r="775" spans="1:15" s="3" customFormat="1" ht="16" customHeight="1" x14ac:dyDescent="0.2">
      <c r="A775" s="4" t="s">
        <v>5232</v>
      </c>
      <c r="B775" s="136">
        <v>10</v>
      </c>
      <c r="C775" s="2"/>
      <c r="D775" s="4" t="s">
        <v>5155</v>
      </c>
      <c r="E775" s="136">
        <v>10</v>
      </c>
      <c r="F775" s="2"/>
      <c r="G775" s="4" t="s">
        <v>4828</v>
      </c>
      <c r="H775" s="136">
        <v>8</v>
      </c>
      <c r="I775" s="2"/>
      <c r="J775" s="4" t="s">
        <v>4929</v>
      </c>
      <c r="K775" s="136">
        <v>9</v>
      </c>
      <c r="L775" s="2"/>
      <c r="M775" s="4" t="s">
        <v>5205</v>
      </c>
      <c r="N775" s="136">
        <v>8.5</v>
      </c>
      <c r="O775" s="16"/>
    </row>
    <row r="776" spans="1:15" s="3" customFormat="1" ht="16" customHeight="1" thickBot="1" x14ac:dyDescent="0.25">
      <c r="A776" s="4" t="s">
        <v>5233</v>
      </c>
      <c r="B776" s="136">
        <v>8.5</v>
      </c>
      <c r="C776" s="2"/>
      <c r="D776" s="4" t="s">
        <v>5156</v>
      </c>
      <c r="E776" s="136">
        <v>8</v>
      </c>
      <c r="F776" s="2"/>
      <c r="G776" s="7" t="s">
        <v>4829</v>
      </c>
      <c r="H776" s="190">
        <v>7</v>
      </c>
      <c r="I776" s="2"/>
      <c r="J776" s="4" t="s">
        <v>4930</v>
      </c>
      <c r="K776" s="136">
        <v>6</v>
      </c>
      <c r="L776" s="2"/>
      <c r="M776" s="4" t="s">
        <v>5206</v>
      </c>
      <c r="N776" s="136">
        <v>9</v>
      </c>
      <c r="O776" s="16"/>
    </row>
    <row r="777" spans="1:15" s="3" customFormat="1" ht="16" customHeight="1" thickBot="1" x14ac:dyDescent="0.25">
      <c r="A777" s="4" t="s">
        <v>5234</v>
      </c>
      <c r="B777" s="136">
        <v>7.5</v>
      </c>
      <c r="C777" s="2"/>
      <c r="D777" s="4" t="s">
        <v>5157</v>
      </c>
      <c r="E777" s="136">
        <v>8.5</v>
      </c>
      <c r="F777" s="2"/>
      <c r="G777" s="2"/>
      <c r="H777" s="2"/>
      <c r="I777" s="2"/>
      <c r="J777" s="4" t="s">
        <v>4931</v>
      </c>
      <c r="K777" s="136">
        <v>8</v>
      </c>
      <c r="L777" s="2"/>
      <c r="M777" s="4" t="s">
        <v>5207</v>
      </c>
      <c r="N777" s="136">
        <v>8</v>
      </c>
      <c r="O777" s="16"/>
    </row>
    <row r="778" spans="1:15" s="3" customFormat="1" ht="16" customHeight="1" thickBot="1" x14ac:dyDescent="0.25">
      <c r="A778" s="4" t="s">
        <v>5235</v>
      </c>
      <c r="B778" s="136">
        <v>8</v>
      </c>
      <c r="C778" s="2"/>
      <c r="D778" s="7" t="s">
        <v>5158</v>
      </c>
      <c r="E778" s="190">
        <v>8</v>
      </c>
      <c r="F778" s="2"/>
      <c r="G778" s="527" t="s">
        <v>5299</v>
      </c>
      <c r="H778" s="12">
        <f>ROUND(AVERAGE(H779:H784), 2)</f>
        <v>8.92</v>
      </c>
      <c r="I778" s="2"/>
      <c r="J778" s="4" t="s">
        <v>4920</v>
      </c>
      <c r="K778" s="136">
        <v>6.5</v>
      </c>
      <c r="L778" s="2"/>
      <c r="M778" s="4" t="s">
        <v>5208</v>
      </c>
      <c r="N778" s="136">
        <v>8</v>
      </c>
      <c r="O778" s="16"/>
    </row>
    <row r="779" spans="1:15" s="3" customFormat="1" ht="16" customHeight="1" thickBot="1" x14ac:dyDescent="0.25">
      <c r="A779" s="4" t="s">
        <v>5236</v>
      </c>
      <c r="B779" s="136">
        <v>9</v>
      </c>
      <c r="C779" s="2"/>
      <c r="D779" s="2"/>
      <c r="E779" s="2"/>
      <c r="F779" s="2"/>
      <c r="G779" s="11" t="s">
        <v>5293</v>
      </c>
      <c r="H779" s="189">
        <v>9</v>
      </c>
      <c r="I779" s="2"/>
      <c r="J779" s="4" t="s">
        <v>4921</v>
      </c>
      <c r="K779" s="136">
        <v>6</v>
      </c>
      <c r="L779" s="2"/>
      <c r="M779" s="4" t="s">
        <v>5209</v>
      </c>
      <c r="N779" s="136">
        <v>9</v>
      </c>
      <c r="O779" s="16"/>
    </row>
    <row r="780" spans="1:15" s="3" customFormat="1" ht="16" customHeight="1" thickBot="1" x14ac:dyDescent="0.25">
      <c r="A780" s="4" t="s">
        <v>5237</v>
      </c>
      <c r="B780" s="136">
        <v>8.5</v>
      </c>
      <c r="C780" s="2"/>
      <c r="D780" s="125" t="s">
        <v>5331</v>
      </c>
      <c r="E780" s="12">
        <f>ROUND(AVERAGE(E781:E784), 2)</f>
        <v>8.75</v>
      </c>
      <c r="F780" s="2"/>
      <c r="G780" s="4" t="s">
        <v>5294</v>
      </c>
      <c r="H780" s="136">
        <v>9</v>
      </c>
      <c r="I780" s="2"/>
      <c r="J780" s="4" t="s">
        <v>4922</v>
      </c>
      <c r="K780" s="136">
        <v>7</v>
      </c>
      <c r="L780" s="2"/>
      <c r="M780" s="4" t="s">
        <v>5210</v>
      </c>
      <c r="N780" s="136">
        <v>7.5</v>
      </c>
      <c r="O780" s="16"/>
    </row>
    <row r="781" spans="1:15" s="3" customFormat="1" ht="16" customHeight="1" thickBot="1" x14ac:dyDescent="0.25">
      <c r="A781" s="4" t="s">
        <v>5238</v>
      </c>
      <c r="B781" s="136">
        <v>7.5</v>
      </c>
      <c r="C781" s="2"/>
      <c r="D781" s="11" t="s">
        <v>5332</v>
      </c>
      <c r="E781" s="189">
        <v>8.5</v>
      </c>
      <c r="F781" s="2"/>
      <c r="G781" s="4" t="s">
        <v>5295</v>
      </c>
      <c r="H781" s="136">
        <v>8.5</v>
      </c>
      <c r="I781" s="2"/>
      <c r="J781" s="7" t="s">
        <v>4923</v>
      </c>
      <c r="K781" s="190">
        <v>6.5</v>
      </c>
      <c r="L781" s="2"/>
      <c r="M781" s="4" t="s">
        <v>5211</v>
      </c>
      <c r="N781" s="136">
        <v>7.5</v>
      </c>
      <c r="O781" s="16"/>
    </row>
    <row r="782" spans="1:15" s="3" customFormat="1" ht="16" customHeight="1" thickBot="1" x14ac:dyDescent="0.25">
      <c r="A782" s="4" t="s">
        <v>5239</v>
      </c>
      <c r="B782" s="136">
        <v>8</v>
      </c>
      <c r="C782" s="2"/>
      <c r="D782" s="4" t="s">
        <v>5333</v>
      </c>
      <c r="E782" s="136">
        <v>9</v>
      </c>
      <c r="F782" s="2"/>
      <c r="G782" s="4" t="s">
        <v>5296</v>
      </c>
      <c r="H782" s="136">
        <v>10.5</v>
      </c>
      <c r="I782" s="2"/>
      <c r="J782" s="2"/>
      <c r="K782" s="2"/>
      <c r="L782" s="2"/>
      <c r="M782" s="4" t="s">
        <v>5212</v>
      </c>
      <c r="N782" s="136">
        <v>9</v>
      </c>
      <c r="O782" s="16"/>
    </row>
    <row r="783" spans="1:15" s="3" customFormat="1" ht="16" customHeight="1" thickBot="1" x14ac:dyDescent="0.25">
      <c r="A783" s="4" t="s">
        <v>5240</v>
      </c>
      <c r="B783" s="136">
        <v>7.5</v>
      </c>
      <c r="C783" s="2"/>
      <c r="D783" s="4" t="s">
        <v>5334</v>
      </c>
      <c r="E783" s="136">
        <v>10</v>
      </c>
      <c r="F783" s="2"/>
      <c r="G783" s="4" t="s">
        <v>5297</v>
      </c>
      <c r="H783" s="136">
        <v>8.5</v>
      </c>
      <c r="I783" s="2"/>
      <c r="J783" s="532" t="s">
        <v>5340</v>
      </c>
      <c r="K783" s="12">
        <f>ROUND(AVERAGE(K784:K796), 2)</f>
        <v>8.65</v>
      </c>
      <c r="L783" s="2"/>
      <c r="M783" s="4" t="s">
        <v>5213</v>
      </c>
      <c r="N783" s="136"/>
      <c r="O783" s="16"/>
    </row>
    <row r="784" spans="1:15" s="3" customFormat="1" ht="16" customHeight="1" thickBot="1" x14ac:dyDescent="0.25">
      <c r="A784" s="7" t="s">
        <v>5241</v>
      </c>
      <c r="B784" s="190">
        <v>7</v>
      </c>
      <c r="C784" s="2"/>
      <c r="D784" s="7" t="s">
        <v>2378</v>
      </c>
      <c r="E784" s="190">
        <v>7.5</v>
      </c>
      <c r="F784" s="2"/>
      <c r="G784" s="7" t="s">
        <v>5298</v>
      </c>
      <c r="H784" s="190">
        <v>8</v>
      </c>
      <c r="I784" s="2"/>
      <c r="J784" s="11" t="s">
        <v>5341</v>
      </c>
      <c r="K784" s="189">
        <v>9</v>
      </c>
      <c r="L784" s="2"/>
      <c r="M784" s="4" t="s">
        <v>5214</v>
      </c>
      <c r="N784" s="136">
        <v>8.5</v>
      </c>
      <c r="O784" s="16"/>
    </row>
    <row r="785" spans="1:15" s="3" customFormat="1" ht="16" customHeight="1" thickBo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4" t="s">
        <v>5342</v>
      </c>
      <c r="K785" s="136">
        <v>8.5</v>
      </c>
      <c r="L785" s="2"/>
      <c r="M785" s="4" t="s">
        <v>5215</v>
      </c>
      <c r="N785" s="136">
        <v>9</v>
      </c>
      <c r="O785" s="16"/>
    </row>
    <row r="786" spans="1:15" s="3" customFormat="1" ht="16" customHeight="1" thickBot="1" x14ac:dyDescent="0.25">
      <c r="A786" s="533" t="s">
        <v>5354</v>
      </c>
      <c r="B786" s="12">
        <f>ROUND(AVERAGE(B787:B793), 2)</f>
        <v>8.6</v>
      </c>
      <c r="C786" s="2"/>
      <c r="D786" s="534" t="s">
        <v>5371</v>
      </c>
      <c r="E786" s="12">
        <f>ROUND(AVERAGE(E787:E802), 2)</f>
        <v>8.8000000000000007</v>
      </c>
      <c r="F786" s="2"/>
      <c r="G786" s="535" t="s">
        <v>5410</v>
      </c>
      <c r="H786" s="12">
        <f>ROUND(AVERAGE(H787:H805), 2)</f>
        <v>8.4700000000000006</v>
      </c>
      <c r="I786" s="2"/>
      <c r="J786" s="4" t="s">
        <v>5343</v>
      </c>
      <c r="K786" s="136">
        <v>9</v>
      </c>
      <c r="L786" s="2"/>
      <c r="M786" s="4" t="s">
        <v>5216</v>
      </c>
      <c r="N786" s="136">
        <v>7.5</v>
      </c>
      <c r="O786" s="16"/>
    </row>
    <row r="787" spans="1:15" s="3" customFormat="1" ht="16" customHeight="1" x14ac:dyDescent="0.2">
      <c r="A787" s="11" t="s">
        <v>5355</v>
      </c>
      <c r="B787" s="189">
        <v>8</v>
      </c>
      <c r="C787" s="2"/>
      <c r="D787" s="11" t="s">
        <v>1304</v>
      </c>
      <c r="E787" s="189"/>
      <c r="F787" s="2"/>
      <c r="G787" s="11" t="s">
        <v>5396</v>
      </c>
      <c r="H787" s="189">
        <v>9</v>
      </c>
      <c r="I787" s="2"/>
      <c r="J787" s="4" t="s">
        <v>5344</v>
      </c>
      <c r="K787" s="136">
        <v>9</v>
      </c>
      <c r="L787" s="2"/>
      <c r="M787" s="4" t="s">
        <v>5217</v>
      </c>
      <c r="N787" s="136">
        <v>8</v>
      </c>
      <c r="O787" s="16"/>
    </row>
    <row r="788" spans="1:15" s="3" customFormat="1" ht="16" customHeight="1" x14ac:dyDescent="0.2">
      <c r="A788" s="4" t="s">
        <v>5356</v>
      </c>
      <c r="B788" s="136">
        <v>9.5</v>
      </c>
      <c r="C788" s="2"/>
      <c r="D788" s="4" t="s">
        <v>5372</v>
      </c>
      <c r="E788" s="136">
        <v>8.5</v>
      </c>
      <c r="F788" s="2"/>
      <c r="G788" s="4" t="s">
        <v>5334</v>
      </c>
      <c r="H788" s="136">
        <v>10</v>
      </c>
      <c r="I788" s="2"/>
      <c r="J788" s="4" t="s">
        <v>5345</v>
      </c>
      <c r="K788" s="136">
        <v>8.5</v>
      </c>
      <c r="L788" s="2"/>
      <c r="M788" s="4" t="s">
        <v>5218</v>
      </c>
      <c r="N788" s="136">
        <v>8.5</v>
      </c>
      <c r="O788" s="16"/>
    </row>
    <row r="789" spans="1:15" s="3" customFormat="1" ht="16" customHeight="1" x14ac:dyDescent="0.2">
      <c r="A789" s="4" t="s">
        <v>5357</v>
      </c>
      <c r="B789" s="136">
        <v>9</v>
      </c>
      <c r="C789" s="2"/>
      <c r="D789" s="4" t="s">
        <v>5373</v>
      </c>
      <c r="E789" s="136">
        <v>10</v>
      </c>
      <c r="F789" s="2"/>
      <c r="G789" s="4" t="s">
        <v>5332</v>
      </c>
      <c r="H789" s="136">
        <v>8.5</v>
      </c>
      <c r="I789" s="2"/>
      <c r="J789" s="4" t="s">
        <v>5346</v>
      </c>
      <c r="K789" s="136">
        <v>10</v>
      </c>
      <c r="L789" s="2"/>
      <c r="M789" s="4" t="s">
        <v>5219</v>
      </c>
      <c r="N789" s="136">
        <v>9</v>
      </c>
      <c r="O789" s="16"/>
    </row>
    <row r="790" spans="1:15" s="3" customFormat="1" ht="16" customHeight="1" x14ac:dyDescent="0.2">
      <c r="A790" s="4" t="s">
        <v>5358</v>
      </c>
      <c r="B790" s="136"/>
      <c r="C790" s="2"/>
      <c r="D790" s="4" t="s">
        <v>5374</v>
      </c>
      <c r="E790" s="136">
        <v>9</v>
      </c>
      <c r="F790" s="2"/>
      <c r="G790" s="4" t="s">
        <v>5333</v>
      </c>
      <c r="H790" s="136">
        <v>9</v>
      </c>
      <c r="I790" s="2"/>
      <c r="J790" s="4" t="s">
        <v>5347</v>
      </c>
      <c r="K790" s="136"/>
      <c r="L790" s="2"/>
      <c r="M790" s="4" t="s">
        <v>5220</v>
      </c>
      <c r="N790" s="136">
        <v>8</v>
      </c>
      <c r="O790" s="16"/>
    </row>
    <row r="791" spans="1:15" s="3" customFormat="1" ht="16" customHeight="1" x14ac:dyDescent="0.2">
      <c r="A791" s="4" t="s">
        <v>5359</v>
      </c>
      <c r="B791" s="136"/>
      <c r="C791" s="2"/>
      <c r="D791" s="4" t="s">
        <v>5375</v>
      </c>
      <c r="E791" s="136">
        <v>10</v>
      </c>
      <c r="F791" s="2"/>
      <c r="G791" s="4" t="s">
        <v>5397</v>
      </c>
      <c r="H791" s="136">
        <v>9</v>
      </c>
      <c r="I791" s="2"/>
      <c r="J791" s="4" t="s">
        <v>5348</v>
      </c>
      <c r="K791" s="136">
        <v>8.5</v>
      </c>
      <c r="L791" s="2"/>
      <c r="M791" s="4" t="s">
        <v>5221</v>
      </c>
      <c r="N791" s="136">
        <v>8</v>
      </c>
      <c r="O791" s="16"/>
    </row>
    <row r="792" spans="1:15" s="3" customFormat="1" ht="16" customHeight="1" x14ac:dyDescent="0.2">
      <c r="A792" s="4" t="s">
        <v>5360</v>
      </c>
      <c r="B792" s="136">
        <v>8.5</v>
      </c>
      <c r="C792" s="2"/>
      <c r="D792" s="4" t="s">
        <v>5376</v>
      </c>
      <c r="E792" s="136">
        <v>8.5</v>
      </c>
      <c r="F792" s="2"/>
      <c r="G792" s="4" t="s">
        <v>5398</v>
      </c>
      <c r="H792" s="136">
        <v>8</v>
      </c>
      <c r="I792" s="2"/>
      <c r="J792" s="4" t="s">
        <v>5349</v>
      </c>
      <c r="K792" s="136">
        <v>7.5</v>
      </c>
      <c r="L792" s="2"/>
      <c r="M792" s="4" t="s">
        <v>5222</v>
      </c>
      <c r="N792" s="136">
        <v>10.5</v>
      </c>
      <c r="O792" s="16"/>
    </row>
    <row r="793" spans="1:15" s="3" customFormat="1" ht="16" customHeight="1" thickBot="1" x14ac:dyDescent="0.25">
      <c r="A793" s="7" t="s">
        <v>5361</v>
      </c>
      <c r="B793" s="190">
        <v>8</v>
      </c>
      <c r="C793" s="2"/>
      <c r="D793" s="4" t="s">
        <v>5377</v>
      </c>
      <c r="E793" s="136">
        <v>9</v>
      </c>
      <c r="F793" s="2"/>
      <c r="G793" s="4" t="s">
        <v>5399</v>
      </c>
      <c r="H793" s="136">
        <v>8.5</v>
      </c>
      <c r="I793" s="2"/>
      <c r="J793" s="4" t="s">
        <v>5350</v>
      </c>
      <c r="K793" s="136"/>
      <c r="L793" s="2"/>
      <c r="M793" s="4" t="s">
        <v>2585</v>
      </c>
      <c r="N793" s="136"/>
      <c r="O793" s="16"/>
    </row>
    <row r="794" spans="1:15" s="3" customFormat="1" ht="16" customHeight="1" thickBot="1" x14ac:dyDescent="0.25">
      <c r="A794" s="2"/>
      <c r="B794" s="2"/>
      <c r="C794" s="2"/>
      <c r="D794" s="4" t="s">
        <v>5378</v>
      </c>
      <c r="E794" s="136">
        <v>8</v>
      </c>
      <c r="F794" s="2"/>
      <c r="G794" s="4" t="s">
        <v>5400</v>
      </c>
      <c r="H794" s="136">
        <v>8.5</v>
      </c>
      <c r="I794" s="2"/>
      <c r="J794" s="4" t="s">
        <v>5351</v>
      </c>
      <c r="K794" s="136">
        <v>8.5</v>
      </c>
      <c r="L794" s="2"/>
      <c r="M794" s="4" t="s">
        <v>5223</v>
      </c>
      <c r="N794" s="136">
        <v>10</v>
      </c>
      <c r="O794" s="16"/>
    </row>
    <row r="795" spans="1:15" s="3" customFormat="1" ht="16" customHeight="1" thickBot="1" x14ac:dyDescent="0.25">
      <c r="A795" s="536" t="s">
        <v>5414</v>
      </c>
      <c r="B795" s="12">
        <f>ROUND(AVERAGE(B796:B805), 2)</f>
        <v>8.75</v>
      </c>
      <c r="C795" s="2"/>
      <c r="D795" s="4" t="s">
        <v>5385</v>
      </c>
      <c r="E795" s="136">
        <v>8</v>
      </c>
      <c r="F795" s="2"/>
      <c r="G795" s="4" t="s">
        <v>5401</v>
      </c>
      <c r="H795" s="136">
        <v>8.5</v>
      </c>
      <c r="I795" s="2"/>
      <c r="J795" s="4" t="s">
        <v>5352</v>
      </c>
      <c r="K795" s="136">
        <v>8</v>
      </c>
      <c r="L795" s="2"/>
      <c r="M795" s="4" t="s">
        <v>5224</v>
      </c>
      <c r="N795" s="136"/>
      <c r="O795" s="16"/>
    </row>
    <row r="796" spans="1:15" s="3" customFormat="1" ht="16" customHeight="1" thickBot="1" x14ac:dyDescent="0.25">
      <c r="A796" s="11" t="s">
        <v>5415</v>
      </c>
      <c r="B796" s="189">
        <v>10</v>
      </c>
      <c r="C796" s="2"/>
      <c r="D796" s="4" t="s">
        <v>5379</v>
      </c>
      <c r="E796" s="136">
        <v>8.5</v>
      </c>
      <c r="F796" s="2"/>
      <c r="G796" s="4" t="s">
        <v>2378</v>
      </c>
      <c r="H796" s="136">
        <v>7.5</v>
      </c>
      <c r="I796" s="2"/>
      <c r="J796" s="7" t="s">
        <v>5353</v>
      </c>
      <c r="K796" s="190"/>
      <c r="L796" s="2"/>
      <c r="M796" s="4" t="s">
        <v>5225</v>
      </c>
      <c r="N796" s="136">
        <v>9</v>
      </c>
      <c r="O796" s="16"/>
    </row>
    <row r="797" spans="1:15" s="3" customFormat="1" ht="16" customHeight="1" thickBot="1" x14ac:dyDescent="0.25">
      <c r="A797" s="4" t="s">
        <v>5416</v>
      </c>
      <c r="B797" s="136">
        <v>9</v>
      </c>
      <c r="C797" s="2"/>
      <c r="D797" s="4" t="s">
        <v>5380</v>
      </c>
      <c r="E797" s="136">
        <v>7.5</v>
      </c>
      <c r="F797" s="2"/>
      <c r="G797" s="4" t="s">
        <v>5402</v>
      </c>
      <c r="H797" s="136">
        <v>7</v>
      </c>
      <c r="I797" s="2"/>
      <c r="J797" s="2"/>
      <c r="K797" s="2"/>
      <c r="L797" s="2"/>
      <c r="M797" s="4" t="s">
        <v>5226</v>
      </c>
      <c r="N797" s="136">
        <v>9</v>
      </c>
      <c r="O797" s="16"/>
    </row>
    <row r="798" spans="1:15" s="3" customFormat="1" ht="16" customHeight="1" thickBot="1" x14ac:dyDescent="0.25">
      <c r="A798" s="4" t="s">
        <v>5417</v>
      </c>
      <c r="B798" s="136">
        <v>8.5</v>
      </c>
      <c r="C798" s="2"/>
      <c r="D798" s="4" t="s">
        <v>5381</v>
      </c>
      <c r="E798" s="136">
        <v>8.5</v>
      </c>
      <c r="F798" s="2"/>
      <c r="G798" s="4" t="s">
        <v>5403</v>
      </c>
      <c r="H798" s="136">
        <v>7.5</v>
      </c>
      <c r="I798" s="2"/>
      <c r="J798" s="537" t="s">
        <v>5431</v>
      </c>
      <c r="K798" s="12">
        <f>ROUND(AVERAGE(K799:K802), 2)</f>
        <v>9</v>
      </c>
      <c r="L798" s="2"/>
      <c r="M798" s="4" t="s">
        <v>5227</v>
      </c>
      <c r="N798" s="136"/>
      <c r="O798" s="16"/>
    </row>
    <row r="799" spans="1:15" s="3" customFormat="1" ht="16" customHeight="1" x14ac:dyDescent="0.2">
      <c r="A799" s="4" t="s">
        <v>5418</v>
      </c>
      <c r="B799" s="136">
        <v>8</v>
      </c>
      <c r="C799" s="2"/>
      <c r="D799" s="4" t="s">
        <v>5382</v>
      </c>
      <c r="E799" s="136">
        <v>9</v>
      </c>
      <c r="F799" s="2"/>
      <c r="G799" s="4" t="s">
        <v>5404</v>
      </c>
      <c r="H799" s="136">
        <v>9.5</v>
      </c>
      <c r="I799" s="2"/>
      <c r="J799" s="11" t="s">
        <v>5432</v>
      </c>
      <c r="K799" s="189">
        <v>9</v>
      </c>
      <c r="L799" s="2"/>
      <c r="M799" s="4" t="s">
        <v>5228</v>
      </c>
      <c r="N799" s="136">
        <v>8</v>
      </c>
      <c r="O799" s="16"/>
    </row>
    <row r="800" spans="1:15" s="3" customFormat="1" ht="16" customHeight="1" thickBot="1" x14ac:dyDescent="0.25">
      <c r="A800" s="4" t="s">
        <v>5419</v>
      </c>
      <c r="B800" s="136">
        <v>9</v>
      </c>
      <c r="C800" s="2"/>
      <c r="D800" s="4" t="s">
        <v>5383</v>
      </c>
      <c r="E800" s="136">
        <v>8.5</v>
      </c>
      <c r="F800" s="2"/>
      <c r="G800" s="4" t="s">
        <v>5405</v>
      </c>
      <c r="H800" s="136">
        <v>8.5</v>
      </c>
      <c r="I800" s="2"/>
      <c r="J800" s="4" t="s">
        <v>5433</v>
      </c>
      <c r="K800" s="136">
        <v>10.5</v>
      </c>
      <c r="L800" s="2"/>
      <c r="M800" s="7" t="s">
        <v>5229</v>
      </c>
      <c r="N800" s="190">
        <v>8.5</v>
      </c>
      <c r="O800" s="16"/>
    </row>
    <row r="801" spans="1:15" s="3" customFormat="1" ht="16" customHeight="1" thickBot="1" x14ac:dyDescent="0.25">
      <c r="A801" s="4" t="s">
        <v>5420</v>
      </c>
      <c r="B801" s="136">
        <v>8.5</v>
      </c>
      <c r="C801" s="2"/>
      <c r="D801" s="4" t="s">
        <v>5386</v>
      </c>
      <c r="E801" s="136">
        <v>9</v>
      </c>
      <c r="F801" s="2"/>
      <c r="G801" s="4" t="s">
        <v>5406</v>
      </c>
      <c r="H801" s="136">
        <v>7</v>
      </c>
      <c r="I801" s="2"/>
      <c r="J801" s="4" t="s">
        <v>5434</v>
      </c>
      <c r="K801" s="136">
        <v>8.5</v>
      </c>
      <c r="L801" s="2"/>
      <c r="M801" s="2"/>
      <c r="N801" s="2"/>
      <c r="O801" s="16"/>
    </row>
    <row r="802" spans="1:15" s="3" customFormat="1" ht="16" customHeight="1" thickBot="1" x14ac:dyDescent="0.25">
      <c r="A802" s="4" t="s">
        <v>5421</v>
      </c>
      <c r="B802" s="136">
        <v>9.5</v>
      </c>
      <c r="C802" s="2"/>
      <c r="D802" s="7" t="s">
        <v>5384</v>
      </c>
      <c r="E802" s="190">
        <v>10</v>
      </c>
      <c r="F802" s="2"/>
      <c r="G802" s="4" t="s">
        <v>5407</v>
      </c>
      <c r="H802" s="136">
        <v>9</v>
      </c>
      <c r="I802" s="2"/>
      <c r="J802" s="7" t="s">
        <v>5435</v>
      </c>
      <c r="K802" s="190">
        <v>8</v>
      </c>
      <c r="L802" s="2"/>
      <c r="M802" s="538" t="s">
        <v>5442</v>
      </c>
      <c r="N802" s="12">
        <f>ROUND(AVERAGE(N803:N810), 2)</f>
        <v>9.25</v>
      </c>
      <c r="O802" s="16"/>
    </row>
    <row r="803" spans="1:15" s="3" customFormat="1" ht="16" customHeight="1" thickBot="1" x14ac:dyDescent="0.25">
      <c r="A803" s="4" t="s">
        <v>5422</v>
      </c>
      <c r="B803" s="136">
        <v>8.5</v>
      </c>
      <c r="C803" s="2"/>
      <c r="D803" s="2"/>
      <c r="E803" s="2"/>
      <c r="F803" s="2"/>
      <c r="G803" s="4" t="s">
        <v>5408</v>
      </c>
      <c r="H803" s="136">
        <v>8.5</v>
      </c>
      <c r="I803" s="2"/>
      <c r="J803" s="2"/>
      <c r="K803" s="2"/>
      <c r="L803" s="2"/>
      <c r="M803" s="11" t="s">
        <v>5443</v>
      </c>
      <c r="N803" s="189">
        <v>10.5</v>
      </c>
      <c r="O803" s="16"/>
    </row>
    <row r="804" spans="1:15" s="3" customFormat="1" ht="16" customHeight="1" thickBot="1" x14ac:dyDescent="0.25">
      <c r="A804" s="4" t="s">
        <v>5423</v>
      </c>
      <c r="B804" s="136">
        <v>8</v>
      </c>
      <c r="C804" s="2"/>
      <c r="D804" s="540" t="s">
        <v>5477</v>
      </c>
      <c r="E804" s="12">
        <f>ROUND(AVERAGE(E805:E818), 2)</f>
        <v>8.36</v>
      </c>
      <c r="F804" s="2"/>
      <c r="G804" s="4" t="s">
        <v>5409</v>
      </c>
      <c r="H804" s="136">
        <v>8.5</v>
      </c>
      <c r="I804" s="2"/>
      <c r="J804" s="541" t="s">
        <v>5481</v>
      </c>
      <c r="K804" s="12">
        <f>ROUND(AVERAGE(K805:K815), 2)</f>
        <v>8.91</v>
      </c>
      <c r="L804" s="2"/>
      <c r="M804" s="4" t="s">
        <v>5444</v>
      </c>
      <c r="N804" s="136">
        <v>10</v>
      </c>
      <c r="O804" s="16"/>
    </row>
    <row r="805" spans="1:15" s="3" customFormat="1" ht="16" customHeight="1" thickBot="1" x14ac:dyDescent="0.25">
      <c r="A805" s="7" t="s">
        <v>5424</v>
      </c>
      <c r="B805" s="190">
        <v>8.5</v>
      </c>
      <c r="C805" s="2"/>
      <c r="D805" s="11" t="s">
        <v>5464</v>
      </c>
      <c r="E805" s="189"/>
      <c r="F805" s="2"/>
      <c r="G805" s="7" t="s">
        <v>3630</v>
      </c>
      <c r="H805" s="190">
        <v>9</v>
      </c>
      <c r="I805" s="2"/>
      <c r="J805" s="11" t="s">
        <v>5484</v>
      </c>
      <c r="K805" s="189">
        <v>9</v>
      </c>
      <c r="L805" s="2"/>
      <c r="M805" s="4" t="s">
        <v>5445</v>
      </c>
      <c r="N805" s="136">
        <v>9</v>
      </c>
      <c r="O805" s="16"/>
    </row>
    <row r="806" spans="1:15" s="3" customFormat="1" ht="16" customHeight="1" thickBot="1" x14ac:dyDescent="0.25">
      <c r="A806" s="2"/>
      <c r="B806" s="2"/>
      <c r="C806" s="2"/>
      <c r="D806" s="4" t="s">
        <v>5465</v>
      </c>
      <c r="E806" s="136">
        <v>8.5</v>
      </c>
      <c r="F806" s="2"/>
      <c r="G806" s="2"/>
      <c r="H806" s="2"/>
      <c r="I806" s="2"/>
      <c r="J806" s="4" t="s">
        <v>5485</v>
      </c>
      <c r="K806" s="136">
        <v>9.5</v>
      </c>
      <c r="L806" s="2"/>
      <c r="M806" s="4" t="s">
        <v>5446</v>
      </c>
      <c r="N806" s="136">
        <v>9</v>
      </c>
      <c r="O806" s="16"/>
    </row>
    <row r="807" spans="1:15" s="3" customFormat="1" ht="16" customHeight="1" thickBot="1" x14ac:dyDescent="0.25">
      <c r="A807" s="542" t="s">
        <v>5513</v>
      </c>
      <c r="B807" s="12">
        <f>ROUND(AVERAGE(B808:B821), 2)</f>
        <v>8.16</v>
      </c>
      <c r="C807" s="2"/>
      <c r="D807" s="4" t="s">
        <v>5466</v>
      </c>
      <c r="E807" s="136">
        <v>7</v>
      </c>
      <c r="F807" s="2"/>
      <c r="G807" s="543" t="s">
        <v>5514</v>
      </c>
      <c r="H807" s="12">
        <f>ROUND(AVERAGE(H808:H824), 2)</f>
        <v>8.4</v>
      </c>
      <c r="I807" s="2"/>
      <c r="J807" s="4" t="s">
        <v>5486</v>
      </c>
      <c r="K807" s="136">
        <v>9</v>
      </c>
      <c r="L807" s="2"/>
      <c r="M807" s="4" t="s">
        <v>5447</v>
      </c>
      <c r="N807" s="136">
        <v>8.5</v>
      </c>
      <c r="O807" s="16"/>
    </row>
    <row r="808" spans="1:15" s="3" customFormat="1" ht="16" customHeight="1" x14ac:dyDescent="0.2">
      <c r="A808" s="5" t="s">
        <v>5500</v>
      </c>
      <c r="B808" s="189">
        <v>9</v>
      </c>
      <c r="C808" s="2"/>
      <c r="D808" s="4" t="s">
        <v>38</v>
      </c>
      <c r="E808" s="136">
        <v>8.5</v>
      </c>
      <c r="F808" s="2"/>
      <c r="G808" s="11" t="s">
        <v>38</v>
      </c>
      <c r="H808" s="189">
        <v>7.5</v>
      </c>
      <c r="I808" s="2"/>
      <c r="J808" s="4" t="s">
        <v>5487</v>
      </c>
      <c r="K808" s="136">
        <v>8</v>
      </c>
      <c r="L808" s="2"/>
      <c r="M808" s="4" t="s">
        <v>5448</v>
      </c>
      <c r="N808" s="136">
        <v>8.5</v>
      </c>
      <c r="O808" s="16"/>
    </row>
    <row r="809" spans="1:15" s="3" customFormat="1" ht="16" customHeight="1" x14ac:dyDescent="0.2">
      <c r="A809" s="6" t="s">
        <v>5501</v>
      </c>
      <c r="B809" s="136">
        <v>8</v>
      </c>
      <c r="C809" s="2"/>
      <c r="D809" s="4" t="s">
        <v>5467</v>
      </c>
      <c r="E809" s="136"/>
      <c r="F809" s="2"/>
      <c r="G809" s="4" t="s">
        <v>5515</v>
      </c>
      <c r="H809" s="136">
        <v>10</v>
      </c>
      <c r="I809" s="2"/>
      <c r="J809" s="4" t="s">
        <v>5488</v>
      </c>
      <c r="K809" s="136">
        <v>10</v>
      </c>
      <c r="L809" s="2"/>
      <c r="M809" s="4" t="s">
        <v>5449</v>
      </c>
      <c r="N809" s="136">
        <v>10</v>
      </c>
      <c r="O809" s="16"/>
    </row>
    <row r="810" spans="1:15" s="3" customFormat="1" ht="16" customHeight="1" thickBot="1" x14ac:dyDescent="0.25">
      <c r="A810" s="6" t="s">
        <v>5502</v>
      </c>
      <c r="B810" s="136">
        <v>9</v>
      </c>
      <c r="C810" s="2"/>
      <c r="D810" s="4" t="s">
        <v>5468</v>
      </c>
      <c r="E810" s="136">
        <v>8</v>
      </c>
      <c r="F810" s="2"/>
      <c r="G810" s="4" t="s">
        <v>5516</v>
      </c>
      <c r="H810" s="136">
        <v>8.5</v>
      </c>
      <c r="I810" s="2"/>
      <c r="J810" s="4" t="s">
        <v>5489</v>
      </c>
      <c r="K810" s="136">
        <v>8.5</v>
      </c>
      <c r="L810" s="2"/>
      <c r="M810" s="7" t="s">
        <v>5450</v>
      </c>
      <c r="N810" s="190">
        <v>8.5</v>
      </c>
      <c r="O810" s="16"/>
    </row>
    <row r="811" spans="1:15" s="3" customFormat="1" ht="16" customHeight="1" thickBot="1" x14ac:dyDescent="0.25">
      <c r="A811" s="6" t="s">
        <v>5503</v>
      </c>
      <c r="B811" s="136">
        <v>8</v>
      </c>
      <c r="C811" s="2"/>
      <c r="D811" s="539" t="s">
        <v>5469</v>
      </c>
      <c r="E811" s="136"/>
      <c r="F811" s="2"/>
      <c r="G811" s="4" t="s">
        <v>5517</v>
      </c>
      <c r="H811" s="136">
        <v>9</v>
      </c>
      <c r="I811" s="2"/>
      <c r="J811" s="4" t="s">
        <v>5490</v>
      </c>
      <c r="K811" s="136">
        <v>9</v>
      </c>
      <c r="L811" s="2"/>
      <c r="M811" s="2"/>
      <c r="N811" s="2"/>
      <c r="O811" s="16"/>
    </row>
    <row r="812" spans="1:15" s="3" customFormat="1" ht="16" customHeight="1" thickBot="1" x14ac:dyDescent="0.25">
      <c r="A812" s="6" t="s">
        <v>5504</v>
      </c>
      <c r="B812" s="136">
        <v>8.5</v>
      </c>
      <c r="C812" s="2"/>
      <c r="D812" s="4" t="s">
        <v>5470</v>
      </c>
      <c r="E812" s="136">
        <v>7.5</v>
      </c>
      <c r="F812" s="2"/>
      <c r="G812" s="4" t="s">
        <v>5518</v>
      </c>
      <c r="H812" s="136"/>
      <c r="I812" s="2"/>
      <c r="J812" s="4" t="s">
        <v>5491</v>
      </c>
      <c r="K812" s="136">
        <v>9</v>
      </c>
      <c r="L812" s="2"/>
      <c r="M812" s="544" t="s">
        <v>5538</v>
      </c>
      <c r="N812" s="12">
        <f>ROUND(AVERAGE(N813:N824), 2)</f>
        <v>3.88</v>
      </c>
      <c r="O812" s="16"/>
    </row>
    <row r="813" spans="1:15" s="3" customFormat="1" ht="16" customHeight="1" x14ac:dyDescent="0.2">
      <c r="A813" s="6" t="s">
        <v>4286</v>
      </c>
      <c r="B813" s="136">
        <v>8.5</v>
      </c>
      <c r="C813" s="2"/>
      <c r="D813" s="4" t="s">
        <v>5471</v>
      </c>
      <c r="E813" s="136">
        <v>8</v>
      </c>
      <c r="F813" s="2"/>
      <c r="G813" s="4" t="s">
        <v>5519</v>
      </c>
      <c r="H813" s="136">
        <v>9</v>
      </c>
      <c r="I813" s="2"/>
      <c r="J813" s="4" t="s">
        <v>5492</v>
      </c>
      <c r="K813" s="136">
        <v>9</v>
      </c>
      <c r="L813" s="2"/>
      <c r="M813" s="11" t="s">
        <v>5539</v>
      </c>
      <c r="N813" s="189">
        <v>7</v>
      </c>
      <c r="O813" s="16"/>
    </row>
    <row r="814" spans="1:15" s="3" customFormat="1" ht="16" customHeight="1" x14ac:dyDescent="0.2">
      <c r="A814" s="6" t="s">
        <v>5505</v>
      </c>
      <c r="B814" s="136">
        <v>10</v>
      </c>
      <c r="C814" s="2"/>
      <c r="D814" s="4" t="s">
        <v>5472</v>
      </c>
      <c r="E814" s="136">
        <v>8.5</v>
      </c>
      <c r="F814" s="2"/>
      <c r="G814" s="4" t="s">
        <v>5520</v>
      </c>
      <c r="H814" s="136">
        <v>8.5</v>
      </c>
      <c r="I814" s="2"/>
      <c r="J814" s="4" t="s">
        <v>5482</v>
      </c>
      <c r="K814" s="136">
        <v>8</v>
      </c>
      <c r="L814" s="2"/>
      <c r="M814" s="4" t="s">
        <v>5540</v>
      </c>
      <c r="N814" s="136">
        <v>5.5</v>
      </c>
      <c r="O814" s="16"/>
    </row>
    <row r="815" spans="1:15" s="3" customFormat="1" ht="16" customHeight="1" thickBot="1" x14ac:dyDescent="0.25">
      <c r="A815" s="6" t="s">
        <v>5506</v>
      </c>
      <c r="B815" s="136">
        <v>8.5</v>
      </c>
      <c r="C815" s="2"/>
      <c r="D815" s="4" t="s">
        <v>5473</v>
      </c>
      <c r="E815" s="136">
        <v>9</v>
      </c>
      <c r="F815" s="2"/>
      <c r="G815" s="4" t="s">
        <v>5521</v>
      </c>
      <c r="H815" s="136">
        <v>8</v>
      </c>
      <c r="I815" s="2"/>
      <c r="J815" s="7" t="s">
        <v>5483</v>
      </c>
      <c r="K815" s="190">
        <v>9</v>
      </c>
      <c r="L815" s="2"/>
      <c r="M815" s="4" t="s">
        <v>5541</v>
      </c>
      <c r="N815" s="136">
        <v>4</v>
      </c>
      <c r="O815" s="16"/>
    </row>
    <row r="816" spans="1:15" s="3" customFormat="1" ht="16" customHeight="1" thickBot="1" x14ac:dyDescent="0.25">
      <c r="A816" s="8" t="s">
        <v>5507</v>
      </c>
      <c r="B816" s="190">
        <v>7.5</v>
      </c>
      <c r="C816" s="2"/>
      <c r="D816" s="4" t="s">
        <v>5474</v>
      </c>
      <c r="E816" s="136">
        <v>8.5</v>
      </c>
      <c r="F816" s="2"/>
      <c r="G816" s="4" t="s">
        <v>5522</v>
      </c>
      <c r="H816" s="136">
        <v>7.5</v>
      </c>
      <c r="I816" s="2"/>
      <c r="J816" s="2"/>
      <c r="K816" s="2"/>
      <c r="L816" s="2"/>
      <c r="M816" s="4" t="s">
        <v>5542</v>
      </c>
      <c r="N816" s="136">
        <v>1</v>
      </c>
      <c r="O816" s="16"/>
    </row>
    <row r="817" spans="1:15" s="3" customFormat="1" ht="16" customHeight="1" thickBot="1" x14ac:dyDescent="0.25">
      <c r="A817" s="2"/>
      <c r="B817" s="2"/>
      <c r="C817" s="2"/>
      <c r="D817" s="4" t="s">
        <v>5475</v>
      </c>
      <c r="E817" s="136">
        <v>8.5</v>
      </c>
      <c r="F817" s="2"/>
      <c r="G817" s="4" t="s">
        <v>5523</v>
      </c>
      <c r="H817" s="136">
        <v>8.5</v>
      </c>
      <c r="I817" s="2"/>
      <c r="J817" s="546" t="s">
        <v>5578</v>
      </c>
      <c r="K817" s="12">
        <f>ROUND(AVERAGE(K818:K834), 2)</f>
        <v>9</v>
      </c>
      <c r="L817" s="2"/>
      <c r="M817" s="4" t="s">
        <v>5543</v>
      </c>
      <c r="N817" s="136">
        <v>5</v>
      </c>
      <c r="O817" s="16"/>
    </row>
    <row r="818" spans="1:15" s="3" customFormat="1" ht="16" customHeight="1" thickBot="1" x14ac:dyDescent="0.25">
      <c r="A818" s="547" t="s">
        <v>5607</v>
      </c>
      <c r="B818" s="12">
        <f>ROUND(AVERAGE(B819:B846), 2)</f>
        <v>7.13</v>
      </c>
      <c r="C818" s="2"/>
      <c r="D818" s="7" t="s">
        <v>5476</v>
      </c>
      <c r="E818" s="190">
        <v>10</v>
      </c>
      <c r="F818" s="2"/>
      <c r="G818" s="4" t="s">
        <v>5524</v>
      </c>
      <c r="H818" s="136">
        <v>8.5</v>
      </c>
      <c r="I818" s="2"/>
      <c r="J818" s="11" t="s">
        <v>5561</v>
      </c>
      <c r="K818" s="189">
        <v>8.5</v>
      </c>
      <c r="L818" s="2"/>
      <c r="M818" s="4" t="s">
        <v>5544</v>
      </c>
      <c r="N818" s="136">
        <v>4</v>
      </c>
      <c r="O818" s="16"/>
    </row>
    <row r="819" spans="1:15" s="3" customFormat="1" ht="16" customHeight="1" thickBot="1" x14ac:dyDescent="0.25">
      <c r="A819" s="11" t="s">
        <v>5579</v>
      </c>
      <c r="B819" s="189">
        <v>7</v>
      </c>
      <c r="C819" s="2"/>
      <c r="D819" s="2"/>
      <c r="E819" s="2"/>
      <c r="F819" s="2"/>
      <c r="G819" s="4" t="s">
        <v>5525</v>
      </c>
      <c r="H819" s="136"/>
      <c r="I819" s="2"/>
      <c r="J819" s="4" t="s">
        <v>5562</v>
      </c>
      <c r="K819" s="136">
        <v>9</v>
      </c>
      <c r="L819" s="2"/>
      <c r="M819" s="4" t="s">
        <v>5545</v>
      </c>
      <c r="N819" s="136">
        <v>6</v>
      </c>
      <c r="O819" s="16"/>
    </row>
    <row r="820" spans="1:15" s="3" customFormat="1" ht="16" customHeight="1" thickBot="1" x14ac:dyDescent="0.25">
      <c r="A820" s="4" t="s">
        <v>5580</v>
      </c>
      <c r="B820" s="136">
        <v>8</v>
      </c>
      <c r="C820" s="2"/>
      <c r="D820" s="549" t="s">
        <v>5620</v>
      </c>
      <c r="E820" s="12">
        <f>ROUND(AVERAGE(E821:E832), 2)</f>
        <v>8.17</v>
      </c>
      <c r="F820" s="2"/>
      <c r="G820" s="4" t="s">
        <v>5526</v>
      </c>
      <c r="H820" s="136">
        <v>9</v>
      </c>
      <c r="I820" s="2"/>
      <c r="J820" s="4" t="s">
        <v>5563</v>
      </c>
      <c r="K820" s="136">
        <v>9</v>
      </c>
      <c r="L820" s="2"/>
      <c r="M820" s="4" t="s">
        <v>5546</v>
      </c>
      <c r="N820" s="136">
        <v>3</v>
      </c>
      <c r="O820" s="16"/>
    </row>
    <row r="821" spans="1:15" s="3" customFormat="1" ht="16" customHeight="1" x14ac:dyDescent="0.2">
      <c r="A821" s="4" t="s">
        <v>5581</v>
      </c>
      <c r="B821" s="136">
        <v>7</v>
      </c>
      <c r="C821" s="2"/>
      <c r="D821" s="11" t="s">
        <v>5621</v>
      </c>
      <c r="E821" s="189">
        <v>10</v>
      </c>
      <c r="F821" s="2"/>
      <c r="G821" s="4" t="s">
        <v>5527</v>
      </c>
      <c r="H821" s="136">
        <v>8</v>
      </c>
      <c r="I821" s="2"/>
      <c r="J821" s="4" t="s">
        <v>5564</v>
      </c>
      <c r="K821" s="136">
        <v>9</v>
      </c>
      <c r="L821" s="2"/>
      <c r="M821" s="4" t="s">
        <v>5547</v>
      </c>
      <c r="N821" s="136">
        <v>5</v>
      </c>
      <c r="O821" s="16"/>
    </row>
    <row r="822" spans="1:15" s="3" customFormat="1" ht="16" customHeight="1" x14ac:dyDescent="0.2">
      <c r="A822" s="4" t="s">
        <v>5582</v>
      </c>
      <c r="B822" s="136">
        <v>9</v>
      </c>
      <c r="C822" s="2"/>
      <c r="D822" s="4" t="s">
        <v>5622</v>
      </c>
      <c r="E822" s="136">
        <v>9</v>
      </c>
      <c r="F822" s="2"/>
      <c r="G822" s="4" t="s">
        <v>5528</v>
      </c>
      <c r="H822" s="136">
        <v>8.5</v>
      </c>
      <c r="I822" s="2"/>
      <c r="J822" s="4" t="s">
        <v>5565</v>
      </c>
      <c r="K822" s="136">
        <v>8</v>
      </c>
      <c r="L822" s="2"/>
      <c r="M822" s="4" t="s">
        <v>5548</v>
      </c>
      <c r="N822" s="136">
        <v>0</v>
      </c>
      <c r="O822" s="16"/>
    </row>
    <row r="823" spans="1:15" s="3" customFormat="1" ht="16" customHeight="1" x14ac:dyDescent="0.2">
      <c r="A823" s="4" t="s">
        <v>5583</v>
      </c>
      <c r="B823" s="136">
        <v>8.5</v>
      </c>
      <c r="C823" s="2"/>
      <c r="D823" s="4" t="s">
        <v>5623</v>
      </c>
      <c r="E823" s="136">
        <v>8</v>
      </c>
      <c r="F823" s="2"/>
      <c r="G823" s="4" t="s">
        <v>5529</v>
      </c>
      <c r="H823" s="136">
        <v>8.5</v>
      </c>
      <c r="I823" s="2"/>
      <c r="J823" s="4" t="s">
        <v>5566</v>
      </c>
      <c r="K823" s="136">
        <v>8.5</v>
      </c>
      <c r="L823" s="2"/>
      <c r="M823" s="4" t="s">
        <v>5549</v>
      </c>
      <c r="N823" s="136">
        <v>4</v>
      </c>
      <c r="O823" s="16"/>
    </row>
    <row r="824" spans="1:15" s="3" customFormat="1" ht="16" customHeight="1" thickBot="1" x14ac:dyDescent="0.25">
      <c r="A824" s="4" t="s">
        <v>5584</v>
      </c>
      <c r="B824" s="136">
        <v>7</v>
      </c>
      <c r="C824" s="2"/>
      <c r="D824" s="4" t="s">
        <v>5624</v>
      </c>
      <c r="E824" s="136">
        <v>8</v>
      </c>
      <c r="F824" s="2"/>
      <c r="G824" s="7" t="s">
        <v>5530</v>
      </c>
      <c r="H824" s="190">
        <v>7</v>
      </c>
      <c r="I824" s="2"/>
      <c r="J824" s="4" t="s">
        <v>5567</v>
      </c>
      <c r="K824" s="136">
        <v>8.5</v>
      </c>
      <c r="L824" s="2"/>
      <c r="M824" s="7" t="s">
        <v>5550</v>
      </c>
      <c r="N824" s="190">
        <v>2</v>
      </c>
      <c r="O824" s="16"/>
    </row>
    <row r="825" spans="1:15" s="3" customFormat="1" ht="16" customHeight="1" thickBot="1" x14ac:dyDescent="0.25">
      <c r="A825" s="4" t="s">
        <v>5585</v>
      </c>
      <c r="B825" s="136">
        <v>6</v>
      </c>
      <c r="C825" s="2"/>
      <c r="D825" s="4" t="s">
        <v>5625</v>
      </c>
      <c r="E825" s="136">
        <v>7</v>
      </c>
      <c r="F825" s="2"/>
      <c r="G825" s="2"/>
      <c r="H825" s="2"/>
      <c r="I825" s="2"/>
      <c r="J825" s="4" t="s">
        <v>5568</v>
      </c>
      <c r="K825" s="136">
        <v>9.5</v>
      </c>
      <c r="L825" s="2"/>
      <c r="M825" s="2"/>
      <c r="N825" s="2"/>
      <c r="O825" s="16"/>
    </row>
    <row r="826" spans="1:15" s="3" customFormat="1" ht="16" customHeight="1" thickBot="1" x14ac:dyDescent="0.25">
      <c r="A826" s="4" t="s">
        <v>5586</v>
      </c>
      <c r="B826" s="136">
        <v>9</v>
      </c>
      <c r="C826" s="2"/>
      <c r="D826" s="4" t="s">
        <v>5626</v>
      </c>
      <c r="E826" s="136">
        <v>8.5</v>
      </c>
      <c r="F826" s="2"/>
      <c r="G826" s="559" t="s">
        <v>5736</v>
      </c>
      <c r="H826" s="12">
        <f>ROUND(AVERAGE(H827:H837), 2)</f>
        <v>8.23</v>
      </c>
      <c r="I826" s="2"/>
      <c r="J826" s="4" t="s">
        <v>5569</v>
      </c>
      <c r="K826" s="136">
        <v>10</v>
      </c>
      <c r="L826" s="2"/>
      <c r="M826" s="560" t="s">
        <v>5777</v>
      </c>
      <c r="N826" s="12">
        <f>ROUND(AVERAGE(N827:N841), 2)</f>
        <v>8.17</v>
      </c>
      <c r="O826" s="16"/>
    </row>
    <row r="827" spans="1:15" s="3" customFormat="1" ht="16" customHeight="1" x14ac:dyDescent="0.2">
      <c r="A827" s="4" t="s">
        <v>5587</v>
      </c>
      <c r="B827" s="136">
        <v>8</v>
      </c>
      <c r="C827" s="2"/>
      <c r="D827" s="4" t="s">
        <v>5627</v>
      </c>
      <c r="E827" s="136">
        <v>8</v>
      </c>
      <c r="F827" s="2"/>
      <c r="G827" s="11" t="s">
        <v>5737</v>
      </c>
      <c r="H827" s="189">
        <v>10</v>
      </c>
      <c r="I827" s="2"/>
      <c r="J827" s="4" t="s">
        <v>5570</v>
      </c>
      <c r="K827" s="136"/>
      <c r="L827" s="2"/>
      <c r="M827" s="11" t="s">
        <v>5762</v>
      </c>
      <c r="N827" s="189">
        <v>8</v>
      </c>
      <c r="O827" s="16"/>
    </row>
    <row r="828" spans="1:15" s="3" customFormat="1" ht="16" customHeight="1" x14ac:dyDescent="0.2">
      <c r="A828" s="4" t="s">
        <v>5588</v>
      </c>
      <c r="B828" s="136">
        <v>7.5</v>
      </c>
      <c r="C828" s="2"/>
      <c r="D828" s="4" t="s">
        <v>5628</v>
      </c>
      <c r="E828" s="136">
        <v>7</v>
      </c>
      <c r="F828" s="2"/>
      <c r="G828" s="4" t="s">
        <v>5738</v>
      </c>
      <c r="H828" s="136">
        <v>8</v>
      </c>
      <c r="I828" s="2"/>
      <c r="J828" s="4" t="s">
        <v>5571</v>
      </c>
      <c r="K828" s="136">
        <v>10.5</v>
      </c>
      <c r="L828" s="2"/>
      <c r="M828" s="4" t="s">
        <v>5763</v>
      </c>
      <c r="N828" s="136">
        <v>9</v>
      </c>
      <c r="O828" s="16"/>
    </row>
    <row r="829" spans="1:15" s="3" customFormat="1" ht="16" customHeight="1" x14ac:dyDescent="0.2">
      <c r="A829" s="4" t="s">
        <v>5589</v>
      </c>
      <c r="B829" s="136">
        <v>7</v>
      </c>
      <c r="C829" s="2"/>
      <c r="D829" s="4" t="s">
        <v>5629</v>
      </c>
      <c r="E829" s="136">
        <v>8</v>
      </c>
      <c r="F829" s="2"/>
      <c r="G829" s="4" t="s">
        <v>5739</v>
      </c>
      <c r="H829" s="136">
        <v>8.5</v>
      </c>
      <c r="I829" s="2"/>
      <c r="J829" s="4" t="s">
        <v>5572</v>
      </c>
      <c r="K829" s="136">
        <v>10</v>
      </c>
      <c r="L829" s="2"/>
      <c r="M829" s="4" t="s">
        <v>5764</v>
      </c>
      <c r="N829" s="136">
        <v>8.5</v>
      </c>
      <c r="O829" s="16"/>
    </row>
    <row r="830" spans="1:15" s="3" customFormat="1" ht="16" customHeight="1" x14ac:dyDescent="0.2">
      <c r="A830" s="4" t="s">
        <v>5590</v>
      </c>
      <c r="B830" s="136"/>
      <c r="C830" s="2"/>
      <c r="D830" s="4" t="s">
        <v>5630</v>
      </c>
      <c r="E830" s="136">
        <v>8.5</v>
      </c>
      <c r="F830" s="2"/>
      <c r="G830" s="4" t="s">
        <v>5740</v>
      </c>
      <c r="H830" s="136">
        <v>7.5</v>
      </c>
      <c r="I830" s="2"/>
      <c r="J830" s="4" t="s">
        <v>5573</v>
      </c>
      <c r="K830" s="136">
        <v>9.5</v>
      </c>
      <c r="L830" s="2"/>
      <c r="M830" s="4" t="s">
        <v>5765</v>
      </c>
      <c r="N830" s="136">
        <v>8</v>
      </c>
      <c r="O830" s="16"/>
    </row>
    <row r="831" spans="1:15" s="3" customFormat="1" ht="16" customHeight="1" x14ac:dyDescent="0.2">
      <c r="A831" s="4" t="s">
        <v>5591</v>
      </c>
      <c r="B831" s="136">
        <v>6</v>
      </c>
      <c r="C831" s="2"/>
      <c r="D831" s="4" t="s">
        <v>5631</v>
      </c>
      <c r="E831" s="136">
        <v>8</v>
      </c>
      <c r="F831" s="2"/>
      <c r="G831" s="4" t="s">
        <v>5741</v>
      </c>
      <c r="H831" s="136">
        <v>7</v>
      </c>
      <c r="I831" s="2"/>
      <c r="J831" s="4" t="s">
        <v>5574</v>
      </c>
      <c r="K831" s="136">
        <v>8.5</v>
      </c>
      <c r="L831" s="2"/>
      <c r="M831" s="4" t="s">
        <v>5766</v>
      </c>
      <c r="N831" s="136">
        <v>8</v>
      </c>
      <c r="O831" s="16"/>
    </row>
    <row r="832" spans="1:15" s="3" customFormat="1" ht="16" customHeight="1" thickBot="1" x14ac:dyDescent="0.25">
      <c r="A832" s="4" t="s">
        <v>5592</v>
      </c>
      <c r="B832" s="136">
        <v>6.5</v>
      </c>
      <c r="C832" s="2"/>
      <c r="D832" s="7" t="s">
        <v>5632</v>
      </c>
      <c r="E832" s="190">
        <v>8</v>
      </c>
      <c r="F832" s="2"/>
      <c r="G832" s="4" t="s">
        <v>5742</v>
      </c>
      <c r="H832" s="136">
        <v>10.5</v>
      </c>
      <c r="I832" s="2"/>
      <c r="J832" s="4" t="s">
        <v>5575</v>
      </c>
      <c r="K832" s="136">
        <v>8.5</v>
      </c>
      <c r="L832" s="2"/>
      <c r="M832" s="4" t="s">
        <v>5767</v>
      </c>
      <c r="N832" s="136">
        <v>7.5</v>
      </c>
      <c r="O832" s="16"/>
    </row>
    <row r="833" spans="1:15" s="3" customFormat="1" ht="16" customHeight="1" thickBot="1" x14ac:dyDescent="0.25">
      <c r="A833" s="4" t="s">
        <v>5593</v>
      </c>
      <c r="B833" s="136">
        <v>6</v>
      </c>
      <c r="C833" s="2"/>
      <c r="D833" s="2"/>
      <c r="E833" s="2"/>
      <c r="F833" s="2"/>
      <c r="G833" s="4" t="s">
        <v>5743</v>
      </c>
      <c r="H833" s="136">
        <v>6</v>
      </c>
      <c r="I833" s="2"/>
      <c r="J833" s="4" t="s">
        <v>5576</v>
      </c>
      <c r="K833" s="136">
        <v>8</v>
      </c>
      <c r="L833" s="2"/>
      <c r="M833" s="4" t="s">
        <v>5768</v>
      </c>
      <c r="N833" s="136">
        <v>8.5</v>
      </c>
      <c r="O833" s="16"/>
    </row>
    <row r="834" spans="1:15" s="3" customFormat="1" ht="16" customHeight="1" thickBot="1" x14ac:dyDescent="0.25">
      <c r="A834" s="4" t="s">
        <v>5594</v>
      </c>
      <c r="B834" s="136">
        <v>7</v>
      </c>
      <c r="C834" s="2"/>
      <c r="D834" s="554" t="s">
        <v>5633</v>
      </c>
      <c r="E834" s="12">
        <f>ROUND(AVERAGE(E835:E844), 2)</f>
        <v>8.4</v>
      </c>
      <c r="F834" s="2"/>
      <c r="G834" s="4" t="s">
        <v>5744</v>
      </c>
      <c r="H834" s="136">
        <v>7.5</v>
      </c>
      <c r="I834" s="2"/>
      <c r="J834" s="7" t="s">
        <v>5577</v>
      </c>
      <c r="K834" s="190"/>
      <c r="L834" s="2"/>
      <c r="M834" s="4" t="s">
        <v>5769</v>
      </c>
      <c r="N834" s="136">
        <v>8</v>
      </c>
      <c r="O834" s="16"/>
    </row>
    <row r="835" spans="1:15" s="3" customFormat="1" ht="16" customHeight="1" thickBot="1" x14ac:dyDescent="0.25">
      <c r="A835" s="4" t="s">
        <v>5595</v>
      </c>
      <c r="B835" s="136">
        <v>8</v>
      </c>
      <c r="C835" s="2"/>
      <c r="D835" s="11" t="s">
        <v>5634</v>
      </c>
      <c r="E835" s="189">
        <v>8.5</v>
      </c>
      <c r="F835" s="2"/>
      <c r="G835" s="4" t="s">
        <v>5745</v>
      </c>
      <c r="H835" s="136">
        <v>8</v>
      </c>
      <c r="I835" s="2"/>
      <c r="J835" s="2"/>
      <c r="K835" s="2"/>
      <c r="L835" s="2"/>
      <c r="M835" s="4" t="s">
        <v>5770</v>
      </c>
      <c r="N835" s="136">
        <v>8</v>
      </c>
      <c r="O835" s="16"/>
    </row>
    <row r="836" spans="1:15" s="3" customFormat="1" ht="16" customHeight="1" thickBot="1" x14ac:dyDescent="0.25">
      <c r="A836" s="4" t="s">
        <v>5596</v>
      </c>
      <c r="B836" s="136">
        <v>4</v>
      </c>
      <c r="C836" s="2"/>
      <c r="D836" s="4" t="s">
        <v>5635</v>
      </c>
      <c r="E836" s="136">
        <v>8</v>
      </c>
      <c r="F836" s="2"/>
      <c r="G836" s="4" t="s">
        <v>5746</v>
      </c>
      <c r="H836" s="136">
        <v>8.5</v>
      </c>
      <c r="I836" s="2"/>
      <c r="J836" s="563" t="s">
        <v>5818</v>
      </c>
      <c r="K836" s="12">
        <f>ROUND(AVERAGE(K837:K846), 2)</f>
        <v>8.9499999999999993</v>
      </c>
      <c r="L836" s="2"/>
      <c r="M836" s="4" t="s">
        <v>5771</v>
      </c>
      <c r="N836" s="136">
        <v>8</v>
      </c>
      <c r="O836" s="16"/>
    </row>
    <row r="837" spans="1:15" s="3" customFormat="1" ht="16" customHeight="1" thickBot="1" x14ac:dyDescent="0.25">
      <c r="A837" s="4" t="s">
        <v>5597</v>
      </c>
      <c r="B837" s="136">
        <v>7.5</v>
      </c>
      <c r="C837" s="2"/>
      <c r="D837" s="4" t="s">
        <v>5636</v>
      </c>
      <c r="E837" s="136">
        <v>9</v>
      </c>
      <c r="F837" s="2"/>
      <c r="G837" s="7" t="s">
        <v>5747</v>
      </c>
      <c r="H837" s="190">
        <v>9</v>
      </c>
      <c r="I837" s="2"/>
      <c r="J837" s="11" t="s">
        <v>5798</v>
      </c>
      <c r="K837" s="189">
        <v>9</v>
      </c>
      <c r="L837" s="2"/>
      <c r="M837" s="4" t="s">
        <v>5772</v>
      </c>
      <c r="N837" s="136">
        <v>9</v>
      </c>
      <c r="O837" s="16"/>
    </row>
    <row r="838" spans="1:15" s="3" customFormat="1" ht="16" customHeight="1" thickBot="1" x14ac:dyDescent="0.25">
      <c r="A838" s="4" t="s">
        <v>5598</v>
      </c>
      <c r="B838" s="136">
        <v>6</v>
      </c>
      <c r="C838" s="2"/>
      <c r="D838" s="4" t="s">
        <v>5637</v>
      </c>
      <c r="E838" s="136">
        <v>8.5</v>
      </c>
      <c r="F838" s="2"/>
      <c r="G838" s="2"/>
      <c r="H838" s="2"/>
      <c r="I838" s="2"/>
      <c r="J838" s="4" t="s">
        <v>5799</v>
      </c>
      <c r="K838" s="136">
        <v>9</v>
      </c>
      <c r="L838" s="2"/>
      <c r="M838" s="4" t="s">
        <v>5773</v>
      </c>
      <c r="N838" s="136">
        <v>8</v>
      </c>
      <c r="O838" s="16"/>
    </row>
    <row r="839" spans="1:15" s="3" customFormat="1" ht="16" customHeight="1" thickBot="1" x14ac:dyDescent="0.25">
      <c r="A839" s="4" t="s">
        <v>5599</v>
      </c>
      <c r="B839" s="136">
        <v>7</v>
      </c>
      <c r="C839" s="2"/>
      <c r="D839" s="4" t="s">
        <v>5638</v>
      </c>
      <c r="E839" s="136">
        <v>8.5</v>
      </c>
      <c r="F839" s="2"/>
      <c r="G839" s="564" t="s">
        <v>5827</v>
      </c>
      <c r="H839" s="12">
        <f>ROUND(AVERAGE(H840:H848), 2)</f>
        <v>8.56</v>
      </c>
      <c r="I839" s="2"/>
      <c r="J839" s="4" t="s">
        <v>5800</v>
      </c>
      <c r="K839" s="136">
        <v>10</v>
      </c>
      <c r="L839" s="2"/>
      <c r="M839" s="4" t="s">
        <v>5774</v>
      </c>
      <c r="N839" s="136">
        <v>8</v>
      </c>
      <c r="O839" s="16"/>
    </row>
    <row r="840" spans="1:15" s="3" customFormat="1" ht="16" customHeight="1" x14ac:dyDescent="0.2">
      <c r="A840" s="4" t="s">
        <v>5600</v>
      </c>
      <c r="B840" s="136">
        <v>6.5</v>
      </c>
      <c r="C840" s="2"/>
      <c r="D840" s="4" t="s">
        <v>5639</v>
      </c>
      <c r="E840" s="136">
        <v>8</v>
      </c>
      <c r="F840" s="2"/>
      <c r="G840" s="11" t="s">
        <v>5828</v>
      </c>
      <c r="H840" s="189">
        <v>8</v>
      </c>
      <c r="I840" s="2"/>
      <c r="J840" s="4" t="s">
        <v>5801</v>
      </c>
      <c r="K840" s="136">
        <v>8.5</v>
      </c>
      <c r="L840" s="2"/>
      <c r="M840" s="4" t="s">
        <v>5775</v>
      </c>
      <c r="N840" s="136">
        <v>8.5</v>
      </c>
      <c r="O840" s="16"/>
    </row>
    <row r="841" spans="1:15" s="3" customFormat="1" ht="16" customHeight="1" thickBot="1" x14ac:dyDescent="0.25">
      <c r="A841" s="4" t="s">
        <v>5601</v>
      </c>
      <c r="B841" s="136">
        <v>6</v>
      </c>
      <c r="C841" s="2"/>
      <c r="D841" s="4" t="s">
        <v>5640</v>
      </c>
      <c r="E841" s="136">
        <v>9</v>
      </c>
      <c r="F841" s="2"/>
      <c r="G841" s="4" t="s">
        <v>5829</v>
      </c>
      <c r="H841" s="136">
        <v>7.5</v>
      </c>
      <c r="I841" s="2"/>
      <c r="J841" s="4" t="s">
        <v>5802</v>
      </c>
      <c r="K841" s="136">
        <v>9</v>
      </c>
      <c r="L841" s="2"/>
      <c r="M841" s="7" t="s">
        <v>5776</v>
      </c>
      <c r="N841" s="190">
        <v>7.5</v>
      </c>
      <c r="O841" s="16"/>
    </row>
    <row r="842" spans="1:15" s="3" customFormat="1" ht="16" customHeight="1" thickBot="1" x14ac:dyDescent="0.25">
      <c r="A842" s="4" t="s">
        <v>5602</v>
      </c>
      <c r="B842" s="136">
        <v>7</v>
      </c>
      <c r="C842" s="2"/>
      <c r="D842" s="4" t="s">
        <v>5641</v>
      </c>
      <c r="E842" s="136">
        <v>8.5</v>
      </c>
      <c r="F842" s="2"/>
      <c r="G842" s="4" t="s">
        <v>5830</v>
      </c>
      <c r="H842" s="136">
        <v>8</v>
      </c>
      <c r="I842" s="2"/>
      <c r="J842" s="4" t="s">
        <v>5803</v>
      </c>
      <c r="K842" s="136">
        <v>8.5</v>
      </c>
      <c r="L842" s="2"/>
      <c r="M842" s="2"/>
      <c r="N842" s="2"/>
      <c r="O842" s="16"/>
    </row>
    <row r="843" spans="1:15" s="3" customFormat="1" ht="16" customHeight="1" thickBot="1" x14ac:dyDescent="0.25">
      <c r="A843" s="4" t="s">
        <v>5603</v>
      </c>
      <c r="B843" s="136">
        <v>8</v>
      </c>
      <c r="C843" s="2"/>
      <c r="D843" s="4" t="s">
        <v>5642</v>
      </c>
      <c r="E843" s="136">
        <v>8</v>
      </c>
      <c r="F843" s="2"/>
      <c r="G843" s="4" t="s">
        <v>5831</v>
      </c>
      <c r="H843" s="136">
        <v>8.5</v>
      </c>
      <c r="I843" s="2"/>
      <c r="J843" s="4" t="s">
        <v>5804</v>
      </c>
      <c r="K843" s="136">
        <v>8</v>
      </c>
      <c r="L843" s="2"/>
      <c r="M843" s="565" t="s">
        <v>5846</v>
      </c>
      <c r="N843" s="12">
        <f>ROUND(AVERAGE(N844:N853), 2)</f>
        <v>8.5500000000000007</v>
      </c>
      <c r="O843" s="16"/>
    </row>
    <row r="844" spans="1:15" s="3" customFormat="1" ht="16" customHeight="1" thickBot="1" x14ac:dyDescent="0.25">
      <c r="A844" s="4" t="s">
        <v>5604</v>
      </c>
      <c r="B844" s="136">
        <v>7</v>
      </c>
      <c r="C844" s="2"/>
      <c r="D844" s="7" t="s">
        <v>5643</v>
      </c>
      <c r="E844" s="190">
        <v>8</v>
      </c>
      <c r="F844" s="2"/>
      <c r="G844" s="4" t="s">
        <v>5832</v>
      </c>
      <c r="H844" s="136">
        <v>10.5</v>
      </c>
      <c r="I844" s="2"/>
      <c r="J844" s="4" t="s">
        <v>5805</v>
      </c>
      <c r="K844" s="136">
        <v>9</v>
      </c>
      <c r="L844" s="2"/>
      <c r="M844" s="11" t="s">
        <v>5847</v>
      </c>
      <c r="N844" s="189">
        <v>9</v>
      </c>
      <c r="O844" s="16"/>
    </row>
    <row r="845" spans="1:15" s="3" customFormat="1" ht="16" customHeight="1" thickBot="1" x14ac:dyDescent="0.25">
      <c r="A845" s="4" t="s">
        <v>5605</v>
      </c>
      <c r="B845" s="136">
        <v>8.5</v>
      </c>
      <c r="C845" s="2"/>
      <c r="D845" s="2"/>
      <c r="E845" s="2"/>
      <c r="F845" s="2"/>
      <c r="G845" s="4" t="s">
        <v>5833</v>
      </c>
      <c r="H845" s="136">
        <v>9</v>
      </c>
      <c r="I845" s="2"/>
      <c r="J845" s="4" t="s">
        <v>5806</v>
      </c>
      <c r="K845" s="136">
        <v>10</v>
      </c>
      <c r="L845" s="2"/>
      <c r="M845" s="4" t="s">
        <v>5848</v>
      </c>
      <c r="N845" s="136">
        <v>9</v>
      </c>
      <c r="O845" s="16"/>
    </row>
    <row r="846" spans="1:15" s="3" customFormat="1" ht="16" customHeight="1" thickBot="1" x14ac:dyDescent="0.25">
      <c r="A846" s="7" t="s">
        <v>5606</v>
      </c>
      <c r="B846" s="190">
        <v>7.5</v>
      </c>
      <c r="C846" s="2"/>
      <c r="D846" s="553" t="s">
        <v>5644</v>
      </c>
      <c r="E846" s="12">
        <f>ROUND(AVERAGE(E847:E862), 2)</f>
        <v>8.09</v>
      </c>
      <c r="F846" s="2"/>
      <c r="G846" s="4" t="s">
        <v>47</v>
      </c>
      <c r="H846" s="136">
        <v>8</v>
      </c>
      <c r="I846" s="2"/>
      <c r="J846" s="7" t="s">
        <v>5807</v>
      </c>
      <c r="K846" s="190">
        <v>8.5</v>
      </c>
      <c r="L846" s="2"/>
      <c r="M846" s="4" t="s">
        <v>5849</v>
      </c>
      <c r="N846" s="136">
        <v>8</v>
      </c>
      <c r="O846" s="16"/>
    </row>
    <row r="847" spans="1:15" s="3" customFormat="1" ht="16" customHeight="1" thickBot="1" x14ac:dyDescent="0.25">
      <c r="A847" s="2"/>
      <c r="B847" s="2"/>
      <c r="C847" s="2"/>
      <c r="D847" s="11" t="s">
        <v>5645</v>
      </c>
      <c r="E847" s="189">
        <v>9</v>
      </c>
      <c r="F847" s="2"/>
      <c r="G847" s="4" t="s">
        <v>5834</v>
      </c>
      <c r="H847" s="136">
        <v>8.5</v>
      </c>
      <c r="I847" s="2"/>
      <c r="J847" s="2"/>
      <c r="K847" s="2"/>
      <c r="L847" s="2"/>
      <c r="M847" s="4" t="s">
        <v>2280</v>
      </c>
      <c r="N847" s="136">
        <v>9.5</v>
      </c>
      <c r="O847" s="16"/>
    </row>
    <row r="848" spans="1:15" s="3" customFormat="1" ht="16" customHeight="1" thickBot="1" x14ac:dyDescent="0.25">
      <c r="A848" s="568" t="s">
        <v>5926</v>
      </c>
      <c r="B848" s="12">
        <f>ROUND(AVERAGE(B849:B857), 2)</f>
        <v>8.94</v>
      </c>
      <c r="C848" s="2"/>
      <c r="D848" s="4" t="s">
        <v>5646</v>
      </c>
      <c r="E848" s="136">
        <v>9.5</v>
      </c>
      <c r="F848" s="2"/>
      <c r="G848" s="7" t="s">
        <v>5835</v>
      </c>
      <c r="H848" s="190">
        <v>9</v>
      </c>
      <c r="I848" s="2"/>
      <c r="J848" s="545" t="s">
        <v>5576</v>
      </c>
      <c r="L848" s="2"/>
      <c r="M848" s="4" t="s">
        <v>5850</v>
      </c>
      <c r="N848" s="136">
        <v>8.5</v>
      </c>
      <c r="O848" s="16"/>
    </row>
    <row r="849" spans="1:15" s="3" customFormat="1" ht="16" customHeight="1" x14ac:dyDescent="0.2">
      <c r="A849" s="11" t="s">
        <v>5917</v>
      </c>
      <c r="B849" s="189">
        <v>10</v>
      </c>
      <c r="C849" s="2"/>
      <c r="D849" s="4" t="s">
        <v>5647</v>
      </c>
      <c r="E849" s="136">
        <v>8</v>
      </c>
      <c r="F849" s="2"/>
      <c r="G849" s="2"/>
      <c r="H849" s="2"/>
      <c r="I849" s="2"/>
      <c r="J849"/>
      <c r="L849" s="2"/>
      <c r="M849" s="4" t="s">
        <v>5851</v>
      </c>
      <c r="N849" s="136">
        <v>8.5</v>
      </c>
      <c r="O849" s="16"/>
    </row>
    <row r="850" spans="1:15" s="3" customFormat="1" ht="16" customHeight="1" x14ac:dyDescent="0.2">
      <c r="A850" s="4" t="s">
        <v>5918</v>
      </c>
      <c r="B850" s="136">
        <v>8.5</v>
      </c>
      <c r="C850" s="2"/>
      <c r="D850" s="4" t="s">
        <v>5662</v>
      </c>
      <c r="E850" s="136">
        <v>8</v>
      </c>
      <c r="F850" s="2"/>
      <c r="J850" s="545" t="s">
        <v>5577</v>
      </c>
      <c r="L850" s="2"/>
      <c r="M850" s="4" t="s">
        <v>5852</v>
      </c>
      <c r="N850" s="136">
        <v>8</v>
      </c>
      <c r="O850" s="16"/>
    </row>
    <row r="851" spans="1:15" s="3" customFormat="1" ht="16" customHeight="1" x14ac:dyDescent="0.2">
      <c r="A851" s="4" t="s">
        <v>5919</v>
      </c>
      <c r="B851" s="136">
        <v>9</v>
      </c>
      <c r="C851" s="2"/>
      <c r="D851" s="4" t="s">
        <v>5648</v>
      </c>
      <c r="E851" s="136">
        <v>8.5</v>
      </c>
      <c r="F851" s="2"/>
      <c r="L851" s="2"/>
      <c r="M851" s="4" t="s">
        <v>5853</v>
      </c>
      <c r="N851" s="136">
        <v>8</v>
      </c>
      <c r="O851" s="16"/>
    </row>
    <row r="852" spans="1:15" s="3" customFormat="1" ht="16" customHeight="1" x14ac:dyDescent="0.2">
      <c r="A852" s="4" t="s">
        <v>5920</v>
      </c>
      <c r="B852" s="136">
        <v>8.5</v>
      </c>
      <c r="C852" s="2"/>
      <c r="D852" s="4" t="s">
        <v>5651</v>
      </c>
      <c r="E852" s="136">
        <v>7</v>
      </c>
      <c r="F852" s="2"/>
      <c r="L852" s="2"/>
      <c r="M852" s="4" t="s">
        <v>5854</v>
      </c>
      <c r="N852" s="136">
        <v>8</v>
      </c>
      <c r="O852" s="16"/>
    </row>
    <row r="853" spans="1:15" s="3" customFormat="1" ht="16" customHeight="1" thickBot="1" x14ac:dyDescent="0.25">
      <c r="A853" s="4" t="s">
        <v>5921</v>
      </c>
      <c r="B853" s="136">
        <v>7.5</v>
      </c>
      <c r="C853" s="2"/>
      <c r="D853" s="4" t="s">
        <v>5652</v>
      </c>
      <c r="E853" s="136">
        <v>8</v>
      </c>
      <c r="F853" s="2"/>
      <c r="L853" s="2"/>
      <c r="M853" s="7" t="s">
        <v>5855</v>
      </c>
      <c r="N853" s="190">
        <v>9</v>
      </c>
      <c r="O853" s="16"/>
    </row>
    <row r="854" spans="1:15" s="3" customFormat="1" ht="16" customHeight="1" x14ac:dyDescent="0.2">
      <c r="A854" s="4" t="s">
        <v>5922</v>
      </c>
      <c r="B854" s="136">
        <v>10</v>
      </c>
      <c r="C854" s="2"/>
      <c r="D854" s="4" t="s">
        <v>5653</v>
      </c>
      <c r="E854" s="136">
        <v>8</v>
      </c>
      <c r="F854" s="2"/>
      <c r="L854" s="2"/>
      <c r="M854" s="2"/>
      <c r="N854" s="2"/>
      <c r="O854" s="16"/>
    </row>
    <row r="855" spans="1:15" s="3" customFormat="1" ht="16" customHeight="1" x14ac:dyDescent="0.2">
      <c r="A855" s="4" t="s">
        <v>5923</v>
      </c>
      <c r="B855" s="136">
        <v>8</v>
      </c>
      <c r="C855" s="2"/>
      <c r="D855" s="4" t="s">
        <v>5654</v>
      </c>
      <c r="E855" s="136">
        <v>7.5</v>
      </c>
      <c r="F855" s="2"/>
    </row>
    <row r="856" spans="1:15" s="3" customFormat="1" ht="16" customHeight="1" x14ac:dyDescent="0.2">
      <c r="A856" s="4" t="s">
        <v>5924</v>
      </c>
      <c r="B856" s="136">
        <v>8.5</v>
      </c>
      <c r="C856" s="2"/>
      <c r="D856" s="4" t="s">
        <v>5655</v>
      </c>
      <c r="E856" s="136">
        <v>8</v>
      </c>
      <c r="F856" s="2"/>
    </row>
    <row r="857" spans="1:15" s="3" customFormat="1" ht="16" customHeight="1" thickBot="1" x14ac:dyDescent="0.25">
      <c r="A857" s="7" t="s">
        <v>5925</v>
      </c>
      <c r="B857" s="190">
        <v>10.5</v>
      </c>
      <c r="C857" s="2"/>
      <c r="D857" s="4" t="s">
        <v>5656</v>
      </c>
      <c r="E857" s="136">
        <v>7.5</v>
      </c>
      <c r="F857" s="2"/>
    </row>
    <row r="858" spans="1:15" s="3" customFormat="1" ht="16" customHeight="1" x14ac:dyDescent="0.2">
      <c r="A858" s="2"/>
      <c r="B858" s="2"/>
      <c r="C858" s="2"/>
      <c r="D858" s="4" t="s">
        <v>5657</v>
      </c>
      <c r="E858" s="136">
        <v>8</v>
      </c>
      <c r="F858" s="2"/>
    </row>
    <row r="859" spans="1:15" s="3" customFormat="1" ht="16" customHeight="1" x14ac:dyDescent="0.2">
      <c r="C859" s="2"/>
      <c r="D859" s="4" t="s">
        <v>5658</v>
      </c>
      <c r="E859" s="136">
        <v>8</v>
      </c>
      <c r="F859" s="2"/>
    </row>
    <row r="860" spans="1:15" s="3" customFormat="1" ht="16" customHeight="1" x14ac:dyDescent="0.2">
      <c r="C860" s="2"/>
      <c r="D860" s="4" t="s">
        <v>5659</v>
      </c>
      <c r="E860" s="136">
        <v>8</v>
      </c>
      <c r="F860" s="2"/>
    </row>
    <row r="861" spans="1:15" s="3" customFormat="1" ht="16" customHeight="1" x14ac:dyDescent="0.2">
      <c r="C861" s="2"/>
      <c r="D861" s="4" t="s">
        <v>5660</v>
      </c>
      <c r="E861" s="136">
        <v>8.5</v>
      </c>
      <c r="F861" s="2"/>
    </row>
    <row r="862" spans="1:15" s="3" customFormat="1" ht="16" customHeight="1" thickBot="1" x14ac:dyDescent="0.25">
      <c r="C862" s="2"/>
      <c r="D862" s="7" t="s">
        <v>5661</v>
      </c>
      <c r="E862" s="190">
        <v>8</v>
      </c>
      <c r="F862" s="2"/>
    </row>
    <row r="863" spans="1:15" s="3" customFormat="1" ht="16" customHeight="1" thickBot="1" x14ac:dyDescent="0.25">
      <c r="C863" s="2"/>
      <c r="D863" s="2"/>
      <c r="E863" s="2"/>
      <c r="F863" s="2"/>
    </row>
    <row r="864" spans="1:15" s="3" customFormat="1" ht="16" customHeight="1" thickBot="1" x14ac:dyDescent="0.25">
      <c r="C864" s="2"/>
      <c r="D864" s="550" t="s">
        <v>5649</v>
      </c>
      <c r="E864" s="12">
        <f>ROUND(AVERAGE(E865:E868), 2)</f>
        <v>8</v>
      </c>
      <c r="F864" s="2"/>
    </row>
    <row r="865" spans="3:6" s="3" customFormat="1" ht="16" customHeight="1" x14ac:dyDescent="0.2">
      <c r="C865" s="2"/>
      <c r="D865" s="11" t="s">
        <v>5664</v>
      </c>
      <c r="E865" s="189">
        <v>8</v>
      </c>
      <c r="F865" s="2"/>
    </row>
    <row r="866" spans="3:6" s="3" customFormat="1" ht="16" customHeight="1" x14ac:dyDescent="0.2">
      <c r="C866" s="2"/>
      <c r="D866" s="4" t="s">
        <v>5663</v>
      </c>
      <c r="E866" s="136">
        <v>8.5</v>
      </c>
      <c r="F866" s="2"/>
    </row>
    <row r="867" spans="3:6" s="3" customFormat="1" ht="16" customHeight="1" x14ac:dyDescent="0.2">
      <c r="C867" s="2"/>
      <c r="D867" s="4" t="s">
        <v>5665</v>
      </c>
      <c r="E867" s="136">
        <v>7.5</v>
      </c>
      <c r="F867" s="2"/>
    </row>
    <row r="868" spans="3:6" s="3" customFormat="1" ht="16" customHeight="1" thickBot="1" x14ac:dyDescent="0.25">
      <c r="C868" s="2"/>
      <c r="D868" s="7" t="s">
        <v>5666</v>
      </c>
      <c r="E868" s="190">
        <v>8</v>
      </c>
      <c r="F868" s="2"/>
    </row>
    <row r="869" spans="3:6" s="3" customFormat="1" ht="16" customHeight="1" thickBot="1" x14ac:dyDescent="0.25">
      <c r="C869" s="2"/>
      <c r="D869" s="2"/>
      <c r="E869" s="2"/>
      <c r="F869" s="2"/>
    </row>
    <row r="870" spans="3:6" s="3" customFormat="1" ht="16" customHeight="1" thickBot="1" x14ac:dyDescent="0.25">
      <c r="C870" s="2"/>
      <c r="D870" s="551" t="s">
        <v>5650</v>
      </c>
      <c r="E870" s="12">
        <f>ROUND(AVERAGE(E871:E874), 2)</f>
        <v>7.88</v>
      </c>
      <c r="F870" s="2"/>
    </row>
    <row r="871" spans="3:6" s="3" customFormat="1" ht="16" customHeight="1" x14ac:dyDescent="0.2">
      <c r="C871" s="2"/>
      <c r="D871" s="11" t="s">
        <v>5667</v>
      </c>
      <c r="E871" s="189">
        <v>8</v>
      </c>
      <c r="F871" s="2"/>
    </row>
    <row r="872" spans="3:6" s="3" customFormat="1" ht="16" customHeight="1" x14ac:dyDescent="0.2">
      <c r="C872" s="2"/>
      <c r="D872" s="4" t="s">
        <v>5668</v>
      </c>
      <c r="E872" s="136">
        <v>7.5</v>
      </c>
      <c r="F872" s="2"/>
    </row>
    <row r="873" spans="3:6" s="3" customFormat="1" ht="16" customHeight="1" x14ac:dyDescent="0.2">
      <c r="C873" s="2"/>
      <c r="D873" s="4" t="s">
        <v>5669</v>
      </c>
      <c r="E873" s="136">
        <v>8.5</v>
      </c>
      <c r="F873" s="2"/>
    </row>
    <row r="874" spans="3:6" s="3" customFormat="1" ht="16" customHeight="1" thickBot="1" x14ac:dyDescent="0.25">
      <c r="C874" s="2"/>
      <c r="D874" s="7" t="s">
        <v>5670</v>
      </c>
      <c r="E874" s="190">
        <v>7.5</v>
      </c>
      <c r="F874" s="2"/>
    </row>
    <row r="875" spans="3:6" s="3" customFormat="1" ht="16" customHeight="1" thickBot="1" x14ac:dyDescent="0.25">
      <c r="C875" s="2"/>
      <c r="D875" s="2"/>
      <c r="E875" s="2"/>
      <c r="F875" s="2"/>
    </row>
    <row r="876" spans="3:6" s="3" customFormat="1" ht="16" customHeight="1" thickBot="1" x14ac:dyDescent="0.25">
      <c r="C876" s="2"/>
      <c r="D876" s="552" t="s">
        <v>5671</v>
      </c>
      <c r="E876" s="12">
        <f>ROUND(AVERAGE(E877:E880), 2)</f>
        <v>8.6300000000000008</v>
      </c>
      <c r="F876" s="2"/>
    </row>
    <row r="877" spans="3:6" s="3" customFormat="1" ht="16" customHeight="1" x14ac:dyDescent="0.2">
      <c r="C877" s="2"/>
      <c r="D877" s="11" t="s">
        <v>5672</v>
      </c>
      <c r="E877" s="189">
        <v>8.5</v>
      </c>
      <c r="F877" s="2"/>
    </row>
    <row r="878" spans="3:6" s="3" customFormat="1" ht="16" customHeight="1" x14ac:dyDescent="0.2">
      <c r="C878" s="2"/>
      <c r="D878" s="4" t="s">
        <v>5673</v>
      </c>
      <c r="E878" s="136">
        <v>8</v>
      </c>
      <c r="F878" s="2"/>
    </row>
    <row r="879" spans="3:6" s="3" customFormat="1" ht="16" customHeight="1" x14ac:dyDescent="0.2">
      <c r="C879" s="2"/>
      <c r="D879" s="4" t="s">
        <v>5674</v>
      </c>
      <c r="E879" s="136">
        <v>8</v>
      </c>
      <c r="F879" s="2"/>
    </row>
    <row r="880" spans="3:6" s="3" customFormat="1" ht="16" customHeight="1" thickBot="1" x14ac:dyDescent="0.25">
      <c r="C880" s="2"/>
      <c r="D880" s="7" t="s">
        <v>5675</v>
      </c>
      <c r="E880" s="190">
        <v>10</v>
      </c>
      <c r="F880" s="2"/>
    </row>
    <row r="881" spans="3:6" s="3" customFormat="1" ht="16" customHeight="1" x14ac:dyDescent="0.2">
      <c r="C881" s="2"/>
      <c r="D881" s="2"/>
      <c r="E881" s="2"/>
      <c r="F881" s="2"/>
    </row>
    <row r="882" spans="3:6" s="3" customFormat="1" ht="16" customHeight="1" x14ac:dyDescent="0.2"/>
    <row r="883" spans="3:6" s="3" customFormat="1" ht="16" customHeight="1" x14ac:dyDescent="0.2"/>
    <row r="884" spans="3:6" s="3" customFormat="1" ht="16" customHeight="1" x14ac:dyDescent="0.2"/>
    <row r="885" spans="3:6" s="3" customFormat="1" ht="16" customHeight="1" x14ac:dyDescent="0.2"/>
    <row r="886" spans="3:6" s="3" customFormat="1" ht="16" customHeight="1" x14ac:dyDescent="0.2"/>
    <row r="887" spans="3:6" s="3" customFormat="1" ht="16" customHeight="1" x14ac:dyDescent="0.2"/>
    <row r="888" spans="3:6" s="3" customFormat="1" ht="16" customHeight="1" x14ac:dyDescent="0.2"/>
    <row r="889" spans="3:6" s="3" customFormat="1" ht="16" customHeight="1" x14ac:dyDescent="0.2"/>
    <row r="890" spans="3:6" s="3" customFormat="1" ht="16" customHeight="1" x14ac:dyDescent="0.2"/>
    <row r="891" spans="3:6" s="3" customFormat="1" ht="16" customHeight="1" x14ac:dyDescent="0.2"/>
    <row r="892" spans="3:6" s="3" customFormat="1" ht="16" customHeight="1" x14ac:dyDescent="0.2"/>
    <row r="893" spans="3:6" s="3" customFormat="1" ht="16" customHeight="1" x14ac:dyDescent="0.2"/>
    <row r="894" spans="3:6" s="3" customFormat="1" ht="16" customHeight="1" x14ac:dyDescent="0.2"/>
    <row r="895" spans="3:6" s="3" customFormat="1" ht="16" customHeight="1" x14ac:dyDescent="0.2"/>
    <row r="896" spans="3:6" s="3" customFormat="1" ht="16" customHeight="1" x14ac:dyDescent="0.2"/>
    <row r="897" s="3" customFormat="1" ht="16" customHeight="1" x14ac:dyDescent="0.2"/>
    <row r="898" s="3" customFormat="1" ht="16" customHeight="1" x14ac:dyDescent="0.2"/>
    <row r="899" s="3" customFormat="1" ht="16" customHeight="1" x14ac:dyDescent="0.2"/>
    <row r="900" s="3" customFormat="1" ht="16" customHeight="1" x14ac:dyDescent="0.2"/>
    <row r="901" s="3" customFormat="1" ht="16" customHeight="1" x14ac:dyDescent="0.2"/>
    <row r="902" s="3" customFormat="1" ht="16" customHeight="1" x14ac:dyDescent="0.2"/>
    <row r="903" s="3" customFormat="1" ht="16" customHeight="1" x14ac:dyDescent="0.2"/>
    <row r="904" s="3" customFormat="1" ht="16" customHeight="1" x14ac:dyDescent="0.2"/>
    <row r="905" s="3" customFormat="1" ht="16" customHeight="1" x14ac:dyDescent="0.2"/>
    <row r="906" s="3" customFormat="1" ht="16" customHeight="1" x14ac:dyDescent="0.2"/>
    <row r="907" s="3" customFormat="1" ht="16" customHeight="1" x14ac:dyDescent="0.2"/>
    <row r="908" s="3" customFormat="1" ht="16" customHeight="1" x14ac:dyDescent="0.2"/>
    <row r="909" s="3" customFormat="1" ht="16" customHeight="1" x14ac:dyDescent="0.2"/>
    <row r="910" s="3" customFormat="1" ht="16" customHeight="1" x14ac:dyDescent="0.2"/>
    <row r="911" s="3" customFormat="1" ht="16" customHeight="1" x14ac:dyDescent="0.2"/>
    <row r="912" s="3" customFormat="1" ht="16" customHeight="1" x14ac:dyDescent="0.2"/>
    <row r="913" s="3" customFormat="1" ht="16" customHeight="1" x14ac:dyDescent="0.2"/>
    <row r="914" s="3" customFormat="1" ht="16" customHeight="1" x14ac:dyDescent="0.2"/>
    <row r="915" s="3" customFormat="1" ht="16" customHeight="1" x14ac:dyDescent="0.2"/>
    <row r="916" s="3" customFormat="1" ht="16" customHeight="1" x14ac:dyDescent="0.2"/>
    <row r="917" s="3" customFormat="1" ht="16" customHeight="1" x14ac:dyDescent="0.2"/>
    <row r="918" s="3" customFormat="1" ht="16" customHeight="1" x14ac:dyDescent="0.2"/>
    <row r="919" s="3" customFormat="1" ht="16" customHeight="1" x14ac:dyDescent="0.2"/>
    <row r="920" s="3" customFormat="1" ht="16" customHeight="1" x14ac:dyDescent="0.2"/>
    <row r="921" s="3" customFormat="1" ht="16" customHeight="1" x14ac:dyDescent="0.2"/>
    <row r="922" s="3" customFormat="1" ht="16" customHeight="1" x14ac:dyDescent="0.2"/>
    <row r="923" s="3" customFormat="1" ht="16" customHeight="1" x14ac:dyDescent="0.2"/>
    <row r="924" s="3" customFormat="1" ht="16" customHeight="1" x14ac:dyDescent="0.2"/>
    <row r="925" s="3" customFormat="1" ht="16" customHeight="1" x14ac:dyDescent="0.2"/>
    <row r="926" s="3" customFormat="1" ht="16" customHeight="1" x14ac:dyDescent="0.2"/>
    <row r="927" s="3" customFormat="1" ht="16" customHeight="1" x14ac:dyDescent="0.2"/>
    <row r="928" s="3" customFormat="1" ht="16" customHeight="1" x14ac:dyDescent="0.2"/>
    <row r="929" s="3" customFormat="1" ht="16" customHeight="1" x14ac:dyDescent="0.2"/>
    <row r="930" s="3" customFormat="1" ht="16" customHeight="1" x14ac:dyDescent="0.2"/>
    <row r="931" s="3" customFormat="1" ht="16" customHeight="1" x14ac:dyDescent="0.2"/>
    <row r="932" s="3" customFormat="1" ht="16" customHeight="1" x14ac:dyDescent="0.2"/>
    <row r="933" s="3" customFormat="1" ht="16" customHeight="1" x14ac:dyDescent="0.2"/>
    <row r="934" s="3" customFormat="1" ht="16" customHeight="1" x14ac:dyDescent="0.2"/>
    <row r="935" s="3" customFormat="1" ht="16" customHeight="1" x14ac:dyDescent="0.2"/>
    <row r="936" s="3" customFormat="1" ht="16" customHeight="1" x14ac:dyDescent="0.2"/>
    <row r="937" s="3" customFormat="1" ht="16" customHeight="1" x14ac:dyDescent="0.2"/>
    <row r="938" s="3" customFormat="1" ht="16" customHeight="1" x14ac:dyDescent="0.2"/>
    <row r="939" s="3" customFormat="1" ht="16" customHeight="1" x14ac:dyDescent="0.2"/>
    <row r="940" s="3" customFormat="1" ht="16" customHeight="1" x14ac:dyDescent="0.2"/>
    <row r="941" s="3" customFormat="1" ht="16" customHeight="1" x14ac:dyDescent="0.2"/>
    <row r="942" s="3" customFormat="1" ht="16" customHeight="1" x14ac:dyDescent="0.2"/>
    <row r="943" s="3" customFormat="1" ht="16" customHeight="1" x14ac:dyDescent="0.2"/>
    <row r="944" s="3" customFormat="1" ht="16" customHeight="1" x14ac:dyDescent="0.2"/>
    <row r="945" s="3" customFormat="1" ht="16" customHeight="1" x14ac:dyDescent="0.2"/>
    <row r="946" s="3" customFormat="1" ht="16" customHeight="1" x14ac:dyDescent="0.2"/>
    <row r="947" s="3" customFormat="1" ht="16" customHeight="1" x14ac:dyDescent="0.2"/>
    <row r="948" s="3" customFormat="1" ht="16" customHeight="1" x14ac:dyDescent="0.2"/>
    <row r="949" s="3" customFormat="1" ht="16" customHeight="1" x14ac:dyDescent="0.2"/>
    <row r="950" s="3" customFormat="1" ht="16" customHeight="1" x14ac:dyDescent="0.2"/>
    <row r="951" s="3" customFormat="1" ht="16" customHeight="1" x14ac:dyDescent="0.2"/>
    <row r="952" s="3" customFormat="1" ht="16" customHeight="1" x14ac:dyDescent="0.2"/>
    <row r="953" s="3" customFormat="1" ht="16" customHeight="1" x14ac:dyDescent="0.2"/>
    <row r="954" s="3" customFormat="1" ht="16" customHeight="1" x14ac:dyDescent="0.2"/>
    <row r="955" s="3" customFormat="1" ht="16" customHeight="1" x14ac:dyDescent="0.2"/>
    <row r="956" s="3" customFormat="1" ht="16" customHeight="1" x14ac:dyDescent="0.2"/>
    <row r="957" s="3" customFormat="1" ht="16" customHeight="1" x14ac:dyDescent="0.2"/>
    <row r="958" s="3" customFormat="1" ht="16" customHeight="1" x14ac:dyDescent="0.2"/>
    <row r="959" s="3" customFormat="1" ht="16" customHeight="1" x14ac:dyDescent="0.2"/>
    <row r="960" s="3" customFormat="1" ht="16" customHeight="1" x14ac:dyDescent="0.2"/>
    <row r="961" s="3" customFormat="1" ht="16" customHeight="1" x14ac:dyDescent="0.2"/>
    <row r="962" s="3" customFormat="1" ht="16" customHeight="1" x14ac:dyDescent="0.2"/>
    <row r="963" s="3" customFormat="1" ht="16" customHeight="1" x14ac:dyDescent="0.2"/>
    <row r="964" s="3" customFormat="1" ht="16" customHeight="1" x14ac:dyDescent="0.2"/>
    <row r="965" s="3" customFormat="1" ht="16" customHeight="1" x14ac:dyDescent="0.2"/>
    <row r="966" s="3" customFormat="1" ht="16" customHeight="1" x14ac:dyDescent="0.2"/>
    <row r="967" s="3" customFormat="1" ht="16" customHeight="1" x14ac:dyDescent="0.2"/>
    <row r="968" s="3" customFormat="1" ht="16" customHeight="1" x14ac:dyDescent="0.2"/>
    <row r="969" s="3" customFormat="1" ht="16" customHeight="1" x14ac:dyDescent="0.2"/>
    <row r="970" s="3" customFormat="1" ht="16" customHeight="1" x14ac:dyDescent="0.2"/>
    <row r="971" s="3" customFormat="1" ht="16" customHeight="1" x14ac:dyDescent="0.2"/>
    <row r="972" s="3" customFormat="1" ht="16" customHeight="1" x14ac:dyDescent="0.2"/>
    <row r="973" s="3" customFormat="1" ht="16" customHeight="1" x14ac:dyDescent="0.2"/>
    <row r="974" s="3" customFormat="1" ht="16" customHeight="1" x14ac:dyDescent="0.2"/>
    <row r="975" s="3" customFormat="1" ht="16" customHeight="1" x14ac:dyDescent="0.2"/>
    <row r="976" s="3" customFormat="1" ht="16" customHeight="1" x14ac:dyDescent="0.2"/>
    <row r="977" s="3" customFormat="1" ht="16" customHeight="1" x14ac:dyDescent="0.2"/>
    <row r="978" s="3" customFormat="1" ht="16" customHeight="1" x14ac:dyDescent="0.2"/>
    <row r="979" s="3" customFormat="1" ht="16" customHeight="1" x14ac:dyDescent="0.2"/>
    <row r="980" s="3" customFormat="1" ht="16" customHeight="1" x14ac:dyDescent="0.2"/>
    <row r="981" s="3" customFormat="1" ht="16" customHeight="1" x14ac:dyDescent="0.2"/>
    <row r="982" s="3" customFormat="1" ht="16" customHeight="1" x14ac:dyDescent="0.2"/>
    <row r="983" s="3" customFormat="1" ht="16" customHeight="1" x14ac:dyDescent="0.2"/>
    <row r="984" s="3" customFormat="1" ht="16" customHeight="1" x14ac:dyDescent="0.2"/>
    <row r="985" s="3" customFormat="1" ht="16" customHeight="1" x14ac:dyDescent="0.2"/>
    <row r="986" s="3" customFormat="1" ht="16" customHeight="1" x14ac:dyDescent="0.2"/>
    <row r="987" s="3" customFormat="1" ht="16" customHeight="1" x14ac:dyDescent="0.2"/>
    <row r="988" s="3" customFormat="1" ht="16" customHeight="1" x14ac:dyDescent="0.2"/>
    <row r="989" s="3" customFormat="1" ht="16" customHeight="1" x14ac:dyDescent="0.2"/>
    <row r="990" s="3" customFormat="1" ht="16" customHeight="1" x14ac:dyDescent="0.2"/>
    <row r="991" s="3" customFormat="1" ht="16" customHeight="1" x14ac:dyDescent="0.2"/>
    <row r="992" s="3" customFormat="1" ht="16" customHeight="1" x14ac:dyDescent="0.2"/>
    <row r="993" s="3" customFormat="1" ht="16" customHeight="1" x14ac:dyDescent="0.2"/>
    <row r="994" s="3" customFormat="1" ht="16" customHeight="1" x14ac:dyDescent="0.2"/>
    <row r="995" s="3" customFormat="1" ht="16" customHeight="1" x14ac:dyDescent="0.2"/>
    <row r="996" s="3" customFormat="1" ht="16" customHeight="1" x14ac:dyDescent="0.2"/>
    <row r="997" s="3" customFormat="1" ht="16" customHeight="1" x14ac:dyDescent="0.2"/>
    <row r="998" s="3" customFormat="1" ht="16" customHeight="1" x14ac:dyDescent="0.2"/>
    <row r="999" s="3" customFormat="1" ht="16" customHeight="1" x14ac:dyDescent="0.2"/>
    <row r="1000" s="3" customFormat="1" ht="16" customHeight="1" x14ac:dyDescent="0.2"/>
  </sheetData>
  <sortState xmlns:xlrd2="http://schemas.microsoft.com/office/spreadsheetml/2017/richdata2" ref="S197:W216">
    <sortCondition ref="W197:W216"/>
  </sortState>
  <phoneticPr fontId="192" type="noConversion"/>
  <conditionalFormatting sqref="A2:B2 D2:E2 G2:H2 J2:K2 M2:N2 A16:B16 A26:B26 D14:E14 G17:H17 J14:K14 M14:N14 D30:E30 J25:K25">
    <cfRule type="colorScale" priority="38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90">
      <colorScale>
        <cfvo type="num" val="5"/>
        <cfvo type="num" val="10"/>
        <color rgb="FFFF494D"/>
        <color rgb="FF00FF66"/>
      </colorScale>
    </cfRule>
  </conditionalFormatting>
  <conditionalFormatting sqref="B3:B14">
    <cfRule type="cellIs" dxfId="2694" priority="3468" operator="between">
      <formula>10.1</formula>
      <formula>10.6</formula>
    </cfRule>
    <cfRule type="cellIs" dxfId="2693" priority="3506" operator="between">
      <formula>7</formula>
      <formula>7.9</formula>
    </cfRule>
    <cfRule type="cellIs" dxfId="2692" priority="3507" stopIfTrue="1" operator="between">
      <formula>8</formula>
      <formula>8.9</formula>
    </cfRule>
    <cfRule type="cellIs" dxfId="2691" priority="3508" operator="between">
      <formula>9</formula>
      <formula>9.9</formula>
    </cfRule>
    <cfRule type="cellIs" dxfId="2690" priority="3509" stopIfTrue="1" operator="between">
      <formula>10</formula>
      <formula>10</formula>
    </cfRule>
    <cfRule type="containsBlanks" dxfId="2689" priority="3510" stopIfTrue="1">
      <formula>LEN(TRIM(B3))=0</formula>
    </cfRule>
  </conditionalFormatting>
  <conditionalFormatting sqref="B17:B24">
    <cfRule type="cellIs" dxfId="2688" priority="3444" operator="between">
      <formula>10.1</formula>
      <formula>10.6</formula>
    </cfRule>
    <cfRule type="cellIs" dxfId="2687" priority="3445" operator="between">
      <formula>7</formula>
      <formula>7.9</formula>
    </cfRule>
    <cfRule type="cellIs" dxfId="2686" priority="3446" stopIfTrue="1" operator="between">
      <formula>8</formula>
      <formula>8.9</formula>
    </cfRule>
    <cfRule type="cellIs" dxfId="2685" priority="3447" operator="between">
      <formula>9</formula>
      <formula>9.9</formula>
    </cfRule>
    <cfRule type="cellIs" dxfId="2684" priority="3448" stopIfTrue="1" operator="between">
      <formula>10</formula>
      <formula>10</formula>
    </cfRule>
    <cfRule type="containsBlanks" dxfId="2683" priority="3449" stopIfTrue="1">
      <formula>LEN(TRIM(B17))=0</formula>
    </cfRule>
  </conditionalFormatting>
  <conditionalFormatting sqref="B27:B31">
    <cfRule type="cellIs" dxfId="2682" priority="3438" operator="between">
      <formula>10.1</formula>
      <formula>10.6</formula>
    </cfRule>
    <cfRule type="cellIs" dxfId="2681" priority="3439" operator="between">
      <formula>7</formula>
      <formula>7.9</formula>
    </cfRule>
    <cfRule type="cellIs" dxfId="2680" priority="3440" stopIfTrue="1" operator="between">
      <formula>8</formula>
      <formula>8.9</formula>
    </cfRule>
    <cfRule type="cellIs" dxfId="2679" priority="3441" operator="between">
      <formula>9</formula>
      <formula>9.9</formula>
    </cfRule>
    <cfRule type="cellIs" dxfId="2678" priority="3442" stopIfTrue="1" operator="between">
      <formula>10</formula>
      <formula>10</formula>
    </cfRule>
    <cfRule type="containsBlanks" dxfId="2677" priority="3443" stopIfTrue="1">
      <formula>LEN(TRIM(B27))=0</formula>
    </cfRule>
  </conditionalFormatting>
  <conditionalFormatting sqref="B33">
    <cfRule type="colorScale" priority="38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41">
      <colorScale>
        <cfvo type="num" val="5"/>
        <cfvo type="num" val="10"/>
        <color rgb="FFFF494D"/>
        <color rgb="FF00FF66"/>
      </colorScale>
    </cfRule>
  </conditionalFormatting>
  <conditionalFormatting sqref="B34:B45">
    <cfRule type="cellIs" dxfId="2676" priority="3432" operator="between">
      <formula>10.1</formula>
      <formula>10.6</formula>
    </cfRule>
    <cfRule type="cellIs" dxfId="2675" priority="3433" operator="between">
      <formula>7</formula>
      <formula>7.9</formula>
    </cfRule>
    <cfRule type="cellIs" dxfId="2674" priority="3434" stopIfTrue="1" operator="between">
      <formula>8</formula>
      <formula>8.9</formula>
    </cfRule>
    <cfRule type="cellIs" dxfId="2673" priority="3435" operator="between">
      <formula>9</formula>
      <formula>9.9</formula>
    </cfRule>
    <cfRule type="cellIs" dxfId="2672" priority="3436" stopIfTrue="1" operator="between">
      <formula>10</formula>
      <formula>10</formula>
    </cfRule>
    <cfRule type="containsBlanks" dxfId="2671" priority="3437" stopIfTrue="1">
      <formula>LEN(TRIM(B34))=0</formula>
    </cfRule>
  </conditionalFormatting>
  <conditionalFormatting sqref="B47">
    <cfRule type="colorScale" priority="35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517">
      <colorScale>
        <cfvo type="num" val="5"/>
        <cfvo type="num" val="10"/>
        <color rgb="FFFF494D"/>
        <color rgb="FF00FF66"/>
      </colorScale>
    </cfRule>
  </conditionalFormatting>
  <conditionalFormatting sqref="B48:B57">
    <cfRule type="cellIs" dxfId="2670" priority="3402" operator="between">
      <formula>10.1</formula>
      <formula>10.6</formula>
    </cfRule>
    <cfRule type="cellIs" dxfId="2669" priority="3403" operator="between">
      <formula>7</formula>
      <formula>7.9</formula>
    </cfRule>
    <cfRule type="cellIs" dxfId="2668" priority="3404" stopIfTrue="1" operator="between">
      <formula>8</formula>
      <formula>8.9</formula>
    </cfRule>
    <cfRule type="cellIs" dxfId="2667" priority="3405" operator="between">
      <formula>9</formula>
      <formula>9.9</formula>
    </cfRule>
    <cfRule type="cellIs" dxfId="2666" priority="3406" stopIfTrue="1" operator="between">
      <formula>10</formula>
      <formula>10</formula>
    </cfRule>
    <cfRule type="containsBlanks" dxfId="2665" priority="3407" stopIfTrue="1">
      <formula>LEN(TRIM(B48))=0</formula>
    </cfRule>
  </conditionalFormatting>
  <conditionalFormatting sqref="B59">
    <cfRule type="colorScale" priority="33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87">
      <colorScale>
        <cfvo type="num" val="5"/>
        <cfvo type="num" val="10"/>
        <color rgb="FFFF494D"/>
        <color rgb="FF00FF66"/>
      </colorScale>
    </cfRule>
  </conditionalFormatting>
  <conditionalFormatting sqref="B60:B68">
    <cfRule type="cellIs" dxfId="2664" priority="3380" operator="between">
      <formula>10.1</formula>
      <formula>10.6</formula>
    </cfRule>
    <cfRule type="cellIs" dxfId="2663" priority="3381" operator="between">
      <formula>7</formula>
      <formula>7.9</formula>
    </cfRule>
    <cfRule type="cellIs" dxfId="2662" priority="3382" stopIfTrue="1" operator="between">
      <formula>8</formula>
      <formula>8.9</formula>
    </cfRule>
    <cfRule type="cellIs" dxfId="2661" priority="3383" operator="between">
      <formula>9</formula>
      <formula>9.9</formula>
    </cfRule>
    <cfRule type="cellIs" dxfId="2660" priority="3384" stopIfTrue="1" operator="between">
      <formula>10</formula>
      <formula>10</formula>
    </cfRule>
    <cfRule type="containsBlanks" dxfId="2659" priority="3385" stopIfTrue="1">
      <formula>LEN(TRIM(B60))=0</formula>
    </cfRule>
  </conditionalFormatting>
  <conditionalFormatting sqref="B70">
    <cfRule type="colorScale" priority="33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14">
      <colorScale>
        <cfvo type="num" val="5"/>
        <cfvo type="num" val="10"/>
        <color rgb="FFFF494D"/>
        <color rgb="FF00FF66"/>
      </colorScale>
    </cfRule>
  </conditionalFormatting>
  <conditionalFormatting sqref="B71:B77">
    <cfRule type="cellIs" dxfId="2658" priority="3294" operator="between">
      <formula>10.1</formula>
      <formula>10.6</formula>
    </cfRule>
    <cfRule type="cellIs" dxfId="2657" priority="3295" operator="between">
      <formula>7</formula>
      <formula>7.9</formula>
    </cfRule>
    <cfRule type="cellIs" dxfId="2656" priority="3296" stopIfTrue="1" operator="between">
      <formula>8</formula>
      <formula>8.9</formula>
    </cfRule>
    <cfRule type="cellIs" dxfId="2655" priority="3297" operator="between">
      <formula>9</formula>
      <formula>9.9</formula>
    </cfRule>
    <cfRule type="cellIs" dxfId="2654" priority="3298" stopIfTrue="1" operator="between">
      <formula>10</formula>
      <formula>10</formula>
    </cfRule>
    <cfRule type="containsBlanks" dxfId="2653" priority="3299" stopIfTrue="1">
      <formula>LEN(TRIM(B71))=0</formula>
    </cfRule>
  </conditionalFormatting>
  <conditionalFormatting sqref="B73">
    <cfRule type="cellIs" dxfId="2652" priority="3293" operator="between">
      <formula>6</formula>
      <formula>6.9</formula>
    </cfRule>
  </conditionalFormatting>
  <conditionalFormatting sqref="B79">
    <cfRule type="colorScale" priority="32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77">
      <colorScale>
        <cfvo type="num" val="5"/>
        <cfvo type="num" val="10"/>
        <color rgb="FFFF494D"/>
        <color rgb="FF00FF66"/>
      </colorScale>
    </cfRule>
  </conditionalFormatting>
  <conditionalFormatting sqref="B80:B91">
    <cfRule type="cellIs" dxfId="2651" priority="3270" operator="between">
      <formula>10.1</formula>
      <formula>10.6</formula>
    </cfRule>
    <cfRule type="cellIs" dxfId="2650" priority="3271" operator="between">
      <formula>7</formula>
      <formula>7.9</formula>
    </cfRule>
    <cfRule type="cellIs" dxfId="2649" priority="3272" stopIfTrue="1" operator="between">
      <formula>8</formula>
      <formula>8.9</formula>
    </cfRule>
    <cfRule type="cellIs" dxfId="2648" priority="3273" operator="between">
      <formula>9</formula>
      <formula>9.9</formula>
    </cfRule>
    <cfRule type="cellIs" dxfId="2647" priority="3274" stopIfTrue="1" operator="between">
      <formula>10</formula>
      <formula>10</formula>
    </cfRule>
    <cfRule type="containsBlanks" dxfId="2646" priority="3275" stopIfTrue="1">
      <formula>LEN(TRIM(B80))=0</formula>
    </cfRule>
  </conditionalFormatting>
  <conditionalFormatting sqref="B93">
    <cfRule type="colorScale" priority="32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30">
      <colorScale>
        <cfvo type="num" val="5"/>
        <cfvo type="num" val="10"/>
        <color rgb="FFFF494D"/>
        <color rgb="FF00FF66"/>
      </colorScale>
    </cfRule>
  </conditionalFormatting>
  <conditionalFormatting sqref="B94:B101">
    <cfRule type="cellIs" dxfId="2645" priority="3223" operator="between">
      <formula>10.1</formula>
      <formula>10.6</formula>
    </cfRule>
    <cfRule type="cellIs" dxfId="2644" priority="3224" operator="between">
      <formula>7</formula>
      <formula>7.9</formula>
    </cfRule>
    <cfRule type="cellIs" dxfId="2643" priority="3225" stopIfTrue="1" operator="between">
      <formula>8</formula>
      <formula>8.9</formula>
    </cfRule>
    <cfRule type="cellIs" dxfId="2642" priority="3226" operator="between">
      <formula>9</formula>
      <formula>9.9</formula>
    </cfRule>
    <cfRule type="cellIs" dxfId="2641" priority="3227" stopIfTrue="1" operator="between">
      <formula>10</formula>
      <formula>10</formula>
    </cfRule>
    <cfRule type="containsBlanks" dxfId="2640" priority="3228" stopIfTrue="1">
      <formula>LEN(TRIM(B94))=0</formula>
    </cfRule>
  </conditionalFormatting>
  <conditionalFormatting sqref="B103">
    <cfRule type="colorScale" priority="31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81">
      <colorScale>
        <cfvo type="num" val="5"/>
        <cfvo type="num" val="10"/>
        <color rgb="FFFF494D"/>
        <color rgb="FF00FF66"/>
      </colorScale>
    </cfRule>
  </conditionalFormatting>
  <conditionalFormatting sqref="B104:B112">
    <cfRule type="cellIs" dxfId="2639" priority="3174" operator="between">
      <formula>10.1</formula>
      <formula>10.6</formula>
    </cfRule>
    <cfRule type="cellIs" dxfId="2638" priority="3175" operator="between">
      <formula>7</formula>
      <formula>7.9</formula>
    </cfRule>
    <cfRule type="cellIs" dxfId="2637" priority="3176" stopIfTrue="1" operator="between">
      <formula>8</formula>
      <formula>8.9</formula>
    </cfRule>
    <cfRule type="cellIs" dxfId="2636" priority="3177" operator="between">
      <formula>9</formula>
      <formula>9.9</formula>
    </cfRule>
    <cfRule type="cellIs" dxfId="2635" priority="3178" stopIfTrue="1" operator="between">
      <formula>10</formula>
      <formula>10</formula>
    </cfRule>
    <cfRule type="containsBlanks" dxfId="2634" priority="3179" stopIfTrue="1">
      <formula>LEN(TRIM(B104))=0</formula>
    </cfRule>
  </conditionalFormatting>
  <conditionalFormatting sqref="B114">
    <cfRule type="colorScale" priority="31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42">
      <colorScale>
        <cfvo type="num" val="5"/>
        <cfvo type="num" val="10"/>
        <color rgb="FFFF494D"/>
        <color rgb="FF00FF66"/>
      </colorScale>
    </cfRule>
  </conditionalFormatting>
  <conditionalFormatting sqref="B115:B132">
    <cfRule type="cellIs" dxfId="2633" priority="3128" operator="between">
      <formula>6</formula>
      <formula>6.9</formula>
    </cfRule>
    <cfRule type="cellIs" dxfId="2632" priority="3129" operator="between">
      <formula>10.1</formula>
      <formula>10.6</formula>
    </cfRule>
    <cfRule type="cellIs" dxfId="2631" priority="3130" operator="between">
      <formula>7</formula>
      <formula>7.9</formula>
    </cfRule>
    <cfRule type="cellIs" dxfId="2630" priority="3131" stopIfTrue="1" operator="between">
      <formula>8</formula>
      <formula>8.9</formula>
    </cfRule>
    <cfRule type="cellIs" dxfId="2629" priority="3132" operator="between">
      <formula>9</formula>
      <formula>9.9</formula>
    </cfRule>
    <cfRule type="cellIs" dxfId="2628" priority="3133" stopIfTrue="1" operator="between">
      <formula>10</formula>
      <formula>10</formula>
    </cfRule>
    <cfRule type="containsBlanks" dxfId="2627" priority="3134" stopIfTrue="1">
      <formula>LEN(TRIM(B115))=0</formula>
    </cfRule>
  </conditionalFormatting>
  <conditionalFormatting sqref="B134">
    <cfRule type="colorScale" priority="305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59">
      <colorScale>
        <cfvo type="num" val="5"/>
        <cfvo type="num" val="10"/>
        <color rgb="FFFF494D"/>
        <color rgb="FF00FF66"/>
      </colorScale>
    </cfRule>
  </conditionalFormatting>
  <conditionalFormatting sqref="B135:B143">
    <cfRule type="cellIs" dxfId="2626" priority="3051" operator="between">
      <formula>6</formula>
      <formula>6.9</formula>
    </cfRule>
    <cfRule type="cellIs" dxfId="2625" priority="3052" operator="between">
      <formula>10.1</formula>
      <formula>10.6</formula>
    </cfRule>
    <cfRule type="cellIs" dxfId="2624" priority="3053" operator="between">
      <formula>7</formula>
      <formula>7.9</formula>
    </cfRule>
    <cfRule type="cellIs" dxfId="2623" priority="3054" stopIfTrue="1" operator="between">
      <formula>8</formula>
      <formula>8.9</formula>
    </cfRule>
    <cfRule type="cellIs" dxfId="2622" priority="3055" operator="between">
      <formula>9</formula>
      <formula>9.9</formula>
    </cfRule>
    <cfRule type="cellIs" dxfId="2621" priority="3056" stopIfTrue="1" operator="between">
      <formula>10</formula>
      <formula>10</formula>
    </cfRule>
    <cfRule type="containsBlanks" dxfId="2620" priority="3057" stopIfTrue="1">
      <formula>LEN(TRIM(B135))=0</formula>
    </cfRule>
  </conditionalFormatting>
  <conditionalFormatting sqref="B145">
    <cfRule type="colorScale" priority="30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14">
      <colorScale>
        <cfvo type="num" val="5"/>
        <cfvo type="num" val="10"/>
        <color rgb="FFFF494D"/>
        <color rgb="FF00FF66"/>
      </colorScale>
    </cfRule>
  </conditionalFormatting>
  <conditionalFormatting sqref="B146:B160">
    <cfRule type="cellIs" dxfId="2619" priority="3006" operator="between">
      <formula>6</formula>
      <formula>6.9</formula>
    </cfRule>
    <cfRule type="cellIs" dxfId="2618" priority="3007" operator="between">
      <formula>10.1</formula>
      <formula>10.6</formula>
    </cfRule>
    <cfRule type="cellIs" dxfId="2617" priority="3008" operator="between">
      <formula>7</formula>
      <formula>7.9</formula>
    </cfRule>
    <cfRule type="cellIs" dxfId="2616" priority="3009" stopIfTrue="1" operator="between">
      <formula>8</formula>
      <formula>8.9</formula>
    </cfRule>
    <cfRule type="cellIs" dxfId="2615" priority="3010" operator="between">
      <formula>9</formula>
      <formula>9.9</formula>
    </cfRule>
    <cfRule type="cellIs" dxfId="2614" priority="3011" stopIfTrue="1" operator="between">
      <formula>10</formula>
      <formula>10</formula>
    </cfRule>
    <cfRule type="containsBlanks" dxfId="2613" priority="3012" stopIfTrue="1">
      <formula>LEN(TRIM(B146))=0</formula>
    </cfRule>
  </conditionalFormatting>
  <conditionalFormatting sqref="B162">
    <cfRule type="colorScale" priority="29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44">
      <colorScale>
        <cfvo type="num" val="5"/>
        <cfvo type="num" val="10"/>
        <color rgb="FFFF494D"/>
        <color rgb="FF00FF66"/>
      </colorScale>
    </cfRule>
  </conditionalFormatting>
  <conditionalFormatting sqref="B163:B170">
    <cfRule type="cellIs" dxfId="2612" priority="2945" operator="between">
      <formula>6</formula>
      <formula>6.9</formula>
    </cfRule>
    <cfRule type="cellIs" dxfId="2611" priority="2946" operator="between">
      <formula>10.1</formula>
      <formula>10.6</formula>
    </cfRule>
    <cfRule type="cellIs" dxfId="2610" priority="2947" operator="between">
      <formula>7</formula>
      <formula>7.9</formula>
    </cfRule>
    <cfRule type="cellIs" dxfId="2609" priority="2948" stopIfTrue="1" operator="between">
      <formula>8</formula>
      <formula>8.9</formula>
    </cfRule>
    <cfRule type="cellIs" dxfId="2608" priority="2949" operator="between">
      <formula>9</formula>
      <formula>9.9</formula>
    </cfRule>
    <cfRule type="cellIs" dxfId="2607" priority="2950" stopIfTrue="1" operator="between">
      <formula>10</formula>
      <formula>10</formula>
    </cfRule>
    <cfRule type="containsBlanks" dxfId="2606" priority="2951" stopIfTrue="1">
      <formula>LEN(TRIM(B163))=0</formula>
    </cfRule>
  </conditionalFormatting>
  <conditionalFormatting sqref="B172">
    <cfRule type="colorScale" priority="291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15">
      <colorScale>
        <cfvo type="num" val="5"/>
        <cfvo type="num" val="10"/>
        <color rgb="FFFF494D"/>
        <color rgb="FF00FF66"/>
      </colorScale>
    </cfRule>
  </conditionalFormatting>
  <conditionalFormatting sqref="B173:B183">
    <cfRule type="cellIs" dxfId="2605" priority="2907" operator="between">
      <formula>6</formula>
      <formula>6.9</formula>
    </cfRule>
    <cfRule type="cellIs" dxfId="2604" priority="2908" operator="between">
      <formula>10.1</formula>
      <formula>10.6</formula>
    </cfRule>
    <cfRule type="cellIs" dxfId="2603" priority="2909" operator="between">
      <formula>7</formula>
      <formula>7.9</formula>
    </cfRule>
    <cfRule type="cellIs" dxfId="2602" priority="2910" stopIfTrue="1" operator="between">
      <formula>8</formula>
      <formula>8.9</formula>
    </cfRule>
    <cfRule type="cellIs" dxfId="2601" priority="2911" operator="between">
      <formula>9</formula>
      <formula>9.9</formula>
    </cfRule>
    <cfRule type="cellIs" dxfId="2600" priority="2912" stopIfTrue="1" operator="between">
      <formula>10</formula>
      <formula>10</formula>
    </cfRule>
    <cfRule type="containsBlanks" dxfId="2599" priority="2913" stopIfTrue="1">
      <formula>LEN(TRIM(B173))=0</formula>
    </cfRule>
  </conditionalFormatting>
  <conditionalFormatting sqref="B185">
    <cfRule type="colorScale" priority="28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77">
      <colorScale>
        <cfvo type="num" val="5"/>
        <cfvo type="num" val="10"/>
        <color rgb="FFFF494D"/>
        <color rgb="FF00FF66"/>
      </colorScale>
    </cfRule>
  </conditionalFormatting>
  <conditionalFormatting sqref="B186:B194">
    <cfRule type="cellIs" dxfId="2598" priority="2869" operator="between">
      <formula>6</formula>
      <formula>6.9</formula>
    </cfRule>
    <cfRule type="cellIs" dxfId="2597" priority="2870" operator="between">
      <formula>10.1</formula>
      <formula>10.6</formula>
    </cfRule>
    <cfRule type="cellIs" dxfId="2596" priority="2871" operator="between">
      <formula>7</formula>
      <formula>7.9</formula>
    </cfRule>
    <cfRule type="cellIs" dxfId="2595" priority="2872" stopIfTrue="1" operator="between">
      <formula>8</formula>
      <formula>8.9</formula>
    </cfRule>
    <cfRule type="cellIs" dxfId="2594" priority="2873" operator="between">
      <formula>9</formula>
      <formula>9.9</formula>
    </cfRule>
    <cfRule type="cellIs" dxfId="2593" priority="2874" stopIfTrue="1" operator="between">
      <formula>10</formula>
      <formula>10</formula>
    </cfRule>
    <cfRule type="containsBlanks" dxfId="2592" priority="2875" stopIfTrue="1">
      <formula>LEN(TRIM(B186))=0</formula>
    </cfRule>
  </conditionalFormatting>
  <conditionalFormatting sqref="B196">
    <cfRule type="colorScale" priority="28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19">
      <colorScale>
        <cfvo type="num" val="5"/>
        <cfvo type="num" val="10"/>
        <color rgb="FFFF494D"/>
        <color rgb="FF00FF66"/>
      </colorScale>
    </cfRule>
  </conditionalFormatting>
  <conditionalFormatting sqref="B197:B211">
    <cfRule type="cellIs" dxfId="2591" priority="2820" operator="between">
      <formula>6</formula>
      <formula>6.9</formula>
    </cfRule>
    <cfRule type="cellIs" dxfId="2590" priority="2821" operator="between">
      <formula>10.1</formula>
      <formula>10.6</formula>
    </cfRule>
    <cfRule type="cellIs" dxfId="2589" priority="2822" operator="between">
      <formula>7</formula>
      <formula>7.9</formula>
    </cfRule>
    <cfRule type="cellIs" dxfId="2588" priority="2823" stopIfTrue="1" operator="between">
      <formula>8</formula>
      <formula>8.9</formula>
    </cfRule>
    <cfRule type="cellIs" dxfId="2587" priority="2824" operator="between">
      <formula>9</formula>
      <formula>9.9</formula>
    </cfRule>
    <cfRule type="cellIs" dxfId="2586" priority="2825" stopIfTrue="1" operator="between">
      <formula>10</formula>
      <formula>10</formula>
    </cfRule>
    <cfRule type="containsBlanks" dxfId="2585" priority="2826" stopIfTrue="1">
      <formula>LEN(TRIM(B197))=0</formula>
    </cfRule>
  </conditionalFormatting>
  <conditionalFormatting sqref="B213">
    <cfRule type="colorScale" priority="275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52">
      <colorScale>
        <cfvo type="num" val="5"/>
        <cfvo type="num" val="10"/>
        <color rgb="FFFF494D"/>
        <color rgb="FF00FF66"/>
      </colorScale>
    </cfRule>
  </conditionalFormatting>
  <conditionalFormatting sqref="B214:B224 B227:B233">
    <cfRule type="cellIs" dxfId="2584" priority="2744" operator="between">
      <formula>6</formula>
      <formula>6.9</formula>
    </cfRule>
    <cfRule type="cellIs" dxfId="2583" priority="2745" operator="between">
      <formula>10.1</formula>
      <formula>10.6</formula>
    </cfRule>
    <cfRule type="cellIs" dxfId="2582" priority="2746" operator="between">
      <formula>7</formula>
      <formula>7.9</formula>
    </cfRule>
    <cfRule type="cellIs" dxfId="2581" priority="2747" stopIfTrue="1" operator="between">
      <formula>8</formula>
      <formula>8.9</formula>
    </cfRule>
    <cfRule type="cellIs" dxfId="2580" priority="2748" operator="between">
      <formula>9</formula>
      <formula>9.9</formula>
    </cfRule>
    <cfRule type="cellIs" dxfId="2579" priority="2749" stopIfTrue="1" operator="between">
      <formula>10</formula>
      <formula>10</formula>
    </cfRule>
    <cfRule type="containsBlanks" dxfId="2578" priority="2750" stopIfTrue="1">
      <formula>LEN(TRIM(B214))=0</formula>
    </cfRule>
  </conditionalFormatting>
  <conditionalFormatting sqref="B226">
    <cfRule type="colorScale" priority="27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25">
      <colorScale>
        <cfvo type="num" val="5"/>
        <cfvo type="num" val="10"/>
        <color rgb="FFFF494D"/>
        <color rgb="FF00FF66"/>
      </colorScale>
    </cfRule>
  </conditionalFormatting>
  <conditionalFormatting sqref="B235">
    <cfRule type="colorScale" priority="26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96">
      <colorScale>
        <cfvo type="num" val="5"/>
        <cfvo type="num" val="10"/>
        <color rgb="FFFF494D"/>
        <color rgb="FF00FF66"/>
      </colorScale>
    </cfRule>
  </conditionalFormatting>
  <conditionalFormatting sqref="B236:B244">
    <cfRule type="cellIs" dxfId="2577" priority="2681" operator="between">
      <formula>6</formula>
      <formula>6.9</formula>
    </cfRule>
    <cfRule type="cellIs" dxfId="2576" priority="2682" operator="between">
      <formula>10.1</formula>
      <formula>10.6</formula>
    </cfRule>
    <cfRule type="cellIs" dxfId="2575" priority="2683" operator="between">
      <formula>7</formula>
      <formula>7.9</formula>
    </cfRule>
    <cfRule type="cellIs" dxfId="2574" priority="2684" stopIfTrue="1" operator="between">
      <formula>8</formula>
      <formula>8.9</formula>
    </cfRule>
    <cfRule type="cellIs" dxfId="2573" priority="2685" operator="between">
      <formula>9</formula>
      <formula>9.9</formula>
    </cfRule>
    <cfRule type="cellIs" dxfId="2572" priority="2686" stopIfTrue="1" operator="between">
      <formula>10</formula>
      <formula>10</formula>
    </cfRule>
    <cfRule type="containsBlanks" dxfId="2571" priority="2687" stopIfTrue="1">
      <formula>LEN(TRIM(B236))=0</formula>
    </cfRule>
  </conditionalFormatting>
  <conditionalFormatting sqref="B246">
    <cfRule type="colorScale" priority="26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44">
      <colorScale>
        <cfvo type="num" val="5"/>
        <cfvo type="num" val="10"/>
        <color rgb="FFFF494D"/>
        <color rgb="FF00FF66"/>
      </colorScale>
    </cfRule>
  </conditionalFormatting>
  <conditionalFormatting sqref="B247:B258">
    <cfRule type="cellIs" dxfId="2570" priority="2636" operator="between">
      <formula>6</formula>
      <formula>6.9</formula>
    </cfRule>
    <cfRule type="cellIs" dxfId="2569" priority="2637" operator="between">
      <formula>10.1</formula>
      <formula>10.6</formula>
    </cfRule>
    <cfRule type="cellIs" dxfId="2568" priority="2638" operator="between">
      <formula>7</formula>
      <formula>7.9</formula>
    </cfRule>
    <cfRule type="cellIs" dxfId="2567" priority="2639" stopIfTrue="1" operator="between">
      <formula>8</formula>
      <formula>8.9</formula>
    </cfRule>
    <cfRule type="cellIs" dxfId="2566" priority="2640" operator="between">
      <formula>9</formula>
      <formula>9.9</formula>
    </cfRule>
    <cfRule type="cellIs" dxfId="2565" priority="2641" stopIfTrue="1" operator="between">
      <formula>10</formula>
      <formula>10</formula>
    </cfRule>
    <cfRule type="containsBlanks" dxfId="2564" priority="2642" stopIfTrue="1">
      <formula>LEN(TRIM(B247))=0</formula>
    </cfRule>
  </conditionalFormatting>
  <conditionalFormatting sqref="B260">
    <cfRule type="colorScale" priority="25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97">
      <colorScale>
        <cfvo type="num" val="5"/>
        <cfvo type="num" val="10"/>
        <color rgb="FFFF494D"/>
        <color rgb="FF00FF66"/>
      </colorScale>
    </cfRule>
  </conditionalFormatting>
  <conditionalFormatting sqref="B261:B270">
    <cfRule type="cellIs" dxfId="2563" priority="2598" operator="between">
      <formula>6</formula>
      <formula>6.9</formula>
    </cfRule>
    <cfRule type="cellIs" dxfId="2562" priority="2599" operator="between">
      <formula>10.1</formula>
      <formula>10.6</formula>
    </cfRule>
    <cfRule type="cellIs" dxfId="2561" priority="2600" operator="between">
      <formula>7</formula>
      <formula>7.9</formula>
    </cfRule>
    <cfRule type="cellIs" dxfId="2560" priority="2601" stopIfTrue="1" operator="between">
      <formula>8</formula>
      <formula>8.9</formula>
    </cfRule>
    <cfRule type="cellIs" dxfId="2559" priority="2602" operator="between">
      <formula>9</formula>
      <formula>9.9</formula>
    </cfRule>
    <cfRule type="cellIs" dxfId="2558" priority="2603" stopIfTrue="1" operator="between">
      <formula>10</formula>
      <formula>10</formula>
    </cfRule>
    <cfRule type="containsBlanks" dxfId="2557" priority="2604" stopIfTrue="1">
      <formula>LEN(TRIM(B261))=0</formula>
    </cfRule>
  </conditionalFormatting>
  <conditionalFormatting sqref="B272">
    <cfRule type="colorScale" priority="25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55">
      <colorScale>
        <cfvo type="num" val="5"/>
        <cfvo type="num" val="10"/>
        <color rgb="FFFF494D"/>
        <color rgb="FF00FF66"/>
      </colorScale>
    </cfRule>
  </conditionalFormatting>
  <conditionalFormatting sqref="B273:B277">
    <cfRule type="cellIs" dxfId="2556" priority="2556" operator="between">
      <formula>6</formula>
      <formula>6.9</formula>
    </cfRule>
    <cfRule type="cellIs" dxfId="2555" priority="2557" operator="between">
      <formula>10.1</formula>
      <formula>10.6</formula>
    </cfRule>
    <cfRule type="cellIs" dxfId="2554" priority="2558" operator="between">
      <formula>7</formula>
      <formula>7.9</formula>
    </cfRule>
    <cfRule type="cellIs" dxfId="2553" priority="2559" stopIfTrue="1" operator="between">
      <formula>8</formula>
      <formula>8.9</formula>
    </cfRule>
    <cfRule type="cellIs" dxfId="2552" priority="2560" operator="between">
      <formula>9</formula>
      <formula>9.9</formula>
    </cfRule>
    <cfRule type="cellIs" dxfId="2551" priority="2561" stopIfTrue="1" operator="between">
      <formula>10</formula>
      <formula>10</formula>
    </cfRule>
    <cfRule type="containsBlanks" dxfId="2550" priority="2562" stopIfTrue="1">
      <formula>LEN(TRIM(B273))=0</formula>
    </cfRule>
  </conditionalFormatting>
  <conditionalFormatting sqref="B279">
    <cfRule type="colorScale" priority="25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16">
      <colorScale>
        <cfvo type="num" val="5"/>
        <cfvo type="num" val="10"/>
        <color rgb="FFFF494D"/>
        <color rgb="FF00FF66"/>
      </colorScale>
    </cfRule>
  </conditionalFormatting>
  <conditionalFormatting sqref="B280:B307">
    <cfRule type="cellIs" dxfId="2549" priority="2508" operator="between">
      <formula>6</formula>
      <formula>6.9</formula>
    </cfRule>
    <cfRule type="cellIs" dxfId="2548" priority="2509" operator="between">
      <formula>10.1</formula>
      <formula>10.6</formula>
    </cfRule>
    <cfRule type="cellIs" dxfId="2547" priority="2510" operator="between">
      <formula>7</formula>
      <formula>7.9</formula>
    </cfRule>
    <cfRule type="cellIs" dxfId="2546" priority="2511" stopIfTrue="1" operator="between">
      <formula>8</formula>
      <formula>8.9</formula>
    </cfRule>
    <cfRule type="cellIs" dxfId="2545" priority="2512" operator="between">
      <formula>9</formula>
      <formula>9.9</formula>
    </cfRule>
    <cfRule type="cellIs" dxfId="2544" priority="2513" stopIfTrue="1" operator="between">
      <formula>10</formula>
      <formula>10</formula>
    </cfRule>
    <cfRule type="containsBlanks" dxfId="2543" priority="2514" stopIfTrue="1">
      <formula>LEN(TRIM(B280))=0</formula>
    </cfRule>
  </conditionalFormatting>
  <conditionalFormatting sqref="B309">
    <cfRule type="colorScale" priority="24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05">
      <colorScale>
        <cfvo type="num" val="5"/>
        <cfvo type="num" val="10"/>
        <color rgb="FFFF494D"/>
        <color rgb="FF00FF66"/>
      </colorScale>
    </cfRule>
  </conditionalFormatting>
  <conditionalFormatting sqref="B310:B320">
    <cfRule type="cellIs" dxfId="2542" priority="2397" operator="between">
      <formula>6</formula>
      <formula>6.9</formula>
    </cfRule>
    <cfRule type="cellIs" dxfId="2541" priority="2398" operator="between">
      <formula>10.1</formula>
      <formula>10.6</formula>
    </cfRule>
    <cfRule type="cellIs" dxfId="2540" priority="2399" operator="between">
      <formula>7</formula>
      <formula>7.9</formula>
    </cfRule>
    <cfRule type="cellIs" dxfId="2539" priority="2400" stopIfTrue="1" operator="between">
      <formula>8</formula>
      <formula>8.9</formula>
    </cfRule>
    <cfRule type="cellIs" dxfId="2538" priority="2401" operator="between">
      <formula>9</formula>
      <formula>9.9</formula>
    </cfRule>
    <cfRule type="cellIs" dxfId="2537" priority="2402" stopIfTrue="1" operator="between">
      <formula>10</formula>
      <formula>10</formula>
    </cfRule>
    <cfRule type="containsBlanks" dxfId="2536" priority="2403" stopIfTrue="1">
      <formula>LEN(TRIM(B310))=0</formula>
    </cfRule>
  </conditionalFormatting>
  <conditionalFormatting sqref="B322">
    <cfRule type="colorScale" priority="23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41">
      <colorScale>
        <cfvo type="num" val="5"/>
        <cfvo type="num" val="10"/>
        <color rgb="FFFF494D"/>
        <color rgb="FF00FF66"/>
      </colorScale>
    </cfRule>
  </conditionalFormatting>
  <conditionalFormatting sqref="B323:B341 E723:E736 E847:E862">
    <cfRule type="containsBlanks" dxfId="2535" priority="2331" stopIfTrue="1">
      <formula>LEN(TRIM(B323))=0</formula>
    </cfRule>
    <cfRule type="cellIs" dxfId="2534" priority="2332" operator="lessThan">
      <formula>2</formula>
    </cfRule>
    <cfRule type="cellIs" dxfId="2533" priority="2333" operator="between">
      <formula>2</formula>
      <formula>4.9</formula>
    </cfRule>
    <cfRule type="cellIs" dxfId="2532" priority="2334" operator="between">
      <formula>5</formula>
      <formula>6.9</formula>
    </cfRule>
    <cfRule type="cellIs" dxfId="2531" priority="2335" operator="between">
      <formula>10.1</formula>
      <formula>10.6</formula>
    </cfRule>
    <cfRule type="cellIs" dxfId="2530" priority="2336" operator="between">
      <formula>7</formula>
      <formula>7.9</formula>
    </cfRule>
    <cfRule type="cellIs" dxfId="2529" priority="2337" stopIfTrue="1" operator="between">
      <formula>8</formula>
      <formula>8.9</formula>
    </cfRule>
    <cfRule type="cellIs" dxfId="2528" priority="2338" operator="between">
      <formula>9</formula>
      <formula>9.9</formula>
    </cfRule>
    <cfRule type="cellIs" dxfId="2527" priority="2339" stopIfTrue="1" operator="between">
      <formula>10</formula>
      <formula>10</formula>
    </cfRule>
  </conditionalFormatting>
  <conditionalFormatting sqref="B343">
    <cfRule type="colorScale" priority="22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44">
      <colorScale>
        <cfvo type="num" val="5"/>
        <cfvo type="num" val="10"/>
        <color rgb="FFFF494D"/>
        <color rgb="FF00FF66"/>
      </colorScale>
    </cfRule>
  </conditionalFormatting>
  <conditionalFormatting sqref="B344:B358 B361:B377">
    <cfRule type="containsBlanks" dxfId="2526" priority="2245" stopIfTrue="1">
      <formula>LEN(TRIM(B344))=0</formula>
    </cfRule>
    <cfRule type="cellIs" dxfId="2525" priority="2246" operator="lessThan">
      <formula>2</formula>
    </cfRule>
    <cfRule type="cellIs" dxfId="2524" priority="2247" operator="between">
      <formula>2</formula>
      <formula>4.9</formula>
    </cfRule>
    <cfRule type="cellIs" dxfId="2523" priority="2248" operator="between">
      <formula>5</formula>
      <formula>6.9</formula>
    </cfRule>
    <cfRule type="cellIs" dxfId="2522" priority="2249" operator="between">
      <formula>10.1</formula>
      <formula>10.6</formula>
    </cfRule>
    <cfRule type="cellIs" dxfId="2521" priority="2250" operator="between">
      <formula>7</formula>
      <formula>7.9</formula>
    </cfRule>
    <cfRule type="cellIs" dxfId="2520" priority="2251" stopIfTrue="1" operator="between">
      <formula>8</formula>
      <formula>8.9</formula>
    </cfRule>
    <cfRule type="cellIs" dxfId="2519" priority="2252" operator="between">
      <formula>9</formula>
      <formula>9.9</formula>
    </cfRule>
    <cfRule type="cellIs" dxfId="2518" priority="2253" stopIfTrue="1" operator="between">
      <formula>10</formula>
      <formula>10</formula>
    </cfRule>
  </conditionalFormatting>
  <conditionalFormatting sqref="B360">
    <cfRule type="colorScale" priority="22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09">
      <colorScale>
        <cfvo type="num" val="5"/>
        <cfvo type="num" val="10"/>
        <color rgb="FFFF494D"/>
        <color rgb="FF00FF66"/>
      </colorScale>
    </cfRule>
  </conditionalFormatting>
  <conditionalFormatting sqref="B379">
    <cfRule type="colorScale" priority="211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18">
      <colorScale>
        <cfvo type="num" val="5"/>
        <cfvo type="num" val="10"/>
        <color rgb="FFFF494D"/>
        <color rgb="FF00FF66"/>
      </colorScale>
    </cfRule>
  </conditionalFormatting>
  <conditionalFormatting sqref="B380:B387">
    <cfRule type="containsBlanks" dxfId="2517" priority="2108" stopIfTrue="1">
      <formula>LEN(TRIM(B380))=0</formula>
    </cfRule>
    <cfRule type="cellIs" dxfId="2516" priority="2109" operator="lessThan">
      <formula>2</formula>
    </cfRule>
    <cfRule type="cellIs" dxfId="2515" priority="2110" operator="between">
      <formula>2</formula>
      <formula>4.9</formula>
    </cfRule>
    <cfRule type="cellIs" dxfId="2514" priority="2111" operator="between">
      <formula>5</formula>
      <formula>6.9</formula>
    </cfRule>
    <cfRule type="cellIs" dxfId="2513" priority="2112" operator="between">
      <formula>10.1</formula>
      <formula>10.6</formula>
    </cfRule>
    <cfRule type="cellIs" dxfId="2512" priority="2113" operator="between">
      <formula>7</formula>
      <formula>7.9</formula>
    </cfRule>
    <cfRule type="cellIs" dxfId="2511" priority="2114" stopIfTrue="1" operator="between">
      <formula>8</formula>
      <formula>8.9</formula>
    </cfRule>
    <cfRule type="cellIs" dxfId="2510" priority="2115" operator="between">
      <formula>9</formula>
      <formula>9.9</formula>
    </cfRule>
    <cfRule type="cellIs" dxfId="2509" priority="2116" stopIfTrue="1" operator="between">
      <formula>10</formula>
      <formula>10</formula>
    </cfRule>
  </conditionalFormatting>
  <conditionalFormatting sqref="B389">
    <cfRule type="colorScale" priority="20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43">
      <colorScale>
        <cfvo type="num" val="5"/>
        <cfvo type="num" val="10"/>
        <color rgb="FFFF494D"/>
        <color rgb="FF00FF66"/>
      </colorScale>
    </cfRule>
  </conditionalFormatting>
  <conditionalFormatting sqref="B390:B399">
    <cfRule type="containsBlanks" dxfId="2508" priority="2044" stopIfTrue="1">
      <formula>LEN(TRIM(B390))=0</formula>
    </cfRule>
    <cfRule type="cellIs" dxfId="2507" priority="2045" operator="lessThan">
      <formula>2</formula>
    </cfRule>
    <cfRule type="cellIs" dxfId="2506" priority="2046" operator="between">
      <formula>2</formula>
      <formula>4.9</formula>
    </cfRule>
    <cfRule type="cellIs" dxfId="2505" priority="2047" operator="between">
      <formula>5</formula>
      <formula>6.9</formula>
    </cfRule>
    <cfRule type="cellIs" dxfId="2504" priority="2048" operator="between">
      <formula>10.1</formula>
      <formula>10.6</formula>
    </cfRule>
    <cfRule type="cellIs" dxfId="2503" priority="2049" operator="between">
      <formula>7</formula>
      <formula>7.9</formula>
    </cfRule>
    <cfRule type="cellIs" dxfId="2502" priority="2050" stopIfTrue="1" operator="between">
      <formula>8</formula>
      <formula>8.9</formula>
    </cfRule>
    <cfRule type="cellIs" dxfId="2501" priority="2051" operator="between">
      <formula>9</formula>
      <formula>9.9</formula>
    </cfRule>
    <cfRule type="cellIs" dxfId="2500" priority="2052" stopIfTrue="1" operator="between">
      <formula>10</formula>
      <formula>10</formula>
    </cfRule>
  </conditionalFormatting>
  <conditionalFormatting sqref="B401">
    <cfRule type="colorScale" priority="20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08">
      <colorScale>
        <cfvo type="num" val="5"/>
        <cfvo type="num" val="10"/>
        <color rgb="FFFF494D"/>
        <color rgb="FF00FF66"/>
      </colorScale>
    </cfRule>
  </conditionalFormatting>
  <conditionalFormatting sqref="B402:B407">
    <cfRule type="containsBlanks" dxfId="2499" priority="1998" stopIfTrue="1">
      <formula>LEN(TRIM(B402))=0</formula>
    </cfRule>
    <cfRule type="cellIs" dxfId="2498" priority="1999" operator="lessThan">
      <formula>2</formula>
    </cfRule>
    <cfRule type="cellIs" dxfId="2497" priority="2000" operator="between">
      <formula>2</formula>
      <formula>4.9</formula>
    </cfRule>
    <cfRule type="cellIs" dxfId="2496" priority="2001" operator="between">
      <formula>5</formula>
      <formula>6.9</formula>
    </cfRule>
    <cfRule type="cellIs" dxfId="2495" priority="2002" operator="between">
      <formula>10.1</formula>
      <formula>10.6</formula>
    </cfRule>
    <cfRule type="cellIs" dxfId="2494" priority="2003" operator="between">
      <formula>7</formula>
      <formula>7.9</formula>
    </cfRule>
    <cfRule type="cellIs" dxfId="2493" priority="2004" stopIfTrue="1" operator="between">
      <formula>8</formula>
      <formula>8.9</formula>
    </cfRule>
    <cfRule type="cellIs" dxfId="2492" priority="2005" operator="between">
      <formula>9</formula>
      <formula>9.9</formula>
    </cfRule>
    <cfRule type="cellIs" dxfId="2491" priority="2006" stopIfTrue="1" operator="between">
      <formula>10</formula>
      <formula>10</formula>
    </cfRule>
  </conditionalFormatting>
  <conditionalFormatting sqref="B409">
    <cfRule type="colorScale" priority="196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66">
      <colorScale>
        <cfvo type="num" val="5"/>
        <cfvo type="num" val="10"/>
        <color rgb="FFFF494D"/>
        <color rgb="FF00FF66"/>
      </colorScale>
    </cfRule>
  </conditionalFormatting>
  <conditionalFormatting sqref="B410:B426">
    <cfRule type="containsBlanks" dxfId="2490" priority="1967" stopIfTrue="1">
      <formula>LEN(TRIM(B410))=0</formula>
    </cfRule>
    <cfRule type="cellIs" dxfId="2489" priority="1968" operator="lessThan">
      <formula>2</formula>
    </cfRule>
    <cfRule type="cellIs" dxfId="2488" priority="1969" operator="between">
      <formula>2</formula>
      <formula>4.9</formula>
    </cfRule>
    <cfRule type="cellIs" dxfId="2487" priority="1970" operator="between">
      <formula>5</formula>
      <formula>6.9</formula>
    </cfRule>
    <cfRule type="cellIs" dxfId="2486" priority="1971" operator="between">
      <formula>10.1</formula>
      <formula>10.6</formula>
    </cfRule>
    <cfRule type="cellIs" dxfId="2485" priority="1972" operator="between">
      <formula>7</formula>
      <formula>7.9</formula>
    </cfRule>
    <cfRule type="cellIs" dxfId="2484" priority="1973" stopIfTrue="1" operator="between">
      <formula>8</formula>
      <formula>8.9</formula>
    </cfRule>
    <cfRule type="cellIs" dxfId="2483" priority="1974" operator="between">
      <formula>9</formula>
      <formula>9.9</formula>
    </cfRule>
    <cfRule type="cellIs" dxfId="2482" priority="1975" stopIfTrue="1" operator="between">
      <formula>10</formula>
      <formula>10</formula>
    </cfRule>
  </conditionalFormatting>
  <conditionalFormatting sqref="B428">
    <cfRule type="colorScale" priority="18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55">
      <colorScale>
        <cfvo type="num" val="5"/>
        <cfvo type="num" val="10"/>
        <color rgb="FFFF494D"/>
        <color rgb="FF00FF66"/>
      </colorScale>
    </cfRule>
  </conditionalFormatting>
  <conditionalFormatting sqref="B429:B439">
    <cfRule type="containsBlanks" dxfId="2481" priority="1856" stopIfTrue="1">
      <formula>LEN(TRIM(B429))=0</formula>
    </cfRule>
    <cfRule type="cellIs" dxfId="2480" priority="1857" operator="lessThan">
      <formula>2</formula>
    </cfRule>
    <cfRule type="cellIs" dxfId="2479" priority="1858" operator="between">
      <formula>2</formula>
      <formula>4.9</formula>
    </cfRule>
    <cfRule type="cellIs" dxfId="2478" priority="1859" operator="between">
      <formula>5</formula>
      <formula>6.9</formula>
    </cfRule>
    <cfRule type="cellIs" dxfId="2477" priority="1860" operator="between">
      <formula>10.1</formula>
      <formula>10.6</formula>
    </cfRule>
    <cfRule type="cellIs" dxfId="2476" priority="1861" operator="between">
      <formula>7</formula>
      <formula>7.9</formula>
    </cfRule>
    <cfRule type="cellIs" dxfId="2475" priority="1862" stopIfTrue="1" operator="between">
      <formula>8</formula>
      <formula>8.9</formula>
    </cfRule>
    <cfRule type="cellIs" dxfId="2474" priority="1863" operator="between">
      <formula>9</formula>
      <formula>9.9</formula>
    </cfRule>
    <cfRule type="cellIs" dxfId="2473" priority="1864" stopIfTrue="1" operator="between">
      <formula>10</formula>
      <formula>10</formula>
    </cfRule>
  </conditionalFormatting>
  <conditionalFormatting sqref="B441">
    <cfRule type="colorScale" priority="17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00">
      <colorScale>
        <cfvo type="num" val="5"/>
        <cfvo type="num" val="10"/>
        <color rgb="FFFF494D"/>
        <color rgb="FF00FF66"/>
      </colorScale>
    </cfRule>
  </conditionalFormatting>
  <conditionalFormatting sqref="B442:B446">
    <cfRule type="containsBlanks" dxfId="2472" priority="1801" stopIfTrue="1">
      <formula>LEN(TRIM(B442))=0</formula>
    </cfRule>
    <cfRule type="cellIs" dxfId="2471" priority="1802" operator="lessThan">
      <formula>2</formula>
    </cfRule>
    <cfRule type="cellIs" dxfId="2470" priority="1803" operator="between">
      <formula>2</formula>
      <formula>4.9</formula>
    </cfRule>
    <cfRule type="cellIs" dxfId="2469" priority="1804" operator="between">
      <formula>5</formula>
      <formula>6.9</formula>
    </cfRule>
    <cfRule type="cellIs" dxfId="2468" priority="1805" operator="between">
      <formula>10.1</formula>
      <formula>10.6</formula>
    </cfRule>
    <cfRule type="cellIs" dxfId="2467" priority="1806" operator="between">
      <formula>7</formula>
      <formula>7.9</formula>
    </cfRule>
    <cfRule type="cellIs" dxfId="2466" priority="1807" stopIfTrue="1" operator="between">
      <formula>8</formula>
      <formula>8.9</formula>
    </cfRule>
    <cfRule type="cellIs" dxfId="2465" priority="1808" operator="between">
      <formula>9</formula>
      <formula>9.9</formula>
    </cfRule>
    <cfRule type="cellIs" dxfId="2464" priority="1809" stopIfTrue="1" operator="between">
      <formula>10</formula>
      <formula>10</formula>
    </cfRule>
  </conditionalFormatting>
  <conditionalFormatting sqref="B448">
    <cfRule type="colorScale" priority="17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78">
      <colorScale>
        <cfvo type="num" val="5"/>
        <cfvo type="num" val="10"/>
        <color rgb="FFFF494D"/>
        <color rgb="FF00FF66"/>
      </colorScale>
    </cfRule>
  </conditionalFormatting>
  <conditionalFormatting sqref="B449:B455">
    <cfRule type="containsBlanks" dxfId="2463" priority="1779" stopIfTrue="1">
      <formula>LEN(TRIM(B449))=0</formula>
    </cfRule>
    <cfRule type="cellIs" dxfId="2462" priority="1780" operator="lessThan">
      <formula>2</formula>
    </cfRule>
    <cfRule type="cellIs" dxfId="2461" priority="1781" operator="between">
      <formula>2</formula>
      <formula>4.9</formula>
    </cfRule>
    <cfRule type="cellIs" dxfId="2460" priority="1782" operator="between">
      <formula>5</formula>
      <formula>6.9</formula>
    </cfRule>
    <cfRule type="cellIs" dxfId="2459" priority="1783" operator="between">
      <formula>10.1</formula>
      <formula>10.6</formula>
    </cfRule>
    <cfRule type="cellIs" dxfId="2458" priority="1784" operator="between">
      <formula>7</formula>
      <formula>7.9</formula>
    </cfRule>
    <cfRule type="cellIs" dxfId="2457" priority="1785" stopIfTrue="1" operator="between">
      <formula>8</formula>
      <formula>8.9</formula>
    </cfRule>
    <cfRule type="cellIs" dxfId="2456" priority="1786" operator="between">
      <formula>9</formula>
      <formula>9.9</formula>
    </cfRule>
    <cfRule type="cellIs" dxfId="2455" priority="1787" stopIfTrue="1" operator="between">
      <formula>10</formula>
      <formula>10</formula>
    </cfRule>
  </conditionalFormatting>
  <conditionalFormatting sqref="B457">
    <cfRule type="colorScale" priority="17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25">
      <colorScale>
        <cfvo type="num" val="5"/>
        <cfvo type="num" val="10"/>
        <color rgb="FFFF494D"/>
        <color rgb="FF00FF66"/>
      </colorScale>
    </cfRule>
  </conditionalFormatting>
  <conditionalFormatting sqref="B458:B471">
    <cfRule type="containsBlanks" dxfId="2454" priority="1726" stopIfTrue="1">
      <formula>LEN(TRIM(B458))=0</formula>
    </cfRule>
    <cfRule type="cellIs" dxfId="2453" priority="1727" operator="lessThan">
      <formula>2</formula>
    </cfRule>
    <cfRule type="cellIs" dxfId="2452" priority="1728" operator="between">
      <formula>2</formula>
      <formula>4.9</formula>
    </cfRule>
    <cfRule type="cellIs" dxfId="2451" priority="1729" operator="between">
      <formula>5</formula>
      <formula>6.9</formula>
    </cfRule>
    <cfRule type="cellIs" dxfId="2450" priority="1730" operator="between">
      <formula>10.1</formula>
      <formula>10.6</formula>
    </cfRule>
    <cfRule type="cellIs" dxfId="2449" priority="1731" operator="between">
      <formula>7</formula>
      <formula>7.9</formula>
    </cfRule>
    <cfRule type="cellIs" dxfId="2448" priority="1732" stopIfTrue="1" operator="between">
      <formula>8</formula>
      <formula>8.9</formula>
    </cfRule>
    <cfRule type="cellIs" dxfId="2447" priority="1733" operator="between">
      <formula>9</formula>
      <formula>9.9</formula>
    </cfRule>
    <cfRule type="cellIs" dxfId="2446" priority="1734" stopIfTrue="1" operator="between">
      <formula>10</formula>
      <formula>10</formula>
    </cfRule>
  </conditionalFormatting>
  <conditionalFormatting sqref="B473">
    <cfRule type="colorScale" priority="16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70">
      <colorScale>
        <cfvo type="num" val="5"/>
        <cfvo type="num" val="10"/>
        <color rgb="FFFF494D"/>
        <color rgb="FF00FF66"/>
      </colorScale>
    </cfRule>
  </conditionalFormatting>
  <conditionalFormatting sqref="B474:B485">
    <cfRule type="containsBlanks" dxfId="2445" priority="1671" stopIfTrue="1">
      <formula>LEN(TRIM(B474))=0</formula>
    </cfRule>
    <cfRule type="cellIs" dxfId="2444" priority="1672" operator="lessThan">
      <formula>2</formula>
    </cfRule>
    <cfRule type="cellIs" dxfId="2443" priority="1673" operator="between">
      <formula>2</formula>
      <formula>4.9</formula>
    </cfRule>
    <cfRule type="cellIs" dxfId="2442" priority="1674" operator="between">
      <formula>5</formula>
      <formula>6.9</formula>
    </cfRule>
    <cfRule type="cellIs" dxfId="2441" priority="1675" operator="between">
      <formula>10.1</formula>
      <formula>10.6</formula>
    </cfRule>
    <cfRule type="cellIs" dxfId="2440" priority="1676" operator="between">
      <formula>7</formula>
      <formula>7.9</formula>
    </cfRule>
    <cfRule type="cellIs" dxfId="2439" priority="1677" stopIfTrue="1" operator="between">
      <formula>8</formula>
      <formula>8.9</formula>
    </cfRule>
    <cfRule type="cellIs" dxfId="2438" priority="1678" operator="between">
      <formula>9</formula>
      <formula>9.9</formula>
    </cfRule>
    <cfRule type="cellIs" dxfId="2437" priority="1679" stopIfTrue="1" operator="between">
      <formula>10</formula>
      <formula>10</formula>
    </cfRule>
  </conditionalFormatting>
  <conditionalFormatting sqref="B487">
    <cfRule type="colorScale" priority="16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26">
      <colorScale>
        <cfvo type="num" val="5"/>
        <cfvo type="num" val="10"/>
        <color rgb="FFFF494D"/>
        <color rgb="FF00FF66"/>
      </colorScale>
    </cfRule>
  </conditionalFormatting>
  <conditionalFormatting sqref="B488:B501">
    <cfRule type="containsBlanks" dxfId="2436" priority="1627" stopIfTrue="1">
      <formula>LEN(TRIM(B488))=0</formula>
    </cfRule>
    <cfRule type="cellIs" dxfId="2435" priority="1628" operator="lessThan">
      <formula>2</formula>
    </cfRule>
    <cfRule type="cellIs" dxfId="2434" priority="1629" operator="between">
      <formula>2</formula>
      <formula>4.9</formula>
    </cfRule>
    <cfRule type="cellIs" dxfId="2433" priority="1630" operator="between">
      <formula>5</formula>
      <formula>6.9</formula>
    </cfRule>
    <cfRule type="cellIs" dxfId="2432" priority="1631" operator="between">
      <formula>10.1</formula>
      <formula>10.6</formula>
    </cfRule>
    <cfRule type="cellIs" dxfId="2431" priority="1632" operator="between">
      <formula>7</formula>
      <formula>7.9</formula>
    </cfRule>
    <cfRule type="cellIs" dxfId="2430" priority="1633" stopIfTrue="1" operator="between">
      <formula>8</formula>
      <formula>8.9</formula>
    </cfRule>
    <cfRule type="cellIs" dxfId="2429" priority="1634" operator="between">
      <formula>9</formula>
      <formula>9.9</formula>
    </cfRule>
    <cfRule type="cellIs" dxfId="2428" priority="1635" stopIfTrue="1" operator="between">
      <formula>10</formula>
      <formula>10</formula>
    </cfRule>
  </conditionalFormatting>
  <conditionalFormatting sqref="B503">
    <cfRule type="colorScale" priority="15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27">
      <colorScale>
        <cfvo type="num" val="5"/>
        <cfvo type="num" val="10"/>
        <color rgb="FFFF494D"/>
        <color rgb="FF00FF66"/>
      </colorScale>
    </cfRule>
  </conditionalFormatting>
  <conditionalFormatting sqref="B504:B513">
    <cfRule type="containsBlanks" dxfId="2427" priority="1528" stopIfTrue="1">
      <formula>LEN(TRIM(B504))=0</formula>
    </cfRule>
    <cfRule type="cellIs" dxfId="2426" priority="1529" operator="lessThan">
      <formula>2</formula>
    </cfRule>
    <cfRule type="cellIs" dxfId="2425" priority="1530" operator="between">
      <formula>2</formula>
      <formula>4.9</formula>
    </cfRule>
    <cfRule type="cellIs" dxfId="2424" priority="1531" operator="between">
      <formula>5</formula>
      <formula>6.9</formula>
    </cfRule>
    <cfRule type="cellIs" dxfId="2423" priority="1532" operator="between">
      <formula>10.1</formula>
      <formula>10.6</formula>
    </cfRule>
    <cfRule type="cellIs" dxfId="2422" priority="1533" operator="between">
      <formula>7</formula>
      <formula>7.9</formula>
    </cfRule>
    <cfRule type="cellIs" dxfId="2421" priority="1534" stopIfTrue="1" operator="between">
      <formula>8</formula>
      <formula>8.9</formula>
    </cfRule>
    <cfRule type="cellIs" dxfId="2420" priority="1535" operator="between">
      <formula>9</formula>
      <formula>9.9</formula>
    </cfRule>
    <cfRule type="cellIs" dxfId="2419" priority="1536" stopIfTrue="1" operator="between">
      <formula>10</formula>
      <formula>10</formula>
    </cfRule>
  </conditionalFormatting>
  <conditionalFormatting sqref="B515">
    <cfRule type="colorScale" priority="14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92">
      <colorScale>
        <cfvo type="num" val="5"/>
        <cfvo type="num" val="10"/>
        <color rgb="FFFF494D"/>
        <color rgb="FF00FF66"/>
      </colorScale>
    </cfRule>
  </conditionalFormatting>
  <conditionalFormatting sqref="B516:B522">
    <cfRule type="containsBlanks" dxfId="2418" priority="1482" stopIfTrue="1">
      <formula>LEN(TRIM(B516))=0</formula>
    </cfRule>
    <cfRule type="cellIs" dxfId="2417" priority="1483" operator="lessThan">
      <formula>2</formula>
    </cfRule>
    <cfRule type="cellIs" dxfId="2416" priority="1484" operator="between">
      <formula>2</formula>
      <formula>4.9</formula>
    </cfRule>
    <cfRule type="cellIs" dxfId="2415" priority="1485" operator="between">
      <formula>5</formula>
      <formula>6.9</formula>
    </cfRule>
    <cfRule type="cellIs" dxfId="2414" priority="1486" operator="between">
      <formula>10.1</formula>
      <formula>10.6</formula>
    </cfRule>
    <cfRule type="cellIs" dxfId="2413" priority="1487" operator="between">
      <formula>7</formula>
      <formula>7.9</formula>
    </cfRule>
    <cfRule type="cellIs" dxfId="2412" priority="1488" stopIfTrue="1" operator="between">
      <formula>8</formula>
      <formula>8.9</formula>
    </cfRule>
    <cfRule type="cellIs" dxfId="2411" priority="1489" operator="between">
      <formula>9</formula>
      <formula>9.9</formula>
    </cfRule>
    <cfRule type="cellIs" dxfId="2410" priority="1490" stopIfTrue="1" operator="between">
      <formula>10</formula>
      <formula>10</formula>
    </cfRule>
  </conditionalFormatting>
  <conditionalFormatting sqref="B524">
    <cfRule type="colorScale" priority="14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50">
      <colorScale>
        <cfvo type="num" val="5"/>
        <cfvo type="num" val="10"/>
        <color rgb="FFFF494D"/>
        <color rgb="FF00FF66"/>
      </colorScale>
    </cfRule>
  </conditionalFormatting>
  <conditionalFormatting sqref="B525:B541">
    <cfRule type="containsBlanks" dxfId="2409" priority="1451" stopIfTrue="1">
      <formula>LEN(TRIM(B525))=0</formula>
    </cfRule>
    <cfRule type="cellIs" dxfId="2408" priority="1452" operator="lessThan">
      <formula>2</formula>
    </cfRule>
    <cfRule type="cellIs" dxfId="2407" priority="1453" operator="between">
      <formula>2</formula>
      <formula>4.9</formula>
    </cfRule>
    <cfRule type="cellIs" dxfId="2406" priority="1454" operator="between">
      <formula>5</formula>
      <formula>6.9</formula>
    </cfRule>
    <cfRule type="cellIs" dxfId="2405" priority="1455" operator="between">
      <formula>10.1</formula>
      <formula>10.6</formula>
    </cfRule>
    <cfRule type="cellIs" dxfId="2404" priority="1456" operator="between">
      <formula>7</formula>
      <formula>7.9</formula>
    </cfRule>
    <cfRule type="cellIs" dxfId="2403" priority="1457" stopIfTrue="1" operator="between">
      <formula>8</formula>
      <formula>8.9</formula>
    </cfRule>
    <cfRule type="cellIs" dxfId="2402" priority="1458" operator="between">
      <formula>9</formula>
      <formula>9.9</formula>
    </cfRule>
    <cfRule type="cellIs" dxfId="2401" priority="1459" stopIfTrue="1" operator="between">
      <formula>10</formula>
      <formula>10</formula>
    </cfRule>
  </conditionalFormatting>
  <conditionalFormatting sqref="B543">
    <cfRule type="colorScale" priority="13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73">
      <colorScale>
        <cfvo type="num" val="5"/>
        <cfvo type="num" val="10"/>
        <color rgb="FFFF494D"/>
        <color rgb="FF00FF66"/>
      </colorScale>
    </cfRule>
  </conditionalFormatting>
  <conditionalFormatting sqref="B544:B553">
    <cfRule type="containsBlanks" dxfId="2400" priority="1374" stopIfTrue="1">
      <formula>LEN(TRIM(B544))=0</formula>
    </cfRule>
    <cfRule type="cellIs" dxfId="2399" priority="1375" operator="lessThan">
      <formula>2</formula>
    </cfRule>
    <cfRule type="cellIs" dxfId="2398" priority="1376" operator="between">
      <formula>2</formula>
      <formula>4.9</formula>
    </cfRule>
    <cfRule type="cellIs" dxfId="2397" priority="1377" operator="between">
      <formula>5</formula>
      <formula>6.9</formula>
    </cfRule>
    <cfRule type="cellIs" dxfId="2396" priority="1378" operator="between">
      <formula>10.1</formula>
      <formula>10.6</formula>
    </cfRule>
    <cfRule type="cellIs" dxfId="2395" priority="1379" operator="between">
      <formula>7</formula>
      <formula>7.9</formula>
    </cfRule>
    <cfRule type="cellIs" dxfId="2394" priority="1380" stopIfTrue="1" operator="between">
      <formula>8</formula>
      <formula>8.9</formula>
    </cfRule>
    <cfRule type="cellIs" dxfId="2393" priority="1381" operator="between">
      <formula>9</formula>
      <formula>9.9</formula>
    </cfRule>
    <cfRule type="cellIs" dxfId="2392" priority="1382" stopIfTrue="1" operator="between">
      <formula>10</formula>
      <formula>10</formula>
    </cfRule>
  </conditionalFormatting>
  <conditionalFormatting sqref="B555">
    <cfRule type="colorScale" priority="131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18">
      <colorScale>
        <cfvo type="num" val="5"/>
        <cfvo type="num" val="10"/>
        <color rgb="FFFF494D"/>
        <color rgb="FF00FF66"/>
      </colorScale>
    </cfRule>
  </conditionalFormatting>
  <conditionalFormatting sqref="B556:B559">
    <cfRule type="containsBlanks" dxfId="2391" priority="1319" stopIfTrue="1">
      <formula>LEN(TRIM(B556))=0</formula>
    </cfRule>
    <cfRule type="cellIs" dxfId="2390" priority="1320" operator="lessThan">
      <formula>2</formula>
    </cfRule>
    <cfRule type="cellIs" dxfId="2389" priority="1321" operator="between">
      <formula>2</formula>
      <formula>4.9</formula>
    </cfRule>
    <cfRule type="cellIs" dxfId="2388" priority="1322" operator="between">
      <formula>5</formula>
      <formula>6.9</formula>
    </cfRule>
    <cfRule type="cellIs" dxfId="2387" priority="1323" operator="between">
      <formula>10.1</formula>
      <formula>10.6</formula>
    </cfRule>
    <cfRule type="cellIs" dxfId="2386" priority="1324" operator="between">
      <formula>7</formula>
      <formula>7.9</formula>
    </cfRule>
    <cfRule type="cellIs" dxfId="2385" priority="1325" stopIfTrue="1" operator="between">
      <formula>8</formula>
      <formula>8.9</formula>
    </cfRule>
    <cfRule type="cellIs" dxfId="2384" priority="1326" operator="between">
      <formula>9</formula>
      <formula>9.9</formula>
    </cfRule>
    <cfRule type="cellIs" dxfId="2383" priority="1327" stopIfTrue="1" operator="between">
      <formula>10</formula>
      <formula>10</formula>
    </cfRule>
  </conditionalFormatting>
  <conditionalFormatting sqref="B561">
    <cfRule type="colorScale" priority="13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05">
      <colorScale>
        <cfvo type="num" val="5"/>
        <cfvo type="num" val="10"/>
        <color rgb="FFFF494D"/>
        <color rgb="FF00FF66"/>
      </colorScale>
    </cfRule>
  </conditionalFormatting>
  <conditionalFormatting sqref="B562:B587">
    <cfRule type="containsBlanks" dxfId="2382" priority="1295" stopIfTrue="1">
      <formula>LEN(TRIM(B562))=0</formula>
    </cfRule>
    <cfRule type="cellIs" dxfId="2381" priority="1296" operator="lessThan">
      <formula>2</formula>
    </cfRule>
    <cfRule type="cellIs" dxfId="2380" priority="1297" operator="between">
      <formula>2</formula>
      <formula>4.9</formula>
    </cfRule>
    <cfRule type="cellIs" dxfId="2379" priority="1298" operator="between">
      <formula>5</formula>
      <formula>6.9</formula>
    </cfRule>
    <cfRule type="cellIs" dxfId="2378" priority="1299" operator="between">
      <formula>10.1</formula>
      <formula>10.6</formula>
    </cfRule>
    <cfRule type="cellIs" dxfId="2377" priority="1300" operator="between">
      <formula>7</formula>
      <formula>7.9</formula>
    </cfRule>
    <cfRule type="cellIs" dxfId="2376" priority="1301" stopIfTrue="1" operator="between">
      <formula>8</formula>
      <formula>8.9</formula>
    </cfRule>
    <cfRule type="cellIs" dxfId="2375" priority="1302" operator="between">
      <formula>9</formula>
      <formula>9.9</formula>
    </cfRule>
    <cfRule type="cellIs" dxfId="2374" priority="1303" stopIfTrue="1" operator="between">
      <formula>10</formula>
      <formula>10</formula>
    </cfRule>
  </conditionalFormatting>
  <conditionalFormatting sqref="B589">
    <cfRule type="colorScale" priority="11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86">
      <colorScale>
        <cfvo type="num" val="5"/>
        <cfvo type="num" val="10"/>
        <color rgb="FFFF494D"/>
        <color rgb="FF00FF66"/>
      </colorScale>
    </cfRule>
  </conditionalFormatting>
  <conditionalFormatting sqref="B590:B599">
    <cfRule type="containsBlanks" dxfId="2373" priority="1187" stopIfTrue="1">
      <formula>LEN(TRIM(B590))=0</formula>
    </cfRule>
    <cfRule type="cellIs" dxfId="2372" priority="1188" operator="lessThan">
      <formula>2</formula>
    </cfRule>
    <cfRule type="cellIs" dxfId="2371" priority="1189" operator="between">
      <formula>2</formula>
      <formula>4.9</formula>
    </cfRule>
    <cfRule type="cellIs" dxfId="2370" priority="1190" operator="between">
      <formula>5</formula>
      <formula>6.9</formula>
    </cfRule>
    <cfRule type="cellIs" dxfId="2369" priority="1191" operator="between">
      <formula>10.1</formula>
      <formula>10.6</formula>
    </cfRule>
    <cfRule type="cellIs" dxfId="2368" priority="1192" operator="between">
      <formula>7</formula>
      <formula>7.9</formula>
    </cfRule>
    <cfRule type="cellIs" dxfId="2367" priority="1193" stopIfTrue="1" operator="between">
      <formula>8</formula>
      <formula>8.9</formula>
    </cfRule>
    <cfRule type="cellIs" dxfId="2366" priority="1194" operator="between">
      <formula>9</formula>
      <formula>9.9</formula>
    </cfRule>
    <cfRule type="cellIs" dxfId="2365" priority="1195" stopIfTrue="1" operator="between">
      <formula>10</formula>
      <formula>10</formula>
    </cfRule>
  </conditionalFormatting>
  <conditionalFormatting sqref="B601">
    <cfRule type="colorScale" priority="112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29">
      <colorScale>
        <cfvo type="num" val="5"/>
        <cfvo type="num" val="10"/>
        <color rgb="FFFF494D"/>
        <color rgb="FF00FF66"/>
      </colorScale>
    </cfRule>
  </conditionalFormatting>
  <conditionalFormatting sqref="B602:B611">
    <cfRule type="containsBlanks" dxfId="2364" priority="1119" stopIfTrue="1">
      <formula>LEN(TRIM(B602))=0</formula>
    </cfRule>
    <cfRule type="cellIs" dxfId="2363" priority="1120" operator="lessThan">
      <formula>2</formula>
    </cfRule>
    <cfRule type="cellIs" dxfId="2362" priority="1121" operator="between">
      <formula>2</formula>
      <formula>4.9</formula>
    </cfRule>
    <cfRule type="cellIs" dxfId="2361" priority="1122" operator="between">
      <formula>5</formula>
      <formula>6.9</formula>
    </cfRule>
    <cfRule type="cellIs" dxfId="2360" priority="1123" operator="between">
      <formula>10.1</formula>
      <formula>10.6</formula>
    </cfRule>
    <cfRule type="cellIs" dxfId="2359" priority="1124" operator="between">
      <formula>7</formula>
      <formula>7.9</formula>
    </cfRule>
    <cfRule type="cellIs" dxfId="2358" priority="1125" stopIfTrue="1" operator="between">
      <formula>8</formula>
      <formula>8.9</formula>
    </cfRule>
    <cfRule type="cellIs" dxfId="2357" priority="1126" operator="between">
      <formula>9</formula>
      <formula>9.9</formula>
    </cfRule>
    <cfRule type="cellIs" dxfId="2356" priority="1127" stopIfTrue="1" operator="between">
      <formula>10</formula>
      <formula>10</formula>
    </cfRule>
  </conditionalFormatting>
  <conditionalFormatting sqref="B613">
    <cfRule type="colorScale" priority="107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76">
      <colorScale>
        <cfvo type="num" val="5"/>
        <cfvo type="num" val="10"/>
        <color rgb="FFFF494D"/>
        <color rgb="FF00FF66"/>
      </colorScale>
    </cfRule>
  </conditionalFormatting>
  <conditionalFormatting sqref="B614:B628">
    <cfRule type="containsBlanks" dxfId="2355" priority="1077" stopIfTrue="1">
      <formula>LEN(TRIM(B614))=0</formula>
    </cfRule>
    <cfRule type="cellIs" dxfId="2354" priority="1078" operator="lessThan">
      <formula>2</formula>
    </cfRule>
    <cfRule type="cellIs" dxfId="2353" priority="1079" operator="between">
      <formula>2</formula>
      <formula>4.9</formula>
    </cfRule>
    <cfRule type="cellIs" dxfId="2352" priority="1080" operator="between">
      <formula>5</formula>
      <formula>6.9</formula>
    </cfRule>
    <cfRule type="cellIs" dxfId="2351" priority="1081" operator="between">
      <formula>10.1</formula>
      <formula>10.6</formula>
    </cfRule>
    <cfRule type="cellIs" dxfId="2350" priority="1082" operator="between">
      <formula>7</formula>
      <formula>7.9</formula>
    </cfRule>
    <cfRule type="cellIs" dxfId="2349" priority="1083" stopIfTrue="1" operator="between">
      <formula>8</formula>
      <formula>8.9</formula>
    </cfRule>
    <cfRule type="cellIs" dxfId="2348" priority="1084" operator="between">
      <formula>9</formula>
      <formula>9.9</formula>
    </cfRule>
    <cfRule type="cellIs" dxfId="2347" priority="1085" stopIfTrue="1" operator="between">
      <formula>10</formula>
      <formula>10</formula>
    </cfRule>
  </conditionalFormatting>
  <conditionalFormatting sqref="B630">
    <cfRule type="colorScale" priority="10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30">
      <colorScale>
        <cfvo type="num" val="5"/>
        <cfvo type="num" val="10"/>
        <color rgb="FFFF494D"/>
        <color rgb="FF00FF66"/>
      </colorScale>
    </cfRule>
  </conditionalFormatting>
  <conditionalFormatting sqref="B631:B632">
    <cfRule type="containsBlanks" dxfId="2346" priority="1020" stopIfTrue="1">
      <formula>LEN(TRIM(B631))=0</formula>
    </cfRule>
    <cfRule type="cellIs" dxfId="2345" priority="1021" operator="lessThan">
      <formula>2</formula>
    </cfRule>
    <cfRule type="cellIs" dxfId="2344" priority="1022" operator="between">
      <formula>2</formula>
      <formula>4.9</formula>
    </cfRule>
    <cfRule type="cellIs" dxfId="2343" priority="1023" operator="between">
      <formula>5</formula>
      <formula>6.9</formula>
    </cfRule>
    <cfRule type="cellIs" dxfId="2342" priority="1024" operator="between">
      <formula>10.1</formula>
      <formula>10.6</formula>
    </cfRule>
    <cfRule type="cellIs" dxfId="2341" priority="1025" operator="between">
      <formula>7</formula>
      <formula>7.9</formula>
    </cfRule>
    <cfRule type="cellIs" dxfId="2340" priority="1026" stopIfTrue="1" operator="between">
      <formula>8</formula>
      <formula>8.9</formula>
    </cfRule>
    <cfRule type="cellIs" dxfId="2339" priority="1027" operator="between">
      <formula>9</formula>
      <formula>9.9</formula>
    </cfRule>
    <cfRule type="cellIs" dxfId="2338" priority="1028" stopIfTrue="1" operator="between">
      <formula>10</formula>
      <formula>10</formula>
    </cfRule>
  </conditionalFormatting>
  <conditionalFormatting sqref="B634">
    <cfRule type="colorScale" priority="100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10">
      <colorScale>
        <cfvo type="num" val="5"/>
        <cfvo type="num" val="10"/>
        <color rgb="FFFF494D"/>
        <color rgb="FF00FF66"/>
      </colorScale>
    </cfRule>
  </conditionalFormatting>
  <conditionalFormatting sqref="B635:B647">
    <cfRule type="containsBlanks" dxfId="2337" priority="1011" stopIfTrue="1">
      <formula>LEN(TRIM(B635))=0</formula>
    </cfRule>
    <cfRule type="cellIs" dxfId="2336" priority="1012" operator="lessThan">
      <formula>2</formula>
    </cfRule>
    <cfRule type="cellIs" dxfId="2335" priority="1013" operator="between">
      <formula>2</formula>
      <formula>4.9</formula>
    </cfRule>
    <cfRule type="cellIs" dxfId="2334" priority="1014" operator="between">
      <formula>5</formula>
      <formula>6.9</formula>
    </cfRule>
    <cfRule type="cellIs" dxfId="2333" priority="1015" operator="between">
      <formula>10.1</formula>
      <formula>10.6</formula>
    </cfRule>
    <cfRule type="cellIs" dxfId="2332" priority="1016" operator="between">
      <formula>7</formula>
      <formula>7.9</formula>
    </cfRule>
    <cfRule type="cellIs" dxfId="2331" priority="1017" stopIfTrue="1" operator="between">
      <formula>8</formula>
      <formula>8.9</formula>
    </cfRule>
    <cfRule type="cellIs" dxfId="2330" priority="1018" operator="between">
      <formula>9</formula>
      <formula>9.9</formula>
    </cfRule>
    <cfRule type="cellIs" dxfId="2329" priority="1019" stopIfTrue="1" operator="between">
      <formula>10</formula>
      <formula>10</formula>
    </cfRule>
  </conditionalFormatting>
  <conditionalFormatting sqref="B649">
    <cfRule type="colorScale" priority="9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33">
      <colorScale>
        <cfvo type="num" val="5"/>
        <cfvo type="num" val="10"/>
        <color rgb="FFFF494D"/>
        <color rgb="FF00FF66"/>
      </colorScale>
    </cfRule>
  </conditionalFormatting>
  <conditionalFormatting sqref="B650:B661">
    <cfRule type="containsBlanks" dxfId="2328" priority="934" stopIfTrue="1">
      <formula>LEN(TRIM(B650))=0</formula>
    </cfRule>
    <cfRule type="cellIs" dxfId="2327" priority="935" operator="lessThan">
      <formula>2</formula>
    </cfRule>
    <cfRule type="cellIs" dxfId="2326" priority="936" operator="between">
      <formula>2</formula>
      <formula>4.9</formula>
    </cfRule>
    <cfRule type="cellIs" dxfId="2325" priority="937" operator="between">
      <formula>5</formula>
      <formula>6.9</formula>
    </cfRule>
    <cfRule type="cellIs" dxfId="2324" priority="938" operator="between">
      <formula>10.1</formula>
      <formula>10.6</formula>
    </cfRule>
    <cfRule type="cellIs" dxfId="2323" priority="939" operator="between">
      <formula>7</formula>
      <formula>7.9</formula>
    </cfRule>
    <cfRule type="cellIs" dxfId="2322" priority="940" stopIfTrue="1" operator="between">
      <formula>8</formula>
      <formula>8.9</formula>
    </cfRule>
    <cfRule type="cellIs" dxfId="2321" priority="941" operator="between">
      <formula>9</formula>
      <formula>9.9</formula>
    </cfRule>
    <cfRule type="cellIs" dxfId="2320" priority="942" stopIfTrue="1" operator="between">
      <formula>10</formula>
      <formula>10</formula>
    </cfRule>
  </conditionalFormatting>
  <conditionalFormatting sqref="B663">
    <cfRule type="colorScale" priority="85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56">
      <colorScale>
        <cfvo type="num" val="5"/>
        <cfvo type="num" val="10"/>
        <color rgb="FFFF494D"/>
        <color rgb="FF00FF66"/>
      </colorScale>
    </cfRule>
  </conditionalFormatting>
  <conditionalFormatting sqref="B664:B671">
    <cfRule type="containsBlanks" dxfId="2319" priority="857" stopIfTrue="1">
      <formula>LEN(TRIM(B664))=0</formula>
    </cfRule>
    <cfRule type="cellIs" dxfId="2318" priority="858" operator="lessThan">
      <formula>2</formula>
    </cfRule>
    <cfRule type="cellIs" dxfId="2317" priority="859" operator="between">
      <formula>2</formula>
      <formula>4.9</formula>
    </cfRule>
    <cfRule type="cellIs" dxfId="2316" priority="860" operator="between">
      <formula>5</formula>
      <formula>6.9</formula>
    </cfRule>
    <cfRule type="cellIs" dxfId="2315" priority="861" operator="between">
      <formula>10.1</formula>
      <formula>10.6</formula>
    </cfRule>
    <cfRule type="cellIs" dxfId="2314" priority="862" operator="between">
      <formula>7</formula>
      <formula>7.9</formula>
    </cfRule>
    <cfRule type="cellIs" dxfId="2313" priority="863" stopIfTrue="1" operator="between">
      <formula>8</formula>
      <formula>8.9</formula>
    </cfRule>
    <cfRule type="cellIs" dxfId="2312" priority="864" operator="between">
      <formula>9</formula>
      <formula>9.9</formula>
    </cfRule>
    <cfRule type="cellIs" dxfId="2311" priority="865" stopIfTrue="1" operator="between">
      <formula>10</formula>
      <formula>10</formula>
    </cfRule>
  </conditionalFormatting>
  <conditionalFormatting sqref="B673">
    <cfRule type="colorScale" priority="83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34">
      <colorScale>
        <cfvo type="num" val="5"/>
        <cfvo type="num" val="10"/>
        <color rgb="FFFF494D"/>
        <color rgb="FF00FF66"/>
      </colorScale>
    </cfRule>
  </conditionalFormatting>
  <conditionalFormatting sqref="B674:B686">
    <cfRule type="containsBlanks" dxfId="2310" priority="835" stopIfTrue="1">
      <formula>LEN(TRIM(B674))=0</formula>
    </cfRule>
    <cfRule type="cellIs" dxfId="2309" priority="836" operator="lessThan">
      <formula>2</formula>
    </cfRule>
    <cfRule type="cellIs" dxfId="2308" priority="837" operator="between">
      <formula>2</formula>
      <formula>4.9</formula>
    </cfRule>
    <cfRule type="cellIs" dxfId="2307" priority="838" operator="between">
      <formula>5</formula>
      <formula>6.9</formula>
    </cfRule>
    <cfRule type="cellIs" dxfId="2306" priority="839" operator="between">
      <formula>10.1</formula>
      <formula>10.6</formula>
    </cfRule>
    <cfRule type="cellIs" dxfId="2305" priority="840" operator="between">
      <formula>7</formula>
      <formula>7.9</formula>
    </cfRule>
    <cfRule type="cellIs" dxfId="2304" priority="841" stopIfTrue="1" operator="between">
      <formula>8</formula>
      <formula>8.9</formula>
    </cfRule>
    <cfRule type="cellIs" dxfId="2303" priority="842" operator="between">
      <formula>9</formula>
      <formula>9.9</formula>
    </cfRule>
    <cfRule type="cellIs" dxfId="2302" priority="843" stopIfTrue="1" operator="between">
      <formula>10</formula>
      <formula>10</formula>
    </cfRule>
  </conditionalFormatting>
  <conditionalFormatting sqref="B688">
    <cfRule type="colorScale" priority="7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57">
      <colorScale>
        <cfvo type="num" val="5"/>
        <cfvo type="num" val="10"/>
        <color rgb="FFFF494D"/>
        <color rgb="FF00FF66"/>
      </colorScale>
    </cfRule>
  </conditionalFormatting>
  <conditionalFormatting sqref="B689:B702">
    <cfRule type="containsBlanks" dxfId="2301" priority="758" stopIfTrue="1">
      <formula>LEN(TRIM(B689))=0</formula>
    </cfRule>
    <cfRule type="cellIs" dxfId="2300" priority="759" operator="lessThan">
      <formula>2</formula>
    </cfRule>
    <cfRule type="cellIs" dxfId="2299" priority="760" operator="between">
      <formula>2</formula>
      <formula>4.9</formula>
    </cfRule>
    <cfRule type="cellIs" dxfId="2298" priority="761" operator="between">
      <formula>5</formula>
      <formula>6.9</formula>
    </cfRule>
    <cfRule type="cellIs" dxfId="2297" priority="762" operator="between">
      <formula>10.1</formula>
      <formula>10.6</formula>
    </cfRule>
    <cfRule type="cellIs" dxfId="2296" priority="763" operator="between">
      <formula>7</formula>
      <formula>7.9</formula>
    </cfRule>
    <cfRule type="cellIs" dxfId="2295" priority="764" stopIfTrue="1" operator="between">
      <formula>8</formula>
      <formula>8.9</formula>
    </cfRule>
    <cfRule type="cellIs" dxfId="2294" priority="765" operator="between">
      <formula>9</formula>
      <formula>9.9</formula>
    </cfRule>
    <cfRule type="cellIs" dxfId="2293" priority="766" stopIfTrue="1" operator="between">
      <formula>10</formula>
      <formula>10</formula>
    </cfRule>
  </conditionalFormatting>
  <conditionalFormatting sqref="B704">
    <cfRule type="colorScale" priority="6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80">
      <colorScale>
        <cfvo type="num" val="5"/>
        <cfvo type="num" val="10"/>
        <color rgb="FFFF494D"/>
        <color rgb="FF00FF66"/>
      </colorScale>
    </cfRule>
  </conditionalFormatting>
  <conditionalFormatting sqref="B705:B715">
    <cfRule type="containsBlanks" dxfId="2292" priority="681" stopIfTrue="1">
      <formula>LEN(TRIM(B705))=0</formula>
    </cfRule>
    <cfRule type="cellIs" dxfId="2291" priority="682" operator="lessThan">
      <formula>2</formula>
    </cfRule>
    <cfRule type="cellIs" dxfId="2290" priority="683" operator="between">
      <formula>2</formula>
      <formula>4.9</formula>
    </cfRule>
    <cfRule type="cellIs" dxfId="2289" priority="684" operator="between">
      <formula>5</formula>
      <formula>6.9</formula>
    </cfRule>
    <cfRule type="cellIs" dxfId="2288" priority="685" operator="between">
      <formula>10.1</formula>
      <formula>10.6</formula>
    </cfRule>
    <cfRule type="cellIs" dxfId="2287" priority="686" operator="between">
      <formula>7</formula>
      <formula>7.9</formula>
    </cfRule>
    <cfRule type="cellIs" dxfId="2286" priority="687" stopIfTrue="1" operator="between">
      <formula>8</formula>
      <formula>8.9</formula>
    </cfRule>
    <cfRule type="cellIs" dxfId="2285" priority="688" operator="between">
      <formula>9</formula>
      <formula>9.9</formula>
    </cfRule>
    <cfRule type="cellIs" dxfId="2284" priority="689" stopIfTrue="1" operator="between">
      <formula>10</formula>
      <formula>10</formula>
    </cfRule>
  </conditionalFormatting>
  <conditionalFormatting sqref="B717">
    <cfRule type="colorScale" priority="6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14">
      <colorScale>
        <cfvo type="num" val="5"/>
        <cfvo type="num" val="10"/>
        <color rgb="FFFF494D"/>
        <color rgb="FF00FF66"/>
      </colorScale>
    </cfRule>
  </conditionalFormatting>
  <conditionalFormatting sqref="B718:B723">
    <cfRule type="containsBlanks" dxfId="2283" priority="615" stopIfTrue="1">
      <formula>LEN(TRIM(B718))=0</formula>
    </cfRule>
    <cfRule type="cellIs" dxfId="2282" priority="616" operator="lessThan">
      <formula>2</formula>
    </cfRule>
    <cfRule type="cellIs" dxfId="2281" priority="617" operator="between">
      <formula>2</formula>
      <formula>4.9</formula>
    </cfRule>
    <cfRule type="cellIs" dxfId="2280" priority="618" operator="between">
      <formula>5</formula>
      <formula>6.9</formula>
    </cfRule>
    <cfRule type="cellIs" dxfId="2279" priority="619" operator="between">
      <formula>10.1</formula>
      <formula>10.6</formula>
    </cfRule>
    <cfRule type="cellIs" dxfId="2278" priority="620" operator="between">
      <formula>7</formula>
      <formula>7.9</formula>
    </cfRule>
    <cfRule type="cellIs" dxfId="2277" priority="621" stopIfTrue="1" operator="between">
      <formula>8</formula>
      <formula>8.9</formula>
    </cfRule>
    <cfRule type="cellIs" dxfId="2276" priority="622" operator="between">
      <formula>9</formula>
      <formula>9.9</formula>
    </cfRule>
    <cfRule type="cellIs" dxfId="2275" priority="623" stopIfTrue="1" operator="between">
      <formula>10</formula>
      <formula>10</formula>
    </cfRule>
  </conditionalFormatting>
  <conditionalFormatting sqref="B725">
    <cfRule type="colorScale" priority="5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81">
      <colorScale>
        <cfvo type="num" val="5"/>
        <cfvo type="num" val="10"/>
        <color rgb="FFFF494D"/>
        <color rgb="FF00FF66"/>
      </colorScale>
    </cfRule>
  </conditionalFormatting>
  <conditionalFormatting sqref="B726:B733">
    <cfRule type="containsBlanks" dxfId="2274" priority="582" stopIfTrue="1">
      <formula>LEN(TRIM(B726))=0</formula>
    </cfRule>
    <cfRule type="cellIs" dxfId="2273" priority="583" operator="lessThan">
      <formula>2</formula>
    </cfRule>
    <cfRule type="cellIs" dxfId="2272" priority="584" operator="between">
      <formula>2</formula>
      <formula>4.9</formula>
    </cfRule>
    <cfRule type="cellIs" dxfId="2271" priority="585" operator="between">
      <formula>5</formula>
      <formula>6.9</formula>
    </cfRule>
    <cfRule type="cellIs" dxfId="2270" priority="586" operator="between">
      <formula>10.1</formula>
      <formula>10.6</formula>
    </cfRule>
    <cfRule type="cellIs" dxfId="2269" priority="587" operator="between">
      <formula>7</formula>
      <formula>7.9</formula>
    </cfRule>
    <cfRule type="cellIs" dxfId="2268" priority="588" stopIfTrue="1" operator="between">
      <formula>8</formula>
      <formula>8.9</formula>
    </cfRule>
    <cfRule type="cellIs" dxfId="2267" priority="589" operator="between">
      <formula>9</formula>
      <formula>9.9</formula>
    </cfRule>
    <cfRule type="cellIs" dxfId="2266" priority="590" stopIfTrue="1" operator="between">
      <formula>10</formula>
      <formula>10</formula>
    </cfRule>
  </conditionalFormatting>
  <conditionalFormatting sqref="B735">
    <cfRule type="colorScale" priority="5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37">
      <colorScale>
        <cfvo type="num" val="5"/>
        <cfvo type="num" val="10"/>
        <color rgb="FFFF494D"/>
        <color rgb="FF00FF66"/>
      </colorScale>
    </cfRule>
  </conditionalFormatting>
  <conditionalFormatting sqref="B736:B745">
    <cfRule type="containsBlanks" dxfId="2265" priority="538" stopIfTrue="1">
      <formula>LEN(TRIM(B736))=0</formula>
    </cfRule>
    <cfRule type="cellIs" dxfId="2264" priority="539" operator="lessThan">
      <formula>2</formula>
    </cfRule>
    <cfRule type="cellIs" dxfId="2263" priority="540" operator="between">
      <formula>2</formula>
      <formula>4.9</formula>
    </cfRule>
    <cfRule type="cellIs" dxfId="2262" priority="541" operator="between">
      <formula>5</formula>
      <formula>6.9</formula>
    </cfRule>
    <cfRule type="cellIs" dxfId="2261" priority="542" operator="between">
      <formula>10.1</formula>
      <formula>10.6</formula>
    </cfRule>
    <cfRule type="cellIs" dxfId="2260" priority="543" operator="between">
      <formula>7</formula>
      <formula>7.9</formula>
    </cfRule>
    <cfRule type="cellIs" dxfId="2259" priority="544" stopIfTrue="1" operator="between">
      <formula>8</formula>
      <formula>8.9</formula>
    </cfRule>
    <cfRule type="cellIs" dxfId="2258" priority="545" operator="between">
      <formula>9</formula>
      <formula>9.9</formula>
    </cfRule>
    <cfRule type="cellIs" dxfId="2257" priority="546" stopIfTrue="1" operator="between">
      <formula>10</formula>
      <formula>10</formula>
    </cfRule>
  </conditionalFormatting>
  <conditionalFormatting sqref="B747">
    <cfRule type="colorScale" priority="4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82">
      <colorScale>
        <cfvo type="num" val="5"/>
        <cfvo type="num" val="10"/>
        <color rgb="FFFF494D"/>
        <color rgb="FF00FF66"/>
      </colorScale>
    </cfRule>
  </conditionalFormatting>
  <conditionalFormatting sqref="B748:B757">
    <cfRule type="containsBlanks" dxfId="2256" priority="483" stopIfTrue="1">
      <formula>LEN(TRIM(B748))=0</formula>
    </cfRule>
    <cfRule type="cellIs" dxfId="2255" priority="484" operator="lessThan">
      <formula>2</formula>
    </cfRule>
    <cfRule type="cellIs" dxfId="2254" priority="485" operator="between">
      <formula>2</formula>
      <formula>4.9</formula>
    </cfRule>
    <cfRule type="cellIs" dxfId="2253" priority="486" operator="between">
      <formula>5</formula>
      <formula>6.9</formula>
    </cfRule>
    <cfRule type="cellIs" dxfId="2252" priority="487" operator="between">
      <formula>10.1</formula>
      <formula>10.6</formula>
    </cfRule>
    <cfRule type="cellIs" dxfId="2251" priority="488" operator="between">
      <formula>7</formula>
      <formula>7.9</formula>
    </cfRule>
    <cfRule type="cellIs" dxfId="2250" priority="489" stopIfTrue="1" operator="between">
      <formula>8</formula>
      <formula>8.9</formula>
    </cfRule>
    <cfRule type="cellIs" dxfId="2249" priority="490" operator="between">
      <formula>9</formula>
      <formula>9.9</formula>
    </cfRule>
    <cfRule type="cellIs" dxfId="2248" priority="491" stopIfTrue="1" operator="between">
      <formula>10</formula>
      <formula>10</formula>
    </cfRule>
  </conditionalFormatting>
  <conditionalFormatting sqref="B759">
    <cfRule type="colorScale" priority="4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5">
      <colorScale>
        <cfvo type="num" val="5"/>
        <cfvo type="num" val="10"/>
        <color rgb="FFFF494D"/>
        <color rgb="FF00FF66"/>
      </colorScale>
    </cfRule>
  </conditionalFormatting>
  <conditionalFormatting sqref="B760:B771">
    <cfRule type="containsBlanks" dxfId="2247" priority="415" stopIfTrue="1">
      <formula>LEN(TRIM(B760))=0</formula>
    </cfRule>
    <cfRule type="cellIs" dxfId="2246" priority="416" operator="lessThan">
      <formula>2</formula>
    </cfRule>
    <cfRule type="cellIs" dxfId="2245" priority="417" operator="between">
      <formula>2</formula>
      <formula>4.9</formula>
    </cfRule>
    <cfRule type="cellIs" dxfId="2244" priority="418" operator="between">
      <formula>5</formula>
      <formula>6.9</formula>
    </cfRule>
    <cfRule type="cellIs" dxfId="2243" priority="419" operator="between">
      <formula>10.1</formula>
      <formula>10.6</formula>
    </cfRule>
    <cfRule type="cellIs" dxfId="2242" priority="420" operator="between">
      <formula>7</formula>
      <formula>7.9</formula>
    </cfRule>
    <cfRule type="cellIs" dxfId="2241" priority="421" stopIfTrue="1" operator="between">
      <formula>8</formula>
      <formula>8.9</formula>
    </cfRule>
    <cfRule type="cellIs" dxfId="2240" priority="422" operator="between">
      <formula>9</formula>
      <formula>9.9</formula>
    </cfRule>
    <cfRule type="cellIs" dxfId="2239" priority="423" stopIfTrue="1" operator="between">
      <formula>10</formula>
      <formula>10</formula>
    </cfRule>
  </conditionalFormatting>
  <conditionalFormatting sqref="B773">
    <cfRule type="colorScale" priority="3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9">
      <colorScale>
        <cfvo type="num" val="5"/>
        <cfvo type="num" val="10"/>
        <color rgb="FFFF494D"/>
        <color rgb="FF00FF66"/>
      </colorScale>
    </cfRule>
  </conditionalFormatting>
  <conditionalFormatting sqref="B774:B784">
    <cfRule type="containsBlanks" dxfId="2238" priority="340" stopIfTrue="1">
      <formula>LEN(TRIM(B774))=0</formula>
    </cfRule>
    <cfRule type="cellIs" dxfId="2237" priority="341" operator="lessThan">
      <formula>2</formula>
    </cfRule>
    <cfRule type="cellIs" dxfId="2236" priority="342" operator="between">
      <formula>2</formula>
      <formula>4.9</formula>
    </cfRule>
    <cfRule type="cellIs" dxfId="2235" priority="343" operator="between">
      <formula>5</formula>
      <formula>6.9</formula>
    </cfRule>
    <cfRule type="cellIs" dxfId="2234" priority="344" operator="between">
      <formula>10.1</formula>
      <formula>10.6</formula>
    </cfRule>
    <cfRule type="cellIs" dxfId="2233" priority="345" operator="between">
      <formula>7</formula>
      <formula>7.9</formula>
    </cfRule>
    <cfRule type="cellIs" dxfId="2232" priority="346" stopIfTrue="1" operator="between">
      <formula>8</formula>
      <formula>8.9</formula>
    </cfRule>
    <cfRule type="cellIs" dxfId="2231" priority="347" operator="between">
      <formula>9</formula>
      <formula>9.9</formula>
    </cfRule>
    <cfRule type="cellIs" dxfId="2230" priority="348" stopIfTrue="1" operator="between">
      <formula>10</formula>
      <formula>10</formula>
    </cfRule>
  </conditionalFormatting>
  <conditionalFormatting sqref="B786">
    <cfRule type="colorScale" priority="29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3">
      <colorScale>
        <cfvo type="num" val="5"/>
        <cfvo type="num" val="10"/>
        <color rgb="FFFF494D"/>
        <color rgb="FF00FF66"/>
      </colorScale>
    </cfRule>
  </conditionalFormatting>
  <conditionalFormatting sqref="B787:B793">
    <cfRule type="containsBlanks" dxfId="2229" priority="294" stopIfTrue="1">
      <formula>LEN(TRIM(B787))=0</formula>
    </cfRule>
    <cfRule type="cellIs" dxfId="2228" priority="295" operator="lessThan">
      <formula>2</formula>
    </cfRule>
    <cfRule type="cellIs" dxfId="2227" priority="296" operator="between">
      <formula>2</formula>
      <formula>4.9</formula>
    </cfRule>
    <cfRule type="cellIs" dxfId="2226" priority="297" operator="between">
      <formula>5</formula>
      <formula>6.9</formula>
    </cfRule>
    <cfRule type="cellIs" dxfId="2225" priority="298" operator="between">
      <formula>10.1</formula>
      <formula>10.6</formula>
    </cfRule>
    <cfRule type="cellIs" dxfId="2224" priority="299" operator="between">
      <formula>7</formula>
      <formula>7.9</formula>
    </cfRule>
    <cfRule type="cellIs" dxfId="2223" priority="300" stopIfTrue="1" operator="between">
      <formula>8</formula>
      <formula>8.9</formula>
    </cfRule>
    <cfRule type="cellIs" dxfId="2222" priority="301" operator="between">
      <formula>9</formula>
      <formula>9.9</formula>
    </cfRule>
    <cfRule type="cellIs" dxfId="2221" priority="302" stopIfTrue="1" operator="between">
      <formula>10</formula>
      <formula>10</formula>
    </cfRule>
  </conditionalFormatting>
  <conditionalFormatting sqref="B795">
    <cfRule type="colorScale" priority="24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9">
      <colorScale>
        <cfvo type="num" val="5"/>
        <cfvo type="num" val="10"/>
        <color rgb="FFFF494D"/>
        <color rgb="FF00FF66"/>
      </colorScale>
    </cfRule>
  </conditionalFormatting>
  <conditionalFormatting sqref="B796:B805">
    <cfRule type="containsBlanks" dxfId="2220" priority="250" stopIfTrue="1">
      <formula>LEN(TRIM(B796))=0</formula>
    </cfRule>
    <cfRule type="cellIs" dxfId="2219" priority="251" operator="lessThan">
      <formula>2</formula>
    </cfRule>
    <cfRule type="cellIs" dxfId="2218" priority="252" operator="between">
      <formula>2</formula>
      <formula>4.9</formula>
    </cfRule>
    <cfRule type="cellIs" dxfId="2217" priority="253" operator="between">
      <formula>5</formula>
      <formula>6.9</formula>
    </cfRule>
    <cfRule type="cellIs" dxfId="2216" priority="254" operator="between">
      <formula>10.1</formula>
      <formula>10.6</formula>
    </cfRule>
    <cfRule type="cellIs" dxfId="2215" priority="255" operator="between">
      <formula>7</formula>
      <formula>7.9</formula>
    </cfRule>
    <cfRule type="cellIs" dxfId="2214" priority="256" stopIfTrue="1" operator="between">
      <formula>8</formula>
      <formula>8.9</formula>
    </cfRule>
    <cfRule type="cellIs" dxfId="2213" priority="257" operator="between">
      <formula>9</formula>
      <formula>9.9</formula>
    </cfRule>
    <cfRule type="cellIs" dxfId="2212" priority="258" stopIfTrue="1" operator="between">
      <formula>10</formula>
      <formula>10</formula>
    </cfRule>
  </conditionalFormatting>
  <conditionalFormatting sqref="B807">
    <cfRule type="colorScale" priority="2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3">
      <colorScale>
        <cfvo type="num" val="5"/>
        <cfvo type="num" val="10"/>
        <color rgb="FFFF494D"/>
        <color rgb="FF00FF66"/>
      </colorScale>
    </cfRule>
  </conditionalFormatting>
  <conditionalFormatting sqref="B808:B816">
    <cfRule type="containsBlanks" dxfId="2211" priority="193" stopIfTrue="1">
      <formula>LEN(TRIM(B808))=0</formula>
    </cfRule>
    <cfRule type="cellIs" dxfId="2210" priority="194" operator="lessThan">
      <formula>2</formula>
    </cfRule>
    <cfRule type="cellIs" dxfId="2209" priority="195" operator="between">
      <formula>2</formula>
      <formula>4.9</formula>
    </cfRule>
    <cfRule type="cellIs" dxfId="2208" priority="196" operator="between">
      <formula>5</formula>
      <formula>6.9</formula>
    </cfRule>
    <cfRule type="cellIs" dxfId="2207" priority="197" operator="between">
      <formula>10.1</formula>
      <formula>10.6</formula>
    </cfRule>
    <cfRule type="cellIs" dxfId="2206" priority="198" operator="between">
      <formula>7</formula>
      <formula>7.9</formula>
    </cfRule>
    <cfRule type="cellIs" dxfId="2205" priority="199" stopIfTrue="1" operator="between">
      <formula>8</formula>
      <formula>8.9</formula>
    </cfRule>
    <cfRule type="cellIs" dxfId="2204" priority="200" operator="between">
      <formula>9</formula>
      <formula>9.9</formula>
    </cfRule>
    <cfRule type="cellIs" dxfId="2203" priority="201" stopIfTrue="1" operator="between">
      <formula>10</formula>
      <formula>10</formula>
    </cfRule>
  </conditionalFormatting>
  <conditionalFormatting sqref="B818">
    <cfRule type="colorScale" priority="1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0">
      <colorScale>
        <cfvo type="num" val="5"/>
        <cfvo type="num" val="10"/>
        <color rgb="FFFF494D"/>
        <color rgb="FF00FF66"/>
      </colorScale>
    </cfRule>
  </conditionalFormatting>
  <conditionalFormatting sqref="B819:B846">
    <cfRule type="containsBlanks" dxfId="2202" priority="151" stopIfTrue="1">
      <formula>LEN(TRIM(B819))=0</formula>
    </cfRule>
    <cfRule type="cellIs" dxfId="2201" priority="152" operator="lessThan">
      <formula>2</formula>
    </cfRule>
    <cfRule type="cellIs" dxfId="2200" priority="153" operator="between">
      <formula>2</formula>
      <formula>4.9</formula>
    </cfRule>
    <cfRule type="cellIs" dxfId="2199" priority="154" operator="between">
      <formula>5</formula>
      <formula>6.9</formula>
    </cfRule>
    <cfRule type="cellIs" dxfId="2198" priority="155" operator="between">
      <formula>10.1</formula>
      <formula>10.6</formula>
    </cfRule>
    <cfRule type="cellIs" dxfId="2197" priority="156" operator="between">
      <formula>7</formula>
      <formula>7.9</formula>
    </cfRule>
    <cfRule type="cellIs" dxfId="2196" priority="157" stopIfTrue="1" operator="between">
      <formula>8</formula>
      <formula>8.9</formula>
    </cfRule>
    <cfRule type="cellIs" dxfId="2195" priority="158" operator="between">
      <formula>9</formula>
      <formula>9.9</formula>
    </cfRule>
    <cfRule type="cellIs" dxfId="2194" priority="159" stopIfTrue="1" operator="between">
      <formula>10</formula>
      <formula>10</formula>
    </cfRule>
  </conditionalFormatting>
  <conditionalFormatting sqref="E3:E12">
    <cfRule type="cellIs" dxfId="2193" priority="3462" operator="between">
      <formula>10.1</formula>
      <formula>10.6</formula>
    </cfRule>
    <cfRule type="cellIs" dxfId="2192" priority="3463" operator="between">
      <formula>7</formula>
      <formula>7.9</formula>
    </cfRule>
    <cfRule type="cellIs" dxfId="2191" priority="3464" stopIfTrue="1" operator="between">
      <formula>8</formula>
      <formula>8.9</formula>
    </cfRule>
    <cfRule type="cellIs" dxfId="2190" priority="3465" operator="between">
      <formula>9</formula>
      <formula>9.9</formula>
    </cfRule>
    <cfRule type="cellIs" dxfId="2189" priority="3466" stopIfTrue="1" operator="between">
      <formula>10</formula>
      <formula>10</formula>
    </cfRule>
    <cfRule type="containsBlanks" dxfId="2188" priority="3467" stopIfTrue="1">
      <formula>LEN(TRIM(E3))=0</formula>
    </cfRule>
  </conditionalFormatting>
  <conditionalFormatting sqref="E15:E28">
    <cfRule type="cellIs" dxfId="2187" priority="2772" operator="between">
      <formula>7</formula>
      <formula>7.9</formula>
    </cfRule>
    <cfRule type="cellIs" dxfId="2186" priority="2773" stopIfTrue="1" operator="between">
      <formula>8</formula>
      <formula>8.9</formula>
    </cfRule>
    <cfRule type="cellIs" dxfId="2185" priority="2774" operator="between">
      <formula>9</formula>
      <formula>9.9</formula>
    </cfRule>
    <cfRule type="cellIs" dxfId="2184" priority="2775" stopIfTrue="1" operator="between">
      <formula>10</formula>
      <formula>10</formula>
    </cfRule>
    <cfRule type="containsBlanks" dxfId="2183" priority="2776" stopIfTrue="1">
      <formula>LEN(TRIM(E15))=0</formula>
    </cfRule>
  </conditionalFormatting>
  <conditionalFormatting sqref="E16">
    <cfRule type="cellIs" dxfId="2182" priority="2771" operator="between">
      <formula>10.1</formula>
      <formula>10.6</formula>
    </cfRule>
  </conditionalFormatting>
  <conditionalFormatting sqref="E31:E37">
    <cfRule type="cellIs" dxfId="2181" priority="3426" operator="between">
      <formula>10.1</formula>
      <formula>10.6</formula>
    </cfRule>
    <cfRule type="cellIs" dxfId="2180" priority="3427" operator="between">
      <formula>7</formula>
      <formula>7.9</formula>
    </cfRule>
    <cfRule type="cellIs" dxfId="2179" priority="3428" stopIfTrue="1" operator="between">
      <formula>8</formula>
      <formula>8.9</formula>
    </cfRule>
    <cfRule type="cellIs" dxfId="2178" priority="3429" operator="between">
      <formula>9</formula>
      <formula>9.9</formula>
    </cfRule>
    <cfRule type="cellIs" dxfId="2177" priority="3430" stopIfTrue="1" operator="between">
      <formula>10</formula>
      <formula>10</formula>
    </cfRule>
    <cfRule type="containsBlanks" dxfId="2176" priority="3431" stopIfTrue="1">
      <formula>LEN(TRIM(E31))=0</formula>
    </cfRule>
  </conditionalFormatting>
  <conditionalFormatting sqref="E39">
    <cfRule type="colorScale" priority="38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27">
      <colorScale>
        <cfvo type="num" val="5"/>
        <cfvo type="num" val="10"/>
        <color rgb="FFFF494D"/>
        <color rgb="FF00FF66"/>
      </colorScale>
    </cfRule>
  </conditionalFormatting>
  <conditionalFormatting sqref="E40:E52">
    <cfRule type="cellIs" dxfId="2175" priority="3538" operator="between">
      <formula>7</formula>
      <formula>7.9</formula>
    </cfRule>
    <cfRule type="cellIs" dxfId="2174" priority="3539" stopIfTrue="1" operator="between">
      <formula>8</formula>
      <formula>8.9</formula>
    </cfRule>
    <cfRule type="cellIs" dxfId="2173" priority="3540" operator="between">
      <formula>9</formula>
      <formula>9.9</formula>
    </cfRule>
    <cfRule type="cellIs" dxfId="2172" priority="3541" stopIfTrue="1" operator="between">
      <formula>10</formula>
      <formula>10</formula>
    </cfRule>
  </conditionalFormatting>
  <conditionalFormatting sqref="E54">
    <cfRule type="colorScale" priority="34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470">
      <colorScale>
        <cfvo type="num" val="5"/>
        <cfvo type="num" val="10"/>
        <color rgb="FFFF494D"/>
        <color rgb="FF00FF66"/>
      </colorScale>
    </cfRule>
  </conditionalFormatting>
  <conditionalFormatting sqref="E55:E63">
    <cfRule type="cellIs" dxfId="2171" priority="3408" operator="between">
      <formula>10.1</formula>
      <formula>10.6</formula>
    </cfRule>
    <cfRule type="cellIs" dxfId="2170" priority="3409" operator="between">
      <formula>7</formula>
      <formula>7.9</formula>
    </cfRule>
    <cfRule type="cellIs" dxfId="2169" priority="3410" stopIfTrue="1" operator="between">
      <formula>8</formula>
      <formula>8.9</formula>
    </cfRule>
    <cfRule type="cellIs" dxfId="2168" priority="3411" operator="between">
      <formula>9</formula>
      <formula>9.9</formula>
    </cfRule>
    <cfRule type="cellIs" dxfId="2167" priority="3412" stopIfTrue="1" operator="between">
      <formula>10</formula>
      <formula>10</formula>
    </cfRule>
    <cfRule type="containsBlanks" dxfId="2166" priority="3413" stopIfTrue="1">
      <formula>LEN(TRIM(E55))=0</formula>
    </cfRule>
  </conditionalFormatting>
  <conditionalFormatting sqref="E65">
    <cfRule type="colorScale" priority="333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40">
      <colorScale>
        <cfvo type="num" val="5"/>
        <cfvo type="num" val="10"/>
        <color rgb="FFFF494D"/>
        <color rgb="FF00FF66"/>
      </colorScale>
    </cfRule>
  </conditionalFormatting>
  <conditionalFormatting sqref="E66:E78">
    <cfRule type="cellIs" dxfId="2165" priority="3341" operator="between">
      <formula>10.1</formula>
      <formula>10.6</formula>
    </cfRule>
    <cfRule type="cellIs" dxfId="2164" priority="3342" operator="between">
      <formula>7</formula>
      <formula>7.9</formula>
    </cfRule>
    <cfRule type="cellIs" dxfId="2163" priority="3343" stopIfTrue="1" operator="between">
      <formula>8</formula>
      <formula>8.9</formula>
    </cfRule>
    <cfRule type="cellIs" dxfId="2162" priority="3344" operator="between">
      <formula>9</formula>
      <formula>9.9</formula>
    </cfRule>
    <cfRule type="cellIs" dxfId="2161" priority="3345" stopIfTrue="1" operator="between">
      <formula>10</formula>
      <formula>10</formula>
    </cfRule>
    <cfRule type="containsBlanks" dxfId="2160" priority="3346" stopIfTrue="1">
      <formula>LEN(TRIM(E66))=0</formula>
    </cfRule>
  </conditionalFormatting>
  <conditionalFormatting sqref="E80">
    <cfRule type="colorScale" priority="32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69">
      <colorScale>
        <cfvo type="num" val="5"/>
        <cfvo type="num" val="10"/>
        <color rgb="FFFF494D"/>
        <color rgb="FF00FF66"/>
      </colorScale>
    </cfRule>
  </conditionalFormatting>
  <conditionalFormatting sqref="E81:E99">
    <cfRule type="cellIs" dxfId="2159" priority="3262" operator="between">
      <formula>10.1</formula>
      <formula>10.6</formula>
    </cfRule>
    <cfRule type="cellIs" dxfId="2158" priority="3263" operator="between">
      <formula>7</formula>
      <formula>7.9</formula>
    </cfRule>
    <cfRule type="cellIs" dxfId="2157" priority="3264" stopIfTrue="1" operator="between">
      <formula>8</formula>
      <formula>8.9</formula>
    </cfRule>
    <cfRule type="cellIs" dxfId="2156" priority="3265" operator="between">
      <formula>9</formula>
      <formula>9.9</formula>
    </cfRule>
    <cfRule type="cellIs" dxfId="2155" priority="3266" stopIfTrue="1" operator="between">
      <formula>10</formula>
      <formula>10</formula>
    </cfRule>
    <cfRule type="containsBlanks" dxfId="2154" priority="3267" stopIfTrue="1">
      <formula>LEN(TRIM(E81))=0</formula>
    </cfRule>
  </conditionalFormatting>
  <conditionalFormatting sqref="E101">
    <cfRule type="colorScale" priority="31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83">
      <colorScale>
        <cfvo type="num" val="5"/>
        <cfvo type="num" val="10"/>
        <color rgb="FFFF494D"/>
        <color rgb="FF00FF66"/>
      </colorScale>
    </cfRule>
  </conditionalFormatting>
  <conditionalFormatting sqref="E102:E115">
    <cfRule type="cellIs" dxfId="2153" priority="3184" operator="between">
      <formula>10.1</formula>
      <formula>10.6</formula>
    </cfRule>
    <cfRule type="cellIs" dxfId="2152" priority="3185" operator="between">
      <formula>7</formula>
      <formula>7.9</formula>
    </cfRule>
    <cfRule type="cellIs" dxfId="2151" priority="3186" stopIfTrue="1" operator="between">
      <formula>8</formula>
      <formula>8.9</formula>
    </cfRule>
    <cfRule type="cellIs" dxfId="2150" priority="3187" operator="between">
      <formula>9</formula>
      <formula>9.9</formula>
    </cfRule>
    <cfRule type="cellIs" dxfId="2149" priority="3188" stopIfTrue="1" operator="between">
      <formula>10</formula>
      <formula>10</formula>
    </cfRule>
    <cfRule type="containsBlanks" dxfId="2148" priority="3189" stopIfTrue="1">
      <formula>LEN(TRIM(E102))=0</formula>
    </cfRule>
  </conditionalFormatting>
  <conditionalFormatting sqref="E117">
    <cfRule type="colorScale" priority="31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25">
      <colorScale>
        <cfvo type="num" val="5"/>
        <cfvo type="num" val="10"/>
        <color rgb="FFFF494D"/>
        <color rgb="FF00FF66"/>
      </colorScale>
    </cfRule>
  </conditionalFormatting>
  <conditionalFormatting sqref="E118:E126">
    <cfRule type="cellIs" dxfId="2147" priority="3117" operator="between">
      <formula>6</formula>
      <formula>6.9</formula>
    </cfRule>
    <cfRule type="cellIs" dxfId="2146" priority="3118" operator="between">
      <formula>10.1</formula>
      <formula>10.6</formula>
    </cfRule>
    <cfRule type="cellIs" dxfId="2145" priority="3119" operator="between">
      <formula>7</formula>
      <formula>7.9</formula>
    </cfRule>
    <cfRule type="cellIs" dxfId="2144" priority="3120" stopIfTrue="1" operator="between">
      <formula>8</formula>
      <formula>8.9</formula>
    </cfRule>
    <cfRule type="cellIs" dxfId="2143" priority="3121" operator="between">
      <formula>9</formula>
      <formula>9.9</formula>
    </cfRule>
    <cfRule type="cellIs" dxfId="2142" priority="3122" stopIfTrue="1" operator="between">
      <formula>10</formula>
      <formula>10</formula>
    </cfRule>
    <cfRule type="containsBlanks" dxfId="2141" priority="3123" stopIfTrue="1">
      <formula>LEN(TRIM(E118))=0</formula>
    </cfRule>
  </conditionalFormatting>
  <conditionalFormatting sqref="E128">
    <cfRule type="colorScale" priority="30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92">
      <colorScale>
        <cfvo type="num" val="5"/>
        <cfvo type="num" val="10"/>
        <color rgb="FFFF494D"/>
        <color rgb="FF00FF66"/>
      </colorScale>
    </cfRule>
  </conditionalFormatting>
  <conditionalFormatting sqref="E129:E144">
    <cfRule type="cellIs" dxfId="2140" priority="3084" operator="between">
      <formula>6</formula>
      <formula>6.9</formula>
    </cfRule>
    <cfRule type="cellIs" dxfId="2139" priority="3085" operator="between">
      <formula>10.1</formula>
      <formula>10.6</formula>
    </cfRule>
    <cfRule type="cellIs" dxfId="2138" priority="3086" operator="between">
      <formula>7</formula>
      <formula>7.9</formula>
    </cfRule>
    <cfRule type="cellIs" dxfId="2137" priority="3087" stopIfTrue="1" operator="between">
      <formula>8</formula>
      <formula>8.9</formula>
    </cfRule>
    <cfRule type="cellIs" dxfId="2136" priority="3088" operator="between">
      <formula>9</formula>
      <formula>9.9</formula>
    </cfRule>
    <cfRule type="cellIs" dxfId="2135" priority="3089" stopIfTrue="1" operator="between">
      <formula>10</formula>
      <formula>10</formula>
    </cfRule>
    <cfRule type="containsBlanks" dxfId="2134" priority="3090" stopIfTrue="1">
      <formula>LEN(TRIM(E129))=0</formula>
    </cfRule>
  </conditionalFormatting>
  <conditionalFormatting sqref="E146">
    <cfRule type="colorScale" priority="30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05">
      <colorScale>
        <cfvo type="num" val="5"/>
        <cfvo type="num" val="10"/>
        <color rgb="FFFF494D"/>
        <color rgb="FF00FF66"/>
      </colorScale>
    </cfRule>
  </conditionalFormatting>
  <conditionalFormatting sqref="E147:E159">
    <cfRule type="cellIs" dxfId="2133" priority="2997" operator="between">
      <formula>6</formula>
      <formula>6.9</formula>
    </cfRule>
    <cfRule type="cellIs" dxfId="2132" priority="2998" operator="between">
      <formula>10.1</formula>
      <formula>10.6</formula>
    </cfRule>
    <cfRule type="cellIs" dxfId="2131" priority="2999" operator="between">
      <formula>7</formula>
      <formula>7.9</formula>
    </cfRule>
    <cfRule type="cellIs" dxfId="2130" priority="3000" stopIfTrue="1" operator="between">
      <formula>8</formula>
      <formula>8.9</formula>
    </cfRule>
    <cfRule type="cellIs" dxfId="2129" priority="3001" operator="between">
      <formula>9</formula>
      <formula>9.9</formula>
    </cfRule>
    <cfRule type="cellIs" dxfId="2128" priority="3002" stopIfTrue="1" operator="between">
      <formula>10</formula>
      <formula>10</formula>
    </cfRule>
    <cfRule type="containsBlanks" dxfId="2127" priority="3003" stopIfTrue="1">
      <formula>LEN(TRIM(E147))=0</formula>
    </cfRule>
  </conditionalFormatting>
  <conditionalFormatting sqref="E161">
    <cfRule type="colorScale" priority="29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69">
      <colorScale>
        <cfvo type="num" val="5"/>
        <cfvo type="num" val="10"/>
        <color rgb="FFFF494D"/>
        <color rgb="FF00FF66"/>
      </colorScale>
    </cfRule>
  </conditionalFormatting>
  <conditionalFormatting sqref="E162:E170">
    <cfRule type="cellIs" dxfId="2126" priority="2961" operator="between">
      <formula>6</formula>
      <formula>6.9</formula>
    </cfRule>
    <cfRule type="cellIs" dxfId="2125" priority="2962" operator="between">
      <formula>10.1</formula>
      <formula>10.6</formula>
    </cfRule>
    <cfRule type="cellIs" dxfId="2124" priority="2963" operator="between">
      <formula>7</formula>
      <formula>7.9</formula>
    </cfRule>
    <cfRule type="cellIs" dxfId="2123" priority="2964" stopIfTrue="1" operator="between">
      <formula>8</formula>
      <formula>8.9</formula>
    </cfRule>
    <cfRule type="cellIs" dxfId="2122" priority="2965" operator="between">
      <formula>9</formula>
      <formula>9.9</formula>
    </cfRule>
    <cfRule type="cellIs" dxfId="2121" priority="2966" stopIfTrue="1" operator="between">
      <formula>10</formula>
      <formula>10</formula>
    </cfRule>
    <cfRule type="containsBlanks" dxfId="2120" priority="2967" stopIfTrue="1">
      <formula>LEN(TRIM(E162))=0</formula>
    </cfRule>
  </conditionalFormatting>
  <conditionalFormatting sqref="E172">
    <cfRule type="colorScale" priority="29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24">
      <colorScale>
        <cfvo type="num" val="5"/>
        <cfvo type="num" val="10"/>
        <color rgb="FFFF494D"/>
        <color rgb="FF00FF66"/>
      </colorScale>
    </cfRule>
  </conditionalFormatting>
  <conditionalFormatting sqref="E173:E184">
    <cfRule type="cellIs" dxfId="2119" priority="2916" operator="between">
      <formula>6</formula>
      <formula>6.9</formula>
    </cfRule>
    <cfRule type="cellIs" dxfId="2118" priority="2917" operator="between">
      <formula>10.1</formula>
      <formula>10.6</formula>
    </cfRule>
    <cfRule type="cellIs" dxfId="2117" priority="2918" operator="between">
      <formula>7</formula>
      <formula>7.9</formula>
    </cfRule>
    <cfRule type="cellIs" dxfId="2116" priority="2919" stopIfTrue="1" operator="between">
      <formula>8</formula>
      <formula>8.9</formula>
    </cfRule>
    <cfRule type="cellIs" dxfId="2115" priority="2920" operator="between">
      <formula>9</formula>
      <formula>9.9</formula>
    </cfRule>
    <cfRule type="cellIs" dxfId="2114" priority="2921" stopIfTrue="1" operator="between">
      <formula>10</formula>
      <formula>10</formula>
    </cfRule>
    <cfRule type="containsBlanks" dxfId="2113" priority="2922" stopIfTrue="1">
      <formula>LEN(TRIM(E173))=0</formula>
    </cfRule>
  </conditionalFormatting>
  <conditionalFormatting sqref="E186">
    <cfRule type="colorScale" priority="286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62">
      <colorScale>
        <cfvo type="num" val="5"/>
        <cfvo type="num" val="10"/>
        <color rgb="FFFF494D"/>
        <color rgb="FF00FF66"/>
      </colorScale>
    </cfRule>
  </conditionalFormatting>
  <conditionalFormatting sqref="E187:E199">
    <cfRule type="cellIs" dxfId="2112" priority="2854" operator="between">
      <formula>6</formula>
      <formula>6.9</formula>
    </cfRule>
    <cfRule type="cellIs" dxfId="2111" priority="2855" operator="between">
      <formula>10.1</formula>
      <formula>10.6</formula>
    </cfRule>
    <cfRule type="cellIs" dxfId="2110" priority="2856" operator="between">
      <formula>7</formula>
      <formula>7.9</formula>
    </cfRule>
    <cfRule type="cellIs" dxfId="2109" priority="2857" stopIfTrue="1" operator="between">
      <formula>8</formula>
      <formula>8.9</formula>
    </cfRule>
    <cfRule type="cellIs" dxfId="2108" priority="2858" operator="between">
      <formula>9</formula>
      <formula>9.9</formula>
    </cfRule>
    <cfRule type="cellIs" dxfId="2107" priority="2859" stopIfTrue="1" operator="between">
      <formula>10</formula>
      <formula>10</formula>
    </cfRule>
    <cfRule type="containsBlanks" dxfId="2106" priority="2860" stopIfTrue="1">
      <formula>LEN(TRIM(E187))=0</formula>
    </cfRule>
  </conditionalFormatting>
  <conditionalFormatting sqref="E201">
    <cfRule type="colorScale" priority="28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08">
      <colorScale>
        <cfvo type="num" val="5"/>
        <cfvo type="num" val="10"/>
        <color rgb="FFFF494D"/>
        <color rgb="FF00FF66"/>
      </colorScale>
    </cfRule>
  </conditionalFormatting>
  <conditionalFormatting sqref="E202:E211">
    <cfRule type="cellIs" dxfId="2105" priority="2800" operator="between">
      <formula>6</formula>
      <formula>6.9</formula>
    </cfRule>
    <cfRule type="cellIs" dxfId="2104" priority="2801" operator="between">
      <formula>10.1</formula>
      <formula>11</formula>
    </cfRule>
    <cfRule type="cellIs" dxfId="2103" priority="2802" operator="between">
      <formula>7</formula>
      <formula>7.9</formula>
    </cfRule>
    <cfRule type="cellIs" dxfId="2102" priority="2803" stopIfTrue="1" operator="between">
      <formula>8</formula>
      <formula>8.9</formula>
    </cfRule>
    <cfRule type="cellIs" dxfId="2101" priority="2804" operator="between">
      <formula>9</formula>
      <formula>9.9</formula>
    </cfRule>
    <cfRule type="cellIs" dxfId="2100" priority="2805" stopIfTrue="1" operator="between">
      <formula>10</formula>
      <formula>10</formula>
    </cfRule>
    <cfRule type="containsBlanks" dxfId="2099" priority="2806" stopIfTrue="1">
      <formula>LEN(TRIM(E202))=0</formula>
    </cfRule>
  </conditionalFormatting>
  <conditionalFormatting sqref="E213">
    <cfRule type="colorScale" priority="275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54">
      <colorScale>
        <cfvo type="num" val="5"/>
        <cfvo type="num" val="10"/>
        <color rgb="FFFF494D"/>
        <color rgb="FF00FF66"/>
      </colorScale>
    </cfRule>
  </conditionalFormatting>
  <conditionalFormatting sqref="E214:E227">
    <cfRule type="cellIs" dxfId="2098" priority="2755" operator="between">
      <formula>6</formula>
      <formula>6.9</formula>
    </cfRule>
    <cfRule type="cellIs" dxfId="2097" priority="2756" operator="between">
      <formula>10.1</formula>
      <formula>10.6</formula>
    </cfRule>
    <cfRule type="cellIs" dxfId="2096" priority="2757" operator="between">
      <formula>7</formula>
      <formula>7.9</formula>
    </cfRule>
    <cfRule type="cellIs" dxfId="2095" priority="2758" stopIfTrue="1" operator="between">
      <formula>8</formula>
      <formula>8.9</formula>
    </cfRule>
    <cfRule type="cellIs" dxfId="2094" priority="2759" operator="between">
      <formula>9</formula>
      <formula>9.9</formula>
    </cfRule>
    <cfRule type="cellIs" dxfId="2093" priority="2760" stopIfTrue="1" operator="between">
      <formula>10</formula>
      <formula>10</formula>
    </cfRule>
    <cfRule type="containsBlanks" dxfId="2092" priority="2761" stopIfTrue="1">
      <formula>LEN(TRIM(E214))=0</formula>
    </cfRule>
  </conditionalFormatting>
  <conditionalFormatting sqref="E229">
    <cfRule type="colorScale" priority="272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23">
      <colorScale>
        <cfvo type="num" val="5"/>
        <cfvo type="num" val="10"/>
        <color rgb="FFFF494D"/>
        <color rgb="FF00FF66"/>
      </colorScale>
    </cfRule>
  </conditionalFormatting>
  <conditionalFormatting sqref="E230:E235">
    <cfRule type="cellIs" dxfId="2091" priority="2715" operator="between">
      <formula>6</formula>
      <formula>6.9</formula>
    </cfRule>
    <cfRule type="cellIs" dxfId="2090" priority="2716" operator="between">
      <formula>10.1</formula>
      <formula>10.6</formula>
    </cfRule>
    <cfRule type="cellIs" dxfId="2089" priority="2717" operator="between">
      <formula>7</formula>
      <formula>7.9</formula>
    </cfRule>
    <cfRule type="cellIs" dxfId="2088" priority="2718" stopIfTrue="1" operator="between">
      <formula>8</formula>
      <formula>8.9</formula>
    </cfRule>
    <cfRule type="cellIs" dxfId="2087" priority="2719" operator="between">
      <formula>9</formula>
      <formula>9.9</formula>
    </cfRule>
    <cfRule type="cellIs" dxfId="2086" priority="2720" stopIfTrue="1" operator="between">
      <formula>10</formula>
      <formula>10</formula>
    </cfRule>
    <cfRule type="containsBlanks" dxfId="2085" priority="2721" stopIfTrue="1">
      <formula>LEN(TRIM(E230))=0</formula>
    </cfRule>
  </conditionalFormatting>
  <conditionalFormatting sqref="E237">
    <cfRule type="colorScale" priority="26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73">
      <colorScale>
        <cfvo type="num" val="5"/>
        <cfvo type="num" val="10"/>
        <color rgb="FFFF494D"/>
        <color rgb="FF00FF66"/>
      </colorScale>
    </cfRule>
  </conditionalFormatting>
  <conditionalFormatting sqref="E238:E252 E255:E264">
    <cfRule type="cellIs" dxfId="2084" priority="2674" operator="between">
      <formula>6</formula>
      <formula>6.9</formula>
    </cfRule>
    <cfRule type="cellIs" dxfId="2083" priority="2675" operator="between">
      <formula>10.1</formula>
      <formula>10.6</formula>
    </cfRule>
    <cfRule type="cellIs" dxfId="2082" priority="2676" operator="between">
      <formula>7</formula>
      <formula>7.9</formula>
    </cfRule>
    <cfRule type="cellIs" dxfId="2081" priority="2677" stopIfTrue="1" operator="between">
      <formula>8</formula>
      <formula>8.9</formula>
    </cfRule>
    <cfRule type="cellIs" dxfId="2080" priority="2678" operator="between">
      <formula>9</formula>
      <formula>9.9</formula>
    </cfRule>
    <cfRule type="cellIs" dxfId="2079" priority="2679" stopIfTrue="1" operator="between">
      <formula>10</formula>
      <formula>10</formula>
    </cfRule>
    <cfRule type="containsBlanks" dxfId="2078" priority="2680" stopIfTrue="1">
      <formula>LEN(TRIM(E238))=0</formula>
    </cfRule>
  </conditionalFormatting>
  <conditionalFormatting sqref="E254">
    <cfRule type="colorScale" priority="26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17">
      <colorScale>
        <cfvo type="num" val="5"/>
        <cfvo type="num" val="10"/>
        <color rgb="FFFF494D"/>
        <color rgb="FF00FF66"/>
      </colorScale>
    </cfRule>
  </conditionalFormatting>
  <conditionalFormatting sqref="E266">
    <cfRule type="colorScale" priority="257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79">
      <colorScale>
        <cfvo type="num" val="5"/>
        <cfvo type="num" val="10"/>
        <color rgb="FFFF494D"/>
        <color rgb="FF00FF66"/>
      </colorScale>
    </cfRule>
  </conditionalFormatting>
  <conditionalFormatting sqref="E267:E276">
    <cfRule type="cellIs" dxfId="2077" priority="2580" operator="between">
      <formula>6</formula>
      <formula>6.9</formula>
    </cfRule>
    <cfRule type="cellIs" dxfId="2076" priority="2581" operator="between">
      <formula>10.1</formula>
      <formula>10.6</formula>
    </cfRule>
    <cfRule type="cellIs" dxfId="2075" priority="2582" operator="between">
      <formula>7</formula>
      <formula>7.9</formula>
    </cfRule>
    <cfRule type="cellIs" dxfId="2074" priority="2583" stopIfTrue="1" operator="between">
      <formula>8</formula>
      <formula>8.9</formula>
    </cfRule>
    <cfRule type="cellIs" dxfId="2073" priority="2584" operator="between">
      <formula>9</formula>
      <formula>9.9</formula>
    </cfRule>
    <cfRule type="cellIs" dxfId="2072" priority="2585" stopIfTrue="1" operator="between">
      <formula>10</formula>
      <formula>10</formula>
    </cfRule>
    <cfRule type="containsBlanks" dxfId="2071" priority="2586" stopIfTrue="1">
      <formula>LEN(TRIM(E267))=0</formula>
    </cfRule>
  </conditionalFormatting>
  <conditionalFormatting sqref="E278">
    <cfRule type="colorScale" priority="25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35">
      <colorScale>
        <cfvo type="num" val="5"/>
        <cfvo type="num" val="10"/>
        <color rgb="FFFF494D"/>
        <color rgb="FF00FF66"/>
      </colorScale>
    </cfRule>
  </conditionalFormatting>
  <conditionalFormatting sqref="E279:E286">
    <cfRule type="cellIs" dxfId="2070" priority="2527" operator="between">
      <formula>6</formula>
      <formula>6.9</formula>
    </cfRule>
    <cfRule type="cellIs" dxfId="2069" priority="2528" operator="between">
      <formula>10.1</formula>
      <formula>10.6</formula>
    </cfRule>
    <cfRule type="cellIs" dxfId="2068" priority="2529" operator="between">
      <formula>7</formula>
      <formula>7.9</formula>
    </cfRule>
    <cfRule type="cellIs" dxfId="2067" priority="2530" stopIfTrue="1" operator="between">
      <formula>8</formula>
      <formula>8.9</formula>
    </cfRule>
    <cfRule type="cellIs" dxfId="2066" priority="2531" operator="between">
      <formula>9</formula>
      <formula>9.9</formula>
    </cfRule>
    <cfRule type="cellIs" dxfId="2065" priority="2532" stopIfTrue="1" operator="between">
      <formula>10</formula>
      <formula>10</formula>
    </cfRule>
    <cfRule type="containsBlanks" dxfId="2064" priority="2533" stopIfTrue="1">
      <formula>LEN(TRIM(E279))=0</formula>
    </cfRule>
  </conditionalFormatting>
  <conditionalFormatting sqref="E288">
    <cfRule type="colorScale" priority="24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87">
      <colorScale>
        <cfvo type="num" val="5"/>
        <cfvo type="num" val="10"/>
        <color rgb="FFFF494D"/>
        <color rgb="FF00FF66"/>
      </colorScale>
    </cfRule>
  </conditionalFormatting>
  <conditionalFormatting sqref="E289:E297">
    <cfRule type="cellIs" dxfId="2063" priority="2479" operator="between">
      <formula>6</formula>
      <formula>6.9</formula>
    </cfRule>
    <cfRule type="cellIs" dxfId="2062" priority="2480" operator="between">
      <formula>10.1</formula>
      <formula>10.6</formula>
    </cfRule>
    <cfRule type="cellIs" dxfId="2061" priority="2481" operator="between">
      <formula>7</formula>
      <formula>7.9</formula>
    </cfRule>
    <cfRule type="cellIs" dxfId="2060" priority="2482" stopIfTrue="1" operator="between">
      <formula>8</formula>
      <formula>8.9</formula>
    </cfRule>
    <cfRule type="cellIs" dxfId="2059" priority="2483" operator="between">
      <formula>9</formula>
      <formula>9.9</formula>
    </cfRule>
    <cfRule type="cellIs" dxfId="2058" priority="2484" stopIfTrue="1" operator="between">
      <formula>10</formula>
      <formula>10</formula>
    </cfRule>
    <cfRule type="containsBlanks" dxfId="2057" priority="2485" stopIfTrue="1">
      <formula>LEN(TRIM(E289))=0</formula>
    </cfRule>
  </conditionalFormatting>
  <conditionalFormatting sqref="E299">
    <cfRule type="colorScale" priority="24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36">
      <colorScale>
        <cfvo type="num" val="5"/>
        <cfvo type="num" val="10"/>
        <color rgb="FFFF494D"/>
        <color rgb="FF00FF66"/>
      </colorScale>
    </cfRule>
  </conditionalFormatting>
  <conditionalFormatting sqref="E300:E308">
    <cfRule type="cellIs" dxfId="2056" priority="2428" operator="between">
      <formula>6</formula>
      <formula>6.9</formula>
    </cfRule>
    <cfRule type="cellIs" dxfId="2055" priority="2429" operator="between">
      <formula>10.1</formula>
      <formula>10.6</formula>
    </cfRule>
    <cfRule type="cellIs" dxfId="2054" priority="2430" operator="between">
      <formula>7</formula>
      <formula>7.9</formula>
    </cfRule>
    <cfRule type="cellIs" dxfId="2053" priority="2431" stopIfTrue="1" operator="between">
      <formula>8</formula>
      <formula>8.9</formula>
    </cfRule>
    <cfRule type="cellIs" dxfId="2052" priority="2432" operator="between">
      <formula>9</formula>
      <formula>9.9</formula>
    </cfRule>
    <cfRule type="cellIs" dxfId="2051" priority="2433" stopIfTrue="1" operator="between">
      <formula>10</formula>
      <formula>10</formula>
    </cfRule>
    <cfRule type="containsBlanks" dxfId="2050" priority="2434" stopIfTrue="1">
      <formula>LEN(TRIM(E300))=0</formula>
    </cfRule>
  </conditionalFormatting>
  <conditionalFormatting sqref="E310">
    <cfRule type="colorScale" priority="23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85">
      <colorScale>
        <cfvo type="num" val="5"/>
        <cfvo type="num" val="10"/>
        <color rgb="FFFF494D"/>
        <color rgb="FF00FF66"/>
      </colorScale>
    </cfRule>
  </conditionalFormatting>
  <conditionalFormatting sqref="E311:E318">
    <cfRule type="containsBlanks" dxfId="2049" priority="2375" stopIfTrue="1">
      <formula>LEN(TRIM(E311))=0</formula>
    </cfRule>
    <cfRule type="cellIs" dxfId="2048" priority="2376" operator="lessThan">
      <formula>2</formula>
    </cfRule>
    <cfRule type="cellIs" dxfId="2047" priority="2377" operator="between">
      <formula>2</formula>
      <formula>4.9</formula>
    </cfRule>
    <cfRule type="cellIs" dxfId="2046" priority="2378" operator="between">
      <formula>5</formula>
      <formula>6.9</formula>
    </cfRule>
    <cfRule type="cellIs" dxfId="2045" priority="2379" operator="between">
      <formula>10.1</formula>
      <formula>10.6</formula>
    </cfRule>
    <cfRule type="cellIs" dxfId="2044" priority="2380" operator="between">
      <formula>7</formula>
      <formula>7.9</formula>
    </cfRule>
    <cfRule type="cellIs" dxfId="2043" priority="2381" stopIfTrue="1" operator="between">
      <formula>8</formula>
      <formula>8.9</formula>
    </cfRule>
    <cfRule type="cellIs" dxfId="2042" priority="2382" operator="between">
      <formula>9</formula>
      <formula>9.9</formula>
    </cfRule>
    <cfRule type="cellIs" dxfId="2041" priority="2383" stopIfTrue="1" operator="between">
      <formula>10</formula>
      <formula>10</formula>
    </cfRule>
  </conditionalFormatting>
  <conditionalFormatting sqref="E320">
    <cfRule type="colorScale" priority="23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65">
      <colorScale>
        <cfvo type="num" val="5"/>
        <cfvo type="num" val="10"/>
        <color rgb="FFFF494D"/>
        <color rgb="FF00FF66"/>
      </colorScale>
    </cfRule>
  </conditionalFormatting>
  <conditionalFormatting sqref="E321:E326">
    <cfRule type="containsBlanks" dxfId="2040" priority="2366" stopIfTrue="1">
      <formula>LEN(TRIM(E321))=0</formula>
    </cfRule>
    <cfRule type="cellIs" dxfId="2039" priority="2367" operator="lessThan">
      <formula>2</formula>
    </cfRule>
    <cfRule type="cellIs" dxfId="2038" priority="2368" operator="between">
      <formula>2</formula>
      <formula>4.9</formula>
    </cfRule>
    <cfRule type="cellIs" dxfId="2037" priority="2369" operator="between">
      <formula>5</formula>
      <formula>6.9</formula>
    </cfRule>
    <cfRule type="cellIs" dxfId="2036" priority="2370" operator="between">
      <formula>10.1</formula>
      <formula>10.6</formula>
    </cfRule>
    <cfRule type="cellIs" dxfId="2035" priority="2371" operator="between">
      <formula>7</formula>
      <formula>7.9</formula>
    </cfRule>
    <cfRule type="cellIs" dxfId="2034" priority="2372" stopIfTrue="1" operator="between">
      <formula>8</formula>
      <formula>8.9</formula>
    </cfRule>
    <cfRule type="cellIs" dxfId="2033" priority="2373" operator="between">
      <formula>9</formula>
      <formula>9.9</formula>
    </cfRule>
    <cfRule type="cellIs" dxfId="2032" priority="2374" stopIfTrue="1" operator="between">
      <formula>10</formula>
      <formula>10</formula>
    </cfRule>
  </conditionalFormatting>
  <conditionalFormatting sqref="E328">
    <cfRule type="colorScale" priority="232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21">
      <colorScale>
        <cfvo type="num" val="5"/>
        <cfvo type="num" val="10"/>
        <color rgb="FFFF494D"/>
        <color rgb="FF00FF66"/>
      </colorScale>
    </cfRule>
  </conditionalFormatting>
  <conditionalFormatting sqref="E329:E358">
    <cfRule type="containsBlanks" dxfId="2031" priority="2322" stopIfTrue="1">
      <formula>LEN(TRIM(E329))=0</formula>
    </cfRule>
    <cfRule type="cellIs" dxfId="2030" priority="2323" operator="lessThan">
      <formula>2</formula>
    </cfRule>
    <cfRule type="cellIs" dxfId="2029" priority="2324" operator="between">
      <formula>2</formula>
      <formula>4.9</formula>
    </cfRule>
    <cfRule type="cellIs" dxfId="2028" priority="2325" operator="between">
      <formula>5</formula>
      <formula>6.9</formula>
    </cfRule>
    <cfRule type="cellIs" dxfId="2027" priority="2326" operator="between">
      <formula>10.1</formula>
      <formula>10.6</formula>
    </cfRule>
    <cfRule type="cellIs" dxfId="2026" priority="2327" operator="between">
      <formula>7</formula>
      <formula>7.9</formula>
    </cfRule>
    <cfRule type="cellIs" dxfId="2025" priority="2328" stopIfTrue="1" operator="between">
      <formula>8</formula>
      <formula>8.9</formula>
    </cfRule>
    <cfRule type="cellIs" dxfId="2024" priority="2329" operator="between">
      <formula>9</formula>
      <formula>9.9</formula>
    </cfRule>
    <cfRule type="cellIs" dxfId="2023" priority="2330" stopIfTrue="1" operator="between">
      <formula>10</formula>
      <formula>10</formula>
    </cfRule>
  </conditionalFormatting>
  <conditionalFormatting sqref="E360">
    <cfRule type="colorScale" priority="21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98">
      <colorScale>
        <cfvo type="num" val="5"/>
        <cfvo type="num" val="10"/>
        <color rgb="FFFF494D"/>
        <color rgb="FF00FF66"/>
      </colorScale>
    </cfRule>
  </conditionalFormatting>
  <conditionalFormatting sqref="E361:E370">
    <cfRule type="containsBlanks" dxfId="2022" priority="2199" stopIfTrue="1">
      <formula>LEN(TRIM(E361))=0</formula>
    </cfRule>
    <cfRule type="cellIs" dxfId="2021" priority="2200" operator="lessThan">
      <formula>2</formula>
    </cfRule>
    <cfRule type="cellIs" dxfId="2020" priority="2201" operator="between">
      <formula>2</formula>
      <formula>4.9</formula>
    </cfRule>
    <cfRule type="cellIs" dxfId="2019" priority="2202" operator="between">
      <formula>5</formula>
      <formula>6.9</formula>
    </cfRule>
    <cfRule type="cellIs" dxfId="2018" priority="2203" operator="between">
      <formula>10.1</formula>
      <formula>10.6</formula>
    </cfRule>
    <cfRule type="cellIs" dxfId="2017" priority="2204" operator="between">
      <formula>7</formula>
      <formula>7.9</formula>
    </cfRule>
    <cfRule type="cellIs" dxfId="2016" priority="2205" stopIfTrue="1" operator="between">
      <formula>8</formula>
      <formula>8.9</formula>
    </cfRule>
    <cfRule type="cellIs" dxfId="2015" priority="2206" operator="between">
      <formula>9</formula>
      <formula>9.9</formula>
    </cfRule>
    <cfRule type="cellIs" dxfId="2014" priority="2207" stopIfTrue="1" operator="between">
      <formula>10</formula>
      <formula>10</formula>
    </cfRule>
  </conditionalFormatting>
  <conditionalFormatting sqref="E372">
    <cfRule type="colorScale" priority="215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52">
      <colorScale>
        <cfvo type="num" val="5"/>
        <cfvo type="num" val="10"/>
        <color rgb="FFFF494D"/>
        <color rgb="FF00FF66"/>
      </colorScale>
    </cfRule>
  </conditionalFormatting>
  <conditionalFormatting sqref="E373:E381">
    <cfRule type="containsBlanks" dxfId="2013" priority="2153" stopIfTrue="1">
      <formula>LEN(TRIM(E373))=0</formula>
    </cfRule>
    <cfRule type="cellIs" dxfId="2012" priority="2154" operator="lessThan">
      <formula>2</formula>
    </cfRule>
    <cfRule type="cellIs" dxfId="2011" priority="2155" operator="between">
      <formula>2</formula>
      <formula>4.9</formula>
    </cfRule>
    <cfRule type="cellIs" dxfId="2010" priority="2156" operator="between">
      <formula>5</formula>
      <formula>6.9</formula>
    </cfRule>
    <cfRule type="cellIs" dxfId="2009" priority="2157" operator="between">
      <formula>10.1</formula>
      <formula>10.6</formula>
    </cfRule>
    <cfRule type="cellIs" dxfId="2008" priority="2158" operator="between">
      <formula>7</formula>
      <formula>7.9</formula>
    </cfRule>
    <cfRule type="cellIs" dxfId="2007" priority="2159" stopIfTrue="1" operator="between">
      <formula>8</formula>
      <formula>8.9</formula>
    </cfRule>
    <cfRule type="cellIs" dxfId="2006" priority="2160" operator="between">
      <formula>9</formula>
      <formula>9.9</formula>
    </cfRule>
    <cfRule type="cellIs" dxfId="2005" priority="2161" stopIfTrue="1" operator="between">
      <formula>10</formula>
      <formula>10</formula>
    </cfRule>
  </conditionalFormatting>
  <conditionalFormatting sqref="E383">
    <cfRule type="colorScale" priority="20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96">
      <colorScale>
        <cfvo type="num" val="5"/>
        <cfvo type="num" val="10"/>
        <color rgb="FFFF494D"/>
        <color rgb="FF00FF66"/>
      </colorScale>
    </cfRule>
  </conditionalFormatting>
  <conditionalFormatting sqref="E384:E386">
    <cfRule type="containsBlanks" dxfId="2004" priority="2086" stopIfTrue="1">
      <formula>LEN(TRIM(E384))=0</formula>
    </cfRule>
    <cfRule type="cellIs" dxfId="2003" priority="2087" operator="lessThan">
      <formula>2</formula>
    </cfRule>
    <cfRule type="cellIs" dxfId="2002" priority="2088" operator="between">
      <formula>2</formula>
      <formula>4.9</formula>
    </cfRule>
    <cfRule type="cellIs" dxfId="2001" priority="2089" operator="between">
      <formula>5</formula>
      <formula>6.9</formula>
    </cfRule>
    <cfRule type="cellIs" dxfId="2000" priority="2090" operator="between">
      <formula>10.1</formula>
      <formula>10.6</formula>
    </cfRule>
    <cfRule type="cellIs" dxfId="1999" priority="2091" operator="between">
      <formula>7</formula>
      <formula>7.9</formula>
    </cfRule>
    <cfRule type="cellIs" dxfId="1998" priority="2092" stopIfTrue="1" operator="between">
      <formula>8</formula>
      <formula>8.9</formula>
    </cfRule>
    <cfRule type="cellIs" dxfId="1997" priority="2093" operator="between">
      <formula>9</formula>
      <formula>9.9</formula>
    </cfRule>
    <cfRule type="cellIs" dxfId="1996" priority="2094" stopIfTrue="1" operator="between">
      <formula>10</formula>
      <formula>10</formula>
    </cfRule>
  </conditionalFormatting>
  <conditionalFormatting sqref="E388">
    <cfRule type="colorScale" priority="205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54">
      <colorScale>
        <cfvo type="num" val="5"/>
        <cfvo type="num" val="10"/>
        <color rgb="FFFF494D"/>
        <color rgb="FF00FF66"/>
      </colorScale>
    </cfRule>
  </conditionalFormatting>
  <conditionalFormatting sqref="E389:E401">
    <cfRule type="containsBlanks" dxfId="1995" priority="2055" stopIfTrue="1">
      <formula>LEN(TRIM(E389))=0</formula>
    </cfRule>
    <cfRule type="cellIs" dxfId="1994" priority="2056" operator="lessThan">
      <formula>2</formula>
    </cfRule>
    <cfRule type="cellIs" dxfId="1993" priority="2057" operator="between">
      <formula>2</formula>
      <formula>4.9</formula>
    </cfRule>
    <cfRule type="cellIs" dxfId="1992" priority="2058" operator="between">
      <formula>5</formula>
      <formula>6.9</formula>
    </cfRule>
    <cfRule type="cellIs" dxfId="1991" priority="2059" operator="between">
      <formula>10.1</formula>
      <formula>10.6</formula>
    </cfRule>
    <cfRule type="cellIs" dxfId="1990" priority="2060" operator="between">
      <formula>7</formula>
      <formula>7.9</formula>
    </cfRule>
    <cfRule type="cellIs" dxfId="1989" priority="2061" stopIfTrue="1" operator="between">
      <formula>8</formula>
      <formula>8.9</formula>
    </cfRule>
    <cfRule type="cellIs" dxfId="1988" priority="2062" operator="between">
      <formula>9</formula>
      <formula>9.9</formula>
    </cfRule>
    <cfRule type="cellIs" dxfId="1987" priority="2063" stopIfTrue="1" operator="between">
      <formula>10</formula>
      <formula>10</formula>
    </cfRule>
  </conditionalFormatting>
  <conditionalFormatting sqref="E403">
    <cfRule type="colorScale" priority="19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77">
      <colorScale>
        <cfvo type="num" val="5"/>
        <cfvo type="num" val="10"/>
        <color rgb="FFFF494D"/>
        <color rgb="FF00FF66"/>
      </colorScale>
    </cfRule>
  </conditionalFormatting>
  <conditionalFormatting sqref="E404:E413">
    <cfRule type="containsBlanks" dxfId="1986" priority="1978" stopIfTrue="1">
      <formula>LEN(TRIM(E404))=0</formula>
    </cfRule>
    <cfRule type="cellIs" dxfId="1985" priority="1979" operator="lessThan">
      <formula>2</formula>
    </cfRule>
    <cfRule type="cellIs" dxfId="1984" priority="1980" operator="between">
      <formula>2</formula>
      <formula>4.9</formula>
    </cfRule>
    <cfRule type="cellIs" dxfId="1983" priority="1981" operator="between">
      <formula>5</formula>
      <formula>6.9</formula>
    </cfRule>
    <cfRule type="cellIs" dxfId="1982" priority="1982" operator="between">
      <formula>10.1</formula>
      <formula>10.6</formula>
    </cfRule>
    <cfRule type="cellIs" dxfId="1981" priority="1983" operator="between">
      <formula>7</formula>
      <formula>7.9</formula>
    </cfRule>
    <cfRule type="cellIs" dxfId="1980" priority="1984" stopIfTrue="1" operator="between">
      <formula>8</formula>
      <formula>8.9</formula>
    </cfRule>
    <cfRule type="cellIs" dxfId="1979" priority="1985" operator="between">
      <formula>9</formula>
      <formula>9.9</formula>
    </cfRule>
    <cfRule type="cellIs" dxfId="1978" priority="1986" stopIfTrue="1" operator="between">
      <formula>10</formula>
      <formula>10</formula>
    </cfRule>
  </conditionalFormatting>
  <conditionalFormatting sqref="E415">
    <cfRule type="colorScale" priority="19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41">
      <colorScale>
        <cfvo type="num" val="5"/>
        <cfvo type="num" val="10"/>
        <color rgb="FFFF494D"/>
        <color rgb="FF00FF66"/>
      </colorScale>
    </cfRule>
  </conditionalFormatting>
  <conditionalFormatting sqref="E416:E423">
    <cfRule type="containsBlanks" dxfId="1977" priority="1931" stopIfTrue="1">
      <formula>LEN(TRIM(E416))=0</formula>
    </cfRule>
    <cfRule type="cellIs" dxfId="1976" priority="1932" operator="lessThan">
      <formula>2</formula>
    </cfRule>
    <cfRule type="cellIs" dxfId="1975" priority="1933" operator="between">
      <formula>2</formula>
      <formula>4.9</formula>
    </cfRule>
    <cfRule type="cellIs" dxfId="1974" priority="1934" operator="between">
      <formula>5</formula>
      <formula>6.9</formula>
    </cfRule>
    <cfRule type="cellIs" dxfId="1973" priority="1935" operator="between">
      <formula>10.1</formula>
      <formula>10.6</formula>
    </cfRule>
    <cfRule type="cellIs" dxfId="1972" priority="1936" operator="between">
      <formula>7</formula>
      <formula>7.9</formula>
    </cfRule>
    <cfRule type="cellIs" dxfId="1971" priority="1937" stopIfTrue="1" operator="between">
      <formula>8</formula>
      <formula>8.9</formula>
    </cfRule>
    <cfRule type="cellIs" dxfId="1970" priority="1938" operator="between">
      <formula>9</formula>
      <formula>9.9</formula>
    </cfRule>
    <cfRule type="cellIs" dxfId="1969" priority="1939" stopIfTrue="1" operator="between">
      <formula>10</formula>
      <formula>10</formula>
    </cfRule>
  </conditionalFormatting>
  <conditionalFormatting sqref="E425">
    <cfRule type="colorScale" priority="186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66">
      <colorScale>
        <cfvo type="num" val="5"/>
        <cfvo type="num" val="10"/>
        <color rgb="FFFF494D"/>
        <color rgb="FF00FF66"/>
      </colorScale>
    </cfRule>
  </conditionalFormatting>
  <conditionalFormatting sqref="E426:E434">
    <cfRule type="containsBlanks" dxfId="1968" priority="1867" stopIfTrue="1">
      <formula>LEN(TRIM(E426))=0</formula>
    </cfRule>
    <cfRule type="cellIs" dxfId="1967" priority="1868" operator="lessThan">
      <formula>2</formula>
    </cfRule>
    <cfRule type="cellIs" dxfId="1966" priority="1869" operator="between">
      <formula>2</formula>
      <formula>4.9</formula>
    </cfRule>
    <cfRule type="cellIs" dxfId="1965" priority="1870" operator="between">
      <formula>5</formula>
      <formula>6.9</formula>
    </cfRule>
    <cfRule type="cellIs" dxfId="1964" priority="1871" operator="between">
      <formula>10.1</formula>
      <formula>10.6</formula>
    </cfRule>
    <cfRule type="cellIs" dxfId="1963" priority="1872" operator="between">
      <formula>7</formula>
      <formula>7.9</formula>
    </cfRule>
    <cfRule type="cellIs" dxfId="1962" priority="1873" stopIfTrue="1" operator="between">
      <formula>8</formula>
      <formula>8.9</formula>
    </cfRule>
    <cfRule type="cellIs" dxfId="1961" priority="1874" operator="between">
      <formula>9</formula>
      <formula>9.9</formula>
    </cfRule>
    <cfRule type="cellIs" dxfId="1960" priority="1875" stopIfTrue="1" operator="between">
      <formula>10</formula>
      <formula>10</formula>
    </cfRule>
  </conditionalFormatting>
  <conditionalFormatting sqref="E436">
    <cfRule type="colorScale" priority="18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11">
      <colorScale>
        <cfvo type="num" val="5"/>
        <cfvo type="num" val="10"/>
        <color rgb="FFFF494D"/>
        <color rgb="FF00FF66"/>
      </colorScale>
    </cfRule>
  </conditionalFormatting>
  <conditionalFormatting sqref="E437:E457">
    <cfRule type="containsBlanks" dxfId="1959" priority="1812" stopIfTrue="1">
      <formula>LEN(TRIM(E437))=0</formula>
    </cfRule>
    <cfRule type="cellIs" dxfId="1958" priority="1813" operator="lessThan">
      <formula>2</formula>
    </cfRule>
    <cfRule type="cellIs" dxfId="1957" priority="1814" operator="between">
      <formula>2</formula>
      <formula>4.9</formula>
    </cfRule>
    <cfRule type="cellIs" dxfId="1956" priority="1815" operator="between">
      <formula>5</formula>
      <formula>6.9</formula>
    </cfRule>
    <cfRule type="cellIs" dxfId="1955" priority="1816" operator="between">
      <formula>10.1</formula>
      <formula>10.6</formula>
    </cfRule>
    <cfRule type="cellIs" dxfId="1954" priority="1817" operator="between">
      <formula>7</formula>
      <formula>7.9</formula>
    </cfRule>
    <cfRule type="cellIs" dxfId="1953" priority="1818" stopIfTrue="1" operator="between">
      <formula>8</formula>
      <formula>8.9</formula>
    </cfRule>
    <cfRule type="cellIs" dxfId="1952" priority="1819" operator="between">
      <formula>9</formula>
      <formula>9.9</formula>
    </cfRule>
    <cfRule type="cellIs" dxfId="1951" priority="1820" stopIfTrue="1" operator="between">
      <formula>10</formula>
      <formula>10</formula>
    </cfRule>
  </conditionalFormatting>
  <conditionalFormatting sqref="E459">
    <cfRule type="colorScale" priority="17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14">
      <colorScale>
        <cfvo type="num" val="5"/>
        <cfvo type="num" val="10"/>
        <color rgb="FFFF494D"/>
        <color rgb="FF00FF66"/>
      </colorScale>
    </cfRule>
  </conditionalFormatting>
  <conditionalFormatting sqref="E460:E485">
    <cfRule type="containsBlanks" dxfId="1950" priority="1715" stopIfTrue="1">
      <formula>LEN(TRIM(E460))=0</formula>
    </cfRule>
    <cfRule type="cellIs" dxfId="1949" priority="1716" operator="lessThan">
      <formula>2</formula>
    </cfRule>
    <cfRule type="cellIs" dxfId="1948" priority="1717" operator="between">
      <formula>2</formula>
      <formula>4.9</formula>
    </cfRule>
    <cfRule type="cellIs" dxfId="1947" priority="1718" operator="between">
      <formula>5</formula>
      <formula>6.9</formula>
    </cfRule>
    <cfRule type="cellIs" dxfId="1946" priority="1719" operator="between">
      <formula>10.1</formula>
      <formula>10.6</formula>
    </cfRule>
    <cfRule type="cellIs" dxfId="1945" priority="1720" operator="between">
      <formula>7</formula>
      <formula>7.9</formula>
    </cfRule>
    <cfRule type="cellIs" dxfId="1944" priority="1721" stopIfTrue="1" operator="between">
      <formula>8</formula>
      <formula>8.9</formula>
    </cfRule>
    <cfRule type="cellIs" dxfId="1943" priority="1722" operator="between">
      <formula>9</formula>
      <formula>9.9</formula>
    </cfRule>
    <cfRule type="cellIs" dxfId="1942" priority="1723" stopIfTrue="1" operator="between">
      <formula>10</formula>
      <formula>10</formula>
    </cfRule>
  </conditionalFormatting>
  <conditionalFormatting sqref="E487">
    <cfRule type="colorScale" priority="16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24">
      <colorScale>
        <cfvo type="num" val="5"/>
        <cfvo type="num" val="10"/>
        <color rgb="FFFF494D"/>
        <color rgb="FF00FF66"/>
      </colorScale>
    </cfRule>
  </conditionalFormatting>
  <conditionalFormatting sqref="E488:E497">
    <cfRule type="containsBlanks" dxfId="1941" priority="1614" stopIfTrue="1">
      <formula>LEN(TRIM(E488))=0</formula>
    </cfRule>
    <cfRule type="cellIs" dxfId="1940" priority="1615" operator="lessThan">
      <formula>2</formula>
    </cfRule>
    <cfRule type="cellIs" dxfId="1939" priority="1616" operator="between">
      <formula>2</formula>
      <formula>4.9</formula>
    </cfRule>
    <cfRule type="cellIs" dxfId="1938" priority="1617" operator="between">
      <formula>5</formula>
      <formula>6.9</formula>
    </cfRule>
    <cfRule type="cellIs" dxfId="1937" priority="1618" operator="between">
      <formula>10.1</formula>
      <formula>10.6</formula>
    </cfRule>
    <cfRule type="cellIs" dxfId="1936" priority="1619" operator="between">
      <formula>7</formula>
      <formula>7.9</formula>
    </cfRule>
    <cfRule type="cellIs" dxfId="1935" priority="1620" stopIfTrue="1" operator="between">
      <formula>8</formula>
      <formula>8.9</formula>
    </cfRule>
    <cfRule type="cellIs" dxfId="1934" priority="1621" operator="between">
      <formula>9</formula>
      <formula>9.9</formula>
    </cfRule>
    <cfRule type="cellIs" dxfId="1933" priority="1622" stopIfTrue="1" operator="between">
      <formula>10</formula>
      <formula>10</formula>
    </cfRule>
  </conditionalFormatting>
  <conditionalFormatting sqref="E499">
    <cfRule type="colorScale" priority="157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71">
      <colorScale>
        <cfvo type="num" val="5"/>
        <cfvo type="num" val="10"/>
        <color rgb="FFFF494D"/>
        <color rgb="FF00FF66"/>
      </colorScale>
    </cfRule>
  </conditionalFormatting>
  <conditionalFormatting sqref="E500:E512">
    <cfRule type="containsBlanks" dxfId="1932" priority="1572" stopIfTrue="1">
      <formula>LEN(TRIM(E500))=0</formula>
    </cfRule>
    <cfRule type="cellIs" dxfId="1931" priority="1573" operator="lessThan">
      <formula>2</formula>
    </cfRule>
    <cfRule type="cellIs" dxfId="1930" priority="1574" operator="between">
      <formula>2</formula>
      <formula>4.9</formula>
    </cfRule>
    <cfRule type="cellIs" dxfId="1929" priority="1575" operator="between">
      <formula>5</formula>
      <formula>6.9</formula>
    </cfRule>
    <cfRule type="cellIs" dxfId="1928" priority="1576" operator="between">
      <formula>10.1</formula>
      <formula>10.6</formula>
    </cfRule>
    <cfRule type="cellIs" dxfId="1927" priority="1577" operator="between">
      <formula>7</formula>
      <formula>7.9</formula>
    </cfRule>
    <cfRule type="cellIs" dxfId="1926" priority="1578" stopIfTrue="1" operator="between">
      <formula>8</formula>
      <formula>8.9</formula>
    </cfRule>
    <cfRule type="cellIs" dxfId="1925" priority="1579" operator="between">
      <formula>9</formula>
      <formula>9.9</formula>
    </cfRule>
    <cfRule type="cellIs" dxfId="1924" priority="1580" stopIfTrue="1" operator="between">
      <formula>10</formula>
      <formula>10</formula>
    </cfRule>
  </conditionalFormatting>
  <conditionalFormatting sqref="E514">
    <cfRule type="colorScale" priority="149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94">
      <colorScale>
        <cfvo type="num" val="5"/>
        <cfvo type="num" val="10"/>
        <color rgb="FFFF494D"/>
        <color rgb="FF00FF66"/>
      </colorScale>
    </cfRule>
  </conditionalFormatting>
  <conditionalFormatting sqref="E515:E526">
    <cfRule type="containsBlanks" dxfId="1923" priority="1495" stopIfTrue="1">
      <formula>LEN(TRIM(E515))=0</formula>
    </cfRule>
    <cfRule type="cellIs" dxfId="1922" priority="1496" operator="lessThan">
      <formula>2</formula>
    </cfRule>
    <cfRule type="cellIs" dxfId="1921" priority="1497" operator="between">
      <formula>2</formula>
      <formula>4.9</formula>
    </cfRule>
    <cfRule type="cellIs" dxfId="1920" priority="1498" operator="between">
      <formula>5</formula>
      <formula>6.9</formula>
    </cfRule>
    <cfRule type="cellIs" dxfId="1919" priority="1499" operator="between">
      <formula>10.1</formula>
      <formula>10.6</formula>
    </cfRule>
    <cfRule type="cellIs" dxfId="1918" priority="1500" operator="between">
      <formula>7</formula>
      <formula>7.9</formula>
    </cfRule>
    <cfRule type="cellIs" dxfId="1917" priority="1501" stopIfTrue="1" operator="between">
      <formula>8</formula>
      <formula>8.9</formula>
    </cfRule>
    <cfRule type="cellIs" dxfId="1916" priority="1502" operator="between">
      <formula>9</formula>
      <formula>9.9</formula>
    </cfRule>
    <cfRule type="cellIs" dxfId="1915" priority="1503" stopIfTrue="1" operator="between">
      <formula>10</formula>
      <formula>10</formula>
    </cfRule>
  </conditionalFormatting>
  <conditionalFormatting sqref="E528">
    <cfRule type="colorScale" priority="14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28">
      <colorScale>
        <cfvo type="num" val="5"/>
        <cfvo type="num" val="10"/>
        <color rgb="FFFF494D"/>
        <color rgb="FF00FF66"/>
      </colorScale>
    </cfRule>
  </conditionalFormatting>
  <conditionalFormatting sqref="E529:E540">
    <cfRule type="containsBlanks" dxfId="1914" priority="1429" stopIfTrue="1">
      <formula>LEN(TRIM(E529))=0</formula>
    </cfRule>
    <cfRule type="cellIs" dxfId="1913" priority="1430" operator="lessThan">
      <formula>2</formula>
    </cfRule>
    <cfRule type="cellIs" dxfId="1912" priority="1431" operator="between">
      <formula>2</formula>
      <formula>4.9</formula>
    </cfRule>
    <cfRule type="cellIs" dxfId="1911" priority="1432" operator="between">
      <formula>5</formula>
      <formula>6.9</formula>
    </cfRule>
    <cfRule type="cellIs" dxfId="1910" priority="1433" operator="between">
      <formula>10.1</formula>
      <formula>10.6</formula>
    </cfRule>
    <cfRule type="cellIs" dxfId="1909" priority="1434" operator="between">
      <formula>7</formula>
      <formula>7.9</formula>
    </cfRule>
    <cfRule type="cellIs" dxfId="1908" priority="1435" stopIfTrue="1" operator="between">
      <formula>8</formula>
      <formula>8.9</formula>
    </cfRule>
    <cfRule type="cellIs" dxfId="1907" priority="1436" operator="between">
      <formula>9</formula>
      <formula>9.9</formula>
    </cfRule>
    <cfRule type="cellIs" dxfId="1906" priority="1437" stopIfTrue="1" operator="between">
      <formula>10</formula>
      <formula>10</formula>
    </cfRule>
  </conditionalFormatting>
  <conditionalFormatting sqref="E542">
    <cfRule type="colorScale" priority="138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84">
      <colorScale>
        <cfvo type="num" val="5"/>
        <cfvo type="num" val="10"/>
        <color rgb="FFFF494D"/>
        <color rgb="FF00FF66"/>
      </colorScale>
    </cfRule>
  </conditionalFormatting>
  <conditionalFormatting sqref="E543:E552">
    <cfRule type="containsBlanks" dxfId="1905" priority="1385" stopIfTrue="1">
      <formula>LEN(TRIM(E543))=0</formula>
    </cfRule>
    <cfRule type="cellIs" dxfId="1904" priority="1386" operator="lessThan">
      <formula>2</formula>
    </cfRule>
    <cfRule type="cellIs" dxfId="1903" priority="1387" operator="between">
      <formula>2</formula>
      <formula>4.9</formula>
    </cfRule>
    <cfRule type="cellIs" dxfId="1902" priority="1388" operator="between">
      <formula>5</formula>
      <formula>6.9</formula>
    </cfRule>
    <cfRule type="cellIs" dxfId="1901" priority="1389" operator="between">
      <formula>10.1</formula>
      <formula>10.6</formula>
    </cfRule>
    <cfRule type="cellIs" dxfId="1900" priority="1390" operator="between">
      <formula>7</formula>
      <formula>7.9</formula>
    </cfRule>
    <cfRule type="cellIs" dxfId="1899" priority="1391" stopIfTrue="1" operator="between">
      <formula>8</formula>
      <formula>8.9</formula>
    </cfRule>
    <cfRule type="cellIs" dxfId="1898" priority="1392" operator="between">
      <formula>9</formula>
      <formula>9.9</formula>
    </cfRule>
    <cfRule type="cellIs" dxfId="1897" priority="1393" stopIfTrue="1" operator="between">
      <formula>10</formula>
      <formula>10</formula>
    </cfRule>
  </conditionalFormatting>
  <conditionalFormatting sqref="E554">
    <cfRule type="colorScale" priority="13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38">
      <colorScale>
        <cfvo type="num" val="5"/>
        <cfvo type="num" val="10"/>
        <color rgb="FFFF494D"/>
        <color rgb="FF00FF66"/>
      </colorScale>
    </cfRule>
  </conditionalFormatting>
  <conditionalFormatting sqref="E555:E569">
    <cfRule type="containsBlanks" dxfId="1896" priority="1328" stopIfTrue="1">
      <formula>LEN(TRIM(E555))=0</formula>
    </cfRule>
    <cfRule type="cellIs" dxfId="1895" priority="1329" operator="lessThan">
      <formula>2</formula>
    </cfRule>
    <cfRule type="cellIs" dxfId="1894" priority="1330" operator="between">
      <formula>2</formula>
      <formula>4.9</formula>
    </cfRule>
    <cfRule type="cellIs" dxfId="1893" priority="1331" operator="between">
      <formula>5</formula>
      <formula>6.9</formula>
    </cfRule>
    <cfRule type="cellIs" dxfId="1892" priority="1332" operator="between">
      <formula>10.1</formula>
      <formula>10.6</formula>
    </cfRule>
    <cfRule type="cellIs" dxfId="1891" priority="1333" operator="between">
      <formula>7</formula>
      <formula>7.9</formula>
    </cfRule>
    <cfRule type="cellIs" dxfId="1890" priority="1334" stopIfTrue="1" operator="between">
      <formula>8</formula>
      <formula>8.9</formula>
    </cfRule>
    <cfRule type="cellIs" dxfId="1889" priority="1335" operator="between">
      <formula>9</formula>
      <formula>9.9</formula>
    </cfRule>
    <cfRule type="cellIs" dxfId="1888" priority="1336" stopIfTrue="1" operator="between">
      <formula>10</formula>
      <formula>10</formula>
    </cfRule>
  </conditionalFormatting>
  <conditionalFormatting sqref="E571">
    <cfRule type="colorScale" priority="126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63">
      <colorScale>
        <cfvo type="num" val="5"/>
        <cfvo type="num" val="10"/>
        <color rgb="FFFF494D"/>
        <color rgb="FF00FF66"/>
      </colorScale>
    </cfRule>
  </conditionalFormatting>
  <conditionalFormatting sqref="E572:E581">
    <cfRule type="containsBlanks" dxfId="1887" priority="1264" stopIfTrue="1">
      <formula>LEN(TRIM(E572))=0</formula>
    </cfRule>
    <cfRule type="cellIs" dxfId="1886" priority="1265" operator="lessThan">
      <formula>2</formula>
    </cfRule>
    <cfRule type="cellIs" dxfId="1885" priority="1266" operator="between">
      <formula>2</formula>
      <formula>4.9</formula>
    </cfRule>
    <cfRule type="cellIs" dxfId="1884" priority="1267" operator="between">
      <formula>5</formula>
      <formula>6.9</formula>
    </cfRule>
    <cfRule type="cellIs" dxfId="1883" priority="1268" operator="between">
      <formula>10.1</formula>
      <formula>10.6</formula>
    </cfRule>
    <cfRule type="cellIs" dxfId="1882" priority="1269" operator="between">
      <formula>7</formula>
      <formula>7.9</formula>
    </cfRule>
    <cfRule type="cellIs" dxfId="1881" priority="1270" stopIfTrue="1" operator="between">
      <formula>8</formula>
      <formula>8.9</formula>
    </cfRule>
    <cfRule type="cellIs" dxfId="1880" priority="1271" operator="between">
      <formula>9</formula>
      <formula>9.9</formula>
    </cfRule>
    <cfRule type="cellIs" dxfId="1879" priority="1272" stopIfTrue="1" operator="between">
      <formula>10</formula>
      <formula>10</formula>
    </cfRule>
  </conditionalFormatting>
  <conditionalFormatting sqref="E583">
    <cfRule type="colorScale" priority="12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19">
      <colorScale>
        <cfvo type="num" val="5"/>
        <cfvo type="num" val="10"/>
        <color rgb="FFFF494D"/>
        <color rgb="FF00FF66"/>
      </colorScale>
    </cfRule>
  </conditionalFormatting>
  <conditionalFormatting sqref="E584:E597">
    <cfRule type="containsBlanks" dxfId="1878" priority="1220" stopIfTrue="1">
      <formula>LEN(TRIM(E584))=0</formula>
    </cfRule>
    <cfRule type="cellIs" dxfId="1877" priority="1221" operator="lessThan">
      <formula>2</formula>
    </cfRule>
    <cfRule type="cellIs" dxfId="1876" priority="1222" operator="between">
      <formula>2</formula>
      <formula>4.9</formula>
    </cfRule>
    <cfRule type="cellIs" dxfId="1875" priority="1223" operator="between">
      <formula>5</formula>
      <formula>6.9</formula>
    </cfRule>
    <cfRule type="cellIs" dxfId="1874" priority="1224" operator="between">
      <formula>10.1</formula>
      <formula>10.6</formula>
    </cfRule>
    <cfRule type="cellIs" dxfId="1873" priority="1225" operator="between">
      <formula>7</formula>
      <formula>7.9</formula>
    </cfRule>
    <cfRule type="cellIs" dxfId="1872" priority="1226" stopIfTrue="1" operator="between">
      <formula>8</formula>
      <formula>8.9</formula>
    </cfRule>
    <cfRule type="cellIs" dxfId="1871" priority="1227" operator="between">
      <formula>9</formula>
      <formula>9.9</formula>
    </cfRule>
    <cfRule type="cellIs" dxfId="1870" priority="1228" stopIfTrue="1" operator="between">
      <formula>10</formula>
      <formula>10</formula>
    </cfRule>
  </conditionalFormatting>
  <conditionalFormatting sqref="E599">
    <cfRule type="colorScale" priority="115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51">
      <colorScale>
        <cfvo type="num" val="5"/>
        <cfvo type="num" val="10"/>
        <color rgb="FFFF494D"/>
        <color rgb="FF00FF66"/>
      </colorScale>
    </cfRule>
  </conditionalFormatting>
  <conditionalFormatting sqref="E600:E608">
    <cfRule type="containsBlanks" dxfId="1869" priority="1141" stopIfTrue="1">
      <formula>LEN(TRIM(E600))=0</formula>
    </cfRule>
    <cfRule type="cellIs" dxfId="1868" priority="1142" operator="lessThan">
      <formula>2</formula>
    </cfRule>
    <cfRule type="cellIs" dxfId="1867" priority="1143" operator="between">
      <formula>2</formula>
      <formula>4.9</formula>
    </cfRule>
    <cfRule type="cellIs" dxfId="1866" priority="1144" operator="between">
      <formula>5</formula>
      <formula>6.9</formula>
    </cfRule>
    <cfRule type="cellIs" dxfId="1865" priority="1145" operator="between">
      <formula>10.1</formula>
      <formula>10.6</formula>
    </cfRule>
    <cfRule type="cellIs" dxfId="1864" priority="1146" operator="between">
      <formula>7</formula>
      <formula>7.9</formula>
    </cfRule>
    <cfRule type="cellIs" dxfId="1863" priority="1147" stopIfTrue="1" operator="between">
      <formula>8</formula>
      <formula>8.9</formula>
    </cfRule>
    <cfRule type="cellIs" dxfId="1862" priority="1148" operator="between">
      <formula>9</formula>
      <formula>9.9</formula>
    </cfRule>
    <cfRule type="cellIs" dxfId="1861" priority="1149" stopIfTrue="1" operator="between">
      <formula>10</formula>
      <formula>10</formula>
    </cfRule>
  </conditionalFormatting>
  <conditionalFormatting sqref="E610">
    <cfRule type="colorScale" priority="10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98">
      <colorScale>
        <cfvo type="num" val="5"/>
        <cfvo type="num" val="10"/>
        <color rgb="FFFF494D"/>
        <color rgb="FF00FF66"/>
      </colorScale>
    </cfRule>
  </conditionalFormatting>
  <conditionalFormatting sqref="E611:E621">
    <cfRule type="containsBlanks" dxfId="1860" priority="1099" stopIfTrue="1">
      <formula>LEN(TRIM(E611))=0</formula>
    </cfRule>
    <cfRule type="cellIs" dxfId="1859" priority="1100" operator="lessThan">
      <formula>2</formula>
    </cfRule>
    <cfRule type="cellIs" dxfId="1858" priority="1101" operator="between">
      <formula>2</formula>
      <formula>4.9</formula>
    </cfRule>
    <cfRule type="cellIs" dxfId="1857" priority="1102" operator="between">
      <formula>5</formula>
      <formula>6.9</formula>
    </cfRule>
    <cfRule type="cellIs" dxfId="1856" priority="1103" operator="between">
      <formula>10.1</formula>
      <formula>10.6</formula>
    </cfRule>
    <cfRule type="cellIs" dxfId="1855" priority="1104" operator="between">
      <formula>7</formula>
      <formula>7.9</formula>
    </cfRule>
    <cfRule type="cellIs" dxfId="1854" priority="1105" stopIfTrue="1" operator="between">
      <formula>8</formula>
      <formula>8.9</formula>
    </cfRule>
    <cfRule type="cellIs" dxfId="1853" priority="1106" operator="between">
      <formula>9</formula>
      <formula>9.9</formula>
    </cfRule>
    <cfRule type="cellIs" dxfId="1852" priority="1107" stopIfTrue="1" operator="between">
      <formula>10</formula>
      <formula>10</formula>
    </cfRule>
  </conditionalFormatting>
  <conditionalFormatting sqref="E623">
    <cfRule type="colorScale" priority="105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54">
      <colorScale>
        <cfvo type="num" val="5"/>
        <cfvo type="num" val="10"/>
        <color rgb="FFFF494D"/>
        <color rgb="FF00FF66"/>
      </colorScale>
    </cfRule>
  </conditionalFormatting>
  <conditionalFormatting sqref="E624:E633">
    <cfRule type="containsBlanks" dxfId="1851" priority="1055" stopIfTrue="1">
      <formula>LEN(TRIM(E624))=0</formula>
    </cfRule>
    <cfRule type="cellIs" dxfId="1850" priority="1056" operator="lessThan">
      <formula>2</formula>
    </cfRule>
    <cfRule type="cellIs" dxfId="1849" priority="1057" operator="between">
      <formula>2</formula>
      <formula>4.9</formula>
    </cfRule>
    <cfRule type="cellIs" dxfId="1848" priority="1058" operator="between">
      <formula>5</formula>
      <formula>6.9</formula>
    </cfRule>
    <cfRule type="cellIs" dxfId="1847" priority="1059" operator="between">
      <formula>10.1</formula>
      <formula>10.6</formula>
    </cfRule>
    <cfRule type="cellIs" dxfId="1846" priority="1060" operator="between">
      <formula>7</formula>
      <formula>7.9</formula>
    </cfRule>
    <cfRule type="cellIs" dxfId="1845" priority="1061" stopIfTrue="1" operator="between">
      <formula>8</formula>
      <formula>8.9</formula>
    </cfRule>
    <cfRule type="cellIs" dxfId="1844" priority="1062" operator="between">
      <formula>9</formula>
      <formula>9.9</formula>
    </cfRule>
    <cfRule type="cellIs" dxfId="1843" priority="1063" stopIfTrue="1" operator="between">
      <formula>10</formula>
      <formula>10</formula>
    </cfRule>
  </conditionalFormatting>
  <conditionalFormatting sqref="E635">
    <cfRule type="colorScale" priority="9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99">
      <colorScale>
        <cfvo type="num" val="5"/>
        <cfvo type="num" val="10"/>
        <color rgb="FFFF494D"/>
        <color rgb="FF00FF66"/>
      </colorScale>
    </cfRule>
  </conditionalFormatting>
  <conditionalFormatting sqref="E636:E645">
    <cfRule type="containsBlanks" dxfId="1842" priority="1000" stopIfTrue="1">
      <formula>LEN(TRIM(E636))=0</formula>
    </cfRule>
    <cfRule type="cellIs" dxfId="1841" priority="1001" operator="lessThan">
      <formula>2</formula>
    </cfRule>
    <cfRule type="cellIs" dxfId="1840" priority="1002" operator="between">
      <formula>2</formula>
      <formula>4.9</formula>
    </cfRule>
    <cfRule type="cellIs" dxfId="1839" priority="1003" operator="between">
      <formula>5</formula>
      <formula>6.9</formula>
    </cfRule>
    <cfRule type="cellIs" dxfId="1838" priority="1004" operator="between">
      <formula>10.1</formula>
      <formula>10.6</formula>
    </cfRule>
    <cfRule type="cellIs" dxfId="1837" priority="1005" operator="between">
      <formula>7</formula>
      <formula>7.9</formula>
    </cfRule>
    <cfRule type="cellIs" dxfId="1836" priority="1006" stopIfTrue="1" operator="between">
      <formula>8</formula>
      <formula>8.9</formula>
    </cfRule>
    <cfRule type="cellIs" dxfId="1835" priority="1007" operator="between">
      <formula>9</formula>
      <formula>9.9</formula>
    </cfRule>
    <cfRule type="cellIs" dxfId="1834" priority="1008" stopIfTrue="1" operator="between">
      <formula>10</formula>
      <formula>10</formula>
    </cfRule>
  </conditionalFormatting>
  <conditionalFormatting sqref="E647">
    <cfRule type="colorScale" priority="9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44">
      <colorScale>
        <cfvo type="num" val="5"/>
        <cfvo type="num" val="10"/>
        <color rgb="FFFF494D"/>
        <color rgb="FF00FF66"/>
      </colorScale>
    </cfRule>
  </conditionalFormatting>
  <conditionalFormatting sqref="E648:E650">
    <cfRule type="containsBlanks" dxfId="1833" priority="945" stopIfTrue="1">
      <formula>LEN(TRIM(E648))=0</formula>
    </cfRule>
    <cfRule type="cellIs" dxfId="1832" priority="946" operator="lessThan">
      <formula>2</formula>
    </cfRule>
    <cfRule type="cellIs" dxfId="1831" priority="947" operator="between">
      <formula>2</formula>
      <formula>4.9</formula>
    </cfRule>
    <cfRule type="cellIs" dxfId="1830" priority="948" operator="between">
      <formula>5</formula>
      <formula>6.9</formula>
    </cfRule>
    <cfRule type="cellIs" dxfId="1829" priority="949" operator="between">
      <formula>10.1</formula>
      <formula>10.6</formula>
    </cfRule>
    <cfRule type="cellIs" dxfId="1828" priority="950" operator="between">
      <formula>7</formula>
      <formula>7.9</formula>
    </cfRule>
    <cfRule type="cellIs" dxfId="1827" priority="951" stopIfTrue="1" operator="between">
      <formula>8</formula>
      <formula>8.9</formula>
    </cfRule>
    <cfRule type="cellIs" dxfId="1826" priority="952" operator="between">
      <formula>9</formula>
      <formula>9.9</formula>
    </cfRule>
    <cfRule type="cellIs" dxfId="1825" priority="953" stopIfTrue="1" operator="between">
      <formula>10</formula>
      <formula>10</formula>
    </cfRule>
  </conditionalFormatting>
  <conditionalFormatting sqref="E652">
    <cfRule type="colorScale" priority="92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22">
      <colorScale>
        <cfvo type="num" val="5"/>
        <cfvo type="num" val="10"/>
        <color rgb="FFFF494D"/>
        <color rgb="FF00FF66"/>
      </colorScale>
    </cfRule>
  </conditionalFormatting>
  <conditionalFormatting sqref="E653:E674">
    <cfRule type="containsBlanks" dxfId="1824" priority="923" stopIfTrue="1">
      <formula>LEN(TRIM(E653))=0</formula>
    </cfRule>
    <cfRule type="cellIs" dxfId="1823" priority="924" operator="lessThan">
      <formula>2</formula>
    </cfRule>
    <cfRule type="cellIs" dxfId="1822" priority="925" operator="between">
      <formula>2</formula>
      <formula>4.9</formula>
    </cfRule>
    <cfRule type="cellIs" dxfId="1821" priority="926" operator="between">
      <formula>5</formula>
      <formula>6.9</formula>
    </cfRule>
    <cfRule type="cellIs" dxfId="1820" priority="927" operator="between">
      <formula>10.1</formula>
      <formula>10.6</formula>
    </cfRule>
    <cfRule type="cellIs" dxfId="1819" priority="928" operator="between">
      <formula>7</formula>
      <formula>7.9</formula>
    </cfRule>
    <cfRule type="cellIs" dxfId="1818" priority="929" stopIfTrue="1" operator="between">
      <formula>8</formula>
      <formula>8.9</formula>
    </cfRule>
    <cfRule type="cellIs" dxfId="1817" priority="930" operator="between">
      <formula>9</formula>
      <formula>9.9</formula>
    </cfRule>
    <cfRule type="cellIs" dxfId="1816" priority="931" stopIfTrue="1" operator="between">
      <formula>10</formula>
      <formula>10</formula>
    </cfRule>
  </conditionalFormatting>
  <conditionalFormatting sqref="E676">
    <cfRule type="colorScale" priority="82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23">
      <colorScale>
        <cfvo type="num" val="5"/>
        <cfvo type="num" val="10"/>
        <color rgb="FFFF494D"/>
        <color rgb="FF00FF66"/>
      </colorScale>
    </cfRule>
  </conditionalFormatting>
  <conditionalFormatting sqref="E677:E685">
    <cfRule type="containsBlanks" dxfId="1815" priority="824" stopIfTrue="1">
      <formula>LEN(TRIM(E677))=0</formula>
    </cfRule>
    <cfRule type="cellIs" dxfId="1814" priority="825" operator="lessThan">
      <formula>2</formula>
    </cfRule>
    <cfRule type="cellIs" dxfId="1813" priority="826" operator="between">
      <formula>2</formula>
      <formula>4.9</formula>
    </cfRule>
    <cfRule type="cellIs" dxfId="1812" priority="827" operator="between">
      <formula>5</formula>
      <formula>6.9</formula>
    </cfRule>
    <cfRule type="cellIs" dxfId="1811" priority="828" operator="between">
      <formula>10.1</formula>
      <formula>10.6</formula>
    </cfRule>
    <cfRule type="cellIs" dxfId="1810" priority="829" operator="between">
      <formula>7</formula>
      <formula>7.9</formula>
    </cfRule>
    <cfRule type="cellIs" dxfId="1809" priority="830" stopIfTrue="1" operator="between">
      <formula>8</formula>
      <formula>8.9</formula>
    </cfRule>
    <cfRule type="cellIs" dxfId="1808" priority="831" operator="between">
      <formula>9</formula>
      <formula>9.9</formula>
    </cfRule>
    <cfRule type="cellIs" dxfId="1807" priority="832" stopIfTrue="1" operator="between">
      <formula>10</formula>
      <formula>10</formula>
    </cfRule>
  </conditionalFormatting>
  <conditionalFormatting sqref="E687">
    <cfRule type="colorScale" priority="7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68">
      <colorScale>
        <cfvo type="num" val="5"/>
        <cfvo type="num" val="10"/>
        <color rgb="FFFF494D"/>
        <color rgb="FF00FF66"/>
      </colorScale>
    </cfRule>
  </conditionalFormatting>
  <conditionalFormatting sqref="E688:E699">
    <cfRule type="containsBlanks" dxfId="1806" priority="769" stopIfTrue="1">
      <formula>LEN(TRIM(E688))=0</formula>
    </cfRule>
    <cfRule type="cellIs" dxfId="1805" priority="770" operator="lessThan">
      <formula>2</formula>
    </cfRule>
    <cfRule type="cellIs" dxfId="1804" priority="771" operator="between">
      <formula>2</formula>
      <formula>4.9</formula>
    </cfRule>
    <cfRule type="cellIs" dxfId="1803" priority="772" operator="between">
      <formula>5</formula>
      <formula>6.9</formula>
    </cfRule>
    <cfRule type="cellIs" dxfId="1802" priority="773" operator="between">
      <formula>10.1</formula>
      <formula>10.6</formula>
    </cfRule>
    <cfRule type="cellIs" dxfId="1801" priority="774" operator="between">
      <formula>7</formula>
      <formula>7.9</formula>
    </cfRule>
    <cfRule type="cellIs" dxfId="1800" priority="775" stopIfTrue="1" operator="between">
      <formula>8</formula>
      <formula>8.9</formula>
    </cfRule>
    <cfRule type="cellIs" dxfId="1799" priority="776" operator="between">
      <formula>9</formula>
      <formula>9.9</formula>
    </cfRule>
    <cfRule type="cellIs" dxfId="1798" priority="777" stopIfTrue="1" operator="between">
      <formula>10</formula>
      <formula>10</formula>
    </cfRule>
  </conditionalFormatting>
  <conditionalFormatting sqref="E701">
    <cfRule type="colorScale" priority="71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13">
      <colorScale>
        <cfvo type="num" val="5"/>
        <cfvo type="num" val="10"/>
        <color rgb="FFFF494D"/>
        <color rgb="FF00FF66"/>
      </colorScale>
    </cfRule>
  </conditionalFormatting>
  <conditionalFormatting sqref="E702:E709">
    <cfRule type="containsBlanks" dxfId="1797" priority="714" stopIfTrue="1">
      <formula>LEN(TRIM(E702))=0</formula>
    </cfRule>
    <cfRule type="cellIs" dxfId="1796" priority="715" operator="lessThan">
      <formula>2</formula>
    </cfRule>
    <cfRule type="cellIs" dxfId="1795" priority="716" operator="between">
      <formula>2</formula>
      <formula>4.9</formula>
    </cfRule>
    <cfRule type="cellIs" dxfId="1794" priority="717" operator="between">
      <formula>5</formula>
      <formula>6.9</formula>
    </cfRule>
    <cfRule type="cellIs" dxfId="1793" priority="718" operator="between">
      <formula>10.1</formula>
      <formula>10.6</formula>
    </cfRule>
    <cfRule type="cellIs" dxfId="1792" priority="719" operator="between">
      <formula>7</formula>
      <formula>7.9</formula>
    </cfRule>
    <cfRule type="cellIs" dxfId="1791" priority="720" stopIfTrue="1" operator="between">
      <formula>8</formula>
      <formula>8.9</formula>
    </cfRule>
    <cfRule type="cellIs" dxfId="1790" priority="721" operator="between">
      <formula>9</formula>
      <formula>9.9</formula>
    </cfRule>
    <cfRule type="cellIs" dxfId="1789" priority="722" stopIfTrue="1" operator="between">
      <formula>10</formula>
      <formula>10</formula>
    </cfRule>
  </conditionalFormatting>
  <conditionalFormatting sqref="E711">
    <cfRule type="colorScale" priority="65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58">
      <colorScale>
        <cfvo type="num" val="5"/>
        <cfvo type="num" val="10"/>
        <color rgb="FFFF494D"/>
        <color rgb="FF00FF66"/>
      </colorScale>
    </cfRule>
  </conditionalFormatting>
  <conditionalFormatting sqref="E712:E720">
    <cfRule type="containsBlanks" dxfId="1788" priority="659" stopIfTrue="1">
      <formula>LEN(TRIM(E712))=0</formula>
    </cfRule>
    <cfRule type="cellIs" dxfId="1787" priority="660" operator="lessThan">
      <formula>2</formula>
    </cfRule>
    <cfRule type="cellIs" dxfId="1786" priority="661" operator="between">
      <formula>2</formula>
      <formula>4.9</formula>
    </cfRule>
    <cfRule type="cellIs" dxfId="1785" priority="662" operator="between">
      <formula>5</formula>
      <formula>6.9</formula>
    </cfRule>
    <cfRule type="cellIs" dxfId="1784" priority="663" operator="between">
      <formula>10.1</formula>
      <formula>10.6</formula>
    </cfRule>
    <cfRule type="cellIs" dxfId="1783" priority="664" operator="between">
      <formula>7</formula>
      <formula>7.9</formula>
    </cfRule>
    <cfRule type="cellIs" dxfId="1782" priority="665" stopIfTrue="1" operator="between">
      <formula>8</formula>
      <formula>8.9</formula>
    </cfRule>
    <cfRule type="cellIs" dxfId="1781" priority="666" operator="between">
      <formula>9</formula>
      <formula>9.9</formula>
    </cfRule>
    <cfRule type="cellIs" dxfId="1780" priority="667" stopIfTrue="1" operator="between">
      <formula>10</formula>
      <formula>10</formula>
    </cfRule>
  </conditionalFormatting>
  <conditionalFormatting sqref="E722">
    <cfRule type="colorScale" priority="6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03">
      <colorScale>
        <cfvo type="num" val="5"/>
        <cfvo type="num" val="10"/>
        <color rgb="FFFF494D"/>
        <color rgb="FF00FF66"/>
      </colorScale>
    </cfRule>
  </conditionalFormatting>
  <conditionalFormatting sqref="E738">
    <cfRule type="colorScale" priority="5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26">
      <colorScale>
        <cfvo type="num" val="5"/>
        <cfvo type="num" val="10"/>
        <color rgb="FFFF494D"/>
        <color rgb="FF00FF66"/>
      </colorScale>
    </cfRule>
  </conditionalFormatting>
  <conditionalFormatting sqref="E739:E749">
    <cfRule type="containsBlanks" dxfId="1779" priority="527" stopIfTrue="1">
      <formula>LEN(TRIM(E739))=0</formula>
    </cfRule>
    <cfRule type="cellIs" dxfId="1778" priority="528" operator="lessThan">
      <formula>2</formula>
    </cfRule>
    <cfRule type="cellIs" dxfId="1777" priority="529" operator="between">
      <formula>2</formula>
      <formula>4.9</formula>
    </cfRule>
    <cfRule type="cellIs" dxfId="1776" priority="530" operator="between">
      <formula>5</formula>
      <formula>6.9</formula>
    </cfRule>
    <cfRule type="cellIs" dxfId="1775" priority="531" operator="between">
      <formula>10.1</formula>
      <formula>10.6</formula>
    </cfRule>
    <cfRule type="cellIs" dxfId="1774" priority="532" operator="between">
      <formula>7</formula>
      <formula>7.9</formula>
    </cfRule>
    <cfRule type="cellIs" dxfId="1773" priority="533" stopIfTrue="1" operator="between">
      <formula>8</formula>
      <formula>8.9</formula>
    </cfRule>
    <cfRule type="cellIs" dxfId="1772" priority="534" operator="between">
      <formula>9</formula>
      <formula>9.9</formula>
    </cfRule>
    <cfRule type="cellIs" dxfId="1771" priority="535" stopIfTrue="1" operator="between">
      <formula>10</formula>
      <formula>10</formula>
    </cfRule>
  </conditionalFormatting>
  <conditionalFormatting sqref="E751">
    <cfRule type="colorScale" priority="4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60">
      <colorScale>
        <cfvo type="num" val="5"/>
        <cfvo type="num" val="10"/>
        <color rgb="FFFF494D"/>
        <color rgb="FF00FF66"/>
      </colorScale>
    </cfRule>
  </conditionalFormatting>
  <conditionalFormatting sqref="E752:E768">
    <cfRule type="containsBlanks" dxfId="1770" priority="461" stopIfTrue="1">
      <formula>LEN(TRIM(E752))=0</formula>
    </cfRule>
    <cfRule type="cellIs" dxfId="1769" priority="462" operator="lessThan">
      <formula>2</formula>
    </cfRule>
    <cfRule type="cellIs" dxfId="1768" priority="463" operator="between">
      <formula>2</formula>
      <formula>4.9</formula>
    </cfRule>
    <cfRule type="cellIs" dxfId="1767" priority="464" operator="between">
      <formula>5</formula>
      <formula>6.9</formula>
    </cfRule>
    <cfRule type="cellIs" dxfId="1766" priority="465" operator="between">
      <formula>10.1</formula>
      <formula>10.6</formula>
    </cfRule>
    <cfRule type="cellIs" dxfId="1765" priority="466" operator="between">
      <formula>7</formula>
      <formula>7.9</formula>
    </cfRule>
    <cfRule type="cellIs" dxfId="1764" priority="467" stopIfTrue="1" operator="between">
      <formula>8</formula>
      <formula>8.9</formula>
    </cfRule>
    <cfRule type="cellIs" dxfId="1763" priority="468" operator="between">
      <formula>9</formula>
      <formula>9.9</formula>
    </cfRule>
    <cfRule type="cellIs" dxfId="1762" priority="469" stopIfTrue="1" operator="between">
      <formula>10</formula>
      <formula>10</formula>
    </cfRule>
  </conditionalFormatting>
  <conditionalFormatting sqref="E770">
    <cfRule type="colorScale" priority="3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61">
      <colorScale>
        <cfvo type="num" val="5"/>
        <cfvo type="num" val="10"/>
        <color rgb="FFFF494D"/>
        <color rgb="FF00FF66"/>
      </colorScale>
    </cfRule>
  </conditionalFormatting>
  <conditionalFormatting sqref="E771:E778">
    <cfRule type="containsBlanks" dxfId="1761" priority="362" stopIfTrue="1">
      <formula>LEN(TRIM(E771))=0</formula>
    </cfRule>
    <cfRule type="cellIs" dxfId="1760" priority="363" operator="lessThan">
      <formula>2</formula>
    </cfRule>
    <cfRule type="cellIs" dxfId="1759" priority="364" operator="between">
      <formula>2</formula>
      <formula>4.9</formula>
    </cfRule>
    <cfRule type="cellIs" dxfId="1758" priority="365" operator="between">
      <formula>5</formula>
      <formula>6.9</formula>
    </cfRule>
    <cfRule type="cellIs" dxfId="1757" priority="366" operator="between">
      <formula>10.1</formula>
      <formula>10.6</formula>
    </cfRule>
    <cfRule type="cellIs" dxfId="1756" priority="367" operator="between">
      <formula>7</formula>
      <formula>7.9</formula>
    </cfRule>
    <cfRule type="cellIs" dxfId="1755" priority="368" stopIfTrue="1" operator="between">
      <formula>8</formula>
      <formula>8.9</formula>
    </cfRule>
    <cfRule type="cellIs" dxfId="1754" priority="369" operator="between">
      <formula>9</formula>
      <formula>9.9</formula>
    </cfRule>
    <cfRule type="cellIs" dxfId="1753" priority="370" stopIfTrue="1" operator="between">
      <formula>10</formula>
      <formula>10</formula>
    </cfRule>
  </conditionalFormatting>
  <conditionalFormatting sqref="E780">
    <cfRule type="colorScale" priority="3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7">
      <colorScale>
        <cfvo type="num" val="5"/>
        <cfvo type="num" val="10"/>
        <color rgb="FFFF494D"/>
        <color rgb="FF00FF66"/>
      </colorScale>
    </cfRule>
  </conditionalFormatting>
  <conditionalFormatting sqref="E781:E784">
    <cfRule type="containsBlanks" dxfId="1752" priority="318" stopIfTrue="1">
      <formula>LEN(TRIM(E781))=0</formula>
    </cfRule>
    <cfRule type="cellIs" dxfId="1751" priority="319" operator="lessThan">
      <formula>2</formula>
    </cfRule>
    <cfRule type="cellIs" dxfId="1750" priority="320" operator="between">
      <formula>2</formula>
      <formula>4.9</formula>
    </cfRule>
    <cfRule type="cellIs" dxfId="1749" priority="321" operator="between">
      <formula>5</formula>
      <formula>6.9</formula>
    </cfRule>
    <cfRule type="cellIs" dxfId="1748" priority="322" operator="between">
      <formula>10.1</formula>
      <formula>10.6</formula>
    </cfRule>
    <cfRule type="cellIs" dxfId="1747" priority="323" operator="between">
      <formula>7</formula>
      <formula>7.9</formula>
    </cfRule>
    <cfRule type="cellIs" dxfId="1746" priority="324" stopIfTrue="1" operator="between">
      <formula>8</formula>
      <formula>8.9</formula>
    </cfRule>
    <cfRule type="cellIs" dxfId="1745" priority="325" operator="between">
      <formula>9</formula>
      <formula>9.9</formula>
    </cfRule>
    <cfRule type="cellIs" dxfId="1744" priority="326" stopIfTrue="1" operator="between">
      <formula>10</formula>
      <formula>10</formula>
    </cfRule>
  </conditionalFormatting>
  <conditionalFormatting sqref="E786">
    <cfRule type="colorScale" priority="2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2">
      <colorScale>
        <cfvo type="num" val="5"/>
        <cfvo type="num" val="10"/>
        <color rgb="FFFF494D"/>
        <color rgb="FF00FF66"/>
      </colorScale>
    </cfRule>
  </conditionalFormatting>
  <conditionalFormatting sqref="E787:E802">
    <cfRule type="containsBlanks" dxfId="1743" priority="283" stopIfTrue="1">
      <formula>LEN(TRIM(E787))=0</formula>
    </cfRule>
    <cfRule type="cellIs" dxfId="1742" priority="284" operator="lessThan">
      <formula>2</formula>
    </cfRule>
    <cfRule type="cellIs" dxfId="1741" priority="285" operator="between">
      <formula>2</formula>
      <formula>4.9</formula>
    </cfRule>
    <cfRule type="cellIs" dxfId="1740" priority="286" operator="between">
      <formula>5</formula>
      <formula>6.9</formula>
    </cfRule>
    <cfRule type="cellIs" dxfId="1739" priority="287" operator="between">
      <formula>10.1</formula>
      <formula>10.6</formula>
    </cfRule>
    <cfRule type="cellIs" dxfId="1738" priority="288" operator="between">
      <formula>7</formula>
      <formula>7.9</formula>
    </cfRule>
    <cfRule type="cellIs" dxfId="1737" priority="289" stopIfTrue="1" operator="between">
      <formula>8</formula>
      <formula>8.9</formula>
    </cfRule>
    <cfRule type="cellIs" dxfId="1736" priority="290" operator="between">
      <formula>9</formula>
      <formula>9.9</formula>
    </cfRule>
    <cfRule type="cellIs" dxfId="1735" priority="291" stopIfTrue="1" operator="between">
      <formula>10</formula>
      <formula>10</formula>
    </cfRule>
  </conditionalFormatting>
  <conditionalFormatting sqref="E804">
    <cfRule type="colorScale" priority="2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6">
      <colorScale>
        <cfvo type="num" val="5"/>
        <cfvo type="num" val="10"/>
        <color rgb="FFFF494D"/>
        <color rgb="FF00FF66"/>
      </colorScale>
    </cfRule>
  </conditionalFormatting>
  <conditionalFormatting sqref="E805:E818">
    <cfRule type="containsBlanks" dxfId="1734" priority="217" stopIfTrue="1">
      <formula>LEN(TRIM(E805))=0</formula>
    </cfRule>
    <cfRule type="cellIs" dxfId="1733" priority="218" operator="lessThan">
      <formula>2</formula>
    </cfRule>
    <cfRule type="cellIs" dxfId="1732" priority="219" operator="between">
      <formula>2</formula>
      <formula>4.9</formula>
    </cfRule>
    <cfRule type="cellIs" dxfId="1731" priority="220" operator="between">
      <formula>5</formula>
      <formula>6.9</formula>
    </cfRule>
    <cfRule type="cellIs" dxfId="1730" priority="221" operator="between">
      <formula>10.1</formula>
      <formula>10.6</formula>
    </cfRule>
    <cfRule type="cellIs" dxfId="1729" priority="222" operator="between">
      <formula>7</formula>
      <formula>7.9</formula>
    </cfRule>
    <cfRule type="cellIs" dxfId="1728" priority="223" stopIfTrue="1" operator="between">
      <formula>8</formula>
      <formula>8.9</formula>
    </cfRule>
    <cfRule type="cellIs" dxfId="1727" priority="224" operator="between">
      <formula>9</formula>
      <formula>9.9</formula>
    </cfRule>
    <cfRule type="cellIs" dxfId="1726" priority="225" stopIfTrue="1" operator="between">
      <formula>10</formula>
      <formula>10</formula>
    </cfRule>
  </conditionalFormatting>
  <conditionalFormatting sqref="E820">
    <cfRule type="colorScale" priority="1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9">
      <colorScale>
        <cfvo type="num" val="5"/>
        <cfvo type="num" val="10"/>
        <color rgb="FFFF494D"/>
        <color rgb="FF00FF66"/>
      </colorScale>
    </cfRule>
  </conditionalFormatting>
  <conditionalFormatting sqref="E821:E832">
    <cfRule type="containsBlanks" dxfId="1725" priority="140" stopIfTrue="1">
      <formula>LEN(TRIM(E821))=0</formula>
    </cfRule>
    <cfRule type="cellIs" dxfId="1724" priority="141" operator="lessThan">
      <formula>2</formula>
    </cfRule>
    <cfRule type="cellIs" dxfId="1723" priority="142" operator="between">
      <formula>2</formula>
      <formula>4.9</formula>
    </cfRule>
    <cfRule type="cellIs" dxfId="1722" priority="143" operator="between">
      <formula>5</formula>
      <formula>6.9</formula>
    </cfRule>
    <cfRule type="cellIs" dxfId="1721" priority="144" operator="between">
      <formula>10.1</formula>
      <formula>10.6</formula>
    </cfRule>
    <cfRule type="cellIs" dxfId="1720" priority="145" operator="between">
      <formula>7</formula>
      <formula>7.9</formula>
    </cfRule>
    <cfRule type="cellIs" dxfId="1719" priority="146" stopIfTrue="1" operator="between">
      <formula>8</formula>
      <formula>8.9</formula>
    </cfRule>
    <cfRule type="cellIs" dxfId="1718" priority="147" operator="between">
      <formula>9</formula>
      <formula>9.9</formula>
    </cfRule>
    <cfRule type="cellIs" dxfId="1717" priority="148" stopIfTrue="1" operator="between">
      <formula>10</formula>
      <formula>10</formula>
    </cfRule>
  </conditionalFormatting>
  <conditionalFormatting sqref="E834">
    <cfRule type="colorScale" priority="1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7">
      <colorScale>
        <cfvo type="num" val="5"/>
        <cfvo type="num" val="10"/>
        <color rgb="FFFF494D"/>
        <color rgb="FF00FF66"/>
      </colorScale>
    </cfRule>
  </conditionalFormatting>
  <conditionalFormatting sqref="E835:E844">
    <cfRule type="containsBlanks" dxfId="1716" priority="127" stopIfTrue="1">
      <formula>LEN(TRIM(E835))=0</formula>
    </cfRule>
    <cfRule type="cellIs" dxfId="1715" priority="128" operator="lessThan">
      <formula>2</formula>
    </cfRule>
    <cfRule type="cellIs" dxfId="1714" priority="129" operator="between">
      <formula>2</formula>
      <formula>4.9</formula>
    </cfRule>
    <cfRule type="cellIs" dxfId="1713" priority="130" operator="between">
      <formula>5</formula>
      <formula>6.9</formula>
    </cfRule>
    <cfRule type="cellIs" dxfId="1712" priority="131" operator="between">
      <formula>10.1</formula>
      <formula>10.6</formula>
    </cfRule>
    <cfRule type="cellIs" dxfId="1711" priority="132" operator="between">
      <formula>7</formula>
      <formula>7.9</formula>
    </cfRule>
    <cfRule type="cellIs" dxfId="1710" priority="133" stopIfTrue="1" operator="between">
      <formula>8</formula>
      <formula>8.9</formula>
    </cfRule>
    <cfRule type="cellIs" dxfId="1709" priority="134" operator="between">
      <formula>9</formula>
      <formula>9.9</formula>
    </cfRule>
    <cfRule type="cellIs" dxfId="1708" priority="135" stopIfTrue="1" operator="between">
      <formula>10</formula>
      <formula>10</formula>
    </cfRule>
  </conditionalFormatting>
  <conditionalFormatting sqref="E846">
    <cfRule type="colorScale" priority="1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6">
      <colorScale>
        <cfvo type="num" val="5"/>
        <cfvo type="num" val="10"/>
        <color rgb="FFFF494D"/>
        <color rgb="FF00FF66"/>
      </colorScale>
    </cfRule>
  </conditionalFormatting>
  <conditionalFormatting sqref="E864">
    <cfRule type="colorScale" priority="11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5">
      <colorScale>
        <cfvo type="num" val="5"/>
        <cfvo type="num" val="10"/>
        <color rgb="FFFF494D"/>
        <color rgb="FF00FF66"/>
      </colorScale>
    </cfRule>
  </conditionalFormatting>
  <conditionalFormatting sqref="E865:E868">
    <cfRule type="containsBlanks" dxfId="1707" priority="96" stopIfTrue="1">
      <formula>LEN(TRIM(E865))=0</formula>
    </cfRule>
    <cfRule type="cellIs" dxfId="1706" priority="97" operator="lessThan">
      <formula>2</formula>
    </cfRule>
    <cfRule type="cellIs" dxfId="1705" priority="98" operator="between">
      <formula>2</formula>
      <formula>4.9</formula>
    </cfRule>
    <cfRule type="cellIs" dxfId="1704" priority="99" operator="between">
      <formula>5</formula>
      <formula>6.9</formula>
    </cfRule>
    <cfRule type="cellIs" dxfId="1703" priority="100" operator="between">
      <formula>10.1</formula>
      <formula>10.6</formula>
    </cfRule>
    <cfRule type="cellIs" dxfId="1702" priority="101" operator="between">
      <formula>7</formula>
      <formula>7.9</formula>
    </cfRule>
    <cfRule type="cellIs" dxfId="1701" priority="102" stopIfTrue="1" operator="between">
      <formula>8</formula>
      <formula>8.9</formula>
    </cfRule>
    <cfRule type="cellIs" dxfId="1700" priority="103" operator="between">
      <formula>9</formula>
      <formula>9.9</formula>
    </cfRule>
    <cfRule type="cellIs" dxfId="1699" priority="104" stopIfTrue="1" operator="between">
      <formula>10</formula>
      <formula>10</formula>
    </cfRule>
  </conditionalFormatting>
  <conditionalFormatting sqref="E870">
    <cfRule type="colorScale" priority="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6">
      <colorScale>
        <cfvo type="num" val="5"/>
        <cfvo type="num" val="10"/>
        <color rgb="FFFF494D"/>
        <color rgb="FF00FF66"/>
      </colorScale>
    </cfRule>
  </conditionalFormatting>
  <conditionalFormatting sqref="E871:E874">
    <cfRule type="containsBlanks" dxfId="1698" priority="87" stopIfTrue="1">
      <formula>LEN(TRIM(E871))=0</formula>
    </cfRule>
    <cfRule type="cellIs" dxfId="1697" priority="88" operator="lessThan">
      <formula>2</formula>
    </cfRule>
    <cfRule type="cellIs" dxfId="1696" priority="89" operator="between">
      <formula>2</formula>
      <formula>4.9</formula>
    </cfRule>
    <cfRule type="cellIs" dxfId="1695" priority="90" operator="between">
      <formula>5</formula>
      <formula>6.9</formula>
    </cfRule>
    <cfRule type="cellIs" dxfId="1694" priority="91" operator="between">
      <formula>10.1</formula>
      <formula>10.6</formula>
    </cfRule>
    <cfRule type="cellIs" dxfId="1693" priority="92" operator="between">
      <formula>7</formula>
      <formula>7.9</formula>
    </cfRule>
    <cfRule type="cellIs" dxfId="1692" priority="93" stopIfTrue="1" operator="between">
      <formula>8</formula>
      <formula>8.9</formula>
    </cfRule>
    <cfRule type="cellIs" dxfId="1691" priority="94" operator="between">
      <formula>9</formula>
      <formula>9.9</formula>
    </cfRule>
    <cfRule type="cellIs" dxfId="1690" priority="95" stopIfTrue="1" operator="between">
      <formula>10</formula>
      <formula>10</formula>
    </cfRule>
  </conditionalFormatting>
  <conditionalFormatting sqref="E876">
    <cfRule type="colorScale" priority="7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5">
      <colorScale>
        <cfvo type="num" val="5"/>
        <cfvo type="num" val="10"/>
        <color rgb="FFFF494D"/>
        <color rgb="FF00FF66"/>
      </colorScale>
    </cfRule>
  </conditionalFormatting>
  <conditionalFormatting sqref="E877:E880">
    <cfRule type="containsBlanks" dxfId="1689" priority="76" stopIfTrue="1">
      <formula>LEN(TRIM(E877))=0</formula>
    </cfRule>
    <cfRule type="cellIs" dxfId="1688" priority="77" operator="lessThan">
      <formula>2</formula>
    </cfRule>
    <cfRule type="cellIs" dxfId="1687" priority="78" operator="between">
      <formula>2</formula>
      <formula>4.9</formula>
    </cfRule>
    <cfRule type="cellIs" dxfId="1686" priority="79" operator="between">
      <formula>5</formula>
      <formula>6.9</formula>
    </cfRule>
    <cfRule type="cellIs" dxfId="1685" priority="80" operator="between">
      <formula>10.1</formula>
      <formula>10.6</formula>
    </cfRule>
    <cfRule type="cellIs" dxfId="1684" priority="81" operator="between">
      <formula>7</formula>
      <formula>7.9</formula>
    </cfRule>
    <cfRule type="cellIs" dxfId="1683" priority="82" stopIfTrue="1" operator="between">
      <formula>8</formula>
      <formula>8.9</formula>
    </cfRule>
    <cfRule type="cellIs" dxfId="1682" priority="83" operator="between">
      <formula>9</formula>
      <formula>9.9</formula>
    </cfRule>
    <cfRule type="cellIs" dxfId="1681" priority="84" stopIfTrue="1" operator="between">
      <formula>10</formula>
      <formula>10</formula>
    </cfRule>
  </conditionalFormatting>
  <conditionalFormatting sqref="H3:H15">
    <cfRule type="cellIs" dxfId="1680" priority="23" operator="between">
      <formula>6</formula>
      <formula>6.9</formula>
    </cfRule>
    <cfRule type="cellIs" dxfId="1679" priority="24" operator="between">
      <formula>10.1</formula>
      <formula>10.6</formula>
    </cfRule>
    <cfRule type="cellIs" dxfId="1678" priority="25" operator="between">
      <formula>7</formula>
      <formula>7.9</formula>
    </cfRule>
    <cfRule type="cellIs" dxfId="1677" priority="26" stopIfTrue="1" operator="between">
      <formula>8</formula>
      <formula>8.9</formula>
    </cfRule>
    <cfRule type="cellIs" dxfId="1676" priority="27" operator="between">
      <formula>9</formula>
      <formula>9.9</formula>
    </cfRule>
    <cfRule type="cellIs" dxfId="1675" priority="28" stopIfTrue="1" operator="between">
      <formula>10</formula>
      <formula>10</formula>
    </cfRule>
    <cfRule type="containsBlanks" dxfId="1674" priority="29" stopIfTrue="1">
      <formula>LEN(TRIM(H3))=0</formula>
    </cfRule>
  </conditionalFormatting>
  <conditionalFormatting sqref="H18:H28">
    <cfRule type="cellIs" dxfId="1673" priority="3558" operator="between">
      <formula>7</formula>
      <formula>7.9</formula>
    </cfRule>
    <cfRule type="cellIs" dxfId="1672" priority="3559" stopIfTrue="1" operator="between">
      <formula>8</formula>
      <formula>8.9</formula>
    </cfRule>
    <cfRule type="cellIs" dxfId="1671" priority="3560" operator="between">
      <formula>9</formula>
      <formula>9.9</formula>
    </cfRule>
    <cfRule type="cellIs" dxfId="1670" priority="3561" stopIfTrue="1" operator="between">
      <formula>10</formula>
      <formula>10</formula>
    </cfRule>
  </conditionalFormatting>
  <conditionalFormatting sqref="H30">
    <cfRule type="colorScale" priority="38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43">
      <colorScale>
        <cfvo type="num" val="5"/>
        <cfvo type="num" val="10"/>
        <color rgb="FFFF494D"/>
        <color rgb="FF00FF66"/>
      </colorScale>
    </cfRule>
  </conditionalFormatting>
  <conditionalFormatting sqref="H31:H45">
    <cfRule type="cellIs" dxfId="1669" priority="3420" operator="between">
      <formula>10.1</formula>
      <formula>10.6</formula>
    </cfRule>
    <cfRule type="cellIs" dxfId="1668" priority="3421" operator="between">
      <formula>7</formula>
      <formula>7.9</formula>
    </cfRule>
    <cfRule type="cellIs" dxfId="1667" priority="3422" stopIfTrue="1" operator="between">
      <formula>8</formula>
      <formula>8.9</formula>
    </cfRule>
    <cfRule type="cellIs" dxfId="1666" priority="3423" operator="between">
      <formula>9</formula>
      <formula>9.9</formula>
    </cfRule>
    <cfRule type="cellIs" dxfId="1665" priority="3424" stopIfTrue="1" operator="between">
      <formula>10</formula>
      <formula>10</formula>
    </cfRule>
    <cfRule type="containsBlanks" dxfId="1664" priority="3425" stopIfTrue="1">
      <formula>LEN(TRIM(H31))=0</formula>
    </cfRule>
  </conditionalFormatting>
  <conditionalFormatting sqref="H47">
    <cfRule type="colorScale" priority="377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775">
      <colorScale>
        <cfvo type="num" val="5"/>
        <cfvo type="num" val="10"/>
        <color rgb="FFFF494D"/>
        <color rgb="FF00FF66"/>
      </colorScale>
    </cfRule>
  </conditionalFormatting>
  <conditionalFormatting sqref="H48:H55">
    <cfRule type="cellIs" dxfId="1663" priority="3414" operator="between">
      <formula>10.1</formula>
      <formula>10.6</formula>
    </cfRule>
    <cfRule type="cellIs" dxfId="1662" priority="3415" operator="between">
      <formula>7</formula>
      <formula>7.9</formula>
    </cfRule>
    <cfRule type="cellIs" dxfId="1661" priority="3416" stopIfTrue="1" operator="between">
      <formula>8</formula>
      <formula>8.9</formula>
    </cfRule>
    <cfRule type="cellIs" dxfId="1660" priority="3417" operator="between">
      <formula>9</formula>
      <formula>9.9</formula>
    </cfRule>
    <cfRule type="cellIs" dxfId="1659" priority="3418" stopIfTrue="1" operator="between">
      <formula>10</formula>
      <formula>10</formula>
    </cfRule>
    <cfRule type="containsBlanks" dxfId="1658" priority="3419" stopIfTrue="1">
      <formula>LEN(TRIM(H48))=0</formula>
    </cfRule>
  </conditionalFormatting>
  <conditionalFormatting sqref="H57">
    <cfRule type="colorScale" priority="335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57">
      <colorScale>
        <cfvo type="num" val="5"/>
        <cfvo type="num" val="10"/>
        <color rgb="FFFF494D"/>
        <color rgb="FF00FF66"/>
      </colorScale>
    </cfRule>
  </conditionalFormatting>
  <conditionalFormatting sqref="H58:H67">
    <cfRule type="cellIs" dxfId="1657" priority="3286" operator="between">
      <formula>6</formula>
      <formula>6.9</formula>
    </cfRule>
    <cfRule type="cellIs" dxfId="1656" priority="3287" operator="between">
      <formula>10.1</formula>
      <formula>10.6</formula>
    </cfRule>
    <cfRule type="cellIs" dxfId="1655" priority="3288" operator="between">
      <formula>7</formula>
      <formula>7.9</formula>
    </cfRule>
    <cfRule type="cellIs" dxfId="1654" priority="3289" stopIfTrue="1" operator="between">
      <formula>8</formula>
      <formula>8.9</formula>
    </cfRule>
    <cfRule type="cellIs" dxfId="1653" priority="3290" operator="between">
      <formula>9</formula>
      <formula>9.9</formula>
    </cfRule>
    <cfRule type="cellIs" dxfId="1652" priority="3291" stopIfTrue="1" operator="between">
      <formula>10</formula>
      <formula>10</formula>
    </cfRule>
    <cfRule type="containsBlanks" dxfId="1651" priority="3292" stopIfTrue="1">
      <formula>LEN(TRIM(H58))=0</formula>
    </cfRule>
  </conditionalFormatting>
  <conditionalFormatting sqref="H69">
    <cfRule type="colorScale" priority="332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22">
      <colorScale>
        <cfvo type="num" val="5"/>
        <cfvo type="num" val="10"/>
        <color rgb="FFFF494D"/>
        <color rgb="FF00FF66"/>
      </colorScale>
    </cfRule>
  </conditionalFormatting>
  <conditionalFormatting sqref="H70:H81">
    <cfRule type="cellIs" dxfId="1650" priority="3315" operator="between">
      <formula>10.1</formula>
      <formula>10.6</formula>
    </cfRule>
    <cfRule type="cellIs" dxfId="1649" priority="3316" operator="between">
      <formula>7</formula>
      <formula>7.9</formula>
    </cfRule>
    <cfRule type="cellIs" dxfId="1648" priority="3317" stopIfTrue="1" operator="between">
      <formula>8</formula>
      <formula>8.9</formula>
    </cfRule>
    <cfRule type="cellIs" dxfId="1647" priority="3318" operator="between">
      <formula>9</formula>
      <formula>9.9</formula>
    </cfRule>
    <cfRule type="cellIs" dxfId="1646" priority="3319" stopIfTrue="1" operator="between">
      <formula>10</formula>
      <formula>10</formula>
    </cfRule>
    <cfRule type="containsBlanks" dxfId="1645" priority="3320" stopIfTrue="1">
      <formula>LEN(TRIM(H70))=0</formula>
    </cfRule>
  </conditionalFormatting>
  <conditionalFormatting sqref="H83">
    <cfRule type="colorScale" priority="32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53">
      <colorScale>
        <cfvo type="num" val="5"/>
        <cfvo type="num" val="10"/>
        <color rgb="FFFF494D"/>
        <color rgb="FF00FF66"/>
      </colorScale>
    </cfRule>
  </conditionalFormatting>
  <conditionalFormatting sqref="H84:H95">
    <cfRule type="cellIs" dxfId="1644" priority="3239" operator="between">
      <formula>6</formula>
      <formula>6.9</formula>
    </cfRule>
    <cfRule type="cellIs" dxfId="1643" priority="3240" operator="between">
      <formula>10.1</formula>
      <formula>10.6</formula>
    </cfRule>
    <cfRule type="cellIs" dxfId="1642" priority="3241" operator="between">
      <formula>7</formula>
      <formula>7.9</formula>
    </cfRule>
    <cfRule type="cellIs" dxfId="1641" priority="3242" stopIfTrue="1" operator="between">
      <formula>8</formula>
      <formula>8.9</formula>
    </cfRule>
    <cfRule type="cellIs" dxfId="1640" priority="3243" operator="between">
      <formula>9</formula>
      <formula>9.9</formula>
    </cfRule>
    <cfRule type="cellIs" dxfId="1639" priority="3244" stopIfTrue="1" operator="between">
      <formula>10</formula>
      <formula>10</formula>
    </cfRule>
    <cfRule type="containsBlanks" dxfId="1638" priority="3245" stopIfTrue="1">
      <formula>LEN(TRIM(H84))=0</formula>
    </cfRule>
  </conditionalFormatting>
  <conditionalFormatting sqref="H97">
    <cfRule type="colorScale" priority="320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07">
      <colorScale>
        <cfvo type="num" val="5"/>
        <cfvo type="num" val="10"/>
        <color rgb="FFFF494D"/>
        <color rgb="FF00FF66"/>
      </colorScale>
    </cfRule>
  </conditionalFormatting>
  <conditionalFormatting sqref="H98:H108">
    <cfRule type="cellIs" dxfId="1637" priority="3190" operator="between">
      <formula>6</formula>
      <formula>6.9</formula>
    </cfRule>
    <cfRule type="cellIs" dxfId="1636" priority="3191" operator="between">
      <formula>10.1</formula>
      <formula>10.6</formula>
    </cfRule>
    <cfRule type="cellIs" dxfId="1635" priority="3192" operator="between">
      <formula>7</formula>
      <formula>7.9</formula>
    </cfRule>
    <cfRule type="cellIs" dxfId="1634" priority="3193" stopIfTrue="1" operator="between">
      <formula>8</formula>
      <formula>8.9</formula>
    </cfRule>
    <cfRule type="cellIs" dxfId="1633" priority="3194" operator="between">
      <formula>9</formula>
      <formula>9.9</formula>
    </cfRule>
    <cfRule type="cellIs" dxfId="1632" priority="3195" stopIfTrue="1" operator="between">
      <formula>10</formula>
      <formula>10</formula>
    </cfRule>
    <cfRule type="containsBlanks" dxfId="1631" priority="3196" stopIfTrue="1">
      <formula>LEN(TRIM(H98))=0</formula>
    </cfRule>
  </conditionalFormatting>
  <conditionalFormatting sqref="H110">
    <cfRule type="colorScale" priority="317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73">
      <colorScale>
        <cfvo type="num" val="5"/>
        <cfvo type="num" val="10"/>
        <color rgb="FFFF494D"/>
        <color rgb="FF00FF66"/>
      </colorScale>
    </cfRule>
  </conditionalFormatting>
  <conditionalFormatting sqref="H111:H123">
    <cfRule type="cellIs" dxfId="1630" priority="3166" operator="between">
      <formula>10.1</formula>
      <formula>10.6</formula>
    </cfRule>
    <cfRule type="cellIs" dxfId="1629" priority="3167" operator="between">
      <formula>7</formula>
      <formula>7.9</formula>
    </cfRule>
    <cfRule type="cellIs" dxfId="1628" priority="3168" stopIfTrue="1" operator="between">
      <formula>8</formula>
      <formula>8.9</formula>
    </cfRule>
    <cfRule type="cellIs" dxfId="1627" priority="3169" operator="between">
      <formula>9</formula>
      <formula>9.9</formula>
    </cfRule>
    <cfRule type="cellIs" dxfId="1626" priority="3170" stopIfTrue="1" operator="between">
      <formula>10</formula>
      <formula>10</formula>
    </cfRule>
    <cfRule type="containsBlanks" dxfId="1625" priority="3171" stopIfTrue="1">
      <formula>LEN(TRIM(H111))=0</formula>
    </cfRule>
  </conditionalFormatting>
  <conditionalFormatting sqref="H125">
    <cfRule type="colorScale" priority="31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01">
      <colorScale>
        <cfvo type="num" val="5"/>
        <cfvo type="num" val="10"/>
        <color rgb="FFFF494D"/>
        <color rgb="FF00FF66"/>
      </colorScale>
    </cfRule>
  </conditionalFormatting>
  <conditionalFormatting sqref="H126:H129">
    <cfRule type="cellIs" dxfId="1624" priority="3093" operator="between">
      <formula>6</formula>
      <formula>6.9</formula>
    </cfRule>
    <cfRule type="cellIs" dxfId="1623" priority="3094" operator="between">
      <formula>10.1</formula>
      <formula>10.6</formula>
    </cfRule>
    <cfRule type="cellIs" dxfId="1622" priority="3095" operator="between">
      <formula>7</formula>
      <formula>7.9</formula>
    </cfRule>
    <cfRule type="cellIs" dxfId="1621" priority="3096" stopIfTrue="1" operator="between">
      <formula>8</formula>
      <formula>8.9</formula>
    </cfRule>
    <cfRule type="cellIs" dxfId="1620" priority="3097" operator="between">
      <formula>9</formula>
      <formula>9.9</formula>
    </cfRule>
    <cfRule type="cellIs" dxfId="1619" priority="3098" stopIfTrue="1" operator="between">
      <formula>10</formula>
      <formula>10</formula>
    </cfRule>
    <cfRule type="containsBlanks" dxfId="1618" priority="3099" stopIfTrue="1">
      <formula>LEN(TRIM(H126))=0</formula>
    </cfRule>
  </conditionalFormatting>
  <conditionalFormatting sqref="H131">
    <cfRule type="colorScale" priority="306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68">
      <colorScale>
        <cfvo type="num" val="5"/>
        <cfvo type="num" val="10"/>
        <color rgb="FFFF494D"/>
        <color rgb="FF00FF66"/>
      </colorScale>
    </cfRule>
  </conditionalFormatting>
  <conditionalFormatting sqref="H132:H147">
    <cfRule type="cellIs" dxfId="1617" priority="3060" operator="between">
      <formula>6</formula>
      <formula>6.9</formula>
    </cfRule>
    <cfRule type="cellIs" dxfId="1616" priority="3061" operator="between">
      <formula>10.1</formula>
      <formula>10.6</formula>
    </cfRule>
    <cfRule type="cellIs" dxfId="1615" priority="3062" operator="between">
      <formula>7</formula>
      <formula>7.9</formula>
    </cfRule>
    <cfRule type="cellIs" dxfId="1614" priority="3063" stopIfTrue="1" operator="between">
      <formula>8</formula>
      <formula>8.9</formula>
    </cfRule>
    <cfRule type="cellIs" dxfId="1613" priority="3064" operator="between">
      <formula>9</formula>
      <formula>9.9</formula>
    </cfRule>
    <cfRule type="cellIs" dxfId="1612" priority="3065" stopIfTrue="1" operator="between">
      <formula>10</formula>
      <formula>10</formula>
    </cfRule>
    <cfRule type="containsBlanks" dxfId="1611" priority="3066" stopIfTrue="1">
      <formula>LEN(TRIM(H132))=0</formula>
    </cfRule>
  </conditionalFormatting>
  <conditionalFormatting sqref="H149">
    <cfRule type="colorScale" priority="29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96">
      <colorScale>
        <cfvo type="num" val="5"/>
        <cfvo type="num" val="10"/>
        <color rgb="FFFF494D"/>
        <color rgb="FF00FF66"/>
      </colorScale>
    </cfRule>
  </conditionalFormatting>
  <conditionalFormatting sqref="H150:H163">
    <cfRule type="cellIs" dxfId="1610" priority="2988" operator="between">
      <formula>6</formula>
      <formula>6.9</formula>
    </cfRule>
    <cfRule type="cellIs" dxfId="1609" priority="2989" operator="between">
      <formula>10.1</formula>
      <formula>10.6</formula>
    </cfRule>
    <cfRule type="cellIs" dxfId="1608" priority="2990" operator="between">
      <formula>7</formula>
      <formula>7.9</formula>
    </cfRule>
    <cfRule type="cellIs" dxfId="1607" priority="2991" stopIfTrue="1" operator="between">
      <formula>8</formula>
      <formula>8.9</formula>
    </cfRule>
    <cfRule type="cellIs" dxfId="1606" priority="2992" operator="between">
      <formula>9</formula>
      <formula>9.9</formula>
    </cfRule>
    <cfRule type="cellIs" dxfId="1605" priority="2993" stopIfTrue="1" operator="between">
      <formula>10</formula>
      <formula>10</formula>
    </cfRule>
    <cfRule type="containsBlanks" dxfId="1604" priority="2994" stopIfTrue="1">
      <formula>LEN(TRIM(H150))=0</formula>
    </cfRule>
  </conditionalFormatting>
  <conditionalFormatting sqref="H165">
    <cfRule type="colorScale" priority="29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35">
      <colorScale>
        <cfvo type="num" val="5"/>
        <cfvo type="num" val="10"/>
        <color rgb="FFFF494D"/>
        <color rgb="FF00FF66"/>
      </colorScale>
    </cfRule>
  </conditionalFormatting>
  <conditionalFormatting sqref="H166:H175">
    <cfRule type="cellIs" dxfId="1603" priority="2936" operator="between">
      <formula>6</formula>
      <formula>6.9</formula>
    </cfRule>
    <cfRule type="cellIs" dxfId="1602" priority="2937" operator="between">
      <formula>10.1</formula>
      <formula>10.6</formula>
    </cfRule>
    <cfRule type="cellIs" dxfId="1601" priority="2938" operator="between">
      <formula>7</formula>
      <formula>7.9</formula>
    </cfRule>
    <cfRule type="cellIs" dxfId="1600" priority="2939" stopIfTrue="1" operator="between">
      <formula>8</formula>
      <formula>8.9</formula>
    </cfRule>
    <cfRule type="cellIs" dxfId="1599" priority="2940" operator="between">
      <formula>9</formula>
      <formula>9.9</formula>
    </cfRule>
    <cfRule type="cellIs" dxfId="1598" priority="2941" stopIfTrue="1" operator="between">
      <formula>10</formula>
      <formula>10</formula>
    </cfRule>
    <cfRule type="containsBlanks" dxfId="1597" priority="2942" stopIfTrue="1">
      <formula>LEN(TRIM(H166))=0</formula>
    </cfRule>
  </conditionalFormatting>
  <conditionalFormatting sqref="H177">
    <cfRule type="colorScale" priority="289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95">
      <colorScale>
        <cfvo type="num" val="5"/>
        <cfvo type="num" val="10"/>
        <color rgb="FFFF494D"/>
        <color rgb="FF00FF66"/>
      </colorScale>
    </cfRule>
  </conditionalFormatting>
  <conditionalFormatting sqref="H178:H189">
    <cfRule type="cellIs" dxfId="1596" priority="2887" operator="between">
      <formula>6</formula>
      <formula>6.9</formula>
    </cfRule>
    <cfRule type="cellIs" dxfId="1595" priority="2888" operator="between">
      <formula>10.1</formula>
      <formula>10.6</formula>
    </cfRule>
    <cfRule type="cellIs" dxfId="1594" priority="2889" operator="between">
      <formula>7</formula>
      <formula>7.9</formula>
    </cfRule>
    <cfRule type="cellIs" dxfId="1593" priority="2890" stopIfTrue="1" operator="between">
      <formula>8</formula>
      <formula>8.9</formula>
    </cfRule>
    <cfRule type="cellIs" dxfId="1592" priority="2891" operator="between">
      <formula>9</formula>
      <formula>9.9</formula>
    </cfRule>
    <cfRule type="cellIs" dxfId="1591" priority="2892" stopIfTrue="1" operator="between">
      <formula>10</formula>
      <formula>10</formula>
    </cfRule>
    <cfRule type="containsBlanks" dxfId="1590" priority="2893" stopIfTrue="1">
      <formula>LEN(TRIM(H178))=0</formula>
    </cfRule>
  </conditionalFormatting>
  <conditionalFormatting sqref="H191">
    <cfRule type="colorScale" priority="28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35">
      <colorScale>
        <cfvo type="num" val="5"/>
        <cfvo type="num" val="10"/>
        <color rgb="FFFF494D"/>
        <color rgb="FF00FF66"/>
      </colorScale>
    </cfRule>
  </conditionalFormatting>
  <conditionalFormatting sqref="H192:H200">
    <cfRule type="cellIs" dxfId="1589" priority="2827" operator="between">
      <formula>6</formula>
      <formula>6.9</formula>
    </cfRule>
    <cfRule type="cellIs" dxfId="1588" priority="2828" operator="between">
      <formula>10.1</formula>
      <formula>10.6</formula>
    </cfRule>
    <cfRule type="cellIs" dxfId="1587" priority="2829" operator="between">
      <formula>7</formula>
      <formula>7.9</formula>
    </cfRule>
    <cfRule type="cellIs" dxfId="1586" priority="2830" stopIfTrue="1" operator="between">
      <formula>8</formula>
      <formula>8.9</formula>
    </cfRule>
    <cfRule type="cellIs" dxfId="1585" priority="2831" operator="between">
      <formula>9</formula>
      <formula>9.9</formula>
    </cfRule>
    <cfRule type="cellIs" dxfId="1584" priority="2832" stopIfTrue="1" operator="between">
      <formula>10</formula>
      <formula>10</formula>
    </cfRule>
    <cfRule type="containsBlanks" dxfId="1583" priority="2833" stopIfTrue="1">
      <formula>LEN(TRIM(H192))=0</formula>
    </cfRule>
  </conditionalFormatting>
  <conditionalFormatting sqref="H202">
    <cfRule type="colorScale" priority="27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87">
      <colorScale>
        <cfvo type="num" val="5"/>
        <cfvo type="num" val="10"/>
        <color rgb="FFFF494D"/>
        <color rgb="FF00FF66"/>
      </colorScale>
    </cfRule>
  </conditionalFormatting>
  <conditionalFormatting sqref="H203:H213">
    <cfRule type="cellIs" dxfId="1582" priority="2788" operator="between">
      <formula>6</formula>
      <formula>6.9</formula>
    </cfRule>
    <cfRule type="cellIs" dxfId="1581" priority="2789" operator="between">
      <formula>10.1</formula>
      <formula>11</formula>
    </cfRule>
    <cfRule type="cellIs" dxfId="1580" priority="2790" operator="between">
      <formula>7</formula>
      <formula>7.9</formula>
    </cfRule>
    <cfRule type="cellIs" dxfId="1579" priority="2791" stopIfTrue="1" operator="between">
      <formula>8</formula>
      <formula>8.9</formula>
    </cfRule>
    <cfRule type="cellIs" dxfId="1578" priority="2792" operator="between">
      <formula>9</formula>
      <formula>9.9</formula>
    </cfRule>
    <cfRule type="cellIs" dxfId="1577" priority="2793" stopIfTrue="1" operator="between">
      <formula>10</formula>
      <formula>10</formula>
    </cfRule>
    <cfRule type="containsBlanks" dxfId="1576" priority="2794" stopIfTrue="1">
      <formula>LEN(TRIM(H203))=0</formula>
    </cfRule>
  </conditionalFormatting>
  <conditionalFormatting sqref="H215">
    <cfRule type="colorScale" priority="27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36">
      <colorScale>
        <cfvo type="num" val="5"/>
        <cfvo type="num" val="10"/>
        <color rgb="FFFF494D"/>
        <color rgb="FF00FF66"/>
      </colorScale>
    </cfRule>
  </conditionalFormatting>
  <conditionalFormatting sqref="H216:H227">
    <cfRule type="cellIs" dxfId="1575" priority="2737" operator="between">
      <formula>6</formula>
      <formula>6.9</formula>
    </cfRule>
    <cfRule type="cellIs" dxfId="1574" priority="2738" operator="between">
      <formula>10.1</formula>
      <formula>10.6</formula>
    </cfRule>
    <cfRule type="cellIs" dxfId="1573" priority="2739" operator="between">
      <formula>7</formula>
      <formula>7.9</formula>
    </cfRule>
    <cfRule type="cellIs" dxfId="1572" priority="2740" stopIfTrue="1" operator="between">
      <formula>8</formula>
      <formula>8.9</formula>
    </cfRule>
    <cfRule type="cellIs" dxfId="1571" priority="2741" operator="between">
      <formula>9</formula>
      <formula>9.9</formula>
    </cfRule>
    <cfRule type="cellIs" dxfId="1570" priority="2742" stopIfTrue="1" operator="between">
      <formula>10</formula>
      <formula>10</formula>
    </cfRule>
    <cfRule type="containsBlanks" dxfId="1569" priority="2743" stopIfTrue="1">
      <formula>LEN(TRIM(H216))=0</formula>
    </cfRule>
  </conditionalFormatting>
  <conditionalFormatting sqref="H229">
    <cfRule type="colorScale" priority="27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05">
      <colorScale>
        <cfvo type="num" val="5"/>
        <cfvo type="num" val="10"/>
        <color rgb="FFFF494D"/>
        <color rgb="FF00FF66"/>
      </colorScale>
    </cfRule>
  </conditionalFormatting>
  <conditionalFormatting sqref="H230:H244">
    <cfRule type="cellIs" dxfId="1568" priority="2697" operator="between">
      <formula>6</formula>
      <formula>6.9</formula>
    </cfRule>
    <cfRule type="cellIs" dxfId="1567" priority="2698" operator="between">
      <formula>10.1</formula>
      <formula>10.6</formula>
    </cfRule>
    <cfRule type="cellIs" dxfId="1566" priority="2699" operator="between">
      <formula>7</formula>
      <formula>7.9</formula>
    </cfRule>
    <cfRule type="cellIs" dxfId="1565" priority="2700" stopIfTrue="1" operator="between">
      <formula>8</formula>
      <formula>8.9</formula>
    </cfRule>
    <cfRule type="cellIs" dxfId="1564" priority="2701" operator="between">
      <formula>9</formula>
      <formula>9.9</formula>
    </cfRule>
    <cfRule type="cellIs" dxfId="1563" priority="2702" stopIfTrue="1" operator="between">
      <formula>10</formula>
      <formula>10</formula>
    </cfRule>
    <cfRule type="containsBlanks" dxfId="1562" priority="2703" stopIfTrue="1">
      <formula>LEN(TRIM(H230))=0</formula>
    </cfRule>
  </conditionalFormatting>
  <conditionalFormatting sqref="H246">
    <cfRule type="colorScale" priority="264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46">
      <colorScale>
        <cfvo type="num" val="5"/>
        <cfvo type="num" val="10"/>
        <color rgb="FFFF494D"/>
        <color rgb="FF00FF66"/>
      </colorScale>
    </cfRule>
  </conditionalFormatting>
  <conditionalFormatting sqref="H247:H256">
    <cfRule type="cellIs" dxfId="1561" priority="2647" operator="between">
      <formula>6</formula>
      <formula>6.9</formula>
    </cfRule>
    <cfRule type="cellIs" dxfId="1560" priority="2648" operator="between">
      <formula>10.1</formula>
      <formula>10.6</formula>
    </cfRule>
    <cfRule type="cellIs" dxfId="1559" priority="2649" operator="between">
      <formula>7</formula>
      <formula>7.9</formula>
    </cfRule>
    <cfRule type="cellIs" dxfId="1558" priority="2650" stopIfTrue="1" operator="between">
      <formula>8</formula>
      <formula>8.9</formula>
    </cfRule>
    <cfRule type="cellIs" dxfId="1557" priority="2651" operator="between">
      <formula>9</formula>
      <formula>9.9</formula>
    </cfRule>
    <cfRule type="cellIs" dxfId="1556" priority="2652" stopIfTrue="1" operator="between">
      <formula>10</formula>
      <formula>10</formula>
    </cfRule>
    <cfRule type="containsBlanks" dxfId="1555" priority="2653" stopIfTrue="1">
      <formula>LEN(TRIM(H247))=0</formula>
    </cfRule>
  </conditionalFormatting>
  <conditionalFormatting sqref="H258">
    <cfRule type="colorScale" priority="26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06">
      <colorScale>
        <cfvo type="num" val="5"/>
        <cfvo type="num" val="10"/>
        <color rgb="FFFF494D"/>
        <color rgb="FF00FF66"/>
      </colorScale>
    </cfRule>
  </conditionalFormatting>
  <conditionalFormatting sqref="H259:H263">
    <cfRule type="cellIs" dxfId="1554" priority="2607" operator="between">
      <formula>6</formula>
      <formula>6.9</formula>
    </cfRule>
    <cfRule type="cellIs" dxfId="1553" priority="2608" operator="between">
      <formula>10.1</formula>
      <formula>10.6</formula>
    </cfRule>
    <cfRule type="cellIs" dxfId="1552" priority="2609" operator="between">
      <formula>7</formula>
      <formula>7.9</formula>
    </cfRule>
    <cfRule type="cellIs" dxfId="1551" priority="2610" stopIfTrue="1" operator="between">
      <formula>8</formula>
      <formula>8.9</formula>
    </cfRule>
    <cfRule type="cellIs" dxfId="1550" priority="2611" operator="between">
      <formula>9</formula>
      <formula>9.9</formula>
    </cfRule>
    <cfRule type="cellIs" dxfId="1549" priority="2612" stopIfTrue="1" operator="between">
      <formula>10</formula>
      <formula>10</formula>
    </cfRule>
    <cfRule type="containsBlanks" dxfId="1548" priority="2613" stopIfTrue="1">
      <formula>LEN(TRIM(H259))=0</formula>
    </cfRule>
  </conditionalFormatting>
  <conditionalFormatting sqref="H265">
    <cfRule type="colorScale" priority="25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77">
      <colorScale>
        <cfvo type="num" val="5"/>
        <cfvo type="num" val="10"/>
        <color rgb="FFFF494D"/>
        <color rgb="FF00FF66"/>
      </colorScale>
    </cfRule>
  </conditionalFormatting>
  <conditionalFormatting sqref="H266:H274">
    <cfRule type="cellIs" dxfId="1547" priority="2569" operator="between">
      <formula>6</formula>
      <formula>6.9</formula>
    </cfRule>
    <cfRule type="cellIs" dxfId="1546" priority="2570" operator="between">
      <formula>10.1</formula>
      <formula>10.6</formula>
    </cfRule>
    <cfRule type="cellIs" dxfId="1545" priority="2571" operator="between">
      <formula>7</formula>
      <formula>7.9</formula>
    </cfRule>
    <cfRule type="cellIs" dxfId="1544" priority="2572" stopIfTrue="1" operator="between">
      <formula>8</formula>
      <formula>8.9</formula>
    </cfRule>
    <cfRule type="cellIs" dxfId="1543" priority="2573" operator="between">
      <formula>9</formula>
      <formula>9.9</formula>
    </cfRule>
    <cfRule type="cellIs" dxfId="1542" priority="2574" stopIfTrue="1" operator="between">
      <formula>10</formula>
      <formula>10</formula>
    </cfRule>
    <cfRule type="containsBlanks" dxfId="1541" priority="2575" stopIfTrue="1">
      <formula>LEN(TRIM(H266))=0</formula>
    </cfRule>
  </conditionalFormatting>
  <conditionalFormatting sqref="H276">
    <cfRule type="colorScale" priority="25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53">
      <colorScale>
        <cfvo type="num" val="5"/>
        <cfvo type="num" val="10"/>
        <color rgb="FFFF494D"/>
        <color rgb="FF00FF66"/>
      </colorScale>
    </cfRule>
  </conditionalFormatting>
  <conditionalFormatting sqref="H277:H286">
    <cfRule type="cellIs" dxfId="1540" priority="2545" operator="between">
      <formula>6</formula>
      <formula>6.9</formula>
    </cfRule>
    <cfRule type="cellIs" dxfId="1539" priority="2546" operator="between">
      <formula>10.1</formula>
      <formula>10.6</formula>
    </cfRule>
    <cfRule type="cellIs" dxfId="1538" priority="2547" operator="between">
      <formula>7</formula>
      <formula>7.9</formula>
    </cfRule>
    <cfRule type="cellIs" dxfId="1537" priority="2548" stopIfTrue="1" operator="between">
      <formula>8</formula>
      <formula>8.9</formula>
    </cfRule>
    <cfRule type="cellIs" dxfId="1536" priority="2549" operator="between">
      <formula>9</formula>
      <formula>9.9</formula>
    </cfRule>
    <cfRule type="cellIs" dxfId="1535" priority="2550" stopIfTrue="1" operator="between">
      <formula>10</formula>
      <formula>10</formula>
    </cfRule>
    <cfRule type="containsBlanks" dxfId="1534" priority="2551" stopIfTrue="1">
      <formula>LEN(TRIM(H277))=0</formula>
    </cfRule>
  </conditionalFormatting>
  <conditionalFormatting sqref="H288">
    <cfRule type="colorScale" priority="24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78">
      <colorScale>
        <cfvo type="num" val="5"/>
        <cfvo type="num" val="10"/>
        <color rgb="FFFF494D"/>
        <color rgb="FF00FF66"/>
      </colorScale>
    </cfRule>
  </conditionalFormatting>
  <conditionalFormatting sqref="H289:H294">
    <cfRule type="cellIs" dxfId="1533" priority="2470" operator="between">
      <formula>6</formula>
      <formula>6.9</formula>
    </cfRule>
    <cfRule type="cellIs" dxfId="1532" priority="2471" operator="between">
      <formula>10.1</formula>
      <formula>10.6</formula>
    </cfRule>
    <cfRule type="cellIs" dxfId="1531" priority="2472" operator="between">
      <formula>7</formula>
      <formula>7.9</formula>
    </cfRule>
    <cfRule type="cellIs" dxfId="1530" priority="2473" stopIfTrue="1" operator="between">
      <formula>8</formula>
      <formula>8.9</formula>
    </cfRule>
    <cfRule type="cellIs" dxfId="1529" priority="2474" operator="between">
      <formula>9</formula>
      <formula>9.9</formula>
    </cfRule>
    <cfRule type="cellIs" dxfId="1528" priority="2475" stopIfTrue="1" operator="between">
      <formula>10</formula>
      <formula>10</formula>
    </cfRule>
    <cfRule type="containsBlanks" dxfId="1527" priority="2476" stopIfTrue="1">
      <formula>LEN(TRIM(H289))=0</formula>
    </cfRule>
  </conditionalFormatting>
  <conditionalFormatting sqref="H296">
    <cfRule type="colorScale" priority="24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69">
      <colorScale>
        <cfvo type="num" val="5"/>
        <cfvo type="num" val="10"/>
        <color rgb="FFFF494D"/>
        <color rgb="FF00FF66"/>
      </colorScale>
    </cfRule>
  </conditionalFormatting>
  <conditionalFormatting sqref="H297:H307">
    <cfRule type="containsBlanks" dxfId="1526" priority="2459" stopIfTrue="1">
      <formula>LEN(TRIM(H297))=0</formula>
    </cfRule>
    <cfRule type="cellIs" dxfId="1525" priority="2460" operator="lessThan">
      <formula>2</formula>
    </cfRule>
    <cfRule type="cellIs" dxfId="1524" priority="2461" operator="between">
      <formula>2</formula>
      <formula>4.9</formula>
    </cfRule>
    <cfRule type="cellIs" dxfId="1523" priority="2462" operator="between">
      <formula>5</formula>
      <formula>6.9</formula>
    </cfRule>
    <cfRule type="cellIs" dxfId="1522" priority="2463" operator="between">
      <formula>10.1</formula>
      <formula>10.6</formula>
    </cfRule>
    <cfRule type="cellIs" dxfId="1521" priority="2464" operator="between">
      <formula>7</formula>
      <formula>7.9</formula>
    </cfRule>
    <cfRule type="cellIs" dxfId="1520" priority="2465" stopIfTrue="1" operator="between">
      <formula>8</formula>
      <formula>8.9</formula>
    </cfRule>
    <cfRule type="cellIs" dxfId="1519" priority="2466" operator="between">
      <formula>9</formula>
      <formula>9.9</formula>
    </cfRule>
    <cfRule type="cellIs" dxfId="1518" priority="2467" stopIfTrue="1" operator="between">
      <formula>10</formula>
      <formula>10</formula>
    </cfRule>
  </conditionalFormatting>
  <conditionalFormatting sqref="H309">
    <cfRule type="colorScale" priority="23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96">
      <colorScale>
        <cfvo type="num" val="5"/>
        <cfvo type="num" val="10"/>
        <color rgb="FFFF494D"/>
        <color rgb="FF00FF66"/>
      </colorScale>
    </cfRule>
  </conditionalFormatting>
  <conditionalFormatting sqref="H310:H327">
    <cfRule type="containsBlanks" dxfId="1517" priority="2386" stopIfTrue="1">
      <formula>LEN(TRIM(H310))=0</formula>
    </cfRule>
    <cfRule type="cellIs" dxfId="1516" priority="2387" operator="lessThan">
      <formula>2</formula>
    </cfRule>
    <cfRule type="cellIs" dxfId="1515" priority="2388" operator="between">
      <formula>2</formula>
      <formula>4.9</formula>
    </cfRule>
    <cfRule type="cellIs" dxfId="1514" priority="2389" operator="between">
      <formula>5</formula>
      <formula>6.9</formula>
    </cfRule>
    <cfRule type="cellIs" dxfId="1513" priority="2390" operator="between">
      <formula>10.1</formula>
      <formula>10.6</formula>
    </cfRule>
    <cfRule type="cellIs" dxfId="1512" priority="2391" operator="between">
      <formula>7</formula>
      <formula>7.9</formula>
    </cfRule>
    <cfRule type="cellIs" dxfId="1511" priority="2392" stopIfTrue="1" operator="between">
      <formula>8</formula>
      <formula>8.9</formula>
    </cfRule>
    <cfRule type="cellIs" dxfId="1510" priority="2393" operator="between">
      <formula>9</formula>
      <formula>9.9</formula>
    </cfRule>
    <cfRule type="cellIs" dxfId="1509" priority="2394" stopIfTrue="1" operator="between">
      <formula>10</formula>
      <formula>10</formula>
    </cfRule>
  </conditionalFormatting>
  <conditionalFormatting sqref="H329">
    <cfRule type="colorScale" priority="22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97">
      <colorScale>
        <cfvo type="num" val="5"/>
        <cfvo type="num" val="10"/>
        <color rgb="FFFF494D"/>
        <color rgb="FF00FF66"/>
      </colorScale>
    </cfRule>
  </conditionalFormatting>
  <conditionalFormatting sqref="H330:H337">
    <cfRule type="containsBlanks" dxfId="1508" priority="2287" stopIfTrue="1">
      <formula>LEN(TRIM(H330))=0</formula>
    </cfRule>
    <cfRule type="cellIs" dxfId="1507" priority="2288" operator="lessThan">
      <formula>2</formula>
    </cfRule>
    <cfRule type="cellIs" dxfId="1506" priority="2289" operator="between">
      <formula>2</formula>
      <formula>4.9</formula>
    </cfRule>
    <cfRule type="cellIs" dxfId="1505" priority="2290" operator="between">
      <formula>5</formula>
      <formula>6.9</formula>
    </cfRule>
    <cfRule type="cellIs" dxfId="1504" priority="2291" operator="between">
      <formula>10.1</formula>
      <formula>10.6</formula>
    </cfRule>
    <cfRule type="cellIs" dxfId="1503" priority="2292" operator="between">
      <formula>7</formula>
      <formula>7.9</formula>
    </cfRule>
    <cfRule type="cellIs" dxfId="1502" priority="2293" stopIfTrue="1" operator="between">
      <formula>8</formula>
      <formula>8.9</formula>
    </cfRule>
    <cfRule type="cellIs" dxfId="1501" priority="2294" operator="between">
      <formula>9</formula>
      <formula>9.9</formula>
    </cfRule>
    <cfRule type="cellIs" dxfId="1500" priority="2295" stopIfTrue="1" operator="between">
      <formula>10</formula>
      <formula>10</formula>
    </cfRule>
  </conditionalFormatting>
  <conditionalFormatting sqref="H339">
    <cfRule type="colorScale" priority="226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66">
      <colorScale>
        <cfvo type="num" val="5"/>
        <cfvo type="num" val="10"/>
        <color rgb="FFFF494D"/>
        <color rgb="FF00FF66"/>
      </colorScale>
    </cfRule>
  </conditionalFormatting>
  <conditionalFormatting sqref="H340:H351">
    <cfRule type="containsBlanks" dxfId="1499" priority="2267" stopIfTrue="1">
      <formula>LEN(TRIM(H340))=0</formula>
    </cfRule>
    <cfRule type="cellIs" dxfId="1498" priority="2268" operator="lessThan">
      <formula>2</formula>
    </cfRule>
    <cfRule type="cellIs" dxfId="1497" priority="2269" operator="between">
      <formula>2</formula>
      <formula>4.9</formula>
    </cfRule>
    <cfRule type="cellIs" dxfId="1496" priority="2270" operator="between">
      <formula>5</formula>
      <formula>6.9</formula>
    </cfRule>
    <cfRule type="cellIs" dxfId="1495" priority="2271" operator="between">
      <formula>10.1</formula>
      <formula>10.6</formula>
    </cfRule>
    <cfRule type="cellIs" dxfId="1494" priority="2272" operator="between">
      <formula>7</formula>
      <formula>7.9</formula>
    </cfRule>
    <cfRule type="cellIs" dxfId="1493" priority="2273" stopIfTrue="1" operator="between">
      <formula>8</formula>
      <formula>8.9</formula>
    </cfRule>
    <cfRule type="cellIs" dxfId="1492" priority="2274" operator="between">
      <formula>9</formula>
      <formula>9.9</formula>
    </cfRule>
    <cfRule type="cellIs" dxfId="1491" priority="2275" stopIfTrue="1" operator="between">
      <formula>10</formula>
      <formula>10</formula>
    </cfRule>
  </conditionalFormatting>
  <conditionalFormatting sqref="H353">
    <cfRule type="colorScale" priority="22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33">
      <colorScale>
        <cfvo type="num" val="5"/>
        <cfvo type="num" val="10"/>
        <color rgb="FFFF494D"/>
        <color rgb="FF00FF66"/>
      </colorScale>
    </cfRule>
  </conditionalFormatting>
  <conditionalFormatting sqref="H354:H363">
    <cfRule type="containsBlanks" dxfId="1490" priority="2234" stopIfTrue="1">
      <formula>LEN(TRIM(H354))=0</formula>
    </cfRule>
    <cfRule type="cellIs" dxfId="1489" priority="2235" operator="lessThan">
      <formula>2</formula>
    </cfRule>
    <cfRule type="cellIs" dxfId="1488" priority="2236" operator="between">
      <formula>2</formula>
      <formula>4.9</formula>
    </cfRule>
    <cfRule type="cellIs" dxfId="1487" priority="2237" operator="between">
      <formula>5</formula>
      <formula>6.9</formula>
    </cfRule>
    <cfRule type="cellIs" dxfId="1486" priority="2238" operator="between">
      <formula>10.1</formula>
      <formula>10.6</formula>
    </cfRule>
    <cfRule type="cellIs" dxfId="1485" priority="2239" operator="between">
      <formula>7</formula>
      <formula>7.9</formula>
    </cfRule>
    <cfRule type="cellIs" dxfId="1484" priority="2240" stopIfTrue="1" operator="between">
      <formula>8</formula>
      <formula>8.9</formula>
    </cfRule>
    <cfRule type="cellIs" dxfId="1483" priority="2241" operator="between">
      <formula>9</formula>
      <formula>9.9</formula>
    </cfRule>
    <cfRule type="cellIs" dxfId="1482" priority="2242" stopIfTrue="1" operator="between">
      <formula>10</formula>
      <formula>10</formula>
    </cfRule>
  </conditionalFormatting>
  <conditionalFormatting sqref="H365">
    <cfRule type="colorScale" priority="21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87">
      <colorScale>
        <cfvo type="num" val="5"/>
        <cfvo type="num" val="10"/>
        <color rgb="FFFF494D"/>
        <color rgb="FF00FF66"/>
      </colorScale>
    </cfRule>
  </conditionalFormatting>
  <conditionalFormatting sqref="H366:H372">
    <cfRule type="containsBlanks" dxfId="1481" priority="2188" stopIfTrue="1">
      <formula>LEN(TRIM(H366))=0</formula>
    </cfRule>
    <cfRule type="cellIs" dxfId="1480" priority="2189" operator="lessThan">
      <formula>2</formula>
    </cfRule>
    <cfRule type="cellIs" dxfId="1479" priority="2190" operator="between">
      <formula>2</formula>
      <formula>4.9</formula>
    </cfRule>
    <cfRule type="cellIs" dxfId="1478" priority="2191" operator="between">
      <formula>5</formula>
      <formula>6.9</formula>
    </cfRule>
    <cfRule type="cellIs" dxfId="1477" priority="2192" operator="between">
      <formula>10.1</formula>
      <formula>10.6</formula>
    </cfRule>
    <cfRule type="cellIs" dxfId="1476" priority="2193" operator="between">
      <formula>7</formula>
      <formula>7.9</formula>
    </cfRule>
    <cfRule type="cellIs" dxfId="1475" priority="2194" stopIfTrue="1" operator="between">
      <formula>8</formula>
      <formula>8.9</formula>
    </cfRule>
    <cfRule type="cellIs" dxfId="1474" priority="2195" operator="between">
      <formula>9</formula>
      <formula>9.9</formula>
    </cfRule>
    <cfRule type="cellIs" dxfId="1473" priority="2196" stopIfTrue="1" operator="between">
      <formula>10</formula>
      <formula>10</formula>
    </cfRule>
  </conditionalFormatting>
  <conditionalFormatting sqref="H374">
    <cfRule type="colorScale" priority="21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50">
      <colorScale>
        <cfvo type="num" val="5"/>
        <cfvo type="num" val="10"/>
        <color rgb="FFFF494D"/>
        <color rgb="FF00FF66"/>
      </colorScale>
    </cfRule>
  </conditionalFormatting>
  <conditionalFormatting sqref="H375:H385">
    <cfRule type="containsBlanks" dxfId="1472" priority="2140" stopIfTrue="1">
      <formula>LEN(TRIM(H375))=0</formula>
    </cfRule>
    <cfRule type="cellIs" dxfId="1471" priority="2141" operator="lessThan">
      <formula>2</formula>
    </cfRule>
    <cfRule type="cellIs" dxfId="1470" priority="2142" operator="between">
      <formula>2</formula>
      <formula>4.9</formula>
    </cfRule>
    <cfRule type="cellIs" dxfId="1469" priority="2143" operator="between">
      <formula>5</formula>
      <formula>6.9</formula>
    </cfRule>
    <cfRule type="cellIs" dxfId="1468" priority="2144" operator="between">
      <formula>10.1</formula>
      <formula>10.6</formula>
    </cfRule>
    <cfRule type="cellIs" dxfId="1467" priority="2145" operator="between">
      <formula>7</formula>
      <formula>7.9</formula>
    </cfRule>
    <cfRule type="cellIs" dxfId="1466" priority="2146" stopIfTrue="1" operator="between">
      <formula>8</formula>
      <formula>8.9</formula>
    </cfRule>
    <cfRule type="cellIs" dxfId="1465" priority="2147" operator="between">
      <formula>9</formula>
      <formula>9.9</formula>
    </cfRule>
    <cfRule type="cellIs" dxfId="1464" priority="2148" stopIfTrue="1" operator="between">
      <formula>10</formula>
      <formula>10</formula>
    </cfRule>
  </conditionalFormatting>
  <conditionalFormatting sqref="H387">
    <cfRule type="colorScale" priority="207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74">
      <colorScale>
        <cfvo type="num" val="5"/>
        <cfvo type="num" val="10"/>
        <color rgb="FFFF494D"/>
        <color rgb="FF00FF66"/>
      </colorScale>
    </cfRule>
  </conditionalFormatting>
  <conditionalFormatting sqref="H388:H399">
    <cfRule type="containsBlanks" dxfId="1463" priority="2064" stopIfTrue="1">
      <formula>LEN(TRIM(H388))=0</formula>
    </cfRule>
    <cfRule type="cellIs" dxfId="1462" priority="2065" operator="lessThan">
      <formula>2</formula>
    </cfRule>
    <cfRule type="cellIs" dxfId="1461" priority="2066" operator="between">
      <formula>2</formula>
      <formula>4.9</formula>
    </cfRule>
    <cfRule type="cellIs" dxfId="1460" priority="2067" operator="between">
      <formula>5</formula>
      <formula>6.9</formula>
    </cfRule>
    <cfRule type="cellIs" dxfId="1459" priority="2068" operator="between">
      <formula>10.1</formula>
      <formula>10.6</formula>
    </cfRule>
    <cfRule type="cellIs" dxfId="1458" priority="2069" operator="between">
      <formula>7</formula>
      <formula>7.9</formula>
    </cfRule>
    <cfRule type="cellIs" dxfId="1457" priority="2070" stopIfTrue="1" operator="between">
      <formula>8</formula>
      <formula>8.9</formula>
    </cfRule>
    <cfRule type="cellIs" dxfId="1456" priority="2071" operator="between">
      <formula>9</formula>
      <formula>9.9</formula>
    </cfRule>
    <cfRule type="cellIs" dxfId="1455" priority="2072" stopIfTrue="1" operator="between">
      <formula>10</formula>
      <formula>10</formula>
    </cfRule>
  </conditionalFormatting>
  <conditionalFormatting sqref="H401">
    <cfRule type="colorScale" priority="19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88">
      <colorScale>
        <cfvo type="num" val="5"/>
        <cfvo type="num" val="10"/>
        <color rgb="FFFF494D"/>
        <color rgb="FF00FF66"/>
      </colorScale>
    </cfRule>
  </conditionalFormatting>
  <conditionalFormatting sqref="H402:H413">
    <cfRule type="containsBlanks" dxfId="1454" priority="1989" stopIfTrue="1">
      <formula>LEN(TRIM(H402))=0</formula>
    </cfRule>
    <cfRule type="cellIs" dxfId="1453" priority="1990" operator="lessThan">
      <formula>2</formula>
    </cfRule>
    <cfRule type="cellIs" dxfId="1452" priority="1991" operator="between">
      <formula>2</formula>
      <formula>4.9</formula>
    </cfRule>
    <cfRule type="cellIs" dxfId="1451" priority="1992" operator="between">
      <formula>5</formula>
      <formula>6.9</formula>
    </cfRule>
    <cfRule type="cellIs" dxfId="1450" priority="1993" operator="between">
      <formula>10.1</formula>
      <formula>10.6</formula>
    </cfRule>
    <cfRule type="cellIs" dxfId="1449" priority="1994" operator="between">
      <formula>7</formula>
      <formula>7.9</formula>
    </cfRule>
    <cfRule type="cellIs" dxfId="1448" priority="1995" stopIfTrue="1" operator="between">
      <formula>8</formula>
      <formula>8.9</formula>
    </cfRule>
    <cfRule type="cellIs" dxfId="1447" priority="1996" operator="between">
      <formula>9</formula>
      <formula>9.9</formula>
    </cfRule>
    <cfRule type="cellIs" dxfId="1446" priority="1997" stopIfTrue="1" operator="between">
      <formula>10</formula>
      <formula>10</formula>
    </cfRule>
  </conditionalFormatting>
  <conditionalFormatting sqref="H415">
    <cfRule type="colorScale" priority="19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30">
      <colorScale>
        <cfvo type="num" val="5"/>
        <cfvo type="num" val="10"/>
        <color rgb="FFFF494D"/>
        <color rgb="FF00FF66"/>
      </colorScale>
    </cfRule>
  </conditionalFormatting>
  <conditionalFormatting sqref="H416:H419">
    <cfRule type="containsBlanks" dxfId="1445" priority="1911" stopIfTrue="1">
      <formula>LEN(TRIM(H416))=0</formula>
    </cfRule>
    <cfRule type="cellIs" dxfId="1444" priority="1912" operator="lessThan">
      <formula>2</formula>
    </cfRule>
    <cfRule type="cellIs" dxfId="1443" priority="1913" operator="between">
      <formula>2</formula>
      <formula>4.9</formula>
    </cfRule>
    <cfRule type="cellIs" dxfId="1442" priority="1914" operator="between">
      <formula>5</formula>
      <formula>6.9</formula>
    </cfRule>
    <cfRule type="cellIs" dxfId="1441" priority="1915" operator="between">
      <formula>10.1</formula>
      <formula>10.6</formula>
    </cfRule>
    <cfRule type="cellIs" dxfId="1440" priority="1916" operator="between">
      <formula>7</formula>
      <formula>7.9</formula>
    </cfRule>
    <cfRule type="cellIs" dxfId="1439" priority="1917" stopIfTrue="1" operator="between">
      <formula>8</formula>
      <formula>8.9</formula>
    </cfRule>
    <cfRule type="cellIs" dxfId="1438" priority="1918" operator="between">
      <formula>9</formula>
      <formula>9.9</formula>
    </cfRule>
    <cfRule type="cellIs" dxfId="1437" priority="1919" stopIfTrue="1" operator="between">
      <formula>10</formula>
      <formula>10</formula>
    </cfRule>
  </conditionalFormatting>
  <conditionalFormatting sqref="H421">
    <cfRule type="colorScale" priority="189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99">
      <colorScale>
        <cfvo type="num" val="5"/>
        <cfvo type="num" val="10"/>
        <color rgb="FFFF494D"/>
        <color rgb="FF00FF66"/>
      </colorScale>
    </cfRule>
  </conditionalFormatting>
  <conditionalFormatting sqref="H422:H432">
    <cfRule type="containsBlanks" dxfId="1436" priority="1889" stopIfTrue="1">
      <formula>LEN(TRIM(H422))=0</formula>
    </cfRule>
    <cfRule type="cellIs" dxfId="1435" priority="1890" operator="lessThan">
      <formula>2</formula>
    </cfRule>
    <cfRule type="cellIs" dxfId="1434" priority="1891" operator="between">
      <formula>2</formula>
      <formula>4.9</formula>
    </cfRule>
    <cfRule type="cellIs" dxfId="1433" priority="1892" operator="between">
      <formula>5</formula>
      <formula>6.9</formula>
    </cfRule>
    <cfRule type="cellIs" dxfId="1432" priority="1893" operator="between">
      <formula>10.1</formula>
      <formula>10.6</formula>
    </cfRule>
    <cfRule type="cellIs" dxfId="1431" priority="1894" operator="between">
      <formula>7</formula>
      <formula>7.9</formula>
    </cfRule>
    <cfRule type="cellIs" dxfId="1430" priority="1895" stopIfTrue="1" operator="between">
      <formula>8</formula>
      <formula>8.9</formula>
    </cfRule>
    <cfRule type="cellIs" dxfId="1429" priority="1896" operator="between">
      <formula>9</formula>
      <formula>9.9</formula>
    </cfRule>
    <cfRule type="cellIs" dxfId="1428" priority="1897" stopIfTrue="1" operator="between">
      <formula>10</formula>
      <formula>10</formula>
    </cfRule>
  </conditionalFormatting>
  <conditionalFormatting sqref="H434">
    <cfRule type="colorScale" priority="182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22">
      <colorScale>
        <cfvo type="num" val="5"/>
        <cfvo type="num" val="10"/>
        <color rgb="FFFF494D"/>
        <color rgb="FF00FF66"/>
      </colorScale>
    </cfRule>
  </conditionalFormatting>
  <conditionalFormatting sqref="H435:H449">
    <cfRule type="containsBlanks" dxfId="1427" priority="1823" stopIfTrue="1">
      <formula>LEN(TRIM(H435))=0</formula>
    </cfRule>
    <cfRule type="cellIs" dxfId="1426" priority="1824" operator="lessThan">
      <formula>2</formula>
    </cfRule>
    <cfRule type="cellIs" dxfId="1425" priority="1825" operator="between">
      <formula>2</formula>
      <formula>4.9</formula>
    </cfRule>
    <cfRule type="cellIs" dxfId="1424" priority="1826" operator="between">
      <formula>5</formula>
      <formula>6.9</formula>
    </cfRule>
    <cfRule type="cellIs" dxfId="1423" priority="1827" operator="between">
      <formula>10.1</formula>
      <formula>10.6</formula>
    </cfRule>
    <cfRule type="cellIs" dxfId="1422" priority="1828" operator="between">
      <formula>7</formula>
      <formula>7.9</formula>
    </cfRule>
    <cfRule type="cellIs" dxfId="1421" priority="1829" stopIfTrue="1" operator="between">
      <formula>8</formula>
      <formula>8.9</formula>
    </cfRule>
    <cfRule type="cellIs" dxfId="1420" priority="1830" operator="between">
      <formula>9</formula>
      <formula>9.9</formula>
    </cfRule>
    <cfRule type="cellIs" dxfId="1419" priority="1831" stopIfTrue="1" operator="between">
      <formula>10</formula>
      <formula>10</formula>
    </cfRule>
  </conditionalFormatting>
  <conditionalFormatting sqref="H451">
    <cfRule type="colorScale" priority="17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36">
      <colorScale>
        <cfvo type="num" val="5"/>
        <cfvo type="num" val="10"/>
        <color rgb="FFFF494D"/>
        <color rgb="FF00FF66"/>
      </colorScale>
    </cfRule>
  </conditionalFormatting>
  <conditionalFormatting sqref="H452:H465">
    <cfRule type="containsBlanks" dxfId="1418" priority="1737" stopIfTrue="1">
      <formula>LEN(TRIM(H452))=0</formula>
    </cfRule>
    <cfRule type="cellIs" dxfId="1417" priority="1738" operator="lessThan">
      <formula>2</formula>
    </cfRule>
    <cfRule type="cellIs" dxfId="1416" priority="1739" operator="between">
      <formula>2</formula>
      <formula>4.9</formula>
    </cfRule>
    <cfRule type="cellIs" dxfId="1415" priority="1740" operator="between">
      <formula>5</formula>
      <formula>6.9</formula>
    </cfRule>
    <cfRule type="cellIs" dxfId="1414" priority="1741" operator="between">
      <formula>10.1</formula>
      <formula>10.6</formula>
    </cfRule>
    <cfRule type="cellIs" dxfId="1413" priority="1742" operator="between">
      <formula>7</formula>
      <formula>7.9</formula>
    </cfRule>
    <cfRule type="cellIs" dxfId="1412" priority="1743" stopIfTrue="1" operator="between">
      <formula>8</formula>
      <formula>8.9</formula>
    </cfRule>
    <cfRule type="cellIs" dxfId="1411" priority="1744" operator="between">
      <formula>9</formula>
      <formula>9.9</formula>
    </cfRule>
    <cfRule type="cellIs" dxfId="1410" priority="1745" stopIfTrue="1" operator="between">
      <formula>10</formula>
      <formula>10</formula>
    </cfRule>
  </conditionalFormatting>
  <conditionalFormatting sqref="H467">
    <cfRule type="colorScale" priority="16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92">
      <colorScale>
        <cfvo type="num" val="5"/>
        <cfvo type="num" val="10"/>
        <color rgb="FFFF494D"/>
        <color rgb="FF00FF66"/>
      </colorScale>
    </cfRule>
  </conditionalFormatting>
  <conditionalFormatting sqref="H468:H472">
    <cfRule type="containsBlanks" dxfId="1409" priority="1693" stopIfTrue="1">
      <formula>LEN(TRIM(H468))=0</formula>
    </cfRule>
    <cfRule type="cellIs" dxfId="1408" priority="1694" operator="lessThan">
      <formula>2</formula>
    </cfRule>
    <cfRule type="cellIs" dxfId="1407" priority="1695" operator="between">
      <formula>2</formula>
      <formula>4.9</formula>
    </cfRule>
    <cfRule type="cellIs" dxfId="1406" priority="1696" operator="between">
      <formula>5</formula>
      <formula>6.9</formula>
    </cfRule>
    <cfRule type="cellIs" dxfId="1405" priority="1697" operator="between">
      <formula>10.1</formula>
      <formula>10.6</formula>
    </cfRule>
    <cfRule type="cellIs" dxfId="1404" priority="1698" operator="between">
      <formula>7</formula>
      <formula>7.9</formula>
    </cfRule>
    <cfRule type="cellIs" dxfId="1403" priority="1699" stopIfTrue="1" operator="between">
      <formula>8</formula>
      <formula>8.9</formula>
    </cfRule>
    <cfRule type="cellIs" dxfId="1402" priority="1700" operator="between">
      <formula>9</formula>
      <formula>9.9</formula>
    </cfRule>
    <cfRule type="cellIs" dxfId="1401" priority="1701" stopIfTrue="1" operator="between">
      <formula>10</formula>
      <formula>10</formula>
    </cfRule>
  </conditionalFormatting>
  <conditionalFormatting sqref="H474">
    <cfRule type="colorScale" priority="165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59">
      <colorScale>
        <cfvo type="num" val="5"/>
        <cfvo type="num" val="10"/>
        <color rgb="FFFF494D"/>
        <color rgb="FF00FF66"/>
      </colorScale>
    </cfRule>
  </conditionalFormatting>
  <conditionalFormatting sqref="H475:H486">
    <cfRule type="containsBlanks" dxfId="1400" priority="1660" stopIfTrue="1">
      <formula>LEN(TRIM(H475))=0</formula>
    </cfRule>
    <cfRule type="cellIs" dxfId="1399" priority="1661" operator="lessThan">
      <formula>2</formula>
    </cfRule>
    <cfRule type="cellIs" dxfId="1398" priority="1662" operator="between">
      <formula>2</formula>
      <formula>4.9</formula>
    </cfRule>
    <cfRule type="cellIs" dxfId="1397" priority="1663" operator="between">
      <formula>5</formula>
      <formula>6.9</formula>
    </cfRule>
    <cfRule type="cellIs" dxfId="1396" priority="1664" operator="between">
      <formula>10.1</formula>
      <formula>10.6</formula>
    </cfRule>
    <cfRule type="cellIs" dxfId="1395" priority="1665" operator="between">
      <formula>7</formula>
      <formula>7.9</formula>
    </cfRule>
    <cfRule type="cellIs" dxfId="1394" priority="1666" stopIfTrue="1" operator="between">
      <formula>8</formula>
      <formula>8.9</formula>
    </cfRule>
    <cfRule type="cellIs" dxfId="1393" priority="1667" operator="between">
      <formula>9</formula>
      <formula>9.9</formula>
    </cfRule>
    <cfRule type="cellIs" dxfId="1392" priority="1668" stopIfTrue="1" operator="between">
      <formula>10</formula>
      <formula>10</formula>
    </cfRule>
  </conditionalFormatting>
  <conditionalFormatting sqref="H488">
    <cfRule type="colorScale" priority="161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13">
      <colorScale>
        <cfvo type="num" val="5"/>
        <cfvo type="num" val="10"/>
        <color rgb="FFFF494D"/>
        <color rgb="FF00FF66"/>
      </colorScale>
    </cfRule>
  </conditionalFormatting>
  <conditionalFormatting sqref="H489:H498">
    <cfRule type="containsBlanks" dxfId="1391" priority="1603" stopIfTrue="1">
      <formula>LEN(TRIM(H489))=0</formula>
    </cfRule>
    <cfRule type="cellIs" dxfId="1390" priority="1604" operator="lessThan">
      <formula>2</formula>
    </cfRule>
    <cfRule type="cellIs" dxfId="1389" priority="1605" operator="between">
      <formula>2</formula>
      <formula>4.9</formula>
    </cfRule>
    <cfRule type="cellIs" dxfId="1388" priority="1606" operator="between">
      <formula>5</formula>
      <formula>6.9</formula>
    </cfRule>
    <cfRule type="cellIs" dxfId="1387" priority="1607" operator="between">
      <formula>10.1</formula>
      <formula>10.6</formula>
    </cfRule>
    <cfRule type="cellIs" dxfId="1386" priority="1608" operator="between">
      <formula>7</formula>
      <formula>7.9</formula>
    </cfRule>
    <cfRule type="cellIs" dxfId="1385" priority="1609" stopIfTrue="1" operator="between">
      <formula>8</formula>
      <formula>8.9</formula>
    </cfRule>
    <cfRule type="cellIs" dxfId="1384" priority="1610" operator="between">
      <formula>9</formula>
      <formula>9.9</formula>
    </cfRule>
    <cfRule type="cellIs" dxfId="1383" priority="1611" stopIfTrue="1" operator="between">
      <formula>10</formula>
      <formula>10</formula>
    </cfRule>
  </conditionalFormatting>
  <conditionalFormatting sqref="H500">
    <cfRule type="colorScale" priority="154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49">
      <colorScale>
        <cfvo type="num" val="5"/>
        <cfvo type="num" val="10"/>
        <color rgb="FFFF494D"/>
        <color rgb="FF00FF66"/>
      </colorScale>
    </cfRule>
  </conditionalFormatting>
  <conditionalFormatting sqref="H501:H510">
    <cfRule type="containsBlanks" dxfId="1382" priority="1550" stopIfTrue="1">
      <formula>LEN(TRIM(H501))=0</formula>
    </cfRule>
    <cfRule type="cellIs" dxfId="1381" priority="1551" operator="lessThan">
      <formula>2</formula>
    </cfRule>
    <cfRule type="cellIs" dxfId="1380" priority="1552" operator="between">
      <formula>2</formula>
      <formula>4.9</formula>
    </cfRule>
    <cfRule type="cellIs" dxfId="1379" priority="1553" operator="between">
      <formula>5</formula>
      <formula>6.9</formula>
    </cfRule>
    <cfRule type="cellIs" dxfId="1378" priority="1554" operator="between">
      <formula>10.1</formula>
      <formula>10.6</formula>
    </cfRule>
    <cfRule type="cellIs" dxfId="1377" priority="1555" operator="between">
      <formula>7</formula>
      <formula>7.9</formula>
    </cfRule>
    <cfRule type="cellIs" dxfId="1376" priority="1556" stopIfTrue="1" operator="between">
      <formula>8</formula>
      <formula>8.9</formula>
    </cfRule>
    <cfRule type="cellIs" dxfId="1375" priority="1557" operator="between">
      <formula>9</formula>
      <formula>9.9</formula>
    </cfRule>
    <cfRule type="cellIs" dxfId="1374" priority="1558" stopIfTrue="1" operator="between">
      <formula>10</formula>
      <formula>10</formula>
    </cfRule>
  </conditionalFormatting>
  <conditionalFormatting sqref="H512">
    <cfRule type="colorScale" priority="15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16">
      <colorScale>
        <cfvo type="num" val="5"/>
        <cfvo type="num" val="10"/>
        <color rgb="FFFF494D"/>
        <color rgb="FF00FF66"/>
      </colorScale>
    </cfRule>
  </conditionalFormatting>
  <conditionalFormatting sqref="H513:H519">
    <cfRule type="containsBlanks" dxfId="1373" priority="1517" stopIfTrue="1">
      <formula>LEN(TRIM(H513))=0</formula>
    </cfRule>
    <cfRule type="cellIs" dxfId="1372" priority="1518" operator="lessThan">
      <formula>2</formula>
    </cfRule>
    <cfRule type="cellIs" dxfId="1371" priority="1519" operator="between">
      <formula>2</formula>
      <formula>4.9</formula>
    </cfRule>
    <cfRule type="cellIs" dxfId="1370" priority="1520" operator="between">
      <formula>5</formula>
      <formula>6.9</formula>
    </cfRule>
    <cfRule type="cellIs" dxfId="1369" priority="1521" operator="between">
      <formula>10.1</formula>
      <formula>10.6</formula>
    </cfRule>
    <cfRule type="cellIs" dxfId="1368" priority="1522" operator="between">
      <formula>7</formula>
      <formula>7.9</formula>
    </cfRule>
    <cfRule type="cellIs" dxfId="1367" priority="1523" stopIfTrue="1" operator="between">
      <formula>8</formula>
      <formula>8.9</formula>
    </cfRule>
    <cfRule type="cellIs" dxfId="1366" priority="1524" operator="between">
      <formula>9</formula>
      <formula>9.9</formula>
    </cfRule>
    <cfRule type="cellIs" dxfId="1365" priority="1525" stopIfTrue="1" operator="between">
      <formula>10</formula>
      <formula>10</formula>
    </cfRule>
  </conditionalFormatting>
  <conditionalFormatting sqref="H521">
    <cfRule type="colorScale" priority="14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70">
      <colorScale>
        <cfvo type="num" val="5"/>
        <cfvo type="num" val="10"/>
        <color rgb="FFFF494D"/>
        <color rgb="FF00FF66"/>
      </colorScale>
    </cfRule>
  </conditionalFormatting>
  <conditionalFormatting sqref="H522:H528">
    <cfRule type="containsBlanks" dxfId="1364" priority="1460" stopIfTrue="1">
      <formula>LEN(TRIM(H522))=0</formula>
    </cfRule>
    <cfRule type="cellIs" dxfId="1363" priority="1461" operator="lessThan">
      <formula>2</formula>
    </cfRule>
    <cfRule type="cellIs" dxfId="1362" priority="1462" operator="between">
      <formula>2</formula>
      <formula>4.9</formula>
    </cfRule>
    <cfRule type="cellIs" dxfId="1361" priority="1463" operator="between">
      <formula>5</formula>
      <formula>6.9</formula>
    </cfRule>
    <cfRule type="cellIs" dxfId="1360" priority="1464" operator="between">
      <formula>10.1</formula>
      <formula>10.6</formula>
    </cfRule>
    <cfRule type="cellIs" dxfId="1359" priority="1465" operator="between">
      <formula>7</formula>
      <formula>7.9</formula>
    </cfRule>
    <cfRule type="cellIs" dxfId="1358" priority="1466" stopIfTrue="1" operator="between">
      <formula>8</formula>
      <formula>8.9</formula>
    </cfRule>
    <cfRule type="cellIs" dxfId="1357" priority="1467" operator="between">
      <formula>9</formula>
      <formula>9.9</formula>
    </cfRule>
    <cfRule type="cellIs" dxfId="1356" priority="1468" stopIfTrue="1" operator="between">
      <formula>10</formula>
      <formula>10</formula>
    </cfRule>
  </conditionalFormatting>
  <conditionalFormatting sqref="H530">
    <cfRule type="colorScale" priority="14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06">
      <colorScale>
        <cfvo type="num" val="5"/>
        <cfvo type="num" val="10"/>
        <color rgb="FFFF494D"/>
        <color rgb="FF00FF66"/>
      </colorScale>
    </cfRule>
  </conditionalFormatting>
  <conditionalFormatting sqref="H531:H542">
    <cfRule type="containsBlanks" dxfId="1355" priority="1407" stopIfTrue="1">
      <formula>LEN(TRIM(H531))=0</formula>
    </cfRule>
    <cfRule type="cellIs" dxfId="1354" priority="1408" operator="lessThan">
      <formula>2</formula>
    </cfRule>
    <cfRule type="cellIs" dxfId="1353" priority="1409" operator="between">
      <formula>2</formula>
      <formula>4.9</formula>
    </cfRule>
    <cfRule type="cellIs" dxfId="1352" priority="1410" operator="between">
      <formula>5</formula>
      <formula>6.9</formula>
    </cfRule>
    <cfRule type="cellIs" dxfId="1351" priority="1411" operator="between">
      <formula>10.1</formula>
      <formula>10.6</formula>
    </cfRule>
    <cfRule type="cellIs" dxfId="1350" priority="1412" operator="between">
      <formula>7</formula>
      <formula>7.9</formula>
    </cfRule>
    <cfRule type="cellIs" dxfId="1349" priority="1413" stopIfTrue="1" operator="between">
      <formula>8</formula>
      <formula>8.9</formula>
    </cfRule>
    <cfRule type="cellIs" dxfId="1348" priority="1414" operator="between">
      <formula>9</formula>
      <formula>9.9</formula>
    </cfRule>
    <cfRule type="cellIs" dxfId="1347" priority="1415" stopIfTrue="1" operator="between">
      <formula>10</formula>
      <formula>10</formula>
    </cfRule>
  </conditionalFormatting>
  <conditionalFormatting sqref="H544">
    <cfRule type="colorScale" priority="136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62">
      <colorScale>
        <cfvo type="num" val="5"/>
        <cfvo type="num" val="10"/>
        <color rgb="FFFF494D"/>
        <color rgb="FF00FF66"/>
      </colorScale>
    </cfRule>
  </conditionalFormatting>
  <conditionalFormatting sqref="H545:H560">
    <cfRule type="containsBlanks" dxfId="1346" priority="1363" stopIfTrue="1">
      <formula>LEN(TRIM(H545))=0</formula>
    </cfRule>
    <cfRule type="cellIs" dxfId="1345" priority="1364" operator="lessThan">
      <formula>2</formula>
    </cfRule>
    <cfRule type="cellIs" dxfId="1344" priority="1365" operator="between">
      <formula>2</formula>
      <formula>4.9</formula>
    </cfRule>
    <cfRule type="cellIs" dxfId="1343" priority="1366" operator="between">
      <formula>5</formula>
      <formula>6.9</formula>
    </cfRule>
    <cfRule type="cellIs" dxfId="1342" priority="1367" operator="between">
      <formula>10.1</formula>
      <formula>10.6</formula>
    </cfRule>
    <cfRule type="cellIs" dxfId="1341" priority="1368" operator="between">
      <formula>7</formula>
      <formula>7.9</formula>
    </cfRule>
    <cfRule type="cellIs" dxfId="1340" priority="1369" stopIfTrue="1" operator="between">
      <formula>8</formula>
      <formula>8.9</formula>
    </cfRule>
    <cfRule type="cellIs" dxfId="1339" priority="1370" operator="between">
      <formula>9</formula>
      <formula>9.9</formula>
    </cfRule>
    <cfRule type="cellIs" dxfId="1338" priority="1371" stopIfTrue="1" operator="between">
      <formula>10</formula>
      <formula>10</formula>
    </cfRule>
  </conditionalFormatting>
  <conditionalFormatting sqref="H562">
    <cfRule type="colorScale" priority="12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85">
      <colorScale>
        <cfvo type="num" val="5"/>
        <cfvo type="num" val="10"/>
        <color rgb="FFFF494D"/>
        <color rgb="FF00FF66"/>
      </colorScale>
    </cfRule>
  </conditionalFormatting>
  <conditionalFormatting sqref="H563:H570">
    <cfRule type="containsBlanks" dxfId="1337" priority="1286" stopIfTrue="1">
      <formula>LEN(TRIM(H563))=0</formula>
    </cfRule>
    <cfRule type="cellIs" dxfId="1336" priority="1287" operator="lessThan">
      <formula>2</formula>
    </cfRule>
    <cfRule type="cellIs" dxfId="1335" priority="1288" operator="between">
      <formula>2</formula>
      <formula>4.9</formula>
    </cfRule>
    <cfRule type="cellIs" dxfId="1334" priority="1289" operator="between">
      <formula>5</formula>
      <formula>6.9</formula>
    </cfRule>
    <cfRule type="cellIs" dxfId="1333" priority="1290" operator="between">
      <formula>10.1</formula>
      <formula>10.6</formula>
    </cfRule>
    <cfRule type="cellIs" dxfId="1332" priority="1291" operator="between">
      <formula>7</formula>
      <formula>7.9</formula>
    </cfRule>
    <cfRule type="cellIs" dxfId="1331" priority="1292" stopIfTrue="1" operator="between">
      <formula>8</formula>
      <formula>8.9</formula>
    </cfRule>
    <cfRule type="cellIs" dxfId="1330" priority="1293" operator="between">
      <formula>9</formula>
      <formula>9.9</formula>
    </cfRule>
    <cfRule type="cellIs" dxfId="1329" priority="1294" stopIfTrue="1" operator="between">
      <formula>10</formula>
      <formula>10</formula>
    </cfRule>
  </conditionalFormatting>
  <conditionalFormatting sqref="H572">
    <cfRule type="colorScale" priority="12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41">
      <colorScale>
        <cfvo type="num" val="5"/>
        <cfvo type="num" val="10"/>
        <color rgb="FFFF494D"/>
        <color rgb="FF00FF66"/>
      </colorScale>
    </cfRule>
  </conditionalFormatting>
  <conditionalFormatting sqref="H573:H585">
    <cfRule type="containsBlanks" dxfId="1328" priority="1242" stopIfTrue="1">
      <formula>LEN(TRIM(H573))=0</formula>
    </cfRule>
    <cfRule type="cellIs" dxfId="1327" priority="1243" operator="lessThan">
      <formula>2</formula>
    </cfRule>
    <cfRule type="cellIs" dxfId="1326" priority="1244" operator="between">
      <formula>2</formula>
      <formula>4.9</formula>
    </cfRule>
    <cfRule type="cellIs" dxfId="1325" priority="1245" operator="between">
      <formula>5</formula>
      <formula>6.9</formula>
    </cfRule>
    <cfRule type="cellIs" dxfId="1324" priority="1246" operator="between">
      <formula>10.1</formula>
      <formula>10.6</formula>
    </cfRule>
    <cfRule type="cellIs" dxfId="1323" priority="1247" operator="between">
      <formula>7</formula>
      <formula>7.9</formula>
    </cfRule>
    <cfRule type="cellIs" dxfId="1322" priority="1248" stopIfTrue="1" operator="between">
      <formula>8</formula>
      <formula>8.9</formula>
    </cfRule>
    <cfRule type="cellIs" dxfId="1321" priority="1249" operator="between">
      <formula>9</formula>
      <formula>9.9</formula>
    </cfRule>
    <cfRule type="cellIs" dxfId="1320" priority="1250" stopIfTrue="1" operator="between">
      <formula>10</formula>
      <formula>10</formula>
    </cfRule>
  </conditionalFormatting>
  <conditionalFormatting sqref="H587">
    <cfRule type="colorScale" priority="11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97">
      <colorScale>
        <cfvo type="num" val="5"/>
        <cfvo type="num" val="10"/>
        <color rgb="FFFF494D"/>
        <color rgb="FF00FF66"/>
      </colorScale>
    </cfRule>
  </conditionalFormatting>
  <conditionalFormatting sqref="H588:H594">
    <cfRule type="containsBlanks" dxfId="1319" priority="1198" stopIfTrue="1">
      <formula>LEN(TRIM(H588))=0</formula>
    </cfRule>
    <cfRule type="cellIs" dxfId="1318" priority="1199" operator="lessThan">
      <formula>2</formula>
    </cfRule>
    <cfRule type="cellIs" dxfId="1317" priority="1200" operator="between">
      <formula>2</formula>
      <formula>4.9</formula>
    </cfRule>
    <cfRule type="cellIs" dxfId="1316" priority="1201" operator="between">
      <formula>5</formula>
      <formula>6.9</formula>
    </cfRule>
    <cfRule type="cellIs" dxfId="1315" priority="1202" operator="between">
      <formula>10.1</formula>
      <formula>10.6</formula>
    </cfRule>
    <cfRule type="cellIs" dxfId="1314" priority="1203" operator="between">
      <formula>7</formula>
      <formula>7.9</formula>
    </cfRule>
    <cfRule type="cellIs" dxfId="1313" priority="1204" stopIfTrue="1" operator="between">
      <formula>8</formula>
      <formula>8.9</formula>
    </cfRule>
    <cfRule type="cellIs" dxfId="1312" priority="1205" operator="between">
      <formula>9</formula>
      <formula>9.9</formula>
    </cfRule>
    <cfRule type="cellIs" dxfId="1311" priority="1206" stopIfTrue="1" operator="between">
      <formula>10</formula>
      <formula>10</formula>
    </cfRule>
  </conditionalFormatting>
  <conditionalFormatting sqref="H596">
    <cfRule type="colorScale" priority="116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64">
      <colorScale>
        <cfvo type="num" val="5"/>
        <cfvo type="num" val="10"/>
        <color rgb="FFFF494D"/>
        <color rgb="FF00FF66"/>
      </colorScale>
    </cfRule>
  </conditionalFormatting>
  <conditionalFormatting sqref="H597:H602">
    <cfRule type="containsBlanks" dxfId="1310" priority="1165" stopIfTrue="1">
      <formula>LEN(TRIM(H597))=0</formula>
    </cfRule>
    <cfRule type="cellIs" dxfId="1309" priority="1166" operator="lessThan">
      <formula>2</formula>
    </cfRule>
    <cfRule type="cellIs" dxfId="1308" priority="1167" operator="between">
      <formula>2</formula>
      <formula>4.9</formula>
    </cfRule>
    <cfRule type="cellIs" dxfId="1307" priority="1168" operator="between">
      <formula>5</formula>
      <formula>6.9</formula>
    </cfRule>
    <cfRule type="cellIs" dxfId="1306" priority="1169" operator="between">
      <formula>10.1</formula>
      <formula>10.6</formula>
    </cfRule>
    <cfRule type="cellIs" dxfId="1305" priority="1170" operator="between">
      <formula>7</formula>
      <formula>7.9</formula>
    </cfRule>
    <cfRule type="cellIs" dxfId="1304" priority="1171" stopIfTrue="1" operator="between">
      <formula>8</formula>
      <formula>8.9</formula>
    </cfRule>
    <cfRule type="cellIs" dxfId="1303" priority="1172" operator="between">
      <formula>9</formula>
      <formula>9.9</formula>
    </cfRule>
    <cfRule type="cellIs" dxfId="1302" priority="1173" stopIfTrue="1" operator="between">
      <formula>10</formula>
      <formula>10</formula>
    </cfRule>
  </conditionalFormatting>
  <conditionalFormatting sqref="H604">
    <cfRule type="colorScale" priority="110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09">
      <colorScale>
        <cfvo type="num" val="5"/>
        <cfvo type="num" val="10"/>
        <color rgb="FFFF494D"/>
        <color rgb="FF00FF66"/>
      </colorScale>
    </cfRule>
  </conditionalFormatting>
  <conditionalFormatting sqref="H605:H634">
    <cfRule type="containsBlanks" dxfId="1301" priority="1110" stopIfTrue="1">
      <formula>LEN(TRIM(H605))=0</formula>
    </cfRule>
    <cfRule type="cellIs" dxfId="1300" priority="1111" operator="lessThan">
      <formula>2</formula>
    </cfRule>
    <cfRule type="cellIs" dxfId="1299" priority="1112" operator="between">
      <formula>2</formula>
      <formula>4.9</formula>
    </cfRule>
    <cfRule type="cellIs" dxfId="1298" priority="1113" operator="between">
      <formula>5</formula>
      <formula>6.9</formula>
    </cfRule>
    <cfRule type="cellIs" dxfId="1297" priority="1114" operator="between">
      <formula>10.1</formula>
      <formula>10.6</formula>
    </cfRule>
    <cfRule type="cellIs" dxfId="1296" priority="1115" operator="between">
      <formula>7</formula>
      <formula>7.9</formula>
    </cfRule>
    <cfRule type="cellIs" dxfId="1295" priority="1116" stopIfTrue="1" operator="between">
      <formula>8</formula>
      <formula>8.9</formula>
    </cfRule>
    <cfRule type="cellIs" dxfId="1294" priority="1117" operator="between">
      <formula>9</formula>
      <formula>9.9</formula>
    </cfRule>
    <cfRule type="cellIs" dxfId="1293" priority="1118" stopIfTrue="1" operator="between">
      <formula>10</formula>
      <formula>10</formula>
    </cfRule>
  </conditionalFormatting>
  <conditionalFormatting sqref="H636">
    <cfRule type="colorScale" priority="9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88">
      <colorScale>
        <cfvo type="num" val="5"/>
        <cfvo type="num" val="10"/>
        <color rgb="FFFF494D"/>
        <color rgb="FF00FF66"/>
      </colorScale>
    </cfRule>
  </conditionalFormatting>
  <conditionalFormatting sqref="H637:H644">
    <cfRule type="containsBlanks" dxfId="1292" priority="989" stopIfTrue="1">
      <formula>LEN(TRIM(H637))=0</formula>
    </cfRule>
    <cfRule type="cellIs" dxfId="1291" priority="990" operator="lessThan">
      <formula>2</formula>
    </cfRule>
    <cfRule type="cellIs" dxfId="1290" priority="991" operator="between">
      <formula>2</formula>
      <formula>4.9</formula>
    </cfRule>
    <cfRule type="cellIs" dxfId="1289" priority="992" operator="between">
      <formula>5</formula>
      <formula>6.9</formula>
    </cfRule>
    <cfRule type="cellIs" dxfId="1288" priority="993" operator="between">
      <formula>10.1</formula>
      <formula>10.6</formula>
    </cfRule>
    <cfRule type="cellIs" dxfId="1287" priority="994" operator="between">
      <formula>7</formula>
      <formula>7.9</formula>
    </cfRule>
    <cfRule type="cellIs" dxfId="1286" priority="995" stopIfTrue="1" operator="between">
      <formula>8</formula>
      <formula>8.9</formula>
    </cfRule>
    <cfRule type="cellIs" dxfId="1285" priority="996" operator="between">
      <formula>9</formula>
      <formula>9.9</formula>
    </cfRule>
    <cfRule type="cellIs" dxfId="1284" priority="997" stopIfTrue="1" operator="between">
      <formula>10</formula>
      <formula>10</formula>
    </cfRule>
  </conditionalFormatting>
  <conditionalFormatting sqref="H646">
    <cfRule type="colorScale" priority="9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55">
      <colorScale>
        <cfvo type="num" val="5"/>
        <cfvo type="num" val="10"/>
        <color rgb="FFFF494D"/>
        <color rgb="FF00FF66"/>
      </colorScale>
    </cfRule>
  </conditionalFormatting>
  <conditionalFormatting sqref="H647:H655">
    <cfRule type="containsBlanks" dxfId="1283" priority="956" stopIfTrue="1">
      <formula>LEN(TRIM(H647))=0</formula>
    </cfRule>
    <cfRule type="cellIs" dxfId="1282" priority="957" operator="lessThan">
      <formula>2</formula>
    </cfRule>
    <cfRule type="cellIs" dxfId="1281" priority="958" operator="between">
      <formula>2</formula>
      <formula>4.9</formula>
    </cfRule>
    <cfRule type="cellIs" dxfId="1280" priority="959" operator="between">
      <formula>5</formula>
      <formula>6.9</formula>
    </cfRule>
    <cfRule type="cellIs" dxfId="1279" priority="960" operator="between">
      <formula>10.1</formula>
      <formula>10.6</formula>
    </cfRule>
    <cfRule type="cellIs" dxfId="1278" priority="961" operator="between">
      <formula>7</formula>
      <formula>7.9</formula>
    </cfRule>
    <cfRule type="cellIs" dxfId="1277" priority="962" stopIfTrue="1" operator="between">
      <formula>8</formula>
      <formula>8.9</formula>
    </cfRule>
    <cfRule type="cellIs" dxfId="1276" priority="963" operator="between">
      <formula>9</formula>
      <formula>9.9</formula>
    </cfRule>
    <cfRule type="cellIs" dxfId="1275" priority="964" stopIfTrue="1" operator="between">
      <formula>10</formula>
      <formula>10</formula>
    </cfRule>
  </conditionalFormatting>
  <conditionalFormatting sqref="H657">
    <cfRule type="colorScale" priority="9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11">
      <colorScale>
        <cfvo type="num" val="5"/>
        <cfvo type="num" val="10"/>
        <color rgb="FFFF494D"/>
        <color rgb="FF00FF66"/>
      </colorScale>
    </cfRule>
  </conditionalFormatting>
  <conditionalFormatting sqref="H658:H668">
    <cfRule type="containsBlanks" dxfId="1274" priority="912" stopIfTrue="1">
      <formula>LEN(TRIM(H658))=0</formula>
    </cfRule>
    <cfRule type="cellIs" dxfId="1273" priority="913" operator="lessThan">
      <formula>2</formula>
    </cfRule>
    <cfRule type="cellIs" dxfId="1272" priority="914" operator="between">
      <formula>2</formula>
      <formula>4.9</formula>
    </cfRule>
    <cfRule type="cellIs" dxfId="1271" priority="915" operator="between">
      <formula>5</formula>
      <formula>6.9</formula>
    </cfRule>
    <cfRule type="cellIs" dxfId="1270" priority="916" operator="between">
      <formula>10.1</formula>
      <formula>10.6</formula>
    </cfRule>
    <cfRule type="cellIs" dxfId="1269" priority="917" operator="between">
      <formula>7</formula>
      <formula>7.9</formula>
    </cfRule>
    <cfRule type="cellIs" dxfId="1268" priority="918" stopIfTrue="1" operator="between">
      <formula>8</formula>
      <formula>8.9</formula>
    </cfRule>
    <cfRule type="cellIs" dxfId="1267" priority="919" operator="between">
      <formula>9</formula>
      <formula>9.9</formula>
    </cfRule>
    <cfRule type="cellIs" dxfId="1266" priority="920" stopIfTrue="1" operator="between">
      <formula>10</formula>
      <formula>10</formula>
    </cfRule>
  </conditionalFormatting>
  <conditionalFormatting sqref="H670">
    <cfRule type="colorScale" priority="84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45">
      <colorScale>
        <cfvo type="num" val="5"/>
        <cfvo type="num" val="10"/>
        <color rgb="FFFF494D"/>
        <color rgb="FF00FF66"/>
      </colorScale>
    </cfRule>
  </conditionalFormatting>
  <conditionalFormatting sqref="H671:H679">
    <cfRule type="containsBlanks" dxfId="1265" priority="846" stopIfTrue="1">
      <formula>LEN(TRIM(H671))=0</formula>
    </cfRule>
    <cfRule type="cellIs" dxfId="1264" priority="847" operator="lessThan">
      <formula>2</formula>
    </cfRule>
    <cfRule type="cellIs" dxfId="1263" priority="848" operator="between">
      <formula>2</formula>
      <formula>4.9</formula>
    </cfRule>
    <cfRule type="cellIs" dxfId="1262" priority="849" operator="between">
      <formula>5</formula>
      <formula>6.9</formula>
    </cfRule>
    <cfRule type="cellIs" dxfId="1261" priority="850" operator="between">
      <formula>10.1</formula>
      <formula>10.6</formula>
    </cfRule>
    <cfRule type="cellIs" dxfId="1260" priority="851" operator="between">
      <formula>7</formula>
      <formula>7.9</formula>
    </cfRule>
    <cfRule type="cellIs" dxfId="1259" priority="852" stopIfTrue="1" operator="between">
      <formula>8</formula>
      <formula>8.9</formula>
    </cfRule>
    <cfRule type="cellIs" dxfId="1258" priority="853" operator="between">
      <formula>9</formula>
      <formula>9.9</formula>
    </cfRule>
    <cfRule type="cellIs" dxfId="1257" priority="854" stopIfTrue="1" operator="between">
      <formula>10</formula>
      <formula>10</formula>
    </cfRule>
  </conditionalFormatting>
  <conditionalFormatting sqref="H681">
    <cfRule type="colorScale" priority="78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90">
      <colorScale>
        <cfvo type="num" val="5"/>
        <cfvo type="num" val="10"/>
        <color rgb="FFFF494D"/>
        <color rgb="FF00FF66"/>
      </colorScale>
    </cfRule>
  </conditionalFormatting>
  <conditionalFormatting sqref="H682:H683">
    <cfRule type="containsBlanks" dxfId="1256" priority="791" stopIfTrue="1">
      <formula>LEN(TRIM(H682))=0</formula>
    </cfRule>
    <cfRule type="cellIs" dxfId="1255" priority="792" operator="lessThan">
      <formula>2</formula>
    </cfRule>
    <cfRule type="cellIs" dxfId="1254" priority="793" operator="between">
      <formula>2</formula>
      <formula>4.9</formula>
    </cfRule>
    <cfRule type="cellIs" dxfId="1253" priority="794" operator="between">
      <formula>5</formula>
      <formula>6.9</formula>
    </cfRule>
    <cfRule type="cellIs" dxfId="1252" priority="795" operator="between">
      <formula>10.1</formula>
      <formula>10.6</formula>
    </cfRule>
    <cfRule type="cellIs" dxfId="1251" priority="796" operator="between">
      <formula>7</formula>
      <formula>7.9</formula>
    </cfRule>
    <cfRule type="cellIs" dxfId="1250" priority="797" stopIfTrue="1" operator="between">
      <formula>8</formula>
      <formula>8.9</formula>
    </cfRule>
    <cfRule type="cellIs" dxfId="1249" priority="798" operator="between">
      <formula>9</formula>
      <formula>9.9</formula>
    </cfRule>
    <cfRule type="cellIs" dxfId="1248" priority="799" stopIfTrue="1" operator="between">
      <formula>10</formula>
      <formula>10</formula>
    </cfRule>
  </conditionalFormatting>
  <conditionalFormatting sqref="H685">
    <cfRule type="colorScale" priority="7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88">
      <colorScale>
        <cfvo type="num" val="5"/>
        <cfvo type="num" val="10"/>
        <color rgb="FFFF494D"/>
        <color rgb="FF00FF66"/>
      </colorScale>
    </cfRule>
  </conditionalFormatting>
  <conditionalFormatting sqref="H686:H694">
    <cfRule type="containsBlanks" dxfId="1247" priority="778" stopIfTrue="1">
      <formula>LEN(TRIM(H686))=0</formula>
    </cfRule>
    <cfRule type="cellIs" dxfId="1246" priority="779" operator="lessThan">
      <formula>2</formula>
    </cfRule>
    <cfRule type="cellIs" dxfId="1245" priority="780" operator="between">
      <formula>2</formula>
      <formula>4.9</formula>
    </cfRule>
    <cfRule type="cellIs" dxfId="1244" priority="781" operator="between">
      <formula>5</formula>
      <formula>6.9</formula>
    </cfRule>
    <cfRule type="cellIs" dxfId="1243" priority="782" operator="between">
      <formula>10.1</formula>
      <formula>10.6</formula>
    </cfRule>
    <cfRule type="cellIs" dxfId="1242" priority="783" operator="between">
      <formula>7</formula>
      <formula>7.9</formula>
    </cfRule>
    <cfRule type="cellIs" dxfId="1241" priority="784" stopIfTrue="1" operator="between">
      <formula>8</formula>
      <formula>8.9</formula>
    </cfRule>
    <cfRule type="cellIs" dxfId="1240" priority="785" operator="between">
      <formula>9</formula>
      <formula>9.9</formula>
    </cfRule>
    <cfRule type="cellIs" dxfId="1239" priority="786" stopIfTrue="1" operator="between">
      <formula>10</formula>
      <formula>10</formula>
    </cfRule>
  </conditionalFormatting>
  <conditionalFormatting sqref="H696">
    <cfRule type="colorScale" priority="72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24">
      <colorScale>
        <cfvo type="num" val="5"/>
        <cfvo type="num" val="10"/>
        <color rgb="FFFF494D"/>
        <color rgb="FF00FF66"/>
      </colorScale>
    </cfRule>
  </conditionalFormatting>
  <conditionalFormatting sqref="H697:H705">
    <cfRule type="containsBlanks" dxfId="1238" priority="725" stopIfTrue="1">
      <formula>LEN(TRIM(H697))=0</formula>
    </cfRule>
    <cfRule type="cellIs" dxfId="1237" priority="726" operator="lessThan">
      <formula>2</formula>
    </cfRule>
    <cfRule type="cellIs" dxfId="1236" priority="727" operator="between">
      <formula>2</formula>
      <formula>4.9</formula>
    </cfRule>
    <cfRule type="cellIs" dxfId="1235" priority="728" operator="between">
      <formula>5</formula>
      <formula>6.9</formula>
    </cfRule>
    <cfRule type="cellIs" dxfId="1234" priority="729" operator="between">
      <formula>10.1</formula>
      <formula>10.6</formula>
    </cfRule>
    <cfRule type="cellIs" dxfId="1233" priority="730" operator="between">
      <formula>7</formula>
      <formula>7.9</formula>
    </cfRule>
    <cfRule type="cellIs" dxfId="1232" priority="731" stopIfTrue="1" operator="between">
      <formula>8</formula>
      <formula>8.9</formula>
    </cfRule>
    <cfRule type="cellIs" dxfId="1231" priority="732" operator="between">
      <formula>9</formula>
      <formula>9.9</formula>
    </cfRule>
    <cfRule type="cellIs" dxfId="1230" priority="733" stopIfTrue="1" operator="between">
      <formula>10</formula>
      <formula>10</formula>
    </cfRule>
  </conditionalFormatting>
  <conditionalFormatting sqref="H707">
    <cfRule type="colorScale" priority="66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69">
      <colorScale>
        <cfvo type="num" val="5"/>
        <cfvo type="num" val="10"/>
        <color rgb="FFFF494D"/>
        <color rgb="FF00FF66"/>
      </colorScale>
    </cfRule>
  </conditionalFormatting>
  <conditionalFormatting sqref="H708:H716">
    <cfRule type="containsBlanks" dxfId="1229" priority="670" stopIfTrue="1">
      <formula>LEN(TRIM(H708))=0</formula>
    </cfRule>
    <cfRule type="cellIs" dxfId="1228" priority="671" operator="lessThan">
      <formula>2</formula>
    </cfRule>
    <cfRule type="cellIs" dxfId="1227" priority="672" operator="between">
      <formula>2</formula>
      <formula>4.9</formula>
    </cfRule>
    <cfRule type="cellIs" dxfId="1226" priority="673" operator="between">
      <formula>5</formula>
      <formula>6.9</formula>
    </cfRule>
    <cfRule type="cellIs" dxfId="1225" priority="674" operator="between">
      <formula>10.1</formula>
      <formula>10.6</formula>
    </cfRule>
    <cfRule type="cellIs" dxfId="1224" priority="675" operator="between">
      <formula>7</formula>
      <formula>7.9</formula>
    </cfRule>
    <cfRule type="cellIs" dxfId="1223" priority="676" stopIfTrue="1" operator="between">
      <formula>8</formula>
      <formula>8.9</formula>
    </cfRule>
    <cfRule type="cellIs" dxfId="1222" priority="677" operator="between">
      <formula>9</formula>
      <formula>9.9</formula>
    </cfRule>
    <cfRule type="cellIs" dxfId="1221" priority="678" stopIfTrue="1" operator="between">
      <formula>10</formula>
      <formula>10</formula>
    </cfRule>
  </conditionalFormatting>
  <conditionalFormatting sqref="H718">
    <cfRule type="colorScale" priority="63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36">
      <colorScale>
        <cfvo type="num" val="5"/>
        <cfvo type="num" val="10"/>
        <color rgb="FFFF494D"/>
        <color rgb="FF00FF66"/>
      </colorScale>
    </cfRule>
  </conditionalFormatting>
  <conditionalFormatting sqref="H719:H726">
    <cfRule type="containsBlanks" dxfId="1220" priority="637" stopIfTrue="1">
      <formula>LEN(TRIM(H719))=0</formula>
    </cfRule>
    <cfRule type="cellIs" dxfId="1219" priority="638" operator="lessThan">
      <formula>2</formula>
    </cfRule>
    <cfRule type="cellIs" dxfId="1218" priority="639" operator="between">
      <formula>2</formula>
      <formula>4.9</formula>
    </cfRule>
    <cfRule type="cellIs" dxfId="1217" priority="640" operator="between">
      <formula>5</formula>
      <formula>6.9</formula>
    </cfRule>
    <cfRule type="cellIs" dxfId="1216" priority="641" operator="between">
      <formula>10.1</formula>
      <formula>10.6</formula>
    </cfRule>
    <cfRule type="cellIs" dxfId="1215" priority="642" operator="between">
      <formula>7</formula>
      <formula>7.9</formula>
    </cfRule>
    <cfRule type="cellIs" dxfId="1214" priority="643" stopIfTrue="1" operator="between">
      <formula>8</formula>
      <formula>8.9</formula>
    </cfRule>
    <cfRule type="cellIs" dxfId="1213" priority="644" operator="between">
      <formula>9</formula>
      <formula>9.9</formula>
    </cfRule>
    <cfRule type="cellIs" dxfId="1212" priority="645" stopIfTrue="1" operator="between">
      <formula>10</formula>
      <formula>10</formula>
    </cfRule>
  </conditionalFormatting>
  <conditionalFormatting sqref="H728">
    <cfRule type="colorScale" priority="55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59">
      <colorScale>
        <cfvo type="num" val="5"/>
        <cfvo type="num" val="10"/>
        <color rgb="FFFF494D"/>
        <color rgb="FF00FF66"/>
      </colorScale>
    </cfRule>
  </conditionalFormatting>
  <conditionalFormatting sqref="H729:H739">
    <cfRule type="containsBlanks" dxfId="1211" priority="560" stopIfTrue="1">
      <formula>LEN(TRIM(H729))=0</formula>
    </cfRule>
    <cfRule type="cellIs" dxfId="1210" priority="561" operator="lessThan">
      <formula>2</formula>
    </cfRule>
    <cfRule type="cellIs" dxfId="1209" priority="562" operator="between">
      <formula>2</formula>
      <formula>4.9</formula>
    </cfRule>
    <cfRule type="cellIs" dxfId="1208" priority="563" operator="between">
      <formula>5</formula>
      <formula>6.9</formula>
    </cfRule>
    <cfRule type="cellIs" dxfId="1207" priority="564" operator="between">
      <formula>10.1</formula>
      <formula>10.6</formula>
    </cfRule>
    <cfRule type="cellIs" dxfId="1206" priority="565" operator="between">
      <formula>7</formula>
      <formula>7.9</formula>
    </cfRule>
    <cfRule type="cellIs" dxfId="1205" priority="566" stopIfTrue="1" operator="between">
      <formula>8</formula>
      <formula>8.9</formula>
    </cfRule>
    <cfRule type="cellIs" dxfId="1204" priority="567" operator="between">
      <formula>9</formula>
      <formula>9.9</formula>
    </cfRule>
    <cfRule type="cellIs" dxfId="1203" priority="568" stopIfTrue="1" operator="between">
      <formula>10</formula>
      <formula>10</formula>
    </cfRule>
  </conditionalFormatting>
  <conditionalFormatting sqref="H741">
    <cfRule type="colorScale" priority="50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04">
      <colorScale>
        <cfvo type="num" val="5"/>
        <cfvo type="num" val="10"/>
        <color rgb="FFFF494D"/>
        <color rgb="FF00FF66"/>
      </colorScale>
    </cfRule>
  </conditionalFormatting>
  <conditionalFormatting sqref="H742:H752">
    <cfRule type="containsBlanks" dxfId="1202" priority="505" stopIfTrue="1">
      <formula>LEN(TRIM(H742))=0</formula>
    </cfRule>
    <cfRule type="cellIs" dxfId="1201" priority="506" operator="lessThan">
      <formula>2</formula>
    </cfRule>
    <cfRule type="cellIs" dxfId="1200" priority="507" operator="between">
      <formula>2</formula>
      <formula>4.9</formula>
    </cfRule>
    <cfRule type="cellIs" dxfId="1199" priority="508" operator="between">
      <formula>5</formula>
      <formula>6.9</formula>
    </cfRule>
    <cfRule type="cellIs" dxfId="1198" priority="509" operator="between">
      <formula>10.1</formula>
      <formula>10.6</formula>
    </cfRule>
    <cfRule type="cellIs" dxfId="1197" priority="510" operator="between">
      <formula>7</formula>
      <formula>7.9</formula>
    </cfRule>
    <cfRule type="cellIs" dxfId="1196" priority="511" stopIfTrue="1" operator="between">
      <formula>8</formula>
      <formula>8.9</formula>
    </cfRule>
    <cfRule type="cellIs" dxfId="1195" priority="512" operator="between">
      <formula>9</formula>
      <formula>9.9</formula>
    </cfRule>
    <cfRule type="cellIs" dxfId="1194" priority="513" stopIfTrue="1" operator="between">
      <formula>10</formula>
      <formula>10</formula>
    </cfRule>
  </conditionalFormatting>
  <conditionalFormatting sqref="H754">
    <cfRule type="colorScale" priority="4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38">
      <colorScale>
        <cfvo type="num" val="5"/>
        <cfvo type="num" val="10"/>
        <color rgb="FFFF494D"/>
        <color rgb="FF00FF66"/>
      </colorScale>
    </cfRule>
  </conditionalFormatting>
  <conditionalFormatting sqref="H755:H762">
    <cfRule type="containsBlanks" dxfId="1193" priority="439" stopIfTrue="1">
      <formula>LEN(TRIM(H755))=0</formula>
    </cfRule>
    <cfRule type="cellIs" dxfId="1192" priority="440" operator="lessThan">
      <formula>2</formula>
    </cfRule>
    <cfRule type="cellIs" dxfId="1191" priority="441" operator="between">
      <formula>2</formula>
      <formula>4.9</formula>
    </cfRule>
    <cfRule type="cellIs" dxfId="1190" priority="442" operator="between">
      <formula>5</formula>
      <formula>6.9</formula>
    </cfRule>
    <cfRule type="cellIs" dxfId="1189" priority="443" operator="between">
      <formula>10.1</formula>
      <formula>10.6</formula>
    </cfRule>
    <cfRule type="cellIs" dxfId="1188" priority="444" operator="between">
      <formula>7</formula>
      <formula>7.9</formula>
    </cfRule>
    <cfRule type="cellIs" dxfId="1187" priority="445" stopIfTrue="1" operator="between">
      <formula>8</formula>
      <formula>8.9</formula>
    </cfRule>
    <cfRule type="cellIs" dxfId="1186" priority="446" operator="between">
      <formula>9</formula>
      <formula>9.9</formula>
    </cfRule>
    <cfRule type="cellIs" dxfId="1185" priority="447" stopIfTrue="1" operator="between">
      <formula>10</formula>
      <formula>10</formula>
    </cfRule>
  </conditionalFormatting>
  <conditionalFormatting sqref="H764">
    <cfRule type="colorScale" priority="39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94">
      <colorScale>
        <cfvo type="num" val="5"/>
        <cfvo type="num" val="10"/>
        <color rgb="FFFF494D"/>
        <color rgb="FF00FF66"/>
      </colorScale>
    </cfRule>
  </conditionalFormatting>
  <conditionalFormatting sqref="H765:H776">
    <cfRule type="containsBlanks" dxfId="1184" priority="395" stopIfTrue="1">
      <formula>LEN(TRIM(H765))=0</formula>
    </cfRule>
    <cfRule type="cellIs" dxfId="1183" priority="396" operator="lessThan">
      <formula>2</formula>
    </cfRule>
    <cfRule type="cellIs" dxfId="1182" priority="397" operator="between">
      <formula>2</formula>
      <formula>4.9</formula>
    </cfRule>
    <cfRule type="cellIs" dxfId="1181" priority="398" operator="between">
      <formula>5</formula>
      <formula>6.9</formula>
    </cfRule>
    <cfRule type="cellIs" dxfId="1180" priority="399" operator="between">
      <formula>10.1</formula>
      <formula>10.6</formula>
    </cfRule>
    <cfRule type="cellIs" dxfId="1179" priority="400" operator="between">
      <formula>7</formula>
      <formula>7.9</formula>
    </cfRule>
    <cfRule type="cellIs" dxfId="1178" priority="401" stopIfTrue="1" operator="between">
      <formula>8</formula>
      <formula>8.9</formula>
    </cfRule>
    <cfRule type="cellIs" dxfId="1177" priority="402" operator="between">
      <formula>9</formula>
      <formula>9.9</formula>
    </cfRule>
    <cfRule type="cellIs" dxfId="1176" priority="403" stopIfTrue="1" operator="between">
      <formula>10</formula>
      <formula>10</formula>
    </cfRule>
  </conditionalFormatting>
  <conditionalFormatting sqref="H778">
    <cfRule type="colorScale" priority="32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8">
      <colorScale>
        <cfvo type="num" val="5"/>
        <cfvo type="num" val="10"/>
        <color rgb="FFFF494D"/>
        <color rgb="FF00FF66"/>
      </colorScale>
    </cfRule>
  </conditionalFormatting>
  <conditionalFormatting sqref="H779:H784">
    <cfRule type="containsBlanks" dxfId="1175" priority="329" stopIfTrue="1">
      <formula>LEN(TRIM(H779))=0</formula>
    </cfRule>
    <cfRule type="cellIs" dxfId="1174" priority="330" operator="lessThan">
      <formula>2</formula>
    </cfRule>
    <cfRule type="cellIs" dxfId="1173" priority="331" operator="between">
      <formula>2</formula>
      <formula>4.9</formula>
    </cfRule>
    <cfRule type="cellIs" dxfId="1172" priority="332" operator="between">
      <formula>5</formula>
      <formula>6.9</formula>
    </cfRule>
    <cfRule type="cellIs" dxfId="1171" priority="333" operator="between">
      <formula>10.1</formula>
      <formula>10.6</formula>
    </cfRule>
    <cfRule type="cellIs" dxfId="1170" priority="334" operator="between">
      <formula>7</formula>
      <formula>7.9</formula>
    </cfRule>
    <cfRule type="cellIs" dxfId="1169" priority="335" stopIfTrue="1" operator="between">
      <formula>8</formula>
      <formula>8.9</formula>
    </cfRule>
    <cfRule type="cellIs" dxfId="1168" priority="336" operator="between">
      <formula>9</formula>
      <formula>9.9</formula>
    </cfRule>
    <cfRule type="cellIs" dxfId="1167" priority="337" stopIfTrue="1" operator="between">
      <formula>10</formula>
      <formula>10</formula>
    </cfRule>
  </conditionalFormatting>
  <conditionalFormatting sqref="H786">
    <cfRule type="colorScale" priority="2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0">
      <colorScale>
        <cfvo type="num" val="5"/>
        <cfvo type="num" val="10"/>
        <color rgb="FFFF494D"/>
        <color rgb="FF00FF66"/>
      </colorScale>
    </cfRule>
  </conditionalFormatting>
  <conditionalFormatting sqref="H787:H805">
    <cfRule type="containsBlanks" dxfId="1166" priority="261" stopIfTrue="1">
      <formula>LEN(TRIM(H787))=0</formula>
    </cfRule>
    <cfRule type="cellIs" dxfId="1165" priority="262" operator="lessThan">
      <formula>2</formula>
    </cfRule>
    <cfRule type="cellIs" dxfId="1164" priority="263" operator="between">
      <formula>2</formula>
      <formula>4.9</formula>
    </cfRule>
    <cfRule type="cellIs" dxfId="1163" priority="264" operator="between">
      <formula>5</formula>
      <formula>6.9</formula>
    </cfRule>
    <cfRule type="cellIs" dxfId="1162" priority="265" operator="between">
      <formula>10.1</formula>
      <formula>10.6</formula>
    </cfRule>
    <cfRule type="cellIs" dxfId="1161" priority="266" operator="between">
      <formula>7</formula>
      <formula>7.9</formula>
    </cfRule>
    <cfRule type="cellIs" dxfId="1160" priority="267" stopIfTrue="1" operator="between">
      <formula>8</formula>
      <formula>8.9</formula>
    </cfRule>
    <cfRule type="cellIs" dxfId="1159" priority="268" operator="between">
      <formula>9</formula>
      <formula>9.9</formula>
    </cfRule>
    <cfRule type="cellIs" dxfId="1158" priority="269" stopIfTrue="1" operator="between">
      <formula>10</formula>
      <formula>10</formula>
    </cfRule>
  </conditionalFormatting>
  <conditionalFormatting sqref="H807">
    <cfRule type="colorScale" priority="1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2">
      <colorScale>
        <cfvo type="num" val="5"/>
        <cfvo type="num" val="10"/>
        <color rgb="FFFF494D"/>
        <color rgb="FF00FF66"/>
      </colorScale>
    </cfRule>
  </conditionalFormatting>
  <conditionalFormatting sqref="H808:H824">
    <cfRule type="containsBlanks" dxfId="1157" priority="182" stopIfTrue="1">
      <formula>LEN(TRIM(H808))=0</formula>
    </cfRule>
    <cfRule type="cellIs" dxfId="1156" priority="183" operator="lessThan">
      <formula>2</formula>
    </cfRule>
    <cfRule type="cellIs" dxfId="1155" priority="184" operator="between">
      <formula>2</formula>
      <formula>4.9</formula>
    </cfRule>
    <cfRule type="cellIs" dxfId="1154" priority="185" operator="between">
      <formula>5</formula>
      <formula>6.9</formula>
    </cfRule>
    <cfRule type="cellIs" dxfId="1153" priority="186" operator="between">
      <formula>10.1</formula>
      <formula>10.6</formula>
    </cfRule>
    <cfRule type="cellIs" dxfId="1152" priority="187" operator="between">
      <formula>7</formula>
      <formula>7.9</formula>
    </cfRule>
    <cfRule type="cellIs" dxfId="1151" priority="188" stopIfTrue="1" operator="between">
      <formula>8</formula>
      <formula>8.9</formula>
    </cfRule>
    <cfRule type="cellIs" dxfId="1150" priority="189" operator="between">
      <formula>9</formula>
      <formula>9.9</formula>
    </cfRule>
    <cfRule type="cellIs" dxfId="1149" priority="190" stopIfTrue="1" operator="between">
      <formula>10</formula>
      <formula>10</formula>
    </cfRule>
  </conditionalFormatting>
  <conditionalFormatting sqref="H826">
    <cfRule type="colorScale" priority="6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4">
      <colorScale>
        <cfvo type="num" val="5"/>
        <cfvo type="num" val="10"/>
        <color rgb="FFFF494D"/>
        <color rgb="FF00FF66"/>
      </colorScale>
    </cfRule>
  </conditionalFormatting>
  <conditionalFormatting sqref="H827:H837">
    <cfRule type="containsBlanks" dxfId="1148" priority="65" stopIfTrue="1">
      <formula>LEN(TRIM(H827))=0</formula>
    </cfRule>
    <cfRule type="cellIs" dxfId="1147" priority="66" operator="lessThan">
      <formula>2</formula>
    </cfRule>
    <cfRule type="cellIs" dxfId="1146" priority="67" operator="between">
      <formula>2</formula>
      <formula>4.9</formula>
    </cfRule>
    <cfRule type="cellIs" dxfId="1145" priority="68" operator="between">
      <formula>5</formula>
      <formula>6.9</formula>
    </cfRule>
    <cfRule type="cellIs" dxfId="1144" priority="69" operator="between">
      <formula>10.1</formula>
      <formula>10.6</formula>
    </cfRule>
    <cfRule type="cellIs" dxfId="1143" priority="70" operator="between">
      <formula>7</formula>
      <formula>7.9</formula>
    </cfRule>
    <cfRule type="cellIs" dxfId="1142" priority="71" stopIfTrue="1" operator="between">
      <formula>8</formula>
      <formula>8.9</formula>
    </cfRule>
    <cfRule type="cellIs" dxfId="1141" priority="72" operator="between">
      <formula>9</formula>
      <formula>9.9</formula>
    </cfRule>
    <cfRule type="cellIs" dxfId="1140" priority="73" stopIfTrue="1" operator="between">
      <formula>10</formula>
      <formula>10</formula>
    </cfRule>
  </conditionalFormatting>
  <conditionalFormatting sqref="H839">
    <cfRule type="colorScale" priority="3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">
      <colorScale>
        <cfvo type="num" val="5"/>
        <cfvo type="num" val="10"/>
        <color rgb="FFFF494D"/>
        <color rgb="FF00FF66"/>
      </colorScale>
    </cfRule>
  </conditionalFormatting>
  <conditionalFormatting sqref="H840:H848">
    <cfRule type="containsBlanks" dxfId="1139" priority="32" stopIfTrue="1">
      <formula>LEN(TRIM(H840))=0</formula>
    </cfRule>
    <cfRule type="cellIs" dxfId="1138" priority="33" operator="lessThan">
      <formula>2</formula>
    </cfRule>
    <cfRule type="cellIs" dxfId="1137" priority="34" operator="between">
      <formula>2</formula>
      <formula>4.9</formula>
    </cfRule>
    <cfRule type="cellIs" dxfId="1136" priority="35" operator="between">
      <formula>5</formula>
      <formula>6.9</formula>
    </cfRule>
    <cfRule type="cellIs" dxfId="1135" priority="36" operator="between">
      <formula>10.1</formula>
      <formula>10.6</formula>
    </cfRule>
    <cfRule type="cellIs" dxfId="1134" priority="37" operator="between">
      <formula>7</formula>
      <formula>7.9</formula>
    </cfRule>
    <cfRule type="cellIs" dxfId="1133" priority="38" stopIfTrue="1" operator="between">
      <formula>8</formula>
      <formula>8.9</formula>
    </cfRule>
    <cfRule type="cellIs" dxfId="1132" priority="39" operator="between">
      <formula>9</formula>
      <formula>9.9</formula>
    </cfRule>
    <cfRule type="cellIs" dxfId="1131" priority="40" stopIfTrue="1" operator="between">
      <formula>10</formula>
      <formula>10</formula>
    </cfRule>
  </conditionalFormatting>
  <conditionalFormatting sqref="K3:K12">
    <cfRule type="cellIs" dxfId="1130" priority="3456" operator="between">
      <formula>10.1</formula>
      <formula>10.6</formula>
    </cfRule>
    <cfRule type="cellIs" dxfId="1129" priority="3457" operator="between">
      <formula>7</formula>
      <formula>7.9</formula>
    </cfRule>
    <cfRule type="cellIs" dxfId="1128" priority="3458" stopIfTrue="1" operator="between">
      <formula>8</formula>
      <formula>8.9</formula>
    </cfRule>
    <cfRule type="cellIs" dxfId="1127" priority="3459" operator="between">
      <formula>9</formula>
      <formula>9.9</formula>
    </cfRule>
    <cfRule type="cellIs" dxfId="1126" priority="3460" stopIfTrue="1" operator="between">
      <formula>10</formula>
      <formula>10</formula>
    </cfRule>
    <cfRule type="containsBlanks" dxfId="1125" priority="3461" stopIfTrue="1">
      <formula>LEN(TRIM(K3))=0</formula>
    </cfRule>
  </conditionalFormatting>
  <conditionalFormatting sqref="K15:K23">
    <cfRule type="cellIs" dxfId="1124" priority="2864" operator="between">
      <formula>7</formula>
      <formula>7.9</formula>
    </cfRule>
    <cfRule type="cellIs" dxfId="1123" priority="2865" stopIfTrue="1" operator="between">
      <formula>8</formula>
      <formula>8.9</formula>
    </cfRule>
    <cfRule type="cellIs" dxfId="1122" priority="2866" operator="between">
      <formula>9</formula>
      <formula>9.9</formula>
    </cfRule>
    <cfRule type="cellIs" dxfId="1121" priority="2867" stopIfTrue="1" operator="between">
      <formula>10</formula>
      <formula>10</formula>
    </cfRule>
  </conditionalFormatting>
  <conditionalFormatting sqref="K23">
    <cfRule type="cellIs" dxfId="1120" priority="2863" operator="between">
      <formula>10.1</formula>
      <formula>10.6</formula>
    </cfRule>
    <cfRule type="containsBlanks" dxfId="1119" priority="2868" stopIfTrue="1">
      <formula>LEN(TRIM(K23))=0</formula>
    </cfRule>
  </conditionalFormatting>
  <conditionalFormatting sqref="K26:K38">
    <cfRule type="cellIs" dxfId="1118" priority="3491" operator="between">
      <formula>7</formula>
      <formula>7.9</formula>
    </cfRule>
    <cfRule type="cellIs" dxfId="1117" priority="3492" stopIfTrue="1" operator="between">
      <formula>8</formula>
      <formula>8.9</formula>
    </cfRule>
    <cfRule type="cellIs" dxfId="1116" priority="3493" operator="between">
      <formula>9</formula>
      <formula>9.9</formula>
    </cfRule>
    <cfRule type="cellIs" dxfId="1115" priority="3494" stopIfTrue="1" operator="between">
      <formula>10</formula>
      <formula>10</formula>
    </cfRule>
    <cfRule type="containsBlanks" dxfId="1114" priority="3495" stopIfTrue="1">
      <formula>LEN(TRIM(K26))=0</formula>
    </cfRule>
  </conditionalFormatting>
  <conditionalFormatting sqref="K40">
    <cfRule type="colorScale" priority="381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14">
      <colorScale>
        <cfvo type="num" val="5"/>
        <cfvo type="num" val="10"/>
        <color rgb="FFFF494D"/>
        <color rgb="FF00FF66"/>
      </colorScale>
    </cfRule>
  </conditionalFormatting>
  <conditionalFormatting sqref="K41:K52">
    <cfRule type="cellIs" dxfId="1113" priority="3396" operator="between">
      <formula>10.1</formula>
      <formula>10.6</formula>
    </cfRule>
    <cfRule type="cellIs" dxfId="1112" priority="3397" operator="between">
      <formula>7</formula>
      <formula>7.9</formula>
    </cfRule>
    <cfRule type="cellIs" dxfId="1111" priority="3398" stopIfTrue="1" operator="between">
      <formula>8</formula>
      <formula>8.9</formula>
    </cfRule>
    <cfRule type="cellIs" dxfId="1110" priority="3399" operator="between">
      <formula>9</formula>
      <formula>9.9</formula>
    </cfRule>
    <cfRule type="cellIs" dxfId="1109" priority="3400" stopIfTrue="1" operator="between">
      <formula>10</formula>
      <formula>10</formula>
    </cfRule>
    <cfRule type="containsBlanks" dxfId="1108" priority="3401" stopIfTrue="1">
      <formula>LEN(TRIM(K41))=0</formula>
    </cfRule>
  </conditionalFormatting>
  <conditionalFormatting sqref="K54">
    <cfRule type="colorScale" priority="33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65">
      <colorScale>
        <cfvo type="num" val="5"/>
        <cfvo type="num" val="10"/>
        <color rgb="FFFF494D"/>
        <color rgb="FF00FF66"/>
      </colorScale>
    </cfRule>
  </conditionalFormatting>
  <conditionalFormatting sqref="K55:K64">
    <cfRule type="cellIs" dxfId="1107" priority="3358" operator="between">
      <formula>10.1</formula>
      <formula>10.6</formula>
    </cfRule>
    <cfRule type="cellIs" dxfId="1106" priority="3359" operator="between">
      <formula>7</formula>
      <formula>7.9</formula>
    </cfRule>
    <cfRule type="cellIs" dxfId="1105" priority="3360" stopIfTrue="1" operator="between">
      <formula>8</formula>
      <formula>8.9</formula>
    </cfRule>
    <cfRule type="cellIs" dxfId="1104" priority="3361" operator="between">
      <formula>9</formula>
      <formula>9.9</formula>
    </cfRule>
    <cfRule type="cellIs" dxfId="1103" priority="3362" stopIfTrue="1" operator="between">
      <formula>10</formula>
      <formula>10</formula>
    </cfRule>
    <cfRule type="containsBlanks" dxfId="1102" priority="3363" stopIfTrue="1">
      <formula>LEN(TRIM(K55))=0</formula>
    </cfRule>
  </conditionalFormatting>
  <conditionalFormatting sqref="K66">
    <cfRule type="colorScale" priority="33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38">
      <colorScale>
        <cfvo type="num" val="5"/>
        <cfvo type="num" val="10"/>
        <color rgb="FFFF494D"/>
        <color rgb="FF00FF66"/>
      </colorScale>
    </cfRule>
  </conditionalFormatting>
  <conditionalFormatting sqref="K67:K75">
    <cfRule type="cellIs" dxfId="1101" priority="3331" operator="between">
      <formula>10.1</formula>
      <formula>10.6</formula>
    </cfRule>
    <cfRule type="cellIs" dxfId="1100" priority="3332" operator="between">
      <formula>7</formula>
      <formula>7.9</formula>
    </cfRule>
    <cfRule type="cellIs" dxfId="1099" priority="3333" stopIfTrue="1" operator="between">
      <formula>8</formula>
      <formula>8.9</formula>
    </cfRule>
    <cfRule type="cellIs" dxfId="1098" priority="3334" operator="between">
      <formula>9</formula>
      <formula>9.9</formula>
    </cfRule>
    <cfRule type="cellIs" dxfId="1097" priority="3335" stopIfTrue="1" operator="between">
      <formula>10</formula>
      <formula>10</formula>
    </cfRule>
    <cfRule type="containsBlanks" dxfId="1096" priority="3336" stopIfTrue="1">
      <formula>LEN(TRIM(K67))=0</formula>
    </cfRule>
  </conditionalFormatting>
  <conditionalFormatting sqref="K77">
    <cfRule type="colorScale" priority="32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85">
      <colorScale>
        <cfvo type="num" val="5"/>
        <cfvo type="num" val="10"/>
        <color rgb="FFFF494D"/>
        <color rgb="FF00FF66"/>
      </colorScale>
    </cfRule>
  </conditionalFormatting>
  <conditionalFormatting sqref="K78:K88">
    <cfRule type="cellIs" dxfId="1095" priority="3278" operator="between">
      <formula>10.1</formula>
      <formula>10.6</formula>
    </cfRule>
    <cfRule type="cellIs" dxfId="1094" priority="3279" operator="between">
      <formula>7</formula>
      <formula>7.9</formula>
    </cfRule>
    <cfRule type="cellIs" dxfId="1093" priority="3280" stopIfTrue="1" operator="between">
      <formula>8</formula>
      <formula>8.9</formula>
    </cfRule>
    <cfRule type="cellIs" dxfId="1092" priority="3281" operator="between">
      <formula>9</formula>
      <formula>9.9</formula>
    </cfRule>
    <cfRule type="cellIs" dxfId="1091" priority="3282" stopIfTrue="1" operator="between">
      <formula>10</formula>
      <formula>10</formula>
    </cfRule>
    <cfRule type="containsBlanks" dxfId="1090" priority="3283" stopIfTrue="1">
      <formula>LEN(TRIM(K78))=0</formula>
    </cfRule>
  </conditionalFormatting>
  <conditionalFormatting sqref="K90">
    <cfRule type="colorScale" priority="323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32">
      <colorScale>
        <cfvo type="num" val="5"/>
        <cfvo type="num" val="10"/>
        <color rgb="FFFF494D"/>
        <color rgb="FF00FF66"/>
      </colorScale>
    </cfRule>
  </conditionalFormatting>
  <conditionalFormatting sqref="K91:K96">
    <cfRule type="cellIs" dxfId="1089" priority="3233" operator="between">
      <formula>10.1</formula>
      <formula>10.6</formula>
    </cfRule>
    <cfRule type="cellIs" dxfId="1088" priority="3234" operator="between">
      <formula>7</formula>
      <formula>7.9</formula>
    </cfRule>
    <cfRule type="cellIs" dxfId="1087" priority="3235" stopIfTrue="1" operator="between">
      <formula>8</formula>
      <formula>8.9</formula>
    </cfRule>
    <cfRule type="cellIs" dxfId="1086" priority="3236" operator="between">
      <formula>9</formula>
      <formula>9.9</formula>
    </cfRule>
    <cfRule type="cellIs" dxfId="1085" priority="3237" stopIfTrue="1" operator="between">
      <formula>10</formula>
      <formula>10</formula>
    </cfRule>
    <cfRule type="containsBlanks" dxfId="1084" priority="3238" stopIfTrue="1">
      <formula>LEN(TRIM(K91))=0</formula>
    </cfRule>
  </conditionalFormatting>
  <conditionalFormatting sqref="K98">
    <cfRule type="colorScale" priority="31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98">
      <colorScale>
        <cfvo type="num" val="5"/>
        <cfvo type="num" val="10"/>
        <color rgb="FFFF494D"/>
        <color rgb="FF00FF66"/>
      </colorScale>
    </cfRule>
  </conditionalFormatting>
  <conditionalFormatting sqref="K99:K109">
    <cfRule type="cellIs" dxfId="1083" priority="3199" operator="between">
      <formula>6</formula>
      <formula>6.9</formula>
    </cfRule>
    <cfRule type="cellIs" dxfId="1082" priority="3200" operator="between">
      <formula>10.1</formula>
      <formula>10.6</formula>
    </cfRule>
    <cfRule type="cellIs" dxfId="1081" priority="3201" operator="between">
      <formula>7</formula>
      <formula>7.9</formula>
    </cfRule>
    <cfRule type="cellIs" dxfId="1080" priority="3202" stopIfTrue="1" operator="between">
      <formula>8</formula>
      <formula>8.9</formula>
    </cfRule>
    <cfRule type="cellIs" dxfId="1079" priority="3203" operator="between">
      <formula>9</formula>
      <formula>9.9</formula>
    </cfRule>
    <cfRule type="cellIs" dxfId="1078" priority="3204" stopIfTrue="1" operator="between">
      <formula>10</formula>
      <formula>10</formula>
    </cfRule>
    <cfRule type="containsBlanks" dxfId="1077" priority="3205" stopIfTrue="1">
      <formula>LEN(TRIM(K99))=0</formula>
    </cfRule>
  </conditionalFormatting>
  <conditionalFormatting sqref="K111">
    <cfRule type="colorScale" priority="31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65">
      <colorScale>
        <cfvo type="num" val="5"/>
        <cfvo type="num" val="10"/>
        <color rgb="FFFF494D"/>
        <color rgb="FF00FF66"/>
      </colorScale>
    </cfRule>
  </conditionalFormatting>
  <conditionalFormatting sqref="K112:K122">
    <cfRule type="cellIs" dxfId="1076" priority="3152" operator="between">
      <formula>10.1</formula>
      <formula>10.6</formula>
    </cfRule>
    <cfRule type="cellIs" dxfId="1075" priority="3153" operator="between">
      <formula>7</formula>
      <formula>7.9</formula>
    </cfRule>
    <cfRule type="cellIs" dxfId="1074" priority="3154" stopIfTrue="1" operator="between">
      <formula>8</formula>
      <formula>8.9</formula>
    </cfRule>
    <cfRule type="cellIs" dxfId="1073" priority="3155" operator="between">
      <formula>9</formula>
      <formula>9.9</formula>
    </cfRule>
    <cfRule type="cellIs" dxfId="1072" priority="3156" stopIfTrue="1" operator="between">
      <formula>10</formula>
      <formula>10</formula>
    </cfRule>
    <cfRule type="containsBlanks" dxfId="1071" priority="3157" stopIfTrue="1">
      <formula>LEN(TRIM(K112))=0</formula>
    </cfRule>
  </conditionalFormatting>
  <conditionalFormatting sqref="K114">
    <cfRule type="cellIs" dxfId="1070" priority="3151" operator="between">
      <formula>6</formula>
      <formula>6.9</formula>
    </cfRule>
  </conditionalFormatting>
  <conditionalFormatting sqref="K124">
    <cfRule type="colorScale" priority="31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16">
      <colorScale>
        <cfvo type="num" val="5"/>
        <cfvo type="num" val="10"/>
        <color rgb="FFFF494D"/>
        <color rgb="FF00FF66"/>
      </colorScale>
    </cfRule>
  </conditionalFormatting>
  <conditionalFormatting sqref="K125:K128 K130:K134">
    <cfRule type="cellIs" dxfId="1069" priority="3109" operator="between">
      <formula>10.1</formula>
      <formula>10.6</formula>
    </cfRule>
    <cfRule type="cellIs" dxfId="1068" priority="3110" operator="between">
      <formula>7</formula>
      <formula>7.9</formula>
    </cfRule>
    <cfRule type="cellIs" dxfId="1067" priority="3111" stopIfTrue="1" operator="between">
      <formula>8</formula>
      <formula>8.9</formula>
    </cfRule>
    <cfRule type="cellIs" dxfId="1066" priority="3112" operator="between">
      <formula>9</formula>
      <formula>9.9</formula>
    </cfRule>
    <cfRule type="cellIs" dxfId="1065" priority="3113" stopIfTrue="1" operator="between">
      <formula>10</formula>
      <formula>10</formula>
    </cfRule>
    <cfRule type="containsBlanks" dxfId="1064" priority="3114" stopIfTrue="1">
      <formula>LEN(TRIM(K125))=0</formula>
    </cfRule>
  </conditionalFormatting>
  <conditionalFormatting sqref="K125:K134">
    <cfRule type="cellIs" dxfId="1063" priority="3102" operator="between">
      <formula>6</formula>
      <formula>6.9</formula>
    </cfRule>
    <cfRule type="cellIs" dxfId="1062" priority="3103" operator="between">
      <formula>10.1</formula>
      <formula>10.6</formula>
    </cfRule>
    <cfRule type="cellIs" dxfId="1061" priority="3104" operator="between">
      <formula>7</formula>
      <formula>7.9</formula>
    </cfRule>
    <cfRule type="cellIs" dxfId="1060" priority="3105" stopIfTrue="1" operator="between">
      <formula>8</formula>
      <formula>8.9</formula>
    </cfRule>
    <cfRule type="cellIs" dxfId="1059" priority="3106" operator="between">
      <formula>9</formula>
      <formula>9.9</formula>
    </cfRule>
    <cfRule type="cellIs" dxfId="1058" priority="3107" stopIfTrue="1" operator="between">
      <formula>10</formula>
      <formula>10</formula>
    </cfRule>
    <cfRule type="containsBlanks" dxfId="1057" priority="3108" stopIfTrue="1">
      <formula>LEN(TRIM(K125))=0</formula>
    </cfRule>
  </conditionalFormatting>
  <conditionalFormatting sqref="K136">
    <cfRule type="colorScale" priority="30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43">
      <colorScale>
        <cfvo type="num" val="5"/>
        <cfvo type="num" val="10"/>
        <color rgb="FFFF494D"/>
        <color rgb="FF00FF66"/>
      </colorScale>
    </cfRule>
  </conditionalFormatting>
  <conditionalFormatting sqref="K137:K147">
    <cfRule type="cellIs" dxfId="1056" priority="3044" operator="between">
      <formula>6</formula>
      <formula>6.9</formula>
    </cfRule>
    <cfRule type="cellIs" dxfId="1055" priority="3045" operator="between">
      <formula>10.1</formula>
      <formula>10.6</formula>
    </cfRule>
    <cfRule type="cellIs" dxfId="1054" priority="3046" operator="between">
      <formula>7</formula>
      <formula>7.9</formula>
    </cfRule>
    <cfRule type="cellIs" dxfId="1053" priority="3047" stopIfTrue="1" operator="between">
      <formula>8</formula>
      <formula>8.9</formula>
    </cfRule>
    <cfRule type="cellIs" dxfId="1052" priority="3048" operator="between">
      <formula>9</formula>
      <formula>9.9</formula>
    </cfRule>
    <cfRule type="cellIs" dxfId="1051" priority="3049" stopIfTrue="1" operator="between">
      <formula>10</formula>
      <formula>10</formula>
    </cfRule>
    <cfRule type="containsBlanks" dxfId="1050" priority="3050" stopIfTrue="1">
      <formula>LEN(TRIM(K137))=0</formula>
    </cfRule>
  </conditionalFormatting>
  <conditionalFormatting sqref="K149">
    <cfRule type="colorScale" priority="29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80">
      <colorScale>
        <cfvo type="num" val="5"/>
        <cfvo type="num" val="10"/>
        <color rgb="FFFF494D"/>
        <color rgb="FF00FF66"/>
      </colorScale>
    </cfRule>
  </conditionalFormatting>
  <conditionalFormatting sqref="K150:K163">
    <cfRule type="cellIs" dxfId="1049" priority="2981" operator="between">
      <formula>6</formula>
      <formula>6.9</formula>
    </cfRule>
    <cfRule type="cellIs" dxfId="1048" priority="2982" operator="between">
      <formula>10.1</formula>
      <formula>10.6</formula>
    </cfRule>
    <cfRule type="cellIs" dxfId="1047" priority="2983" operator="between">
      <formula>7</formula>
      <formula>7.9</formula>
    </cfRule>
    <cfRule type="cellIs" dxfId="1046" priority="2984" stopIfTrue="1" operator="between">
      <formula>8</formula>
      <formula>8.9</formula>
    </cfRule>
    <cfRule type="cellIs" dxfId="1045" priority="2985" operator="between">
      <formula>9</formula>
      <formula>9.9</formula>
    </cfRule>
    <cfRule type="cellIs" dxfId="1044" priority="2986" stopIfTrue="1" operator="between">
      <formula>10</formula>
      <formula>10</formula>
    </cfRule>
    <cfRule type="containsBlanks" dxfId="1043" priority="2987" stopIfTrue="1">
      <formula>LEN(TRIM(K150))=0</formula>
    </cfRule>
  </conditionalFormatting>
  <conditionalFormatting sqref="K165">
    <cfRule type="colorScale" priority="293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33">
      <colorScale>
        <cfvo type="num" val="5"/>
        <cfvo type="num" val="10"/>
        <color rgb="FFFF494D"/>
        <color rgb="FF00FF66"/>
      </colorScale>
    </cfRule>
  </conditionalFormatting>
  <conditionalFormatting sqref="K166:K173">
    <cfRule type="cellIs" dxfId="1042" priority="2925" operator="between">
      <formula>6</formula>
      <formula>6.9</formula>
    </cfRule>
    <cfRule type="cellIs" dxfId="1041" priority="2926" operator="between">
      <formula>10.1</formula>
      <formula>10.6</formula>
    </cfRule>
    <cfRule type="cellIs" dxfId="1040" priority="2927" operator="between">
      <formula>7</formula>
      <formula>7.9</formula>
    </cfRule>
    <cfRule type="cellIs" dxfId="1039" priority="2928" stopIfTrue="1" operator="between">
      <formula>8</formula>
      <formula>8.9</formula>
    </cfRule>
    <cfRule type="cellIs" dxfId="1038" priority="2929" operator="between">
      <formula>9</formula>
      <formula>9.9</formula>
    </cfRule>
    <cfRule type="cellIs" dxfId="1037" priority="2930" stopIfTrue="1" operator="between">
      <formula>10</formula>
      <formula>10</formula>
    </cfRule>
    <cfRule type="containsBlanks" dxfId="1036" priority="2931" stopIfTrue="1">
      <formula>LEN(TRIM(K166))=0</formula>
    </cfRule>
  </conditionalFormatting>
  <conditionalFormatting sqref="K175">
    <cfRule type="colorScale" priority="289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97">
      <colorScale>
        <cfvo type="num" val="5"/>
        <cfvo type="num" val="10"/>
        <color rgb="FFFF494D"/>
        <color rgb="FF00FF66"/>
      </colorScale>
    </cfRule>
  </conditionalFormatting>
  <conditionalFormatting sqref="K176:K180">
    <cfRule type="cellIs" dxfId="1035" priority="2898" operator="between">
      <formula>6</formula>
      <formula>6.9</formula>
    </cfRule>
    <cfRule type="cellIs" dxfId="1034" priority="2899" operator="between">
      <formula>10.1</formula>
      <formula>10.6</formula>
    </cfRule>
    <cfRule type="cellIs" dxfId="1033" priority="2900" operator="between">
      <formula>7</formula>
      <formula>7.9</formula>
    </cfRule>
    <cfRule type="cellIs" dxfId="1032" priority="2901" stopIfTrue="1" operator="between">
      <formula>8</formula>
      <formula>8.9</formula>
    </cfRule>
    <cfRule type="cellIs" dxfId="1031" priority="2902" operator="between">
      <formula>9</formula>
      <formula>9.9</formula>
    </cfRule>
    <cfRule type="cellIs" dxfId="1030" priority="2903" stopIfTrue="1" operator="between">
      <formula>10</formula>
      <formula>10</formula>
    </cfRule>
    <cfRule type="containsBlanks" dxfId="1029" priority="2904" stopIfTrue="1">
      <formula>LEN(TRIM(K176))=0</formula>
    </cfRule>
  </conditionalFormatting>
  <conditionalFormatting sqref="K182">
    <cfRule type="colorScale" priority="28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86">
      <colorScale>
        <cfvo type="num" val="5"/>
        <cfvo type="num" val="10"/>
        <color rgb="FFFF494D"/>
        <color rgb="FF00FF66"/>
      </colorScale>
    </cfRule>
  </conditionalFormatting>
  <conditionalFormatting sqref="K183:K187">
    <cfRule type="cellIs" dxfId="1028" priority="2878" operator="between">
      <formula>6</formula>
      <formula>6.9</formula>
    </cfRule>
    <cfRule type="cellIs" dxfId="1027" priority="2879" operator="between">
      <formula>10.1</formula>
      <formula>10.6</formula>
    </cfRule>
    <cfRule type="cellIs" dxfId="1026" priority="2880" operator="between">
      <formula>7</formula>
      <formula>7.9</formula>
    </cfRule>
    <cfRule type="cellIs" dxfId="1025" priority="2881" stopIfTrue="1" operator="between">
      <formula>8</formula>
      <formula>8.9</formula>
    </cfRule>
    <cfRule type="cellIs" dxfId="1024" priority="2882" operator="between">
      <formula>9</formula>
      <formula>9.9</formula>
    </cfRule>
    <cfRule type="cellIs" dxfId="1023" priority="2883" stopIfTrue="1" operator="between">
      <formula>10</formula>
      <formula>10</formula>
    </cfRule>
    <cfRule type="containsBlanks" dxfId="1022" priority="2884" stopIfTrue="1">
      <formula>LEN(TRIM(K183))=0</formula>
    </cfRule>
  </conditionalFormatting>
  <conditionalFormatting sqref="K189">
    <cfRule type="colorScale" priority="28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37">
      <colorScale>
        <cfvo type="num" val="5"/>
        <cfvo type="num" val="10"/>
        <color rgb="FFFF494D"/>
        <color rgb="FF00FF66"/>
      </colorScale>
    </cfRule>
  </conditionalFormatting>
  <conditionalFormatting sqref="K190:K197">
    <cfRule type="cellIs" dxfId="1021" priority="2838" operator="between">
      <formula>6</formula>
      <formula>6.9</formula>
    </cfRule>
    <cfRule type="cellIs" dxfId="1020" priority="2839" operator="between">
      <formula>10.1</formula>
      <formula>10.6</formula>
    </cfRule>
    <cfRule type="cellIs" dxfId="1019" priority="2840" operator="between">
      <formula>7</formula>
      <formula>7.9</formula>
    </cfRule>
    <cfRule type="cellIs" dxfId="1018" priority="2841" stopIfTrue="1" operator="between">
      <formula>8</formula>
      <formula>8.9</formula>
    </cfRule>
    <cfRule type="cellIs" dxfId="1017" priority="2842" operator="between">
      <formula>9</formula>
      <formula>9.9</formula>
    </cfRule>
    <cfRule type="cellIs" dxfId="1016" priority="2843" stopIfTrue="1" operator="between">
      <formula>10</formula>
      <formula>10</formula>
    </cfRule>
    <cfRule type="containsBlanks" dxfId="1015" priority="2844" stopIfTrue="1">
      <formula>LEN(TRIM(K190))=0</formula>
    </cfRule>
  </conditionalFormatting>
  <conditionalFormatting sqref="K199">
    <cfRule type="colorScale" priority="28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17">
      <colorScale>
        <cfvo type="num" val="5"/>
        <cfvo type="num" val="10"/>
        <color rgb="FFFF494D"/>
        <color rgb="FF00FF66"/>
      </colorScale>
    </cfRule>
  </conditionalFormatting>
  <conditionalFormatting sqref="K200:K206">
    <cfRule type="cellIs" dxfId="1014" priority="2809" operator="between">
      <formula>6</formula>
      <formula>6.9</formula>
    </cfRule>
    <cfRule type="cellIs" dxfId="1013" priority="2810" operator="between">
      <formula>10.1</formula>
      <formula>10.6</formula>
    </cfRule>
    <cfRule type="cellIs" dxfId="1012" priority="2811" operator="between">
      <formula>7</formula>
      <formula>7.9</formula>
    </cfRule>
    <cfRule type="cellIs" dxfId="1011" priority="2812" stopIfTrue="1" operator="between">
      <formula>8</formula>
      <formula>8.9</formula>
    </cfRule>
    <cfRule type="cellIs" dxfId="1010" priority="2813" operator="between">
      <formula>9</formula>
      <formula>9.9</formula>
    </cfRule>
    <cfRule type="cellIs" dxfId="1009" priority="2814" stopIfTrue="1" operator="between">
      <formula>10</formula>
      <formula>10</formula>
    </cfRule>
    <cfRule type="containsBlanks" dxfId="1008" priority="2815" stopIfTrue="1">
      <formula>LEN(TRIM(K200))=0</formula>
    </cfRule>
  </conditionalFormatting>
  <conditionalFormatting sqref="K208">
    <cfRule type="colorScale" priority="27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78">
      <colorScale>
        <cfvo type="num" val="5"/>
        <cfvo type="num" val="10"/>
        <color rgb="FFFF494D"/>
        <color rgb="FF00FF66"/>
      </colorScale>
    </cfRule>
  </conditionalFormatting>
  <conditionalFormatting sqref="K209:K217">
    <cfRule type="cellIs" dxfId="1007" priority="2779" operator="between">
      <formula>6</formula>
      <formula>6.9</formula>
    </cfRule>
    <cfRule type="cellIs" dxfId="1006" priority="2780" operator="between">
      <formula>10.1</formula>
      <formula>11</formula>
    </cfRule>
    <cfRule type="cellIs" dxfId="1005" priority="2781" operator="between">
      <formula>7</formula>
      <formula>7.9</formula>
    </cfRule>
    <cfRule type="cellIs" dxfId="1004" priority="2782" stopIfTrue="1" operator="between">
      <formula>8</formula>
      <formula>8.9</formula>
    </cfRule>
    <cfRule type="cellIs" dxfId="1003" priority="2783" operator="between">
      <formula>9</formula>
      <formula>9.9</formula>
    </cfRule>
    <cfRule type="cellIs" dxfId="1002" priority="2784" stopIfTrue="1" operator="between">
      <formula>10</formula>
      <formula>10</formula>
    </cfRule>
    <cfRule type="containsBlanks" dxfId="1001" priority="2785" stopIfTrue="1">
      <formula>LEN(TRIM(K209))=0</formula>
    </cfRule>
  </conditionalFormatting>
  <conditionalFormatting sqref="K219">
    <cfRule type="colorScale" priority="273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34">
      <colorScale>
        <cfvo type="num" val="5"/>
        <cfvo type="num" val="10"/>
        <color rgb="FFFF494D"/>
        <color rgb="FF00FF66"/>
      </colorScale>
    </cfRule>
  </conditionalFormatting>
  <conditionalFormatting sqref="K220:K235">
    <cfRule type="cellIs" dxfId="1000" priority="2726" operator="between">
      <formula>6</formula>
      <formula>6.9</formula>
    </cfRule>
    <cfRule type="cellIs" dxfId="999" priority="2727" operator="between">
      <formula>10.1</formula>
      <formula>10.6</formula>
    </cfRule>
    <cfRule type="cellIs" dxfId="998" priority="2728" operator="between">
      <formula>7</formula>
      <formula>7.9</formula>
    </cfRule>
    <cfRule type="cellIs" dxfId="997" priority="2729" stopIfTrue="1" operator="between">
      <formula>8</formula>
      <formula>8.9</formula>
    </cfRule>
    <cfRule type="cellIs" dxfId="996" priority="2730" operator="between">
      <formula>9</formula>
      <formula>9.9</formula>
    </cfRule>
    <cfRule type="cellIs" dxfId="995" priority="2731" stopIfTrue="1" operator="between">
      <formula>10</formula>
      <formula>10</formula>
    </cfRule>
    <cfRule type="containsBlanks" dxfId="994" priority="2732" stopIfTrue="1">
      <formula>LEN(TRIM(K220))=0</formula>
    </cfRule>
  </conditionalFormatting>
  <conditionalFormatting sqref="K237">
    <cfRule type="colorScale" priority="267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71">
      <colorScale>
        <cfvo type="num" val="5"/>
        <cfvo type="num" val="10"/>
        <color rgb="FFFF494D"/>
        <color rgb="FF00FF66"/>
      </colorScale>
    </cfRule>
  </conditionalFormatting>
  <conditionalFormatting sqref="K238:K250">
    <cfRule type="cellIs" dxfId="993" priority="2663" operator="between">
      <formula>6</formula>
      <formula>6.9</formula>
    </cfRule>
    <cfRule type="cellIs" dxfId="992" priority="2664" operator="between">
      <formula>10.1</formula>
      <formula>10.6</formula>
    </cfRule>
    <cfRule type="cellIs" dxfId="991" priority="2665" operator="between">
      <formula>7</formula>
      <formula>7.9</formula>
    </cfRule>
    <cfRule type="cellIs" dxfId="990" priority="2666" stopIfTrue="1" operator="between">
      <formula>8</formula>
      <formula>8.9</formula>
    </cfRule>
    <cfRule type="cellIs" dxfId="989" priority="2667" operator="between">
      <formula>9</formula>
      <formula>9.9</formula>
    </cfRule>
    <cfRule type="cellIs" dxfId="988" priority="2668" stopIfTrue="1" operator="between">
      <formula>10</formula>
      <formula>10</formula>
    </cfRule>
    <cfRule type="containsBlanks" dxfId="987" priority="2669" stopIfTrue="1">
      <formula>LEN(TRIM(K238))=0</formula>
    </cfRule>
  </conditionalFormatting>
  <conditionalFormatting sqref="K252">
    <cfRule type="colorScale" priority="262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26">
      <colorScale>
        <cfvo type="num" val="5"/>
        <cfvo type="num" val="10"/>
        <color rgb="FFFF494D"/>
        <color rgb="FF00FF66"/>
      </colorScale>
    </cfRule>
  </conditionalFormatting>
  <conditionalFormatting sqref="K253:K262">
    <cfRule type="cellIs" dxfId="986" priority="2618" operator="between">
      <formula>6</formula>
      <formula>6.9</formula>
    </cfRule>
    <cfRule type="cellIs" dxfId="985" priority="2619" operator="between">
      <formula>10.1</formula>
      <formula>10.6</formula>
    </cfRule>
    <cfRule type="cellIs" dxfId="984" priority="2620" operator="between">
      <formula>7</formula>
      <formula>7.9</formula>
    </cfRule>
    <cfRule type="cellIs" dxfId="983" priority="2621" stopIfTrue="1" operator="between">
      <formula>8</formula>
      <formula>8.9</formula>
    </cfRule>
    <cfRule type="cellIs" dxfId="982" priority="2622" operator="between">
      <formula>9</formula>
      <formula>9.9</formula>
    </cfRule>
    <cfRule type="cellIs" dxfId="981" priority="2623" stopIfTrue="1" operator="between">
      <formula>10</formula>
      <formula>10</formula>
    </cfRule>
    <cfRule type="containsBlanks" dxfId="980" priority="2624" stopIfTrue="1">
      <formula>LEN(TRIM(K253))=0</formula>
    </cfRule>
  </conditionalFormatting>
  <conditionalFormatting sqref="K264">
    <cfRule type="colorScale" priority="258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88">
      <colorScale>
        <cfvo type="num" val="5"/>
        <cfvo type="num" val="10"/>
        <color rgb="FFFF494D"/>
        <color rgb="FF00FF66"/>
      </colorScale>
    </cfRule>
  </conditionalFormatting>
  <conditionalFormatting sqref="K265:K274">
    <cfRule type="cellIs" dxfId="979" priority="2589" operator="between">
      <formula>6</formula>
      <formula>6.9</formula>
    </cfRule>
    <cfRule type="cellIs" dxfId="978" priority="2590" operator="between">
      <formula>10.1</formula>
      <formula>10.6</formula>
    </cfRule>
    <cfRule type="cellIs" dxfId="977" priority="2591" operator="between">
      <formula>7</formula>
      <formula>7.9</formula>
    </cfRule>
    <cfRule type="cellIs" dxfId="976" priority="2592" stopIfTrue="1" operator="between">
      <formula>8</formula>
      <formula>8.9</formula>
    </cfRule>
    <cfRule type="cellIs" dxfId="975" priority="2593" operator="between">
      <formula>9</formula>
      <formula>9.9</formula>
    </cfRule>
    <cfRule type="cellIs" dxfId="974" priority="2594" stopIfTrue="1" operator="between">
      <formula>10</formula>
      <formula>10</formula>
    </cfRule>
    <cfRule type="containsBlanks" dxfId="973" priority="2595" stopIfTrue="1">
      <formula>LEN(TRIM(K265))=0</formula>
    </cfRule>
  </conditionalFormatting>
  <conditionalFormatting sqref="K276">
    <cfRule type="colorScale" priority="254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44">
      <colorScale>
        <cfvo type="num" val="5"/>
        <cfvo type="num" val="10"/>
        <color rgb="FFFF494D"/>
        <color rgb="FF00FF66"/>
      </colorScale>
    </cfRule>
  </conditionalFormatting>
  <conditionalFormatting sqref="K277:K284">
    <cfRule type="cellIs" dxfId="972" priority="2536" operator="between">
      <formula>6</formula>
      <formula>6.9</formula>
    </cfRule>
    <cfRule type="cellIs" dxfId="971" priority="2537" operator="between">
      <formula>10.1</formula>
      <formula>10.6</formula>
    </cfRule>
    <cfRule type="cellIs" dxfId="970" priority="2538" operator="between">
      <formula>7</formula>
      <formula>7.9</formula>
    </cfRule>
    <cfRule type="cellIs" dxfId="969" priority="2539" stopIfTrue="1" operator="between">
      <formula>8</formula>
      <formula>8.9</formula>
    </cfRule>
    <cfRule type="cellIs" dxfId="968" priority="2540" operator="between">
      <formula>9</formula>
      <formula>9.9</formula>
    </cfRule>
    <cfRule type="cellIs" dxfId="967" priority="2541" stopIfTrue="1" operator="between">
      <formula>10</formula>
      <formula>10</formula>
    </cfRule>
    <cfRule type="containsBlanks" dxfId="966" priority="2542" stopIfTrue="1">
      <formula>LEN(TRIM(K277))=0</formula>
    </cfRule>
  </conditionalFormatting>
  <conditionalFormatting sqref="K286">
    <cfRule type="colorScale" priority="249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96">
      <colorScale>
        <cfvo type="num" val="5"/>
        <cfvo type="num" val="10"/>
        <color rgb="FFFF494D"/>
        <color rgb="FF00FF66"/>
      </colorScale>
    </cfRule>
  </conditionalFormatting>
  <conditionalFormatting sqref="K287:K294">
    <cfRule type="cellIs" dxfId="965" priority="2488" operator="between">
      <formula>6</formula>
      <formula>6.9</formula>
    </cfRule>
    <cfRule type="cellIs" dxfId="964" priority="2489" operator="between">
      <formula>10.1</formula>
      <formula>10.6</formula>
    </cfRule>
    <cfRule type="cellIs" dxfId="963" priority="2490" operator="between">
      <formula>7</formula>
      <formula>7.9</formula>
    </cfRule>
    <cfRule type="cellIs" dxfId="962" priority="2491" stopIfTrue="1" operator="between">
      <formula>8</formula>
      <formula>8.9</formula>
    </cfRule>
    <cfRule type="cellIs" dxfId="961" priority="2492" operator="between">
      <formula>9</formula>
      <formula>9.9</formula>
    </cfRule>
    <cfRule type="cellIs" dxfId="960" priority="2493" stopIfTrue="1" operator="between">
      <formula>10</formula>
      <formula>10</formula>
    </cfRule>
    <cfRule type="containsBlanks" dxfId="959" priority="2494" stopIfTrue="1">
      <formula>LEN(TRIM(K287))=0</formula>
    </cfRule>
  </conditionalFormatting>
  <conditionalFormatting sqref="K296">
    <cfRule type="colorScale" priority="245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58">
      <colorScale>
        <cfvo type="num" val="5"/>
        <cfvo type="num" val="10"/>
        <color rgb="FFFF494D"/>
        <color rgb="FF00FF66"/>
      </colorScale>
    </cfRule>
  </conditionalFormatting>
  <conditionalFormatting sqref="K297:K302">
    <cfRule type="containsBlanks" dxfId="958" priority="2448" stopIfTrue="1">
      <formula>LEN(TRIM(K297))=0</formula>
    </cfRule>
    <cfRule type="cellIs" dxfId="957" priority="2449" operator="lessThan">
      <formula>2</formula>
    </cfRule>
    <cfRule type="cellIs" dxfId="956" priority="2450" operator="between">
      <formula>2</formula>
      <formula>4.9</formula>
    </cfRule>
    <cfRule type="cellIs" dxfId="955" priority="2451" operator="between">
      <formula>5</formula>
      <formula>6.9</formula>
    </cfRule>
    <cfRule type="cellIs" dxfId="954" priority="2452" operator="between">
      <formula>10.1</formula>
      <formula>10.6</formula>
    </cfRule>
    <cfRule type="cellIs" dxfId="953" priority="2453" operator="between">
      <formula>7</formula>
      <formula>7.9</formula>
    </cfRule>
    <cfRule type="cellIs" dxfId="952" priority="2454" stopIfTrue="1" operator="between">
      <formula>8</formula>
      <formula>8.9</formula>
    </cfRule>
    <cfRule type="cellIs" dxfId="951" priority="2455" operator="between">
      <formula>9</formula>
      <formula>9.9</formula>
    </cfRule>
    <cfRule type="cellIs" dxfId="950" priority="2456" stopIfTrue="1" operator="between">
      <formula>10</formula>
      <formula>10</formula>
    </cfRule>
  </conditionalFormatting>
  <conditionalFormatting sqref="K304">
    <cfRule type="colorScale" priority="24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27">
      <colorScale>
        <cfvo type="num" val="5"/>
        <cfvo type="num" val="10"/>
        <color rgb="FFFF494D"/>
        <color rgb="FF00FF66"/>
      </colorScale>
    </cfRule>
  </conditionalFormatting>
  <conditionalFormatting sqref="K305:K316">
    <cfRule type="containsBlanks" dxfId="949" priority="2417" stopIfTrue="1">
      <formula>LEN(TRIM(K305))=0</formula>
    </cfRule>
    <cfRule type="cellIs" dxfId="948" priority="2418" operator="lessThan">
      <formula>2</formula>
    </cfRule>
    <cfRule type="cellIs" dxfId="947" priority="2419" operator="between">
      <formula>2</formula>
      <formula>4.9</formula>
    </cfRule>
    <cfRule type="cellIs" dxfId="946" priority="2420" operator="between">
      <formula>5</formula>
      <formula>6.9</formula>
    </cfRule>
    <cfRule type="cellIs" dxfId="945" priority="2421" operator="between">
      <formula>10.1</formula>
      <formula>10.6</formula>
    </cfRule>
    <cfRule type="cellIs" dxfId="944" priority="2422" operator="between">
      <formula>7</formula>
      <formula>7.9</formula>
    </cfRule>
    <cfRule type="cellIs" dxfId="943" priority="2423" stopIfTrue="1" operator="between">
      <formula>8</formula>
      <formula>8.9</formula>
    </cfRule>
    <cfRule type="cellIs" dxfId="942" priority="2424" operator="between">
      <formula>9</formula>
      <formula>9.9</formula>
    </cfRule>
    <cfRule type="cellIs" dxfId="941" priority="2425" stopIfTrue="1" operator="between">
      <formula>10</formula>
      <formula>10</formula>
    </cfRule>
  </conditionalFormatting>
  <conditionalFormatting sqref="K318">
    <cfRule type="colorScale" priority="235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54">
      <colorScale>
        <cfvo type="num" val="5"/>
        <cfvo type="num" val="10"/>
        <color rgb="FFFF494D"/>
        <color rgb="FF00FF66"/>
      </colorScale>
    </cfRule>
  </conditionalFormatting>
  <conditionalFormatting sqref="K319:K326">
    <cfRule type="containsBlanks" dxfId="940" priority="2355" stopIfTrue="1">
      <formula>LEN(TRIM(K319))=0</formula>
    </cfRule>
    <cfRule type="cellIs" dxfId="939" priority="2356" operator="lessThan">
      <formula>2</formula>
    </cfRule>
    <cfRule type="cellIs" dxfId="938" priority="2357" operator="between">
      <formula>2</formula>
      <formula>4.9</formula>
    </cfRule>
    <cfRule type="cellIs" dxfId="937" priority="2358" operator="between">
      <formula>5</formula>
      <formula>6.9</formula>
    </cfRule>
    <cfRule type="cellIs" dxfId="936" priority="2359" operator="between">
      <formula>10.1</formula>
      <formula>10.6</formula>
    </cfRule>
    <cfRule type="cellIs" dxfId="935" priority="2360" operator="between">
      <formula>7</formula>
      <formula>7.9</formula>
    </cfRule>
    <cfRule type="cellIs" dxfId="934" priority="2361" stopIfTrue="1" operator="between">
      <formula>8</formula>
      <formula>8.9</formula>
    </cfRule>
    <cfRule type="cellIs" dxfId="933" priority="2362" operator="between">
      <formula>9</formula>
      <formula>9.9</formula>
    </cfRule>
    <cfRule type="cellIs" dxfId="932" priority="2363" stopIfTrue="1" operator="between">
      <formula>10</formula>
      <formula>10</formula>
    </cfRule>
  </conditionalFormatting>
  <conditionalFormatting sqref="K328">
    <cfRule type="colorScale" priority="230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10">
      <colorScale>
        <cfvo type="num" val="5"/>
        <cfvo type="num" val="10"/>
        <color rgb="FFFF494D"/>
        <color rgb="FF00FF66"/>
      </colorScale>
    </cfRule>
  </conditionalFormatting>
  <conditionalFormatting sqref="K329:K338">
    <cfRule type="containsBlanks" dxfId="931" priority="2311" stopIfTrue="1">
      <formula>LEN(TRIM(K329))=0</formula>
    </cfRule>
    <cfRule type="cellIs" dxfId="930" priority="2312" operator="lessThan">
      <formula>2</formula>
    </cfRule>
    <cfRule type="cellIs" dxfId="929" priority="2313" operator="between">
      <formula>2</formula>
      <formula>4.9</formula>
    </cfRule>
    <cfRule type="cellIs" dxfId="928" priority="2314" operator="between">
      <formula>5</formula>
      <formula>6.9</formula>
    </cfRule>
    <cfRule type="cellIs" dxfId="927" priority="2315" operator="between">
      <formula>10.1</formula>
      <formula>10.6</formula>
    </cfRule>
    <cfRule type="cellIs" dxfId="926" priority="2316" operator="between">
      <formula>7</formula>
      <formula>7.9</formula>
    </cfRule>
    <cfRule type="cellIs" dxfId="925" priority="2317" stopIfTrue="1" operator="between">
      <formula>8</formula>
      <formula>8.9</formula>
    </cfRule>
    <cfRule type="cellIs" dxfId="924" priority="2318" operator="between">
      <formula>9</formula>
      <formula>9.9</formula>
    </cfRule>
    <cfRule type="cellIs" dxfId="923" priority="2319" stopIfTrue="1" operator="between">
      <formula>10</formula>
      <formula>10</formula>
    </cfRule>
  </conditionalFormatting>
  <conditionalFormatting sqref="K340">
    <cfRule type="colorScale" priority="22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55">
      <colorScale>
        <cfvo type="num" val="5"/>
        <cfvo type="num" val="10"/>
        <color rgb="FFFF494D"/>
        <color rgb="FF00FF66"/>
      </colorScale>
    </cfRule>
  </conditionalFormatting>
  <conditionalFormatting sqref="K341:K354">
    <cfRule type="containsBlanks" dxfId="922" priority="2256" stopIfTrue="1">
      <formula>LEN(TRIM(K341))=0</formula>
    </cfRule>
    <cfRule type="cellIs" dxfId="921" priority="2257" operator="lessThan">
      <formula>2</formula>
    </cfRule>
    <cfRule type="cellIs" dxfId="920" priority="2258" operator="between">
      <formula>2</formula>
      <formula>4.9</formula>
    </cfRule>
    <cfRule type="cellIs" dxfId="919" priority="2259" operator="between">
      <formula>5</formula>
      <formula>6.9</formula>
    </cfRule>
    <cfRule type="cellIs" dxfId="918" priority="2260" operator="between">
      <formula>10.1</formula>
      <formula>10.6</formula>
    </cfRule>
    <cfRule type="cellIs" dxfId="917" priority="2261" operator="between">
      <formula>7</formula>
      <formula>7.9</formula>
    </cfRule>
    <cfRule type="cellIs" dxfId="916" priority="2262" stopIfTrue="1" operator="between">
      <formula>8</formula>
      <formula>8.9</formula>
    </cfRule>
    <cfRule type="cellIs" dxfId="915" priority="2263" operator="between">
      <formula>9</formula>
      <formula>9.9</formula>
    </cfRule>
    <cfRule type="cellIs" dxfId="914" priority="2264" stopIfTrue="1" operator="between">
      <formula>10</formula>
      <formula>10</formula>
    </cfRule>
  </conditionalFormatting>
  <conditionalFormatting sqref="K356">
    <cfRule type="colorScale" priority="221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11">
      <colorScale>
        <cfvo type="num" val="5"/>
        <cfvo type="num" val="10"/>
        <color rgb="FFFF494D"/>
        <color rgb="FF00FF66"/>
      </colorScale>
    </cfRule>
  </conditionalFormatting>
  <conditionalFormatting sqref="K357:K363">
    <cfRule type="containsBlanks" dxfId="913" priority="2212" stopIfTrue="1">
      <formula>LEN(TRIM(K357))=0</formula>
    </cfRule>
    <cfRule type="cellIs" dxfId="912" priority="2213" operator="lessThan">
      <formula>2</formula>
    </cfRule>
    <cfRule type="cellIs" dxfId="911" priority="2214" operator="between">
      <formula>2</formula>
      <formula>4.9</formula>
    </cfRule>
    <cfRule type="cellIs" dxfId="910" priority="2215" operator="between">
      <formula>5</formula>
      <formula>6.9</formula>
    </cfRule>
    <cfRule type="cellIs" dxfId="909" priority="2216" operator="between">
      <formula>10.1</formula>
      <formula>10.6</formula>
    </cfRule>
    <cfRule type="cellIs" dxfId="908" priority="2217" operator="between">
      <formula>7</formula>
      <formula>7.9</formula>
    </cfRule>
    <cfRule type="cellIs" dxfId="907" priority="2218" stopIfTrue="1" operator="between">
      <formula>8</formula>
      <formula>8.9</formula>
    </cfRule>
    <cfRule type="cellIs" dxfId="906" priority="2219" operator="between">
      <formula>9</formula>
      <formula>9.9</formula>
    </cfRule>
    <cfRule type="cellIs" dxfId="905" priority="2220" stopIfTrue="1" operator="between">
      <formula>10</formula>
      <formula>10</formula>
    </cfRule>
  </conditionalFormatting>
  <conditionalFormatting sqref="K365">
    <cfRule type="colorScale" priority="21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85">
      <colorScale>
        <cfvo type="num" val="5"/>
        <cfvo type="num" val="10"/>
        <color rgb="FFFF494D"/>
        <color rgb="FF00FF66"/>
      </colorScale>
    </cfRule>
  </conditionalFormatting>
  <conditionalFormatting sqref="K366:K378">
    <cfRule type="containsBlanks" dxfId="904" priority="2175" stopIfTrue="1">
      <formula>LEN(TRIM(K366))=0</formula>
    </cfRule>
    <cfRule type="cellIs" dxfId="903" priority="2176" operator="lessThan">
      <formula>2</formula>
    </cfRule>
    <cfRule type="cellIs" dxfId="902" priority="2177" operator="between">
      <formula>2</formula>
      <formula>4.9</formula>
    </cfRule>
    <cfRule type="cellIs" dxfId="901" priority="2178" operator="between">
      <formula>5</formula>
      <formula>6.9</formula>
    </cfRule>
    <cfRule type="cellIs" dxfId="900" priority="2179" operator="between">
      <formula>10.1</formula>
      <formula>10.6</formula>
    </cfRule>
    <cfRule type="cellIs" dxfId="899" priority="2180" operator="between">
      <formula>7</formula>
      <formula>7.9</formula>
    </cfRule>
    <cfRule type="cellIs" dxfId="898" priority="2181" stopIfTrue="1" operator="between">
      <formula>8</formula>
      <formula>8.9</formula>
    </cfRule>
    <cfRule type="cellIs" dxfId="897" priority="2182" operator="between">
      <formula>9</formula>
      <formula>9.9</formula>
    </cfRule>
    <cfRule type="cellIs" dxfId="896" priority="2183" stopIfTrue="1" operator="between">
      <formula>10</formula>
      <formula>10</formula>
    </cfRule>
  </conditionalFormatting>
  <conditionalFormatting sqref="K380">
    <cfRule type="colorScale" priority="210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07">
      <colorScale>
        <cfvo type="num" val="5"/>
        <cfvo type="num" val="10"/>
        <color rgb="FFFF494D"/>
        <color rgb="FF00FF66"/>
      </colorScale>
    </cfRule>
  </conditionalFormatting>
  <conditionalFormatting sqref="K381:K389">
    <cfRule type="containsBlanks" dxfId="895" priority="2097" stopIfTrue="1">
      <formula>LEN(TRIM(K381))=0</formula>
    </cfRule>
    <cfRule type="cellIs" dxfId="894" priority="2098" operator="lessThan">
      <formula>2</formula>
    </cfRule>
    <cfRule type="cellIs" dxfId="893" priority="2099" operator="between">
      <formula>2</formula>
      <formula>4.9</formula>
    </cfRule>
    <cfRule type="cellIs" dxfId="892" priority="2100" operator="between">
      <formula>5</formula>
      <formula>6.9</formula>
    </cfRule>
    <cfRule type="cellIs" dxfId="891" priority="2101" operator="between">
      <formula>10.1</formula>
      <formula>10.6</formula>
    </cfRule>
    <cfRule type="cellIs" dxfId="890" priority="2102" operator="between">
      <formula>7</formula>
      <formula>7.9</formula>
    </cfRule>
    <cfRule type="cellIs" dxfId="889" priority="2103" stopIfTrue="1" operator="between">
      <formula>8</formula>
      <formula>8.9</formula>
    </cfRule>
    <cfRule type="cellIs" dxfId="888" priority="2104" operator="between">
      <formula>9</formula>
      <formula>9.9</formula>
    </cfRule>
    <cfRule type="cellIs" dxfId="887" priority="2105" stopIfTrue="1" operator="between">
      <formula>10</formula>
      <formula>10</formula>
    </cfRule>
  </conditionalFormatting>
  <conditionalFormatting sqref="K391">
    <cfRule type="colorScale" priority="20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41">
      <colorScale>
        <cfvo type="num" val="5"/>
        <cfvo type="num" val="10"/>
        <color rgb="FFFF494D"/>
        <color rgb="FF00FF66"/>
      </colorScale>
    </cfRule>
  </conditionalFormatting>
  <conditionalFormatting sqref="K392:K397">
    <cfRule type="containsBlanks" dxfId="886" priority="2031" stopIfTrue="1">
      <formula>LEN(TRIM(K392))=0</formula>
    </cfRule>
    <cfRule type="cellIs" dxfId="885" priority="2032" operator="lessThan">
      <formula>2</formula>
    </cfRule>
    <cfRule type="cellIs" dxfId="884" priority="2033" operator="between">
      <formula>2</formula>
      <formula>4.9</formula>
    </cfRule>
    <cfRule type="cellIs" dxfId="883" priority="2034" operator="between">
      <formula>5</formula>
      <formula>6.9</formula>
    </cfRule>
    <cfRule type="cellIs" dxfId="882" priority="2035" operator="between">
      <formula>10.1</formula>
      <formula>10.6</formula>
    </cfRule>
    <cfRule type="cellIs" dxfId="881" priority="2036" operator="between">
      <formula>7</formula>
      <formula>7.9</formula>
    </cfRule>
    <cfRule type="cellIs" dxfId="880" priority="2037" stopIfTrue="1" operator="between">
      <formula>8</formula>
      <formula>8.9</formula>
    </cfRule>
    <cfRule type="cellIs" dxfId="879" priority="2038" operator="between">
      <formula>9</formula>
      <formula>9.9</formula>
    </cfRule>
    <cfRule type="cellIs" dxfId="878" priority="2039" stopIfTrue="1" operator="between">
      <formula>10</formula>
      <formula>10</formula>
    </cfRule>
  </conditionalFormatting>
  <conditionalFormatting sqref="K399">
    <cfRule type="colorScale" priority="201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19">
      <colorScale>
        <cfvo type="num" val="5"/>
        <cfvo type="num" val="10"/>
        <color rgb="FFFF494D"/>
        <color rgb="FF00FF66"/>
      </colorScale>
    </cfRule>
  </conditionalFormatting>
  <conditionalFormatting sqref="K400:K410">
    <cfRule type="containsBlanks" dxfId="877" priority="2009" stopIfTrue="1">
      <formula>LEN(TRIM(K400))=0</formula>
    </cfRule>
    <cfRule type="cellIs" dxfId="876" priority="2010" operator="lessThan">
      <formula>2</formula>
    </cfRule>
    <cfRule type="cellIs" dxfId="875" priority="2011" operator="between">
      <formula>2</formula>
      <formula>4.9</formula>
    </cfRule>
    <cfRule type="cellIs" dxfId="874" priority="2012" operator="between">
      <formula>5</formula>
      <formula>6.9</formula>
    </cfRule>
    <cfRule type="cellIs" dxfId="873" priority="2013" operator="between">
      <formula>10.1</formula>
      <formula>10.6</formula>
    </cfRule>
    <cfRule type="cellIs" dxfId="872" priority="2014" operator="between">
      <formula>7</formula>
      <formula>7.9</formula>
    </cfRule>
    <cfRule type="cellIs" dxfId="871" priority="2015" stopIfTrue="1" operator="between">
      <formula>8</formula>
      <formula>8.9</formula>
    </cfRule>
    <cfRule type="cellIs" dxfId="870" priority="2016" operator="between">
      <formula>9</formula>
      <formula>9.9</formula>
    </cfRule>
    <cfRule type="cellIs" dxfId="869" priority="2017" stopIfTrue="1" operator="between">
      <formula>10</formula>
      <formula>10</formula>
    </cfRule>
  </conditionalFormatting>
  <conditionalFormatting sqref="K412">
    <cfRule type="colorScale" priority="195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55">
      <colorScale>
        <cfvo type="num" val="5"/>
        <cfvo type="num" val="10"/>
        <color rgb="FFFF494D"/>
        <color rgb="FF00FF66"/>
      </colorScale>
    </cfRule>
  </conditionalFormatting>
  <conditionalFormatting sqref="K413:K419">
    <cfRule type="containsBlanks" dxfId="868" priority="1956" stopIfTrue="1">
      <formula>LEN(TRIM(K413))=0</formula>
    </cfRule>
    <cfRule type="cellIs" dxfId="867" priority="1957" operator="lessThan">
      <formula>2</formula>
    </cfRule>
    <cfRule type="cellIs" dxfId="866" priority="1958" operator="between">
      <formula>2</formula>
      <formula>4.9</formula>
    </cfRule>
    <cfRule type="cellIs" dxfId="865" priority="1959" operator="between">
      <formula>5</formula>
      <formula>6.9</formula>
    </cfRule>
    <cfRule type="cellIs" dxfId="864" priority="1960" operator="between">
      <formula>10.1</formula>
      <formula>10.6</formula>
    </cfRule>
    <cfRule type="cellIs" dxfId="863" priority="1961" operator="between">
      <formula>7</formula>
      <formula>7.9</formula>
    </cfRule>
    <cfRule type="cellIs" dxfId="862" priority="1962" stopIfTrue="1" operator="between">
      <formula>8</formula>
      <formula>8.9</formula>
    </cfRule>
    <cfRule type="cellIs" dxfId="861" priority="1963" operator="between">
      <formula>9</formula>
      <formula>9.9</formula>
    </cfRule>
    <cfRule type="cellIs" dxfId="860" priority="1964" stopIfTrue="1" operator="between">
      <formula>10</formula>
      <formula>10</formula>
    </cfRule>
  </conditionalFormatting>
  <conditionalFormatting sqref="K421">
    <cfRule type="colorScale" priority="18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77">
      <colorScale>
        <cfvo type="num" val="5"/>
        <cfvo type="num" val="10"/>
        <color rgb="FFFF494D"/>
        <color rgb="FF00FF66"/>
      </colorScale>
    </cfRule>
  </conditionalFormatting>
  <conditionalFormatting sqref="K422:K429">
    <cfRule type="containsBlanks" dxfId="859" priority="1880" stopIfTrue="1">
      <formula>LEN(TRIM(K422))=0</formula>
    </cfRule>
    <cfRule type="cellIs" dxfId="858" priority="1881" operator="lessThan">
      <formula>2</formula>
    </cfRule>
    <cfRule type="cellIs" dxfId="857" priority="1882" operator="between">
      <formula>2</formula>
      <formula>4.9</formula>
    </cfRule>
    <cfRule type="cellIs" dxfId="856" priority="1883" operator="between">
      <formula>5</formula>
      <formula>6.9</formula>
    </cfRule>
    <cfRule type="cellIs" dxfId="855" priority="1884" operator="between">
      <formula>10.1</formula>
      <formula>10.6</formula>
    </cfRule>
    <cfRule type="cellIs" dxfId="854" priority="1885" operator="between">
      <formula>7</formula>
      <formula>7.9</formula>
    </cfRule>
    <cfRule type="cellIs" dxfId="853" priority="1886" stopIfTrue="1" operator="between">
      <formula>8</formula>
      <formula>8.9</formula>
    </cfRule>
    <cfRule type="cellIs" dxfId="852" priority="1887" operator="between">
      <formula>9</formula>
      <formula>9.9</formula>
    </cfRule>
    <cfRule type="cellIs" dxfId="851" priority="1888" stopIfTrue="1" operator="between">
      <formula>10</formula>
      <formula>10</formula>
    </cfRule>
  </conditionalFormatting>
  <conditionalFormatting sqref="K431">
    <cfRule type="colorScale" priority="18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42">
      <colorScale>
        <cfvo type="num" val="5"/>
        <cfvo type="num" val="10"/>
        <color rgb="FFFF494D"/>
        <color rgb="FF00FF66"/>
      </colorScale>
    </cfRule>
  </conditionalFormatting>
  <conditionalFormatting sqref="K432:K443">
    <cfRule type="containsBlanks" dxfId="850" priority="1768" stopIfTrue="1">
      <formula>LEN(TRIM(K432))=0</formula>
    </cfRule>
    <cfRule type="cellIs" dxfId="849" priority="1769" operator="lessThan">
      <formula>2</formula>
    </cfRule>
    <cfRule type="cellIs" dxfId="848" priority="1770" operator="between">
      <formula>2</formula>
      <formula>4.9</formula>
    </cfRule>
    <cfRule type="cellIs" dxfId="847" priority="1771" operator="between">
      <formula>5</formula>
      <formula>6.9</formula>
    </cfRule>
    <cfRule type="cellIs" dxfId="846" priority="1772" operator="between">
      <formula>10.1</formula>
      <formula>10.6</formula>
    </cfRule>
    <cfRule type="cellIs" dxfId="845" priority="1773" operator="between">
      <formula>7</formula>
      <formula>7.9</formula>
    </cfRule>
    <cfRule type="cellIs" dxfId="844" priority="1774" stopIfTrue="1" operator="between">
      <formula>8</formula>
      <formula>8.9</formula>
    </cfRule>
    <cfRule type="cellIs" dxfId="843" priority="1775" operator="between">
      <formula>9</formula>
      <formula>9.9</formula>
    </cfRule>
    <cfRule type="cellIs" dxfId="842" priority="1776" stopIfTrue="1" operator="between">
      <formula>10</formula>
      <formula>10</formula>
    </cfRule>
  </conditionalFormatting>
  <conditionalFormatting sqref="K445">
    <cfRule type="colorScale" priority="17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47">
      <colorScale>
        <cfvo type="num" val="5"/>
        <cfvo type="num" val="10"/>
        <color rgb="FFFF494D"/>
        <color rgb="FF00FF66"/>
      </colorScale>
    </cfRule>
  </conditionalFormatting>
  <conditionalFormatting sqref="K446:K463">
    <cfRule type="containsBlanks" dxfId="841" priority="1748" stopIfTrue="1">
      <formula>LEN(TRIM(K446))=0</formula>
    </cfRule>
    <cfRule type="cellIs" dxfId="840" priority="1749" operator="lessThan">
      <formula>2</formula>
    </cfRule>
    <cfRule type="cellIs" dxfId="839" priority="1750" operator="between">
      <formula>2</formula>
      <formula>4.9</formula>
    </cfRule>
    <cfRule type="cellIs" dxfId="838" priority="1751" operator="between">
      <formula>5</formula>
      <formula>6.9</formula>
    </cfRule>
    <cfRule type="cellIs" dxfId="837" priority="1752" operator="between">
      <formula>10.1</formula>
      <formula>10.6</formula>
    </cfRule>
    <cfRule type="cellIs" dxfId="836" priority="1753" operator="between">
      <formula>7</formula>
      <formula>7.9</formula>
    </cfRule>
    <cfRule type="cellIs" dxfId="835" priority="1754" stopIfTrue="1" operator="between">
      <formula>8</formula>
      <formula>8.9</formula>
    </cfRule>
    <cfRule type="cellIs" dxfId="834" priority="1755" operator="between">
      <formula>9</formula>
      <formula>9.9</formula>
    </cfRule>
    <cfRule type="cellIs" dxfId="833" priority="1756" stopIfTrue="1" operator="between">
      <formula>10</formula>
      <formula>10</formula>
    </cfRule>
  </conditionalFormatting>
  <conditionalFormatting sqref="K465">
    <cfRule type="colorScale" priority="170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03">
      <colorScale>
        <cfvo type="num" val="5"/>
        <cfvo type="num" val="10"/>
        <color rgb="FFFF494D"/>
        <color rgb="FF00FF66"/>
      </colorScale>
    </cfRule>
  </conditionalFormatting>
  <conditionalFormatting sqref="K466:K477">
    <cfRule type="containsBlanks" dxfId="832" priority="1704" stopIfTrue="1">
      <formula>LEN(TRIM(K466))=0</formula>
    </cfRule>
    <cfRule type="cellIs" dxfId="831" priority="1705" operator="lessThan">
      <formula>2</formula>
    </cfRule>
    <cfRule type="cellIs" dxfId="830" priority="1706" operator="between">
      <formula>2</formula>
      <formula>4.9</formula>
    </cfRule>
    <cfRule type="cellIs" dxfId="829" priority="1707" operator="between">
      <formula>5</formula>
      <formula>6.9</formula>
    </cfRule>
    <cfRule type="cellIs" dxfId="828" priority="1708" operator="between">
      <formula>10.1</formula>
      <formula>10.6</formula>
    </cfRule>
    <cfRule type="cellIs" dxfId="827" priority="1709" operator="between">
      <formula>7</formula>
      <formula>7.9</formula>
    </cfRule>
    <cfRule type="cellIs" dxfId="826" priority="1710" stopIfTrue="1" operator="between">
      <formula>8</formula>
      <formula>8.9</formula>
    </cfRule>
    <cfRule type="cellIs" dxfId="825" priority="1711" operator="between">
      <formula>9</formula>
      <formula>9.9</formula>
    </cfRule>
    <cfRule type="cellIs" dxfId="824" priority="1712" stopIfTrue="1" operator="between">
      <formula>10</formula>
      <formula>10</formula>
    </cfRule>
  </conditionalFormatting>
  <conditionalFormatting sqref="K479">
    <cfRule type="colorScale" priority="164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48">
      <colorScale>
        <cfvo type="num" val="5"/>
        <cfvo type="num" val="10"/>
        <color rgb="FFFF494D"/>
        <color rgb="FF00FF66"/>
      </colorScale>
    </cfRule>
  </conditionalFormatting>
  <conditionalFormatting sqref="K480:K489">
    <cfRule type="containsBlanks" dxfId="823" priority="1649" stopIfTrue="1">
      <formula>LEN(TRIM(K480))=0</formula>
    </cfRule>
    <cfRule type="cellIs" dxfId="822" priority="1650" operator="lessThan">
      <formula>2</formula>
    </cfRule>
    <cfRule type="cellIs" dxfId="821" priority="1651" operator="between">
      <formula>2</formula>
      <formula>4.9</formula>
    </cfRule>
    <cfRule type="cellIs" dxfId="820" priority="1652" operator="between">
      <formula>5</formula>
      <formula>6.9</formula>
    </cfRule>
    <cfRule type="cellIs" dxfId="819" priority="1653" operator="between">
      <formula>10.1</formula>
      <formula>10.6</formula>
    </cfRule>
    <cfRule type="cellIs" dxfId="818" priority="1654" operator="between">
      <formula>7</formula>
      <formula>7.9</formula>
    </cfRule>
    <cfRule type="cellIs" dxfId="817" priority="1655" stopIfTrue="1" operator="between">
      <formula>8</formula>
      <formula>8.9</formula>
    </cfRule>
    <cfRule type="cellIs" dxfId="816" priority="1656" operator="between">
      <formula>9</formula>
      <formula>9.9</formula>
    </cfRule>
    <cfRule type="cellIs" dxfId="815" priority="1657" stopIfTrue="1" operator="between">
      <formula>10</formula>
      <formula>10</formula>
    </cfRule>
  </conditionalFormatting>
  <conditionalFormatting sqref="K491">
    <cfRule type="colorScale" priority="158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82">
      <colorScale>
        <cfvo type="num" val="5"/>
        <cfvo type="num" val="10"/>
        <color rgb="FFFF494D"/>
        <color rgb="FF00FF66"/>
      </colorScale>
    </cfRule>
  </conditionalFormatting>
  <conditionalFormatting sqref="K492:K497">
    <cfRule type="containsBlanks" dxfId="814" priority="1583" stopIfTrue="1">
      <formula>LEN(TRIM(K492))=0</formula>
    </cfRule>
    <cfRule type="cellIs" dxfId="813" priority="1584" operator="lessThan">
      <formula>2</formula>
    </cfRule>
    <cfRule type="cellIs" dxfId="812" priority="1585" operator="between">
      <formula>2</formula>
      <formula>4.9</formula>
    </cfRule>
    <cfRule type="cellIs" dxfId="811" priority="1586" operator="between">
      <formula>5</formula>
      <formula>6.9</formula>
    </cfRule>
    <cfRule type="cellIs" dxfId="810" priority="1587" operator="between">
      <formula>10.1</formula>
      <formula>10.6</formula>
    </cfRule>
    <cfRule type="cellIs" dxfId="809" priority="1588" operator="between">
      <formula>7</formula>
      <formula>7.9</formula>
    </cfRule>
    <cfRule type="cellIs" dxfId="808" priority="1589" stopIfTrue="1" operator="between">
      <formula>8</formula>
      <formula>8.9</formula>
    </cfRule>
    <cfRule type="cellIs" dxfId="807" priority="1590" operator="between">
      <formula>9</formula>
      <formula>9.9</formula>
    </cfRule>
    <cfRule type="cellIs" dxfId="806" priority="1591" stopIfTrue="1" operator="between">
      <formula>10</formula>
      <formula>10</formula>
    </cfRule>
  </conditionalFormatting>
  <conditionalFormatting sqref="K499">
    <cfRule type="colorScale" priority="155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60">
      <colorScale>
        <cfvo type="num" val="5"/>
        <cfvo type="num" val="10"/>
        <color rgb="FFFF494D"/>
        <color rgb="FF00FF66"/>
      </colorScale>
    </cfRule>
  </conditionalFormatting>
  <conditionalFormatting sqref="K500:K517">
    <cfRule type="containsBlanks" dxfId="805" priority="1561" stopIfTrue="1">
      <formula>LEN(TRIM(K500))=0</formula>
    </cfRule>
    <cfRule type="cellIs" dxfId="804" priority="1562" operator="lessThan">
      <formula>2</formula>
    </cfRule>
    <cfRule type="cellIs" dxfId="803" priority="1563" operator="between">
      <formula>2</formula>
      <formula>4.9</formula>
    </cfRule>
    <cfRule type="cellIs" dxfId="802" priority="1564" operator="between">
      <formula>5</formula>
      <formula>6.9</formula>
    </cfRule>
    <cfRule type="cellIs" dxfId="801" priority="1565" operator="between">
      <formula>10.1</formula>
      <formula>10.6</formula>
    </cfRule>
    <cfRule type="cellIs" dxfId="800" priority="1566" operator="between">
      <formula>7</formula>
      <formula>7.9</formula>
    </cfRule>
    <cfRule type="cellIs" dxfId="799" priority="1567" stopIfTrue="1" operator="between">
      <formula>8</formula>
      <formula>8.9</formula>
    </cfRule>
    <cfRule type="cellIs" dxfId="798" priority="1568" operator="between">
      <formula>9</formula>
      <formula>9.9</formula>
    </cfRule>
    <cfRule type="cellIs" dxfId="797" priority="1569" stopIfTrue="1" operator="between">
      <formula>10</formula>
      <formula>10</formula>
    </cfRule>
  </conditionalFormatting>
  <conditionalFormatting sqref="K519">
    <cfRule type="colorScale" priority="14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72">
      <colorScale>
        <cfvo type="num" val="5"/>
        <cfvo type="num" val="10"/>
        <color rgb="FFFF494D"/>
        <color rgb="FF00FF66"/>
      </colorScale>
    </cfRule>
  </conditionalFormatting>
  <conditionalFormatting sqref="K520:K526">
    <cfRule type="containsBlanks" dxfId="796" priority="1473" stopIfTrue="1">
      <formula>LEN(TRIM(K520))=0</formula>
    </cfRule>
    <cfRule type="cellIs" dxfId="795" priority="1474" operator="lessThan">
      <formula>2</formula>
    </cfRule>
    <cfRule type="cellIs" dxfId="794" priority="1475" operator="between">
      <formula>2</formula>
      <formula>4.9</formula>
    </cfRule>
    <cfRule type="cellIs" dxfId="793" priority="1476" operator="between">
      <formula>5</formula>
      <formula>6.9</formula>
    </cfRule>
    <cfRule type="cellIs" dxfId="792" priority="1477" operator="between">
      <formula>10.1</formula>
      <formula>10.6</formula>
    </cfRule>
    <cfRule type="cellIs" dxfId="791" priority="1478" operator="between">
      <formula>7</formula>
      <formula>7.9</formula>
    </cfRule>
    <cfRule type="cellIs" dxfId="790" priority="1479" stopIfTrue="1" operator="between">
      <formula>8</formula>
      <formula>8.9</formula>
    </cfRule>
    <cfRule type="cellIs" dxfId="789" priority="1480" operator="between">
      <formula>9</formula>
      <formula>9.9</formula>
    </cfRule>
    <cfRule type="cellIs" dxfId="788" priority="1481" stopIfTrue="1" operator="between">
      <formula>10</formula>
      <formula>10</formula>
    </cfRule>
  </conditionalFormatting>
  <conditionalFormatting sqref="K528">
    <cfRule type="colorScale" priority="141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17">
      <colorScale>
        <cfvo type="num" val="5"/>
        <cfvo type="num" val="10"/>
        <color rgb="FFFF494D"/>
        <color rgb="FF00FF66"/>
      </colorScale>
    </cfRule>
  </conditionalFormatting>
  <conditionalFormatting sqref="K529:K543">
    <cfRule type="containsBlanks" dxfId="787" priority="1418" stopIfTrue="1">
      <formula>LEN(TRIM(K529))=0</formula>
    </cfRule>
    <cfRule type="cellIs" dxfId="786" priority="1419" operator="lessThan">
      <formula>2</formula>
    </cfRule>
    <cfRule type="cellIs" dxfId="785" priority="1420" operator="between">
      <formula>2</formula>
      <formula>4.9</formula>
    </cfRule>
    <cfRule type="cellIs" dxfId="784" priority="1421" operator="between">
      <formula>5</formula>
      <formula>6.9</formula>
    </cfRule>
    <cfRule type="cellIs" dxfId="783" priority="1422" operator="between">
      <formula>10.1</formula>
      <formula>10.6</formula>
    </cfRule>
    <cfRule type="cellIs" dxfId="782" priority="1423" operator="between">
      <formula>7</formula>
      <formula>7.9</formula>
    </cfRule>
    <cfRule type="cellIs" dxfId="781" priority="1424" stopIfTrue="1" operator="between">
      <formula>8</formula>
      <formula>8.9</formula>
    </cfRule>
    <cfRule type="cellIs" dxfId="780" priority="1425" operator="between">
      <formula>9</formula>
      <formula>9.9</formula>
    </cfRule>
    <cfRule type="cellIs" dxfId="779" priority="1426" stopIfTrue="1" operator="between">
      <formula>10</formula>
      <formula>10</formula>
    </cfRule>
  </conditionalFormatting>
  <conditionalFormatting sqref="K545">
    <cfRule type="colorScale" priority="135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51">
      <colorScale>
        <cfvo type="num" val="5"/>
        <cfvo type="num" val="10"/>
        <color rgb="FFFF494D"/>
        <color rgb="FF00FF66"/>
      </colorScale>
    </cfRule>
  </conditionalFormatting>
  <conditionalFormatting sqref="K546:K569">
    <cfRule type="containsBlanks" dxfId="778" priority="1352" stopIfTrue="1">
      <formula>LEN(TRIM(K546))=0</formula>
    </cfRule>
    <cfRule type="cellIs" dxfId="777" priority="1353" operator="lessThan">
      <formula>2</formula>
    </cfRule>
    <cfRule type="cellIs" dxfId="776" priority="1354" operator="between">
      <formula>2</formula>
      <formula>4.9</formula>
    </cfRule>
    <cfRule type="cellIs" dxfId="775" priority="1355" operator="between">
      <formula>5</formula>
      <formula>6.9</formula>
    </cfRule>
    <cfRule type="cellIs" dxfId="774" priority="1356" operator="between">
      <formula>10.1</formula>
      <formula>10.6</formula>
    </cfRule>
    <cfRule type="cellIs" dxfId="773" priority="1357" operator="between">
      <formula>7</formula>
      <formula>7.9</formula>
    </cfRule>
    <cfRule type="cellIs" dxfId="772" priority="1358" stopIfTrue="1" operator="between">
      <formula>8</formula>
      <formula>8.9</formula>
    </cfRule>
    <cfRule type="cellIs" dxfId="771" priority="1359" operator="between">
      <formula>9</formula>
      <formula>9.9</formula>
    </cfRule>
    <cfRule type="cellIs" dxfId="770" priority="1360" stopIfTrue="1" operator="between">
      <formula>10</formula>
      <formula>10</formula>
    </cfRule>
  </conditionalFormatting>
  <conditionalFormatting sqref="K571">
    <cfRule type="colorScale" priority="125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52">
      <colorScale>
        <cfvo type="num" val="5"/>
        <cfvo type="num" val="10"/>
        <color rgb="FFFF494D"/>
        <color rgb="FF00FF66"/>
      </colorScale>
    </cfRule>
  </conditionalFormatting>
  <conditionalFormatting sqref="K572:K583">
    <cfRule type="containsBlanks" dxfId="769" priority="1253" stopIfTrue="1">
      <formula>LEN(TRIM(K572))=0</formula>
    </cfRule>
    <cfRule type="cellIs" dxfId="768" priority="1254" operator="lessThan">
      <formula>2</formula>
    </cfRule>
    <cfRule type="cellIs" dxfId="767" priority="1255" operator="between">
      <formula>2</formula>
      <formula>4.9</formula>
    </cfRule>
    <cfRule type="cellIs" dxfId="766" priority="1256" operator="between">
      <formula>5</formula>
      <formula>6.9</formula>
    </cfRule>
    <cfRule type="cellIs" dxfId="765" priority="1257" operator="between">
      <formula>10.1</formula>
      <formula>10.6</formula>
    </cfRule>
    <cfRule type="cellIs" dxfId="764" priority="1258" operator="between">
      <formula>7</formula>
      <formula>7.9</formula>
    </cfRule>
    <cfRule type="cellIs" dxfId="763" priority="1259" stopIfTrue="1" operator="between">
      <formula>8</formula>
      <formula>8.9</formula>
    </cfRule>
    <cfRule type="cellIs" dxfId="762" priority="1260" operator="between">
      <formula>9</formula>
      <formula>9.9</formula>
    </cfRule>
    <cfRule type="cellIs" dxfId="761" priority="1261" stopIfTrue="1" operator="between">
      <formula>10</formula>
      <formula>10</formula>
    </cfRule>
  </conditionalFormatting>
  <conditionalFormatting sqref="K585">
    <cfRule type="colorScale" priority="12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08">
      <colorScale>
        <cfvo type="num" val="5"/>
        <cfvo type="num" val="10"/>
        <color rgb="FFFF494D"/>
        <color rgb="FF00FF66"/>
      </colorScale>
    </cfRule>
  </conditionalFormatting>
  <conditionalFormatting sqref="K586:K595">
    <cfRule type="containsBlanks" dxfId="760" priority="1209" stopIfTrue="1">
      <formula>LEN(TRIM(K586))=0</formula>
    </cfRule>
    <cfRule type="cellIs" dxfId="759" priority="1210" operator="lessThan">
      <formula>2</formula>
    </cfRule>
    <cfRule type="cellIs" dxfId="758" priority="1211" operator="between">
      <formula>2</formula>
      <formula>4.9</formula>
    </cfRule>
    <cfRule type="cellIs" dxfId="757" priority="1212" operator="between">
      <formula>5</formula>
      <formula>6.9</formula>
    </cfRule>
    <cfRule type="cellIs" dxfId="756" priority="1213" operator="between">
      <formula>10.1</formula>
      <formula>10.6</formula>
    </cfRule>
    <cfRule type="cellIs" dxfId="755" priority="1214" operator="between">
      <formula>7</formula>
      <formula>7.9</formula>
    </cfRule>
    <cfRule type="cellIs" dxfId="754" priority="1215" stopIfTrue="1" operator="between">
      <formula>8</formula>
      <formula>8.9</formula>
    </cfRule>
    <cfRule type="cellIs" dxfId="753" priority="1216" operator="between">
      <formula>9</formula>
      <formula>9.9</formula>
    </cfRule>
    <cfRule type="cellIs" dxfId="752" priority="1217" stopIfTrue="1" operator="between">
      <formula>10</formula>
      <formula>10</formula>
    </cfRule>
  </conditionalFormatting>
  <conditionalFormatting sqref="K597">
    <cfRule type="colorScale" priority="11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53">
      <colorScale>
        <cfvo type="num" val="5"/>
        <cfvo type="num" val="10"/>
        <color rgb="FFFF494D"/>
        <color rgb="FF00FF66"/>
      </colorScale>
    </cfRule>
  </conditionalFormatting>
  <conditionalFormatting sqref="K598:K610">
    <cfRule type="containsBlanks" dxfId="751" priority="1154" stopIfTrue="1">
      <formula>LEN(TRIM(K598))=0</formula>
    </cfRule>
    <cfRule type="cellIs" dxfId="750" priority="1155" operator="lessThan">
      <formula>2</formula>
    </cfRule>
    <cfRule type="cellIs" dxfId="749" priority="1156" operator="between">
      <formula>2</formula>
      <formula>4.9</formula>
    </cfRule>
    <cfRule type="cellIs" dxfId="748" priority="1157" operator="between">
      <formula>5</formula>
      <formula>6.9</formula>
    </cfRule>
    <cfRule type="cellIs" dxfId="747" priority="1158" operator="between">
      <formula>10.1</formula>
      <formula>10.6</formula>
    </cfRule>
    <cfRule type="cellIs" dxfId="746" priority="1159" operator="between">
      <formula>7</formula>
      <formula>7.9</formula>
    </cfRule>
    <cfRule type="cellIs" dxfId="745" priority="1160" stopIfTrue="1" operator="between">
      <formula>8</formula>
      <formula>8.9</formula>
    </cfRule>
    <cfRule type="cellIs" dxfId="744" priority="1161" operator="between">
      <formula>9</formula>
      <formula>9.9</formula>
    </cfRule>
    <cfRule type="cellIs" dxfId="743" priority="1162" stopIfTrue="1" operator="between">
      <formula>10</formula>
      <formula>10</formula>
    </cfRule>
  </conditionalFormatting>
  <conditionalFormatting sqref="K612">
    <cfRule type="colorScale" priority="10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87">
      <colorScale>
        <cfvo type="num" val="5"/>
        <cfvo type="num" val="10"/>
        <color rgb="FFFF494D"/>
        <color rgb="FF00FF66"/>
      </colorScale>
    </cfRule>
  </conditionalFormatting>
  <conditionalFormatting sqref="K613:K623">
    <cfRule type="containsBlanks" dxfId="742" priority="1088" stopIfTrue="1">
      <formula>LEN(TRIM(K613))=0</formula>
    </cfRule>
    <cfRule type="cellIs" dxfId="741" priority="1089" operator="lessThan">
      <formula>2</formula>
    </cfRule>
    <cfRule type="cellIs" dxfId="740" priority="1090" operator="between">
      <formula>2</formula>
      <formula>4.9</formula>
    </cfRule>
    <cfRule type="cellIs" dxfId="739" priority="1091" operator="between">
      <formula>5</formula>
      <formula>6.9</formula>
    </cfRule>
    <cfRule type="cellIs" dxfId="738" priority="1092" operator="between">
      <formula>10.1</formula>
      <formula>10.6</formula>
    </cfRule>
    <cfRule type="cellIs" dxfId="737" priority="1093" operator="between">
      <formula>7</formula>
      <formula>7.9</formula>
    </cfRule>
    <cfRule type="cellIs" dxfId="736" priority="1094" stopIfTrue="1" operator="between">
      <formula>8</formula>
      <formula>8.9</formula>
    </cfRule>
    <cfRule type="cellIs" dxfId="735" priority="1095" operator="between">
      <formula>9</formula>
      <formula>9.9</formula>
    </cfRule>
    <cfRule type="cellIs" dxfId="734" priority="1096" stopIfTrue="1" operator="between">
      <formula>10</formula>
      <formula>10</formula>
    </cfRule>
  </conditionalFormatting>
  <conditionalFormatting sqref="K625">
    <cfRule type="colorScale" priority="103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32">
      <colorScale>
        <cfvo type="num" val="5"/>
        <cfvo type="num" val="10"/>
        <color rgb="FFFF494D"/>
        <color rgb="FF00FF66"/>
      </colorScale>
    </cfRule>
  </conditionalFormatting>
  <conditionalFormatting sqref="K626:K636">
    <cfRule type="containsBlanks" dxfId="733" priority="1033" stopIfTrue="1">
      <formula>LEN(TRIM(K626))=0</formula>
    </cfRule>
    <cfRule type="cellIs" dxfId="732" priority="1034" operator="lessThan">
      <formula>2</formula>
    </cfRule>
    <cfRule type="cellIs" dxfId="731" priority="1035" operator="between">
      <formula>2</formula>
      <formula>4.9</formula>
    </cfRule>
    <cfRule type="cellIs" dxfId="730" priority="1036" operator="between">
      <formula>5</formula>
      <formula>6.9</formula>
    </cfRule>
    <cfRule type="cellIs" dxfId="729" priority="1037" operator="between">
      <formula>10.1</formula>
      <formula>10.6</formula>
    </cfRule>
    <cfRule type="cellIs" dxfId="728" priority="1038" operator="between">
      <formula>7</formula>
      <formula>7.9</formula>
    </cfRule>
    <cfRule type="cellIs" dxfId="727" priority="1039" stopIfTrue="1" operator="between">
      <formula>8</formula>
      <formula>8.9</formula>
    </cfRule>
    <cfRule type="cellIs" dxfId="726" priority="1040" operator="between">
      <formula>9</formula>
      <formula>9.9</formula>
    </cfRule>
    <cfRule type="cellIs" dxfId="725" priority="1041" stopIfTrue="1" operator="between">
      <formula>10</formula>
      <formula>10</formula>
    </cfRule>
  </conditionalFormatting>
  <conditionalFormatting sqref="K638">
    <cfRule type="colorScale" priority="96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66">
      <colorScale>
        <cfvo type="num" val="5"/>
        <cfvo type="num" val="10"/>
        <color rgb="FFFF494D"/>
        <color rgb="FF00FF66"/>
      </colorScale>
    </cfRule>
  </conditionalFormatting>
  <conditionalFormatting sqref="K639:K650">
    <cfRule type="containsBlanks" dxfId="724" priority="967" stopIfTrue="1">
      <formula>LEN(TRIM(K639))=0</formula>
    </cfRule>
    <cfRule type="cellIs" dxfId="723" priority="968" operator="lessThan">
      <formula>2</formula>
    </cfRule>
    <cfRule type="cellIs" dxfId="722" priority="969" operator="between">
      <formula>2</formula>
      <formula>4.9</formula>
    </cfRule>
    <cfRule type="cellIs" dxfId="721" priority="970" operator="between">
      <formula>5</formula>
      <formula>6.9</formula>
    </cfRule>
    <cfRule type="cellIs" dxfId="720" priority="971" operator="between">
      <formula>10.1</formula>
      <formula>10.6</formula>
    </cfRule>
    <cfRule type="cellIs" dxfId="719" priority="972" operator="between">
      <formula>7</formula>
      <formula>7.9</formula>
    </cfRule>
    <cfRule type="cellIs" dxfId="718" priority="973" stopIfTrue="1" operator="between">
      <formula>8</formula>
      <formula>8.9</formula>
    </cfRule>
    <cfRule type="cellIs" dxfId="717" priority="974" operator="between">
      <formula>9</formula>
      <formula>9.9</formula>
    </cfRule>
    <cfRule type="cellIs" dxfId="716" priority="975" stopIfTrue="1" operator="between">
      <formula>10</formula>
      <formula>10</formula>
    </cfRule>
  </conditionalFormatting>
  <conditionalFormatting sqref="K652">
    <cfRule type="colorScale" priority="8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00">
      <colorScale>
        <cfvo type="num" val="5"/>
        <cfvo type="num" val="10"/>
        <color rgb="FFFF494D"/>
        <color rgb="FF00FF66"/>
      </colorScale>
    </cfRule>
  </conditionalFormatting>
  <conditionalFormatting sqref="K653:K659">
    <cfRule type="containsBlanks" dxfId="715" priority="901" stopIfTrue="1">
      <formula>LEN(TRIM(K653))=0</formula>
    </cfRule>
    <cfRule type="cellIs" dxfId="714" priority="902" operator="lessThan">
      <formula>2</formula>
    </cfRule>
    <cfRule type="cellIs" dxfId="713" priority="903" operator="between">
      <formula>2</formula>
      <formula>4.9</formula>
    </cfRule>
    <cfRule type="cellIs" dxfId="712" priority="904" operator="between">
      <formula>5</formula>
      <formula>6.9</formula>
    </cfRule>
    <cfRule type="cellIs" dxfId="711" priority="905" operator="between">
      <formula>10.1</formula>
      <formula>10.6</formula>
    </cfRule>
    <cfRule type="cellIs" dxfId="710" priority="906" operator="between">
      <formula>7</formula>
      <formula>7.9</formula>
    </cfRule>
    <cfRule type="cellIs" dxfId="709" priority="907" stopIfTrue="1" operator="between">
      <formula>8</formula>
      <formula>8.9</formula>
    </cfRule>
    <cfRule type="cellIs" dxfId="708" priority="908" operator="between">
      <formula>9</formula>
      <formula>9.9</formula>
    </cfRule>
    <cfRule type="cellIs" dxfId="707" priority="909" stopIfTrue="1" operator="between">
      <formula>10</formula>
      <formula>10</formula>
    </cfRule>
  </conditionalFormatting>
  <conditionalFormatting sqref="K661">
    <cfRule type="colorScale" priority="86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67">
      <colorScale>
        <cfvo type="num" val="5"/>
        <cfvo type="num" val="10"/>
        <color rgb="FFFF494D"/>
        <color rgb="FF00FF66"/>
      </colorScale>
    </cfRule>
  </conditionalFormatting>
  <conditionalFormatting sqref="K662:K674">
    <cfRule type="containsBlanks" dxfId="706" priority="868" stopIfTrue="1">
      <formula>LEN(TRIM(K662))=0</formula>
    </cfRule>
    <cfRule type="cellIs" dxfId="705" priority="869" operator="lessThan">
      <formula>2</formula>
    </cfRule>
    <cfRule type="cellIs" dxfId="704" priority="870" operator="between">
      <formula>2</formula>
      <formula>4.9</formula>
    </cfRule>
    <cfRule type="cellIs" dxfId="703" priority="871" operator="between">
      <formula>5</formula>
      <formula>6.9</formula>
    </cfRule>
    <cfRule type="cellIs" dxfId="702" priority="872" operator="between">
      <formula>10.1</formula>
      <formula>10.6</formula>
    </cfRule>
    <cfRule type="cellIs" dxfId="701" priority="873" operator="between">
      <formula>7</formula>
      <formula>7.9</formula>
    </cfRule>
    <cfRule type="cellIs" dxfId="700" priority="874" stopIfTrue="1" operator="between">
      <formula>8</formula>
      <formula>8.9</formula>
    </cfRule>
    <cfRule type="cellIs" dxfId="699" priority="875" operator="between">
      <formula>9</formula>
      <formula>9.9</formula>
    </cfRule>
    <cfRule type="cellIs" dxfId="698" priority="876" stopIfTrue="1" operator="between">
      <formula>10</formula>
      <formula>10</formula>
    </cfRule>
  </conditionalFormatting>
  <conditionalFormatting sqref="K676">
    <cfRule type="colorScale" priority="81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12">
      <colorScale>
        <cfvo type="num" val="5"/>
        <cfvo type="num" val="10"/>
        <color rgb="FFFF494D"/>
        <color rgb="FF00FF66"/>
      </colorScale>
    </cfRule>
  </conditionalFormatting>
  <conditionalFormatting sqref="K677:K689">
    <cfRule type="containsBlanks" dxfId="697" priority="813" stopIfTrue="1">
      <formula>LEN(TRIM(K677))=0</formula>
    </cfRule>
    <cfRule type="cellIs" dxfId="696" priority="814" operator="lessThan">
      <formula>2</formula>
    </cfRule>
    <cfRule type="cellIs" dxfId="695" priority="815" operator="between">
      <formula>2</formula>
      <formula>4.9</formula>
    </cfRule>
    <cfRule type="cellIs" dxfId="694" priority="816" operator="between">
      <formula>5</formula>
      <formula>6.9</formula>
    </cfRule>
    <cfRule type="cellIs" dxfId="693" priority="817" operator="between">
      <formula>10.1</formula>
      <formula>10.6</formula>
    </cfRule>
    <cfRule type="cellIs" dxfId="692" priority="818" operator="between">
      <formula>7</formula>
      <formula>7.9</formula>
    </cfRule>
    <cfRule type="cellIs" dxfId="691" priority="819" stopIfTrue="1" operator="between">
      <formula>8</formula>
      <formula>8.9</formula>
    </cfRule>
    <cfRule type="cellIs" dxfId="690" priority="820" operator="between">
      <formula>9</formula>
      <formula>9.9</formula>
    </cfRule>
    <cfRule type="cellIs" dxfId="689" priority="821" stopIfTrue="1" operator="between">
      <formula>10</formula>
      <formula>10</formula>
    </cfRule>
  </conditionalFormatting>
  <conditionalFormatting sqref="K691">
    <cfRule type="colorScale" priority="7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35">
      <colorScale>
        <cfvo type="num" val="5"/>
        <cfvo type="num" val="10"/>
        <color rgb="FFFF494D"/>
        <color rgb="FF00FF66"/>
      </colorScale>
    </cfRule>
  </conditionalFormatting>
  <conditionalFormatting sqref="K692:K701">
    <cfRule type="containsBlanks" dxfId="688" priority="736" stopIfTrue="1">
      <formula>LEN(TRIM(K692))=0</formula>
    </cfRule>
    <cfRule type="cellIs" dxfId="687" priority="737" operator="lessThan">
      <formula>2</formula>
    </cfRule>
    <cfRule type="cellIs" dxfId="686" priority="738" operator="between">
      <formula>2</formula>
      <formula>4.9</formula>
    </cfRule>
    <cfRule type="cellIs" dxfId="685" priority="739" operator="between">
      <formula>5</formula>
      <formula>6.9</formula>
    </cfRule>
    <cfRule type="cellIs" dxfId="684" priority="740" operator="between">
      <formula>10.1</formula>
      <formula>10.6</formula>
    </cfRule>
    <cfRule type="cellIs" dxfId="683" priority="741" operator="between">
      <formula>7</formula>
      <formula>7.9</formula>
    </cfRule>
    <cfRule type="cellIs" dxfId="682" priority="742" stopIfTrue="1" operator="between">
      <formula>8</formula>
      <formula>8.9</formula>
    </cfRule>
    <cfRule type="cellIs" dxfId="681" priority="743" operator="between">
      <formula>9</formula>
      <formula>9.9</formula>
    </cfRule>
    <cfRule type="cellIs" dxfId="680" priority="744" stopIfTrue="1" operator="between">
      <formula>10</formula>
      <formula>10</formula>
    </cfRule>
  </conditionalFormatting>
  <conditionalFormatting sqref="K703">
    <cfRule type="colorScale" priority="69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0">
      <colorScale>
        <cfvo type="num" val="5"/>
        <cfvo type="num" val="10"/>
        <color rgb="FFFF494D"/>
        <color rgb="FF00FF66"/>
      </colorScale>
    </cfRule>
  </conditionalFormatting>
  <conditionalFormatting sqref="K704:K717">
    <cfRule type="containsBlanks" dxfId="679" priority="690" stopIfTrue="1">
      <formula>LEN(TRIM(K704))=0</formula>
    </cfRule>
    <cfRule type="cellIs" dxfId="678" priority="691" operator="lessThan">
      <formula>2</formula>
    </cfRule>
    <cfRule type="cellIs" dxfId="677" priority="692" operator="between">
      <formula>2</formula>
      <formula>4.9</formula>
    </cfRule>
    <cfRule type="cellIs" dxfId="676" priority="693" operator="between">
      <formula>5</formula>
      <formula>6.9</formula>
    </cfRule>
    <cfRule type="cellIs" dxfId="675" priority="694" operator="between">
      <formula>10.1</formula>
      <formula>10.6</formula>
    </cfRule>
    <cfRule type="cellIs" dxfId="674" priority="695" operator="between">
      <formula>7</formula>
      <formula>7.9</formula>
    </cfRule>
    <cfRule type="cellIs" dxfId="673" priority="696" stopIfTrue="1" operator="between">
      <formula>8</formula>
      <formula>8.9</formula>
    </cfRule>
    <cfRule type="cellIs" dxfId="672" priority="697" operator="between">
      <formula>9</formula>
      <formula>9.9</formula>
    </cfRule>
    <cfRule type="cellIs" dxfId="671" priority="698" stopIfTrue="1" operator="between">
      <formula>10</formula>
      <formula>10</formula>
    </cfRule>
  </conditionalFormatting>
  <conditionalFormatting sqref="K719">
    <cfRule type="colorScale" priority="6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25">
      <colorScale>
        <cfvo type="num" val="5"/>
        <cfvo type="num" val="10"/>
        <color rgb="FFFF494D"/>
        <color rgb="FF00FF66"/>
      </colorScale>
    </cfRule>
  </conditionalFormatting>
  <conditionalFormatting sqref="K720:K722">
    <cfRule type="containsBlanks" dxfId="670" priority="626" stopIfTrue="1">
      <formula>LEN(TRIM(K720))=0</formula>
    </cfRule>
    <cfRule type="cellIs" dxfId="669" priority="627" operator="lessThan">
      <formula>2</formula>
    </cfRule>
    <cfRule type="cellIs" dxfId="668" priority="628" operator="between">
      <formula>2</formula>
      <formula>4.9</formula>
    </cfRule>
    <cfRule type="cellIs" dxfId="667" priority="629" operator="between">
      <formula>5</formula>
      <formula>6.9</formula>
    </cfRule>
    <cfRule type="cellIs" dxfId="666" priority="630" operator="between">
      <formula>10.1</formula>
      <formula>10.6</formula>
    </cfRule>
    <cfRule type="cellIs" dxfId="665" priority="631" operator="between">
      <formula>7</formula>
      <formula>7.9</formula>
    </cfRule>
    <cfRule type="cellIs" dxfId="664" priority="632" stopIfTrue="1" operator="between">
      <formula>8</formula>
      <formula>8.9</formula>
    </cfRule>
    <cfRule type="cellIs" dxfId="663" priority="633" operator="between">
      <formula>9</formula>
      <formula>9.9</formula>
    </cfRule>
    <cfRule type="cellIs" dxfId="662" priority="634" stopIfTrue="1" operator="between">
      <formula>10</formula>
      <formula>10</formula>
    </cfRule>
  </conditionalFormatting>
  <conditionalFormatting sqref="K724">
    <cfRule type="colorScale" priority="59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92">
      <colorScale>
        <cfvo type="num" val="5"/>
        <cfvo type="num" val="10"/>
        <color rgb="FFFF494D"/>
        <color rgb="FF00FF66"/>
      </colorScale>
    </cfRule>
  </conditionalFormatting>
  <conditionalFormatting sqref="K725:K729">
    <cfRule type="containsBlanks" dxfId="661" priority="593" stopIfTrue="1">
      <formula>LEN(TRIM(K725))=0</formula>
    </cfRule>
    <cfRule type="cellIs" dxfId="660" priority="594" operator="lessThan">
      <formula>2</formula>
    </cfRule>
    <cfRule type="cellIs" dxfId="659" priority="595" operator="between">
      <formula>2</formula>
      <formula>4.9</formula>
    </cfRule>
    <cfRule type="cellIs" dxfId="658" priority="596" operator="between">
      <formula>5</formula>
      <formula>6.9</formula>
    </cfRule>
    <cfRule type="cellIs" dxfId="657" priority="597" operator="between">
      <formula>10.1</formula>
      <formula>10.6</formula>
    </cfRule>
    <cfRule type="cellIs" dxfId="656" priority="598" operator="between">
      <formula>7</formula>
      <formula>7.9</formula>
    </cfRule>
    <cfRule type="cellIs" dxfId="655" priority="599" stopIfTrue="1" operator="between">
      <formula>8</formula>
      <formula>8.9</formula>
    </cfRule>
    <cfRule type="cellIs" dxfId="654" priority="600" operator="between">
      <formula>9</formula>
      <formula>9.9</formula>
    </cfRule>
    <cfRule type="cellIs" dxfId="653" priority="601" stopIfTrue="1" operator="between">
      <formula>10</formula>
      <formula>10</formula>
    </cfRule>
  </conditionalFormatting>
  <conditionalFormatting sqref="K731">
    <cfRule type="colorScale" priority="54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48">
      <colorScale>
        <cfvo type="num" val="5"/>
        <cfvo type="num" val="10"/>
        <color rgb="FFFF494D"/>
        <color rgb="FF00FF66"/>
      </colorScale>
    </cfRule>
  </conditionalFormatting>
  <conditionalFormatting sqref="K732:K737">
    <cfRule type="containsBlanks" dxfId="652" priority="549" stopIfTrue="1">
      <formula>LEN(TRIM(K732))=0</formula>
    </cfRule>
    <cfRule type="cellIs" dxfId="651" priority="550" operator="lessThan">
      <formula>2</formula>
    </cfRule>
    <cfRule type="cellIs" dxfId="650" priority="551" operator="between">
      <formula>2</formula>
      <formula>4.9</formula>
    </cfRule>
    <cfRule type="cellIs" dxfId="649" priority="552" operator="between">
      <formula>5</formula>
      <formula>6.9</formula>
    </cfRule>
    <cfRule type="cellIs" dxfId="648" priority="553" operator="between">
      <formula>10.1</formula>
      <formula>10.6</formula>
    </cfRule>
    <cfRule type="cellIs" dxfId="647" priority="554" operator="between">
      <formula>7</formula>
      <formula>7.9</formula>
    </cfRule>
    <cfRule type="cellIs" dxfId="646" priority="555" stopIfTrue="1" operator="between">
      <formula>8</formula>
      <formula>8.9</formula>
    </cfRule>
    <cfRule type="cellIs" dxfId="645" priority="556" operator="between">
      <formula>9</formula>
      <formula>9.9</formula>
    </cfRule>
    <cfRule type="cellIs" dxfId="644" priority="557" stopIfTrue="1" operator="between">
      <formula>10</formula>
      <formula>10</formula>
    </cfRule>
  </conditionalFormatting>
  <conditionalFormatting sqref="K739">
    <cfRule type="colorScale" priority="51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15">
      <colorScale>
        <cfvo type="num" val="5"/>
        <cfvo type="num" val="10"/>
        <color rgb="FFFF494D"/>
        <color rgb="FF00FF66"/>
      </colorScale>
    </cfRule>
  </conditionalFormatting>
  <conditionalFormatting sqref="K740:K745">
    <cfRule type="containsBlanks" dxfId="643" priority="516" stopIfTrue="1">
      <formula>LEN(TRIM(K740))=0</formula>
    </cfRule>
    <cfRule type="cellIs" dxfId="642" priority="517" operator="lessThan">
      <formula>2</formula>
    </cfRule>
    <cfRule type="cellIs" dxfId="641" priority="518" operator="between">
      <formula>2</formula>
      <formula>4.9</formula>
    </cfRule>
    <cfRule type="cellIs" dxfId="640" priority="519" operator="between">
      <formula>5</formula>
      <formula>6.9</formula>
    </cfRule>
    <cfRule type="cellIs" dxfId="639" priority="520" operator="between">
      <formula>10.1</formula>
      <formula>10.6</formula>
    </cfRule>
    <cfRule type="cellIs" dxfId="638" priority="521" operator="between">
      <formula>7</formula>
      <formula>7.9</formula>
    </cfRule>
    <cfRule type="cellIs" dxfId="637" priority="522" stopIfTrue="1" operator="between">
      <formula>8</formula>
      <formula>8.9</formula>
    </cfRule>
    <cfRule type="cellIs" dxfId="636" priority="523" operator="between">
      <formula>9</formula>
      <formula>9.9</formula>
    </cfRule>
    <cfRule type="cellIs" dxfId="635" priority="524" stopIfTrue="1" operator="between">
      <formula>10</formula>
      <formula>10</formula>
    </cfRule>
  </conditionalFormatting>
  <conditionalFormatting sqref="K747">
    <cfRule type="colorScale" priority="47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80">
      <colorScale>
        <cfvo type="num" val="5"/>
        <cfvo type="num" val="10"/>
        <color rgb="FFFF494D"/>
        <color rgb="FF00FF66"/>
      </colorScale>
    </cfRule>
  </conditionalFormatting>
  <conditionalFormatting sqref="K748:K757">
    <cfRule type="containsBlanks" dxfId="634" priority="470" stopIfTrue="1">
      <formula>LEN(TRIM(K748))=0</formula>
    </cfRule>
    <cfRule type="cellIs" dxfId="633" priority="471" operator="lessThan">
      <formula>2</formula>
    </cfRule>
    <cfRule type="cellIs" dxfId="632" priority="472" operator="between">
      <formula>2</formula>
      <formula>4.9</formula>
    </cfRule>
    <cfRule type="cellIs" dxfId="631" priority="473" operator="between">
      <formula>5</formula>
      <formula>6.9</formula>
    </cfRule>
    <cfRule type="cellIs" dxfId="630" priority="474" operator="between">
      <formula>10.1</formula>
      <formula>10.6</formula>
    </cfRule>
    <cfRule type="cellIs" dxfId="629" priority="475" operator="between">
      <formula>7</formula>
      <formula>7.9</formula>
    </cfRule>
    <cfRule type="cellIs" dxfId="628" priority="476" stopIfTrue="1" operator="between">
      <formula>8</formula>
      <formula>8.9</formula>
    </cfRule>
    <cfRule type="cellIs" dxfId="627" priority="477" operator="between">
      <formula>9</formula>
      <formula>9.9</formula>
    </cfRule>
    <cfRule type="cellIs" dxfId="626" priority="478" stopIfTrue="1" operator="between">
      <formula>10</formula>
      <formula>10</formula>
    </cfRule>
  </conditionalFormatting>
  <conditionalFormatting sqref="K759">
    <cfRule type="colorScale" priority="4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05">
      <colorScale>
        <cfvo type="num" val="5"/>
        <cfvo type="num" val="10"/>
        <color rgb="FFFF494D"/>
        <color rgb="FF00FF66"/>
      </colorScale>
    </cfRule>
  </conditionalFormatting>
  <conditionalFormatting sqref="K760:K767">
    <cfRule type="containsBlanks" dxfId="625" priority="406" stopIfTrue="1">
      <formula>LEN(TRIM(K760))=0</formula>
    </cfRule>
    <cfRule type="cellIs" dxfId="624" priority="407" operator="lessThan">
      <formula>2</formula>
    </cfRule>
    <cfRule type="cellIs" dxfId="623" priority="408" operator="between">
      <formula>2</formula>
      <formula>4.9</formula>
    </cfRule>
    <cfRule type="cellIs" dxfId="622" priority="409" operator="between">
      <formula>5</formula>
      <formula>6.9</formula>
    </cfRule>
    <cfRule type="cellIs" dxfId="621" priority="410" operator="between">
      <formula>10.1</formula>
      <formula>10.6</formula>
    </cfRule>
    <cfRule type="cellIs" dxfId="620" priority="411" operator="between">
      <formula>7</formula>
      <formula>7.9</formula>
    </cfRule>
    <cfRule type="cellIs" dxfId="619" priority="412" stopIfTrue="1" operator="between">
      <formula>8</formula>
      <formula>8.9</formula>
    </cfRule>
    <cfRule type="cellIs" dxfId="618" priority="413" operator="between">
      <formula>9</formula>
      <formula>9.9</formula>
    </cfRule>
    <cfRule type="cellIs" dxfId="617" priority="414" stopIfTrue="1" operator="between">
      <formula>10</formula>
      <formula>10</formula>
    </cfRule>
  </conditionalFormatting>
  <conditionalFormatting sqref="K769">
    <cfRule type="colorScale" priority="3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72">
      <colorScale>
        <cfvo type="num" val="5"/>
        <cfvo type="num" val="10"/>
        <color rgb="FFFF494D"/>
        <color rgb="FF00FF66"/>
      </colorScale>
    </cfRule>
  </conditionalFormatting>
  <conditionalFormatting sqref="K770:K781">
    <cfRule type="containsBlanks" dxfId="616" priority="373" stopIfTrue="1">
      <formula>LEN(TRIM(K770))=0</formula>
    </cfRule>
    <cfRule type="cellIs" dxfId="615" priority="374" operator="lessThan">
      <formula>2</formula>
    </cfRule>
    <cfRule type="cellIs" dxfId="614" priority="375" operator="between">
      <formula>2</formula>
      <formula>4.9</formula>
    </cfRule>
    <cfRule type="cellIs" dxfId="613" priority="376" operator="between">
      <formula>5</formula>
      <formula>6.9</formula>
    </cfRule>
    <cfRule type="cellIs" dxfId="612" priority="377" operator="between">
      <formula>10.1</formula>
      <formula>10.6</formula>
    </cfRule>
    <cfRule type="cellIs" dxfId="611" priority="378" operator="between">
      <formula>7</formula>
      <formula>7.9</formula>
    </cfRule>
    <cfRule type="cellIs" dxfId="610" priority="379" stopIfTrue="1" operator="between">
      <formula>8</formula>
      <formula>8.9</formula>
    </cfRule>
    <cfRule type="cellIs" dxfId="609" priority="380" operator="between">
      <formula>9</formula>
      <formula>9.9</formula>
    </cfRule>
    <cfRule type="cellIs" dxfId="608" priority="381" stopIfTrue="1" operator="between">
      <formula>10</formula>
      <formula>10</formula>
    </cfRule>
  </conditionalFormatting>
  <conditionalFormatting sqref="K783">
    <cfRule type="colorScale" priority="3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6">
      <colorScale>
        <cfvo type="num" val="5"/>
        <cfvo type="num" val="10"/>
        <color rgb="FFFF494D"/>
        <color rgb="FF00FF66"/>
      </colorScale>
    </cfRule>
  </conditionalFormatting>
  <conditionalFormatting sqref="K784:K796">
    <cfRule type="containsBlanks" dxfId="607" priority="307" stopIfTrue="1">
      <formula>LEN(TRIM(K784))=0</formula>
    </cfRule>
    <cfRule type="cellIs" dxfId="606" priority="308" operator="lessThan">
      <formula>2</formula>
    </cfRule>
    <cfRule type="cellIs" dxfId="605" priority="309" operator="between">
      <formula>2</formula>
      <formula>4.9</formula>
    </cfRule>
    <cfRule type="cellIs" dxfId="604" priority="310" operator="between">
      <formula>5</formula>
      <formula>6.9</formula>
    </cfRule>
    <cfRule type="cellIs" dxfId="603" priority="311" operator="between">
      <formula>10.1</formula>
      <formula>10.6</formula>
    </cfRule>
    <cfRule type="cellIs" dxfId="602" priority="312" operator="between">
      <formula>7</formula>
      <formula>7.9</formula>
    </cfRule>
    <cfRule type="cellIs" dxfId="601" priority="313" stopIfTrue="1" operator="between">
      <formula>8</formula>
      <formula>8.9</formula>
    </cfRule>
    <cfRule type="cellIs" dxfId="600" priority="314" operator="between">
      <formula>9</formula>
      <formula>9.9</formula>
    </cfRule>
    <cfRule type="cellIs" dxfId="599" priority="315" stopIfTrue="1" operator="between">
      <formula>10</formula>
      <formula>10</formula>
    </cfRule>
  </conditionalFormatting>
  <conditionalFormatting sqref="K798">
    <cfRule type="colorScale" priority="2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8">
      <colorScale>
        <cfvo type="num" val="5"/>
        <cfvo type="num" val="10"/>
        <color rgb="FFFF494D"/>
        <color rgb="FF00FF66"/>
      </colorScale>
    </cfRule>
  </conditionalFormatting>
  <conditionalFormatting sqref="K799:K802">
    <cfRule type="containsBlanks" dxfId="598" priority="239" stopIfTrue="1">
      <formula>LEN(TRIM(K799))=0</formula>
    </cfRule>
    <cfRule type="cellIs" dxfId="597" priority="240" operator="lessThan">
      <formula>2</formula>
    </cfRule>
    <cfRule type="cellIs" dxfId="596" priority="241" operator="between">
      <formula>2</formula>
      <formula>4.9</formula>
    </cfRule>
    <cfRule type="cellIs" dxfId="595" priority="242" operator="between">
      <formula>5</formula>
      <formula>6.9</formula>
    </cfRule>
    <cfRule type="cellIs" dxfId="594" priority="243" operator="between">
      <formula>10.1</formula>
      <formula>10.6</formula>
    </cfRule>
    <cfRule type="cellIs" dxfId="593" priority="244" operator="between">
      <formula>7</formula>
      <formula>7.9</formula>
    </cfRule>
    <cfRule type="cellIs" dxfId="592" priority="245" stopIfTrue="1" operator="between">
      <formula>8</formula>
      <formula>8.9</formula>
    </cfRule>
    <cfRule type="cellIs" dxfId="591" priority="246" operator="between">
      <formula>9</formula>
      <formula>9.9</formula>
    </cfRule>
    <cfRule type="cellIs" dxfId="590" priority="247" stopIfTrue="1" operator="between">
      <formula>10</formula>
      <formula>10</formula>
    </cfRule>
  </conditionalFormatting>
  <conditionalFormatting sqref="K804">
    <cfRule type="colorScale" priority="2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5">
      <colorScale>
        <cfvo type="num" val="5"/>
        <cfvo type="num" val="10"/>
        <color rgb="FFFF494D"/>
        <color rgb="FF00FF66"/>
      </colorScale>
    </cfRule>
  </conditionalFormatting>
  <conditionalFormatting sqref="K805:K815">
    <cfRule type="containsBlanks" dxfId="589" priority="206" stopIfTrue="1">
      <formula>LEN(TRIM(K805))=0</formula>
    </cfRule>
    <cfRule type="cellIs" dxfId="588" priority="207" operator="lessThan">
      <formula>2</formula>
    </cfRule>
    <cfRule type="cellIs" dxfId="587" priority="208" operator="between">
      <formula>2</formula>
      <formula>4.9</formula>
    </cfRule>
    <cfRule type="cellIs" dxfId="586" priority="209" operator="between">
      <formula>5</formula>
      <formula>6.9</formula>
    </cfRule>
    <cfRule type="cellIs" dxfId="585" priority="210" operator="between">
      <formula>10.1</formula>
      <formula>10.6</formula>
    </cfRule>
    <cfRule type="cellIs" dxfId="584" priority="211" operator="between">
      <formula>7</formula>
      <formula>7.9</formula>
    </cfRule>
    <cfRule type="cellIs" dxfId="583" priority="212" stopIfTrue="1" operator="between">
      <formula>8</formula>
      <formula>8.9</formula>
    </cfRule>
    <cfRule type="cellIs" dxfId="582" priority="213" operator="between">
      <formula>9</formula>
      <formula>9.9</formula>
    </cfRule>
    <cfRule type="cellIs" dxfId="581" priority="214" stopIfTrue="1" operator="between">
      <formula>10</formula>
      <formula>10</formula>
    </cfRule>
  </conditionalFormatting>
  <conditionalFormatting sqref="K817">
    <cfRule type="colorScale" priority="1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1">
      <colorScale>
        <cfvo type="num" val="5"/>
        <cfvo type="num" val="10"/>
        <color rgb="FFFF494D"/>
        <color rgb="FF00FF66"/>
      </colorScale>
    </cfRule>
  </conditionalFormatting>
  <conditionalFormatting sqref="K818:K834">
    <cfRule type="containsBlanks" dxfId="580" priority="162" stopIfTrue="1">
      <formula>LEN(TRIM(K818))=0</formula>
    </cfRule>
    <cfRule type="cellIs" dxfId="579" priority="163" operator="lessThan">
      <formula>2</formula>
    </cfRule>
    <cfRule type="cellIs" dxfId="578" priority="164" operator="between">
      <formula>2</formula>
      <formula>4.9</formula>
    </cfRule>
    <cfRule type="cellIs" dxfId="577" priority="165" operator="between">
      <formula>5</formula>
      <formula>6.9</formula>
    </cfRule>
    <cfRule type="cellIs" dxfId="576" priority="166" operator="between">
      <formula>10.1</formula>
      <formula>10.6</formula>
    </cfRule>
    <cfRule type="cellIs" dxfId="575" priority="167" operator="between">
      <formula>7</formula>
      <formula>7.9</formula>
    </cfRule>
    <cfRule type="cellIs" dxfId="574" priority="168" stopIfTrue="1" operator="between">
      <formula>8</formula>
      <formula>8.9</formula>
    </cfRule>
    <cfRule type="cellIs" dxfId="573" priority="169" operator="between">
      <formula>9</formula>
      <formula>9.9</formula>
    </cfRule>
    <cfRule type="cellIs" dxfId="572" priority="170" stopIfTrue="1" operator="between">
      <formula>10</formula>
      <formula>10</formula>
    </cfRule>
  </conditionalFormatting>
  <conditionalFormatting sqref="K836">
    <cfRule type="colorScale" priority="4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">
      <colorScale>
        <cfvo type="num" val="5"/>
        <cfvo type="num" val="10"/>
        <color rgb="FFFF494D"/>
        <color rgb="FF00FF66"/>
      </colorScale>
    </cfRule>
  </conditionalFormatting>
  <conditionalFormatting sqref="K837:K846">
    <cfRule type="containsBlanks" dxfId="571" priority="43" stopIfTrue="1">
      <formula>LEN(TRIM(K837))=0</formula>
    </cfRule>
    <cfRule type="cellIs" dxfId="570" priority="44" operator="lessThan">
      <formula>2</formula>
    </cfRule>
    <cfRule type="cellIs" dxfId="569" priority="45" operator="between">
      <formula>2</formula>
      <formula>4.9</formula>
    </cfRule>
    <cfRule type="cellIs" dxfId="568" priority="46" operator="between">
      <formula>5</formula>
      <formula>6.9</formula>
    </cfRule>
    <cfRule type="cellIs" dxfId="567" priority="47" operator="between">
      <formula>10.1</formula>
      <formula>10.6</formula>
    </cfRule>
    <cfRule type="cellIs" dxfId="566" priority="48" operator="between">
      <formula>7</formula>
      <formula>7.9</formula>
    </cfRule>
    <cfRule type="cellIs" dxfId="565" priority="49" stopIfTrue="1" operator="between">
      <formula>8</formula>
      <formula>8.9</formula>
    </cfRule>
    <cfRule type="cellIs" dxfId="564" priority="50" operator="between">
      <formula>9</formula>
      <formula>9.9</formula>
    </cfRule>
    <cfRule type="cellIs" dxfId="563" priority="51" stopIfTrue="1" operator="between">
      <formula>10</formula>
      <formula>10</formula>
    </cfRule>
  </conditionalFormatting>
  <conditionalFormatting sqref="M28">
    <cfRule type="colorScale" priority="3853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54">
      <colorScale>
        <cfvo type="num" val="5"/>
        <cfvo type="num" val="10"/>
        <color rgb="FFFF494D"/>
        <color rgb="FF00FF66"/>
      </colorScale>
    </cfRule>
  </conditionalFormatting>
  <conditionalFormatting sqref="M39">
    <cfRule type="colorScale" priority="38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25">
      <colorScale>
        <cfvo type="num" val="5"/>
        <cfvo type="num" val="10"/>
        <color rgb="FFFF494D"/>
        <color rgb="FF00FF66"/>
      </colorScale>
    </cfRule>
  </conditionalFormatting>
  <conditionalFormatting sqref="N3:N12">
    <cfRule type="cellIs" dxfId="562" priority="3450" operator="between">
      <formula>10.1</formula>
      <formula>10.6</formula>
    </cfRule>
    <cfRule type="cellIs" dxfId="561" priority="3451" operator="between">
      <formula>7</formula>
      <formula>7.9</formula>
    </cfRule>
    <cfRule type="cellIs" dxfId="560" priority="3452" stopIfTrue="1" operator="between">
      <formula>8</formula>
      <formula>8.9</formula>
    </cfRule>
    <cfRule type="cellIs" dxfId="559" priority="3453" operator="between">
      <formula>9</formula>
      <formula>9.9</formula>
    </cfRule>
    <cfRule type="cellIs" dxfId="558" priority="3454" stopIfTrue="1" operator="between">
      <formula>10</formula>
      <formula>10</formula>
    </cfRule>
    <cfRule type="containsBlanks" dxfId="557" priority="3455" stopIfTrue="1">
      <formula>LEN(TRIM(N3))=0</formula>
    </cfRule>
  </conditionalFormatting>
  <conditionalFormatting sqref="N15:N26">
    <cfRule type="cellIs" dxfId="556" priority="3582" operator="between">
      <formula>7</formula>
      <formula>7.9</formula>
    </cfRule>
    <cfRule type="cellIs" dxfId="555" priority="3583" stopIfTrue="1" operator="between">
      <formula>8</formula>
      <formula>8.9</formula>
    </cfRule>
    <cfRule type="cellIs" dxfId="554" priority="3584" operator="between">
      <formula>9</formula>
      <formula>9.9</formula>
    </cfRule>
    <cfRule type="cellIs" dxfId="553" priority="3585" stopIfTrue="1" operator="between">
      <formula>10</formula>
      <formula>10</formula>
    </cfRule>
  </conditionalFormatting>
  <conditionalFormatting sqref="N28">
    <cfRule type="colorScale" priority="334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48">
      <colorScale>
        <cfvo type="num" val="5"/>
        <cfvo type="num" val="10"/>
        <color rgb="FFFF494D"/>
        <color rgb="FF00FF66"/>
      </colorScale>
    </cfRule>
  </conditionalFormatting>
  <conditionalFormatting sqref="N29:N37">
    <cfRule type="cellIs" dxfId="552" priority="3586" operator="between">
      <formula>7</formula>
      <formula>7.9</formula>
    </cfRule>
    <cfRule type="cellIs" dxfId="551" priority="3587" stopIfTrue="1" operator="between">
      <formula>8</formula>
      <formula>8.9</formula>
    </cfRule>
    <cfRule type="cellIs" dxfId="550" priority="3588" operator="between">
      <formula>9</formula>
      <formula>9.9</formula>
    </cfRule>
    <cfRule type="cellIs" dxfId="549" priority="3589" stopIfTrue="1" operator="between">
      <formula>10</formula>
      <formula>10</formula>
    </cfRule>
  </conditionalFormatting>
  <conditionalFormatting sqref="N39">
    <cfRule type="colorScale" priority="382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21">
      <colorScale>
        <cfvo type="num" val="5"/>
        <cfvo type="num" val="10"/>
        <color rgb="FFFF494D"/>
        <color rgb="FF00FF66"/>
      </colorScale>
    </cfRule>
  </conditionalFormatting>
  <conditionalFormatting sqref="N40:N52">
    <cfRule type="cellIs" dxfId="548" priority="3390" operator="between">
      <formula>10.1</formula>
      <formula>10.6</formula>
    </cfRule>
    <cfRule type="cellIs" dxfId="547" priority="3391" operator="between">
      <formula>7</formula>
      <formula>7.9</formula>
    </cfRule>
    <cfRule type="cellIs" dxfId="546" priority="3392" stopIfTrue="1" operator="between">
      <formula>8</formula>
      <formula>8.9</formula>
    </cfRule>
    <cfRule type="cellIs" dxfId="545" priority="3393" operator="between">
      <formula>9</formula>
      <formula>9.9</formula>
    </cfRule>
    <cfRule type="cellIs" dxfId="544" priority="3394" stopIfTrue="1" operator="between">
      <formula>10</formula>
      <formula>10</formula>
    </cfRule>
    <cfRule type="containsBlanks" dxfId="543" priority="3395" stopIfTrue="1">
      <formula>LEN(TRIM(N40))=0</formula>
    </cfRule>
  </conditionalFormatting>
  <conditionalFormatting sqref="N54">
    <cfRule type="colorScale" priority="337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79">
      <colorScale>
        <cfvo type="num" val="5"/>
        <cfvo type="num" val="10"/>
        <color rgb="FFFF494D"/>
        <color rgb="FF00FF66"/>
      </colorScale>
    </cfRule>
  </conditionalFormatting>
  <conditionalFormatting sqref="N55:N65">
    <cfRule type="cellIs" dxfId="542" priority="3372" operator="between">
      <formula>10.1</formula>
      <formula>10.6</formula>
    </cfRule>
    <cfRule type="cellIs" dxfId="541" priority="3373" operator="between">
      <formula>7</formula>
      <formula>7.9</formula>
    </cfRule>
    <cfRule type="cellIs" dxfId="540" priority="3374" stopIfTrue="1" operator="between">
      <formula>8</formula>
      <formula>8.9</formula>
    </cfRule>
    <cfRule type="cellIs" dxfId="539" priority="3375" operator="between">
      <formula>9</formula>
      <formula>9.9</formula>
    </cfRule>
    <cfRule type="cellIs" dxfId="538" priority="3376" stopIfTrue="1" operator="between">
      <formula>10</formula>
      <formula>10</formula>
    </cfRule>
    <cfRule type="containsBlanks" dxfId="537" priority="3377" stopIfTrue="1">
      <formula>LEN(TRIM(N55))=0</formula>
    </cfRule>
  </conditionalFormatting>
  <conditionalFormatting sqref="N67">
    <cfRule type="colorScale" priority="33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330">
      <colorScale>
        <cfvo type="num" val="5"/>
        <cfvo type="num" val="10"/>
        <color rgb="FFFF494D"/>
        <color rgb="FF00FF66"/>
      </colorScale>
    </cfRule>
  </conditionalFormatting>
  <conditionalFormatting sqref="N68:N77">
    <cfRule type="cellIs" dxfId="536" priority="3323" operator="between">
      <formula>10.1</formula>
      <formula>10.6</formula>
    </cfRule>
    <cfRule type="cellIs" dxfId="535" priority="3324" operator="between">
      <formula>7</formula>
      <formula>7.9</formula>
    </cfRule>
    <cfRule type="cellIs" dxfId="534" priority="3325" stopIfTrue="1" operator="between">
      <formula>8</formula>
      <formula>8.9</formula>
    </cfRule>
    <cfRule type="cellIs" dxfId="533" priority="3326" operator="between">
      <formula>9</formula>
      <formula>9.9</formula>
    </cfRule>
    <cfRule type="cellIs" dxfId="532" priority="3327" stopIfTrue="1" operator="between">
      <formula>10</formula>
      <formula>10</formula>
    </cfRule>
    <cfRule type="containsBlanks" dxfId="531" priority="3328" stopIfTrue="1">
      <formula>LEN(TRIM(N68))=0</formula>
    </cfRule>
  </conditionalFormatting>
  <conditionalFormatting sqref="N79">
    <cfRule type="colorScale" priority="326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61">
      <colorScale>
        <cfvo type="num" val="5"/>
        <cfvo type="num" val="10"/>
        <color rgb="FFFF494D"/>
        <color rgb="FF00FF66"/>
      </colorScale>
    </cfRule>
  </conditionalFormatting>
  <conditionalFormatting sqref="N80:N91">
    <cfRule type="cellIs" dxfId="530" priority="3254" operator="between">
      <formula>10.1</formula>
      <formula>10.6</formula>
    </cfRule>
    <cfRule type="cellIs" dxfId="529" priority="3255" operator="between">
      <formula>7</formula>
      <formula>7.9</formula>
    </cfRule>
    <cfRule type="cellIs" dxfId="528" priority="3256" stopIfTrue="1" operator="between">
      <formula>8</formula>
      <formula>8.9</formula>
    </cfRule>
    <cfRule type="cellIs" dxfId="527" priority="3257" operator="between">
      <formula>9</formula>
      <formula>9.9</formula>
    </cfRule>
    <cfRule type="cellIs" dxfId="526" priority="3258" stopIfTrue="1" operator="between">
      <formula>10</formula>
      <formula>10</formula>
    </cfRule>
    <cfRule type="containsBlanks" dxfId="525" priority="3259" stopIfTrue="1">
      <formula>LEN(TRIM(N80))=0</formula>
    </cfRule>
  </conditionalFormatting>
  <conditionalFormatting sqref="N93">
    <cfRule type="colorScale" priority="32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216">
      <colorScale>
        <cfvo type="num" val="5"/>
        <cfvo type="num" val="10"/>
        <color rgb="FFFF494D"/>
        <color rgb="FF00FF66"/>
      </colorScale>
    </cfRule>
  </conditionalFormatting>
  <conditionalFormatting sqref="N94:N110">
    <cfRule type="cellIs" dxfId="524" priority="3217" operator="between">
      <formula>10.1</formula>
      <formula>10.6</formula>
    </cfRule>
    <cfRule type="cellIs" dxfId="523" priority="3218" operator="between">
      <formula>7</formula>
      <formula>7.9</formula>
    </cfRule>
    <cfRule type="cellIs" dxfId="522" priority="3219" stopIfTrue="1" operator="between">
      <formula>8</formula>
      <formula>8.9</formula>
    </cfRule>
    <cfRule type="cellIs" dxfId="521" priority="3220" operator="between">
      <formula>9</formula>
      <formula>9.9</formula>
    </cfRule>
    <cfRule type="cellIs" dxfId="520" priority="3221" stopIfTrue="1" operator="between">
      <formula>10</formula>
      <formula>10</formula>
    </cfRule>
    <cfRule type="containsBlanks" dxfId="519" priority="3222" stopIfTrue="1">
      <formula>LEN(TRIM(N94))=0</formula>
    </cfRule>
  </conditionalFormatting>
  <conditionalFormatting sqref="N112">
    <cfRule type="colorScale" priority="31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150">
      <colorScale>
        <cfvo type="num" val="5"/>
        <cfvo type="num" val="10"/>
        <color rgb="FFFF494D"/>
        <color rgb="FF00FF66"/>
      </colorScale>
    </cfRule>
  </conditionalFormatting>
  <conditionalFormatting sqref="N113:N125">
    <cfRule type="cellIs" dxfId="518" priority="3143" operator="between">
      <formula>10.1</formula>
      <formula>10.6</formula>
    </cfRule>
    <cfRule type="cellIs" dxfId="517" priority="3144" operator="between">
      <formula>7</formula>
      <formula>7.9</formula>
    </cfRule>
    <cfRule type="cellIs" dxfId="516" priority="3145" stopIfTrue="1" operator="between">
      <formula>8</formula>
      <formula>8.9</formula>
    </cfRule>
    <cfRule type="cellIs" dxfId="515" priority="3146" operator="between">
      <formula>9</formula>
      <formula>9.9</formula>
    </cfRule>
    <cfRule type="cellIs" dxfId="514" priority="3147" stopIfTrue="1" operator="between">
      <formula>10</formula>
      <formula>10</formula>
    </cfRule>
    <cfRule type="containsBlanks" dxfId="513" priority="3148" stopIfTrue="1">
      <formula>LEN(TRIM(N113))=0</formula>
    </cfRule>
  </conditionalFormatting>
  <conditionalFormatting sqref="N127">
    <cfRule type="colorScale" priority="30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83">
      <colorScale>
        <cfvo type="num" val="5"/>
        <cfvo type="num" val="10"/>
        <color rgb="FFFF494D"/>
        <color rgb="FF00FF66"/>
      </colorScale>
    </cfRule>
  </conditionalFormatting>
  <conditionalFormatting sqref="N128:N135">
    <cfRule type="cellIs" dxfId="512" priority="3069" operator="between">
      <formula>6</formula>
      <formula>6.9</formula>
    </cfRule>
    <cfRule type="cellIs" dxfId="511" priority="3070" operator="between">
      <formula>10.1</formula>
      <formula>10.6</formula>
    </cfRule>
    <cfRule type="cellIs" dxfId="510" priority="3071" operator="between">
      <formula>7</formula>
      <formula>7.9</formula>
    </cfRule>
    <cfRule type="cellIs" dxfId="509" priority="3072" stopIfTrue="1" operator="between">
      <formula>8</formula>
      <formula>8.9</formula>
    </cfRule>
    <cfRule type="cellIs" dxfId="508" priority="3073" operator="between">
      <formula>9</formula>
      <formula>9.9</formula>
    </cfRule>
    <cfRule type="cellIs" dxfId="507" priority="3074" stopIfTrue="1" operator="between">
      <formula>10</formula>
      <formula>10</formula>
    </cfRule>
    <cfRule type="containsBlanks" dxfId="506" priority="3075" stopIfTrue="1">
      <formula>LEN(TRIM(N128))=0</formula>
    </cfRule>
    <cfRule type="cellIs" dxfId="505" priority="3076" operator="between">
      <formula>10.1</formula>
      <formula>10.6</formula>
    </cfRule>
    <cfRule type="cellIs" dxfId="504" priority="3077" operator="between">
      <formula>7</formula>
      <formula>7.9</formula>
    </cfRule>
    <cfRule type="cellIs" dxfId="503" priority="3078" stopIfTrue="1" operator="between">
      <formula>8</formula>
      <formula>8.9</formula>
    </cfRule>
    <cfRule type="cellIs" dxfId="502" priority="3079" operator="between">
      <formula>9</formula>
      <formula>9.9</formula>
    </cfRule>
    <cfRule type="cellIs" dxfId="501" priority="3080" stopIfTrue="1" operator="between">
      <formula>10</formula>
      <formula>10</formula>
    </cfRule>
    <cfRule type="containsBlanks" dxfId="500" priority="3081" stopIfTrue="1">
      <formula>LEN(TRIM(N128))=0</formula>
    </cfRule>
  </conditionalFormatting>
  <conditionalFormatting sqref="N137">
    <cfRule type="colorScale" priority="304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41">
      <colorScale>
        <cfvo type="num" val="5"/>
        <cfvo type="num" val="10"/>
        <color rgb="FFFF494D"/>
        <color rgb="FF00FF66"/>
      </colorScale>
    </cfRule>
  </conditionalFormatting>
  <conditionalFormatting sqref="N138:N142">
    <cfRule type="cellIs" dxfId="499" priority="3033" operator="between">
      <formula>6</formula>
      <formula>6.9</formula>
    </cfRule>
    <cfRule type="cellIs" dxfId="498" priority="3034" operator="between">
      <formula>10.1</formula>
      <formula>10.6</formula>
    </cfRule>
    <cfRule type="cellIs" dxfId="497" priority="3035" operator="between">
      <formula>7</formula>
      <formula>7.9</formula>
    </cfRule>
    <cfRule type="cellIs" dxfId="496" priority="3036" stopIfTrue="1" operator="between">
      <formula>8</formula>
      <formula>8.9</formula>
    </cfRule>
    <cfRule type="cellIs" dxfId="495" priority="3037" operator="between">
      <formula>9</formula>
      <formula>9.9</formula>
    </cfRule>
    <cfRule type="cellIs" dxfId="494" priority="3038" stopIfTrue="1" operator="between">
      <formula>10</formula>
      <formula>10</formula>
    </cfRule>
    <cfRule type="containsBlanks" dxfId="493" priority="3039" stopIfTrue="1">
      <formula>LEN(TRIM(N138))=0</formula>
    </cfRule>
  </conditionalFormatting>
  <conditionalFormatting sqref="N144">
    <cfRule type="colorScale" priority="303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032">
      <colorScale>
        <cfvo type="num" val="5"/>
        <cfvo type="num" val="10"/>
        <color rgb="FFFF494D"/>
        <color rgb="FF00FF66"/>
      </colorScale>
    </cfRule>
  </conditionalFormatting>
  <conditionalFormatting sqref="N145:N150">
    <cfRule type="cellIs" dxfId="492" priority="3024" operator="between">
      <formula>6</formula>
      <formula>6.9</formula>
    </cfRule>
    <cfRule type="cellIs" dxfId="491" priority="3025" operator="between">
      <formula>10.1</formula>
      <formula>10.6</formula>
    </cfRule>
    <cfRule type="cellIs" dxfId="490" priority="3026" operator="between">
      <formula>7</formula>
      <formula>7.9</formula>
    </cfRule>
    <cfRule type="cellIs" dxfId="489" priority="3027" stopIfTrue="1" operator="between">
      <formula>8</formula>
      <formula>8.9</formula>
    </cfRule>
    <cfRule type="cellIs" dxfId="488" priority="3028" operator="between">
      <formula>9</formula>
      <formula>9.9</formula>
    </cfRule>
    <cfRule type="cellIs" dxfId="487" priority="3029" stopIfTrue="1" operator="between">
      <formula>10</formula>
      <formula>10</formula>
    </cfRule>
    <cfRule type="containsBlanks" dxfId="486" priority="3030" stopIfTrue="1">
      <formula>LEN(TRIM(N145))=0</formula>
    </cfRule>
  </conditionalFormatting>
  <conditionalFormatting sqref="N152">
    <cfRule type="colorScale" priority="297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78">
      <colorScale>
        <cfvo type="num" val="5"/>
        <cfvo type="num" val="10"/>
        <color rgb="FFFF494D"/>
        <color rgb="FF00FF66"/>
      </colorScale>
    </cfRule>
  </conditionalFormatting>
  <conditionalFormatting sqref="N153:N159">
    <cfRule type="cellIs" dxfId="485" priority="2970" operator="between">
      <formula>6</formula>
      <formula>6.9</formula>
    </cfRule>
    <cfRule type="cellIs" dxfId="484" priority="2971" operator="between">
      <formula>10.1</formula>
      <formula>10.6</formula>
    </cfRule>
    <cfRule type="cellIs" dxfId="483" priority="2972" operator="between">
      <formula>7</formula>
      <formula>7.9</formula>
    </cfRule>
    <cfRule type="cellIs" dxfId="482" priority="2973" stopIfTrue="1" operator="between">
      <formula>8</formula>
      <formula>8.9</formula>
    </cfRule>
    <cfRule type="cellIs" dxfId="481" priority="2974" operator="between">
      <formula>9</formula>
      <formula>9.9</formula>
    </cfRule>
    <cfRule type="cellIs" dxfId="480" priority="2975" stopIfTrue="1" operator="between">
      <formula>10</formula>
      <formula>10</formula>
    </cfRule>
    <cfRule type="containsBlanks" dxfId="479" priority="2976" stopIfTrue="1">
      <formula>LEN(TRIM(N153))=0</formula>
    </cfRule>
  </conditionalFormatting>
  <conditionalFormatting sqref="N161">
    <cfRule type="colorScale" priority="29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53">
      <colorScale>
        <cfvo type="num" val="5"/>
        <cfvo type="num" val="10"/>
        <color rgb="FFFF494D"/>
        <color rgb="FF00FF66"/>
      </colorScale>
    </cfRule>
  </conditionalFormatting>
  <conditionalFormatting sqref="N162:N180 N183">
    <cfRule type="cellIs" dxfId="478" priority="2954" operator="between">
      <formula>6</formula>
      <formula>6.9</formula>
    </cfRule>
    <cfRule type="cellIs" dxfId="477" priority="2955" operator="between">
      <formula>10.1</formula>
      <formula>10.6</formula>
    </cfRule>
    <cfRule type="cellIs" dxfId="476" priority="2956" operator="between">
      <formula>7</formula>
      <formula>7.9</formula>
    </cfRule>
    <cfRule type="cellIs" dxfId="475" priority="2957" stopIfTrue="1" operator="between">
      <formula>8</formula>
      <formula>8.9</formula>
    </cfRule>
    <cfRule type="cellIs" dxfId="474" priority="2958" operator="between">
      <formula>9</formula>
      <formula>9.9</formula>
    </cfRule>
    <cfRule type="cellIs" dxfId="473" priority="2959" stopIfTrue="1" operator="between">
      <formula>10</formula>
      <formula>10</formula>
    </cfRule>
    <cfRule type="containsBlanks" dxfId="472" priority="2960" stopIfTrue="1">
      <formula>LEN(TRIM(N162))=0</formula>
    </cfRule>
  </conditionalFormatting>
  <conditionalFormatting sqref="N182">
    <cfRule type="colorScale" priority="290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906">
      <colorScale>
        <cfvo type="num" val="5"/>
        <cfvo type="num" val="10"/>
        <color rgb="FFFF494D"/>
        <color rgb="FF00FF66"/>
      </colorScale>
    </cfRule>
  </conditionalFormatting>
  <conditionalFormatting sqref="N185">
    <cfRule type="colorScale" priority="28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853">
      <colorScale>
        <cfvo type="num" val="5"/>
        <cfvo type="num" val="10"/>
        <color rgb="FFFF494D"/>
        <color rgb="FF00FF66"/>
      </colorScale>
    </cfRule>
  </conditionalFormatting>
  <conditionalFormatting sqref="N186:N209">
    <cfRule type="cellIs" dxfId="471" priority="2845" operator="between">
      <formula>6</formula>
      <formula>6.9</formula>
    </cfRule>
    <cfRule type="cellIs" dxfId="470" priority="2846" operator="between">
      <formula>10.1</formula>
      <formula>10.6</formula>
    </cfRule>
    <cfRule type="cellIs" dxfId="469" priority="2847" operator="between">
      <formula>7</formula>
      <formula>7.9</formula>
    </cfRule>
    <cfRule type="cellIs" dxfId="468" priority="2848" stopIfTrue="1" operator="between">
      <formula>8</formula>
      <formula>8.9</formula>
    </cfRule>
    <cfRule type="cellIs" dxfId="467" priority="2849" operator="between">
      <formula>9</formula>
      <formula>9.9</formula>
    </cfRule>
    <cfRule type="cellIs" dxfId="466" priority="2850" stopIfTrue="1" operator="between">
      <formula>10</formula>
      <formula>10</formula>
    </cfRule>
    <cfRule type="containsBlanks" dxfId="465" priority="2851" stopIfTrue="1">
      <formula>LEN(TRIM(N186))=0</formula>
    </cfRule>
  </conditionalFormatting>
  <conditionalFormatting sqref="N211">
    <cfRule type="colorScale" priority="27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70">
      <colorScale>
        <cfvo type="num" val="5"/>
        <cfvo type="num" val="10"/>
        <color rgb="FFFF494D"/>
        <color rgb="FF00FF66"/>
      </colorScale>
    </cfRule>
  </conditionalFormatting>
  <conditionalFormatting sqref="N212:N226">
    <cfRule type="cellIs" dxfId="464" priority="2762" operator="between">
      <formula>6</formula>
      <formula>6.9</formula>
    </cfRule>
    <cfRule type="cellIs" dxfId="463" priority="2763" operator="between">
      <formula>10.1</formula>
      <formula>11</formula>
    </cfRule>
    <cfRule type="cellIs" dxfId="462" priority="2764" operator="between">
      <formula>7</formula>
      <formula>7.9</formula>
    </cfRule>
    <cfRule type="cellIs" dxfId="461" priority="2765" stopIfTrue="1" operator="between">
      <formula>8</formula>
      <formula>8.9</formula>
    </cfRule>
    <cfRule type="cellIs" dxfId="460" priority="2766" operator="between">
      <formula>9</formula>
      <formula>9.9</formula>
    </cfRule>
    <cfRule type="cellIs" dxfId="459" priority="2767" stopIfTrue="1" operator="between">
      <formula>10</formula>
      <formula>10</formula>
    </cfRule>
    <cfRule type="containsBlanks" dxfId="458" priority="2768" stopIfTrue="1">
      <formula>LEN(TRIM(N212))=0</formula>
    </cfRule>
  </conditionalFormatting>
  <conditionalFormatting sqref="N228">
    <cfRule type="colorScale" priority="270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707">
      <colorScale>
        <cfvo type="num" val="5"/>
        <cfvo type="num" val="10"/>
        <color rgb="FFFF494D"/>
        <color rgb="FF00FF66"/>
      </colorScale>
    </cfRule>
  </conditionalFormatting>
  <conditionalFormatting sqref="N229:N238">
    <cfRule type="cellIs" dxfId="457" priority="2708" operator="between">
      <formula>6</formula>
      <formula>6.9</formula>
    </cfRule>
    <cfRule type="cellIs" dxfId="456" priority="2709" operator="between">
      <formula>10.1</formula>
      <formula>11</formula>
    </cfRule>
    <cfRule type="cellIs" dxfId="455" priority="2710" operator="between">
      <formula>7</formula>
      <formula>7.9</formula>
    </cfRule>
    <cfRule type="cellIs" dxfId="454" priority="2711" stopIfTrue="1" operator="between">
      <formula>8</formula>
      <formula>8.9</formula>
    </cfRule>
    <cfRule type="cellIs" dxfId="453" priority="2712" operator="between">
      <formula>9</formula>
      <formula>9.9</formula>
    </cfRule>
    <cfRule type="cellIs" dxfId="452" priority="2713" stopIfTrue="1" operator="between">
      <formula>10</formula>
      <formula>10</formula>
    </cfRule>
    <cfRule type="containsBlanks" dxfId="451" priority="2714" stopIfTrue="1">
      <formula>LEN(TRIM(N229))=0</formula>
    </cfRule>
  </conditionalFormatting>
  <conditionalFormatting sqref="N240">
    <cfRule type="colorScale" priority="266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62">
      <colorScale>
        <cfvo type="num" val="5"/>
        <cfvo type="num" val="10"/>
        <color rgb="FFFF494D"/>
        <color rgb="FF00FF66"/>
      </colorScale>
    </cfRule>
  </conditionalFormatting>
  <conditionalFormatting sqref="N241:N247">
    <cfRule type="cellIs" dxfId="450" priority="2654" operator="between">
      <formula>6</formula>
      <formula>6.9</formula>
    </cfRule>
    <cfRule type="cellIs" dxfId="449" priority="2655" operator="between">
      <formula>10.1</formula>
      <formula>10.6</formula>
    </cfRule>
    <cfRule type="cellIs" dxfId="448" priority="2656" operator="between">
      <formula>7</formula>
      <formula>7.9</formula>
    </cfRule>
    <cfRule type="cellIs" dxfId="447" priority="2657" stopIfTrue="1" operator="between">
      <formula>8</formula>
      <formula>8.9</formula>
    </cfRule>
    <cfRule type="cellIs" dxfId="446" priority="2658" operator="between">
      <formula>9</formula>
      <formula>9.9</formula>
    </cfRule>
    <cfRule type="cellIs" dxfId="445" priority="2659" stopIfTrue="1" operator="between">
      <formula>10</formula>
      <formula>10</formula>
    </cfRule>
    <cfRule type="containsBlanks" dxfId="444" priority="2660" stopIfTrue="1">
      <formula>LEN(TRIM(N241))=0</formula>
    </cfRule>
  </conditionalFormatting>
  <conditionalFormatting sqref="N249">
    <cfRule type="colorScale" priority="263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635">
      <colorScale>
        <cfvo type="num" val="5"/>
        <cfvo type="num" val="10"/>
        <color rgb="FFFF494D"/>
        <color rgb="FF00FF66"/>
      </colorScale>
    </cfRule>
  </conditionalFormatting>
  <conditionalFormatting sqref="N250:N275">
    <cfRule type="cellIs" dxfId="443" priority="2627" operator="between">
      <formula>6</formula>
      <formula>6.9</formula>
    </cfRule>
    <cfRule type="cellIs" dxfId="442" priority="2628" operator="between">
      <formula>10.1</formula>
      <formula>10.6</formula>
    </cfRule>
    <cfRule type="cellIs" dxfId="441" priority="2629" operator="between">
      <formula>7</formula>
      <formula>7.9</formula>
    </cfRule>
    <cfRule type="cellIs" dxfId="440" priority="2630" stopIfTrue="1" operator="between">
      <formula>8</formula>
      <formula>8.9</formula>
    </cfRule>
    <cfRule type="cellIs" dxfId="439" priority="2631" operator="between">
      <formula>9</formula>
      <formula>9.9</formula>
    </cfRule>
    <cfRule type="cellIs" dxfId="438" priority="2632" stopIfTrue="1" operator="between">
      <formula>10</formula>
      <formula>10</formula>
    </cfRule>
    <cfRule type="containsBlanks" dxfId="437" priority="2633" stopIfTrue="1">
      <formula>LEN(TRIM(N250))=0</formula>
    </cfRule>
  </conditionalFormatting>
  <conditionalFormatting sqref="N277">
    <cfRule type="colorScale" priority="252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525">
      <colorScale>
        <cfvo type="num" val="5"/>
        <cfvo type="num" val="10"/>
        <color rgb="FFFF494D"/>
        <color rgb="FF00FF66"/>
      </colorScale>
    </cfRule>
  </conditionalFormatting>
  <conditionalFormatting sqref="N278:N282">
    <cfRule type="cellIs" dxfId="436" priority="2517" operator="between">
      <formula>6</formula>
      <formula>6.9</formula>
    </cfRule>
    <cfRule type="cellIs" dxfId="435" priority="2518" operator="between">
      <formula>10.1</formula>
      <formula>10.6</formula>
    </cfRule>
    <cfRule type="cellIs" dxfId="434" priority="2519" operator="between">
      <formula>7</formula>
      <formula>7.9</formula>
    </cfRule>
    <cfRule type="cellIs" dxfId="433" priority="2520" stopIfTrue="1" operator="between">
      <formula>8</formula>
      <formula>8.9</formula>
    </cfRule>
    <cfRule type="cellIs" dxfId="432" priority="2521" operator="between">
      <formula>9</formula>
      <formula>9.9</formula>
    </cfRule>
    <cfRule type="cellIs" dxfId="431" priority="2522" stopIfTrue="1" operator="between">
      <formula>10</formula>
      <formula>10</formula>
    </cfRule>
    <cfRule type="containsBlanks" dxfId="430" priority="2523" stopIfTrue="1">
      <formula>LEN(TRIM(N278))=0</formula>
    </cfRule>
  </conditionalFormatting>
  <conditionalFormatting sqref="N284">
    <cfRule type="colorScale" priority="249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98">
      <colorScale>
        <cfvo type="num" val="5"/>
        <cfvo type="num" val="10"/>
        <color rgb="FFFF494D"/>
        <color rgb="FF00FF66"/>
      </colorScale>
    </cfRule>
  </conditionalFormatting>
  <conditionalFormatting sqref="N285:N295">
    <cfRule type="cellIs" dxfId="429" priority="2499" operator="between">
      <formula>6</formula>
      <formula>6.9</formula>
    </cfRule>
    <cfRule type="cellIs" dxfId="428" priority="2500" operator="between">
      <formula>10.1</formula>
      <formula>10.6</formula>
    </cfRule>
    <cfRule type="cellIs" dxfId="427" priority="2501" operator="between">
      <formula>7</formula>
      <formula>7.9</formula>
    </cfRule>
    <cfRule type="cellIs" dxfId="426" priority="2502" stopIfTrue="1" operator="between">
      <formula>8</formula>
      <formula>8.9</formula>
    </cfRule>
    <cfRule type="cellIs" dxfId="425" priority="2503" operator="between">
      <formula>9</formula>
      <formula>9.9</formula>
    </cfRule>
    <cfRule type="cellIs" dxfId="424" priority="2504" stopIfTrue="1" operator="between">
      <formula>10</formula>
      <formula>10</formula>
    </cfRule>
    <cfRule type="containsBlanks" dxfId="423" priority="2505" stopIfTrue="1">
      <formula>LEN(TRIM(N285))=0</formula>
    </cfRule>
  </conditionalFormatting>
  <conditionalFormatting sqref="N297">
    <cfRule type="colorScale" priority="24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47">
      <colorScale>
        <cfvo type="num" val="5"/>
        <cfvo type="num" val="10"/>
        <color rgb="FFFF494D"/>
        <color rgb="FF00FF66"/>
      </colorScale>
    </cfRule>
  </conditionalFormatting>
  <conditionalFormatting sqref="N298:N304">
    <cfRule type="containsBlanks" dxfId="422" priority="2437" stopIfTrue="1">
      <formula>LEN(TRIM(N298))=0</formula>
    </cfRule>
    <cfRule type="cellIs" dxfId="421" priority="2438" operator="lessThan">
      <formula>2</formula>
    </cfRule>
    <cfRule type="cellIs" dxfId="420" priority="2439" operator="between">
      <formula>2</formula>
      <formula>4.9</formula>
    </cfRule>
    <cfRule type="cellIs" dxfId="419" priority="2440" operator="between">
      <formula>5</formula>
      <formula>6.9</formula>
    </cfRule>
    <cfRule type="cellIs" dxfId="418" priority="2441" operator="between">
      <formula>10.1</formula>
      <formula>10.6</formula>
    </cfRule>
    <cfRule type="cellIs" dxfId="417" priority="2442" operator="between">
      <formula>7</formula>
      <formula>7.9</formula>
    </cfRule>
    <cfRule type="cellIs" dxfId="416" priority="2443" stopIfTrue="1" operator="between">
      <formula>8</formula>
      <formula>8.9</formula>
    </cfRule>
    <cfRule type="cellIs" dxfId="415" priority="2444" operator="between">
      <formula>9</formula>
      <formula>9.9</formula>
    </cfRule>
    <cfRule type="cellIs" dxfId="414" priority="2445" stopIfTrue="1" operator="between">
      <formula>10</formula>
      <formula>10</formula>
    </cfRule>
  </conditionalFormatting>
  <conditionalFormatting sqref="N306">
    <cfRule type="colorScale" priority="241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416">
      <colorScale>
        <cfvo type="num" val="5"/>
        <cfvo type="num" val="10"/>
        <color rgb="FFFF494D"/>
        <color rgb="FF00FF66"/>
      </colorScale>
    </cfRule>
  </conditionalFormatting>
  <conditionalFormatting sqref="N307:N316">
    <cfRule type="containsBlanks" dxfId="413" priority="2406" stopIfTrue="1">
      <formula>LEN(TRIM(N307))=0</formula>
    </cfRule>
    <cfRule type="cellIs" dxfId="412" priority="2407" operator="lessThan">
      <formula>2</formula>
    </cfRule>
    <cfRule type="cellIs" dxfId="411" priority="2408" operator="between">
      <formula>2</formula>
      <formula>4.9</formula>
    </cfRule>
    <cfRule type="cellIs" dxfId="410" priority="2409" operator="between">
      <formula>5</formula>
      <formula>6.9</formula>
    </cfRule>
    <cfRule type="cellIs" dxfId="409" priority="2410" operator="between">
      <formula>10.1</formula>
      <formula>10.6</formula>
    </cfRule>
    <cfRule type="cellIs" dxfId="408" priority="2411" operator="between">
      <formula>7</formula>
      <formula>7.9</formula>
    </cfRule>
    <cfRule type="cellIs" dxfId="407" priority="2412" stopIfTrue="1" operator="between">
      <formula>8</formula>
      <formula>8.9</formula>
    </cfRule>
    <cfRule type="cellIs" dxfId="406" priority="2413" operator="between">
      <formula>9</formula>
      <formula>9.9</formula>
    </cfRule>
    <cfRule type="cellIs" dxfId="405" priority="2414" stopIfTrue="1" operator="between">
      <formula>10</formula>
      <formula>10</formula>
    </cfRule>
  </conditionalFormatting>
  <conditionalFormatting sqref="N318">
    <cfRule type="colorScale" priority="235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52">
      <colorScale>
        <cfvo type="num" val="5"/>
        <cfvo type="num" val="10"/>
        <color rgb="FFFF494D"/>
        <color rgb="FF00FF66"/>
      </colorScale>
    </cfRule>
  </conditionalFormatting>
  <conditionalFormatting sqref="N319:N326">
    <cfRule type="containsBlanks" dxfId="404" priority="2342" stopIfTrue="1">
      <formula>LEN(TRIM(N319))=0</formula>
    </cfRule>
    <cfRule type="cellIs" dxfId="403" priority="2343" operator="lessThan">
      <formula>2</formula>
    </cfRule>
    <cfRule type="cellIs" dxfId="402" priority="2344" operator="between">
      <formula>2</formula>
      <formula>4.9</formula>
    </cfRule>
    <cfRule type="cellIs" dxfId="401" priority="2345" operator="between">
      <formula>5</formula>
      <formula>6.9</formula>
    </cfRule>
    <cfRule type="cellIs" dxfId="400" priority="2346" operator="between">
      <formula>10.1</formula>
      <formula>10.6</formula>
    </cfRule>
    <cfRule type="cellIs" dxfId="399" priority="2347" operator="between">
      <formula>7</formula>
      <formula>7.9</formula>
    </cfRule>
    <cfRule type="cellIs" dxfId="398" priority="2348" stopIfTrue="1" operator="between">
      <formula>8</formula>
      <formula>8.9</formula>
    </cfRule>
    <cfRule type="cellIs" dxfId="397" priority="2349" operator="between">
      <formula>9</formula>
      <formula>9.9</formula>
    </cfRule>
    <cfRule type="cellIs" dxfId="396" priority="2350" stopIfTrue="1" operator="between">
      <formula>10</formula>
      <formula>10</formula>
    </cfRule>
  </conditionalFormatting>
  <conditionalFormatting sqref="N328">
    <cfRule type="colorScale" priority="230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308">
      <colorScale>
        <cfvo type="num" val="5"/>
        <cfvo type="num" val="10"/>
        <color rgb="FFFF494D"/>
        <color rgb="FF00FF66"/>
      </colorScale>
    </cfRule>
  </conditionalFormatting>
  <conditionalFormatting sqref="N329:N336">
    <cfRule type="containsBlanks" dxfId="395" priority="2298" stopIfTrue="1">
      <formula>LEN(TRIM(N329))=0</formula>
    </cfRule>
    <cfRule type="cellIs" dxfId="394" priority="2299" operator="lessThan">
      <formula>2</formula>
    </cfRule>
    <cfRule type="cellIs" dxfId="393" priority="2300" operator="between">
      <formula>2</formula>
      <formula>4.9</formula>
    </cfRule>
    <cfRule type="cellIs" dxfId="392" priority="2301" operator="between">
      <formula>5</formula>
      <formula>6.9</formula>
    </cfRule>
    <cfRule type="cellIs" dxfId="391" priority="2302" operator="between">
      <formula>10.1</formula>
      <formula>10.6</formula>
    </cfRule>
    <cfRule type="cellIs" dxfId="390" priority="2303" operator="between">
      <formula>7</formula>
      <formula>7.9</formula>
    </cfRule>
    <cfRule type="cellIs" dxfId="389" priority="2304" stopIfTrue="1" operator="between">
      <formula>8</formula>
      <formula>8.9</formula>
    </cfRule>
    <cfRule type="cellIs" dxfId="388" priority="2305" operator="between">
      <formula>9</formula>
      <formula>9.9</formula>
    </cfRule>
    <cfRule type="cellIs" dxfId="387" priority="2306" stopIfTrue="1" operator="between">
      <formula>10</formula>
      <formula>10</formula>
    </cfRule>
  </conditionalFormatting>
  <conditionalFormatting sqref="N338">
    <cfRule type="colorScale" priority="228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86">
      <colorScale>
        <cfvo type="num" val="5"/>
        <cfvo type="num" val="10"/>
        <color rgb="FFFF494D"/>
        <color rgb="FF00FF66"/>
      </colorScale>
    </cfRule>
  </conditionalFormatting>
  <conditionalFormatting sqref="N339:N353">
    <cfRule type="containsBlanks" dxfId="386" priority="2276" stopIfTrue="1">
      <formula>LEN(TRIM(N339))=0</formula>
    </cfRule>
    <cfRule type="cellIs" dxfId="385" priority="2277" operator="lessThan">
      <formula>2</formula>
    </cfRule>
    <cfRule type="cellIs" dxfId="384" priority="2278" operator="between">
      <formula>2</formula>
      <formula>4.9</formula>
    </cfRule>
    <cfRule type="cellIs" dxfId="383" priority="2279" operator="between">
      <formula>5</formula>
      <formula>6.9</formula>
    </cfRule>
    <cfRule type="cellIs" dxfId="382" priority="2280" operator="between">
      <formula>10.1</formula>
      <formula>10.6</formula>
    </cfRule>
    <cfRule type="cellIs" dxfId="381" priority="2281" operator="between">
      <formula>7</formula>
      <formula>7.9</formula>
    </cfRule>
    <cfRule type="cellIs" dxfId="380" priority="2282" stopIfTrue="1" operator="between">
      <formula>8</formula>
      <formula>8.9</formula>
    </cfRule>
    <cfRule type="cellIs" dxfId="379" priority="2283" operator="between">
      <formula>9</formula>
      <formula>9.9</formula>
    </cfRule>
    <cfRule type="cellIs" dxfId="378" priority="2284" stopIfTrue="1" operator="between">
      <formula>10</formula>
      <formula>10</formula>
    </cfRule>
  </conditionalFormatting>
  <conditionalFormatting sqref="N355">
    <cfRule type="colorScale" priority="222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22">
      <colorScale>
        <cfvo type="num" val="5"/>
        <cfvo type="num" val="10"/>
        <color rgb="FFFF494D"/>
        <color rgb="FF00FF66"/>
      </colorScale>
    </cfRule>
  </conditionalFormatting>
  <conditionalFormatting sqref="N356:N365">
    <cfRule type="containsBlanks" dxfId="377" priority="2223" stopIfTrue="1">
      <formula>LEN(TRIM(N356))=0</formula>
    </cfRule>
    <cfRule type="cellIs" dxfId="376" priority="2224" operator="lessThan">
      <formula>2</formula>
    </cfRule>
    <cfRule type="cellIs" dxfId="375" priority="2225" operator="between">
      <formula>2</formula>
      <formula>4.9</formula>
    </cfRule>
    <cfRule type="cellIs" dxfId="374" priority="2226" operator="between">
      <formula>5</formula>
      <formula>6.9</formula>
    </cfRule>
    <cfRule type="cellIs" dxfId="373" priority="2227" operator="between">
      <formula>10.1</formula>
      <formula>10.6</formula>
    </cfRule>
    <cfRule type="cellIs" dxfId="372" priority="2228" operator="between">
      <formula>7</formula>
      <formula>7.9</formula>
    </cfRule>
    <cfRule type="cellIs" dxfId="371" priority="2229" stopIfTrue="1" operator="between">
      <formula>8</formula>
      <formula>8.9</formula>
    </cfRule>
    <cfRule type="cellIs" dxfId="370" priority="2230" operator="between">
      <formula>9</formula>
      <formula>9.9</formula>
    </cfRule>
    <cfRule type="cellIs" dxfId="369" priority="2231" stopIfTrue="1" operator="between">
      <formula>10</formula>
      <formula>10</formula>
    </cfRule>
  </conditionalFormatting>
  <conditionalFormatting sqref="N367">
    <cfRule type="colorScale" priority="21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65">
      <colorScale>
        <cfvo type="num" val="5"/>
        <cfvo type="num" val="10"/>
        <color rgb="FFFF494D"/>
        <color rgb="FF00FF66"/>
      </colorScale>
    </cfRule>
  </conditionalFormatting>
  <conditionalFormatting sqref="N368:N372">
    <cfRule type="containsBlanks" dxfId="368" priority="2166" stopIfTrue="1">
      <formula>LEN(TRIM(N368))=0</formula>
    </cfRule>
    <cfRule type="cellIs" dxfId="367" priority="2167" operator="lessThan">
      <formula>2</formula>
    </cfRule>
    <cfRule type="cellIs" dxfId="366" priority="2168" operator="between">
      <formula>2</formula>
      <formula>4.9</formula>
    </cfRule>
    <cfRule type="cellIs" dxfId="365" priority="2169" operator="between">
      <formula>5</formula>
      <formula>6.9</formula>
    </cfRule>
    <cfRule type="cellIs" dxfId="364" priority="2170" operator="between">
      <formula>10.1</formula>
      <formula>10.6</formula>
    </cfRule>
    <cfRule type="cellIs" dxfId="363" priority="2171" operator="between">
      <formula>7</formula>
      <formula>7.9</formula>
    </cfRule>
    <cfRule type="cellIs" dxfId="362" priority="2172" stopIfTrue="1" operator="between">
      <formula>8</formula>
      <formula>8.9</formula>
    </cfRule>
    <cfRule type="cellIs" dxfId="361" priority="2173" operator="between">
      <formula>9</formula>
      <formula>9.9</formula>
    </cfRule>
    <cfRule type="cellIs" dxfId="360" priority="2174" stopIfTrue="1" operator="between">
      <formula>10</formula>
      <formula>10</formula>
    </cfRule>
  </conditionalFormatting>
  <conditionalFormatting sqref="N374">
    <cfRule type="colorScale" priority="21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139">
      <colorScale>
        <cfvo type="num" val="5"/>
        <cfvo type="num" val="10"/>
        <color rgb="FFFF494D"/>
        <color rgb="FF00FF66"/>
      </colorScale>
    </cfRule>
  </conditionalFormatting>
  <conditionalFormatting sqref="N375:N382">
    <cfRule type="containsBlanks" dxfId="359" priority="2129" stopIfTrue="1">
      <formula>LEN(TRIM(N375))=0</formula>
    </cfRule>
    <cfRule type="cellIs" dxfId="358" priority="2130" operator="lessThan">
      <formula>2</formula>
    </cfRule>
    <cfRule type="cellIs" dxfId="357" priority="2131" operator="between">
      <formula>2</formula>
      <formula>4.9</formula>
    </cfRule>
    <cfRule type="cellIs" dxfId="356" priority="2132" operator="between">
      <formula>5</formula>
      <formula>6.9</formula>
    </cfRule>
    <cfRule type="cellIs" dxfId="355" priority="2133" operator="between">
      <formula>10.1</formula>
      <formula>10.6</formula>
    </cfRule>
    <cfRule type="cellIs" dxfId="354" priority="2134" operator="between">
      <formula>7</formula>
      <formula>7.9</formula>
    </cfRule>
    <cfRule type="cellIs" dxfId="353" priority="2135" stopIfTrue="1" operator="between">
      <formula>8</formula>
      <formula>8.9</formula>
    </cfRule>
    <cfRule type="cellIs" dxfId="352" priority="2136" operator="between">
      <formula>9</formula>
      <formula>9.9</formula>
    </cfRule>
    <cfRule type="cellIs" dxfId="351" priority="2137" stopIfTrue="1" operator="between">
      <formula>10</formula>
      <formula>10</formula>
    </cfRule>
  </conditionalFormatting>
  <conditionalFormatting sqref="N384">
    <cfRule type="colorScale" priority="208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85">
      <colorScale>
        <cfvo type="num" val="5"/>
        <cfvo type="num" val="10"/>
        <color rgb="FFFF494D"/>
        <color rgb="FF00FF66"/>
      </colorScale>
    </cfRule>
  </conditionalFormatting>
  <conditionalFormatting sqref="N385:N395">
    <cfRule type="containsBlanks" dxfId="350" priority="2075" stopIfTrue="1">
      <formula>LEN(TRIM(N385))=0</formula>
    </cfRule>
    <cfRule type="cellIs" dxfId="349" priority="2076" operator="lessThan">
      <formula>2</formula>
    </cfRule>
    <cfRule type="cellIs" dxfId="348" priority="2077" operator="between">
      <formula>2</formula>
      <formula>4.9</formula>
    </cfRule>
    <cfRule type="cellIs" dxfId="347" priority="2078" operator="between">
      <formula>5</formula>
      <formula>6.9</formula>
    </cfRule>
    <cfRule type="cellIs" dxfId="346" priority="2079" operator="between">
      <formula>10.1</formula>
      <formula>10.6</formula>
    </cfRule>
    <cfRule type="cellIs" dxfId="345" priority="2080" operator="between">
      <formula>7</formula>
      <formula>7.9</formula>
    </cfRule>
    <cfRule type="cellIs" dxfId="344" priority="2081" stopIfTrue="1" operator="between">
      <formula>8</formula>
      <formula>8.9</formula>
    </cfRule>
    <cfRule type="cellIs" dxfId="343" priority="2082" operator="between">
      <formula>9</formula>
      <formula>9.9</formula>
    </cfRule>
    <cfRule type="cellIs" dxfId="342" priority="2083" stopIfTrue="1" operator="between">
      <formula>10</formula>
      <formula>10</formula>
    </cfRule>
  </conditionalFormatting>
  <conditionalFormatting sqref="N397">
    <cfRule type="colorScale" priority="20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030">
      <colorScale>
        <cfvo type="num" val="5"/>
        <cfvo type="num" val="10"/>
        <color rgb="FFFF494D"/>
        <color rgb="FF00FF66"/>
      </colorScale>
    </cfRule>
  </conditionalFormatting>
  <conditionalFormatting sqref="N398:N410">
    <cfRule type="containsBlanks" dxfId="341" priority="2020" stopIfTrue="1">
      <formula>LEN(TRIM(N398))=0</formula>
    </cfRule>
    <cfRule type="cellIs" dxfId="340" priority="2021" operator="lessThan">
      <formula>2</formula>
    </cfRule>
    <cfRule type="cellIs" dxfId="339" priority="2022" operator="between">
      <formula>2</formula>
      <formula>4.9</formula>
    </cfRule>
    <cfRule type="cellIs" dxfId="338" priority="2023" operator="between">
      <formula>5</formula>
      <formula>6.9</formula>
    </cfRule>
    <cfRule type="cellIs" dxfId="337" priority="2024" operator="between">
      <formula>10.1</formula>
      <formula>10.6</formula>
    </cfRule>
    <cfRule type="cellIs" dxfId="336" priority="2025" operator="between">
      <formula>7</formula>
      <formula>7.9</formula>
    </cfRule>
    <cfRule type="cellIs" dxfId="335" priority="2026" stopIfTrue="1" operator="between">
      <formula>8</formula>
      <formula>8.9</formula>
    </cfRule>
    <cfRule type="cellIs" dxfId="334" priority="2027" operator="between">
      <formula>9</formula>
      <formula>9.9</formula>
    </cfRule>
    <cfRule type="cellIs" dxfId="333" priority="2028" stopIfTrue="1" operator="between">
      <formula>10</formula>
      <formula>10</formula>
    </cfRule>
  </conditionalFormatting>
  <conditionalFormatting sqref="N412">
    <cfRule type="colorScale" priority="19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43">
      <colorScale>
        <cfvo type="num" val="5"/>
        <cfvo type="num" val="10"/>
        <color rgb="FFFF494D"/>
        <color rgb="FF00FF66"/>
      </colorScale>
    </cfRule>
  </conditionalFormatting>
  <conditionalFormatting sqref="N413:N415">
    <cfRule type="containsBlanks" dxfId="332" priority="1944" stopIfTrue="1">
      <formula>LEN(TRIM(N413))=0</formula>
    </cfRule>
    <cfRule type="cellIs" dxfId="331" priority="1945" operator="lessThan">
      <formula>2</formula>
    </cfRule>
    <cfRule type="cellIs" dxfId="330" priority="1946" operator="between">
      <formula>2</formula>
      <formula>4.9</formula>
    </cfRule>
    <cfRule type="cellIs" dxfId="329" priority="1947" operator="between">
      <formula>5</formula>
      <formula>6.9</formula>
    </cfRule>
    <cfRule type="cellIs" dxfId="328" priority="1948" operator="between">
      <formula>10.1</formula>
      <formula>10.6</formula>
    </cfRule>
    <cfRule type="cellIs" dxfId="327" priority="1949" operator="between">
      <formula>7</formula>
      <formula>7.9</formula>
    </cfRule>
    <cfRule type="cellIs" dxfId="326" priority="1950" stopIfTrue="1" operator="between">
      <formula>8</formula>
      <formula>8.9</formula>
    </cfRule>
    <cfRule type="cellIs" dxfId="325" priority="1951" operator="between">
      <formula>9</formula>
      <formula>9.9</formula>
    </cfRule>
    <cfRule type="cellIs" dxfId="324" priority="1952" stopIfTrue="1" operator="between">
      <formula>10</formula>
      <formula>10</formula>
    </cfRule>
  </conditionalFormatting>
  <conditionalFormatting sqref="N417">
    <cfRule type="colorScale" priority="19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901">
      <colorScale>
        <cfvo type="num" val="5"/>
        <cfvo type="num" val="10"/>
        <color rgb="FFFF494D"/>
        <color rgb="FF00FF66"/>
      </colorScale>
    </cfRule>
  </conditionalFormatting>
  <conditionalFormatting sqref="N418:N428">
    <cfRule type="containsBlanks" dxfId="323" priority="1902" stopIfTrue="1">
      <formula>LEN(TRIM(N418))=0</formula>
    </cfRule>
    <cfRule type="cellIs" dxfId="322" priority="1903" operator="lessThan">
      <formula>2</formula>
    </cfRule>
    <cfRule type="cellIs" dxfId="321" priority="1904" operator="between">
      <formula>2</formula>
      <formula>4.9</formula>
    </cfRule>
    <cfRule type="cellIs" dxfId="320" priority="1905" operator="between">
      <formula>5</formula>
      <formula>6.9</formula>
    </cfRule>
    <cfRule type="cellIs" dxfId="319" priority="1906" operator="between">
      <formula>10.1</formula>
      <formula>10.6</formula>
    </cfRule>
    <cfRule type="cellIs" dxfId="318" priority="1907" operator="between">
      <formula>7</formula>
      <formula>7.9</formula>
    </cfRule>
    <cfRule type="cellIs" dxfId="317" priority="1908" stopIfTrue="1" operator="between">
      <formula>8</formula>
      <formula>8.9</formula>
    </cfRule>
    <cfRule type="cellIs" dxfId="316" priority="1909" operator="between">
      <formula>9</formula>
      <formula>9.9</formula>
    </cfRule>
    <cfRule type="cellIs" dxfId="315" priority="1910" stopIfTrue="1" operator="between">
      <formula>10</formula>
      <formula>10</formula>
    </cfRule>
  </conditionalFormatting>
  <conditionalFormatting sqref="N430">
    <cfRule type="colorScale" priority="18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853">
      <colorScale>
        <cfvo type="num" val="5"/>
        <cfvo type="num" val="10"/>
        <color rgb="FFFF494D"/>
        <color rgb="FF00FF66"/>
      </colorScale>
    </cfRule>
  </conditionalFormatting>
  <conditionalFormatting sqref="N431:N441">
    <cfRule type="containsBlanks" dxfId="314" priority="1843" stopIfTrue="1">
      <formula>LEN(TRIM(N431))=0</formula>
    </cfRule>
    <cfRule type="cellIs" dxfId="313" priority="1844" operator="lessThan">
      <formula>2</formula>
    </cfRule>
    <cfRule type="cellIs" dxfId="312" priority="1845" operator="between">
      <formula>2</formula>
      <formula>4.9</formula>
    </cfRule>
    <cfRule type="cellIs" dxfId="311" priority="1846" operator="between">
      <formula>5</formula>
      <formula>6.9</formula>
    </cfRule>
    <cfRule type="cellIs" dxfId="310" priority="1847" operator="between">
      <formula>10.1</formula>
      <formula>10.6</formula>
    </cfRule>
    <cfRule type="cellIs" dxfId="309" priority="1848" operator="between">
      <formula>7</formula>
      <formula>7.9</formula>
    </cfRule>
    <cfRule type="cellIs" dxfId="308" priority="1849" stopIfTrue="1" operator="between">
      <formula>8</formula>
      <formula>8.9</formula>
    </cfRule>
    <cfRule type="cellIs" dxfId="307" priority="1850" operator="between">
      <formula>9</formula>
      <formula>9.9</formula>
    </cfRule>
    <cfRule type="cellIs" dxfId="306" priority="1851" stopIfTrue="1" operator="between">
      <formula>10</formula>
      <formula>10</formula>
    </cfRule>
  </conditionalFormatting>
  <conditionalFormatting sqref="N443">
    <cfRule type="colorScale" priority="175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58">
      <colorScale>
        <cfvo type="num" val="5"/>
        <cfvo type="num" val="10"/>
        <color rgb="FFFF494D"/>
        <color rgb="FF00FF66"/>
      </colorScale>
    </cfRule>
  </conditionalFormatting>
  <conditionalFormatting sqref="N444:N466">
    <cfRule type="containsBlanks" dxfId="305" priority="1759" stopIfTrue="1">
      <formula>LEN(TRIM(N444))=0</formula>
    </cfRule>
    <cfRule type="cellIs" dxfId="304" priority="1760" operator="lessThan">
      <formula>2</formula>
    </cfRule>
    <cfRule type="cellIs" dxfId="303" priority="1761" operator="between">
      <formula>2</formula>
      <formula>4.9</formula>
    </cfRule>
    <cfRule type="cellIs" dxfId="302" priority="1762" operator="between">
      <formula>5</formula>
      <formula>6.9</formula>
    </cfRule>
    <cfRule type="cellIs" dxfId="301" priority="1763" operator="between">
      <formula>10.1</formula>
      <formula>10.6</formula>
    </cfRule>
    <cfRule type="cellIs" dxfId="300" priority="1764" operator="between">
      <formula>7</formula>
      <formula>7.9</formula>
    </cfRule>
    <cfRule type="cellIs" dxfId="299" priority="1765" stopIfTrue="1" operator="between">
      <formula>8</formula>
      <formula>8.9</formula>
    </cfRule>
    <cfRule type="cellIs" dxfId="298" priority="1766" operator="between">
      <formula>9</formula>
      <formula>9.9</formula>
    </cfRule>
    <cfRule type="cellIs" dxfId="297" priority="1767" stopIfTrue="1" operator="between">
      <formula>10</formula>
      <formula>10</formula>
    </cfRule>
  </conditionalFormatting>
  <conditionalFormatting sqref="N468">
    <cfRule type="colorScale" priority="168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81">
      <colorScale>
        <cfvo type="num" val="5"/>
        <cfvo type="num" val="10"/>
        <color rgb="FFFF494D"/>
        <color rgb="FF00FF66"/>
      </colorScale>
    </cfRule>
  </conditionalFormatting>
  <conditionalFormatting sqref="N469:N478">
    <cfRule type="containsBlanks" dxfId="296" priority="1682" stopIfTrue="1">
      <formula>LEN(TRIM(N469))=0</formula>
    </cfRule>
    <cfRule type="cellIs" dxfId="295" priority="1683" operator="lessThan">
      <formula>2</formula>
    </cfRule>
    <cfRule type="cellIs" dxfId="294" priority="1684" operator="between">
      <formula>2</formula>
      <formula>4.9</formula>
    </cfRule>
    <cfRule type="cellIs" dxfId="293" priority="1685" operator="between">
      <formula>5</formula>
      <formula>6.9</formula>
    </cfRule>
    <cfRule type="cellIs" dxfId="292" priority="1686" operator="between">
      <formula>10.1</formula>
      <formula>10.6</formula>
    </cfRule>
    <cfRule type="cellIs" dxfId="291" priority="1687" operator="between">
      <formula>7</formula>
      <formula>7.9</formula>
    </cfRule>
    <cfRule type="cellIs" dxfId="290" priority="1688" stopIfTrue="1" operator="between">
      <formula>8</formula>
      <formula>8.9</formula>
    </cfRule>
    <cfRule type="cellIs" dxfId="289" priority="1689" operator="between">
      <formula>9</formula>
      <formula>9.9</formula>
    </cfRule>
    <cfRule type="cellIs" dxfId="288" priority="1690" stopIfTrue="1" operator="between">
      <formula>10</formula>
      <formula>10</formula>
    </cfRule>
  </conditionalFormatting>
  <conditionalFormatting sqref="N480">
    <cfRule type="colorScale" priority="163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637">
      <colorScale>
        <cfvo type="num" val="5"/>
        <cfvo type="num" val="10"/>
        <color rgb="FFFF494D"/>
        <color rgb="FF00FF66"/>
      </colorScale>
    </cfRule>
  </conditionalFormatting>
  <conditionalFormatting sqref="N481:N486">
    <cfRule type="containsBlanks" dxfId="287" priority="1638" stopIfTrue="1">
      <formula>LEN(TRIM(N481))=0</formula>
    </cfRule>
    <cfRule type="cellIs" dxfId="286" priority="1639" operator="lessThan">
      <formula>2</formula>
    </cfRule>
    <cfRule type="cellIs" dxfId="285" priority="1640" operator="between">
      <formula>2</formula>
      <formula>4.9</formula>
    </cfRule>
    <cfRule type="cellIs" dxfId="284" priority="1641" operator="between">
      <formula>5</formula>
      <formula>6.9</formula>
    </cfRule>
    <cfRule type="cellIs" dxfId="283" priority="1642" operator="between">
      <formula>10.1</formula>
      <formula>10.6</formula>
    </cfRule>
    <cfRule type="cellIs" dxfId="282" priority="1643" operator="between">
      <formula>7</formula>
      <formula>7.9</formula>
    </cfRule>
    <cfRule type="cellIs" dxfId="281" priority="1644" stopIfTrue="1" operator="between">
      <formula>8</formula>
      <formula>8.9</formula>
    </cfRule>
    <cfRule type="cellIs" dxfId="280" priority="1645" operator="between">
      <formula>9</formula>
      <formula>9.9</formula>
    </cfRule>
    <cfRule type="cellIs" dxfId="279" priority="1646" stopIfTrue="1" operator="between">
      <formula>10</formula>
      <formula>10</formula>
    </cfRule>
  </conditionalFormatting>
  <conditionalFormatting sqref="N488">
    <cfRule type="colorScale" priority="159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93">
      <colorScale>
        <cfvo type="num" val="5"/>
        <cfvo type="num" val="10"/>
        <color rgb="FFFF494D"/>
        <color rgb="FF00FF66"/>
      </colorScale>
    </cfRule>
  </conditionalFormatting>
  <conditionalFormatting sqref="N489:N498">
    <cfRule type="containsBlanks" dxfId="278" priority="1594" stopIfTrue="1">
      <formula>LEN(TRIM(N489))=0</formula>
    </cfRule>
    <cfRule type="cellIs" dxfId="277" priority="1595" operator="lessThan">
      <formula>2</formula>
    </cfRule>
    <cfRule type="cellIs" dxfId="276" priority="1596" operator="between">
      <formula>2</formula>
      <formula>4.9</formula>
    </cfRule>
    <cfRule type="cellIs" dxfId="275" priority="1597" operator="between">
      <formula>5</formula>
      <formula>6.9</formula>
    </cfRule>
    <cfRule type="cellIs" dxfId="274" priority="1598" operator="between">
      <formula>10.1</formula>
      <formula>10.6</formula>
    </cfRule>
    <cfRule type="cellIs" dxfId="273" priority="1599" operator="between">
      <formula>7</formula>
      <formula>7.9</formula>
    </cfRule>
    <cfRule type="cellIs" dxfId="272" priority="1600" stopIfTrue="1" operator="between">
      <formula>8</formula>
      <formula>8.9</formula>
    </cfRule>
    <cfRule type="cellIs" dxfId="271" priority="1601" operator="between">
      <formula>9</formula>
      <formula>9.9</formula>
    </cfRule>
    <cfRule type="cellIs" dxfId="270" priority="1602" stopIfTrue="1" operator="between">
      <formula>10</formula>
      <formula>10</formula>
    </cfRule>
  </conditionalFormatting>
  <conditionalFormatting sqref="N500">
    <cfRule type="colorScale" priority="153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38">
      <colorScale>
        <cfvo type="num" val="5"/>
        <cfvo type="num" val="10"/>
        <color rgb="FFFF494D"/>
        <color rgb="FF00FF66"/>
      </colorScale>
    </cfRule>
  </conditionalFormatting>
  <conditionalFormatting sqref="N501:N510">
    <cfRule type="containsBlanks" dxfId="269" priority="1539" stopIfTrue="1">
      <formula>LEN(TRIM(N501))=0</formula>
    </cfRule>
    <cfRule type="cellIs" dxfId="268" priority="1540" operator="lessThan">
      <formula>2</formula>
    </cfRule>
    <cfRule type="cellIs" dxfId="267" priority="1541" operator="between">
      <formula>2</formula>
      <formula>4.9</formula>
    </cfRule>
    <cfRule type="cellIs" dxfId="266" priority="1542" operator="between">
      <formula>5</formula>
      <formula>6.9</formula>
    </cfRule>
    <cfRule type="cellIs" dxfId="265" priority="1543" operator="between">
      <formula>10.1</formula>
      <formula>10.6</formula>
    </cfRule>
    <cfRule type="cellIs" dxfId="264" priority="1544" operator="between">
      <formula>7</formula>
      <formula>7.9</formula>
    </cfRule>
    <cfRule type="cellIs" dxfId="263" priority="1545" stopIfTrue="1" operator="between">
      <formula>8</formula>
      <formula>8.9</formula>
    </cfRule>
    <cfRule type="cellIs" dxfId="262" priority="1546" operator="between">
      <formula>9</formula>
      <formula>9.9</formula>
    </cfRule>
    <cfRule type="cellIs" dxfId="261" priority="1547" stopIfTrue="1" operator="between">
      <formula>10</formula>
      <formula>10</formula>
    </cfRule>
  </conditionalFormatting>
  <conditionalFormatting sqref="N512">
    <cfRule type="colorScale" priority="150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505">
      <colorScale>
        <cfvo type="num" val="5"/>
        <cfvo type="num" val="10"/>
        <color rgb="FFFF494D"/>
        <color rgb="FF00FF66"/>
      </colorScale>
    </cfRule>
  </conditionalFormatting>
  <conditionalFormatting sqref="N513:N523">
    <cfRule type="containsBlanks" dxfId="260" priority="1506" stopIfTrue="1">
      <formula>LEN(TRIM(N513))=0</formula>
    </cfRule>
    <cfRule type="cellIs" dxfId="259" priority="1507" operator="lessThan">
      <formula>2</formula>
    </cfRule>
    <cfRule type="cellIs" dxfId="258" priority="1508" operator="between">
      <formula>2</formula>
      <formula>4.9</formula>
    </cfRule>
    <cfRule type="cellIs" dxfId="257" priority="1509" operator="between">
      <formula>5</formula>
      <formula>6.9</formula>
    </cfRule>
    <cfRule type="cellIs" dxfId="256" priority="1510" operator="between">
      <formula>10.1</formula>
      <formula>10.6</formula>
    </cfRule>
    <cfRule type="cellIs" dxfId="255" priority="1511" operator="between">
      <formula>7</formula>
      <formula>7.9</formula>
    </cfRule>
    <cfRule type="cellIs" dxfId="254" priority="1512" stopIfTrue="1" operator="between">
      <formula>8</formula>
      <formula>8.9</formula>
    </cfRule>
    <cfRule type="cellIs" dxfId="253" priority="1513" operator="between">
      <formula>9</formula>
      <formula>9.9</formula>
    </cfRule>
    <cfRule type="cellIs" dxfId="252" priority="1514" stopIfTrue="1" operator="between">
      <formula>10</formula>
      <formula>10</formula>
    </cfRule>
  </conditionalFormatting>
  <conditionalFormatting sqref="N525">
    <cfRule type="colorScale" priority="143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439">
      <colorScale>
        <cfvo type="num" val="5"/>
        <cfvo type="num" val="10"/>
        <color rgb="FFFF494D"/>
        <color rgb="FF00FF66"/>
      </colorScale>
    </cfRule>
  </conditionalFormatting>
  <conditionalFormatting sqref="N526:N534">
    <cfRule type="containsBlanks" dxfId="251" priority="1440" stopIfTrue="1">
      <formula>LEN(TRIM(N526))=0</formula>
    </cfRule>
    <cfRule type="cellIs" dxfId="250" priority="1441" operator="lessThan">
      <formula>2</formula>
    </cfRule>
    <cfRule type="cellIs" dxfId="249" priority="1442" operator="between">
      <formula>2</formula>
      <formula>4.9</formula>
    </cfRule>
    <cfRule type="cellIs" dxfId="248" priority="1443" operator="between">
      <formula>5</formula>
      <formula>6.9</formula>
    </cfRule>
    <cfRule type="cellIs" dxfId="247" priority="1444" operator="between">
      <formula>10.1</formula>
      <formula>10.6</formula>
    </cfRule>
    <cfRule type="cellIs" dxfId="246" priority="1445" operator="between">
      <formula>7</formula>
      <formula>7.9</formula>
    </cfRule>
    <cfRule type="cellIs" dxfId="245" priority="1446" stopIfTrue="1" operator="between">
      <formula>8</formula>
      <formula>8.9</formula>
    </cfRule>
    <cfRule type="cellIs" dxfId="244" priority="1447" operator="between">
      <formula>9</formula>
      <formula>9.9</formula>
    </cfRule>
    <cfRule type="cellIs" dxfId="243" priority="1448" stopIfTrue="1" operator="between">
      <formula>10</formula>
      <formula>10</formula>
    </cfRule>
  </conditionalFormatting>
  <conditionalFormatting sqref="N536">
    <cfRule type="colorScale" priority="139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95">
      <colorScale>
        <cfvo type="num" val="5"/>
        <cfvo type="num" val="10"/>
        <color rgb="FFFF494D"/>
        <color rgb="FF00FF66"/>
      </colorScale>
    </cfRule>
  </conditionalFormatting>
  <conditionalFormatting sqref="N537:N544">
    <cfRule type="containsBlanks" dxfId="242" priority="1396" stopIfTrue="1">
      <formula>LEN(TRIM(N537))=0</formula>
    </cfRule>
    <cfRule type="cellIs" dxfId="241" priority="1397" operator="lessThan">
      <formula>2</formula>
    </cfRule>
    <cfRule type="cellIs" dxfId="240" priority="1398" operator="between">
      <formula>2</formula>
      <formula>4.9</formula>
    </cfRule>
    <cfRule type="cellIs" dxfId="239" priority="1399" operator="between">
      <formula>5</formula>
      <formula>6.9</formula>
    </cfRule>
    <cfRule type="cellIs" dxfId="238" priority="1400" operator="between">
      <formula>10.1</formula>
      <formula>10.6</formula>
    </cfRule>
    <cfRule type="cellIs" dxfId="237" priority="1401" operator="between">
      <formula>7</formula>
      <formula>7.9</formula>
    </cfRule>
    <cfRule type="cellIs" dxfId="236" priority="1402" stopIfTrue="1" operator="between">
      <formula>8</formula>
      <formula>8.9</formula>
    </cfRule>
    <cfRule type="cellIs" dxfId="235" priority="1403" operator="between">
      <formula>9</formula>
      <formula>9.9</formula>
    </cfRule>
    <cfRule type="cellIs" dxfId="234" priority="1404" stopIfTrue="1" operator="between">
      <formula>10</formula>
      <formula>10</formula>
    </cfRule>
  </conditionalFormatting>
  <conditionalFormatting sqref="N546">
    <cfRule type="colorScale" priority="133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40">
      <colorScale>
        <cfvo type="num" val="5"/>
        <cfvo type="num" val="10"/>
        <color rgb="FFFF494D"/>
        <color rgb="FF00FF66"/>
      </colorScale>
    </cfRule>
  </conditionalFormatting>
  <conditionalFormatting sqref="N547:N557">
    <cfRule type="containsBlanks" dxfId="233" priority="1341" stopIfTrue="1">
      <formula>LEN(TRIM(N547))=0</formula>
    </cfRule>
    <cfRule type="cellIs" dxfId="232" priority="1342" operator="lessThan">
      <formula>2</formula>
    </cfRule>
    <cfRule type="cellIs" dxfId="231" priority="1343" operator="between">
      <formula>2</formula>
      <formula>4.9</formula>
    </cfRule>
    <cfRule type="cellIs" dxfId="230" priority="1344" operator="between">
      <formula>5</formula>
      <formula>6.9</formula>
    </cfRule>
    <cfRule type="cellIs" dxfId="229" priority="1345" operator="between">
      <formula>10.1</formula>
      <formula>10.6</formula>
    </cfRule>
    <cfRule type="cellIs" dxfId="228" priority="1346" operator="between">
      <formula>7</formula>
      <formula>7.9</formula>
    </cfRule>
    <cfRule type="cellIs" dxfId="227" priority="1347" stopIfTrue="1" operator="between">
      <formula>8</formula>
      <formula>8.9</formula>
    </cfRule>
    <cfRule type="cellIs" dxfId="226" priority="1348" operator="between">
      <formula>9</formula>
      <formula>9.9</formula>
    </cfRule>
    <cfRule type="cellIs" dxfId="225" priority="1349" stopIfTrue="1" operator="between">
      <formula>10</formula>
      <formula>10</formula>
    </cfRule>
  </conditionalFormatting>
  <conditionalFormatting sqref="N559">
    <cfRule type="colorScale" priority="130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07">
      <colorScale>
        <cfvo type="num" val="5"/>
        <cfvo type="num" val="10"/>
        <color rgb="FFFF494D"/>
        <color rgb="FF00FF66"/>
      </colorScale>
    </cfRule>
  </conditionalFormatting>
  <conditionalFormatting sqref="N560:N564">
    <cfRule type="containsBlanks" dxfId="224" priority="1308" stopIfTrue="1">
      <formula>LEN(TRIM(N560))=0</formula>
    </cfRule>
    <cfRule type="cellIs" dxfId="223" priority="1309" operator="lessThan">
      <formula>2</formula>
    </cfRule>
    <cfRule type="cellIs" dxfId="222" priority="1310" operator="between">
      <formula>2</formula>
      <formula>4.9</formula>
    </cfRule>
    <cfRule type="cellIs" dxfId="221" priority="1311" operator="between">
      <formula>5</formula>
      <formula>6.9</formula>
    </cfRule>
    <cfRule type="cellIs" dxfId="220" priority="1312" operator="between">
      <formula>10.1</formula>
      <formula>10.6</formula>
    </cfRule>
    <cfRule type="cellIs" dxfId="219" priority="1313" operator="between">
      <formula>7</formula>
      <formula>7.9</formula>
    </cfRule>
    <cfRule type="cellIs" dxfId="218" priority="1314" stopIfTrue="1" operator="between">
      <formula>8</formula>
      <formula>8.9</formula>
    </cfRule>
    <cfRule type="cellIs" dxfId="217" priority="1315" operator="between">
      <formula>9</formula>
      <formula>9.9</formula>
    </cfRule>
    <cfRule type="cellIs" dxfId="216" priority="1316" stopIfTrue="1" operator="between">
      <formula>10</formula>
      <formula>10</formula>
    </cfRule>
  </conditionalFormatting>
  <conditionalFormatting sqref="N566">
    <cfRule type="colorScale" priority="12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83">
      <colorScale>
        <cfvo type="num" val="5"/>
        <cfvo type="num" val="10"/>
        <color rgb="FFFF494D"/>
        <color rgb="FF00FF66"/>
      </colorScale>
    </cfRule>
  </conditionalFormatting>
  <conditionalFormatting sqref="N567:N578">
    <cfRule type="containsBlanks" dxfId="215" priority="1273" stopIfTrue="1">
      <formula>LEN(TRIM(N567))=0</formula>
    </cfRule>
    <cfRule type="cellIs" dxfId="214" priority="1274" operator="lessThan">
      <formula>2</formula>
    </cfRule>
    <cfRule type="cellIs" dxfId="213" priority="1275" operator="between">
      <formula>2</formula>
      <formula>4.9</formula>
    </cfRule>
    <cfRule type="cellIs" dxfId="212" priority="1276" operator="between">
      <formula>5</formula>
      <formula>6.9</formula>
    </cfRule>
    <cfRule type="cellIs" dxfId="211" priority="1277" operator="between">
      <formula>10.1</formula>
      <formula>10.6</formula>
    </cfRule>
    <cfRule type="cellIs" dxfId="210" priority="1278" operator="between">
      <formula>7</formula>
      <formula>7.9</formula>
    </cfRule>
    <cfRule type="cellIs" dxfId="209" priority="1279" stopIfTrue="1" operator="between">
      <formula>8</formula>
      <formula>8.9</formula>
    </cfRule>
    <cfRule type="cellIs" dxfId="208" priority="1280" operator="between">
      <formula>9</formula>
      <formula>9.9</formula>
    </cfRule>
    <cfRule type="cellIs" dxfId="207" priority="1281" stopIfTrue="1" operator="between">
      <formula>10</formula>
      <formula>10</formula>
    </cfRule>
  </conditionalFormatting>
  <conditionalFormatting sqref="N580">
    <cfRule type="colorScale" priority="122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230">
      <colorScale>
        <cfvo type="num" val="5"/>
        <cfvo type="num" val="10"/>
        <color rgb="FFFF494D"/>
        <color rgb="FF00FF66"/>
      </colorScale>
    </cfRule>
  </conditionalFormatting>
  <conditionalFormatting sqref="N581:N589">
    <cfRule type="containsBlanks" dxfId="206" priority="1231" stopIfTrue="1">
      <formula>LEN(TRIM(N581))=0</formula>
    </cfRule>
    <cfRule type="cellIs" dxfId="205" priority="1232" operator="lessThan">
      <formula>2</formula>
    </cfRule>
    <cfRule type="cellIs" dxfId="204" priority="1233" operator="between">
      <formula>2</formula>
      <formula>4.9</formula>
    </cfRule>
    <cfRule type="cellIs" dxfId="203" priority="1234" operator="between">
      <formula>5</formula>
      <formula>6.9</formula>
    </cfRule>
    <cfRule type="cellIs" dxfId="202" priority="1235" operator="between">
      <formula>10.1</formula>
      <formula>10.6</formula>
    </cfRule>
    <cfRule type="cellIs" dxfId="201" priority="1236" operator="between">
      <formula>7</formula>
      <formula>7.9</formula>
    </cfRule>
    <cfRule type="cellIs" dxfId="200" priority="1237" stopIfTrue="1" operator="between">
      <formula>8</formula>
      <formula>8.9</formula>
    </cfRule>
    <cfRule type="cellIs" dxfId="199" priority="1238" operator="between">
      <formula>9</formula>
      <formula>9.9</formula>
    </cfRule>
    <cfRule type="cellIs" dxfId="198" priority="1239" stopIfTrue="1" operator="between">
      <formula>10</formula>
      <formula>10</formula>
    </cfRule>
  </conditionalFormatting>
  <conditionalFormatting sqref="N591">
    <cfRule type="colorScale" priority="117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75">
      <colorScale>
        <cfvo type="num" val="5"/>
        <cfvo type="num" val="10"/>
        <color rgb="FFFF494D"/>
        <color rgb="FF00FF66"/>
      </colorScale>
    </cfRule>
  </conditionalFormatting>
  <conditionalFormatting sqref="N592:N601">
    <cfRule type="containsBlanks" dxfId="197" priority="1176" stopIfTrue="1">
      <formula>LEN(TRIM(N592))=0</formula>
    </cfRule>
    <cfRule type="cellIs" dxfId="196" priority="1177" operator="lessThan">
      <formula>2</formula>
    </cfRule>
    <cfRule type="cellIs" dxfId="195" priority="1178" operator="between">
      <formula>2</formula>
      <formula>4.9</formula>
    </cfRule>
    <cfRule type="cellIs" dxfId="194" priority="1179" operator="between">
      <formula>5</formula>
      <formula>6.9</formula>
    </cfRule>
    <cfRule type="cellIs" dxfId="193" priority="1180" operator="between">
      <formula>10.1</formula>
      <formula>10.6</formula>
    </cfRule>
    <cfRule type="cellIs" dxfId="192" priority="1181" operator="between">
      <formula>7</formula>
      <formula>7.9</formula>
    </cfRule>
    <cfRule type="cellIs" dxfId="191" priority="1182" stopIfTrue="1" operator="between">
      <formula>8</formula>
      <formula>8.9</formula>
    </cfRule>
    <cfRule type="cellIs" dxfId="190" priority="1183" operator="between">
      <formula>9</formula>
      <formula>9.9</formula>
    </cfRule>
    <cfRule type="cellIs" dxfId="189" priority="1184" stopIfTrue="1" operator="between">
      <formula>10</formula>
      <formula>10</formula>
    </cfRule>
  </conditionalFormatting>
  <conditionalFormatting sqref="N603">
    <cfRule type="colorScale" priority="113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131">
      <colorScale>
        <cfvo type="num" val="5"/>
        <cfvo type="num" val="10"/>
        <color rgb="FFFF494D"/>
        <color rgb="FF00FF66"/>
      </colorScale>
    </cfRule>
  </conditionalFormatting>
  <conditionalFormatting sqref="N604:N612">
    <cfRule type="containsBlanks" dxfId="188" priority="1132" stopIfTrue="1">
      <formula>LEN(TRIM(N604))=0</formula>
    </cfRule>
    <cfRule type="cellIs" dxfId="187" priority="1133" operator="lessThan">
      <formula>2</formula>
    </cfRule>
    <cfRule type="cellIs" dxfId="186" priority="1134" operator="between">
      <formula>2</formula>
      <formula>4.9</formula>
    </cfRule>
    <cfRule type="cellIs" dxfId="185" priority="1135" operator="between">
      <formula>5</formula>
      <formula>6.9</formula>
    </cfRule>
    <cfRule type="cellIs" dxfId="184" priority="1136" operator="between">
      <formula>10.1</formula>
      <formula>10.6</formula>
    </cfRule>
    <cfRule type="cellIs" dxfId="183" priority="1137" operator="between">
      <formula>7</formula>
      <formula>7.9</formula>
    </cfRule>
    <cfRule type="cellIs" dxfId="182" priority="1138" stopIfTrue="1" operator="between">
      <formula>8</formula>
      <formula>8.9</formula>
    </cfRule>
    <cfRule type="cellIs" dxfId="181" priority="1139" operator="between">
      <formula>9</formula>
      <formula>9.9</formula>
    </cfRule>
    <cfRule type="cellIs" dxfId="180" priority="1140" stopIfTrue="1" operator="between">
      <formula>10</formula>
      <formula>10</formula>
    </cfRule>
  </conditionalFormatting>
  <conditionalFormatting sqref="N614">
    <cfRule type="colorScale" priority="1064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65">
      <colorScale>
        <cfvo type="num" val="5"/>
        <cfvo type="num" val="10"/>
        <color rgb="FFFF494D"/>
        <color rgb="FF00FF66"/>
      </colorScale>
    </cfRule>
  </conditionalFormatting>
  <conditionalFormatting sqref="N615:N622">
    <cfRule type="containsBlanks" dxfId="179" priority="1066" stopIfTrue="1">
      <formula>LEN(TRIM(N615))=0</formula>
    </cfRule>
    <cfRule type="cellIs" dxfId="178" priority="1067" operator="lessThan">
      <formula>2</formula>
    </cfRule>
    <cfRule type="cellIs" dxfId="177" priority="1068" operator="between">
      <formula>2</formula>
      <formula>4.9</formula>
    </cfRule>
    <cfRule type="cellIs" dxfId="176" priority="1069" operator="between">
      <formula>5</formula>
      <formula>6.9</formula>
    </cfRule>
    <cfRule type="cellIs" dxfId="175" priority="1070" operator="between">
      <formula>10.1</formula>
      <formula>10.6</formula>
    </cfRule>
    <cfRule type="cellIs" dxfId="174" priority="1071" operator="between">
      <formula>7</formula>
      <formula>7.9</formula>
    </cfRule>
    <cfRule type="cellIs" dxfId="173" priority="1072" stopIfTrue="1" operator="between">
      <formula>8</formula>
      <formula>8.9</formula>
    </cfRule>
    <cfRule type="cellIs" dxfId="172" priority="1073" operator="between">
      <formula>9</formula>
      <formula>9.9</formula>
    </cfRule>
    <cfRule type="cellIs" dxfId="171" priority="1074" stopIfTrue="1" operator="between">
      <formula>10</formula>
      <formula>10</formula>
    </cfRule>
  </conditionalFormatting>
  <conditionalFormatting sqref="N624">
    <cfRule type="colorScale" priority="104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043">
      <colorScale>
        <cfvo type="num" val="5"/>
        <cfvo type="num" val="10"/>
        <color rgb="FFFF494D"/>
        <color rgb="FF00FF66"/>
      </colorScale>
    </cfRule>
  </conditionalFormatting>
  <conditionalFormatting sqref="N625:N633">
    <cfRule type="containsBlanks" dxfId="170" priority="1044" stopIfTrue="1">
      <formula>LEN(TRIM(N625))=0</formula>
    </cfRule>
    <cfRule type="cellIs" dxfId="169" priority="1045" operator="lessThan">
      <formula>2</formula>
    </cfRule>
    <cfRule type="cellIs" dxfId="168" priority="1046" operator="between">
      <formula>2</formula>
      <formula>4.9</formula>
    </cfRule>
    <cfRule type="cellIs" dxfId="167" priority="1047" operator="between">
      <formula>5</formula>
      <formula>6.9</formula>
    </cfRule>
    <cfRule type="cellIs" dxfId="166" priority="1048" operator="between">
      <formula>10.1</formula>
      <formula>10.6</formula>
    </cfRule>
    <cfRule type="cellIs" dxfId="165" priority="1049" operator="between">
      <formula>7</formula>
      <formula>7.9</formula>
    </cfRule>
    <cfRule type="cellIs" dxfId="164" priority="1050" stopIfTrue="1" operator="between">
      <formula>8</formula>
      <formula>8.9</formula>
    </cfRule>
    <cfRule type="cellIs" dxfId="163" priority="1051" operator="between">
      <formula>9</formula>
      <formula>9.9</formula>
    </cfRule>
    <cfRule type="cellIs" dxfId="162" priority="1052" stopIfTrue="1" operator="between">
      <formula>10</formula>
      <formula>10</formula>
    </cfRule>
  </conditionalFormatting>
  <conditionalFormatting sqref="N635">
    <cfRule type="colorScale" priority="97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977">
      <colorScale>
        <cfvo type="num" val="5"/>
        <cfvo type="num" val="10"/>
        <color rgb="FFFF494D"/>
        <color rgb="FF00FF66"/>
      </colorScale>
    </cfRule>
  </conditionalFormatting>
  <conditionalFormatting sqref="N636:N650">
    <cfRule type="containsBlanks" dxfId="161" priority="978" stopIfTrue="1">
      <formula>LEN(TRIM(N636))=0</formula>
    </cfRule>
    <cfRule type="cellIs" dxfId="160" priority="979" operator="lessThan">
      <formula>2</formula>
    </cfRule>
    <cfRule type="cellIs" dxfId="159" priority="980" operator="between">
      <formula>2</formula>
      <formula>4.9</formula>
    </cfRule>
    <cfRule type="cellIs" dxfId="158" priority="981" operator="between">
      <formula>5</formula>
      <formula>6.9</formula>
    </cfRule>
    <cfRule type="cellIs" dxfId="157" priority="982" operator="between">
      <formula>10.1</formula>
      <formula>10.6</formula>
    </cfRule>
    <cfRule type="cellIs" dxfId="156" priority="983" operator="between">
      <formula>7</formula>
      <formula>7.9</formula>
    </cfRule>
    <cfRule type="cellIs" dxfId="155" priority="984" stopIfTrue="1" operator="between">
      <formula>8</formula>
      <formula>8.9</formula>
    </cfRule>
    <cfRule type="cellIs" dxfId="154" priority="985" operator="between">
      <formula>9</formula>
      <formula>9.9</formula>
    </cfRule>
    <cfRule type="cellIs" dxfId="153" priority="986" stopIfTrue="1" operator="between">
      <formula>10</formula>
      <formula>10</formula>
    </cfRule>
  </conditionalFormatting>
  <conditionalFormatting sqref="N652">
    <cfRule type="colorScale" priority="888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9">
      <colorScale>
        <cfvo type="num" val="5"/>
        <cfvo type="num" val="10"/>
        <color rgb="FFFF494D"/>
        <color rgb="FF00FF66"/>
      </colorScale>
    </cfRule>
  </conditionalFormatting>
  <conditionalFormatting sqref="N653:N658">
    <cfRule type="containsBlanks" dxfId="152" priority="890" stopIfTrue="1">
      <formula>LEN(TRIM(N653))=0</formula>
    </cfRule>
    <cfRule type="cellIs" dxfId="151" priority="891" operator="lessThan">
      <formula>2</formula>
    </cfRule>
    <cfRule type="cellIs" dxfId="150" priority="892" operator="between">
      <formula>2</formula>
      <formula>4.9</formula>
    </cfRule>
    <cfRule type="cellIs" dxfId="149" priority="893" operator="between">
      <formula>5</formula>
      <formula>6.9</formula>
    </cfRule>
    <cfRule type="cellIs" dxfId="148" priority="894" operator="between">
      <formula>10.1</formula>
      <formula>10.6</formula>
    </cfRule>
    <cfRule type="cellIs" dxfId="147" priority="895" operator="between">
      <formula>7</formula>
      <formula>7.9</formula>
    </cfRule>
    <cfRule type="cellIs" dxfId="146" priority="896" stopIfTrue="1" operator="between">
      <formula>8</formula>
      <formula>8.9</formula>
    </cfRule>
    <cfRule type="cellIs" dxfId="145" priority="897" operator="between">
      <formula>9</formula>
      <formula>9.9</formula>
    </cfRule>
    <cfRule type="cellIs" dxfId="144" priority="898" stopIfTrue="1" operator="between">
      <formula>10</formula>
      <formula>10</formula>
    </cfRule>
  </conditionalFormatting>
  <conditionalFormatting sqref="N660">
    <cfRule type="colorScale" priority="88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87">
      <colorScale>
        <cfvo type="num" val="5"/>
        <cfvo type="num" val="10"/>
        <color rgb="FFFF494D"/>
        <color rgb="FF00FF66"/>
      </colorScale>
    </cfRule>
  </conditionalFormatting>
  <conditionalFormatting sqref="N661:N674">
    <cfRule type="containsBlanks" dxfId="143" priority="877" stopIfTrue="1">
      <formula>LEN(TRIM(N661))=0</formula>
    </cfRule>
    <cfRule type="cellIs" dxfId="142" priority="878" operator="lessThan">
      <formula>2</formula>
    </cfRule>
    <cfRule type="cellIs" dxfId="141" priority="879" operator="between">
      <formula>2</formula>
      <formula>4.9</formula>
    </cfRule>
    <cfRule type="cellIs" dxfId="140" priority="880" operator="between">
      <formula>5</formula>
      <formula>6.9</formula>
    </cfRule>
    <cfRule type="cellIs" dxfId="139" priority="881" operator="between">
      <formula>10.1</formula>
      <formula>10.6</formula>
    </cfRule>
    <cfRule type="cellIs" dxfId="138" priority="882" operator="between">
      <formula>7</formula>
      <formula>7.9</formula>
    </cfRule>
    <cfRule type="cellIs" dxfId="137" priority="883" stopIfTrue="1" operator="between">
      <formula>8</formula>
      <formula>8.9</formula>
    </cfRule>
    <cfRule type="cellIs" dxfId="136" priority="884" operator="between">
      <formula>9</formula>
      <formula>9.9</formula>
    </cfRule>
    <cfRule type="cellIs" dxfId="135" priority="885" stopIfTrue="1" operator="between">
      <formula>10</formula>
      <formula>10</formula>
    </cfRule>
  </conditionalFormatting>
  <conditionalFormatting sqref="N676">
    <cfRule type="colorScale" priority="800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801">
      <colorScale>
        <cfvo type="num" val="5"/>
        <cfvo type="num" val="10"/>
        <color rgb="FFFF494D"/>
        <color rgb="FF00FF66"/>
      </colorScale>
    </cfRule>
  </conditionalFormatting>
  <conditionalFormatting sqref="N677:N686">
    <cfRule type="containsBlanks" dxfId="134" priority="802" stopIfTrue="1">
      <formula>LEN(TRIM(N677))=0</formula>
    </cfRule>
    <cfRule type="cellIs" dxfId="133" priority="803" operator="lessThan">
      <formula>2</formula>
    </cfRule>
    <cfRule type="cellIs" dxfId="132" priority="804" operator="between">
      <formula>2</formula>
      <formula>4.9</formula>
    </cfRule>
    <cfRule type="cellIs" dxfId="131" priority="805" operator="between">
      <formula>5</formula>
      <formula>6.9</formula>
    </cfRule>
    <cfRule type="cellIs" dxfId="130" priority="806" operator="between">
      <formula>10.1</formula>
      <formula>10.6</formula>
    </cfRule>
    <cfRule type="cellIs" dxfId="129" priority="807" operator="between">
      <formula>7</formula>
      <formula>7.9</formula>
    </cfRule>
    <cfRule type="cellIs" dxfId="128" priority="808" stopIfTrue="1" operator="between">
      <formula>8</formula>
      <formula>8.9</formula>
    </cfRule>
    <cfRule type="cellIs" dxfId="127" priority="809" operator="between">
      <formula>9</formula>
      <formula>9.9</formula>
    </cfRule>
    <cfRule type="cellIs" dxfId="126" priority="810" stopIfTrue="1" operator="between">
      <formula>10</formula>
      <formula>10</formula>
    </cfRule>
  </conditionalFormatting>
  <conditionalFormatting sqref="N688">
    <cfRule type="colorScale" priority="745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46">
      <colorScale>
        <cfvo type="num" val="5"/>
        <cfvo type="num" val="10"/>
        <color rgb="FFFF494D"/>
        <color rgb="FF00FF66"/>
      </colorScale>
    </cfRule>
  </conditionalFormatting>
  <conditionalFormatting sqref="N689:N700">
    <cfRule type="containsBlanks" dxfId="125" priority="747" stopIfTrue="1">
      <formula>LEN(TRIM(N689))=0</formula>
    </cfRule>
    <cfRule type="cellIs" dxfId="124" priority="748" operator="lessThan">
      <formula>2</formula>
    </cfRule>
    <cfRule type="cellIs" dxfId="123" priority="749" operator="between">
      <formula>2</formula>
      <formula>4.9</formula>
    </cfRule>
    <cfRule type="cellIs" dxfId="122" priority="750" operator="between">
      <formula>5</formula>
      <formula>6.9</formula>
    </cfRule>
    <cfRule type="cellIs" dxfId="121" priority="751" operator="between">
      <formula>10.1</formula>
      <formula>10.6</formula>
    </cfRule>
    <cfRule type="cellIs" dxfId="120" priority="752" operator="between">
      <formula>7</formula>
      <formula>7.9</formula>
    </cfRule>
    <cfRule type="cellIs" dxfId="119" priority="753" stopIfTrue="1" operator="between">
      <formula>8</formula>
      <formula>8.9</formula>
    </cfRule>
    <cfRule type="cellIs" dxfId="118" priority="754" operator="between">
      <formula>9</formula>
      <formula>9.9</formula>
    </cfRule>
    <cfRule type="cellIs" dxfId="117" priority="755" stopIfTrue="1" operator="between">
      <formula>10</formula>
      <formula>10</formula>
    </cfRule>
  </conditionalFormatting>
  <conditionalFormatting sqref="N702">
    <cfRule type="colorScale" priority="70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702">
      <colorScale>
        <cfvo type="num" val="5"/>
        <cfvo type="num" val="10"/>
        <color rgb="FFFF494D"/>
        <color rgb="FF00FF66"/>
      </colorScale>
    </cfRule>
  </conditionalFormatting>
  <conditionalFormatting sqref="N703:N710">
    <cfRule type="containsBlanks" dxfId="116" priority="703" stopIfTrue="1">
      <formula>LEN(TRIM(N703))=0</formula>
    </cfRule>
    <cfRule type="cellIs" dxfId="115" priority="704" operator="lessThan">
      <formula>2</formula>
    </cfRule>
    <cfRule type="cellIs" dxfId="114" priority="705" operator="between">
      <formula>2</formula>
      <formula>4.9</formula>
    </cfRule>
    <cfRule type="cellIs" dxfId="113" priority="706" operator="between">
      <formula>5</formula>
      <formula>6.9</formula>
    </cfRule>
    <cfRule type="cellIs" dxfId="112" priority="707" operator="between">
      <formula>10.1</formula>
      <formula>10.6</formula>
    </cfRule>
    <cfRule type="cellIs" dxfId="111" priority="708" operator="between">
      <formula>7</formula>
      <formula>7.9</formula>
    </cfRule>
    <cfRule type="cellIs" dxfId="110" priority="709" stopIfTrue="1" operator="between">
      <formula>8</formula>
      <formula>8.9</formula>
    </cfRule>
    <cfRule type="cellIs" dxfId="109" priority="710" operator="between">
      <formula>9</formula>
      <formula>9.9</formula>
    </cfRule>
    <cfRule type="cellIs" dxfId="108" priority="711" stopIfTrue="1" operator="between">
      <formula>10</formula>
      <formula>10</formula>
    </cfRule>
  </conditionalFormatting>
  <conditionalFormatting sqref="N712">
    <cfRule type="colorScale" priority="64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647">
      <colorScale>
        <cfvo type="num" val="5"/>
        <cfvo type="num" val="10"/>
        <color rgb="FFFF494D"/>
        <color rgb="FF00FF66"/>
      </colorScale>
    </cfRule>
  </conditionalFormatting>
  <conditionalFormatting sqref="N713:N725">
    <cfRule type="containsBlanks" dxfId="107" priority="648" stopIfTrue="1">
      <formula>LEN(TRIM(N713))=0</formula>
    </cfRule>
    <cfRule type="cellIs" dxfId="106" priority="649" operator="lessThan">
      <formula>2</formula>
    </cfRule>
    <cfRule type="cellIs" dxfId="105" priority="650" operator="between">
      <formula>2</formula>
      <formula>4.9</formula>
    </cfRule>
    <cfRule type="cellIs" dxfId="104" priority="651" operator="between">
      <formula>5</formula>
      <formula>6.9</formula>
    </cfRule>
    <cfRule type="cellIs" dxfId="103" priority="652" operator="between">
      <formula>10.1</formula>
      <formula>10.6</formula>
    </cfRule>
    <cfRule type="cellIs" dxfId="102" priority="653" operator="between">
      <formula>7</formula>
      <formula>7.9</formula>
    </cfRule>
    <cfRule type="cellIs" dxfId="101" priority="654" stopIfTrue="1" operator="between">
      <formula>8</formula>
      <formula>8.9</formula>
    </cfRule>
    <cfRule type="cellIs" dxfId="100" priority="655" operator="between">
      <formula>9</formula>
      <formula>9.9</formula>
    </cfRule>
    <cfRule type="cellIs" dxfId="99" priority="656" stopIfTrue="1" operator="between">
      <formula>10</formula>
      <formula>10</formula>
    </cfRule>
  </conditionalFormatting>
  <conditionalFormatting sqref="N727">
    <cfRule type="colorScale" priority="56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70">
      <colorScale>
        <cfvo type="num" val="5"/>
        <cfvo type="num" val="10"/>
        <color rgb="FFFF494D"/>
        <color rgb="FF00FF66"/>
      </colorScale>
    </cfRule>
  </conditionalFormatting>
  <conditionalFormatting sqref="N728:N738">
    <cfRule type="containsBlanks" dxfId="98" priority="571" stopIfTrue="1">
      <formula>LEN(TRIM(N728))=0</formula>
    </cfRule>
    <cfRule type="cellIs" dxfId="97" priority="572" operator="lessThan">
      <formula>2</formula>
    </cfRule>
    <cfRule type="cellIs" dxfId="96" priority="573" operator="between">
      <formula>2</formula>
      <formula>4.9</formula>
    </cfRule>
    <cfRule type="cellIs" dxfId="95" priority="574" operator="between">
      <formula>5</formula>
      <formula>6.9</formula>
    </cfRule>
    <cfRule type="cellIs" dxfId="94" priority="575" operator="between">
      <formula>10.1</formula>
      <formula>10.6</formula>
    </cfRule>
    <cfRule type="cellIs" dxfId="93" priority="576" operator="between">
      <formula>7</formula>
      <formula>7.9</formula>
    </cfRule>
    <cfRule type="cellIs" dxfId="92" priority="577" stopIfTrue="1" operator="between">
      <formula>8</formula>
      <formula>8.9</formula>
    </cfRule>
    <cfRule type="cellIs" dxfId="91" priority="578" operator="between">
      <formula>9</formula>
      <formula>9.9</formula>
    </cfRule>
    <cfRule type="cellIs" dxfId="90" priority="579" stopIfTrue="1" operator="between">
      <formula>10</formula>
      <formula>10</formula>
    </cfRule>
  </conditionalFormatting>
  <conditionalFormatting sqref="N740">
    <cfRule type="colorScale" priority="50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02">
      <colorScale>
        <cfvo type="num" val="5"/>
        <cfvo type="num" val="10"/>
        <color rgb="FFFF494D"/>
        <color rgb="FF00FF66"/>
      </colorScale>
    </cfRule>
  </conditionalFormatting>
  <conditionalFormatting sqref="N741:N750">
    <cfRule type="containsBlanks" dxfId="89" priority="492" stopIfTrue="1">
      <formula>LEN(TRIM(N741))=0</formula>
    </cfRule>
    <cfRule type="cellIs" dxfId="88" priority="493" operator="lessThan">
      <formula>2</formula>
    </cfRule>
    <cfRule type="cellIs" dxfId="87" priority="494" operator="between">
      <formula>2</formula>
      <formula>4.9</formula>
    </cfRule>
    <cfRule type="cellIs" dxfId="86" priority="495" operator="between">
      <formula>5</formula>
      <formula>6.9</formula>
    </cfRule>
    <cfRule type="cellIs" dxfId="85" priority="496" operator="between">
      <formula>10.1</formula>
      <formula>10.6</formula>
    </cfRule>
    <cfRule type="cellIs" dxfId="84" priority="497" operator="between">
      <formula>7</formula>
      <formula>7.9</formula>
    </cfRule>
    <cfRule type="cellIs" dxfId="83" priority="498" stopIfTrue="1" operator="between">
      <formula>8</formula>
      <formula>8.9</formula>
    </cfRule>
    <cfRule type="cellIs" dxfId="82" priority="499" operator="between">
      <formula>9</formula>
      <formula>9.9</formula>
    </cfRule>
    <cfRule type="cellIs" dxfId="81" priority="500" stopIfTrue="1" operator="between">
      <formula>10</formula>
      <formula>10</formula>
    </cfRule>
  </conditionalFormatting>
  <conditionalFormatting sqref="N752">
    <cfRule type="colorScale" priority="457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58">
      <colorScale>
        <cfvo type="num" val="5"/>
        <cfvo type="num" val="10"/>
        <color rgb="FFFF494D"/>
        <color rgb="FF00FF66"/>
      </colorScale>
    </cfRule>
  </conditionalFormatting>
  <conditionalFormatting sqref="N753:N755">
    <cfRule type="containsBlanks" dxfId="80" priority="448" stopIfTrue="1">
      <formula>LEN(TRIM(N753))=0</formula>
    </cfRule>
    <cfRule type="cellIs" dxfId="79" priority="449" operator="lessThan">
      <formula>2</formula>
    </cfRule>
    <cfRule type="cellIs" dxfId="78" priority="450" operator="between">
      <formula>2</formula>
      <formula>4.9</formula>
    </cfRule>
    <cfRule type="cellIs" dxfId="77" priority="451" operator="between">
      <formula>5</formula>
      <formula>6.9</formula>
    </cfRule>
    <cfRule type="cellIs" dxfId="76" priority="452" operator="between">
      <formula>10.1</formula>
      <formula>10.6</formula>
    </cfRule>
    <cfRule type="cellIs" dxfId="75" priority="453" operator="between">
      <formula>7</formula>
      <formula>7.9</formula>
    </cfRule>
    <cfRule type="cellIs" dxfId="74" priority="454" stopIfTrue="1" operator="between">
      <formula>8</formula>
      <formula>8.9</formula>
    </cfRule>
    <cfRule type="cellIs" dxfId="73" priority="455" operator="between">
      <formula>9</formula>
      <formula>9.9</formula>
    </cfRule>
    <cfRule type="cellIs" dxfId="72" priority="456" stopIfTrue="1" operator="between">
      <formula>10</formula>
      <formula>10</formula>
    </cfRule>
  </conditionalFormatting>
  <conditionalFormatting sqref="N757">
    <cfRule type="colorScale" priority="4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427">
      <colorScale>
        <cfvo type="num" val="5"/>
        <cfvo type="num" val="10"/>
        <color rgb="FFFF494D"/>
        <color rgb="FF00FF66"/>
      </colorScale>
    </cfRule>
  </conditionalFormatting>
  <conditionalFormatting sqref="N758:N763">
    <cfRule type="containsBlanks" dxfId="71" priority="428" stopIfTrue="1">
      <formula>LEN(TRIM(N758))=0</formula>
    </cfRule>
    <cfRule type="cellIs" dxfId="70" priority="429" operator="lessThan">
      <formula>2</formula>
    </cfRule>
    <cfRule type="cellIs" dxfId="69" priority="430" operator="between">
      <formula>2</formula>
      <formula>4.9</formula>
    </cfRule>
    <cfRule type="cellIs" dxfId="68" priority="431" operator="between">
      <formula>5</formula>
      <formula>6.9</formula>
    </cfRule>
    <cfRule type="cellIs" dxfId="67" priority="432" operator="between">
      <formula>10.1</formula>
      <formula>10.6</formula>
    </cfRule>
    <cfRule type="cellIs" dxfId="66" priority="433" operator="between">
      <formula>7</formula>
      <formula>7.9</formula>
    </cfRule>
    <cfRule type="cellIs" dxfId="65" priority="434" stopIfTrue="1" operator="between">
      <formula>8</formula>
      <formula>8.9</formula>
    </cfRule>
    <cfRule type="cellIs" dxfId="64" priority="435" operator="between">
      <formula>9</formula>
      <formula>9.9</formula>
    </cfRule>
    <cfRule type="cellIs" dxfId="63" priority="436" stopIfTrue="1" operator="between">
      <formula>10</formula>
      <formula>10</formula>
    </cfRule>
  </conditionalFormatting>
  <conditionalFormatting sqref="N765">
    <cfRule type="colorScale" priority="38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83">
      <colorScale>
        <cfvo type="num" val="5"/>
        <cfvo type="num" val="10"/>
        <color rgb="FFFF494D"/>
        <color rgb="FF00FF66"/>
      </colorScale>
    </cfRule>
  </conditionalFormatting>
  <conditionalFormatting sqref="N766:N770">
    <cfRule type="containsBlanks" dxfId="62" priority="384" stopIfTrue="1">
      <formula>LEN(TRIM(N766))=0</formula>
    </cfRule>
    <cfRule type="cellIs" dxfId="61" priority="385" operator="lessThan">
      <formula>2</formula>
    </cfRule>
    <cfRule type="cellIs" dxfId="60" priority="386" operator="between">
      <formula>2</formula>
      <formula>4.9</formula>
    </cfRule>
    <cfRule type="cellIs" dxfId="59" priority="387" operator="between">
      <formula>5</formula>
      <formula>6.9</formula>
    </cfRule>
    <cfRule type="cellIs" dxfId="58" priority="388" operator="between">
      <formula>10.1</formula>
      <formula>10.6</formula>
    </cfRule>
    <cfRule type="cellIs" dxfId="57" priority="389" operator="between">
      <formula>7</formula>
      <formula>7.9</formula>
    </cfRule>
    <cfRule type="cellIs" dxfId="56" priority="390" stopIfTrue="1" operator="between">
      <formula>8</formula>
      <formula>8.9</formula>
    </cfRule>
    <cfRule type="cellIs" dxfId="55" priority="391" operator="between">
      <formula>9</formula>
      <formula>9.9</formula>
    </cfRule>
    <cfRule type="cellIs" dxfId="54" priority="392" stopIfTrue="1" operator="between">
      <formula>10</formula>
      <formula>10</formula>
    </cfRule>
  </conditionalFormatting>
  <conditionalFormatting sqref="N772">
    <cfRule type="colorScale" priority="349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350">
      <colorScale>
        <cfvo type="num" val="5"/>
        <cfvo type="num" val="10"/>
        <color rgb="FFFF494D"/>
        <color rgb="FF00FF66"/>
      </colorScale>
    </cfRule>
  </conditionalFormatting>
  <conditionalFormatting sqref="N773:N800">
    <cfRule type="containsBlanks" dxfId="53" priority="351" stopIfTrue="1">
      <formula>LEN(TRIM(N773))=0</formula>
    </cfRule>
    <cfRule type="cellIs" dxfId="52" priority="352" operator="lessThan">
      <formula>2</formula>
    </cfRule>
    <cfRule type="cellIs" dxfId="51" priority="353" operator="between">
      <formula>2</formula>
      <formula>4.9</formula>
    </cfRule>
    <cfRule type="cellIs" dxfId="50" priority="354" operator="between">
      <formula>5</formula>
      <formula>6.9</formula>
    </cfRule>
    <cfRule type="cellIs" dxfId="49" priority="355" operator="between">
      <formula>10.1</formula>
      <formula>10.6</formula>
    </cfRule>
    <cfRule type="cellIs" dxfId="48" priority="356" operator="between">
      <formula>7</formula>
      <formula>7.9</formula>
    </cfRule>
    <cfRule type="cellIs" dxfId="47" priority="357" stopIfTrue="1" operator="between">
      <formula>8</formula>
      <formula>8.9</formula>
    </cfRule>
    <cfRule type="cellIs" dxfId="46" priority="358" operator="between">
      <formula>9</formula>
      <formula>9.9</formula>
    </cfRule>
    <cfRule type="cellIs" dxfId="45" priority="359" stopIfTrue="1" operator="between">
      <formula>10</formula>
      <formula>10</formula>
    </cfRule>
  </conditionalFormatting>
  <conditionalFormatting sqref="N802">
    <cfRule type="colorScale" priority="226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27">
      <colorScale>
        <cfvo type="num" val="5"/>
        <cfvo type="num" val="10"/>
        <color rgb="FFFF494D"/>
        <color rgb="FF00FF66"/>
      </colorScale>
    </cfRule>
  </conditionalFormatting>
  <conditionalFormatting sqref="N803:N810">
    <cfRule type="containsBlanks" dxfId="44" priority="228" stopIfTrue="1">
      <formula>LEN(TRIM(N803))=0</formula>
    </cfRule>
    <cfRule type="cellIs" dxfId="43" priority="229" operator="lessThan">
      <formula>2</formula>
    </cfRule>
    <cfRule type="cellIs" dxfId="42" priority="230" operator="between">
      <formula>2</formula>
      <formula>4.9</formula>
    </cfRule>
    <cfRule type="cellIs" dxfId="41" priority="231" operator="between">
      <formula>5</formula>
      <formula>6.9</formula>
    </cfRule>
    <cfRule type="cellIs" dxfId="40" priority="232" operator="between">
      <formula>10.1</formula>
      <formula>10.6</formula>
    </cfRule>
    <cfRule type="cellIs" dxfId="39" priority="233" operator="between">
      <formula>7</formula>
      <formula>7.9</formula>
    </cfRule>
    <cfRule type="cellIs" dxfId="38" priority="234" stopIfTrue="1" operator="between">
      <formula>8</formula>
      <formula>8.9</formula>
    </cfRule>
    <cfRule type="cellIs" dxfId="37" priority="235" operator="between">
      <formula>9</formula>
      <formula>9.9</formula>
    </cfRule>
    <cfRule type="cellIs" dxfId="36" priority="236" stopIfTrue="1" operator="between">
      <formula>10</formula>
      <formula>10</formula>
    </cfRule>
  </conditionalFormatting>
  <conditionalFormatting sqref="N812">
    <cfRule type="colorScale" priority="17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72">
      <colorScale>
        <cfvo type="num" val="5"/>
        <cfvo type="num" val="10"/>
        <color rgb="FFFF494D"/>
        <color rgb="FF00FF66"/>
      </colorScale>
    </cfRule>
  </conditionalFormatting>
  <conditionalFormatting sqref="N813:N824">
    <cfRule type="containsBlanks" dxfId="35" priority="173" stopIfTrue="1">
      <formula>LEN(TRIM(N813))=0</formula>
    </cfRule>
    <cfRule type="cellIs" dxfId="34" priority="174" operator="lessThan">
      <formula>2</formula>
    </cfRule>
    <cfRule type="cellIs" dxfId="33" priority="175" operator="between">
      <formula>2</formula>
      <formula>4.9</formula>
    </cfRule>
    <cfRule type="cellIs" dxfId="32" priority="176" operator="between">
      <formula>5</formula>
      <formula>6.9</formula>
    </cfRule>
    <cfRule type="cellIs" dxfId="31" priority="177" operator="between">
      <formula>10.1</formula>
      <formula>10.6</formula>
    </cfRule>
    <cfRule type="cellIs" dxfId="30" priority="178" operator="between">
      <formula>7</formula>
      <formula>7.9</formula>
    </cfRule>
    <cfRule type="cellIs" dxfId="29" priority="179" stopIfTrue="1" operator="between">
      <formula>8</formula>
      <formula>8.9</formula>
    </cfRule>
    <cfRule type="cellIs" dxfId="28" priority="180" operator="between">
      <formula>9</formula>
      <formula>9.9</formula>
    </cfRule>
    <cfRule type="cellIs" dxfId="27" priority="181" stopIfTrue="1" operator="between">
      <formula>10</formula>
      <formula>10</formula>
    </cfRule>
  </conditionalFormatting>
  <conditionalFormatting sqref="N826">
    <cfRule type="colorScale" priority="5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53">
      <colorScale>
        <cfvo type="num" val="5"/>
        <cfvo type="num" val="10"/>
        <color rgb="FFFF494D"/>
        <color rgb="FF00FF66"/>
      </colorScale>
    </cfRule>
  </conditionalFormatting>
  <conditionalFormatting sqref="N827:N841">
    <cfRule type="containsBlanks" dxfId="26" priority="54" stopIfTrue="1">
      <formula>LEN(TRIM(N827))=0</formula>
    </cfRule>
    <cfRule type="cellIs" dxfId="25" priority="55" operator="lessThan">
      <formula>2</formula>
    </cfRule>
    <cfRule type="cellIs" dxfId="24" priority="56" operator="between">
      <formula>2</formula>
      <formula>4.9</formula>
    </cfRule>
    <cfRule type="cellIs" dxfId="23" priority="57" operator="between">
      <formula>5</formula>
      <formula>6.9</formula>
    </cfRule>
    <cfRule type="cellIs" dxfId="22" priority="58" operator="between">
      <formula>10.1</formula>
      <formula>10.6</formula>
    </cfRule>
    <cfRule type="cellIs" dxfId="21" priority="59" operator="between">
      <formula>7</formula>
      <formula>7.9</formula>
    </cfRule>
    <cfRule type="cellIs" dxfId="20" priority="60" stopIfTrue="1" operator="between">
      <formula>8</formula>
      <formula>8.9</formula>
    </cfRule>
    <cfRule type="cellIs" dxfId="19" priority="61" operator="between">
      <formula>9</formula>
      <formula>9.9</formula>
    </cfRule>
    <cfRule type="cellIs" dxfId="18" priority="62" stopIfTrue="1" operator="between">
      <formula>10</formula>
      <formula>10</formula>
    </cfRule>
  </conditionalFormatting>
  <conditionalFormatting sqref="N843">
    <cfRule type="colorScale" priority="12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13">
      <colorScale>
        <cfvo type="num" val="5"/>
        <cfvo type="num" val="10"/>
        <color rgb="FFFF494D"/>
        <color rgb="FF00FF66"/>
      </colorScale>
    </cfRule>
  </conditionalFormatting>
  <conditionalFormatting sqref="N844:N853">
    <cfRule type="containsBlanks" dxfId="17" priority="14" stopIfTrue="1">
      <formula>LEN(TRIM(N844))=0</formula>
    </cfRule>
    <cfRule type="cellIs" dxfId="16" priority="15" operator="lessThan">
      <formula>2</formula>
    </cfRule>
    <cfRule type="cellIs" dxfId="15" priority="16" operator="between">
      <formula>2</formula>
      <formula>4.9</formula>
    </cfRule>
    <cfRule type="cellIs" dxfId="14" priority="17" operator="between">
      <formula>5</formula>
      <formula>6.9</formula>
    </cfRule>
    <cfRule type="cellIs" dxfId="13" priority="18" operator="between">
      <formula>10.1</formula>
      <formula>10.6</formula>
    </cfRule>
    <cfRule type="cellIs" dxfId="12" priority="19" operator="between">
      <formula>7</formula>
      <formula>7.9</formula>
    </cfRule>
    <cfRule type="cellIs" dxfId="11" priority="20" stopIfTrue="1" operator="between">
      <formula>8</formula>
      <formula>8.9</formula>
    </cfRule>
    <cfRule type="cellIs" dxfId="10" priority="21" operator="between">
      <formula>9</formula>
      <formula>9.9</formula>
    </cfRule>
    <cfRule type="cellIs" dxfId="9" priority="22" stopIfTrue="1" operator="between">
      <formula>10</formula>
      <formula>10</formula>
    </cfRule>
  </conditionalFormatting>
  <conditionalFormatting sqref="B849:B857">
    <cfRule type="containsBlanks" dxfId="8" priority="3" stopIfTrue="1">
      <formula>LEN(TRIM(B849))=0</formula>
    </cfRule>
    <cfRule type="cellIs" dxfId="7" priority="4" operator="lessThan">
      <formula>2</formula>
    </cfRule>
    <cfRule type="cellIs" dxfId="6" priority="5" operator="between">
      <formula>2</formula>
      <formula>4.9</formula>
    </cfRule>
    <cfRule type="cellIs" dxfId="5" priority="6" operator="between">
      <formula>5</formula>
      <formula>6.9</formula>
    </cfRule>
    <cfRule type="cellIs" dxfId="4" priority="7" operator="between">
      <formula>10.1</formula>
      <formula>10.6</formula>
    </cfRule>
    <cfRule type="cellIs" dxfId="3" priority="8" operator="between">
      <formula>7</formula>
      <formula>7.9</formula>
    </cfRule>
    <cfRule type="cellIs" dxfId="2" priority="9" stopIfTrue="1" operator="between">
      <formula>8</formula>
      <formula>8.9</formula>
    </cfRule>
    <cfRule type="cellIs" dxfId="1" priority="10" operator="between">
      <formula>9</formula>
      <formula>9.9</formula>
    </cfRule>
    <cfRule type="cellIs" dxfId="0" priority="11" stopIfTrue="1" operator="between">
      <formula>10</formula>
      <formula>10</formula>
    </cfRule>
  </conditionalFormatting>
  <conditionalFormatting sqref="B848">
    <cfRule type="colorScale" priority="1">
      <colorScale>
        <cfvo type="num" val="5"/>
        <cfvo type="num" val="7"/>
        <cfvo type="num" val="10"/>
        <color rgb="FFFF494D"/>
        <color rgb="FFFFF543"/>
        <color rgb="FF00B0F0"/>
      </colorScale>
    </cfRule>
    <cfRule type="colorScale" priority="2">
      <colorScale>
        <cfvo type="num" val="5"/>
        <cfvo type="num" val="10"/>
        <color rgb="FFFF494D"/>
        <color rgb="FF00FF66"/>
      </colorScale>
    </cfRule>
  </conditionalFormatting>
  <pageMargins left="0.7" right="0.7" top="0.75" bottom="0.75" header="0.3" footer="0.3"/>
  <pageSetup paperSize="9" scale="1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6A54-3138-47A5-A300-0A05833ABA54}">
  <dimension ref="A1:N337"/>
  <sheetViews>
    <sheetView tabSelected="1" zoomScale="90" zoomScaleNormal="90" workbookViewId="0">
      <selection activeCell="N24" sqref="N24"/>
    </sheetView>
  </sheetViews>
  <sheetFormatPr baseColWidth="10" defaultColWidth="8.83203125" defaultRowHeight="16" x14ac:dyDescent="0.2"/>
  <cols>
    <col min="1" max="1" width="4.6640625" bestFit="1" customWidth="1"/>
    <col min="2" max="2" width="26.6640625" bestFit="1" customWidth="1"/>
    <col min="3" max="3" width="42.83203125" bestFit="1" customWidth="1"/>
    <col min="4" max="4" width="6.83203125" bestFit="1" customWidth="1"/>
    <col min="5" max="5" width="14.1640625" bestFit="1" customWidth="1"/>
    <col min="6" max="6" width="8.5" bestFit="1" customWidth="1"/>
    <col min="7" max="7" width="11.5" bestFit="1" customWidth="1"/>
    <col min="8" max="8" width="9.83203125" bestFit="1" customWidth="1"/>
    <col min="9" max="9" width="15" bestFit="1" customWidth="1"/>
    <col min="10" max="10" width="10.83203125" bestFit="1" customWidth="1"/>
    <col min="11" max="11" width="36.1640625" bestFit="1" customWidth="1"/>
    <col min="12" max="12" width="5.6640625" bestFit="1" customWidth="1"/>
    <col min="13" max="13" width="9" bestFit="1" customWidth="1"/>
    <col min="14" max="14" width="16.33203125" bestFit="1" customWidth="1"/>
  </cols>
  <sheetData>
    <row r="1" spans="1:14" ht="18" x14ac:dyDescent="0.25">
      <c r="A1" s="567" t="s">
        <v>1225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4" x14ac:dyDescent="0.2">
      <c r="A2" s="225" t="s">
        <v>318</v>
      </c>
      <c r="B2" s="225" t="s">
        <v>285</v>
      </c>
      <c r="C2" s="225" t="s">
        <v>286</v>
      </c>
      <c r="D2" s="225" t="s">
        <v>287</v>
      </c>
      <c r="E2" s="225" t="s">
        <v>957</v>
      </c>
      <c r="F2" s="225" t="s">
        <v>474</v>
      </c>
      <c r="G2" s="225" t="s">
        <v>288</v>
      </c>
      <c r="H2" s="225" t="s">
        <v>289</v>
      </c>
      <c r="I2" s="225" t="s">
        <v>290</v>
      </c>
      <c r="J2" s="225" t="s">
        <v>291</v>
      </c>
      <c r="K2" s="225" t="s">
        <v>3045</v>
      </c>
      <c r="L2" s="225" t="s">
        <v>1811</v>
      </c>
      <c r="M2" s="225" t="s">
        <v>1812</v>
      </c>
      <c r="N2" s="225" t="s">
        <v>5778</v>
      </c>
    </row>
    <row r="3" spans="1:14" x14ac:dyDescent="0.2">
      <c r="A3" s="232">
        <v>1</v>
      </c>
      <c r="B3" s="226" t="s">
        <v>4654</v>
      </c>
      <c r="C3" s="227" t="s">
        <v>5925</v>
      </c>
      <c r="D3" s="227">
        <v>8.94</v>
      </c>
      <c r="E3" s="258">
        <v>8.9499999999999993</v>
      </c>
      <c r="F3" s="227">
        <v>8.5</v>
      </c>
      <c r="G3" s="227">
        <v>0.96</v>
      </c>
      <c r="H3" s="227">
        <v>3</v>
      </c>
      <c r="I3" s="227">
        <v>9</v>
      </c>
      <c r="J3" s="227">
        <v>0</v>
      </c>
      <c r="K3" s="226" t="s">
        <v>1007</v>
      </c>
      <c r="L3" s="227">
        <v>1984</v>
      </c>
      <c r="M3" s="227" t="s">
        <v>1802</v>
      </c>
      <c r="N3" s="228" t="s">
        <v>5953</v>
      </c>
    </row>
    <row r="4" spans="1:14" x14ac:dyDescent="0.2">
      <c r="A4" s="234">
        <v>2</v>
      </c>
      <c r="B4" s="229" t="s">
        <v>357</v>
      </c>
      <c r="C4" s="230" t="s">
        <v>5856</v>
      </c>
      <c r="D4" s="230">
        <v>8.5500000000000007</v>
      </c>
      <c r="E4" s="297">
        <v>8.4700000000000006</v>
      </c>
      <c r="F4" s="230">
        <v>8.5</v>
      </c>
      <c r="G4" s="230">
        <v>0.52</v>
      </c>
      <c r="H4" s="230">
        <v>0</v>
      </c>
      <c r="I4" s="230">
        <v>10</v>
      </c>
      <c r="J4" s="230">
        <v>0</v>
      </c>
      <c r="K4" s="229" t="s">
        <v>5857</v>
      </c>
      <c r="L4" s="230">
        <v>1984</v>
      </c>
      <c r="M4" s="230" t="s">
        <v>1771</v>
      </c>
      <c r="N4" s="231" t="s">
        <v>5858</v>
      </c>
    </row>
    <row r="5" spans="1:14" x14ac:dyDescent="0.2">
      <c r="A5" s="235">
        <v>3</v>
      </c>
      <c r="B5" s="226" t="s">
        <v>5836</v>
      </c>
      <c r="C5" s="227" t="s">
        <v>157</v>
      </c>
      <c r="D5" s="227">
        <v>8.56</v>
      </c>
      <c r="E5" s="286">
        <v>8.61</v>
      </c>
      <c r="F5" s="227">
        <v>8.5</v>
      </c>
      <c r="G5" s="227">
        <v>0.83</v>
      </c>
      <c r="H5" s="227">
        <v>1</v>
      </c>
      <c r="I5" s="227">
        <v>9</v>
      </c>
      <c r="J5" s="227">
        <v>0</v>
      </c>
      <c r="K5" s="226" t="s">
        <v>1007</v>
      </c>
      <c r="L5" s="227">
        <v>1979</v>
      </c>
      <c r="M5" s="227" t="s">
        <v>1775</v>
      </c>
      <c r="N5" s="228" t="s">
        <v>5837</v>
      </c>
    </row>
    <row r="6" spans="1:14" x14ac:dyDescent="0.2">
      <c r="A6" s="236">
        <v>4</v>
      </c>
      <c r="B6" s="229" t="s">
        <v>1227</v>
      </c>
      <c r="C6" s="230" t="s">
        <v>5819</v>
      </c>
      <c r="D6" s="230">
        <v>8.9499999999999993</v>
      </c>
      <c r="E6" s="260">
        <v>8.92</v>
      </c>
      <c r="F6" s="230">
        <v>9</v>
      </c>
      <c r="G6" s="230">
        <v>0.61</v>
      </c>
      <c r="H6" s="230">
        <v>2</v>
      </c>
      <c r="I6" s="230">
        <v>10</v>
      </c>
      <c r="J6" s="230">
        <v>0</v>
      </c>
      <c r="K6" s="229" t="s">
        <v>732</v>
      </c>
      <c r="L6" s="230">
        <v>2013</v>
      </c>
      <c r="M6" s="230" t="s">
        <v>1784</v>
      </c>
      <c r="N6" s="231" t="s">
        <v>5821</v>
      </c>
    </row>
    <row r="7" spans="1:14" x14ac:dyDescent="0.2">
      <c r="A7" s="236">
        <v>5</v>
      </c>
      <c r="B7" s="226" t="s">
        <v>5779</v>
      </c>
      <c r="C7" s="227" t="s">
        <v>5772</v>
      </c>
      <c r="D7" s="227">
        <v>8.17</v>
      </c>
      <c r="E7" s="561">
        <v>8.08</v>
      </c>
      <c r="F7" s="227">
        <v>8</v>
      </c>
      <c r="G7" s="227">
        <v>0.43</v>
      </c>
      <c r="H7" s="227">
        <v>0</v>
      </c>
      <c r="I7" s="227">
        <v>15</v>
      </c>
      <c r="J7" s="227">
        <v>0</v>
      </c>
      <c r="K7" s="226" t="s">
        <v>1006</v>
      </c>
      <c r="L7" s="227">
        <v>2025</v>
      </c>
      <c r="M7" s="227" t="s">
        <v>1783</v>
      </c>
      <c r="N7" s="228" t="s">
        <v>5780</v>
      </c>
    </row>
    <row r="8" spans="1:14" x14ac:dyDescent="0.2">
      <c r="A8" s="236">
        <v>6</v>
      </c>
      <c r="B8" s="229" t="s">
        <v>5748</v>
      </c>
      <c r="C8" s="230" t="s">
        <v>5749</v>
      </c>
      <c r="D8" s="230">
        <v>8.23</v>
      </c>
      <c r="E8" s="385">
        <v>8.2100000000000009</v>
      </c>
      <c r="F8" s="230">
        <v>8</v>
      </c>
      <c r="G8" s="230">
        <v>1.23</v>
      </c>
      <c r="H8" s="230">
        <v>2</v>
      </c>
      <c r="I8" s="230">
        <v>11</v>
      </c>
      <c r="J8" s="230">
        <v>0</v>
      </c>
      <c r="K8" s="229" t="s">
        <v>5750</v>
      </c>
      <c r="L8" s="230">
        <v>2016</v>
      </c>
      <c r="M8" s="230" t="s">
        <v>1788</v>
      </c>
      <c r="N8" s="231" t="s">
        <v>5682</v>
      </c>
    </row>
    <row r="9" spans="1:14" x14ac:dyDescent="0.2">
      <c r="A9" s="236">
        <v>7</v>
      </c>
      <c r="B9" s="226" t="s">
        <v>5676</v>
      </c>
      <c r="C9" s="227" t="s">
        <v>5683</v>
      </c>
      <c r="D9" s="227">
        <v>8.09</v>
      </c>
      <c r="E9" s="319">
        <v>8</v>
      </c>
      <c r="F9" s="227">
        <v>8</v>
      </c>
      <c r="G9" s="227">
        <v>0.56999999999999995</v>
      </c>
      <c r="H9" s="227">
        <v>0</v>
      </c>
      <c r="I9" s="227">
        <v>16</v>
      </c>
      <c r="J9" s="227">
        <v>0</v>
      </c>
      <c r="K9" s="226" t="s">
        <v>5680</v>
      </c>
      <c r="L9" s="227">
        <v>2017</v>
      </c>
      <c r="M9" s="227" t="s">
        <v>1789</v>
      </c>
      <c r="N9" s="228" t="s">
        <v>5682</v>
      </c>
    </row>
    <row r="10" spans="1:14" x14ac:dyDescent="0.2">
      <c r="A10" s="236">
        <v>8</v>
      </c>
      <c r="B10" s="229" t="s">
        <v>5676</v>
      </c>
      <c r="C10" s="230" t="s">
        <v>5721</v>
      </c>
      <c r="D10" s="230">
        <v>8</v>
      </c>
      <c r="E10" s="404">
        <v>7.96</v>
      </c>
      <c r="F10" s="230">
        <v>8</v>
      </c>
      <c r="G10" s="230">
        <v>0.35</v>
      </c>
      <c r="H10" s="230">
        <v>0</v>
      </c>
      <c r="I10" s="230">
        <v>4</v>
      </c>
      <c r="J10" s="230">
        <v>0</v>
      </c>
      <c r="K10" s="229" t="s">
        <v>5722</v>
      </c>
      <c r="L10" s="230">
        <v>2018</v>
      </c>
      <c r="M10" s="230" t="s">
        <v>2464</v>
      </c>
      <c r="N10" s="231" t="s">
        <v>5682</v>
      </c>
    </row>
    <row r="11" spans="1:14" x14ac:dyDescent="0.2">
      <c r="A11" s="236">
        <v>9</v>
      </c>
      <c r="B11" s="226" t="s">
        <v>5676</v>
      </c>
      <c r="C11" s="227" t="s">
        <v>5723</v>
      </c>
      <c r="D11" s="227">
        <v>7.88</v>
      </c>
      <c r="E11" s="558">
        <v>7.8</v>
      </c>
      <c r="F11" s="227">
        <v>7.75</v>
      </c>
      <c r="G11" s="227">
        <v>0.41</v>
      </c>
      <c r="H11" s="227">
        <v>0</v>
      </c>
      <c r="I11" s="227">
        <v>4</v>
      </c>
      <c r="J11" s="227">
        <v>0</v>
      </c>
      <c r="K11" s="226" t="s">
        <v>5724</v>
      </c>
      <c r="L11" s="227">
        <v>2018</v>
      </c>
      <c r="M11" s="227" t="s">
        <v>5725</v>
      </c>
      <c r="N11" s="228" t="s">
        <v>5682</v>
      </c>
    </row>
    <row r="12" spans="1:14" x14ac:dyDescent="0.2">
      <c r="A12" s="236">
        <v>10</v>
      </c>
      <c r="B12" s="229" t="s">
        <v>5676</v>
      </c>
      <c r="C12" s="230" t="s">
        <v>5718</v>
      </c>
      <c r="D12" s="230">
        <v>8.6300000000000008</v>
      </c>
      <c r="E12" s="295">
        <v>8.5</v>
      </c>
      <c r="F12" s="230">
        <v>8.25</v>
      </c>
      <c r="G12" s="230">
        <v>0.82</v>
      </c>
      <c r="H12" s="230">
        <v>1</v>
      </c>
      <c r="I12" s="230">
        <v>4</v>
      </c>
      <c r="J12" s="230">
        <v>0</v>
      </c>
      <c r="K12" s="229" t="s">
        <v>5719</v>
      </c>
      <c r="L12" s="230">
        <v>2019</v>
      </c>
      <c r="M12" s="230" t="s">
        <v>5720</v>
      </c>
      <c r="N12" s="231" t="s">
        <v>5682</v>
      </c>
    </row>
    <row r="13" spans="1:14" x14ac:dyDescent="0.2">
      <c r="A13" s="236">
        <v>11</v>
      </c>
      <c r="B13" s="226" t="s">
        <v>5609</v>
      </c>
      <c r="C13" s="227" t="s">
        <v>5582</v>
      </c>
      <c r="D13" s="227">
        <v>7.13</v>
      </c>
      <c r="E13" s="548">
        <v>6.97</v>
      </c>
      <c r="F13" s="227">
        <v>7</v>
      </c>
      <c r="G13" s="227">
        <v>1.08</v>
      </c>
      <c r="H13" s="227">
        <v>0</v>
      </c>
      <c r="I13" s="227">
        <v>28</v>
      </c>
      <c r="J13" s="227">
        <v>1</v>
      </c>
      <c r="K13" s="226" t="s">
        <v>5613</v>
      </c>
      <c r="L13" s="227">
        <v>1987</v>
      </c>
      <c r="M13" s="227" t="s">
        <v>2422</v>
      </c>
      <c r="N13" s="228" t="s">
        <v>5614</v>
      </c>
    </row>
    <row r="14" spans="1:14" x14ac:dyDescent="0.2">
      <c r="A14" s="236">
        <v>12</v>
      </c>
      <c r="B14" s="229" t="s">
        <v>5676</v>
      </c>
      <c r="C14" s="230" t="s">
        <v>5678</v>
      </c>
      <c r="D14" s="230">
        <v>8.17</v>
      </c>
      <c r="E14" s="555">
        <v>8.0500000000000007</v>
      </c>
      <c r="F14" s="230">
        <v>8</v>
      </c>
      <c r="G14" s="230">
        <v>0.77</v>
      </c>
      <c r="H14" s="230">
        <v>1</v>
      </c>
      <c r="I14" s="230">
        <v>12</v>
      </c>
      <c r="J14" s="230">
        <v>0</v>
      </c>
      <c r="K14" s="229" t="s">
        <v>5680</v>
      </c>
      <c r="L14" s="230">
        <v>2016</v>
      </c>
      <c r="M14" s="230" t="s">
        <v>1771</v>
      </c>
      <c r="N14" s="231" t="s">
        <v>5614</v>
      </c>
    </row>
    <row r="15" spans="1:14" x14ac:dyDescent="0.2">
      <c r="A15" s="236">
        <v>13</v>
      </c>
      <c r="B15" s="226" t="s">
        <v>5676</v>
      </c>
      <c r="C15" s="227" t="s">
        <v>5677</v>
      </c>
      <c r="D15" s="227">
        <v>8.4</v>
      </c>
      <c r="E15" s="304">
        <v>8.3699999999999992</v>
      </c>
      <c r="F15" s="227">
        <v>8.5</v>
      </c>
      <c r="G15" s="227">
        <v>0.37</v>
      </c>
      <c r="H15" s="227">
        <v>0</v>
      </c>
      <c r="I15" s="227">
        <v>10</v>
      </c>
      <c r="J15" s="227">
        <v>0</v>
      </c>
      <c r="K15" s="226" t="s">
        <v>5680</v>
      </c>
      <c r="L15" s="227">
        <v>2017</v>
      </c>
      <c r="M15" s="227" t="s">
        <v>1771</v>
      </c>
      <c r="N15" s="228" t="s">
        <v>5614</v>
      </c>
    </row>
    <row r="16" spans="1:14" x14ac:dyDescent="0.2">
      <c r="A16" s="236">
        <v>14</v>
      </c>
      <c r="B16" s="229" t="s">
        <v>5608</v>
      </c>
      <c r="C16" s="230" t="s">
        <v>5572</v>
      </c>
      <c r="D16" s="230">
        <v>9</v>
      </c>
      <c r="E16" s="250">
        <v>9.09</v>
      </c>
      <c r="F16" s="230">
        <v>9</v>
      </c>
      <c r="G16" s="230">
        <v>0.73</v>
      </c>
      <c r="H16" s="230">
        <v>3</v>
      </c>
      <c r="I16" s="230">
        <v>17</v>
      </c>
      <c r="J16" s="230">
        <v>2</v>
      </c>
      <c r="K16" s="229" t="s">
        <v>5612</v>
      </c>
      <c r="L16" s="230">
        <v>1998</v>
      </c>
      <c r="M16" s="230" t="s">
        <v>1769</v>
      </c>
      <c r="N16" s="231" t="s">
        <v>5615</v>
      </c>
    </row>
    <row r="17" spans="1:14" x14ac:dyDescent="0.2">
      <c r="A17" s="236">
        <v>15</v>
      </c>
      <c r="B17" s="226" t="s">
        <v>5551</v>
      </c>
      <c r="C17" s="227" t="s">
        <v>5552</v>
      </c>
      <c r="D17" s="227">
        <v>3.88</v>
      </c>
      <c r="E17" s="334">
        <v>3.65</v>
      </c>
      <c r="F17" s="227">
        <v>4</v>
      </c>
      <c r="G17" s="227">
        <v>1.98</v>
      </c>
      <c r="H17" s="227">
        <v>0</v>
      </c>
      <c r="I17" s="227">
        <v>12</v>
      </c>
      <c r="J17" s="227">
        <v>0</v>
      </c>
      <c r="K17" s="226" t="s">
        <v>1007</v>
      </c>
      <c r="L17" s="227">
        <v>2017</v>
      </c>
      <c r="M17" s="227" t="s">
        <v>1802</v>
      </c>
      <c r="N17" s="228" t="s">
        <v>5560</v>
      </c>
    </row>
    <row r="18" spans="1:14" x14ac:dyDescent="0.2">
      <c r="A18" s="236">
        <v>16</v>
      </c>
      <c r="B18" s="229" t="s">
        <v>2898</v>
      </c>
      <c r="C18" s="230" t="s">
        <v>5507</v>
      </c>
      <c r="D18" s="230">
        <v>8.56</v>
      </c>
      <c r="E18" s="370">
        <v>8.48</v>
      </c>
      <c r="F18" s="230">
        <v>8.5</v>
      </c>
      <c r="G18" s="230">
        <v>0.68</v>
      </c>
      <c r="H18" s="230">
        <v>1</v>
      </c>
      <c r="I18" s="230">
        <v>9</v>
      </c>
      <c r="J18" s="230">
        <v>0</v>
      </c>
      <c r="K18" s="229" t="s">
        <v>2900</v>
      </c>
      <c r="L18" s="230">
        <v>1985</v>
      </c>
      <c r="M18" s="230" t="s">
        <v>1795</v>
      </c>
      <c r="N18" s="231" t="s">
        <v>5512</v>
      </c>
    </row>
    <row r="19" spans="1:14" x14ac:dyDescent="0.2">
      <c r="A19" s="236">
        <v>17</v>
      </c>
      <c r="B19" s="226" t="s">
        <v>2697</v>
      </c>
      <c r="C19" s="227" t="s">
        <v>5534</v>
      </c>
      <c r="D19" s="227">
        <v>8.4</v>
      </c>
      <c r="E19" s="305">
        <v>8.34</v>
      </c>
      <c r="F19" s="227">
        <v>8.5</v>
      </c>
      <c r="G19" s="227">
        <v>0.71</v>
      </c>
      <c r="H19" s="227">
        <v>1</v>
      </c>
      <c r="I19" s="227">
        <v>17</v>
      </c>
      <c r="J19" s="227">
        <v>2</v>
      </c>
      <c r="K19" s="226" t="s">
        <v>1715</v>
      </c>
      <c r="L19" s="227">
        <v>2013</v>
      </c>
      <c r="M19" s="227" t="s">
        <v>1799</v>
      </c>
      <c r="N19" s="228" t="s">
        <v>5512</v>
      </c>
    </row>
    <row r="20" spans="1:14" x14ac:dyDescent="0.2">
      <c r="A20" s="236">
        <v>18</v>
      </c>
      <c r="B20" s="229" t="s">
        <v>5493</v>
      </c>
      <c r="C20" s="230" t="s">
        <v>5494</v>
      </c>
      <c r="D20" s="230">
        <v>8.91</v>
      </c>
      <c r="E20" s="263">
        <v>8.8800000000000008</v>
      </c>
      <c r="F20" s="230">
        <v>9</v>
      </c>
      <c r="G20" s="230">
        <v>0.56000000000000005</v>
      </c>
      <c r="H20" s="230">
        <v>1</v>
      </c>
      <c r="I20" s="230">
        <v>11</v>
      </c>
      <c r="J20" s="230">
        <v>0</v>
      </c>
      <c r="K20" s="229" t="s">
        <v>5498</v>
      </c>
      <c r="L20" s="230">
        <v>2003</v>
      </c>
      <c r="M20" s="230" t="s">
        <v>1789</v>
      </c>
      <c r="N20" s="231" t="s">
        <v>5499</v>
      </c>
    </row>
    <row r="21" spans="1:14" x14ac:dyDescent="0.2">
      <c r="A21" s="236">
        <v>19</v>
      </c>
      <c r="B21" s="226" t="s">
        <v>4567</v>
      </c>
      <c r="C21" s="227" t="s">
        <v>5478</v>
      </c>
      <c r="D21" s="227">
        <v>8.36</v>
      </c>
      <c r="E21" s="407">
        <v>8.31</v>
      </c>
      <c r="F21" s="227">
        <v>8.5</v>
      </c>
      <c r="G21" s="227">
        <v>0.74</v>
      </c>
      <c r="H21" s="227">
        <v>1</v>
      </c>
      <c r="I21" s="227">
        <v>14</v>
      </c>
      <c r="J21" s="227">
        <v>3</v>
      </c>
      <c r="K21" s="226" t="s">
        <v>5479</v>
      </c>
      <c r="L21" s="227">
        <v>2026</v>
      </c>
      <c r="M21" s="227" t="s">
        <v>1806</v>
      </c>
      <c r="N21" s="228" t="s">
        <v>5480</v>
      </c>
    </row>
    <row r="22" spans="1:14" x14ac:dyDescent="0.2">
      <c r="A22" s="236">
        <v>20</v>
      </c>
      <c r="B22" s="229" t="s">
        <v>5451</v>
      </c>
      <c r="C22" s="230" t="s">
        <v>5452</v>
      </c>
      <c r="D22" s="230">
        <v>9.25</v>
      </c>
      <c r="E22" s="452">
        <v>9.33</v>
      </c>
      <c r="F22" s="230">
        <v>9</v>
      </c>
      <c r="G22" s="230">
        <v>0.75</v>
      </c>
      <c r="H22" s="230">
        <v>3</v>
      </c>
      <c r="I22" s="230">
        <v>8</v>
      </c>
      <c r="J22" s="230">
        <v>0</v>
      </c>
      <c r="K22" s="229" t="s">
        <v>5460</v>
      </c>
      <c r="L22" s="230">
        <v>2003</v>
      </c>
      <c r="M22" s="230" t="s">
        <v>1789</v>
      </c>
      <c r="N22" s="231" t="s">
        <v>5461</v>
      </c>
    </row>
    <row r="23" spans="1:14" x14ac:dyDescent="0.2">
      <c r="A23" s="236">
        <v>21</v>
      </c>
      <c r="B23" s="226" t="s">
        <v>5425</v>
      </c>
      <c r="C23" s="227" t="s">
        <v>5426</v>
      </c>
      <c r="D23" s="227">
        <v>8.75</v>
      </c>
      <c r="E23" s="283">
        <v>8.64</v>
      </c>
      <c r="F23" s="227">
        <v>8.5</v>
      </c>
      <c r="G23" s="227">
        <v>0.6</v>
      </c>
      <c r="H23" s="227">
        <v>1</v>
      </c>
      <c r="I23" s="227">
        <v>10</v>
      </c>
      <c r="J23" s="227">
        <v>0</v>
      </c>
      <c r="K23" s="226" t="s">
        <v>5429</v>
      </c>
      <c r="L23" s="227">
        <v>1976</v>
      </c>
      <c r="M23" s="227" t="s">
        <v>2425</v>
      </c>
      <c r="N23" s="228" t="s">
        <v>5430</v>
      </c>
    </row>
    <row r="24" spans="1:14" x14ac:dyDescent="0.2">
      <c r="A24" s="236">
        <v>22</v>
      </c>
      <c r="B24" s="229" t="s">
        <v>5436</v>
      </c>
      <c r="C24" s="230" t="s">
        <v>5437</v>
      </c>
      <c r="D24" s="230">
        <v>9</v>
      </c>
      <c r="E24" s="253">
        <v>9.0299999999999994</v>
      </c>
      <c r="F24" s="230">
        <v>8.75</v>
      </c>
      <c r="G24" s="230">
        <v>0.94</v>
      </c>
      <c r="H24" s="230">
        <v>1</v>
      </c>
      <c r="I24" s="230">
        <v>4</v>
      </c>
      <c r="J24" s="230">
        <v>0</v>
      </c>
      <c r="K24" s="229" t="s">
        <v>5441</v>
      </c>
      <c r="L24" s="230">
        <v>1973</v>
      </c>
      <c r="M24" s="230" t="s">
        <v>1771</v>
      </c>
      <c r="N24" s="231" t="s">
        <v>5430</v>
      </c>
    </row>
    <row r="25" spans="1:14" x14ac:dyDescent="0.2">
      <c r="A25" s="236">
        <v>23</v>
      </c>
      <c r="B25" s="226" t="s">
        <v>5411</v>
      </c>
      <c r="C25" s="227" t="s">
        <v>5412</v>
      </c>
      <c r="D25" s="227">
        <v>8.4700000000000006</v>
      </c>
      <c r="E25" s="302">
        <v>8.39</v>
      </c>
      <c r="F25" s="227">
        <v>8.5</v>
      </c>
      <c r="G25" s="227">
        <v>0.77</v>
      </c>
      <c r="H25" s="227">
        <v>1</v>
      </c>
      <c r="I25" s="227">
        <v>19</v>
      </c>
      <c r="J25" s="227">
        <v>0</v>
      </c>
      <c r="K25" s="226" t="s">
        <v>1011</v>
      </c>
      <c r="L25" s="227">
        <v>2012</v>
      </c>
      <c r="M25" s="227" t="s">
        <v>1821</v>
      </c>
      <c r="N25" s="228" t="s">
        <v>5413</v>
      </c>
    </row>
    <row r="26" spans="1:14" x14ac:dyDescent="0.2">
      <c r="A26" s="236">
        <v>24</v>
      </c>
      <c r="B26" s="229" t="s">
        <v>5387</v>
      </c>
      <c r="C26" s="230" t="s">
        <v>5383</v>
      </c>
      <c r="D26" s="230">
        <v>8.8000000000000007</v>
      </c>
      <c r="E26" s="336">
        <v>8.69</v>
      </c>
      <c r="F26" s="230">
        <v>8.5</v>
      </c>
      <c r="G26" s="230">
        <v>0.73</v>
      </c>
      <c r="H26" s="230">
        <v>3</v>
      </c>
      <c r="I26" s="230">
        <v>16</v>
      </c>
      <c r="J26" s="230">
        <v>1</v>
      </c>
      <c r="K26" s="229" t="s">
        <v>5388</v>
      </c>
      <c r="L26" s="230">
        <v>1998</v>
      </c>
      <c r="M26" s="230" t="s">
        <v>1768</v>
      </c>
      <c r="N26" s="231" t="s">
        <v>5389</v>
      </c>
    </row>
    <row r="27" spans="1:14" x14ac:dyDescent="0.2">
      <c r="A27" s="236">
        <v>25</v>
      </c>
      <c r="B27" s="226" t="s">
        <v>5363</v>
      </c>
      <c r="C27" s="227" t="s">
        <v>5360</v>
      </c>
      <c r="D27" s="227">
        <v>8.6</v>
      </c>
      <c r="E27" s="363">
        <v>8.51</v>
      </c>
      <c r="F27" s="227">
        <v>8.5</v>
      </c>
      <c r="G27" s="227">
        <v>0.57999999999999996</v>
      </c>
      <c r="H27" s="227">
        <v>0</v>
      </c>
      <c r="I27" s="227">
        <v>7</v>
      </c>
      <c r="J27" s="227">
        <v>2</v>
      </c>
      <c r="K27" s="226" t="s">
        <v>5366</v>
      </c>
      <c r="L27" s="227">
        <v>2026</v>
      </c>
      <c r="M27" s="227" t="s">
        <v>1783</v>
      </c>
      <c r="N27" s="228" t="s">
        <v>5367</v>
      </c>
    </row>
    <row r="28" spans="1:14" x14ac:dyDescent="0.2">
      <c r="A28" s="236">
        <v>26</v>
      </c>
      <c r="B28" s="229" t="s">
        <v>5335</v>
      </c>
      <c r="C28" s="230" t="s">
        <v>5336</v>
      </c>
      <c r="D28" s="230">
        <v>8.75</v>
      </c>
      <c r="E28" s="336">
        <v>8.69</v>
      </c>
      <c r="F28" s="230">
        <v>8.75</v>
      </c>
      <c r="G28" s="230">
        <v>0.9</v>
      </c>
      <c r="H28" s="230">
        <v>1</v>
      </c>
      <c r="I28" s="230">
        <v>4</v>
      </c>
      <c r="J28" s="230">
        <v>0</v>
      </c>
      <c r="K28" s="229" t="s">
        <v>5337</v>
      </c>
      <c r="L28" s="230">
        <v>2011</v>
      </c>
      <c r="M28" s="230" t="s">
        <v>5338</v>
      </c>
      <c r="N28" s="231" t="s">
        <v>5339</v>
      </c>
    </row>
    <row r="29" spans="1:14" x14ac:dyDescent="0.2">
      <c r="A29" s="236">
        <v>27</v>
      </c>
      <c r="B29" s="226" t="s">
        <v>5362</v>
      </c>
      <c r="C29" s="227" t="s">
        <v>5345</v>
      </c>
      <c r="D29" s="227">
        <v>8.65</v>
      </c>
      <c r="E29" s="290">
        <v>8.56</v>
      </c>
      <c r="F29" s="227">
        <v>8.5</v>
      </c>
      <c r="G29" s="227">
        <v>0.63</v>
      </c>
      <c r="H29" s="227">
        <v>1</v>
      </c>
      <c r="I29" s="227">
        <v>13</v>
      </c>
      <c r="J29" s="227">
        <v>3</v>
      </c>
      <c r="K29" s="226" t="s">
        <v>5390</v>
      </c>
      <c r="L29" s="227">
        <v>1990</v>
      </c>
      <c r="M29" s="227" t="s">
        <v>1777</v>
      </c>
      <c r="N29" s="228" t="s">
        <v>5339</v>
      </c>
    </row>
    <row r="30" spans="1:14" x14ac:dyDescent="0.2">
      <c r="A30" s="236">
        <v>28</v>
      </c>
      <c r="B30" s="229" t="s">
        <v>4530</v>
      </c>
      <c r="C30" s="230" t="s">
        <v>5300</v>
      </c>
      <c r="D30" s="230">
        <v>8.92</v>
      </c>
      <c r="E30" s="256">
        <v>8.9700000000000006</v>
      </c>
      <c r="F30" s="230">
        <v>8.75</v>
      </c>
      <c r="G30" s="230">
        <v>0.79</v>
      </c>
      <c r="H30" s="230">
        <v>1</v>
      </c>
      <c r="I30" s="230">
        <v>6</v>
      </c>
      <c r="J30" s="230">
        <v>0</v>
      </c>
      <c r="K30" s="229" t="s">
        <v>988</v>
      </c>
      <c r="L30" s="230">
        <v>2011</v>
      </c>
      <c r="M30" s="230" t="s">
        <v>1802</v>
      </c>
      <c r="N30" s="231" t="s">
        <v>5302</v>
      </c>
    </row>
    <row r="31" spans="1:14" x14ac:dyDescent="0.2">
      <c r="A31" s="236">
        <v>29</v>
      </c>
      <c r="B31" s="226" t="s">
        <v>5244</v>
      </c>
      <c r="C31" s="227" t="s">
        <v>5245</v>
      </c>
      <c r="D31" s="227">
        <v>8.65</v>
      </c>
      <c r="E31" s="336">
        <v>8.69</v>
      </c>
      <c r="F31" s="227">
        <v>8.5</v>
      </c>
      <c r="G31" s="227">
        <v>0.8</v>
      </c>
      <c r="H31" s="227">
        <v>3</v>
      </c>
      <c r="I31" s="227">
        <v>28</v>
      </c>
      <c r="J31" s="227">
        <v>4</v>
      </c>
      <c r="K31" s="226" t="s">
        <v>1442</v>
      </c>
      <c r="L31" s="227">
        <v>2019</v>
      </c>
      <c r="M31" s="227" t="s">
        <v>2971</v>
      </c>
      <c r="N31" s="228" t="s">
        <v>5249</v>
      </c>
    </row>
    <row r="32" spans="1:14" x14ac:dyDescent="0.2">
      <c r="A32" s="236">
        <v>30</v>
      </c>
      <c r="B32" s="229" t="s">
        <v>5242</v>
      </c>
      <c r="C32" s="230" t="s">
        <v>5243</v>
      </c>
      <c r="D32" s="230">
        <v>8.23</v>
      </c>
      <c r="E32" s="526">
        <v>8.1</v>
      </c>
      <c r="F32" s="230">
        <v>8</v>
      </c>
      <c r="G32" s="230">
        <v>0.84</v>
      </c>
      <c r="H32" s="230">
        <v>1</v>
      </c>
      <c r="I32" s="230">
        <v>11</v>
      </c>
      <c r="J32" s="230">
        <v>0</v>
      </c>
      <c r="K32" s="229" t="s">
        <v>4205</v>
      </c>
      <c r="L32" s="230">
        <v>2010</v>
      </c>
      <c r="M32" s="230" t="s">
        <v>1765</v>
      </c>
      <c r="N32" s="231" t="s">
        <v>5250</v>
      </c>
    </row>
    <row r="33" spans="1:14" x14ac:dyDescent="0.2">
      <c r="A33" s="236">
        <v>31</v>
      </c>
      <c r="B33" s="226" t="s">
        <v>315</v>
      </c>
      <c r="C33" s="227" t="s">
        <v>4932</v>
      </c>
      <c r="D33" s="227">
        <v>7.14</v>
      </c>
      <c r="E33" s="515">
        <v>6.98</v>
      </c>
      <c r="F33" s="227">
        <v>7</v>
      </c>
      <c r="G33" s="227">
        <v>1.07</v>
      </c>
      <c r="H33" s="227">
        <v>0</v>
      </c>
      <c r="I33" s="227">
        <v>12</v>
      </c>
      <c r="J33" s="227">
        <v>1</v>
      </c>
      <c r="K33" s="226" t="s">
        <v>5147</v>
      </c>
      <c r="L33" s="227">
        <v>2007</v>
      </c>
      <c r="M33" s="227" t="s">
        <v>1802</v>
      </c>
      <c r="N33" s="228" t="s">
        <v>5148</v>
      </c>
    </row>
    <row r="34" spans="1:14" x14ac:dyDescent="0.2">
      <c r="A34" s="236">
        <v>32</v>
      </c>
      <c r="B34" s="229" t="s">
        <v>1330</v>
      </c>
      <c r="C34" s="230" t="s">
        <v>5163</v>
      </c>
      <c r="D34" s="230">
        <v>8.56</v>
      </c>
      <c r="E34" s="295">
        <v>8.5</v>
      </c>
      <c r="F34" s="230">
        <v>8.5</v>
      </c>
      <c r="G34" s="230">
        <v>0.63</v>
      </c>
      <c r="H34" s="230">
        <v>1</v>
      </c>
      <c r="I34" s="230">
        <v>8</v>
      </c>
      <c r="J34" s="230">
        <v>0</v>
      </c>
      <c r="K34" s="229" t="s">
        <v>5164</v>
      </c>
      <c r="L34" s="230">
        <v>1999</v>
      </c>
      <c r="M34" s="230" t="s">
        <v>1799</v>
      </c>
      <c r="N34" s="231" t="s">
        <v>5148</v>
      </c>
    </row>
    <row r="35" spans="1:14" x14ac:dyDescent="0.2">
      <c r="A35" s="236">
        <v>33</v>
      </c>
      <c r="B35" s="226" t="s">
        <v>4914</v>
      </c>
      <c r="C35" s="227" t="s">
        <v>4915</v>
      </c>
      <c r="D35" s="227">
        <v>9</v>
      </c>
      <c r="E35" s="256">
        <v>8.9700000000000006</v>
      </c>
      <c r="F35" s="227">
        <v>9</v>
      </c>
      <c r="G35" s="227">
        <v>0.55000000000000004</v>
      </c>
      <c r="H35" s="227">
        <v>1</v>
      </c>
      <c r="I35" s="227">
        <v>5</v>
      </c>
      <c r="J35" s="227">
        <v>0</v>
      </c>
      <c r="K35" s="226" t="s">
        <v>987</v>
      </c>
      <c r="L35" s="227">
        <v>1975</v>
      </c>
      <c r="M35" s="227" t="s">
        <v>1766</v>
      </c>
      <c r="N35" s="228" t="s">
        <v>4916</v>
      </c>
    </row>
    <row r="36" spans="1:14" x14ac:dyDescent="0.2">
      <c r="A36" s="236">
        <v>34</v>
      </c>
      <c r="B36" s="229" t="s">
        <v>699</v>
      </c>
      <c r="C36" s="230" t="s">
        <v>4818</v>
      </c>
      <c r="D36" s="230">
        <v>8.25</v>
      </c>
      <c r="E36" s="313">
        <v>8.18</v>
      </c>
      <c r="F36" s="230">
        <v>8.25</v>
      </c>
      <c r="G36" s="230">
        <v>0.6</v>
      </c>
      <c r="H36" s="230">
        <v>0</v>
      </c>
      <c r="I36" s="230">
        <v>12</v>
      </c>
      <c r="J36" s="230">
        <v>0</v>
      </c>
      <c r="K36" s="229" t="s">
        <v>4836</v>
      </c>
      <c r="L36" s="230">
        <v>2026</v>
      </c>
      <c r="M36" s="230" t="s">
        <v>1769</v>
      </c>
      <c r="N36" s="231" t="s">
        <v>4837</v>
      </c>
    </row>
    <row r="37" spans="1:14" x14ac:dyDescent="0.2">
      <c r="A37" s="236">
        <v>35</v>
      </c>
      <c r="B37" s="226" t="s">
        <v>545</v>
      </c>
      <c r="C37" s="227" t="s">
        <v>4816</v>
      </c>
      <c r="D37" s="227">
        <v>8.81</v>
      </c>
      <c r="E37" s="336">
        <v>8.69</v>
      </c>
      <c r="F37" s="227">
        <v>8.5</v>
      </c>
      <c r="G37" s="227">
        <v>0.7</v>
      </c>
      <c r="H37" s="227">
        <v>1</v>
      </c>
      <c r="I37" s="227">
        <v>8</v>
      </c>
      <c r="J37" s="227">
        <v>0</v>
      </c>
      <c r="K37" s="226" t="s">
        <v>777</v>
      </c>
      <c r="L37" s="227">
        <v>1980</v>
      </c>
      <c r="M37" s="227" t="s">
        <v>1795</v>
      </c>
      <c r="N37" s="228" t="s">
        <v>4817</v>
      </c>
    </row>
    <row r="38" spans="1:14" x14ac:dyDescent="0.2">
      <c r="A38" s="236">
        <v>36</v>
      </c>
      <c r="B38" s="229" t="s">
        <v>4799</v>
      </c>
      <c r="C38" s="230" t="s">
        <v>4800</v>
      </c>
      <c r="D38" s="230">
        <v>8.9600000000000009</v>
      </c>
      <c r="E38" s="556">
        <v>9.01</v>
      </c>
      <c r="F38" s="230">
        <v>8.75</v>
      </c>
      <c r="G38" s="230">
        <v>0.83</v>
      </c>
      <c r="H38" s="230">
        <v>3</v>
      </c>
      <c r="I38" s="230">
        <v>12</v>
      </c>
      <c r="J38" s="230">
        <v>0</v>
      </c>
      <c r="K38" s="229" t="s">
        <v>989</v>
      </c>
      <c r="L38" s="230">
        <v>2002</v>
      </c>
      <c r="M38" s="230" t="s">
        <v>1765</v>
      </c>
      <c r="N38" s="231" t="s">
        <v>4802</v>
      </c>
    </row>
    <row r="39" spans="1:14" x14ac:dyDescent="0.2">
      <c r="A39" s="236">
        <v>37</v>
      </c>
      <c r="B39" s="226" t="s">
        <v>795</v>
      </c>
      <c r="C39" s="227" t="s">
        <v>4757</v>
      </c>
      <c r="D39" s="227">
        <v>8.0299999999999994</v>
      </c>
      <c r="E39" s="322">
        <v>7.94</v>
      </c>
      <c r="F39" s="227">
        <v>8</v>
      </c>
      <c r="G39" s="227">
        <v>0.78</v>
      </c>
      <c r="H39" s="227">
        <v>1</v>
      </c>
      <c r="I39" s="227">
        <v>17</v>
      </c>
      <c r="J39" s="227">
        <v>0</v>
      </c>
      <c r="K39" s="226" t="s">
        <v>4801</v>
      </c>
      <c r="L39" s="227">
        <v>2004</v>
      </c>
      <c r="M39" s="227" t="s">
        <v>1792</v>
      </c>
      <c r="N39" s="228" t="s">
        <v>4759</v>
      </c>
    </row>
    <row r="40" spans="1:14" x14ac:dyDescent="0.2">
      <c r="A40" s="236">
        <v>38</v>
      </c>
      <c r="B40" s="229" t="s">
        <v>4756</v>
      </c>
      <c r="C40" s="230" t="s">
        <v>4755</v>
      </c>
      <c r="D40" s="230">
        <v>8.83</v>
      </c>
      <c r="E40" s="277">
        <v>8.7100000000000009</v>
      </c>
      <c r="F40" s="230">
        <v>8.5</v>
      </c>
      <c r="G40" s="230">
        <v>0.47</v>
      </c>
      <c r="H40" s="230">
        <v>0</v>
      </c>
      <c r="I40" s="230">
        <v>3</v>
      </c>
      <c r="J40" s="230">
        <v>0</v>
      </c>
      <c r="K40" s="229" t="s">
        <v>4758</v>
      </c>
      <c r="L40" s="230">
        <v>1984</v>
      </c>
      <c r="M40" s="230" t="s">
        <v>1786</v>
      </c>
      <c r="N40" s="231" t="s">
        <v>4759</v>
      </c>
    </row>
    <row r="41" spans="1:14" x14ac:dyDescent="0.2">
      <c r="A41" s="236">
        <v>39</v>
      </c>
      <c r="B41" s="226" t="s">
        <v>1727</v>
      </c>
      <c r="C41" s="227" t="s">
        <v>4769</v>
      </c>
      <c r="D41" s="227">
        <v>8.3800000000000008</v>
      </c>
      <c r="E41" s="305">
        <v>8.34</v>
      </c>
      <c r="F41" s="227">
        <v>8.5</v>
      </c>
      <c r="G41" s="227">
        <v>0.48</v>
      </c>
      <c r="H41" s="227">
        <v>0</v>
      </c>
      <c r="I41" s="227">
        <v>8</v>
      </c>
      <c r="J41" s="227">
        <v>0</v>
      </c>
      <c r="K41" s="226" t="s">
        <v>4770</v>
      </c>
      <c r="L41" s="227">
        <v>2017</v>
      </c>
      <c r="M41" s="227" t="s">
        <v>4771</v>
      </c>
      <c r="N41" s="228" t="s">
        <v>4759</v>
      </c>
    </row>
    <row r="42" spans="1:14" x14ac:dyDescent="0.2">
      <c r="A42" s="236">
        <v>40</v>
      </c>
      <c r="B42" s="229" t="s">
        <v>4781</v>
      </c>
      <c r="C42" s="230" t="s">
        <v>4782</v>
      </c>
      <c r="D42" s="230">
        <v>8.42</v>
      </c>
      <c r="E42" s="407">
        <v>8.31</v>
      </c>
      <c r="F42" s="230">
        <v>8.25</v>
      </c>
      <c r="G42" s="230">
        <v>0.89</v>
      </c>
      <c r="H42" s="230">
        <v>1</v>
      </c>
      <c r="I42" s="230">
        <v>6</v>
      </c>
      <c r="J42" s="230">
        <v>0</v>
      </c>
      <c r="K42" s="229" t="s">
        <v>4785</v>
      </c>
      <c r="L42" s="230">
        <v>1996</v>
      </c>
      <c r="M42" s="230" t="s">
        <v>1817</v>
      </c>
      <c r="N42" s="231" t="s">
        <v>4759</v>
      </c>
    </row>
    <row r="43" spans="1:14" x14ac:dyDescent="0.2">
      <c r="A43" s="236">
        <v>41</v>
      </c>
      <c r="B43" s="226" t="s">
        <v>4723</v>
      </c>
      <c r="C43" s="227" t="s">
        <v>4722</v>
      </c>
      <c r="D43" s="227">
        <v>8.91</v>
      </c>
      <c r="E43" s="270">
        <v>8.7899999999999991</v>
      </c>
      <c r="F43" s="227">
        <v>8.5</v>
      </c>
      <c r="G43" s="227">
        <v>0.73</v>
      </c>
      <c r="H43" s="227">
        <v>3</v>
      </c>
      <c r="I43" s="227">
        <v>11</v>
      </c>
      <c r="J43" s="227">
        <v>0</v>
      </c>
      <c r="K43" s="226" t="s">
        <v>4725</v>
      </c>
      <c r="L43" s="227">
        <v>2020</v>
      </c>
      <c r="M43" s="227" t="s">
        <v>1795</v>
      </c>
      <c r="N43" s="228" t="s">
        <v>4726</v>
      </c>
    </row>
    <row r="44" spans="1:14" x14ac:dyDescent="0.2">
      <c r="A44" s="236">
        <v>42</v>
      </c>
      <c r="B44" s="229" t="s">
        <v>4718</v>
      </c>
      <c r="C44" s="230" t="s">
        <v>4719</v>
      </c>
      <c r="D44" s="230">
        <v>8.35</v>
      </c>
      <c r="E44" s="311">
        <v>8.2200000000000006</v>
      </c>
      <c r="F44" s="230">
        <v>8</v>
      </c>
      <c r="G44" s="230">
        <v>0.5</v>
      </c>
      <c r="H44" s="230">
        <v>0</v>
      </c>
      <c r="I44" s="230">
        <v>10</v>
      </c>
      <c r="J44" s="230">
        <v>0</v>
      </c>
      <c r="K44" s="229" t="s">
        <v>4605</v>
      </c>
      <c r="L44" s="230">
        <v>1997</v>
      </c>
      <c r="M44" s="230" t="s">
        <v>1780</v>
      </c>
      <c r="N44" s="231" t="s">
        <v>4724</v>
      </c>
    </row>
    <row r="45" spans="1:14" x14ac:dyDescent="0.2">
      <c r="A45" s="236">
        <v>43</v>
      </c>
      <c r="B45" s="226" t="s">
        <v>4720</v>
      </c>
      <c r="C45" s="227" t="s">
        <v>4701</v>
      </c>
      <c r="D45" s="227">
        <v>8.65</v>
      </c>
      <c r="E45" s="336">
        <v>8.69</v>
      </c>
      <c r="F45" s="227">
        <v>8.5</v>
      </c>
      <c r="G45" s="227">
        <v>0.98</v>
      </c>
      <c r="H45" s="227">
        <v>2</v>
      </c>
      <c r="I45" s="227">
        <v>10</v>
      </c>
      <c r="J45" s="227">
        <v>0</v>
      </c>
      <c r="K45" s="226" t="s">
        <v>4727</v>
      </c>
      <c r="L45" s="227">
        <v>1971</v>
      </c>
      <c r="M45" s="227" t="s">
        <v>1783</v>
      </c>
      <c r="N45" s="228" t="s">
        <v>4728</v>
      </c>
    </row>
    <row r="46" spans="1:14" x14ac:dyDescent="0.2">
      <c r="A46" s="236">
        <v>44</v>
      </c>
      <c r="B46" s="229" t="s">
        <v>4721</v>
      </c>
      <c r="C46" s="230" t="s">
        <v>891</v>
      </c>
      <c r="D46" s="230">
        <v>8.6</v>
      </c>
      <c r="E46" s="294">
        <v>8.52</v>
      </c>
      <c r="F46" s="230">
        <v>8.5</v>
      </c>
      <c r="G46" s="230">
        <v>0.62</v>
      </c>
      <c r="H46" s="230">
        <v>1</v>
      </c>
      <c r="I46" s="230">
        <v>10</v>
      </c>
      <c r="J46" s="230">
        <v>0</v>
      </c>
      <c r="K46" s="229" t="s">
        <v>1082</v>
      </c>
      <c r="L46" s="230">
        <v>2012</v>
      </c>
      <c r="M46" s="230" t="s">
        <v>4113</v>
      </c>
      <c r="N46" s="231" t="s">
        <v>4729</v>
      </c>
    </row>
    <row r="47" spans="1:14" x14ac:dyDescent="0.2">
      <c r="A47" s="236">
        <v>45</v>
      </c>
      <c r="B47" s="226" t="s">
        <v>2841</v>
      </c>
      <c r="C47" s="227" t="s">
        <v>4650</v>
      </c>
      <c r="D47" s="227">
        <v>8.82</v>
      </c>
      <c r="E47" s="277">
        <v>8.7100000000000009</v>
      </c>
      <c r="F47" s="227">
        <v>8.5</v>
      </c>
      <c r="G47" s="227">
        <v>0.68</v>
      </c>
      <c r="H47" s="227">
        <v>2</v>
      </c>
      <c r="I47" s="227">
        <v>11</v>
      </c>
      <c r="J47" s="227">
        <v>0</v>
      </c>
      <c r="K47" s="226" t="s">
        <v>731</v>
      </c>
      <c r="L47" s="227">
        <v>2010</v>
      </c>
      <c r="M47" s="227" t="s">
        <v>1771</v>
      </c>
      <c r="N47" s="228" t="s">
        <v>4662</v>
      </c>
    </row>
    <row r="48" spans="1:14" x14ac:dyDescent="0.2">
      <c r="A48" s="236">
        <v>46</v>
      </c>
      <c r="B48" s="229" t="s">
        <v>4671</v>
      </c>
      <c r="C48" s="230" t="s">
        <v>4672</v>
      </c>
      <c r="D48" s="230">
        <v>9.08</v>
      </c>
      <c r="E48" s="253">
        <v>9.0299999999999994</v>
      </c>
      <c r="F48" s="230">
        <v>9</v>
      </c>
      <c r="G48" s="230">
        <v>0.84</v>
      </c>
      <c r="H48" s="230">
        <v>2</v>
      </c>
      <c r="I48" s="230">
        <v>6</v>
      </c>
      <c r="J48" s="230">
        <v>0</v>
      </c>
      <c r="K48" s="229" t="s">
        <v>987</v>
      </c>
      <c r="L48" s="230">
        <v>2021</v>
      </c>
      <c r="M48" s="230" t="s">
        <v>1802</v>
      </c>
      <c r="N48" s="231" t="s">
        <v>4662</v>
      </c>
    </row>
    <row r="49" spans="1:14" x14ac:dyDescent="0.2">
      <c r="A49" s="236">
        <v>47</v>
      </c>
      <c r="B49" s="226" t="s">
        <v>3380</v>
      </c>
      <c r="C49" s="227" t="s">
        <v>4641</v>
      </c>
      <c r="D49" s="227">
        <v>8.92</v>
      </c>
      <c r="E49" s="267">
        <v>8.83</v>
      </c>
      <c r="F49" s="227">
        <v>8.75</v>
      </c>
      <c r="G49" s="227">
        <v>0.45</v>
      </c>
      <c r="H49" s="227">
        <v>0</v>
      </c>
      <c r="I49" s="227">
        <v>6</v>
      </c>
      <c r="J49" s="227">
        <v>0</v>
      </c>
      <c r="K49" s="226" t="s">
        <v>3382</v>
      </c>
      <c r="L49" s="227">
        <v>1991</v>
      </c>
      <c r="M49" s="227" t="s">
        <v>1766</v>
      </c>
      <c r="N49" s="228" t="s">
        <v>4644</v>
      </c>
    </row>
    <row r="50" spans="1:14" x14ac:dyDescent="0.2">
      <c r="A50" s="236">
        <v>48</v>
      </c>
      <c r="B50" s="229" t="s">
        <v>4642</v>
      </c>
      <c r="C50" s="230" t="s">
        <v>4642</v>
      </c>
      <c r="D50" s="230">
        <v>8.35</v>
      </c>
      <c r="E50" s="491">
        <v>8.19</v>
      </c>
      <c r="F50" s="230">
        <v>8</v>
      </c>
      <c r="G50" s="230">
        <v>0.87</v>
      </c>
      <c r="H50" s="230">
        <v>1</v>
      </c>
      <c r="I50" s="230">
        <v>10</v>
      </c>
      <c r="J50" s="230">
        <v>0</v>
      </c>
      <c r="K50" s="229" t="s">
        <v>4645</v>
      </c>
      <c r="L50" s="230">
        <v>1994</v>
      </c>
      <c r="M50" s="230" t="s">
        <v>1771</v>
      </c>
      <c r="N50" s="231" t="s">
        <v>4644</v>
      </c>
    </row>
    <row r="51" spans="1:14" x14ac:dyDescent="0.2">
      <c r="A51" s="236">
        <v>49</v>
      </c>
      <c r="B51" s="226" t="s">
        <v>2898</v>
      </c>
      <c r="C51" s="227" t="s">
        <v>2898</v>
      </c>
      <c r="D51" s="227">
        <v>8.68</v>
      </c>
      <c r="E51" s="337">
        <v>8.59</v>
      </c>
      <c r="F51" s="227">
        <v>8.5</v>
      </c>
      <c r="G51" s="227">
        <v>0.56999999999999995</v>
      </c>
      <c r="H51" s="227">
        <v>1</v>
      </c>
      <c r="I51" s="227">
        <v>11</v>
      </c>
      <c r="J51" s="227">
        <v>0</v>
      </c>
      <c r="K51" s="226" t="s">
        <v>2900</v>
      </c>
      <c r="L51" s="227">
        <v>1984</v>
      </c>
      <c r="M51" s="227" t="s">
        <v>1789</v>
      </c>
      <c r="N51" s="228" t="s">
        <v>4620</v>
      </c>
    </row>
    <row r="52" spans="1:14" x14ac:dyDescent="0.2">
      <c r="A52" s="236">
        <v>50</v>
      </c>
      <c r="B52" s="229" t="s">
        <v>4567</v>
      </c>
      <c r="C52" s="230" t="s">
        <v>4568</v>
      </c>
      <c r="D52" s="230">
        <v>8.86</v>
      </c>
      <c r="E52" s="267">
        <v>8.83</v>
      </c>
      <c r="F52" s="230">
        <v>9</v>
      </c>
      <c r="G52" s="230">
        <v>0.71</v>
      </c>
      <c r="H52" s="230">
        <v>2</v>
      </c>
      <c r="I52" s="230">
        <v>14</v>
      </c>
      <c r="J52" s="230">
        <v>3</v>
      </c>
      <c r="K52" s="229" t="s">
        <v>4569</v>
      </c>
      <c r="L52" s="230">
        <v>2020</v>
      </c>
      <c r="M52" s="230" t="s">
        <v>1788</v>
      </c>
      <c r="N52" s="231" t="s">
        <v>4570</v>
      </c>
    </row>
    <row r="53" spans="1:14" x14ac:dyDescent="0.2">
      <c r="A53" s="236">
        <v>51</v>
      </c>
      <c r="B53" s="226" t="s">
        <v>4572</v>
      </c>
      <c r="C53" s="227" t="s">
        <v>4573</v>
      </c>
      <c r="D53" s="227">
        <v>8.6</v>
      </c>
      <c r="E53" s="294">
        <v>8.52</v>
      </c>
      <c r="F53" s="227">
        <v>8.5</v>
      </c>
      <c r="G53" s="227">
        <v>0.49</v>
      </c>
      <c r="H53" s="227">
        <v>0</v>
      </c>
      <c r="I53" s="227">
        <v>5</v>
      </c>
      <c r="J53" s="227">
        <v>0</v>
      </c>
      <c r="K53" s="226" t="s">
        <v>4586</v>
      </c>
      <c r="L53" s="227">
        <v>2021</v>
      </c>
      <c r="M53" s="227" t="s">
        <v>4587</v>
      </c>
      <c r="N53" s="228" t="s">
        <v>4570</v>
      </c>
    </row>
    <row r="54" spans="1:14" x14ac:dyDescent="0.2">
      <c r="A54" s="236">
        <v>52</v>
      </c>
      <c r="B54" s="229" t="s">
        <v>4584</v>
      </c>
      <c r="C54" s="230" t="s">
        <v>4576</v>
      </c>
      <c r="D54" s="230">
        <v>8.6300000000000008</v>
      </c>
      <c r="E54" s="293">
        <v>8.5299999999999994</v>
      </c>
      <c r="F54" s="230">
        <v>8.5</v>
      </c>
      <c r="G54" s="230">
        <v>0.78</v>
      </c>
      <c r="H54" s="230">
        <v>1</v>
      </c>
      <c r="I54" s="230">
        <v>8</v>
      </c>
      <c r="J54" s="230">
        <v>0</v>
      </c>
      <c r="K54" s="229" t="s">
        <v>4585</v>
      </c>
      <c r="L54" s="230">
        <v>2024</v>
      </c>
      <c r="M54" s="230" t="s">
        <v>1789</v>
      </c>
      <c r="N54" s="231" t="s">
        <v>4570</v>
      </c>
    </row>
    <row r="55" spans="1:14" x14ac:dyDescent="0.2">
      <c r="A55" s="236">
        <v>53</v>
      </c>
      <c r="B55" s="226" t="s">
        <v>4603</v>
      </c>
      <c r="C55" s="227" t="s">
        <v>4604</v>
      </c>
      <c r="D55" s="227">
        <v>8.59</v>
      </c>
      <c r="E55" s="295">
        <v>8.5</v>
      </c>
      <c r="F55" s="227">
        <v>8.5</v>
      </c>
      <c r="G55" s="227">
        <v>0.7</v>
      </c>
      <c r="H55" s="227">
        <v>1</v>
      </c>
      <c r="I55" s="227">
        <v>11</v>
      </c>
      <c r="J55" s="227">
        <v>0</v>
      </c>
      <c r="K55" s="226" t="s">
        <v>4605</v>
      </c>
      <c r="L55" s="227">
        <v>2024</v>
      </c>
      <c r="M55" s="227" t="s">
        <v>4606</v>
      </c>
      <c r="N55" s="228" t="s">
        <v>4570</v>
      </c>
    </row>
    <row r="56" spans="1:14" x14ac:dyDescent="0.2">
      <c r="A56" s="236">
        <v>54</v>
      </c>
      <c r="B56" s="229" t="s">
        <v>4530</v>
      </c>
      <c r="C56" s="230" t="s">
        <v>4531</v>
      </c>
      <c r="D56" s="230">
        <v>9.5</v>
      </c>
      <c r="E56" s="501">
        <v>9.77</v>
      </c>
      <c r="F56" s="230">
        <v>10</v>
      </c>
      <c r="G56" s="230">
        <v>0.91</v>
      </c>
      <c r="H56" s="230">
        <v>4</v>
      </c>
      <c r="I56" s="230">
        <v>6</v>
      </c>
      <c r="J56" s="230">
        <v>0</v>
      </c>
      <c r="K56" s="229" t="s">
        <v>4537</v>
      </c>
      <c r="L56" s="230">
        <v>2008</v>
      </c>
      <c r="M56" s="230" t="s">
        <v>1789</v>
      </c>
      <c r="N56" s="231" t="s">
        <v>4538</v>
      </c>
    </row>
    <row r="57" spans="1:14" x14ac:dyDescent="0.2">
      <c r="A57" s="236">
        <v>55</v>
      </c>
      <c r="B57" s="226" t="s">
        <v>293</v>
      </c>
      <c r="C57" s="227" t="s">
        <v>4532</v>
      </c>
      <c r="D57" s="227">
        <v>8.75</v>
      </c>
      <c r="E57" s="336">
        <v>8.69</v>
      </c>
      <c r="F57" s="227">
        <v>8.75</v>
      </c>
      <c r="G57" s="227">
        <v>0.69</v>
      </c>
      <c r="H57" s="227">
        <v>1</v>
      </c>
      <c r="I57" s="227">
        <v>8</v>
      </c>
      <c r="J57" s="227">
        <v>2</v>
      </c>
      <c r="K57" s="226" t="s">
        <v>1230</v>
      </c>
      <c r="L57" s="227">
        <v>2007</v>
      </c>
      <c r="M57" s="227" t="s">
        <v>3018</v>
      </c>
      <c r="N57" s="228" t="s">
        <v>4539</v>
      </c>
    </row>
    <row r="58" spans="1:14" x14ac:dyDescent="0.2">
      <c r="A58" s="236">
        <v>56</v>
      </c>
      <c r="B58" s="229" t="s">
        <v>2292</v>
      </c>
      <c r="C58" s="230" t="s">
        <v>4533</v>
      </c>
      <c r="D58" s="230">
        <v>8.17</v>
      </c>
      <c r="E58" s="317">
        <v>8.06</v>
      </c>
      <c r="F58" s="230">
        <v>8</v>
      </c>
      <c r="G58" s="230">
        <v>0.62</v>
      </c>
      <c r="H58" s="230">
        <v>0</v>
      </c>
      <c r="I58" s="230">
        <v>3</v>
      </c>
      <c r="J58" s="230">
        <v>0</v>
      </c>
      <c r="K58" s="229" t="s">
        <v>1479</v>
      </c>
      <c r="L58" s="230">
        <v>1974</v>
      </c>
      <c r="M58" s="230" t="s">
        <v>1779</v>
      </c>
      <c r="N58" s="231" t="s">
        <v>4539</v>
      </c>
    </row>
    <row r="59" spans="1:14" x14ac:dyDescent="0.2">
      <c r="A59" s="236">
        <v>57</v>
      </c>
      <c r="B59" s="226" t="s">
        <v>313</v>
      </c>
      <c r="C59" s="227" t="s">
        <v>4529</v>
      </c>
      <c r="D59" s="227">
        <v>8.69</v>
      </c>
      <c r="E59" s="276">
        <v>8.7200000000000006</v>
      </c>
      <c r="F59" s="227">
        <v>8.5</v>
      </c>
      <c r="G59" s="227">
        <v>0.89</v>
      </c>
      <c r="H59" s="227">
        <v>2</v>
      </c>
      <c r="I59" s="227">
        <v>13</v>
      </c>
      <c r="J59" s="227">
        <v>0</v>
      </c>
      <c r="K59" s="226" t="s">
        <v>4535</v>
      </c>
      <c r="L59" s="227">
        <v>1996</v>
      </c>
      <c r="M59" s="227" t="s">
        <v>1804</v>
      </c>
      <c r="N59" s="228" t="s">
        <v>4536</v>
      </c>
    </row>
    <row r="60" spans="1:14" x14ac:dyDescent="0.2">
      <c r="A60" s="236">
        <v>58</v>
      </c>
      <c r="B60" s="229" t="s">
        <v>297</v>
      </c>
      <c r="C60" s="230" t="s">
        <v>4471</v>
      </c>
      <c r="D60" s="230">
        <v>8.11</v>
      </c>
      <c r="E60" s="319">
        <v>8</v>
      </c>
      <c r="F60" s="230">
        <v>8</v>
      </c>
      <c r="G60" s="230">
        <v>0.7</v>
      </c>
      <c r="H60" s="230">
        <v>0</v>
      </c>
      <c r="I60" s="230">
        <v>9</v>
      </c>
      <c r="J60" s="230">
        <v>0</v>
      </c>
      <c r="K60" s="229" t="s">
        <v>4496</v>
      </c>
      <c r="L60" s="230">
        <v>1984</v>
      </c>
      <c r="M60" s="230" t="s">
        <v>1771</v>
      </c>
      <c r="N60" s="231" t="s">
        <v>4497</v>
      </c>
    </row>
    <row r="61" spans="1:14" x14ac:dyDescent="0.2">
      <c r="A61" s="236">
        <v>59</v>
      </c>
      <c r="B61" s="226" t="s">
        <v>305</v>
      </c>
      <c r="C61" s="227" t="s">
        <v>4498</v>
      </c>
      <c r="D61" s="227">
        <v>6.06</v>
      </c>
      <c r="E61" s="485">
        <v>5.9</v>
      </c>
      <c r="F61" s="227">
        <v>6</v>
      </c>
      <c r="G61" s="227">
        <v>1.19</v>
      </c>
      <c r="H61" s="227">
        <v>0</v>
      </c>
      <c r="I61" s="227">
        <v>9</v>
      </c>
      <c r="J61" s="227">
        <v>0</v>
      </c>
      <c r="K61" s="226" t="s">
        <v>996</v>
      </c>
      <c r="L61" s="227">
        <v>2026</v>
      </c>
      <c r="M61" s="227" t="s">
        <v>1766</v>
      </c>
      <c r="N61" s="228" t="s">
        <v>4497</v>
      </c>
    </row>
    <row r="62" spans="1:14" x14ac:dyDescent="0.2">
      <c r="A62" s="236">
        <v>60</v>
      </c>
      <c r="B62" s="229" t="s">
        <v>4481</v>
      </c>
      <c r="C62" s="230" t="s">
        <v>4482</v>
      </c>
      <c r="D62" s="230">
        <v>8.8000000000000007</v>
      </c>
      <c r="E62" s="279">
        <v>8.68</v>
      </c>
      <c r="F62" s="230">
        <v>8.5</v>
      </c>
      <c r="G62" s="230">
        <v>0.64</v>
      </c>
      <c r="H62" s="230">
        <v>1</v>
      </c>
      <c r="I62" s="230">
        <v>11</v>
      </c>
      <c r="J62" s="230">
        <v>1</v>
      </c>
      <c r="K62" s="229" t="s">
        <v>4494</v>
      </c>
      <c r="L62" s="230">
        <v>2005</v>
      </c>
      <c r="M62" s="230" t="s">
        <v>1775</v>
      </c>
      <c r="N62" s="231" t="s">
        <v>4495</v>
      </c>
    </row>
    <row r="63" spans="1:14" x14ac:dyDescent="0.2">
      <c r="A63" s="236">
        <v>61</v>
      </c>
      <c r="B63" s="226" t="s">
        <v>4449</v>
      </c>
      <c r="C63" s="227" t="s">
        <v>4450</v>
      </c>
      <c r="D63" s="227">
        <v>7.88</v>
      </c>
      <c r="E63" s="350">
        <v>7.84</v>
      </c>
      <c r="F63" s="227">
        <v>8</v>
      </c>
      <c r="G63" s="227">
        <v>0.48</v>
      </c>
      <c r="H63" s="227">
        <v>0</v>
      </c>
      <c r="I63" s="227">
        <v>8</v>
      </c>
      <c r="J63" s="227">
        <v>0</v>
      </c>
      <c r="K63" s="226" t="s">
        <v>4451</v>
      </c>
      <c r="L63" s="227">
        <v>2026</v>
      </c>
      <c r="M63" s="227" t="s">
        <v>1800</v>
      </c>
      <c r="N63" s="228" t="s">
        <v>4452</v>
      </c>
    </row>
    <row r="64" spans="1:14" x14ac:dyDescent="0.2">
      <c r="A64" s="236">
        <v>62</v>
      </c>
      <c r="B64" s="229" t="s">
        <v>759</v>
      </c>
      <c r="C64" s="230" t="s">
        <v>4435</v>
      </c>
      <c r="D64" s="230">
        <v>8.69</v>
      </c>
      <c r="E64" s="373">
        <v>8.73</v>
      </c>
      <c r="F64" s="230">
        <v>8.5</v>
      </c>
      <c r="G64" s="230">
        <v>0.97</v>
      </c>
      <c r="H64" s="230">
        <v>3</v>
      </c>
      <c r="I64" s="230">
        <v>14</v>
      </c>
      <c r="J64" s="230">
        <v>1</v>
      </c>
      <c r="K64" s="229" t="s">
        <v>780</v>
      </c>
      <c r="L64" s="230">
        <v>1997</v>
      </c>
      <c r="M64" s="230" t="s">
        <v>1802</v>
      </c>
      <c r="N64" s="231" t="s">
        <v>4452</v>
      </c>
    </row>
    <row r="65" spans="1:14" x14ac:dyDescent="0.2">
      <c r="A65" s="236">
        <v>63</v>
      </c>
      <c r="B65" s="226" t="s">
        <v>951</v>
      </c>
      <c r="C65" s="227" t="s">
        <v>4417</v>
      </c>
      <c r="D65" s="227">
        <v>9</v>
      </c>
      <c r="E65" s="261">
        <v>8.91</v>
      </c>
      <c r="F65" s="227">
        <v>8.75</v>
      </c>
      <c r="G65" s="227">
        <v>0.71</v>
      </c>
      <c r="H65" s="227">
        <v>2</v>
      </c>
      <c r="I65" s="227">
        <v>8</v>
      </c>
      <c r="J65" s="227">
        <v>0</v>
      </c>
      <c r="K65" s="226" t="s">
        <v>4419</v>
      </c>
      <c r="L65" s="227">
        <v>1997</v>
      </c>
      <c r="M65" s="227" t="s">
        <v>1786</v>
      </c>
      <c r="N65" s="228" t="s">
        <v>4420</v>
      </c>
    </row>
    <row r="66" spans="1:14" x14ac:dyDescent="0.2">
      <c r="A66" s="236">
        <v>64</v>
      </c>
      <c r="B66" s="229" t="s">
        <v>4405</v>
      </c>
      <c r="C66" s="230" t="s">
        <v>4400</v>
      </c>
      <c r="D66" s="230">
        <v>8</v>
      </c>
      <c r="E66" s="322">
        <v>7.94</v>
      </c>
      <c r="F66" s="230">
        <v>8</v>
      </c>
      <c r="G66" s="230">
        <v>0.47</v>
      </c>
      <c r="H66" s="230">
        <v>0</v>
      </c>
      <c r="I66" s="230">
        <v>9</v>
      </c>
      <c r="J66" s="230">
        <v>0</v>
      </c>
      <c r="K66" s="229" t="s">
        <v>4406</v>
      </c>
      <c r="L66" s="230">
        <v>2016</v>
      </c>
      <c r="M66" s="230" t="s">
        <v>1773</v>
      </c>
      <c r="N66" s="231" t="s">
        <v>4407</v>
      </c>
    </row>
    <row r="67" spans="1:14" x14ac:dyDescent="0.2">
      <c r="A67" s="236">
        <v>65</v>
      </c>
      <c r="B67" s="226" t="s">
        <v>4394</v>
      </c>
      <c r="C67" s="227" t="s">
        <v>4366</v>
      </c>
      <c r="D67" s="227">
        <v>8.86</v>
      </c>
      <c r="E67" s="264">
        <v>8.8699999999999992</v>
      </c>
      <c r="F67" s="227">
        <v>8.5</v>
      </c>
      <c r="G67" s="227">
        <v>1.07</v>
      </c>
      <c r="H67" s="227">
        <v>4</v>
      </c>
      <c r="I67" s="227">
        <v>12</v>
      </c>
      <c r="J67" s="227">
        <v>1</v>
      </c>
      <c r="K67" s="226" t="s">
        <v>4395</v>
      </c>
      <c r="L67" s="227">
        <v>1985</v>
      </c>
      <c r="M67" s="227" t="s">
        <v>1774</v>
      </c>
      <c r="N67" s="228" t="s">
        <v>4392</v>
      </c>
    </row>
    <row r="68" spans="1:14" x14ac:dyDescent="0.2">
      <c r="A68" s="236">
        <v>66</v>
      </c>
      <c r="B68" s="229" t="s">
        <v>4387</v>
      </c>
      <c r="C68" s="230" t="s">
        <v>4388</v>
      </c>
      <c r="D68" s="230">
        <v>8.69</v>
      </c>
      <c r="E68" s="276">
        <v>8.7200000000000006</v>
      </c>
      <c r="F68" s="230">
        <v>8.5</v>
      </c>
      <c r="G68" s="230">
        <v>0.83</v>
      </c>
      <c r="H68" s="230">
        <v>1</v>
      </c>
      <c r="I68" s="230">
        <v>10</v>
      </c>
      <c r="J68" s="230">
        <v>2</v>
      </c>
      <c r="K68" s="229" t="s">
        <v>4391</v>
      </c>
      <c r="L68" s="230">
        <v>2003</v>
      </c>
      <c r="M68" s="230" t="s">
        <v>1772</v>
      </c>
      <c r="N68" s="231" t="s">
        <v>4392</v>
      </c>
    </row>
    <row r="69" spans="1:14" x14ac:dyDescent="0.2">
      <c r="A69" s="236">
        <v>67</v>
      </c>
      <c r="B69" s="226" t="s">
        <v>4347</v>
      </c>
      <c r="C69" s="227" t="s">
        <v>4348</v>
      </c>
      <c r="D69" s="227">
        <v>8.3800000000000008</v>
      </c>
      <c r="E69" s="464">
        <v>8.32</v>
      </c>
      <c r="F69" s="227">
        <v>8.5</v>
      </c>
      <c r="G69" s="227">
        <v>0.79</v>
      </c>
      <c r="H69" s="227">
        <v>1</v>
      </c>
      <c r="I69" s="227">
        <v>12</v>
      </c>
      <c r="J69" s="227">
        <v>0</v>
      </c>
      <c r="K69" s="226" t="s">
        <v>1613</v>
      </c>
      <c r="L69" s="227">
        <v>2001</v>
      </c>
      <c r="M69" s="227" t="s">
        <v>1806</v>
      </c>
      <c r="N69" s="228" t="s">
        <v>4349</v>
      </c>
    </row>
    <row r="70" spans="1:14" x14ac:dyDescent="0.2">
      <c r="A70" s="236">
        <v>68</v>
      </c>
      <c r="B70" s="229" t="s">
        <v>774</v>
      </c>
      <c r="C70" s="230" t="s">
        <v>4364</v>
      </c>
      <c r="D70" s="230">
        <v>8.86</v>
      </c>
      <c r="E70" s="260">
        <v>8.92</v>
      </c>
      <c r="F70" s="230">
        <v>8.75</v>
      </c>
      <c r="G70" s="230">
        <v>0.83</v>
      </c>
      <c r="H70" s="230">
        <v>3</v>
      </c>
      <c r="I70" s="230">
        <v>14</v>
      </c>
      <c r="J70" s="230">
        <v>0</v>
      </c>
      <c r="K70" s="229" t="s">
        <v>994</v>
      </c>
      <c r="L70" s="230">
        <v>2007</v>
      </c>
      <c r="M70" s="230" t="s">
        <v>1773</v>
      </c>
      <c r="N70" s="231" t="s">
        <v>4349</v>
      </c>
    </row>
    <row r="71" spans="1:14" x14ac:dyDescent="0.2">
      <c r="A71" s="236">
        <v>69</v>
      </c>
      <c r="B71" s="226" t="s">
        <v>4329</v>
      </c>
      <c r="C71" s="227" t="s">
        <v>4326</v>
      </c>
      <c r="D71" s="227">
        <v>8.39</v>
      </c>
      <c r="E71" s="311">
        <v>8.2200000000000006</v>
      </c>
      <c r="F71" s="227">
        <v>8</v>
      </c>
      <c r="G71" s="227">
        <v>0.87</v>
      </c>
      <c r="H71" s="227">
        <v>1</v>
      </c>
      <c r="I71" s="227">
        <v>9</v>
      </c>
      <c r="J71" s="227">
        <v>0</v>
      </c>
      <c r="K71" s="226" t="s">
        <v>1479</v>
      </c>
      <c r="L71" s="227">
        <v>1972</v>
      </c>
      <c r="M71" s="227" t="s">
        <v>1766</v>
      </c>
      <c r="N71" s="228" t="s">
        <v>4333</v>
      </c>
    </row>
    <row r="72" spans="1:14" x14ac:dyDescent="0.2">
      <c r="A72" s="236">
        <v>70</v>
      </c>
      <c r="B72" s="229" t="s">
        <v>2841</v>
      </c>
      <c r="C72" s="230" t="s">
        <v>4305</v>
      </c>
      <c r="D72" s="230">
        <v>8.6999999999999993</v>
      </c>
      <c r="E72" s="275">
        <v>8.74</v>
      </c>
      <c r="F72" s="230">
        <v>8.5</v>
      </c>
      <c r="G72" s="230">
        <v>0.84</v>
      </c>
      <c r="H72" s="230">
        <v>2</v>
      </c>
      <c r="I72" s="230">
        <v>10</v>
      </c>
      <c r="J72" s="230">
        <v>0</v>
      </c>
      <c r="K72" s="229" t="s">
        <v>3852</v>
      </c>
      <c r="L72" s="230">
        <v>1997</v>
      </c>
      <c r="M72" s="230" t="s">
        <v>1791</v>
      </c>
      <c r="N72" s="231" t="s">
        <v>4312</v>
      </c>
    </row>
    <row r="73" spans="1:14" x14ac:dyDescent="0.2">
      <c r="A73" s="236">
        <v>71</v>
      </c>
      <c r="B73" s="226" t="s">
        <v>4330</v>
      </c>
      <c r="C73" s="227" t="s">
        <v>4331</v>
      </c>
      <c r="D73" s="227">
        <v>8.75</v>
      </c>
      <c r="E73" s="281">
        <v>8.66</v>
      </c>
      <c r="F73" s="227">
        <v>8.75</v>
      </c>
      <c r="G73" s="227">
        <v>0.75</v>
      </c>
      <c r="H73" s="227">
        <v>0</v>
      </c>
      <c r="I73" s="227">
        <v>2</v>
      </c>
      <c r="J73" s="227">
        <v>0</v>
      </c>
      <c r="K73" s="226" t="s">
        <v>987</v>
      </c>
      <c r="L73" s="227">
        <v>1972</v>
      </c>
      <c r="M73" s="227" t="s">
        <v>1802</v>
      </c>
      <c r="N73" s="228" t="s">
        <v>4312</v>
      </c>
    </row>
    <row r="74" spans="1:14" x14ac:dyDescent="0.2">
      <c r="A74" s="236">
        <v>72</v>
      </c>
      <c r="B74" s="229" t="s">
        <v>4123</v>
      </c>
      <c r="C74" s="230" t="s">
        <v>4282</v>
      </c>
      <c r="D74" s="230">
        <v>8.69</v>
      </c>
      <c r="E74" s="287">
        <v>8.6</v>
      </c>
      <c r="F74" s="230">
        <v>8.5</v>
      </c>
      <c r="G74" s="230">
        <v>0.61</v>
      </c>
      <c r="H74" s="230">
        <v>1</v>
      </c>
      <c r="I74" s="230">
        <v>9</v>
      </c>
      <c r="J74" s="230">
        <v>1</v>
      </c>
      <c r="K74" s="229" t="s">
        <v>4131</v>
      </c>
      <c r="L74" s="230">
        <v>2002</v>
      </c>
      <c r="M74" s="230" t="s">
        <v>1797</v>
      </c>
      <c r="N74" s="231" t="s">
        <v>4283</v>
      </c>
    </row>
    <row r="75" spans="1:14" x14ac:dyDescent="0.2">
      <c r="A75" s="236">
        <v>73</v>
      </c>
      <c r="B75" s="226" t="s">
        <v>4297</v>
      </c>
      <c r="C75" s="227" t="s">
        <v>4291</v>
      </c>
      <c r="D75" s="227">
        <v>8.42</v>
      </c>
      <c r="E75" s="301">
        <v>8.41</v>
      </c>
      <c r="F75" s="227">
        <v>8</v>
      </c>
      <c r="G75" s="227">
        <v>0.73</v>
      </c>
      <c r="H75" s="227">
        <v>1</v>
      </c>
      <c r="I75" s="227">
        <v>13</v>
      </c>
      <c r="J75" s="227">
        <v>0</v>
      </c>
      <c r="K75" s="226" t="s">
        <v>732</v>
      </c>
      <c r="L75" s="227">
        <v>1999</v>
      </c>
      <c r="M75" s="227" t="s">
        <v>1783</v>
      </c>
      <c r="N75" s="228" t="s">
        <v>4283</v>
      </c>
    </row>
    <row r="76" spans="1:14" x14ac:dyDescent="0.2">
      <c r="A76" s="236">
        <v>74</v>
      </c>
      <c r="B76" s="229" t="s">
        <v>4196</v>
      </c>
      <c r="C76" s="230" t="s">
        <v>4197</v>
      </c>
      <c r="D76" s="230">
        <v>0.81</v>
      </c>
      <c r="E76" s="334">
        <v>0.76</v>
      </c>
      <c r="F76" s="230">
        <v>1</v>
      </c>
      <c r="G76" s="230">
        <v>0.7</v>
      </c>
      <c r="H76" s="230">
        <v>0</v>
      </c>
      <c r="I76" s="230">
        <v>8</v>
      </c>
      <c r="J76" s="230">
        <v>0</v>
      </c>
      <c r="K76" s="229" t="s">
        <v>4198</v>
      </c>
      <c r="L76" s="230">
        <v>2021</v>
      </c>
      <c r="M76" s="230" t="s">
        <v>2797</v>
      </c>
      <c r="N76" s="231" t="s">
        <v>4199</v>
      </c>
    </row>
    <row r="77" spans="1:14" x14ac:dyDescent="0.2">
      <c r="A77" s="236">
        <v>75</v>
      </c>
      <c r="B77" s="226" t="s">
        <v>4200</v>
      </c>
      <c r="C77" s="227" t="s">
        <v>4192</v>
      </c>
      <c r="D77" s="227">
        <v>8.56</v>
      </c>
      <c r="E77" s="370">
        <v>8.48</v>
      </c>
      <c r="F77" s="227">
        <v>8.5</v>
      </c>
      <c r="G77" s="227">
        <v>0.68</v>
      </c>
      <c r="H77" s="227">
        <v>1</v>
      </c>
      <c r="I77" s="227">
        <v>9</v>
      </c>
      <c r="J77" s="227">
        <v>0</v>
      </c>
      <c r="K77" s="226" t="s">
        <v>4203</v>
      </c>
      <c r="L77" s="227">
        <v>2007</v>
      </c>
      <c r="M77" s="227" t="s">
        <v>1806</v>
      </c>
      <c r="N77" s="228" t="s">
        <v>4199</v>
      </c>
    </row>
    <row r="78" spans="1:14" x14ac:dyDescent="0.2">
      <c r="A78" s="236">
        <v>76</v>
      </c>
      <c r="B78" s="229" t="s">
        <v>2306</v>
      </c>
      <c r="C78" s="230" t="s">
        <v>4221</v>
      </c>
      <c r="D78" s="230">
        <v>8.65</v>
      </c>
      <c r="E78" s="278">
        <v>8.6999999999999993</v>
      </c>
      <c r="F78" s="230">
        <v>8.5</v>
      </c>
      <c r="G78" s="230">
        <v>0.86</v>
      </c>
      <c r="H78" s="230">
        <v>2</v>
      </c>
      <c r="I78" s="230">
        <v>13</v>
      </c>
      <c r="J78" s="230">
        <v>0</v>
      </c>
      <c r="K78" s="229" t="s">
        <v>1742</v>
      </c>
      <c r="L78" s="230">
        <v>2006</v>
      </c>
      <c r="M78" s="230" t="s">
        <v>1771</v>
      </c>
      <c r="N78" s="231" t="s">
        <v>4199</v>
      </c>
    </row>
    <row r="79" spans="1:14" x14ac:dyDescent="0.2">
      <c r="A79" s="236">
        <v>77</v>
      </c>
      <c r="B79" s="226" t="s">
        <v>4194</v>
      </c>
      <c r="C79" s="227" t="s">
        <v>4195</v>
      </c>
      <c r="D79" s="227">
        <v>7.92</v>
      </c>
      <c r="E79" s="451">
        <v>7.87</v>
      </c>
      <c r="F79" s="227">
        <v>8</v>
      </c>
      <c r="G79" s="227">
        <v>0.57999999999999996</v>
      </c>
      <c r="H79" s="227">
        <v>0</v>
      </c>
      <c r="I79" s="227">
        <v>13</v>
      </c>
      <c r="J79" s="227">
        <v>0</v>
      </c>
      <c r="K79" s="226" t="s">
        <v>4201</v>
      </c>
      <c r="L79" s="227">
        <v>2026</v>
      </c>
      <c r="M79" s="227" t="s">
        <v>1777</v>
      </c>
      <c r="N79" s="228" t="s">
        <v>4202</v>
      </c>
    </row>
    <row r="80" spans="1:14" x14ac:dyDescent="0.2">
      <c r="A80" s="236">
        <v>78</v>
      </c>
      <c r="B80" s="229" t="s">
        <v>4139</v>
      </c>
      <c r="C80" s="230" t="s">
        <v>4140</v>
      </c>
      <c r="D80" s="230">
        <v>8.75</v>
      </c>
      <c r="E80" s="278">
        <v>8.6999999999999993</v>
      </c>
      <c r="F80" s="230">
        <v>8.75</v>
      </c>
      <c r="G80" s="230">
        <v>0.69</v>
      </c>
      <c r="H80" s="230">
        <v>1</v>
      </c>
      <c r="I80" s="230">
        <v>6</v>
      </c>
      <c r="J80" s="230">
        <v>0</v>
      </c>
      <c r="K80" s="229" t="s">
        <v>4141</v>
      </c>
      <c r="L80" s="230">
        <v>2015</v>
      </c>
      <c r="M80" s="230" t="s">
        <v>1766</v>
      </c>
      <c r="N80" s="231" t="s">
        <v>4142</v>
      </c>
    </row>
    <row r="81" spans="1:14" x14ac:dyDescent="0.2">
      <c r="A81" s="236">
        <v>79</v>
      </c>
      <c r="B81" s="226" t="s">
        <v>4157</v>
      </c>
      <c r="C81" s="227" t="s">
        <v>4158</v>
      </c>
      <c r="D81" s="227">
        <v>8.4600000000000009</v>
      </c>
      <c r="E81" s="446">
        <v>8.35</v>
      </c>
      <c r="F81" s="227">
        <v>8.25</v>
      </c>
      <c r="G81" s="227">
        <v>0.72</v>
      </c>
      <c r="H81" s="227">
        <v>1</v>
      </c>
      <c r="I81" s="227">
        <v>14</v>
      </c>
      <c r="J81" s="227">
        <v>0</v>
      </c>
      <c r="K81" s="226" t="s">
        <v>731</v>
      </c>
      <c r="L81" s="227">
        <v>1992</v>
      </c>
      <c r="M81" s="227" t="s">
        <v>1786</v>
      </c>
      <c r="N81" s="228" t="s">
        <v>4142</v>
      </c>
    </row>
    <row r="82" spans="1:14" x14ac:dyDescent="0.2">
      <c r="A82" s="236">
        <v>80</v>
      </c>
      <c r="B82" s="229" t="s">
        <v>4123</v>
      </c>
      <c r="C82" s="230" t="s">
        <v>4124</v>
      </c>
      <c r="D82" s="230">
        <v>8.86</v>
      </c>
      <c r="E82" s="267">
        <v>8.84</v>
      </c>
      <c r="F82" s="230">
        <v>9</v>
      </c>
      <c r="G82" s="230">
        <v>0.57999999999999996</v>
      </c>
      <c r="H82" s="230">
        <v>1</v>
      </c>
      <c r="I82" s="230">
        <v>7</v>
      </c>
      <c r="J82" s="230">
        <v>0</v>
      </c>
      <c r="K82" s="229" t="s">
        <v>4131</v>
      </c>
      <c r="L82" s="230">
        <v>2004</v>
      </c>
      <c r="M82" s="230" t="s">
        <v>1781</v>
      </c>
      <c r="N82" s="231" t="s">
        <v>4112</v>
      </c>
    </row>
    <row r="83" spans="1:14" x14ac:dyDescent="0.2">
      <c r="A83" s="236">
        <v>81</v>
      </c>
      <c r="B83" s="226" t="s">
        <v>4109</v>
      </c>
      <c r="C83" s="227" t="s">
        <v>4110</v>
      </c>
      <c r="D83" s="227">
        <v>8.59</v>
      </c>
      <c r="E83" s="363">
        <v>8.51</v>
      </c>
      <c r="F83" s="227">
        <v>8.5</v>
      </c>
      <c r="G83" s="227">
        <v>0.76</v>
      </c>
      <c r="H83" s="227">
        <v>2</v>
      </c>
      <c r="I83" s="227">
        <v>11</v>
      </c>
      <c r="J83" s="227">
        <v>0</v>
      </c>
      <c r="K83" s="226" t="s">
        <v>4111</v>
      </c>
      <c r="L83" s="227">
        <v>1994</v>
      </c>
      <c r="M83" s="227" t="s">
        <v>1777</v>
      </c>
      <c r="N83" s="228" t="s">
        <v>4112</v>
      </c>
    </row>
    <row r="84" spans="1:14" x14ac:dyDescent="0.2">
      <c r="A84" s="236">
        <v>82</v>
      </c>
      <c r="B84" s="229" t="s">
        <v>4107</v>
      </c>
      <c r="C84" s="230" t="s">
        <v>4108</v>
      </c>
      <c r="D84" s="230">
        <v>9.09</v>
      </c>
      <c r="E84" s="452">
        <v>9.33</v>
      </c>
      <c r="F84" s="230">
        <v>9</v>
      </c>
      <c r="G84" s="230">
        <v>0.81</v>
      </c>
      <c r="H84" s="230">
        <v>6</v>
      </c>
      <c r="I84" s="230">
        <v>22</v>
      </c>
      <c r="J84" s="230">
        <v>0</v>
      </c>
      <c r="K84" s="229" t="s">
        <v>1011</v>
      </c>
      <c r="L84" s="230">
        <v>2013</v>
      </c>
      <c r="M84" s="230" t="s">
        <v>4113</v>
      </c>
      <c r="N84" s="231" t="s">
        <v>4114</v>
      </c>
    </row>
    <row r="85" spans="1:14" x14ac:dyDescent="0.2">
      <c r="A85" s="236">
        <v>83</v>
      </c>
      <c r="B85" s="226" t="s">
        <v>4066</v>
      </c>
      <c r="C85" s="227" t="s">
        <v>4067</v>
      </c>
      <c r="D85" s="227">
        <v>9</v>
      </c>
      <c r="E85" s="260">
        <v>8.92</v>
      </c>
      <c r="F85" s="227">
        <v>8.75</v>
      </c>
      <c r="G85" s="227">
        <v>0.89</v>
      </c>
      <c r="H85" s="227">
        <v>5</v>
      </c>
      <c r="I85" s="227">
        <v>12</v>
      </c>
      <c r="J85" s="227">
        <v>0</v>
      </c>
      <c r="K85" s="226" t="s">
        <v>2383</v>
      </c>
      <c r="L85" s="227">
        <v>1991</v>
      </c>
      <c r="M85" s="227" t="s">
        <v>1766</v>
      </c>
      <c r="N85" s="228" t="s">
        <v>4069</v>
      </c>
    </row>
    <row r="86" spans="1:14" x14ac:dyDescent="0.2">
      <c r="A86" s="236">
        <v>84</v>
      </c>
      <c r="B86" s="229" t="s">
        <v>4039</v>
      </c>
      <c r="C86" s="230" t="s">
        <v>4040</v>
      </c>
      <c r="D86" s="230">
        <v>8.17</v>
      </c>
      <c r="E86" s="437">
        <v>8.07</v>
      </c>
      <c r="F86" s="230">
        <v>8</v>
      </c>
      <c r="G86" s="230">
        <v>0.47</v>
      </c>
      <c r="H86" s="230">
        <v>0</v>
      </c>
      <c r="I86" s="230">
        <v>9</v>
      </c>
      <c r="J86" s="230">
        <v>0</v>
      </c>
      <c r="K86" s="229" t="s">
        <v>4041</v>
      </c>
      <c r="L86" s="230">
        <v>1992</v>
      </c>
      <c r="M86" s="230" t="s">
        <v>1795</v>
      </c>
      <c r="N86" s="231" t="s">
        <v>4042</v>
      </c>
    </row>
    <row r="87" spans="1:14" x14ac:dyDescent="0.2">
      <c r="A87" s="236">
        <v>85</v>
      </c>
      <c r="B87" s="226" t="s">
        <v>1368</v>
      </c>
      <c r="C87" s="227" t="s">
        <v>4051</v>
      </c>
      <c r="D87" s="227">
        <v>8.83</v>
      </c>
      <c r="E87" s="275">
        <v>8.74</v>
      </c>
      <c r="F87" s="227">
        <v>8</v>
      </c>
      <c r="G87" s="227">
        <v>1.18</v>
      </c>
      <c r="H87" s="227">
        <v>1</v>
      </c>
      <c r="I87" s="227">
        <v>3</v>
      </c>
      <c r="J87" s="227">
        <v>0</v>
      </c>
      <c r="K87" s="226" t="s">
        <v>1715</v>
      </c>
      <c r="L87" s="227">
        <v>1995</v>
      </c>
      <c r="M87" s="227" t="s">
        <v>4068</v>
      </c>
      <c r="N87" s="228" t="s">
        <v>4042</v>
      </c>
    </row>
    <row r="88" spans="1:14" x14ac:dyDescent="0.2">
      <c r="A88" s="236">
        <v>86</v>
      </c>
      <c r="B88" s="229" t="s">
        <v>1368</v>
      </c>
      <c r="C88" s="230" t="s">
        <v>4025</v>
      </c>
      <c r="D88" s="230">
        <v>8.64</v>
      </c>
      <c r="E88" s="291">
        <v>8.5500000000000007</v>
      </c>
      <c r="F88" s="230">
        <v>8.5</v>
      </c>
      <c r="G88" s="230">
        <v>0.64</v>
      </c>
      <c r="H88" s="230">
        <v>1</v>
      </c>
      <c r="I88" s="230">
        <v>12</v>
      </c>
      <c r="J88" s="230">
        <v>1</v>
      </c>
      <c r="K88" s="229" t="s">
        <v>1715</v>
      </c>
      <c r="L88" s="230">
        <v>2014</v>
      </c>
      <c r="M88" s="230" t="s">
        <v>1817</v>
      </c>
      <c r="N88" s="231" t="s">
        <v>4027</v>
      </c>
    </row>
    <row r="89" spans="1:14" x14ac:dyDescent="0.2">
      <c r="A89" s="236">
        <v>87</v>
      </c>
      <c r="B89" s="226" t="s">
        <v>3984</v>
      </c>
      <c r="C89" s="227" t="s">
        <v>3974</v>
      </c>
      <c r="D89" s="227">
        <v>7.75</v>
      </c>
      <c r="E89" s="325">
        <v>7.69</v>
      </c>
      <c r="F89" s="227">
        <v>7.75</v>
      </c>
      <c r="G89" s="227">
        <v>0.51</v>
      </c>
      <c r="H89" s="227">
        <v>0</v>
      </c>
      <c r="I89" s="227">
        <v>10</v>
      </c>
      <c r="J89" s="227">
        <v>0</v>
      </c>
      <c r="K89" s="226" t="s">
        <v>3988</v>
      </c>
      <c r="L89" s="227">
        <v>2026</v>
      </c>
      <c r="M89" s="227" t="s">
        <v>2422</v>
      </c>
      <c r="N89" s="228" t="s">
        <v>3989</v>
      </c>
    </row>
    <row r="90" spans="1:14" x14ac:dyDescent="0.2">
      <c r="A90" s="236">
        <v>88</v>
      </c>
      <c r="B90" s="229" t="s">
        <v>4009</v>
      </c>
      <c r="C90" s="230" t="s">
        <v>4010</v>
      </c>
      <c r="D90" s="230">
        <v>8.77</v>
      </c>
      <c r="E90" s="270">
        <v>8.7899999999999991</v>
      </c>
      <c r="F90" s="230">
        <v>8.5</v>
      </c>
      <c r="G90" s="230">
        <v>0.89</v>
      </c>
      <c r="H90" s="230">
        <v>3</v>
      </c>
      <c r="I90" s="230">
        <v>15</v>
      </c>
      <c r="J90" s="230">
        <v>0</v>
      </c>
      <c r="K90" s="229" t="s">
        <v>4011</v>
      </c>
      <c r="L90" s="230">
        <v>1989</v>
      </c>
      <c r="M90" s="230" t="s">
        <v>1775</v>
      </c>
      <c r="N90" s="231" t="s">
        <v>3989</v>
      </c>
    </row>
    <row r="91" spans="1:14" x14ac:dyDescent="0.2">
      <c r="A91" s="236">
        <v>89</v>
      </c>
      <c r="B91" s="226" t="s">
        <v>296</v>
      </c>
      <c r="C91" s="227" t="s">
        <v>3985</v>
      </c>
      <c r="D91" s="227">
        <v>9.1300000000000008</v>
      </c>
      <c r="E91" s="250">
        <v>9.1</v>
      </c>
      <c r="F91" s="227">
        <v>9.25</v>
      </c>
      <c r="G91" s="227">
        <v>0.96</v>
      </c>
      <c r="H91" s="227">
        <v>3</v>
      </c>
      <c r="I91" s="227">
        <v>8</v>
      </c>
      <c r="J91" s="227">
        <v>0</v>
      </c>
      <c r="K91" s="226" t="s">
        <v>1893</v>
      </c>
      <c r="L91" s="227">
        <v>1973</v>
      </c>
      <c r="M91" s="227" t="s">
        <v>1779</v>
      </c>
      <c r="N91" s="228" t="s">
        <v>3989</v>
      </c>
    </row>
    <row r="92" spans="1:14" x14ac:dyDescent="0.2">
      <c r="A92" s="236">
        <v>90</v>
      </c>
      <c r="B92" s="229" t="s">
        <v>3987</v>
      </c>
      <c r="C92" s="230" t="s">
        <v>3986</v>
      </c>
      <c r="D92" s="230">
        <v>8.67</v>
      </c>
      <c r="E92" s="290">
        <v>8.56</v>
      </c>
      <c r="F92" s="230">
        <v>8.5</v>
      </c>
      <c r="G92" s="230">
        <v>0.8</v>
      </c>
      <c r="H92" s="230">
        <v>2</v>
      </c>
      <c r="I92" s="230">
        <v>13</v>
      </c>
      <c r="J92" s="230">
        <v>1</v>
      </c>
      <c r="K92" s="229" t="s">
        <v>712</v>
      </c>
      <c r="L92" s="230">
        <v>1997</v>
      </c>
      <c r="M92" s="230" t="s">
        <v>1785</v>
      </c>
      <c r="N92" s="231" t="s">
        <v>3990</v>
      </c>
    </row>
    <row r="93" spans="1:14" x14ac:dyDescent="0.2">
      <c r="A93" s="236">
        <v>91</v>
      </c>
      <c r="B93" s="226" t="s">
        <v>632</v>
      </c>
      <c r="C93" s="227" t="s">
        <v>3949</v>
      </c>
      <c r="D93" s="227">
        <v>8.75</v>
      </c>
      <c r="E93" s="276">
        <v>8.7200000000000006</v>
      </c>
      <c r="F93" s="227">
        <v>8.75</v>
      </c>
      <c r="G93" s="227">
        <v>0.25</v>
      </c>
      <c r="H93" s="227">
        <v>0</v>
      </c>
      <c r="I93" s="227">
        <v>2</v>
      </c>
      <c r="J93" s="227">
        <v>0</v>
      </c>
      <c r="K93" s="226" t="s">
        <v>3951</v>
      </c>
      <c r="L93" s="227">
        <v>2003</v>
      </c>
      <c r="M93" s="227" t="s">
        <v>1804</v>
      </c>
      <c r="N93" s="228" t="s">
        <v>3952</v>
      </c>
    </row>
    <row r="94" spans="1:14" x14ac:dyDescent="0.2">
      <c r="A94" s="236">
        <v>92</v>
      </c>
      <c r="B94" s="229" t="s">
        <v>3929</v>
      </c>
      <c r="C94" s="230" t="s">
        <v>3924</v>
      </c>
      <c r="D94" s="230">
        <v>8.83</v>
      </c>
      <c r="E94" s="266">
        <v>8.85</v>
      </c>
      <c r="F94" s="230">
        <v>8.5</v>
      </c>
      <c r="G94" s="230">
        <v>0.85</v>
      </c>
      <c r="H94" s="230">
        <v>2</v>
      </c>
      <c r="I94" s="230">
        <v>9</v>
      </c>
      <c r="J94" s="230">
        <v>0</v>
      </c>
      <c r="K94" s="229" t="s">
        <v>3930</v>
      </c>
      <c r="L94" s="230">
        <v>1969</v>
      </c>
      <c r="M94" s="230" t="s">
        <v>1766</v>
      </c>
      <c r="N94" s="231" t="s">
        <v>3931</v>
      </c>
    </row>
    <row r="95" spans="1:14" x14ac:dyDescent="0.2">
      <c r="A95" s="236">
        <v>93</v>
      </c>
      <c r="B95" s="226" t="s">
        <v>1300</v>
      </c>
      <c r="C95" s="227" t="s">
        <v>3945</v>
      </c>
      <c r="D95" s="227">
        <v>8.5</v>
      </c>
      <c r="E95" s="300">
        <v>8.43</v>
      </c>
      <c r="F95" s="227">
        <v>8.5</v>
      </c>
      <c r="G95" s="227">
        <v>0.67</v>
      </c>
      <c r="H95" s="227">
        <v>1</v>
      </c>
      <c r="I95" s="227">
        <v>11</v>
      </c>
      <c r="J95" s="227">
        <v>1</v>
      </c>
      <c r="K95" s="226" t="s">
        <v>3946</v>
      </c>
      <c r="L95" s="227">
        <v>2009</v>
      </c>
      <c r="M95" s="227" t="s">
        <v>1801</v>
      </c>
      <c r="N95" s="228" t="s">
        <v>3931</v>
      </c>
    </row>
    <row r="96" spans="1:14" x14ac:dyDescent="0.2">
      <c r="A96" s="236">
        <v>94</v>
      </c>
      <c r="B96" s="229" t="s">
        <v>2697</v>
      </c>
      <c r="C96" s="230" t="s">
        <v>3885</v>
      </c>
      <c r="D96" s="230">
        <v>8.68</v>
      </c>
      <c r="E96" s="277">
        <v>8.7100000000000009</v>
      </c>
      <c r="F96" s="230">
        <v>8.5</v>
      </c>
      <c r="G96" s="230">
        <v>0.91</v>
      </c>
      <c r="H96" s="230">
        <v>2</v>
      </c>
      <c r="I96" s="230">
        <v>15</v>
      </c>
      <c r="J96" s="230">
        <v>4</v>
      </c>
      <c r="K96" s="229" t="s">
        <v>3888</v>
      </c>
      <c r="L96" s="230">
        <v>2005</v>
      </c>
      <c r="M96" s="230" t="s">
        <v>1799</v>
      </c>
      <c r="N96" s="231" t="s">
        <v>3889</v>
      </c>
    </row>
    <row r="97" spans="1:14" x14ac:dyDescent="0.2">
      <c r="A97" s="236">
        <v>95</v>
      </c>
      <c r="B97" s="226" t="s">
        <v>1174</v>
      </c>
      <c r="C97" s="227" t="s">
        <v>3899</v>
      </c>
      <c r="D97" s="227">
        <v>8.3800000000000008</v>
      </c>
      <c r="E97" s="426">
        <v>8.4</v>
      </c>
      <c r="F97" s="227">
        <v>8.25</v>
      </c>
      <c r="G97" s="227">
        <v>0.99</v>
      </c>
      <c r="H97" s="227">
        <v>1</v>
      </c>
      <c r="I97" s="227">
        <v>8</v>
      </c>
      <c r="J97" s="227">
        <v>0</v>
      </c>
      <c r="K97" s="226" t="s">
        <v>3904</v>
      </c>
      <c r="L97" s="227">
        <v>1998</v>
      </c>
      <c r="M97" s="227" t="s">
        <v>1774</v>
      </c>
      <c r="N97" s="228" t="s">
        <v>3889</v>
      </c>
    </row>
    <row r="98" spans="1:14" x14ac:dyDescent="0.2">
      <c r="A98" s="236">
        <v>96</v>
      </c>
      <c r="B98" s="229" t="s">
        <v>3918</v>
      </c>
      <c r="C98" s="230" t="s">
        <v>3913</v>
      </c>
      <c r="D98" s="230">
        <v>8.5</v>
      </c>
      <c r="E98" s="299">
        <v>8.4499999999999993</v>
      </c>
      <c r="F98" s="230">
        <v>8.5</v>
      </c>
      <c r="G98" s="230">
        <v>0.59</v>
      </c>
      <c r="H98" s="230">
        <v>1</v>
      </c>
      <c r="I98" s="230">
        <v>10</v>
      </c>
      <c r="J98" s="230">
        <v>0</v>
      </c>
      <c r="K98" s="229" t="s">
        <v>3919</v>
      </c>
      <c r="L98" s="230">
        <v>1998</v>
      </c>
      <c r="M98" s="230" t="s">
        <v>1789</v>
      </c>
      <c r="N98" s="231" t="s">
        <v>3889</v>
      </c>
    </row>
    <row r="99" spans="1:14" x14ac:dyDescent="0.2">
      <c r="A99" s="236">
        <v>97</v>
      </c>
      <c r="B99" s="226" t="s">
        <v>1368</v>
      </c>
      <c r="C99" s="227" t="s">
        <v>3834</v>
      </c>
      <c r="D99" s="227">
        <v>8.65</v>
      </c>
      <c r="E99" s="277">
        <v>8.7100000000000009</v>
      </c>
      <c r="F99" s="227">
        <v>8.5</v>
      </c>
      <c r="G99" s="227">
        <v>0.65</v>
      </c>
      <c r="H99" s="227">
        <v>2</v>
      </c>
      <c r="I99" s="227">
        <v>30</v>
      </c>
      <c r="J99" s="227">
        <v>4</v>
      </c>
      <c r="K99" s="226" t="s">
        <v>3836</v>
      </c>
      <c r="L99" s="227">
        <v>2001</v>
      </c>
      <c r="M99" s="227" t="s">
        <v>3837</v>
      </c>
      <c r="N99" s="228" t="s">
        <v>3838</v>
      </c>
    </row>
    <row r="100" spans="1:14" x14ac:dyDescent="0.2">
      <c r="A100" s="236">
        <v>98</v>
      </c>
      <c r="B100" s="229" t="s">
        <v>2841</v>
      </c>
      <c r="C100" s="230" t="s">
        <v>3851</v>
      </c>
      <c r="D100" s="230">
        <v>8.27</v>
      </c>
      <c r="E100" s="315">
        <v>8.1300000000000008</v>
      </c>
      <c r="F100" s="230">
        <v>8</v>
      </c>
      <c r="G100" s="230">
        <v>0.86</v>
      </c>
      <c r="H100" s="230">
        <v>1</v>
      </c>
      <c r="I100" s="230">
        <v>11</v>
      </c>
      <c r="J100" s="230">
        <v>0</v>
      </c>
      <c r="K100" s="229" t="s">
        <v>3852</v>
      </c>
      <c r="L100" s="230">
        <v>1995</v>
      </c>
      <c r="M100" s="230" t="s">
        <v>1774</v>
      </c>
      <c r="N100" s="231" t="s">
        <v>3838</v>
      </c>
    </row>
    <row r="101" spans="1:14" x14ac:dyDescent="0.2">
      <c r="A101" s="236">
        <v>99</v>
      </c>
      <c r="B101" s="226" t="s">
        <v>3865</v>
      </c>
      <c r="C101" s="227" t="s">
        <v>3866</v>
      </c>
      <c r="D101" s="227">
        <v>8.64</v>
      </c>
      <c r="E101" s="293">
        <v>8.5299999999999994</v>
      </c>
      <c r="F101" s="227">
        <v>8.5</v>
      </c>
      <c r="G101" s="227">
        <v>0.61</v>
      </c>
      <c r="H101" s="227">
        <v>0</v>
      </c>
      <c r="I101" s="227">
        <v>11</v>
      </c>
      <c r="J101" s="227">
        <v>0</v>
      </c>
      <c r="K101" s="226" t="s">
        <v>3869</v>
      </c>
      <c r="L101" s="227">
        <v>1995</v>
      </c>
      <c r="M101" s="227" t="s">
        <v>1805</v>
      </c>
      <c r="N101" s="228" t="s">
        <v>3838</v>
      </c>
    </row>
    <row r="102" spans="1:14" x14ac:dyDescent="0.2">
      <c r="A102" s="236">
        <v>100</v>
      </c>
      <c r="B102" s="229" t="s">
        <v>3798</v>
      </c>
      <c r="C102" s="230" t="s">
        <v>3799</v>
      </c>
      <c r="D102" s="230">
        <v>8.11</v>
      </c>
      <c r="E102" s="420">
        <v>8.01</v>
      </c>
      <c r="F102" s="230">
        <v>8</v>
      </c>
      <c r="G102" s="230">
        <v>0.81</v>
      </c>
      <c r="H102" s="230">
        <v>1</v>
      </c>
      <c r="I102" s="230">
        <v>10</v>
      </c>
      <c r="J102" s="230">
        <v>1</v>
      </c>
      <c r="K102" s="229" t="s">
        <v>996</v>
      </c>
      <c r="L102" s="230">
        <v>2018</v>
      </c>
      <c r="M102" s="230" t="s">
        <v>1804</v>
      </c>
      <c r="N102" s="231" t="s">
        <v>3800</v>
      </c>
    </row>
    <row r="103" spans="1:14" x14ac:dyDescent="0.2">
      <c r="A103" s="236">
        <v>101</v>
      </c>
      <c r="B103" s="226" t="s">
        <v>3637</v>
      </c>
      <c r="C103" s="227" t="s">
        <v>3625</v>
      </c>
      <c r="D103" s="227">
        <v>8.67</v>
      </c>
      <c r="E103" s="289">
        <v>8.57</v>
      </c>
      <c r="F103" s="227">
        <v>8.5</v>
      </c>
      <c r="G103" s="227">
        <v>0.67</v>
      </c>
      <c r="H103" s="227">
        <v>1</v>
      </c>
      <c r="I103" s="227">
        <v>9</v>
      </c>
      <c r="J103" s="227">
        <v>0</v>
      </c>
      <c r="K103" s="226" t="s">
        <v>3638</v>
      </c>
      <c r="L103" s="227">
        <v>1981</v>
      </c>
      <c r="M103" s="227" t="s">
        <v>1795</v>
      </c>
      <c r="N103" s="228" t="s">
        <v>3639</v>
      </c>
    </row>
    <row r="104" spans="1:14" x14ac:dyDescent="0.2">
      <c r="A104" s="236">
        <v>102</v>
      </c>
      <c r="B104" s="229" t="s">
        <v>3617</v>
      </c>
      <c r="C104" s="230" t="s">
        <v>3618</v>
      </c>
      <c r="D104" s="230">
        <v>8.5399999999999991</v>
      </c>
      <c r="E104" s="296">
        <v>8.49</v>
      </c>
      <c r="F104" s="230">
        <v>8</v>
      </c>
      <c r="G104" s="230">
        <v>0.82</v>
      </c>
      <c r="H104" s="230">
        <v>1</v>
      </c>
      <c r="I104" s="230">
        <v>13</v>
      </c>
      <c r="J104" s="230">
        <v>0</v>
      </c>
      <c r="K104" s="229" t="s">
        <v>3623</v>
      </c>
      <c r="L104" s="230">
        <v>2023</v>
      </c>
      <c r="M104" s="230" t="s">
        <v>1774</v>
      </c>
      <c r="N104" s="231" t="s">
        <v>3622</v>
      </c>
    </row>
    <row r="105" spans="1:14" x14ac:dyDescent="0.2">
      <c r="A105" s="236">
        <v>103</v>
      </c>
      <c r="B105" s="226" t="s">
        <v>3619</v>
      </c>
      <c r="C105" s="227" t="s">
        <v>3619</v>
      </c>
      <c r="D105" s="227">
        <v>8.39</v>
      </c>
      <c r="E105" s="416">
        <v>8.36</v>
      </c>
      <c r="F105" s="227">
        <v>8.5</v>
      </c>
      <c r="G105" s="227">
        <v>0.39</v>
      </c>
      <c r="H105" s="227">
        <v>0</v>
      </c>
      <c r="I105" s="227">
        <v>9</v>
      </c>
      <c r="J105" s="227">
        <v>0</v>
      </c>
      <c r="K105" s="226" t="s">
        <v>3621</v>
      </c>
      <c r="L105" s="227">
        <v>1999</v>
      </c>
      <c r="M105" s="227" t="s">
        <v>1779</v>
      </c>
      <c r="N105" s="228" t="s">
        <v>3622</v>
      </c>
    </row>
    <row r="106" spans="1:14" x14ac:dyDescent="0.2">
      <c r="A106" s="236">
        <v>104</v>
      </c>
      <c r="B106" s="229" t="s">
        <v>3580</v>
      </c>
      <c r="C106" s="230" t="s">
        <v>3581</v>
      </c>
      <c r="D106" s="230">
        <v>9</v>
      </c>
      <c r="E106" s="258">
        <v>8.9499999999999993</v>
      </c>
      <c r="F106" s="230">
        <v>9</v>
      </c>
      <c r="G106" s="230">
        <v>0.55000000000000004</v>
      </c>
      <c r="H106" s="230">
        <v>1</v>
      </c>
      <c r="I106" s="230">
        <v>10</v>
      </c>
      <c r="J106" s="230">
        <v>0</v>
      </c>
      <c r="K106" s="229" t="s">
        <v>3582</v>
      </c>
      <c r="L106" s="230">
        <v>1999</v>
      </c>
      <c r="M106" s="230" t="s">
        <v>1779</v>
      </c>
      <c r="N106" s="231" t="s">
        <v>3583</v>
      </c>
    </row>
    <row r="107" spans="1:14" x14ac:dyDescent="0.2">
      <c r="A107" s="236">
        <v>105</v>
      </c>
      <c r="B107" s="226" t="s">
        <v>3615</v>
      </c>
      <c r="C107" s="227" t="s">
        <v>3616</v>
      </c>
      <c r="D107" s="227">
        <v>8.75</v>
      </c>
      <c r="E107" s="271">
        <v>8.7799999999999994</v>
      </c>
      <c r="F107" s="227">
        <v>8.5</v>
      </c>
      <c r="G107" s="227">
        <v>0.85</v>
      </c>
      <c r="H107" s="227">
        <v>1</v>
      </c>
      <c r="I107" s="227">
        <v>6</v>
      </c>
      <c r="J107" s="227">
        <v>0</v>
      </c>
      <c r="K107" s="226" t="s">
        <v>3620</v>
      </c>
      <c r="L107" s="227">
        <v>1969</v>
      </c>
      <c r="M107" s="227" t="s">
        <v>1802</v>
      </c>
      <c r="N107" s="228" t="s">
        <v>3583</v>
      </c>
    </row>
    <row r="108" spans="1:14" x14ac:dyDescent="0.2">
      <c r="A108" s="236">
        <v>106</v>
      </c>
      <c r="B108" s="229" t="s">
        <v>3561</v>
      </c>
      <c r="C108" s="230" t="s">
        <v>3562</v>
      </c>
      <c r="D108" s="230">
        <v>8.35</v>
      </c>
      <c r="E108" s="307">
        <v>8.27</v>
      </c>
      <c r="F108" s="230">
        <v>8.25</v>
      </c>
      <c r="G108" s="230">
        <v>0.5</v>
      </c>
      <c r="H108" s="230">
        <v>0</v>
      </c>
      <c r="I108" s="230">
        <v>10</v>
      </c>
      <c r="J108" s="230">
        <v>0</v>
      </c>
      <c r="K108" s="229" t="s">
        <v>3566</v>
      </c>
      <c r="L108" s="230">
        <v>2025</v>
      </c>
      <c r="M108" s="230" t="s">
        <v>1786</v>
      </c>
      <c r="N108" s="231" t="s">
        <v>3567</v>
      </c>
    </row>
    <row r="109" spans="1:14" x14ac:dyDescent="0.2">
      <c r="A109" s="236">
        <v>107</v>
      </c>
      <c r="B109" s="226" t="s">
        <v>301</v>
      </c>
      <c r="C109" s="227" t="s">
        <v>3522</v>
      </c>
      <c r="D109" s="227">
        <v>8.0399999999999991</v>
      </c>
      <c r="E109" s="404">
        <v>7.96</v>
      </c>
      <c r="F109" s="227">
        <v>8</v>
      </c>
      <c r="G109" s="227">
        <v>0.57999999999999996</v>
      </c>
      <c r="H109" s="227">
        <v>0</v>
      </c>
      <c r="I109" s="227">
        <v>14</v>
      </c>
      <c r="J109" s="227">
        <v>0</v>
      </c>
      <c r="K109" s="226" t="s">
        <v>2867</v>
      </c>
      <c r="L109" s="227">
        <v>1996</v>
      </c>
      <c r="M109" s="227" t="s">
        <v>3524</v>
      </c>
      <c r="N109" s="228" t="s">
        <v>3525</v>
      </c>
    </row>
    <row r="110" spans="1:14" x14ac:dyDescent="0.2">
      <c r="A110" s="236">
        <v>108</v>
      </c>
      <c r="B110" s="229" t="s">
        <v>3536</v>
      </c>
      <c r="C110" s="230" t="s">
        <v>3530</v>
      </c>
      <c r="D110" s="230">
        <v>8.5</v>
      </c>
      <c r="E110" s="300">
        <v>8.43</v>
      </c>
      <c r="F110" s="230">
        <v>8.5</v>
      </c>
      <c r="G110" s="230">
        <v>0.53</v>
      </c>
      <c r="H110" s="230">
        <v>0</v>
      </c>
      <c r="I110" s="230">
        <v>10</v>
      </c>
      <c r="J110" s="230">
        <v>1</v>
      </c>
      <c r="K110" s="229" t="s">
        <v>3539</v>
      </c>
      <c r="L110" s="230">
        <v>2021</v>
      </c>
      <c r="M110" s="230" t="s">
        <v>1778</v>
      </c>
      <c r="N110" s="231" t="s">
        <v>3525</v>
      </c>
    </row>
    <row r="111" spans="1:14" x14ac:dyDescent="0.2">
      <c r="A111" s="236">
        <v>109</v>
      </c>
      <c r="B111" s="226" t="s">
        <v>3563</v>
      </c>
      <c r="C111" s="227" t="s">
        <v>3564</v>
      </c>
      <c r="D111" s="227">
        <v>8.7899999999999991</v>
      </c>
      <c r="E111" s="280">
        <v>8.67</v>
      </c>
      <c r="F111" s="227">
        <v>8.5</v>
      </c>
      <c r="G111" s="227">
        <v>0.7</v>
      </c>
      <c r="H111" s="227">
        <v>1</v>
      </c>
      <c r="I111" s="227">
        <v>7</v>
      </c>
      <c r="J111" s="227">
        <v>0</v>
      </c>
      <c r="K111" s="226" t="s">
        <v>3565</v>
      </c>
      <c r="L111" s="227">
        <v>1981</v>
      </c>
      <c r="M111" s="227" t="s">
        <v>1779</v>
      </c>
      <c r="N111" s="228" t="s">
        <v>3525</v>
      </c>
    </row>
    <row r="112" spans="1:14" x14ac:dyDescent="0.2">
      <c r="A112" s="236">
        <v>110</v>
      </c>
      <c r="B112" s="229" t="s">
        <v>1054</v>
      </c>
      <c r="C112" s="230" t="s">
        <v>3497</v>
      </c>
      <c r="D112" s="230">
        <v>8.7200000000000006</v>
      </c>
      <c r="E112" s="284">
        <v>8.6300000000000008</v>
      </c>
      <c r="F112" s="230">
        <v>8.5</v>
      </c>
      <c r="G112" s="230">
        <v>0.57999999999999996</v>
      </c>
      <c r="H112" s="230">
        <v>1</v>
      </c>
      <c r="I112" s="230">
        <v>9</v>
      </c>
      <c r="J112" s="230">
        <v>0</v>
      </c>
      <c r="K112" s="229" t="s">
        <v>2035</v>
      </c>
      <c r="L112" s="230">
        <v>1995</v>
      </c>
      <c r="M112" s="230" t="s">
        <v>1810</v>
      </c>
      <c r="N112" s="231" t="s">
        <v>3507</v>
      </c>
    </row>
    <row r="113" spans="1:14" x14ac:dyDescent="0.2">
      <c r="A113" s="236">
        <v>111</v>
      </c>
      <c r="B113" s="226" t="s">
        <v>1300</v>
      </c>
      <c r="C113" s="227" t="s">
        <v>3463</v>
      </c>
      <c r="D113" s="227">
        <v>8.36</v>
      </c>
      <c r="E113" s="305">
        <v>8.34</v>
      </c>
      <c r="F113" s="227">
        <v>8</v>
      </c>
      <c r="G113" s="227">
        <v>0.91</v>
      </c>
      <c r="H113" s="227">
        <v>1</v>
      </c>
      <c r="I113" s="227">
        <v>12</v>
      </c>
      <c r="J113" s="227">
        <v>1</v>
      </c>
      <c r="K113" s="226" t="s">
        <v>2367</v>
      </c>
      <c r="L113" s="227">
        <v>2005</v>
      </c>
      <c r="M113" s="227" t="s">
        <v>1783</v>
      </c>
      <c r="N113" s="228" t="s">
        <v>3475</v>
      </c>
    </row>
    <row r="114" spans="1:14" x14ac:dyDescent="0.2">
      <c r="A114" s="236">
        <v>112</v>
      </c>
      <c r="B114" s="229" t="s">
        <v>3493</v>
      </c>
      <c r="C114" s="230" t="s">
        <v>3486</v>
      </c>
      <c r="D114" s="230">
        <v>8.82</v>
      </c>
      <c r="E114" s="336">
        <v>8.69</v>
      </c>
      <c r="F114" s="230">
        <v>8.5</v>
      </c>
      <c r="G114" s="230">
        <v>0.61</v>
      </c>
      <c r="H114" s="230">
        <v>1</v>
      </c>
      <c r="I114" s="230">
        <v>13</v>
      </c>
      <c r="J114" s="230">
        <v>2</v>
      </c>
      <c r="K114" s="229" t="s">
        <v>3494</v>
      </c>
      <c r="L114" s="230">
        <v>2007</v>
      </c>
      <c r="M114" s="230" t="s">
        <v>1810</v>
      </c>
      <c r="N114" s="231" t="s">
        <v>3475</v>
      </c>
    </row>
    <row r="115" spans="1:14" x14ac:dyDescent="0.2">
      <c r="A115" s="236">
        <v>113</v>
      </c>
      <c r="B115" s="226" t="s">
        <v>2823</v>
      </c>
      <c r="C115" s="227" t="s">
        <v>3448</v>
      </c>
      <c r="D115" s="227">
        <v>8.35</v>
      </c>
      <c r="E115" s="309">
        <v>8.24</v>
      </c>
      <c r="F115" s="227">
        <v>8.25</v>
      </c>
      <c r="G115" s="227">
        <v>0.87</v>
      </c>
      <c r="H115" s="227">
        <v>1</v>
      </c>
      <c r="I115" s="227">
        <v>12</v>
      </c>
      <c r="J115" s="227">
        <v>2</v>
      </c>
      <c r="K115" s="226" t="s">
        <v>2826</v>
      </c>
      <c r="L115" s="227">
        <v>2000</v>
      </c>
      <c r="M115" s="227" t="s">
        <v>1765</v>
      </c>
      <c r="N115" s="228" t="s">
        <v>3449</v>
      </c>
    </row>
    <row r="116" spans="1:14" x14ac:dyDescent="0.2">
      <c r="A116" s="236">
        <v>114</v>
      </c>
      <c r="B116" s="229" t="s">
        <v>300</v>
      </c>
      <c r="C116" s="230" t="s">
        <v>3450</v>
      </c>
      <c r="D116" s="230">
        <v>7.75</v>
      </c>
      <c r="E116" s="326">
        <v>7.66</v>
      </c>
      <c r="F116" s="230">
        <v>7.75</v>
      </c>
      <c r="G116" s="230">
        <v>0.75</v>
      </c>
      <c r="H116" s="230">
        <v>0</v>
      </c>
      <c r="I116" s="230">
        <v>10</v>
      </c>
      <c r="J116" s="230">
        <v>0</v>
      </c>
      <c r="K116" s="229" t="s">
        <v>987</v>
      </c>
      <c r="L116" s="230">
        <v>2011</v>
      </c>
      <c r="M116" s="230" t="s">
        <v>1796</v>
      </c>
      <c r="N116" s="231" t="s">
        <v>3449</v>
      </c>
    </row>
    <row r="117" spans="1:14" x14ac:dyDescent="0.2">
      <c r="A117" s="236">
        <v>115</v>
      </c>
      <c r="B117" s="226" t="s">
        <v>2584</v>
      </c>
      <c r="C117" s="227" t="s">
        <v>3429</v>
      </c>
      <c r="D117" s="227">
        <v>8.81</v>
      </c>
      <c r="E117" s="267">
        <v>8.83</v>
      </c>
      <c r="F117" s="227">
        <v>8.5</v>
      </c>
      <c r="G117" s="227">
        <v>0.79</v>
      </c>
      <c r="H117" s="227">
        <v>1</v>
      </c>
      <c r="I117" s="227">
        <v>8</v>
      </c>
      <c r="J117" s="227">
        <v>0</v>
      </c>
      <c r="K117" s="226" t="s">
        <v>3433</v>
      </c>
      <c r="L117" s="227">
        <v>1973</v>
      </c>
      <c r="M117" s="227" t="s">
        <v>1769</v>
      </c>
      <c r="N117" s="228" t="s">
        <v>3434</v>
      </c>
    </row>
    <row r="118" spans="1:14" x14ac:dyDescent="0.2">
      <c r="A118" s="236">
        <v>116</v>
      </c>
      <c r="B118" s="229" t="s">
        <v>2459</v>
      </c>
      <c r="C118" s="230" t="s">
        <v>3418</v>
      </c>
      <c r="D118" s="230">
        <v>9</v>
      </c>
      <c r="E118" s="257">
        <v>8.9600000000000009</v>
      </c>
      <c r="F118" s="230">
        <v>9</v>
      </c>
      <c r="G118" s="230">
        <v>0.32</v>
      </c>
      <c r="H118" s="230">
        <v>0</v>
      </c>
      <c r="I118" s="230">
        <v>5</v>
      </c>
      <c r="J118" s="230">
        <v>0</v>
      </c>
      <c r="K118" s="229" t="s">
        <v>1005</v>
      </c>
      <c r="L118" s="230">
        <v>2002</v>
      </c>
      <c r="M118" s="230" t="s">
        <v>1791</v>
      </c>
      <c r="N118" s="231" t="s">
        <v>3419</v>
      </c>
    </row>
    <row r="119" spans="1:14" x14ac:dyDescent="0.2">
      <c r="A119" s="236">
        <v>117</v>
      </c>
      <c r="B119" s="226" t="s">
        <v>3380</v>
      </c>
      <c r="C119" s="227" t="s">
        <v>3381</v>
      </c>
      <c r="D119" s="227">
        <v>9</v>
      </c>
      <c r="E119" s="260">
        <v>8.92</v>
      </c>
      <c r="F119" s="227">
        <v>8.75</v>
      </c>
      <c r="G119" s="227">
        <v>0.61</v>
      </c>
      <c r="H119" s="227">
        <v>1</v>
      </c>
      <c r="I119" s="227">
        <v>4</v>
      </c>
      <c r="J119" s="227">
        <v>0</v>
      </c>
      <c r="K119" s="226" t="s">
        <v>3382</v>
      </c>
      <c r="L119" s="227">
        <v>1988</v>
      </c>
      <c r="M119" s="227" t="s">
        <v>1779</v>
      </c>
      <c r="N119" s="228" t="s">
        <v>3383</v>
      </c>
    </row>
    <row r="120" spans="1:14" x14ac:dyDescent="0.2">
      <c r="A120" s="236">
        <v>118</v>
      </c>
      <c r="B120" s="229" t="s">
        <v>1555</v>
      </c>
      <c r="C120" s="230" t="s">
        <v>3430</v>
      </c>
      <c r="D120" s="230">
        <v>8.61</v>
      </c>
      <c r="E120" s="294">
        <v>8.52</v>
      </c>
      <c r="F120" s="230">
        <v>8.5</v>
      </c>
      <c r="G120" s="230">
        <v>0.62</v>
      </c>
      <c r="H120" s="230">
        <v>2</v>
      </c>
      <c r="I120" s="230">
        <v>26</v>
      </c>
      <c r="J120" s="230">
        <v>3</v>
      </c>
      <c r="K120" s="229" t="s">
        <v>1556</v>
      </c>
      <c r="L120" s="230">
        <v>1996</v>
      </c>
      <c r="M120" s="230" t="s">
        <v>3474</v>
      </c>
      <c r="N120" s="231" t="s">
        <v>3383</v>
      </c>
    </row>
    <row r="121" spans="1:14" x14ac:dyDescent="0.2">
      <c r="A121" s="236">
        <v>119</v>
      </c>
      <c r="B121" s="226" t="s">
        <v>3373</v>
      </c>
      <c r="C121" s="227" t="s">
        <v>3373</v>
      </c>
      <c r="D121" s="227">
        <v>7.75</v>
      </c>
      <c r="E121" s="326">
        <v>7.66</v>
      </c>
      <c r="F121" s="227">
        <v>7.75</v>
      </c>
      <c r="G121" s="227">
        <v>0.73</v>
      </c>
      <c r="H121" s="227">
        <v>0</v>
      </c>
      <c r="I121" s="227">
        <v>15</v>
      </c>
      <c r="J121" s="227">
        <v>1</v>
      </c>
      <c r="K121" s="226" t="s">
        <v>1018</v>
      </c>
      <c r="L121" s="227">
        <v>1999</v>
      </c>
      <c r="M121" s="227" t="s">
        <v>1810</v>
      </c>
      <c r="N121" s="228" t="s">
        <v>3374</v>
      </c>
    </row>
    <row r="122" spans="1:14" x14ac:dyDescent="0.2">
      <c r="A122" s="236">
        <v>120</v>
      </c>
      <c r="B122" s="229" t="s">
        <v>1368</v>
      </c>
      <c r="C122" s="230" t="s">
        <v>3334</v>
      </c>
      <c r="D122" s="230">
        <v>8.6</v>
      </c>
      <c r="E122" s="281">
        <v>8.66</v>
      </c>
      <c r="F122" s="230">
        <v>8.5</v>
      </c>
      <c r="G122" s="230">
        <v>0.89</v>
      </c>
      <c r="H122" s="230">
        <v>4</v>
      </c>
      <c r="I122" s="230">
        <v>24</v>
      </c>
      <c r="J122" s="230">
        <v>0</v>
      </c>
      <c r="K122" s="229" t="s">
        <v>3349</v>
      </c>
      <c r="L122" s="230">
        <v>1994</v>
      </c>
      <c r="M122" s="230" t="s">
        <v>3350</v>
      </c>
      <c r="N122" s="231" t="s">
        <v>3351</v>
      </c>
    </row>
    <row r="123" spans="1:14" x14ac:dyDescent="0.2">
      <c r="A123" s="236">
        <v>121</v>
      </c>
      <c r="B123" s="226" t="s">
        <v>2477</v>
      </c>
      <c r="C123" s="227" t="s">
        <v>3339</v>
      </c>
      <c r="D123" s="227">
        <v>8.65</v>
      </c>
      <c r="E123" s="290">
        <v>8.56</v>
      </c>
      <c r="F123" s="227">
        <v>8.5</v>
      </c>
      <c r="G123" s="227">
        <v>0.5</v>
      </c>
      <c r="H123" s="227">
        <v>0</v>
      </c>
      <c r="I123" s="227">
        <v>11</v>
      </c>
      <c r="J123" s="227">
        <v>1</v>
      </c>
      <c r="K123" s="226" t="s">
        <v>3352</v>
      </c>
      <c r="L123" s="227">
        <v>2005</v>
      </c>
      <c r="M123" s="227" t="s">
        <v>1774</v>
      </c>
      <c r="N123" s="228" t="s">
        <v>3351</v>
      </c>
    </row>
    <row r="124" spans="1:14" x14ac:dyDescent="0.2">
      <c r="A124" s="236">
        <v>122</v>
      </c>
      <c r="B124" s="229" t="s">
        <v>607</v>
      </c>
      <c r="C124" s="230" t="s">
        <v>3307</v>
      </c>
      <c r="D124" s="230">
        <v>8.3800000000000008</v>
      </c>
      <c r="E124" s="387">
        <v>8.2799999999999994</v>
      </c>
      <c r="F124" s="230">
        <v>8.25</v>
      </c>
      <c r="G124" s="230">
        <v>0.67</v>
      </c>
      <c r="H124" s="230">
        <v>1</v>
      </c>
      <c r="I124" s="230">
        <v>16</v>
      </c>
      <c r="J124" s="230">
        <v>0</v>
      </c>
      <c r="K124" s="229" t="s">
        <v>739</v>
      </c>
      <c r="L124" s="230">
        <v>2024</v>
      </c>
      <c r="M124" s="230" t="s">
        <v>1777</v>
      </c>
      <c r="N124" s="231" t="s">
        <v>3308</v>
      </c>
    </row>
    <row r="125" spans="1:14" x14ac:dyDescent="0.2">
      <c r="A125" s="236">
        <v>123</v>
      </c>
      <c r="B125" s="226" t="s">
        <v>1174</v>
      </c>
      <c r="C125" s="227" t="s">
        <v>3284</v>
      </c>
      <c r="D125" s="227">
        <v>8.1999999999999993</v>
      </c>
      <c r="E125" s="385">
        <v>8.2100000000000009</v>
      </c>
      <c r="F125" s="227">
        <v>8</v>
      </c>
      <c r="G125" s="227">
        <v>0.95</v>
      </c>
      <c r="H125" s="227">
        <v>1</v>
      </c>
      <c r="I125" s="227">
        <v>10</v>
      </c>
      <c r="J125" s="227">
        <v>0</v>
      </c>
      <c r="K125" s="226" t="s">
        <v>3285</v>
      </c>
      <c r="L125" s="227">
        <v>2002</v>
      </c>
      <c r="M125" s="227" t="s">
        <v>1769</v>
      </c>
      <c r="N125" s="228" t="s">
        <v>3286</v>
      </c>
    </row>
    <row r="126" spans="1:14" x14ac:dyDescent="0.2">
      <c r="A126" s="236">
        <v>124</v>
      </c>
      <c r="B126" s="229" t="s">
        <v>1368</v>
      </c>
      <c r="C126" s="230" t="s">
        <v>3283</v>
      </c>
      <c r="D126" s="230">
        <v>8.8000000000000007</v>
      </c>
      <c r="E126" s="278">
        <v>8.6999999999999993</v>
      </c>
      <c r="F126" s="230">
        <v>8.5</v>
      </c>
      <c r="G126" s="230">
        <v>0.68</v>
      </c>
      <c r="H126" s="230">
        <v>2</v>
      </c>
      <c r="I126" s="230">
        <v>10</v>
      </c>
      <c r="J126" s="230">
        <v>0</v>
      </c>
      <c r="K126" s="229" t="s">
        <v>3287</v>
      </c>
      <c r="L126" s="230">
        <v>1996</v>
      </c>
      <c r="M126" s="230" t="s">
        <v>3288</v>
      </c>
      <c r="N126" s="231" t="s">
        <v>3286</v>
      </c>
    </row>
    <row r="127" spans="1:14" x14ac:dyDescent="0.2">
      <c r="A127" s="236">
        <v>125</v>
      </c>
      <c r="B127" s="226" t="s">
        <v>3251</v>
      </c>
      <c r="C127" s="227" t="s">
        <v>3251</v>
      </c>
      <c r="D127" s="227">
        <v>8.82</v>
      </c>
      <c r="E127" s="267">
        <v>8.83</v>
      </c>
      <c r="F127" s="227">
        <v>8.5</v>
      </c>
      <c r="G127" s="227">
        <v>0.86</v>
      </c>
      <c r="H127" s="227">
        <v>2</v>
      </c>
      <c r="I127" s="227">
        <v>12</v>
      </c>
      <c r="J127" s="227">
        <v>1</v>
      </c>
      <c r="K127" s="226" t="s">
        <v>3252</v>
      </c>
      <c r="L127" s="227">
        <v>1989</v>
      </c>
      <c r="M127" s="227" t="s">
        <v>1786</v>
      </c>
      <c r="N127" s="228" t="s">
        <v>3253</v>
      </c>
    </row>
    <row r="128" spans="1:14" x14ac:dyDescent="0.2">
      <c r="A128" s="236">
        <v>126</v>
      </c>
      <c r="B128" s="229" t="s">
        <v>3259</v>
      </c>
      <c r="C128" s="230" t="s">
        <v>3260</v>
      </c>
      <c r="D128" s="230">
        <v>8.2899999999999991</v>
      </c>
      <c r="E128" s="348">
        <v>8.3000000000000007</v>
      </c>
      <c r="F128" s="230">
        <v>8.5</v>
      </c>
      <c r="G128" s="230">
        <v>0.25</v>
      </c>
      <c r="H128" s="230">
        <v>0</v>
      </c>
      <c r="I128" s="230">
        <v>8</v>
      </c>
      <c r="J128" s="230">
        <v>1</v>
      </c>
      <c r="K128" s="229" t="s">
        <v>3261</v>
      </c>
      <c r="L128" s="230">
        <v>1995</v>
      </c>
      <c r="M128" s="230" t="s">
        <v>1802</v>
      </c>
      <c r="N128" s="231" t="s">
        <v>3253</v>
      </c>
    </row>
    <row r="129" spans="1:14" x14ac:dyDescent="0.2">
      <c r="A129" s="236">
        <v>127</v>
      </c>
      <c r="B129" s="226" t="s">
        <v>2595</v>
      </c>
      <c r="C129" s="227" t="s">
        <v>3225</v>
      </c>
      <c r="D129" s="227">
        <v>8.6300000000000008</v>
      </c>
      <c r="E129" s="293">
        <v>8.5299999999999994</v>
      </c>
      <c r="F129" s="227">
        <v>8.5</v>
      </c>
      <c r="G129" s="227">
        <v>0.69</v>
      </c>
      <c r="H129" s="227">
        <v>1</v>
      </c>
      <c r="I129" s="227">
        <v>15</v>
      </c>
      <c r="J129" s="227">
        <v>0</v>
      </c>
      <c r="K129" s="226" t="s">
        <v>3226</v>
      </c>
      <c r="L129" s="227">
        <v>2018</v>
      </c>
      <c r="M129" s="227" t="s">
        <v>1776</v>
      </c>
      <c r="N129" s="228" t="s">
        <v>3227</v>
      </c>
    </row>
    <row r="130" spans="1:14" x14ac:dyDescent="0.2">
      <c r="A130" s="236">
        <v>128</v>
      </c>
      <c r="B130" s="229" t="s">
        <v>1410</v>
      </c>
      <c r="C130" s="230" t="s">
        <v>3168</v>
      </c>
      <c r="D130" s="230">
        <v>8.64</v>
      </c>
      <c r="E130" s="279">
        <v>8.68</v>
      </c>
      <c r="F130" s="230">
        <v>8.5</v>
      </c>
      <c r="G130" s="230">
        <v>0.88</v>
      </c>
      <c r="H130" s="230">
        <v>2</v>
      </c>
      <c r="I130" s="230">
        <v>12</v>
      </c>
      <c r="J130" s="230">
        <v>1</v>
      </c>
      <c r="K130" s="229" t="s">
        <v>735</v>
      </c>
      <c r="L130" s="230">
        <v>2008</v>
      </c>
      <c r="M130" s="230" t="s">
        <v>1767</v>
      </c>
      <c r="N130" s="231" t="s">
        <v>3228</v>
      </c>
    </row>
    <row r="131" spans="1:14" x14ac:dyDescent="0.2">
      <c r="A131" s="236">
        <v>129</v>
      </c>
      <c r="B131" s="226" t="s">
        <v>2292</v>
      </c>
      <c r="C131" s="227" t="s">
        <v>3148</v>
      </c>
      <c r="D131" s="227">
        <v>8.56</v>
      </c>
      <c r="E131" s="370">
        <v>8.48</v>
      </c>
      <c r="F131" s="227">
        <v>8.5</v>
      </c>
      <c r="G131" s="227">
        <v>0.73</v>
      </c>
      <c r="H131" s="227">
        <v>1</v>
      </c>
      <c r="I131" s="227">
        <v>9</v>
      </c>
      <c r="J131" s="227">
        <v>1</v>
      </c>
      <c r="K131" s="226" t="s">
        <v>987</v>
      </c>
      <c r="L131" s="227">
        <v>1971</v>
      </c>
      <c r="M131" s="227" t="s">
        <v>1771</v>
      </c>
      <c r="N131" s="228" t="s">
        <v>3149</v>
      </c>
    </row>
    <row r="132" spans="1:14" x14ac:dyDescent="0.2">
      <c r="A132" s="236">
        <v>130</v>
      </c>
      <c r="B132" s="229" t="s">
        <v>3111</v>
      </c>
      <c r="C132" s="230" t="s">
        <v>3112</v>
      </c>
      <c r="D132" s="230">
        <v>8.57</v>
      </c>
      <c r="E132" s="337">
        <v>8.59</v>
      </c>
      <c r="F132" s="230">
        <v>9</v>
      </c>
      <c r="G132" s="230">
        <v>0.56000000000000005</v>
      </c>
      <c r="H132" s="230">
        <v>0</v>
      </c>
      <c r="I132" s="230">
        <v>7</v>
      </c>
      <c r="J132" s="230">
        <v>0</v>
      </c>
      <c r="K132" s="229" t="s">
        <v>3113</v>
      </c>
      <c r="L132" s="230">
        <v>2009</v>
      </c>
      <c r="M132" s="230" t="s">
        <v>1810</v>
      </c>
      <c r="N132" s="231" t="s">
        <v>3114</v>
      </c>
    </row>
    <row r="133" spans="1:14" x14ac:dyDescent="0.2">
      <c r="A133" s="236">
        <v>131</v>
      </c>
      <c r="B133" s="226" t="s">
        <v>3135</v>
      </c>
      <c r="C133" s="227" t="s">
        <v>3136</v>
      </c>
      <c r="D133" s="227">
        <v>4.79</v>
      </c>
      <c r="E133" s="334">
        <v>4.62</v>
      </c>
      <c r="F133" s="227">
        <v>5</v>
      </c>
      <c r="G133" s="227">
        <v>1.72</v>
      </c>
      <c r="H133" s="227">
        <v>0</v>
      </c>
      <c r="I133" s="227">
        <v>17</v>
      </c>
      <c r="J133" s="227">
        <v>0</v>
      </c>
      <c r="K133" s="226" t="s">
        <v>3137</v>
      </c>
      <c r="L133" s="227">
        <v>2025</v>
      </c>
      <c r="M133" s="227" t="s">
        <v>1799</v>
      </c>
      <c r="N133" s="228" t="s">
        <v>3114</v>
      </c>
    </row>
    <row r="134" spans="1:14" x14ac:dyDescent="0.2">
      <c r="A134" s="236">
        <v>132</v>
      </c>
      <c r="B134" s="229" t="s">
        <v>300</v>
      </c>
      <c r="C134" s="230" t="s">
        <v>3099</v>
      </c>
      <c r="D134" s="230">
        <v>8</v>
      </c>
      <c r="E134" s="322">
        <v>7.94</v>
      </c>
      <c r="F134" s="230">
        <v>8</v>
      </c>
      <c r="G134" s="230">
        <v>0.5</v>
      </c>
      <c r="H134" s="230">
        <v>0</v>
      </c>
      <c r="I134" s="230">
        <v>7</v>
      </c>
      <c r="J134" s="230">
        <v>1</v>
      </c>
      <c r="K134" s="229" t="s">
        <v>3100</v>
      </c>
      <c r="L134" s="230">
        <v>1995</v>
      </c>
      <c r="M134" s="230" t="s">
        <v>1804</v>
      </c>
      <c r="N134" s="231" t="s">
        <v>3101</v>
      </c>
    </row>
    <row r="135" spans="1:14" x14ac:dyDescent="0.2">
      <c r="A135" s="236">
        <v>133</v>
      </c>
      <c r="B135" s="226" t="s">
        <v>2555</v>
      </c>
      <c r="C135" s="227" t="s">
        <v>3088</v>
      </c>
      <c r="D135" s="227">
        <v>8.7899999999999991</v>
      </c>
      <c r="E135" s="280">
        <v>8.67</v>
      </c>
      <c r="F135" s="227">
        <v>8.5</v>
      </c>
      <c r="G135" s="227">
        <v>0.7</v>
      </c>
      <c r="H135" s="227">
        <v>1</v>
      </c>
      <c r="I135" s="227">
        <v>7</v>
      </c>
      <c r="J135" s="227">
        <v>0</v>
      </c>
      <c r="K135" s="226" t="s">
        <v>988</v>
      </c>
      <c r="L135" s="227">
        <v>2016</v>
      </c>
      <c r="M135" s="227" t="s">
        <v>1771</v>
      </c>
      <c r="N135" s="228" t="s">
        <v>3089</v>
      </c>
    </row>
    <row r="136" spans="1:14" x14ac:dyDescent="0.2">
      <c r="A136" s="236">
        <v>134</v>
      </c>
      <c r="B136" s="229" t="s">
        <v>2841</v>
      </c>
      <c r="C136" s="230" t="s">
        <v>3060</v>
      </c>
      <c r="D136" s="230">
        <v>8.73</v>
      </c>
      <c r="E136" s="272">
        <v>8.77</v>
      </c>
      <c r="F136" s="230">
        <v>8.5</v>
      </c>
      <c r="G136" s="230">
        <v>0.96</v>
      </c>
      <c r="H136" s="230">
        <v>3</v>
      </c>
      <c r="I136" s="230">
        <v>11</v>
      </c>
      <c r="J136" s="230">
        <v>0</v>
      </c>
      <c r="K136" s="229" t="s">
        <v>731</v>
      </c>
      <c r="L136" s="230">
        <v>2012</v>
      </c>
      <c r="M136" s="230" t="s">
        <v>1777</v>
      </c>
      <c r="N136" s="231" t="s">
        <v>3061</v>
      </c>
    </row>
    <row r="137" spans="1:14" x14ac:dyDescent="0.2">
      <c r="A137" s="236">
        <v>135</v>
      </c>
      <c r="B137" s="226" t="s">
        <v>3077</v>
      </c>
      <c r="C137" s="227" t="s">
        <v>3078</v>
      </c>
      <c r="D137" s="227">
        <v>8.58</v>
      </c>
      <c r="E137" s="363">
        <v>8.51</v>
      </c>
      <c r="F137" s="227">
        <v>8.5</v>
      </c>
      <c r="G137" s="227">
        <v>0.76</v>
      </c>
      <c r="H137" s="227">
        <v>2</v>
      </c>
      <c r="I137" s="227">
        <v>12</v>
      </c>
      <c r="J137" s="227">
        <v>0</v>
      </c>
      <c r="K137" s="226" t="s">
        <v>3079</v>
      </c>
      <c r="L137" s="227">
        <v>1997</v>
      </c>
      <c r="M137" s="227" t="s">
        <v>1800</v>
      </c>
      <c r="N137" s="228" t="s">
        <v>3061</v>
      </c>
    </row>
    <row r="138" spans="1:14" x14ac:dyDescent="0.2">
      <c r="A138" s="236">
        <v>136</v>
      </c>
      <c r="B138" s="229" t="s">
        <v>300</v>
      </c>
      <c r="C138" s="230" t="s">
        <v>3019</v>
      </c>
      <c r="D138" s="230">
        <v>7.95</v>
      </c>
      <c r="E138" s="356">
        <v>7.89</v>
      </c>
      <c r="F138" s="230">
        <v>8</v>
      </c>
      <c r="G138" s="230">
        <v>0.56999999999999995</v>
      </c>
      <c r="H138" s="230">
        <v>0</v>
      </c>
      <c r="I138" s="230">
        <v>10</v>
      </c>
      <c r="J138" s="230">
        <v>0</v>
      </c>
      <c r="K138" s="229" t="s">
        <v>987</v>
      </c>
      <c r="L138" s="230">
        <v>2019</v>
      </c>
      <c r="M138" s="230" t="s">
        <v>1792</v>
      </c>
      <c r="N138" s="231" t="s">
        <v>3021</v>
      </c>
    </row>
    <row r="139" spans="1:14" x14ac:dyDescent="0.2">
      <c r="A139" s="236">
        <v>137</v>
      </c>
      <c r="B139" s="226" t="s">
        <v>3030</v>
      </c>
      <c r="C139" s="227" t="s">
        <v>3031</v>
      </c>
      <c r="D139" s="227">
        <v>9.14</v>
      </c>
      <c r="E139" s="246">
        <v>9.23</v>
      </c>
      <c r="F139" s="227">
        <v>9</v>
      </c>
      <c r="G139" s="227">
        <v>0.74</v>
      </c>
      <c r="H139" s="227">
        <v>2</v>
      </c>
      <c r="I139" s="227">
        <v>7</v>
      </c>
      <c r="J139" s="227">
        <v>0</v>
      </c>
      <c r="K139" s="226" t="s">
        <v>733</v>
      </c>
      <c r="L139" s="227">
        <v>2012</v>
      </c>
      <c r="M139" s="227" t="s">
        <v>1804</v>
      </c>
      <c r="N139" s="228" t="s">
        <v>3021</v>
      </c>
    </row>
    <row r="140" spans="1:14" x14ac:dyDescent="0.2">
      <c r="A140" s="236">
        <v>138</v>
      </c>
      <c r="B140" s="229" t="s">
        <v>3003</v>
      </c>
      <c r="C140" s="230" t="s">
        <v>3004</v>
      </c>
      <c r="D140" s="230">
        <v>8.6999999999999993</v>
      </c>
      <c r="E140" s="286">
        <v>8.61</v>
      </c>
      <c r="F140" s="230">
        <v>8.5</v>
      </c>
      <c r="G140" s="230">
        <v>0.56000000000000005</v>
      </c>
      <c r="H140" s="230">
        <v>1</v>
      </c>
      <c r="I140" s="230">
        <v>10</v>
      </c>
      <c r="J140" s="230">
        <v>0</v>
      </c>
      <c r="K140" s="229" t="s">
        <v>3005</v>
      </c>
      <c r="L140" s="230">
        <v>1997</v>
      </c>
      <c r="M140" s="230" t="s">
        <v>1798</v>
      </c>
      <c r="N140" s="231" t="s">
        <v>3006</v>
      </c>
    </row>
    <row r="141" spans="1:14" x14ac:dyDescent="0.2">
      <c r="A141" s="236">
        <v>139</v>
      </c>
      <c r="B141" s="226" t="s">
        <v>2988</v>
      </c>
      <c r="C141" s="227" t="s">
        <v>2989</v>
      </c>
      <c r="D141" s="227">
        <v>8.6</v>
      </c>
      <c r="E141" s="293">
        <v>8.5299999999999994</v>
      </c>
      <c r="F141" s="227">
        <v>8.5</v>
      </c>
      <c r="G141" s="227">
        <v>0.57999999999999996</v>
      </c>
      <c r="H141" s="227">
        <v>1</v>
      </c>
      <c r="I141" s="227">
        <v>10</v>
      </c>
      <c r="J141" s="227">
        <v>0</v>
      </c>
      <c r="K141" s="226" t="s">
        <v>2990</v>
      </c>
      <c r="L141" s="227">
        <v>1992</v>
      </c>
      <c r="M141" s="227" t="s">
        <v>1790</v>
      </c>
      <c r="N141" s="228" t="s">
        <v>2991</v>
      </c>
    </row>
    <row r="142" spans="1:14" x14ac:dyDescent="0.2">
      <c r="A142" s="236">
        <v>140</v>
      </c>
      <c r="B142" s="229" t="s">
        <v>2697</v>
      </c>
      <c r="C142" s="230" t="s">
        <v>2970</v>
      </c>
      <c r="D142" s="230">
        <v>8.75</v>
      </c>
      <c r="E142" s="282">
        <v>8.65</v>
      </c>
      <c r="F142" s="230">
        <v>8.5</v>
      </c>
      <c r="G142" s="230">
        <v>0.61</v>
      </c>
      <c r="H142" s="230">
        <v>2</v>
      </c>
      <c r="I142" s="230">
        <v>18</v>
      </c>
      <c r="J142" s="230">
        <v>2</v>
      </c>
      <c r="K142" s="229" t="s">
        <v>2703</v>
      </c>
      <c r="L142" s="230">
        <v>2026</v>
      </c>
      <c r="M142" s="230" t="s">
        <v>2971</v>
      </c>
      <c r="N142" s="231" t="s">
        <v>2972</v>
      </c>
    </row>
    <row r="143" spans="1:14" x14ac:dyDescent="0.2">
      <c r="A143" s="236">
        <v>141</v>
      </c>
      <c r="B143" s="226" t="s">
        <v>2925</v>
      </c>
      <c r="C143" s="227" t="s">
        <v>2926</v>
      </c>
      <c r="D143" s="227">
        <v>8.4499999999999993</v>
      </c>
      <c r="E143" s="305">
        <v>8.34</v>
      </c>
      <c r="F143" s="227">
        <v>8.25</v>
      </c>
      <c r="G143" s="227">
        <v>0.69</v>
      </c>
      <c r="H143" s="227">
        <v>1</v>
      </c>
      <c r="I143" s="227">
        <v>10</v>
      </c>
      <c r="J143" s="227">
        <v>0</v>
      </c>
      <c r="K143" s="226" t="s">
        <v>734</v>
      </c>
      <c r="L143" s="227">
        <v>1986</v>
      </c>
      <c r="M143" s="227" t="s">
        <v>2927</v>
      </c>
      <c r="N143" s="228" t="s">
        <v>2928</v>
      </c>
    </row>
    <row r="144" spans="1:14" x14ac:dyDescent="0.2">
      <c r="A144" s="236">
        <v>142</v>
      </c>
      <c r="B144" s="229" t="s">
        <v>292</v>
      </c>
      <c r="C144" s="230" t="s">
        <v>2934</v>
      </c>
      <c r="D144" s="230">
        <v>7.92</v>
      </c>
      <c r="E144" s="350">
        <v>7.84</v>
      </c>
      <c r="F144" s="230">
        <v>8</v>
      </c>
      <c r="G144" s="230">
        <v>0.79</v>
      </c>
      <c r="H144" s="230">
        <v>0</v>
      </c>
      <c r="I144" s="230">
        <v>6</v>
      </c>
      <c r="J144" s="230">
        <v>0</v>
      </c>
      <c r="K144" s="229" t="s">
        <v>731</v>
      </c>
      <c r="L144" s="230">
        <v>1992</v>
      </c>
      <c r="M144" s="230" t="s">
        <v>3018</v>
      </c>
      <c r="N144" s="231" t="s">
        <v>2928</v>
      </c>
    </row>
    <row r="145" spans="1:14" x14ac:dyDescent="0.2">
      <c r="A145" s="236">
        <v>143</v>
      </c>
      <c r="B145" s="226" t="s">
        <v>2950</v>
      </c>
      <c r="C145" s="227" t="s">
        <v>2938</v>
      </c>
      <c r="D145" s="227">
        <v>8.6300000000000008</v>
      </c>
      <c r="E145" s="293">
        <v>8.5299999999999994</v>
      </c>
      <c r="F145" s="227">
        <v>8.5</v>
      </c>
      <c r="G145" s="227">
        <v>0.68</v>
      </c>
      <c r="H145" s="227">
        <v>1</v>
      </c>
      <c r="I145" s="227">
        <v>13</v>
      </c>
      <c r="J145" s="227">
        <v>1</v>
      </c>
      <c r="K145" s="226" t="s">
        <v>2951</v>
      </c>
      <c r="L145" s="227">
        <v>2017</v>
      </c>
      <c r="M145" s="227" t="s">
        <v>1766</v>
      </c>
      <c r="N145" s="228" t="s">
        <v>2928</v>
      </c>
    </row>
    <row r="146" spans="1:14" x14ac:dyDescent="0.2">
      <c r="A146" s="236">
        <v>144</v>
      </c>
      <c r="B146" s="229" t="s">
        <v>292</v>
      </c>
      <c r="C146" s="230" t="s">
        <v>7</v>
      </c>
      <c r="D146" s="230">
        <v>10.11</v>
      </c>
      <c r="E146" s="233">
        <v>10.99</v>
      </c>
      <c r="F146" s="230">
        <v>10.5</v>
      </c>
      <c r="G146" s="230">
        <v>0.52</v>
      </c>
      <c r="H146" s="230">
        <v>7</v>
      </c>
      <c r="I146" s="230">
        <v>12</v>
      </c>
      <c r="J146" s="230">
        <v>3</v>
      </c>
      <c r="K146" s="229" t="s">
        <v>712</v>
      </c>
      <c r="L146" s="230">
        <v>2001</v>
      </c>
      <c r="M146" s="230" t="s">
        <v>1764</v>
      </c>
      <c r="N146" s="231" t="s">
        <v>2914</v>
      </c>
    </row>
    <row r="147" spans="1:14" x14ac:dyDescent="0.2">
      <c r="A147" s="236">
        <v>145</v>
      </c>
      <c r="B147" s="226" t="s">
        <v>2893</v>
      </c>
      <c r="C147" s="227" t="s">
        <v>2894</v>
      </c>
      <c r="D147" s="227">
        <v>8.85</v>
      </c>
      <c r="E147" s="276">
        <v>8.7200000000000006</v>
      </c>
      <c r="F147" s="227">
        <v>8.5</v>
      </c>
      <c r="G147" s="227">
        <v>0.66</v>
      </c>
      <c r="H147" s="227">
        <v>2</v>
      </c>
      <c r="I147" s="227">
        <v>14</v>
      </c>
      <c r="J147" s="227">
        <v>1</v>
      </c>
      <c r="K147" s="226" t="s">
        <v>2895</v>
      </c>
      <c r="L147" s="227">
        <v>2020</v>
      </c>
      <c r="M147" s="227" t="s">
        <v>1810</v>
      </c>
      <c r="N147" s="228" t="s">
        <v>2896</v>
      </c>
    </row>
    <row r="148" spans="1:14" x14ac:dyDescent="0.2">
      <c r="A148" s="236">
        <v>146</v>
      </c>
      <c r="B148" s="229" t="s">
        <v>2898</v>
      </c>
      <c r="C148" s="230" t="s">
        <v>2883</v>
      </c>
      <c r="D148" s="230">
        <v>8.8000000000000007</v>
      </c>
      <c r="E148" s="264">
        <v>8.8699999999999992</v>
      </c>
      <c r="F148" s="230">
        <v>8.75</v>
      </c>
      <c r="G148" s="230">
        <v>0.87</v>
      </c>
      <c r="H148" s="230">
        <v>2</v>
      </c>
      <c r="I148" s="230">
        <v>10</v>
      </c>
      <c r="J148" s="230">
        <v>0</v>
      </c>
      <c r="K148" s="229" t="s">
        <v>2900</v>
      </c>
      <c r="L148" s="230">
        <v>1986</v>
      </c>
      <c r="M148" s="230" t="s">
        <v>1800</v>
      </c>
      <c r="N148" s="231" t="s">
        <v>2896</v>
      </c>
    </row>
    <row r="149" spans="1:14" x14ac:dyDescent="0.2">
      <c r="A149" s="236">
        <v>147</v>
      </c>
      <c r="B149" s="226" t="s">
        <v>2911</v>
      </c>
      <c r="C149" s="227" t="s">
        <v>2912</v>
      </c>
      <c r="D149" s="227">
        <v>8.4</v>
      </c>
      <c r="E149" s="348">
        <v>8.3000000000000007</v>
      </c>
      <c r="F149" s="227">
        <v>8.25</v>
      </c>
      <c r="G149" s="227">
        <v>0.73</v>
      </c>
      <c r="H149" s="227">
        <v>1</v>
      </c>
      <c r="I149" s="227">
        <v>10</v>
      </c>
      <c r="J149" s="227">
        <v>0</v>
      </c>
      <c r="K149" s="226" t="s">
        <v>997</v>
      </c>
      <c r="L149" s="227">
        <v>1989</v>
      </c>
      <c r="M149" s="227" t="s">
        <v>1784</v>
      </c>
      <c r="N149" s="228" t="s">
        <v>2896</v>
      </c>
    </row>
    <row r="150" spans="1:14" x14ac:dyDescent="0.2">
      <c r="A150" s="236">
        <v>148</v>
      </c>
      <c r="B150" s="229" t="s">
        <v>2855</v>
      </c>
      <c r="C150" s="230">
        <v>4</v>
      </c>
      <c r="D150" s="230">
        <v>8.6</v>
      </c>
      <c r="E150" s="287">
        <v>8.6</v>
      </c>
      <c r="F150" s="230">
        <v>8.25</v>
      </c>
      <c r="G150" s="230">
        <v>0.97</v>
      </c>
      <c r="H150" s="230">
        <v>2</v>
      </c>
      <c r="I150" s="230">
        <v>10</v>
      </c>
      <c r="J150" s="230">
        <v>0</v>
      </c>
      <c r="K150" s="229" t="s">
        <v>2856</v>
      </c>
      <c r="L150" s="230">
        <v>1981</v>
      </c>
      <c r="M150" s="230" t="s">
        <v>1771</v>
      </c>
      <c r="N150" s="231" t="s">
        <v>2857</v>
      </c>
    </row>
    <row r="151" spans="1:14" x14ac:dyDescent="0.2">
      <c r="A151" s="236">
        <v>149</v>
      </c>
      <c r="B151" s="226" t="s">
        <v>2864</v>
      </c>
      <c r="C151" s="227" t="s">
        <v>2865</v>
      </c>
      <c r="D151" s="227">
        <v>8.58</v>
      </c>
      <c r="E151" s="295">
        <v>8.5</v>
      </c>
      <c r="F151" s="227">
        <v>8.5</v>
      </c>
      <c r="G151" s="227">
        <v>0.79</v>
      </c>
      <c r="H151" s="227">
        <v>1</v>
      </c>
      <c r="I151" s="227">
        <v>6</v>
      </c>
      <c r="J151" s="227">
        <v>0</v>
      </c>
      <c r="K151" s="226" t="s">
        <v>2867</v>
      </c>
      <c r="L151" s="227">
        <v>1976</v>
      </c>
      <c r="M151" s="227" t="s">
        <v>2422</v>
      </c>
      <c r="N151" s="228" t="s">
        <v>2857</v>
      </c>
    </row>
    <row r="152" spans="1:14" x14ac:dyDescent="0.2">
      <c r="A152" s="236">
        <v>150</v>
      </c>
      <c r="B152" s="229" t="s">
        <v>2823</v>
      </c>
      <c r="C152" s="230" t="s">
        <v>2824</v>
      </c>
      <c r="D152" s="230">
        <v>8.41</v>
      </c>
      <c r="E152" s="309">
        <v>8.24</v>
      </c>
      <c r="F152" s="230">
        <v>8</v>
      </c>
      <c r="G152" s="230">
        <v>0.95</v>
      </c>
      <c r="H152" s="230">
        <v>2</v>
      </c>
      <c r="I152" s="230">
        <v>12</v>
      </c>
      <c r="J152" s="230">
        <v>1</v>
      </c>
      <c r="K152" s="229" t="s">
        <v>2826</v>
      </c>
      <c r="L152" s="230">
        <v>2003</v>
      </c>
      <c r="M152" s="230" t="s">
        <v>1810</v>
      </c>
      <c r="N152" s="231" t="s">
        <v>2827</v>
      </c>
    </row>
    <row r="153" spans="1:14" x14ac:dyDescent="0.2">
      <c r="A153" s="236">
        <v>151</v>
      </c>
      <c r="B153" s="226" t="s">
        <v>2841</v>
      </c>
      <c r="C153" s="227" t="s">
        <v>2842</v>
      </c>
      <c r="D153" s="227">
        <v>8.9600000000000009</v>
      </c>
      <c r="E153" s="260">
        <v>8.92</v>
      </c>
      <c r="F153" s="227">
        <v>9</v>
      </c>
      <c r="G153" s="227">
        <v>0.75</v>
      </c>
      <c r="H153" s="227">
        <v>3</v>
      </c>
      <c r="I153" s="227">
        <v>12</v>
      </c>
      <c r="J153" s="227">
        <v>0</v>
      </c>
      <c r="K153" s="226" t="s">
        <v>731</v>
      </c>
      <c r="L153" s="227">
        <v>2000</v>
      </c>
      <c r="M153" s="227" t="s">
        <v>1793</v>
      </c>
      <c r="N153" s="228" t="s">
        <v>2827</v>
      </c>
    </row>
    <row r="154" spans="1:14" x14ac:dyDescent="0.2">
      <c r="A154" s="236">
        <v>152</v>
      </c>
      <c r="B154" s="229" t="s">
        <v>2790</v>
      </c>
      <c r="C154" s="230" t="s">
        <v>2791</v>
      </c>
      <c r="D154" s="230">
        <v>8.25</v>
      </c>
      <c r="E154" s="313">
        <v>8.18</v>
      </c>
      <c r="F154" s="230">
        <v>8.25</v>
      </c>
      <c r="G154" s="230">
        <v>0.6</v>
      </c>
      <c r="H154" s="230">
        <v>0</v>
      </c>
      <c r="I154" s="230">
        <v>12</v>
      </c>
      <c r="J154" s="230">
        <v>0</v>
      </c>
      <c r="K154" s="229" t="s">
        <v>1729</v>
      </c>
      <c r="L154" s="230">
        <v>2024</v>
      </c>
      <c r="M154" s="230" t="s">
        <v>1805</v>
      </c>
      <c r="N154" s="231" t="s">
        <v>2795</v>
      </c>
    </row>
    <row r="155" spans="1:14" x14ac:dyDescent="0.2">
      <c r="A155" s="236">
        <v>153</v>
      </c>
      <c r="B155" s="226" t="s">
        <v>2809</v>
      </c>
      <c r="C155" s="227" t="s">
        <v>2799</v>
      </c>
      <c r="D155" s="227">
        <v>8.44</v>
      </c>
      <c r="E155" s="302">
        <v>8.39</v>
      </c>
      <c r="F155" s="227">
        <v>8.5</v>
      </c>
      <c r="G155" s="227">
        <v>0.55000000000000004</v>
      </c>
      <c r="H155" s="227">
        <v>0</v>
      </c>
      <c r="I155" s="227">
        <v>10</v>
      </c>
      <c r="J155" s="227">
        <v>1</v>
      </c>
      <c r="K155" s="226" t="s">
        <v>2810</v>
      </c>
      <c r="L155" s="227">
        <v>2022</v>
      </c>
      <c r="M155" s="227" t="s">
        <v>1775</v>
      </c>
      <c r="N155" s="228" t="s">
        <v>2795</v>
      </c>
    </row>
    <row r="156" spans="1:14" x14ac:dyDescent="0.2">
      <c r="A156" s="236">
        <v>154</v>
      </c>
      <c r="B156" s="229" t="s">
        <v>2164</v>
      </c>
      <c r="C156" s="230" t="s">
        <v>2740</v>
      </c>
      <c r="D156" s="230">
        <v>8.39</v>
      </c>
      <c r="E156" s="302">
        <v>8.39</v>
      </c>
      <c r="F156" s="230">
        <v>8</v>
      </c>
      <c r="G156" s="230">
        <v>0.83</v>
      </c>
      <c r="H156" s="230">
        <v>2</v>
      </c>
      <c r="I156" s="230">
        <v>14</v>
      </c>
      <c r="J156" s="230">
        <v>0</v>
      </c>
      <c r="K156" s="229" t="s">
        <v>2724</v>
      </c>
      <c r="L156" s="230">
        <v>1966</v>
      </c>
      <c r="M156" s="230" t="s">
        <v>1805</v>
      </c>
      <c r="N156" s="231" t="s">
        <v>2741</v>
      </c>
    </row>
    <row r="157" spans="1:14" x14ac:dyDescent="0.2">
      <c r="A157" s="236">
        <v>155</v>
      </c>
      <c r="B157" s="226" t="s">
        <v>298</v>
      </c>
      <c r="C157" s="227" t="s">
        <v>2769</v>
      </c>
      <c r="D157" s="227">
        <v>8.8000000000000007</v>
      </c>
      <c r="E157" s="256">
        <v>8.9700000000000006</v>
      </c>
      <c r="F157" s="227">
        <v>8.5</v>
      </c>
      <c r="G157" s="227">
        <v>0.73</v>
      </c>
      <c r="H157" s="227">
        <v>3</v>
      </c>
      <c r="I157" s="227">
        <v>26</v>
      </c>
      <c r="J157" s="227">
        <v>4</v>
      </c>
      <c r="K157" s="226" t="s">
        <v>2772</v>
      </c>
      <c r="L157" s="227">
        <v>1979</v>
      </c>
      <c r="M157" s="227" t="s">
        <v>2773</v>
      </c>
      <c r="N157" s="228" t="s">
        <v>2741</v>
      </c>
    </row>
    <row r="158" spans="1:14" x14ac:dyDescent="0.2">
      <c r="A158" s="236">
        <v>156</v>
      </c>
      <c r="B158" s="229" t="s">
        <v>2720</v>
      </c>
      <c r="C158" s="230" t="s">
        <v>2721</v>
      </c>
      <c r="D158" s="230">
        <v>8.65</v>
      </c>
      <c r="E158" s="290">
        <v>8.56</v>
      </c>
      <c r="F158" s="230">
        <v>8.5</v>
      </c>
      <c r="G158" s="230">
        <v>0.77</v>
      </c>
      <c r="H158" s="230">
        <v>2</v>
      </c>
      <c r="I158" s="230">
        <v>14</v>
      </c>
      <c r="J158" s="230">
        <v>1</v>
      </c>
      <c r="K158" s="229" t="s">
        <v>2722</v>
      </c>
      <c r="L158" s="230">
        <v>2026</v>
      </c>
      <c r="M158" s="230" t="s">
        <v>1766</v>
      </c>
      <c r="N158" s="231" t="s">
        <v>2723</v>
      </c>
    </row>
    <row r="159" spans="1:14" x14ac:dyDescent="0.2">
      <c r="A159" s="236">
        <v>157</v>
      </c>
      <c r="B159" s="226" t="s">
        <v>307</v>
      </c>
      <c r="C159" s="227" t="s">
        <v>2642</v>
      </c>
      <c r="D159" s="227">
        <v>8.8000000000000007</v>
      </c>
      <c r="E159" s="269">
        <v>8.81</v>
      </c>
      <c r="F159" s="227">
        <v>8.5</v>
      </c>
      <c r="G159" s="227">
        <v>0.93</v>
      </c>
      <c r="H159" s="227">
        <v>1</v>
      </c>
      <c r="I159" s="227">
        <v>5</v>
      </c>
      <c r="J159" s="227">
        <v>0</v>
      </c>
      <c r="K159" s="226" t="s">
        <v>988</v>
      </c>
      <c r="L159" s="227">
        <v>1982</v>
      </c>
      <c r="M159" s="227" t="s">
        <v>1771</v>
      </c>
      <c r="N159" s="228" t="s">
        <v>2646</v>
      </c>
    </row>
    <row r="160" spans="1:14" x14ac:dyDescent="0.2">
      <c r="A160" s="236">
        <v>158</v>
      </c>
      <c r="B160" s="229" t="s">
        <v>2595</v>
      </c>
      <c r="C160" s="230" t="s">
        <v>2595</v>
      </c>
      <c r="D160" s="230">
        <v>8.6300000000000008</v>
      </c>
      <c r="E160" s="292">
        <v>8.5399999999999991</v>
      </c>
      <c r="F160" s="230">
        <v>8.5</v>
      </c>
      <c r="G160" s="230">
        <v>0.71</v>
      </c>
      <c r="H160" s="230">
        <v>2</v>
      </c>
      <c r="I160" s="230">
        <v>12</v>
      </c>
      <c r="J160" s="230">
        <v>0</v>
      </c>
      <c r="K160" s="229" t="s">
        <v>2597</v>
      </c>
      <c r="L160" s="230">
        <v>2007</v>
      </c>
      <c r="M160" s="230" t="s">
        <v>1783</v>
      </c>
      <c r="N160" s="231" t="s">
        <v>2598</v>
      </c>
    </row>
    <row r="161" spans="1:14" x14ac:dyDescent="0.2">
      <c r="A161" s="236">
        <v>159</v>
      </c>
      <c r="B161" s="226" t="s">
        <v>2615</v>
      </c>
      <c r="C161" s="227" t="s">
        <v>2611</v>
      </c>
      <c r="D161" s="227">
        <v>8.83</v>
      </c>
      <c r="E161" s="255">
        <v>9</v>
      </c>
      <c r="F161" s="227">
        <v>8.5</v>
      </c>
      <c r="G161" s="227">
        <v>0.87</v>
      </c>
      <c r="H161" s="227">
        <v>3</v>
      </c>
      <c r="I161" s="227">
        <v>15</v>
      </c>
      <c r="J161" s="227">
        <v>0</v>
      </c>
      <c r="K161" s="226" t="s">
        <v>731</v>
      </c>
      <c r="L161" s="227">
        <v>2001</v>
      </c>
      <c r="M161" s="227" t="s">
        <v>1765</v>
      </c>
      <c r="N161" s="228" t="s">
        <v>2598</v>
      </c>
    </row>
    <row r="162" spans="1:14" x14ac:dyDescent="0.2">
      <c r="A162" s="236">
        <v>160</v>
      </c>
      <c r="B162" s="229" t="s">
        <v>774</v>
      </c>
      <c r="C162" s="230" t="s">
        <v>2637</v>
      </c>
      <c r="D162" s="230">
        <v>8.73</v>
      </c>
      <c r="E162" s="285">
        <v>8.6199999999999992</v>
      </c>
      <c r="F162" s="230">
        <v>8.5</v>
      </c>
      <c r="G162" s="230">
        <v>0.56999999999999995</v>
      </c>
      <c r="H162" s="230">
        <v>1</v>
      </c>
      <c r="I162" s="230">
        <v>21</v>
      </c>
      <c r="J162" s="230">
        <v>6</v>
      </c>
      <c r="K162" s="229" t="s">
        <v>2638</v>
      </c>
      <c r="L162" s="230">
        <v>2004</v>
      </c>
      <c r="M162" s="230" t="s">
        <v>1764</v>
      </c>
      <c r="N162" s="231" t="s">
        <v>2598</v>
      </c>
    </row>
    <row r="163" spans="1:14" x14ac:dyDescent="0.2">
      <c r="A163" s="236">
        <v>161</v>
      </c>
      <c r="B163" s="226" t="s">
        <v>2697</v>
      </c>
      <c r="C163" s="227" t="s">
        <v>2699</v>
      </c>
      <c r="D163" s="227">
        <v>8.8800000000000008</v>
      </c>
      <c r="E163" s="267">
        <v>8.84</v>
      </c>
      <c r="F163" s="227">
        <v>9</v>
      </c>
      <c r="G163" s="227">
        <v>0.79</v>
      </c>
      <c r="H163" s="227">
        <v>3</v>
      </c>
      <c r="I163" s="227">
        <v>23</v>
      </c>
      <c r="J163" s="227">
        <v>10</v>
      </c>
      <c r="K163" s="226" t="s">
        <v>2703</v>
      </c>
      <c r="L163" s="227">
        <v>2002</v>
      </c>
      <c r="M163" s="227" t="s">
        <v>1782</v>
      </c>
      <c r="N163" s="228" t="s">
        <v>2598</v>
      </c>
    </row>
    <row r="164" spans="1:14" x14ac:dyDescent="0.2">
      <c r="A164" s="236">
        <v>162</v>
      </c>
      <c r="B164" s="229" t="s">
        <v>1625</v>
      </c>
      <c r="C164" s="230" t="s">
        <v>2580</v>
      </c>
      <c r="D164" s="230">
        <v>8.5</v>
      </c>
      <c r="E164" s="297">
        <v>8.4700000000000006</v>
      </c>
      <c r="F164" s="230">
        <v>8</v>
      </c>
      <c r="G164" s="230">
        <v>0.8</v>
      </c>
      <c r="H164" s="230">
        <v>1</v>
      </c>
      <c r="I164" s="230">
        <v>11</v>
      </c>
      <c r="J164" s="230">
        <v>0</v>
      </c>
      <c r="K164" s="229" t="s">
        <v>900</v>
      </c>
      <c r="L164" s="230">
        <v>2008</v>
      </c>
      <c r="M164" s="230" t="s">
        <v>1788</v>
      </c>
      <c r="N164" s="231" t="s">
        <v>2582</v>
      </c>
    </row>
    <row r="165" spans="1:14" x14ac:dyDescent="0.2">
      <c r="A165" s="236">
        <v>163</v>
      </c>
      <c r="B165" s="226" t="s">
        <v>2555</v>
      </c>
      <c r="C165" s="227" t="s">
        <v>168</v>
      </c>
      <c r="D165" s="227">
        <v>9</v>
      </c>
      <c r="E165" s="392">
        <v>8.94</v>
      </c>
      <c r="F165" s="227">
        <v>9</v>
      </c>
      <c r="G165" s="227">
        <v>0.74</v>
      </c>
      <c r="H165" s="227">
        <v>2</v>
      </c>
      <c r="I165" s="227">
        <v>11</v>
      </c>
      <c r="J165" s="227">
        <v>0</v>
      </c>
      <c r="K165" s="226" t="s">
        <v>2559</v>
      </c>
      <c r="L165" s="227">
        <v>1977</v>
      </c>
      <c r="M165" s="227" t="s">
        <v>1795</v>
      </c>
      <c r="N165" s="228" t="s">
        <v>2560</v>
      </c>
    </row>
    <row r="166" spans="1:14" x14ac:dyDescent="0.2">
      <c r="A166" s="236">
        <v>164</v>
      </c>
      <c r="B166" s="229" t="s">
        <v>2700</v>
      </c>
      <c r="C166" s="230" t="s">
        <v>2701</v>
      </c>
      <c r="D166" s="230">
        <v>8.4</v>
      </c>
      <c r="E166" s="304">
        <v>8.3699999999999992</v>
      </c>
      <c r="F166" s="230">
        <v>8.5</v>
      </c>
      <c r="G166" s="230">
        <v>0.37</v>
      </c>
      <c r="H166" s="230">
        <v>0</v>
      </c>
      <c r="I166" s="230">
        <v>7</v>
      </c>
      <c r="J166" s="230">
        <v>2</v>
      </c>
      <c r="K166" s="229" t="s">
        <v>2702</v>
      </c>
      <c r="L166" s="230">
        <v>1990</v>
      </c>
      <c r="M166" s="230" t="s">
        <v>1779</v>
      </c>
      <c r="N166" s="231" t="s">
        <v>2560</v>
      </c>
    </row>
    <row r="167" spans="1:14" x14ac:dyDescent="0.2">
      <c r="A167" s="236">
        <v>165</v>
      </c>
      <c r="B167" s="226" t="s">
        <v>2539</v>
      </c>
      <c r="C167" s="227" t="s">
        <v>2532</v>
      </c>
      <c r="D167" s="227">
        <v>9.06</v>
      </c>
      <c r="E167" s="254">
        <v>9.02</v>
      </c>
      <c r="F167" s="227">
        <v>9</v>
      </c>
      <c r="G167" s="227">
        <v>0.72</v>
      </c>
      <c r="H167" s="227">
        <v>3</v>
      </c>
      <c r="I167" s="227">
        <v>9</v>
      </c>
      <c r="J167" s="227">
        <v>0</v>
      </c>
      <c r="K167" s="226" t="s">
        <v>2541</v>
      </c>
      <c r="L167" s="227">
        <v>1982</v>
      </c>
      <c r="M167" s="227" t="s">
        <v>1766</v>
      </c>
      <c r="N167" s="228" t="s">
        <v>2542</v>
      </c>
    </row>
    <row r="168" spans="1:14" x14ac:dyDescent="0.2">
      <c r="A168" s="236">
        <v>166</v>
      </c>
      <c r="B168" s="229" t="s">
        <v>2526</v>
      </c>
      <c r="C168" s="230" t="s">
        <v>2527</v>
      </c>
      <c r="D168" s="230">
        <v>8.31</v>
      </c>
      <c r="E168" s="314">
        <v>8.16</v>
      </c>
      <c r="F168" s="230">
        <v>8</v>
      </c>
      <c r="G168" s="230">
        <v>0.93</v>
      </c>
      <c r="H168" s="230">
        <v>1</v>
      </c>
      <c r="I168" s="230">
        <v>8</v>
      </c>
      <c r="J168" s="230">
        <v>0</v>
      </c>
      <c r="K168" s="229" t="s">
        <v>987</v>
      </c>
      <c r="L168" s="230">
        <v>2016</v>
      </c>
      <c r="M168" s="230" t="s">
        <v>1771</v>
      </c>
      <c r="N168" s="231" t="s">
        <v>2528</v>
      </c>
    </row>
    <row r="169" spans="1:14" x14ac:dyDescent="0.2">
      <c r="A169" s="236">
        <v>167</v>
      </c>
      <c r="B169" s="226" t="s">
        <v>2507</v>
      </c>
      <c r="C169" s="227" t="s">
        <v>2508</v>
      </c>
      <c r="D169" s="227">
        <v>8.75</v>
      </c>
      <c r="E169" s="280">
        <v>8.67</v>
      </c>
      <c r="F169" s="227">
        <v>8.75</v>
      </c>
      <c r="G169" s="227">
        <v>0.75</v>
      </c>
      <c r="H169" s="227">
        <v>1</v>
      </c>
      <c r="I169" s="227">
        <v>11</v>
      </c>
      <c r="J169" s="227">
        <v>1</v>
      </c>
      <c r="K169" s="226" t="s">
        <v>2540</v>
      </c>
      <c r="L169" s="227">
        <v>1991</v>
      </c>
      <c r="M169" s="227" t="s">
        <v>1783</v>
      </c>
      <c r="N169" s="228" t="s">
        <v>2511</v>
      </c>
    </row>
    <row r="170" spans="1:14" x14ac:dyDescent="0.2">
      <c r="A170" s="236">
        <v>168</v>
      </c>
      <c r="B170" s="229" t="s">
        <v>2509</v>
      </c>
      <c r="C170" s="230" t="s">
        <v>2505</v>
      </c>
      <c r="D170" s="230">
        <v>8.5500000000000007</v>
      </c>
      <c r="E170" s="297">
        <v>8.4700000000000006</v>
      </c>
      <c r="F170" s="230">
        <v>8.5</v>
      </c>
      <c r="G170" s="230">
        <v>0.78</v>
      </c>
      <c r="H170" s="230">
        <v>2</v>
      </c>
      <c r="I170" s="230">
        <v>11</v>
      </c>
      <c r="J170" s="230">
        <v>0</v>
      </c>
      <c r="K170" s="229" t="s">
        <v>2510</v>
      </c>
      <c r="L170" s="230">
        <v>1970</v>
      </c>
      <c r="M170" s="230" t="s">
        <v>1790</v>
      </c>
      <c r="N170" s="231" t="s">
        <v>2511</v>
      </c>
    </row>
    <row r="171" spans="1:14" x14ac:dyDescent="0.2">
      <c r="A171" s="236">
        <v>169</v>
      </c>
      <c r="B171" s="226" t="s">
        <v>2477</v>
      </c>
      <c r="C171" s="227" t="s">
        <v>2476</v>
      </c>
      <c r="D171" s="227">
        <v>8.8800000000000008</v>
      </c>
      <c r="E171" s="269">
        <v>8.81</v>
      </c>
      <c r="F171" s="227">
        <v>8.75</v>
      </c>
      <c r="G171" s="227">
        <v>0.74</v>
      </c>
      <c r="H171" s="227">
        <v>1</v>
      </c>
      <c r="I171" s="227">
        <v>4</v>
      </c>
      <c r="J171" s="227">
        <v>0</v>
      </c>
      <c r="K171" s="226" t="s">
        <v>2513</v>
      </c>
      <c r="L171" s="227">
        <v>2000</v>
      </c>
      <c r="M171" s="227" t="s">
        <v>2514</v>
      </c>
      <c r="N171" s="228" t="s">
        <v>2515</v>
      </c>
    </row>
    <row r="172" spans="1:14" x14ac:dyDescent="0.2">
      <c r="A172" s="236">
        <v>170</v>
      </c>
      <c r="B172" s="229" t="s">
        <v>2697</v>
      </c>
      <c r="C172" s="230" t="s">
        <v>2698</v>
      </c>
      <c r="D172" s="230">
        <v>8.8800000000000008</v>
      </c>
      <c r="E172" s="252">
        <v>9.0399999999999991</v>
      </c>
      <c r="F172" s="230">
        <v>8.5</v>
      </c>
      <c r="G172" s="230">
        <v>0.87</v>
      </c>
      <c r="H172" s="230">
        <v>4</v>
      </c>
      <c r="I172" s="230">
        <v>18</v>
      </c>
      <c r="J172" s="230">
        <v>1</v>
      </c>
      <c r="K172" s="229" t="s">
        <v>2703</v>
      </c>
      <c r="L172" s="230">
        <v>1998</v>
      </c>
      <c r="M172" s="230" t="s">
        <v>1797</v>
      </c>
      <c r="N172" s="231" t="s">
        <v>2704</v>
      </c>
    </row>
    <row r="173" spans="1:14" x14ac:dyDescent="0.2">
      <c r="A173" s="236">
        <v>171</v>
      </c>
      <c r="B173" s="226" t="s">
        <v>1368</v>
      </c>
      <c r="C173" s="227" t="s">
        <v>2466</v>
      </c>
      <c r="D173" s="227">
        <v>8.69</v>
      </c>
      <c r="E173" s="292">
        <v>8.5399999999999991</v>
      </c>
      <c r="F173" s="227">
        <v>8.25</v>
      </c>
      <c r="G173" s="227">
        <v>1.06</v>
      </c>
      <c r="H173" s="227">
        <v>3</v>
      </c>
      <c r="I173" s="227">
        <v>8</v>
      </c>
      <c r="J173" s="227">
        <v>0</v>
      </c>
      <c r="K173" s="226" t="s">
        <v>3836</v>
      </c>
      <c r="L173" s="227">
        <v>1997</v>
      </c>
      <c r="M173" s="227" t="s">
        <v>2422</v>
      </c>
      <c r="N173" s="228" t="s">
        <v>2474</v>
      </c>
    </row>
    <row r="174" spans="1:14" x14ac:dyDescent="0.2">
      <c r="A174" s="236">
        <v>172</v>
      </c>
      <c r="B174" s="229" t="s">
        <v>2459</v>
      </c>
      <c r="C174" s="230" t="s">
        <v>2460</v>
      </c>
      <c r="D174" s="230">
        <v>8.83</v>
      </c>
      <c r="E174" s="267">
        <v>8.84</v>
      </c>
      <c r="F174" s="230">
        <v>9</v>
      </c>
      <c r="G174" s="230">
        <v>0.24</v>
      </c>
      <c r="H174" s="230">
        <v>0</v>
      </c>
      <c r="I174" s="230">
        <v>3</v>
      </c>
      <c r="J174" s="230">
        <v>0</v>
      </c>
      <c r="K174" s="229" t="s">
        <v>1005</v>
      </c>
      <c r="L174" s="230">
        <v>1997</v>
      </c>
      <c r="M174" s="230" t="s">
        <v>1797</v>
      </c>
      <c r="N174" s="231" t="s">
        <v>2462</v>
      </c>
    </row>
    <row r="175" spans="1:14" x14ac:dyDescent="0.2">
      <c r="A175" s="236">
        <v>173</v>
      </c>
      <c r="B175" s="226" t="s">
        <v>297</v>
      </c>
      <c r="C175" s="227" t="s">
        <v>2454</v>
      </c>
      <c r="D175" s="227">
        <v>8.86</v>
      </c>
      <c r="E175" s="268">
        <v>8.82</v>
      </c>
      <c r="F175" s="227">
        <v>9</v>
      </c>
      <c r="G175" s="227">
        <v>0.52</v>
      </c>
      <c r="H175" s="227">
        <v>0</v>
      </c>
      <c r="I175" s="227">
        <v>7</v>
      </c>
      <c r="J175" s="227">
        <v>0</v>
      </c>
      <c r="K175" s="226" t="s">
        <v>714</v>
      </c>
      <c r="L175" s="227">
        <v>1981</v>
      </c>
      <c r="M175" s="227" t="s">
        <v>1800</v>
      </c>
      <c r="N175" s="228" t="s">
        <v>2461</v>
      </c>
    </row>
    <row r="176" spans="1:14" x14ac:dyDescent="0.2">
      <c r="A176" s="236">
        <v>174</v>
      </c>
      <c r="B176" s="229" t="s">
        <v>677</v>
      </c>
      <c r="C176" s="230" t="s">
        <v>677</v>
      </c>
      <c r="D176" s="230">
        <v>8.24</v>
      </c>
      <c r="E176" s="310">
        <v>8.23</v>
      </c>
      <c r="F176" s="230">
        <v>8</v>
      </c>
      <c r="G176" s="230">
        <v>1.1299999999999999</v>
      </c>
      <c r="H176" s="230">
        <v>3</v>
      </c>
      <c r="I176" s="230">
        <v>17</v>
      </c>
      <c r="J176" s="230">
        <v>0</v>
      </c>
      <c r="K176" s="229" t="s">
        <v>2445</v>
      </c>
      <c r="L176" s="230">
        <v>2001</v>
      </c>
      <c r="M176" s="230" t="s">
        <v>1817</v>
      </c>
      <c r="N176" s="231" t="s">
        <v>2446</v>
      </c>
    </row>
    <row r="177" spans="1:14" x14ac:dyDescent="0.2">
      <c r="A177" s="236">
        <v>175</v>
      </c>
      <c r="B177" s="226" t="s">
        <v>1368</v>
      </c>
      <c r="C177" s="227" t="s">
        <v>2416</v>
      </c>
      <c r="D177" s="227">
        <v>8.6300000000000008</v>
      </c>
      <c r="E177" s="280">
        <v>8.67</v>
      </c>
      <c r="F177" s="227">
        <v>8.5</v>
      </c>
      <c r="G177" s="227">
        <v>0.89</v>
      </c>
      <c r="H177" s="227">
        <v>2</v>
      </c>
      <c r="I177" s="227">
        <v>12</v>
      </c>
      <c r="J177" s="227">
        <v>0</v>
      </c>
      <c r="K177" s="226" t="s">
        <v>1715</v>
      </c>
      <c r="L177" s="227">
        <v>1995</v>
      </c>
      <c r="M177" s="227" t="s">
        <v>1797</v>
      </c>
      <c r="N177" s="228" t="s">
        <v>2424</v>
      </c>
    </row>
    <row r="178" spans="1:14" x14ac:dyDescent="0.2">
      <c r="A178" s="236">
        <v>176</v>
      </c>
      <c r="B178" s="229" t="s">
        <v>2419</v>
      </c>
      <c r="C178" s="230" t="s">
        <v>2420</v>
      </c>
      <c r="D178" s="230">
        <v>2.5</v>
      </c>
      <c r="E178" s="334">
        <v>2.39</v>
      </c>
      <c r="F178" s="230">
        <v>2.75</v>
      </c>
      <c r="G178" s="230">
        <v>1.3</v>
      </c>
      <c r="H178" s="230">
        <v>0</v>
      </c>
      <c r="I178" s="230">
        <v>10</v>
      </c>
      <c r="J178" s="230">
        <v>0</v>
      </c>
      <c r="K178" s="229" t="s">
        <v>1007</v>
      </c>
      <c r="L178" s="230">
        <v>2025</v>
      </c>
      <c r="M178" s="230" t="s">
        <v>2425</v>
      </c>
      <c r="N178" s="231" t="s">
        <v>2424</v>
      </c>
    </row>
    <row r="179" spans="1:14" x14ac:dyDescent="0.2">
      <c r="A179" s="236">
        <v>177</v>
      </c>
      <c r="B179" s="226" t="s">
        <v>2417</v>
      </c>
      <c r="C179" s="227" t="s">
        <v>2418</v>
      </c>
      <c r="D179" s="227">
        <v>8.8800000000000008</v>
      </c>
      <c r="E179" s="272">
        <v>8.77</v>
      </c>
      <c r="F179" s="227">
        <v>8.75</v>
      </c>
      <c r="G179" s="227">
        <v>0.89</v>
      </c>
      <c r="H179" s="227">
        <v>1</v>
      </c>
      <c r="I179" s="227">
        <v>6</v>
      </c>
      <c r="J179" s="227">
        <v>2</v>
      </c>
      <c r="K179" s="226" t="s">
        <v>2421</v>
      </c>
      <c r="L179" s="227">
        <v>2000</v>
      </c>
      <c r="M179" s="227" t="s">
        <v>2422</v>
      </c>
      <c r="N179" s="228" t="s">
        <v>2423</v>
      </c>
    </row>
    <row r="180" spans="1:14" x14ac:dyDescent="0.2">
      <c r="A180" s="236">
        <v>178</v>
      </c>
      <c r="B180" s="229" t="s">
        <v>2380</v>
      </c>
      <c r="C180" s="230" t="s">
        <v>2381</v>
      </c>
      <c r="D180" s="230">
        <v>8.86</v>
      </c>
      <c r="E180" s="263">
        <v>8.8800000000000008</v>
      </c>
      <c r="F180" s="230">
        <v>8.5</v>
      </c>
      <c r="G180" s="230">
        <v>0.93</v>
      </c>
      <c r="H180" s="230">
        <v>3</v>
      </c>
      <c r="I180" s="230">
        <v>11</v>
      </c>
      <c r="J180" s="230">
        <v>0</v>
      </c>
      <c r="K180" s="229" t="s">
        <v>2383</v>
      </c>
      <c r="L180" s="230">
        <v>1991</v>
      </c>
      <c r="M180" s="230" t="s">
        <v>1773</v>
      </c>
      <c r="N180" s="231" t="s">
        <v>2384</v>
      </c>
    </row>
    <row r="181" spans="1:14" x14ac:dyDescent="0.2">
      <c r="A181" s="236">
        <v>179</v>
      </c>
      <c r="B181" s="226" t="s">
        <v>300</v>
      </c>
      <c r="C181" s="227" t="s">
        <v>2344</v>
      </c>
      <c r="D181" s="227">
        <v>9</v>
      </c>
      <c r="E181" s="256">
        <v>8.9700000000000006</v>
      </c>
      <c r="F181" s="227">
        <v>8.5</v>
      </c>
      <c r="G181" s="227">
        <v>0.89</v>
      </c>
      <c r="H181" s="227">
        <v>1</v>
      </c>
      <c r="I181" s="227">
        <v>6</v>
      </c>
      <c r="J181" s="227">
        <v>1</v>
      </c>
      <c r="K181" s="226" t="s">
        <v>735</v>
      </c>
      <c r="L181" s="227">
        <v>2002</v>
      </c>
      <c r="M181" s="227" t="s">
        <v>1778</v>
      </c>
      <c r="N181" s="228" t="s">
        <v>2349</v>
      </c>
    </row>
    <row r="182" spans="1:14" x14ac:dyDescent="0.2">
      <c r="A182" s="236">
        <v>180</v>
      </c>
      <c r="B182" s="229" t="s">
        <v>303</v>
      </c>
      <c r="C182" s="230" t="s">
        <v>2365</v>
      </c>
      <c r="D182" s="230">
        <v>9.08</v>
      </c>
      <c r="E182" s="248">
        <v>9.17</v>
      </c>
      <c r="F182" s="230">
        <v>9</v>
      </c>
      <c r="G182" s="230">
        <v>0.73</v>
      </c>
      <c r="H182" s="230">
        <v>3</v>
      </c>
      <c r="I182" s="230">
        <v>13</v>
      </c>
      <c r="J182" s="230">
        <v>0</v>
      </c>
      <c r="K182" s="229" t="s">
        <v>2379</v>
      </c>
      <c r="L182" s="230">
        <v>2007</v>
      </c>
      <c r="M182" s="230" t="s">
        <v>1776</v>
      </c>
      <c r="N182" s="231" t="s">
        <v>2349</v>
      </c>
    </row>
    <row r="183" spans="1:14" x14ac:dyDescent="0.2">
      <c r="A183" s="236">
        <v>181</v>
      </c>
      <c r="B183" s="226" t="s">
        <v>2164</v>
      </c>
      <c r="C183" s="227" t="s">
        <v>2313</v>
      </c>
      <c r="D183" s="227">
        <v>8.7899999999999991</v>
      </c>
      <c r="E183" s="265">
        <v>8.86</v>
      </c>
      <c r="F183" s="227">
        <v>8.75</v>
      </c>
      <c r="G183" s="227">
        <v>0.75</v>
      </c>
      <c r="H183" s="227">
        <v>1</v>
      </c>
      <c r="I183" s="227">
        <v>13</v>
      </c>
      <c r="J183" s="227">
        <v>1</v>
      </c>
      <c r="K183" s="226" t="s">
        <v>2326</v>
      </c>
      <c r="L183" s="227">
        <v>1967</v>
      </c>
      <c r="M183" s="227" t="s">
        <v>1795</v>
      </c>
      <c r="N183" s="228" t="s">
        <v>2327</v>
      </c>
    </row>
    <row r="184" spans="1:14" x14ac:dyDescent="0.2">
      <c r="A184" s="236">
        <v>182</v>
      </c>
      <c r="B184" s="229" t="s">
        <v>441</v>
      </c>
      <c r="C184" s="230" t="s">
        <v>2329</v>
      </c>
      <c r="D184" s="230">
        <v>8.75</v>
      </c>
      <c r="E184" s="271">
        <v>8.7799999999999994</v>
      </c>
      <c r="F184" s="230">
        <v>8.5</v>
      </c>
      <c r="G184" s="230">
        <v>0.68</v>
      </c>
      <c r="H184" s="230">
        <v>1</v>
      </c>
      <c r="I184" s="230">
        <v>10</v>
      </c>
      <c r="J184" s="230">
        <v>0</v>
      </c>
      <c r="K184" s="229" t="s">
        <v>4779</v>
      </c>
      <c r="L184" s="230">
        <v>2000</v>
      </c>
      <c r="M184" s="230" t="s">
        <v>1798</v>
      </c>
      <c r="N184" s="231" t="s">
        <v>2327</v>
      </c>
    </row>
    <row r="185" spans="1:14" x14ac:dyDescent="0.2">
      <c r="A185" s="236">
        <v>183</v>
      </c>
      <c r="B185" s="226" t="s">
        <v>300</v>
      </c>
      <c r="C185" s="227" t="s">
        <v>2281</v>
      </c>
      <c r="D185" s="227">
        <v>8.11</v>
      </c>
      <c r="E185" s="318">
        <v>8.0299999999999994</v>
      </c>
      <c r="F185" s="227">
        <v>8</v>
      </c>
      <c r="G185" s="227">
        <v>0.46</v>
      </c>
      <c r="H185" s="227">
        <v>0</v>
      </c>
      <c r="I185" s="227">
        <v>11</v>
      </c>
      <c r="J185" s="227">
        <v>2</v>
      </c>
      <c r="K185" s="226" t="s">
        <v>987</v>
      </c>
      <c r="L185" s="227">
        <v>2016</v>
      </c>
      <c r="M185" s="227" t="s">
        <v>1798</v>
      </c>
      <c r="N185" s="228" t="s">
        <v>2310</v>
      </c>
    </row>
    <row r="186" spans="1:14" x14ac:dyDescent="0.2">
      <c r="A186" s="236">
        <v>184</v>
      </c>
      <c r="B186" s="229" t="s">
        <v>2306</v>
      </c>
      <c r="C186" s="230" t="s">
        <v>2307</v>
      </c>
      <c r="D186" s="230">
        <v>7.17</v>
      </c>
      <c r="E186" s="332">
        <v>7.04</v>
      </c>
      <c r="F186" s="230">
        <v>7</v>
      </c>
      <c r="G186" s="230">
        <v>0.72</v>
      </c>
      <c r="H186" s="230">
        <v>0</v>
      </c>
      <c r="I186" s="230">
        <v>12</v>
      </c>
      <c r="J186" s="230">
        <v>0</v>
      </c>
      <c r="K186" s="229" t="s">
        <v>2311</v>
      </c>
      <c r="L186" s="230">
        <v>2013</v>
      </c>
      <c r="M186" s="230" t="s">
        <v>1771</v>
      </c>
      <c r="N186" s="231" t="s">
        <v>2310</v>
      </c>
    </row>
    <row r="187" spans="1:14" x14ac:dyDescent="0.2">
      <c r="A187" s="236">
        <v>185</v>
      </c>
      <c r="B187" s="226" t="s">
        <v>2292</v>
      </c>
      <c r="C187" s="227" t="s">
        <v>2277</v>
      </c>
      <c r="D187" s="227">
        <v>10</v>
      </c>
      <c r="E187" s="233">
        <v>10.44</v>
      </c>
      <c r="F187" s="227">
        <v>10.5</v>
      </c>
      <c r="G187" s="227">
        <v>0.71</v>
      </c>
      <c r="H187" s="227">
        <v>2</v>
      </c>
      <c r="I187" s="227">
        <v>3</v>
      </c>
      <c r="J187" s="227">
        <v>0</v>
      </c>
      <c r="K187" s="226" t="s">
        <v>987</v>
      </c>
      <c r="L187" s="227">
        <v>1972</v>
      </c>
      <c r="M187" s="227" t="s">
        <v>1775</v>
      </c>
      <c r="N187" s="228" t="s">
        <v>2308</v>
      </c>
    </row>
    <row r="188" spans="1:14" x14ac:dyDescent="0.2">
      <c r="A188" s="236">
        <v>186</v>
      </c>
      <c r="B188" s="229" t="s">
        <v>1054</v>
      </c>
      <c r="C188" s="230" t="s">
        <v>2291</v>
      </c>
      <c r="D188" s="230">
        <v>8.61</v>
      </c>
      <c r="E188" s="293">
        <v>8.5299999999999994</v>
      </c>
      <c r="F188" s="230">
        <v>8.5</v>
      </c>
      <c r="G188" s="230">
        <v>0.66</v>
      </c>
      <c r="H188" s="230">
        <v>1</v>
      </c>
      <c r="I188" s="230">
        <v>9</v>
      </c>
      <c r="J188" s="230">
        <v>0</v>
      </c>
      <c r="K188" s="229" t="s">
        <v>735</v>
      </c>
      <c r="L188" s="230">
        <v>1998</v>
      </c>
      <c r="M188" s="230" t="s">
        <v>1798</v>
      </c>
      <c r="N188" s="231" t="s">
        <v>2309</v>
      </c>
    </row>
    <row r="189" spans="1:14" x14ac:dyDescent="0.2">
      <c r="A189" s="236">
        <v>187</v>
      </c>
      <c r="B189" s="226" t="s">
        <v>2252</v>
      </c>
      <c r="C189" s="227" t="s">
        <v>2253</v>
      </c>
      <c r="D189" s="227">
        <v>8.69</v>
      </c>
      <c r="E189" s="293">
        <v>8.5299999999999994</v>
      </c>
      <c r="F189" s="227">
        <v>8.25</v>
      </c>
      <c r="G189" s="227">
        <v>0.79</v>
      </c>
      <c r="H189" s="227">
        <v>1</v>
      </c>
      <c r="I189" s="227">
        <v>8</v>
      </c>
      <c r="J189" s="227">
        <v>0</v>
      </c>
      <c r="K189" s="226" t="s">
        <v>2254</v>
      </c>
      <c r="L189" s="227">
        <v>1976</v>
      </c>
      <c r="M189" s="227" t="s">
        <v>1779</v>
      </c>
      <c r="N189" s="228" t="s">
        <v>2255</v>
      </c>
    </row>
    <row r="190" spans="1:14" x14ac:dyDescent="0.2">
      <c r="A190" s="236">
        <v>188</v>
      </c>
      <c r="B190" s="229" t="s">
        <v>292</v>
      </c>
      <c r="C190" s="230" t="s">
        <v>2366</v>
      </c>
      <c r="D190" s="230">
        <v>9.25</v>
      </c>
      <c r="E190" s="240">
        <v>9.5299999999999994</v>
      </c>
      <c r="F190" s="230">
        <v>9.5</v>
      </c>
      <c r="G190" s="230">
        <v>1.18</v>
      </c>
      <c r="H190" s="230">
        <v>3</v>
      </c>
      <c r="I190" s="230">
        <v>8</v>
      </c>
      <c r="J190" s="230">
        <v>2</v>
      </c>
      <c r="K190" s="229" t="s">
        <v>2367</v>
      </c>
      <c r="L190" s="230">
        <v>2000</v>
      </c>
      <c r="M190" s="230" t="s">
        <v>1785</v>
      </c>
      <c r="N190" s="231" t="s">
        <v>2255</v>
      </c>
    </row>
    <row r="191" spans="1:14" x14ac:dyDescent="0.2">
      <c r="A191" s="236">
        <v>189</v>
      </c>
      <c r="B191" s="226" t="s">
        <v>2238</v>
      </c>
      <c r="C191" s="227" t="s">
        <v>2228</v>
      </c>
      <c r="D191" s="227">
        <v>8.86</v>
      </c>
      <c r="E191" s="275">
        <v>8.74</v>
      </c>
      <c r="F191" s="227">
        <v>8.5</v>
      </c>
      <c r="G191" s="227">
        <v>0.86</v>
      </c>
      <c r="H191" s="227">
        <v>3</v>
      </c>
      <c r="I191" s="227">
        <v>11</v>
      </c>
      <c r="J191" s="227">
        <v>0</v>
      </c>
      <c r="K191" s="226" t="s">
        <v>2239</v>
      </c>
      <c r="L191" s="227">
        <v>1994</v>
      </c>
      <c r="M191" s="227" t="s">
        <v>1777</v>
      </c>
      <c r="N191" s="228" t="s">
        <v>2240</v>
      </c>
    </row>
    <row r="192" spans="1:14" x14ac:dyDescent="0.2">
      <c r="A192" s="236">
        <v>190</v>
      </c>
      <c r="B192" s="229" t="s">
        <v>315</v>
      </c>
      <c r="C192" s="230" t="s">
        <v>2205</v>
      </c>
      <c r="D192" s="230">
        <v>8.92</v>
      </c>
      <c r="E192" s="255">
        <v>9</v>
      </c>
      <c r="F192" s="230">
        <v>9</v>
      </c>
      <c r="G192" s="230">
        <v>1.02</v>
      </c>
      <c r="H192" s="230">
        <v>3</v>
      </c>
      <c r="I192" s="230">
        <v>13</v>
      </c>
      <c r="J192" s="230">
        <v>1</v>
      </c>
      <c r="K192" s="229" t="s">
        <v>725</v>
      </c>
      <c r="L192" s="230">
        <v>2003</v>
      </c>
      <c r="M192" s="230" t="s">
        <v>1790</v>
      </c>
      <c r="N192" s="231" t="s">
        <v>2225</v>
      </c>
    </row>
    <row r="193" spans="1:14" x14ac:dyDescent="0.2">
      <c r="A193" s="236">
        <v>191</v>
      </c>
      <c r="B193" s="226" t="s">
        <v>2223</v>
      </c>
      <c r="C193" s="227" t="s">
        <v>2224</v>
      </c>
      <c r="D193" s="227">
        <v>8.1999999999999993</v>
      </c>
      <c r="E193" s="315">
        <v>8.1300000000000008</v>
      </c>
      <c r="F193" s="227">
        <v>8</v>
      </c>
      <c r="G193" s="227">
        <v>0.24</v>
      </c>
      <c r="H193" s="227">
        <v>0</v>
      </c>
      <c r="I193" s="227">
        <v>5</v>
      </c>
      <c r="J193" s="227">
        <v>0</v>
      </c>
      <c r="K193" s="226" t="s">
        <v>996</v>
      </c>
      <c r="L193" s="227">
        <v>2026</v>
      </c>
      <c r="M193" s="227" t="s">
        <v>1808</v>
      </c>
      <c r="N193" s="228" t="s">
        <v>2225</v>
      </c>
    </row>
    <row r="194" spans="1:14" x14ac:dyDescent="0.2">
      <c r="A194" s="236">
        <v>192</v>
      </c>
      <c r="B194" s="229" t="s">
        <v>2221</v>
      </c>
      <c r="C194" s="230" t="s">
        <v>2222</v>
      </c>
      <c r="D194" s="230">
        <v>8.61</v>
      </c>
      <c r="E194" s="291">
        <v>8.5500000000000007</v>
      </c>
      <c r="F194" s="230">
        <v>8</v>
      </c>
      <c r="G194" s="230">
        <v>1.24</v>
      </c>
      <c r="H194" s="230">
        <v>3</v>
      </c>
      <c r="I194" s="230">
        <v>9</v>
      </c>
      <c r="J194" s="230">
        <v>0</v>
      </c>
      <c r="K194" s="229" t="s">
        <v>2071</v>
      </c>
      <c r="L194" s="230">
        <v>1990</v>
      </c>
      <c r="M194" s="230" t="s">
        <v>1774</v>
      </c>
      <c r="N194" s="231" t="s">
        <v>2225</v>
      </c>
    </row>
    <row r="195" spans="1:14" x14ac:dyDescent="0.2">
      <c r="A195" s="236">
        <v>193</v>
      </c>
      <c r="B195" s="226" t="s">
        <v>1491</v>
      </c>
      <c r="C195" s="227" t="s">
        <v>2189</v>
      </c>
      <c r="D195" s="227">
        <v>9.07</v>
      </c>
      <c r="E195" s="254">
        <v>9.02</v>
      </c>
      <c r="F195" s="227">
        <v>9</v>
      </c>
      <c r="G195" s="227">
        <v>0.73</v>
      </c>
      <c r="H195" s="227">
        <v>2</v>
      </c>
      <c r="I195" s="227">
        <v>7</v>
      </c>
      <c r="J195" s="227">
        <v>0</v>
      </c>
      <c r="K195" s="226" t="s">
        <v>1493</v>
      </c>
      <c r="L195" s="227">
        <v>1977</v>
      </c>
      <c r="M195" s="227" t="s">
        <v>1802</v>
      </c>
      <c r="N195" s="228" t="s">
        <v>2190</v>
      </c>
    </row>
    <row r="196" spans="1:14" x14ac:dyDescent="0.2">
      <c r="A196" s="236">
        <v>194</v>
      </c>
      <c r="B196" s="229" t="s">
        <v>2178</v>
      </c>
      <c r="C196" s="230" t="s">
        <v>2177</v>
      </c>
      <c r="D196" s="230">
        <v>8.67</v>
      </c>
      <c r="E196" s="289">
        <v>8.57</v>
      </c>
      <c r="F196" s="230">
        <v>8.5</v>
      </c>
      <c r="G196" s="230">
        <v>0.82</v>
      </c>
      <c r="H196" s="230">
        <v>2</v>
      </c>
      <c r="I196" s="230">
        <v>10</v>
      </c>
      <c r="J196" s="230">
        <v>1</v>
      </c>
      <c r="K196" s="229" t="s">
        <v>2179</v>
      </c>
      <c r="L196" s="230">
        <v>2015</v>
      </c>
      <c r="M196" s="230" t="s">
        <v>1798</v>
      </c>
      <c r="N196" s="231" t="s">
        <v>2180</v>
      </c>
    </row>
    <row r="197" spans="1:14" x14ac:dyDescent="0.2">
      <c r="A197" s="236">
        <v>195</v>
      </c>
      <c r="B197" s="226" t="s">
        <v>300</v>
      </c>
      <c r="C197" s="227" t="s">
        <v>2146</v>
      </c>
      <c r="D197" s="227">
        <v>8.64</v>
      </c>
      <c r="E197" s="291">
        <v>8.5500000000000007</v>
      </c>
      <c r="F197" s="227">
        <v>8.5</v>
      </c>
      <c r="G197" s="227">
        <v>0.74</v>
      </c>
      <c r="H197" s="227">
        <v>1</v>
      </c>
      <c r="I197" s="227">
        <v>7</v>
      </c>
      <c r="J197" s="227">
        <v>0</v>
      </c>
      <c r="K197" s="226" t="s">
        <v>733</v>
      </c>
      <c r="L197" s="227">
        <v>2008</v>
      </c>
      <c r="M197" s="227" t="s">
        <v>1806</v>
      </c>
      <c r="N197" s="228" t="s">
        <v>2166</v>
      </c>
    </row>
    <row r="198" spans="1:14" x14ac:dyDescent="0.2">
      <c r="A198" s="236">
        <v>196</v>
      </c>
      <c r="B198" s="229" t="s">
        <v>2164</v>
      </c>
      <c r="C198" s="230" t="s">
        <v>2165</v>
      </c>
      <c r="D198" s="230">
        <v>8.81</v>
      </c>
      <c r="E198" s="267">
        <v>8.83</v>
      </c>
      <c r="F198" s="230">
        <v>8.5</v>
      </c>
      <c r="G198" s="230">
        <v>0.73</v>
      </c>
      <c r="H198" s="230">
        <v>2</v>
      </c>
      <c r="I198" s="230">
        <v>17</v>
      </c>
      <c r="J198" s="230">
        <v>1</v>
      </c>
      <c r="K198" s="229" t="s">
        <v>1007</v>
      </c>
      <c r="L198" s="230">
        <v>1969</v>
      </c>
      <c r="M198" s="230" t="s">
        <v>1774</v>
      </c>
      <c r="N198" s="231" t="s">
        <v>2166</v>
      </c>
    </row>
    <row r="199" spans="1:14" x14ac:dyDescent="0.2">
      <c r="A199" s="236">
        <v>197</v>
      </c>
      <c r="B199" s="226" t="s">
        <v>795</v>
      </c>
      <c r="C199" s="227" t="s">
        <v>2109</v>
      </c>
      <c r="D199" s="227">
        <v>8.57</v>
      </c>
      <c r="E199" s="296">
        <v>8.49</v>
      </c>
      <c r="F199" s="227">
        <v>8.5</v>
      </c>
      <c r="G199" s="227">
        <v>0.6</v>
      </c>
      <c r="H199" s="227">
        <v>1</v>
      </c>
      <c r="I199" s="227">
        <v>15</v>
      </c>
      <c r="J199" s="227">
        <v>0</v>
      </c>
      <c r="K199" s="226" t="s">
        <v>796</v>
      </c>
      <c r="L199" s="227">
        <v>2003</v>
      </c>
      <c r="M199" s="227" t="s">
        <v>1799</v>
      </c>
      <c r="N199" s="228" t="s">
        <v>2110</v>
      </c>
    </row>
    <row r="200" spans="1:14" x14ac:dyDescent="0.2">
      <c r="A200" s="236">
        <v>198</v>
      </c>
      <c r="B200" s="229" t="s">
        <v>301</v>
      </c>
      <c r="C200" s="230" t="s">
        <v>2122</v>
      </c>
      <c r="D200" s="230">
        <v>8.6999999999999993</v>
      </c>
      <c r="E200" s="286">
        <v>8.61</v>
      </c>
      <c r="F200" s="230">
        <v>8.5</v>
      </c>
      <c r="G200" s="230">
        <v>0.75</v>
      </c>
      <c r="H200" s="230">
        <v>2</v>
      </c>
      <c r="I200" s="230">
        <v>10</v>
      </c>
      <c r="J200" s="230">
        <v>0</v>
      </c>
      <c r="K200" s="229" t="s">
        <v>734</v>
      </c>
      <c r="L200" s="230">
        <v>1983</v>
      </c>
      <c r="M200" s="230" t="s">
        <v>1777</v>
      </c>
      <c r="N200" s="231" t="s">
        <v>2110</v>
      </c>
    </row>
    <row r="201" spans="1:14" x14ac:dyDescent="0.2">
      <c r="A201" s="236">
        <v>199</v>
      </c>
      <c r="B201" s="226" t="s">
        <v>2136</v>
      </c>
      <c r="C201" s="227" t="s">
        <v>2137</v>
      </c>
      <c r="D201" s="227">
        <v>8</v>
      </c>
      <c r="E201" s="322">
        <v>7.94</v>
      </c>
      <c r="F201" s="227">
        <v>8</v>
      </c>
      <c r="G201" s="227">
        <v>0.45</v>
      </c>
      <c r="H201" s="227">
        <v>0</v>
      </c>
      <c r="I201" s="227">
        <v>10</v>
      </c>
      <c r="J201" s="227">
        <v>0</v>
      </c>
      <c r="K201" s="226" t="s">
        <v>996</v>
      </c>
      <c r="L201" s="227">
        <v>2025</v>
      </c>
      <c r="M201" s="227" t="s">
        <v>1800</v>
      </c>
      <c r="N201" s="228" t="s">
        <v>2110</v>
      </c>
    </row>
    <row r="202" spans="1:14" x14ac:dyDescent="0.2">
      <c r="A202" s="236">
        <v>200</v>
      </c>
      <c r="B202" s="229" t="s">
        <v>2796</v>
      </c>
      <c r="C202" s="230" t="s">
        <v>4590</v>
      </c>
      <c r="D202" s="230">
        <v>8.8000000000000007</v>
      </c>
      <c r="E202" s="278">
        <v>8.6999999999999993</v>
      </c>
      <c r="F202" s="230">
        <v>8.5</v>
      </c>
      <c r="G202" s="230">
        <v>0.68</v>
      </c>
      <c r="H202" s="230">
        <v>1</v>
      </c>
      <c r="I202" s="230">
        <v>5</v>
      </c>
      <c r="J202" s="230">
        <v>0</v>
      </c>
      <c r="K202" s="229" t="s">
        <v>4619</v>
      </c>
      <c r="L202" s="230">
        <v>2007</v>
      </c>
      <c r="M202" s="230" t="s">
        <v>2797</v>
      </c>
      <c r="N202" s="231" t="s">
        <v>2110</v>
      </c>
    </row>
    <row r="203" spans="1:14" x14ac:dyDescent="0.2">
      <c r="A203" s="236">
        <v>201</v>
      </c>
      <c r="B203" s="226" t="s">
        <v>2088</v>
      </c>
      <c r="C203" s="227" t="s">
        <v>2089</v>
      </c>
      <c r="D203" s="227">
        <v>8.5399999999999991</v>
      </c>
      <c r="E203" s="301">
        <v>8.41</v>
      </c>
      <c r="F203" s="227">
        <v>8.25</v>
      </c>
      <c r="G203" s="227">
        <v>0.81</v>
      </c>
      <c r="H203" s="227">
        <v>2</v>
      </c>
      <c r="I203" s="227">
        <v>14</v>
      </c>
      <c r="J203" s="227">
        <v>0</v>
      </c>
      <c r="K203" s="226" t="s">
        <v>2090</v>
      </c>
      <c r="L203" s="227">
        <v>1991</v>
      </c>
      <c r="M203" s="227" t="s">
        <v>1783</v>
      </c>
      <c r="N203" s="228" t="s">
        <v>2108</v>
      </c>
    </row>
    <row r="204" spans="1:14" x14ac:dyDescent="0.2">
      <c r="A204" s="236">
        <v>202</v>
      </c>
      <c r="B204" s="229" t="s">
        <v>2052</v>
      </c>
      <c r="C204" s="230" t="s">
        <v>2053</v>
      </c>
      <c r="D204" s="230">
        <v>8.73</v>
      </c>
      <c r="E204" s="284">
        <v>8.6300000000000008</v>
      </c>
      <c r="F204" s="230">
        <v>8.5</v>
      </c>
      <c r="G204" s="230">
        <v>0.67</v>
      </c>
      <c r="H204" s="230">
        <v>2</v>
      </c>
      <c r="I204" s="230">
        <v>15</v>
      </c>
      <c r="J204" s="230">
        <v>2</v>
      </c>
      <c r="K204" s="229" t="s">
        <v>4454</v>
      </c>
      <c r="L204" s="230">
        <v>2024</v>
      </c>
      <c r="M204" s="230" t="s">
        <v>1769</v>
      </c>
      <c r="N204" s="231" t="s">
        <v>2054</v>
      </c>
    </row>
    <row r="205" spans="1:14" x14ac:dyDescent="0.2">
      <c r="A205" s="236">
        <v>203</v>
      </c>
      <c r="B205" s="226" t="s">
        <v>2068</v>
      </c>
      <c r="C205" s="227" t="s">
        <v>2069</v>
      </c>
      <c r="D205" s="227">
        <v>8.58</v>
      </c>
      <c r="E205" s="295">
        <v>8.5</v>
      </c>
      <c r="F205" s="227">
        <v>8.5</v>
      </c>
      <c r="G205" s="227">
        <v>0.67</v>
      </c>
      <c r="H205" s="227">
        <v>1</v>
      </c>
      <c r="I205" s="227">
        <v>12</v>
      </c>
      <c r="J205" s="227">
        <v>0</v>
      </c>
      <c r="K205" s="226" t="s">
        <v>2072</v>
      </c>
      <c r="L205" s="227">
        <v>1992</v>
      </c>
      <c r="M205" s="227" t="s">
        <v>1798</v>
      </c>
      <c r="N205" s="228" t="s">
        <v>2054</v>
      </c>
    </row>
    <row r="206" spans="1:14" x14ac:dyDescent="0.2">
      <c r="A206" s="236">
        <v>204</v>
      </c>
      <c r="B206" s="229" t="s">
        <v>310</v>
      </c>
      <c r="C206" s="230" t="s">
        <v>159</v>
      </c>
      <c r="D206" s="230">
        <v>8.7100000000000009</v>
      </c>
      <c r="E206" s="282">
        <v>8.65</v>
      </c>
      <c r="F206" s="230">
        <v>8.75</v>
      </c>
      <c r="G206" s="230">
        <v>0.78</v>
      </c>
      <c r="H206" s="230">
        <v>2</v>
      </c>
      <c r="I206" s="230">
        <v>12</v>
      </c>
      <c r="J206" s="230">
        <v>0</v>
      </c>
      <c r="K206" s="229" t="s">
        <v>2569</v>
      </c>
      <c r="L206" s="230">
        <v>1977</v>
      </c>
      <c r="M206" s="230" t="s">
        <v>1795</v>
      </c>
      <c r="N206" s="231" t="s">
        <v>1954</v>
      </c>
    </row>
    <row r="207" spans="1:14" x14ac:dyDescent="0.2">
      <c r="A207" s="236">
        <v>205</v>
      </c>
      <c r="B207" s="226" t="s">
        <v>313</v>
      </c>
      <c r="C207" s="227" t="s">
        <v>160</v>
      </c>
      <c r="D207" s="227">
        <v>8.3800000000000008</v>
      </c>
      <c r="E207" s="308">
        <v>8.25</v>
      </c>
      <c r="F207" s="227">
        <v>8.25</v>
      </c>
      <c r="G207" s="227">
        <v>1.06</v>
      </c>
      <c r="H207" s="227">
        <v>2</v>
      </c>
      <c r="I207" s="227">
        <v>12</v>
      </c>
      <c r="J207" s="227">
        <v>0</v>
      </c>
      <c r="K207" s="226" t="s">
        <v>779</v>
      </c>
      <c r="L207" s="227">
        <v>1992</v>
      </c>
      <c r="M207" s="227" t="s">
        <v>1796</v>
      </c>
      <c r="N207" s="228" t="s">
        <v>1954</v>
      </c>
    </row>
    <row r="208" spans="1:14" x14ac:dyDescent="0.2">
      <c r="A208" s="236">
        <v>206</v>
      </c>
      <c r="B208" s="229" t="s">
        <v>2033</v>
      </c>
      <c r="C208" s="230" t="s">
        <v>2034</v>
      </c>
      <c r="D208" s="230">
        <v>8.75</v>
      </c>
      <c r="E208" s="283">
        <v>8.64</v>
      </c>
      <c r="F208" s="230">
        <v>8.5</v>
      </c>
      <c r="G208" s="230">
        <v>0.66</v>
      </c>
      <c r="H208" s="230">
        <v>1</v>
      </c>
      <c r="I208" s="230">
        <v>8</v>
      </c>
      <c r="J208" s="230">
        <v>0</v>
      </c>
      <c r="K208" s="229" t="s">
        <v>2035</v>
      </c>
      <c r="L208" s="230">
        <v>1996</v>
      </c>
      <c r="M208" s="230" t="s">
        <v>1779</v>
      </c>
      <c r="N208" s="231" t="s">
        <v>1954</v>
      </c>
    </row>
    <row r="209" spans="1:14" x14ac:dyDescent="0.2">
      <c r="A209" s="236">
        <v>207</v>
      </c>
      <c r="B209" s="226" t="s">
        <v>1577</v>
      </c>
      <c r="C209" s="227" t="s">
        <v>1948</v>
      </c>
      <c r="D209" s="227">
        <v>8.81</v>
      </c>
      <c r="E209" s="267">
        <v>8.83</v>
      </c>
      <c r="F209" s="227">
        <v>8.5</v>
      </c>
      <c r="G209" s="227">
        <v>0.79</v>
      </c>
      <c r="H209" s="227">
        <v>1</v>
      </c>
      <c r="I209" s="227">
        <v>8</v>
      </c>
      <c r="J209" s="227">
        <v>0</v>
      </c>
      <c r="K209" s="226" t="s">
        <v>1247</v>
      </c>
      <c r="L209" s="227">
        <v>1988</v>
      </c>
      <c r="M209" s="227" t="s">
        <v>1765</v>
      </c>
      <c r="N209" s="228" t="s">
        <v>1955</v>
      </c>
    </row>
    <row r="210" spans="1:14" x14ac:dyDescent="0.2">
      <c r="A210" s="236">
        <v>208</v>
      </c>
      <c r="B210" s="229" t="s">
        <v>1075</v>
      </c>
      <c r="C210" s="230" t="s">
        <v>1926</v>
      </c>
      <c r="D210" s="230">
        <v>8.7200000000000006</v>
      </c>
      <c r="E210" s="261">
        <v>8.91</v>
      </c>
      <c r="F210" s="230">
        <v>8.5</v>
      </c>
      <c r="G210" s="230">
        <v>0.85</v>
      </c>
      <c r="H210" s="230">
        <v>5</v>
      </c>
      <c r="I210" s="230">
        <v>30</v>
      </c>
      <c r="J210" s="230">
        <v>1</v>
      </c>
      <c r="K210" s="229" t="s">
        <v>1442</v>
      </c>
      <c r="L210" s="230">
        <v>2013</v>
      </c>
      <c r="M210" s="230" t="s">
        <v>1928</v>
      </c>
      <c r="N210" s="231" t="s">
        <v>1956</v>
      </c>
    </row>
    <row r="211" spans="1:14" x14ac:dyDescent="0.2">
      <c r="A211" s="236">
        <v>209</v>
      </c>
      <c r="B211" s="226" t="s">
        <v>296</v>
      </c>
      <c r="C211" s="227" t="s">
        <v>1939</v>
      </c>
      <c r="D211" s="227">
        <v>8.6</v>
      </c>
      <c r="E211" s="292">
        <v>8.5399999999999991</v>
      </c>
      <c r="F211" s="227">
        <v>8</v>
      </c>
      <c r="G211" s="227">
        <v>1.02</v>
      </c>
      <c r="H211" s="227">
        <v>2</v>
      </c>
      <c r="I211" s="227">
        <v>10</v>
      </c>
      <c r="J211" s="227">
        <v>0</v>
      </c>
      <c r="K211" s="226" t="s">
        <v>1942</v>
      </c>
      <c r="L211" s="227">
        <v>1970</v>
      </c>
      <c r="M211" s="227" t="s">
        <v>1802</v>
      </c>
      <c r="N211" s="228" t="s">
        <v>1956</v>
      </c>
    </row>
    <row r="212" spans="1:14" x14ac:dyDescent="0.2">
      <c r="A212" s="236">
        <v>210</v>
      </c>
      <c r="B212" s="229" t="s">
        <v>1892</v>
      </c>
      <c r="C212" s="230" t="s">
        <v>1878</v>
      </c>
      <c r="D212" s="230">
        <v>8.3800000000000008</v>
      </c>
      <c r="E212" s="306">
        <v>8.33</v>
      </c>
      <c r="F212" s="230">
        <v>8.5</v>
      </c>
      <c r="G212" s="230">
        <v>0.78</v>
      </c>
      <c r="H212" s="230">
        <v>2</v>
      </c>
      <c r="I212" s="230">
        <v>19</v>
      </c>
      <c r="J212" s="230">
        <v>2</v>
      </c>
      <c r="K212" s="229" t="s">
        <v>1894</v>
      </c>
      <c r="L212" s="230">
        <v>1994</v>
      </c>
      <c r="M212" s="230" t="s">
        <v>1764</v>
      </c>
      <c r="N212" s="231" t="s">
        <v>1957</v>
      </c>
    </row>
    <row r="213" spans="1:14" x14ac:dyDescent="0.2">
      <c r="A213" s="236">
        <v>211</v>
      </c>
      <c r="B213" s="226" t="s">
        <v>1859</v>
      </c>
      <c r="C213" s="227" t="s">
        <v>1860</v>
      </c>
      <c r="D213" s="227">
        <v>8.43</v>
      </c>
      <c r="E213" s="303">
        <v>8.3800000000000008</v>
      </c>
      <c r="F213" s="227">
        <v>8.5</v>
      </c>
      <c r="G213" s="227">
        <v>0.49</v>
      </c>
      <c r="H213" s="227">
        <v>0</v>
      </c>
      <c r="I213" s="227">
        <v>8</v>
      </c>
      <c r="J213" s="227">
        <v>1</v>
      </c>
      <c r="K213" s="226" t="s">
        <v>1861</v>
      </c>
      <c r="L213" s="227">
        <v>2026</v>
      </c>
      <c r="M213" s="227" t="s">
        <v>1797</v>
      </c>
      <c r="N213" s="228" t="s">
        <v>1958</v>
      </c>
    </row>
    <row r="214" spans="1:14" x14ac:dyDescent="0.2">
      <c r="A214" s="236">
        <v>212</v>
      </c>
      <c r="B214" s="229" t="s">
        <v>1871</v>
      </c>
      <c r="C214" s="230" t="s">
        <v>1864</v>
      </c>
      <c r="D214" s="230">
        <v>9.31</v>
      </c>
      <c r="E214" s="242">
        <v>9.43</v>
      </c>
      <c r="F214" s="230">
        <v>9.25</v>
      </c>
      <c r="G214" s="230">
        <v>0.75</v>
      </c>
      <c r="H214" s="230">
        <v>3</v>
      </c>
      <c r="I214" s="230">
        <v>8</v>
      </c>
      <c r="J214" s="230">
        <v>0</v>
      </c>
      <c r="K214" s="229" t="s">
        <v>1872</v>
      </c>
      <c r="L214" s="230">
        <v>1970</v>
      </c>
      <c r="M214" s="230" t="s">
        <v>1771</v>
      </c>
      <c r="N214" s="231" t="s">
        <v>1958</v>
      </c>
    </row>
    <row r="215" spans="1:14" x14ac:dyDescent="0.2">
      <c r="A215" s="236">
        <v>213</v>
      </c>
      <c r="B215" s="226" t="s">
        <v>1848</v>
      </c>
      <c r="C215" s="227" t="s">
        <v>1849</v>
      </c>
      <c r="D215" s="227">
        <v>8.67</v>
      </c>
      <c r="E215" s="286">
        <v>8.61</v>
      </c>
      <c r="F215" s="227">
        <v>8.75</v>
      </c>
      <c r="G215" s="227">
        <v>0.62</v>
      </c>
      <c r="H215" s="227">
        <v>0</v>
      </c>
      <c r="I215" s="227">
        <v>6</v>
      </c>
      <c r="J215" s="227">
        <v>0</v>
      </c>
      <c r="K215" s="226" t="s">
        <v>987</v>
      </c>
      <c r="L215" s="227">
        <v>2013</v>
      </c>
      <c r="M215" s="227" t="s">
        <v>1773</v>
      </c>
      <c r="N215" s="228" t="s">
        <v>1958</v>
      </c>
    </row>
    <row r="216" spans="1:14" x14ac:dyDescent="0.2">
      <c r="A216" s="236">
        <v>214</v>
      </c>
      <c r="B216" s="229" t="s">
        <v>300</v>
      </c>
      <c r="C216" s="230" t="s">
        <v>1840</v>
      </c>
      <c r="D216" s="230">
        <v>8.5</v>
      </c>
      <c r="E216" s="298">
        <v>8.4600000000000009</v>
      </c>
      <c r="F216" s="230">
        <v>8.5</v>
      </c>
      <c r="G216" s="230">
        <v>0.35</v>
      </c>
      <c r="H216" s="230">
        <v>0</v>
      </c>
      <c r="I216" s="230">
        <v>8</v>
      </c>
      <c r="J216" s="230">
        <v>0</v>
      </c>
      <c r="K216" s="229" t="s">
        <v>733</v>
      </c>
      <c r="L216" s="230">
        <v>2024</v>
      </c>
      <c r="M216" s="230" t="s">
        <v>1810</v>
      </c>
      <c r="N216" s="231" t="s">
        <v>1959</v>
      </c>
    </row>
    <row r="217" spans="1:14" x14ac:dyDescent="0.2">
      <c r="A217" s="236">
        <v>215</v>
      </c>
      <c r="B217" s="226" t="s">
        <v>305</v>
      </c>
      <c r="C217" s="227" t="s">
        <v>1732</v>
      </c>
      <c r="D217" s="227">
        <v>8.18</v>
      </c>
      <c r="E217" s="317">
        <v>8.06</v>
      </c>
      <c r="F217" s="227">
        <v>8</v>
      </c>
      <c r="G217" s="227">
        <v>0.86</v>
      </c>
      <c r="H217" s="227">
        <v>1</v>
      </c>
      <c r="I217" s="227">
        <v>11</v>
      </c>
      <c r="J217" s="227">
        <v>0</v>
      </c>
      <c r="K217" s="226" t="s">
        <v>1742</v>
      </c>
      <c r="L217" s="227">
        <v>2001</v>
      </c>
      <c r="M217" s="227" t="s">
        <v>1763</v>
      </c>
      <c r="N217" s="228" t="s">
        <v>1960</v>
      </c>
    </row>
    <row r="218" spans="1:14" x14ac:dyDescent="0.2">
      <c r="A218" s="236">
        <v>216</v>
      </c>
      <c r="B218" s="229" t="s">
        <v>774</v>
      </c>
      <c r="C218" s="230" t="s">
        <v>1751</v>
      </c>
      <c r="D218" s="230">
        <v>7.31</v>
      </c>
      <c r="E218" s="330">
        <v>7.2</v>
      </c>
      <c r="F218" s="230">
        <v>7.25</v>
      </c>
      <c r="G218" s="230">
        <v>0.73</v>
      </c>
      <c r="H218" s="230">
        <v>0</v>
      </c>
      <c r="I218" s="230">
        <v>18</v>
      </c>
      <c r="J218" s="230">
        <v>0</v>
      </c>
      <c r="K218" s="229" t="s">
        <v>1020</v>
      </c>
      <c r="L218" s="230">
        <v>2026</v>
      </c>
      <c r="M218" s="230" t="s">
        <v>1766</v>
      </c>
      <c r="N218" s="231" t="s">
        <v>1960</v>
      </c>
    </row>
    <row r="219" spans="1:14" x14ac:dyDescent="0.2">
      <c r="A219" s="236">
        <v>217</v>
      </c>
      <c r="B219" s="226" t="s">
        <v>312</v>
      </c>
      <c r="C219" s="227" t="s">
        <v>1714</v>
      </c>
      <c r="D219" s="227">
        <v>9</v>
      </c>
      <c r="E219" s="257">
        <v>8.9600000000000009</v>
      </c>
      <c r="F219" s="227">
        <v>9</v>
      </c>
      <c r="G219" s="227">
        <v>0.61</v>
      </c>
      <c r="H219" s="227">
        <v>2</v>
      </c>
      <c r="I219" s="227">
        <v>12</v>
      </c>
      <c r="J219" s="227">
        <v>0</v>
      </c>
      <c r="K219" s="226" t="s">
        <v>3801</v>
      </c>
      <c r="L219" s="227">
        <v>2003</v>
      </c>
      <c r="M219" s="227" t="s">
        <v>1785</v>
      </c>
      <c r="N219" s="228" t="s">
        <v>1961</v>
      </c>
    </row>
    <row r="220" spans="1:14" x14ac:dyDescent="0.2">
      <c r="A220" s="236">
        <v>218</v>
      </c>
      <c r="B220" s="229" t="s">
        <v>1727</v>
      </c>
      <c r="C220" s="230" t="s">
        <v>1728</v>
      </c>
      <c r="D220" s="230">
        <v>8.6</v>
      </c>
      <c r="E220" s="294">
        <v>8.52</v>
      </c>
      <c r="F220" s="230">
        <v>8.5</v>
      </c>
      <c r="G220" s="230">
        <v>0.66</v>
      </c>
      <c r="H220" s="230">
        <v>1</v>
      </c>
      <c r="I220" s="230">
        <v>10</v>
      </c>
      <c r="J220" s="230">
        <v>0</v>
      </c>
      <c r="K220" s="229" t="s">
        <v>1729</v>
      </c>
      <c r="L220" s="230">
        <v>2024</v>
      </c>
      <c r="M220" s="230" t="s">
        <v>1802</v>
      </c>
      <c r="N220" s="231" t="s">
        <v>1961</v>
      </c>
    </row>
    <row r="221" spans="1:14" x14ac:dyDescent="0.2">
      <c r="A221" s="236">
        <v>219</v>
      </c>
      <c r="B221" s="226" t="s">
        <v>300</v>
      </c>
      <c r="C221" s="227" t="s">
        <v>1700</v>
      </c>
      <c r="D221" s="227">
        <v>8.2899999999999991</v>
      </c>
      <c r="E221" s="307">
        <v>8.27</v>
      </c>
      <c r="F221" s="227">
        <v>8.5</v>
      </c>
      <c r="G221" s="227">
        <v>0.45</v>
      </c>
      <c r="H221" s="227">
        <v>0</v>
      </c>
      <c r="I221" s="227">
        <v>9</v>
      </c>
      <c r="J221" s="227">
        <v>2</v>
      </c>
      <c r="K221" s="226" t="s">
        <v>735</v>
      </c>
      <c r="L221" s="227">
        <v>1998</v>
      </c>
      <c r="M221" s="227" t="s">
        <v>1799</v>
      </c>
      <c r="N221" s="228" t="s">
        <v>1962</v>
      </c>
    </row>
    <row r="222" spans="1:14" x14ac:dyDescent="0.2">
      <c r="A222" s="236">
        <v>220</v>
      </c>
      <c r="B222" s="229" t="s">
        <v>298</v>
      </c>
      <c r="C222" s="230" t="s">
        <v>1679</v>
      </c>
      <c r="D222" s="230">
        <v>8.92</v>
      </c>
      <c r="E222" s="256">
        <v>8.9700000000000006</v>
      </c>
      <c r="F222" s="230">
        <v>8.75</v>
      </c>
      <c r="G222" s="230">
        <v>0.79</v>
      </c>
      <c r="H222" s="230">
        <v>1</v>
      </c>
      <c r="I222" s="230">
        <v>6</v>
      </c>
      <c r="J222" s="230">
        <v>0</v>
      </c>
      <c r="K222" s="229" t="s">
        <v>987</v>
      </c>
      <c r="L222" s="230">
        <v>1971</v>
      </c>
      <c r="M222" s="230" t="s">
        <v>1784</v>
      </c>
      <c r="N222" s="231" t="s">
        <v>1963</v>
      </c>
    </row>
    <row r="223" spans="1:14" x14ac:dyDescent="0.2">
      <c r="A223" s="236">
        <v>221</v>
      </c>
      <c r="B223" s="226" t="s">
        <v>1688</v>
      </c>
      <c r="C223" s="227" t="s">
        <v>1688</v>
      </c>
      <c r="D223" s="227">
        <v>8.2899999999999991</v>
      </c>
      <c r="E223" s="314">
        <v>8.16</v>
      </c>
      <c r="F223" s="227">
        <v>8</v>
      </c>
      <c r="G223" s="227">
        <v>0.52</v>
      </c>
      <c r="H223" s="227">
        <v>0</v>
      </c>
      <c r="I223" s="227">
        <v>7</v>
      </c>
      <c r="J223" s="227">
        <v>0</v>
      </c>
      <c r="K223" s="226" t="s">
        <v>1689</v>
      </c>
      <c r="L223" s="227">
        <v>2018</v>
      </c>
      <c r="M223" s="227" t="s">
        <v>1807</v>
      </c>
      <c r="N223" s="228" t="s">
        <v>1963</v>
      </c>
    </row>
    <row r="224" spans="1:14" x14ac:dyDescent="0.2">
      <c r="A224" s="236">
        <v>222</v>
      </c>
      <c r="B224" s="229" t="s">
        <v>1655</v>
      </c>
      <c r="C224" s="230" t="s">
        <v>1656</v>
      </c>
      <c r="D224" s="230">
        <v>8.92</v>
      </c>
      <c r="E224" s="267">
        <v>8.83</v>
      </c>
      <c r="F224" s="230">
        <v>8.75</v>
      </c>
      <c r="G224" s="230">
        <v>0.67</v>
      </c>
      <c r="H224" s="230">
        <v>1</v>
      </c>
      <c r="I224" s="230">
        <v>6</v>
      </c>
      <c r="J224" s="230">
        <v>0</v>
      </c>
      <c r="K224" s="229" t="s">
        <v>1657</v>
      </c>
      <c r="L224" s="230">
        <v>1991</v>
      </c>
      <c r="M224" s="230" t="s">
        <v>1795</v>
      </c>
      <c r="N224" s="231" t="s">
        <v>1964</v>
      </c>
    </row>
    <row r="225" spans="1:14" x14ac:dyDescent="0.2">
      <c r="A225" s="236">
        <v>223</v>
      </c>
      <c r="B225" s="226" t="s">
        <v>301</v>
      </c>
      <c r="C225" s="227" t="s">
        <v>1661</v>
      </c>
      <c r="D225" s="227">
        <v>3.68</v>
      </c>
      <c r="E225" s="334">
        <v>3.37</v>
      </c>
      <c r="F225" s="227">
        <v>3</v>
      </c>
      <c r="G225" s="227">
        <v>1.37</v>
      </c>
      <c r="H225" s="227">
        <v>0</v>
      </c>
      <c r="I225" s="227">
        <v>11</v>
      </c>
      <c r="J225" s="227">
        <v>0</v>
      </c>
      <c r="K225" s="226" t="s">
        <v>731</v>
      </c>
      <c r="L225" s="227">
        <v>2003</v>
      </c>
      <c r="M225" s="227" t="s">
        <v>1767</v>
      </c>
      <c r="N225" s="228" t="s">
        <v>1964</v>
      </c>
    </row>
    <row r="226" spans="1:14" x14ac:dyDescent="0.2">
      <c r="A226" s="236">
        <v>224</v>
      </c>
      <c r="B226" s="229" t="s">
        <v>1625</v>
      </c>
      <c r="C226" s="230" t="s">
        <v>1626</v>
      </c>
      <c r="D226" s="230">
        <v>8.91</v>
      </c>
      <c r="E226" s="263">
        <v>8.8800000000000008</v>
      </c>
      <c r="F226" s="230">
        <v>9</v>
      </c>
      <c r="G226" s="230">
        <v>0.67</v>
      </c>
      <c r="H226" s="230">
        <v>2</v>
      </c>
      <c r="I226" s="230">
        <v>11</v>
      </c>
      <c r="J226" s="230">
        <v>0</v>
      </c>
      <c r="K226" s="229" t="s">
        <v>1002</v>
      </c>
      <c r="L226" s="230">
        <v>1994</v>
      </c>
      <c r="M226" s="230" t="s">
        <v>1788</v>
      </c>
      <c r="N226" s="231" t="s">
        <v>1965</v>
      </c>
    </row>
    <row r="227" spans="1:14" x14ac:dyDescent="0.2">
      <c r="A227" s="236">
        <v>225</v>
      </c>
      <c r="B227" s="226" t="s">
        <v>300</v>
      </c>
      <c r="C227" s="227" t="s">
        <v>1636</v>
      </c>
      <c r="D227" s="227">
        <v>8.25</v>
      </c>
      <c r="E227" s="315">
        <v>8.1300000000000008</v>
      </c>
      <c r="F227" s="227">
        <v>8.25</v>
      </c>
      <c r="G227" s="227">
        <v>0.97</v>
      </c>
      <c r="H227" s="227">
        <v>0</v>
      </c>
      <c r="I227" s="227">
        <v>8</v>
      </c>
      <c r="J227" s="227">
        <v>0</v>
      </c>
      <c r="K227" s="226" t="s">
        <v>987</v>
      </c>
      <c r="L227" s="227">
        <v>2014</v>
      </c>
      <c r="M227" s="227" t="s">
        <v>1806</v>
      </c>
      <c r="N227" s="228" t="s">
        <v>1965</v>
      </c>
    </row>
    <row r="228" spans="1:14" x14ac:dyDescent="0.2">
      <c r="A228" s="236">
        <v>226</v>
      </c>
      <c r="B228" s="229" t="s">
        <v>1647</v>
      </c>
      <c r="C228" s="230" t="s">
        <v>1648</v>
      </c>
      <c r="D228" s="230">
        <v>8.5</v>
      </c>
      <c r="E228" s="299">
        <v>8.4499999999999993</v>
      </c>
      <c r="F228" s="230">
        <v>8.5</v>
      </c>
      <c r="G228" s="230">
        <v>0.41</v>
      </c>
      <c r="H228" s="230">
        <v>0</v>
      </c>
      <c r="I228" s="230">
        <v>9</v>
      </c>
      <c r="J228" s="230">
        <v>0</v>
      </c>
      <c r="K228" s="229" t="s">
        <v>1125</v>
      </c>
      <c r="L228" s="230">
        <v>2026</v>
      </c>
      <c r="M228" s="230" t="s">
        <v>1805</v>
      </c>
      <c r="N228" s="231" t="s">
        <v>1965</v>
      </c>
    </row>
    <row r="229" spans="1:14" x14ac:dyDescent="0.2">
      <c r="A229" s="236">
        <v>227</v>
      </c>
      <c r="B229" s="226" t="s">
        <v>1048</v>
      </c>
      <c r="C229" s="227" t="s">
        <v>1586</v>
      </c>
      <c r="D229" s="227">
        <v>8.57</v>
      </c>
      <c r="E229" s="284">
        <v>8.6300000000000008</v>
      </c>
      <c r="F229" s="227">
        <v>8.5</v>
      </c>
      <c r="G229" s="227">
        <v>0.78</v>
      </c>
      <c r="H229" s="227">
        <v>3</v>
      </c>
      <c r="I229" s="227">
        <v>28</v>
      </c>
      <c r="J229" s="227">
        <v>1</v>
      </c>
      <c r="K229" s="226" t="s">
        <v>1613</v>
      </c>
      <c r="L229" s="227">
        <v>1995</v>
      </c>
      <c r="M229" s="227" t="s">
        <v>1794</v>
      </c>
      <c r="N229" s="228" t="s">
        <v>1966</v>
      </c>
    </row>
    <row r="230" spans="1:14" x14ac:dyDescent="0.2">
      <c r="A230" s="236">
        <v>228</v>
      </c>
      <c r="B230" s="229" t="s">
        <v>300</v>
      </c>
      <c r="C230" s="230" t="s">
        <v>1584</v>
      </c>
      <c r="D230" s="230">
        <v>8.4</v>
      </c>
      <c r="E230" s="308">
        <v>8.25</v>
      </c>
      <c r="F230" s="230">
        <v>8</v>
      </c>
      <c r="G230" s="230">
        <v>0.86</v>
      </c>
      <c r="H230" s="230">
        <v>1</v>
      </c>
      <c r="I230" s="230">
        <v>5</v>
      </c>
      <c r="J230" s="230">
        <v>0</v>
      </c>
      <c r="K230" s="229" t="s">
        <v>733</v>
      </c>
      <c r="L230" s="230">
        <v>1996</v>
      </c>
      <c r="M230" s="230" t="s">
        <v>1791</v>
      </c>
      <c r="N230" s="231" t="s">
        <v>1967</v>
      </c>
    </row>
    <row r="231" spans="1:14" x14ac:dyDescent="0.2">
      <c r="A231" s="236">
        <v>229</v>
      </c>
      <c r="B231" s="226" t="s">
        <v>1330</v>
      </c>
      <c r="C231" s="227" t="s">
        <v>1565</v>
      </c>
      <c r="D231" s="227">
        <v>8.93</v>
      </c>
      <c r="E231" s="259">
        <v>8.93</v>
      </c>
      <c r="F231" s="227">
        <v>8.5</v>
      </c>
      <c r="G231" s="227">
        <v>0.9</v>
      </c>
      <c r="H231" s="227">
        <v>2</v>
      </c>
      <c r="I231" s="227">
        <v>8</v>
      </c>
      <c r="J231" s="227">
        <v>1</v>
      </c>
      <c r="K231" s="226" t="s">
        <v>1566</v>
      </c>
      <c r="L231" s="227">
        <v>2006</v>
      </c>
      <c r="M231" s="227" t="s">
        <v>1803</v>
      </c>
      <c r="N231" s="228" t="s">
        <v>1968</v>
      </c>
    </row>
    <row r="232" spans="1:14" x14ac:dyDescent="0.2">
      <c r="A232" s="236">
        <v>230</v>
      </c>
      <c r="B232" s="229" t="s">
        <v>1577</v>
      </c>
      <c r="C232" s="230" t="s">
        <v>1573</v>
      </c>
      <c r="D232" s="230">
        <v>8.81</v>
      </c>
      <c r="E232" s="278">
        <v>8.6999999999999993</v>
      </c>
      <c r="F232" s="230">
        <v>8.5</v>
      </c>
      <c r="G232" s="230">
        <v>0.83</v>
      </c>
      <c r="H232" s="230">
        <v>2</v>
      </c>
      <c r="I232" s="230">
        <v>8</v>
      </c>
      <c r="J232" s="230">
        <v>0</v>
      </c>
      <c r="K232" s="229" t="s">
        <v>1247</v>
      </c>
      <c r="L232" s="230">
        <v>1982</v>
      </c>
      <c r="M232" s="230" t="s">
        <v>1779</v>
      </c>
      <c r="N232" s="231" t="s">
        <v>1968</v>
      </c>
    </row>
    <row r="233" spans="1:14" x14ac:dyDescent="0.2">
      <c r="A233" s="236">
        <v>231</v>
      </c>
      <c r="B233" s="226" t="s">
        <v>1555</v>
      </c>
      <c r="C233" s="227" t="s">
        <v>1554</v>
      </c>
      <c r="D233" s="227">
        <v>8.85</v>
      </c>
      <c r="E233" s="271">
        <v>8.7799999999999994</v>
      </c>
      <c r="F233" s="227">
        <v>8.75</v>
      </c>
      <c r="G233" s="227">
        <v>0.55000000000000004</v>
      </c>
      <c r="H233" s="227">
        <v>1</v>
      </c>
      <c r="I233" s="227">
        <v>10</v>
      </c>
      <c r="J233" s="227">
        <v>0</v>
      </c>
      <c r="K233" s="226" t="s">
        <v>1556</v>
      </c>
      <c r="L233" s="227">
        <v>2014</v>
      </c>
      <c r="M233" s="227" t="s">
        <v>1794</v>
      </c>
      <c r="N233" s="228" t="s">
        <v>1969</v>
      </c>
    </row>
    <row r="234" spans="1:14" x14ac:dyDescent="0.2">
      <c r="A234" s="236">
        <v>232</v>
      </c>
      <c r="B234" s="229" t="s">
        <v>1540</v>
      </c>
      <c r="C234" s="230" t="s">
        <v>1541</v>
      </c>
      <c r="D234" s="230">
        <v>8.4</v>
      </c>
      <c r="E234" s="304">
        <v>8.3699999999999992</v>
      </c>
      <c r="F234" s="230">
        <v>8.5</v>
      </c>
      <c r="G234" s="230">
        <v>0.37</v>
      </c>
      <c r="H234" s="230">
        <v>0</v>
      </c>
      <c r="I234" s="230">
        <v>5</v>
      </c>
      <c r="J234" s="230">
        <v>0</v>
      </c>
      <c r="K234" s="229" t="s">
        <v>1542</v>
      </c>
      <c r="L234" s="230">
        <v>2026</v>
      </c>
      <c r="M234" s="230" t="s">
        <v>1777</v>
      </c>
      <c r="N234" s="231" t="s">
        <v>1970</v>
      </c>
    </row>
    <row r="235" spans="1:14" x14ac:dyDescent="0.2">
      <c r="A235" s="236">
        <v>233</v>
      </c>
      <c r="B235" s="226" t="s">
        <v>1530</v>
      </c>
      <c r="C235" s="227" t="s">
        <v>1526</v>
      </c>
      <c r="D235" s="227">
        <v>8.75</v>
      </c>
      <c r="E235" s="282">
        <v>8.65</v>
      </c>
      <c r="F235" s="227">
        <v>8.5</v>
      </c>
      <c r="G235" s="227">
        <v>0.56000000000000005</v>
      </c>
      <c r="H235" s="227">
        <v>1</v>
      </c>
      <c r="I235" s="227">
        <v>9</v>
      </c>
      <c r="J235" s="227">
        <v>1</v>
      </c>
      <c r="K235" s="226" t="s">
        <v>1531</v>
      </c>
      <c r="L235" s="227">
        <v>2000</v>
      </c>
      <c r="M235" s="227" t="s">
        <v>1767</v>
      </c>
      <c r="N235" s="228" t="s">
        <v>1971</v>
      </c>
    </row>
    <row r="236" spans="1:14" x14ac:dyDescent="0.2">
      <c r="A236" s="236">
        <v>234</v>
      </c>
      <c r="B236" s="229" t="s">
        <v>311</v>
      </c>
      <c r="C236" s="230" t="s">
        <v>1502</v>
      </c>
      <c r="D236" s="230">
        <v>8.94</v>
      </c>
      <c r="E236" s="258">
        <v>8.9499999999999993</v>
      </c>
      <c r="F236" s="230">
        <v>8.5</v>
      </c>
      <c r="G236" s="230">
        <v>0.76</v>
      </c>
      <c r="H236" s="230">
        <v>2</v>
      </c>
      <c r="I236" s="230">
        <v>10</v>
      </c>
      <c r="J236" s="230">
        <v>1</v>
      </c>
      <c r="K236" s="229" t="s">
        <v>1519</v>
      </c>
      <c r="L236" s="230">
        <v>2000</v>
      </c>
      <c r="M236" s="230" t="s">
        <v>1771</v>
      </c>
      <c r="N236" s="231" t="s">
        <v>1972</v>
      </c>
    </row>
    <row r="237" spans="1:14" x14ac:dyDescent="0.2">
      <c r="A237" s="236">
        <v>235</v>
      </c>
      <c r="B237" s="226" t="s">
        <v>1517</v>
      </c>
      <c r="C237" s="227" t="s">
        <v>1518</v>
      </c>
      <c r="D237" s="227">
        <v>8.6</v>
      </c>
      <c r="E237" s="295">
        <v>8.5</v>
      </c>
      <c r="F237" s="227">
        <v>8.5</v>
      </c>
      <c r="G237" s="227">
        <v>0.83</v>
      </c>
      <c r="H237" s="227">
        <v>1</v>
      </c>
      <c r="I237" s="227">
        <v>10</v>
      </c>
      <c r="J237" s="227">
        <v>0</v>
      </c>
      <c r="K237" s="226" t="s">
        <v>722</v>
      </c>
      <c r="L237" s="227">
        <v>1993</v>
      </c>
      <c r="M237" s="227" t="s">
        <v>1779</v>
      </c>
      <c r="N237" s="228" t="s">
        <v>1972</v>
      </c>
    </row>
    <row r="238" spans="1:14" x14ac:dyDescent="0.2">
      <c r="A238" s="236">
        <v>236</v>
      </c>
      <c r="B238" s="229" t="s">
        <v>293</v>
      </c>
      <c r="C238" s="230" t="s">
        <v>294</v>
      </c>
      <c r="D238" s="230">
        <v>9.6999999999999993</v>
      </c>
      <c r="E238" s="233">
        <v>10.37</v>
      </c>
      <c r="F238" s="230">
        <v>10</v>
      </c>
      <c r="G238" s="230">
        <v>0.87</v>
      </c>
      <c r="H238" s="230">
        <v>6</v>
      </c>
      <c r="I238" s="230">
        <v>10</v>
      </c>
      <c r="J238" s="230">
        <v>0</v>
      </c>
      <c r="K238" s="229" t="s">
        <v>713</v>
      </c>
      <c r="L238" s="230">
        <v>2007</v>
      </c>
      <c r="M238" s="230" t="s">
        <v>1766</v>
      </c>
      <c r="N238" s="231" t="s">
        <v>1973</v>
      </c>
    </row>
    <row r="239" spans="1:14" x14ac:dyDescent="0.2">
      <c r="A239" s="236">
        <v>237</v>
      </c>
      <c r="B239" s="226" t="s">
        <v>1410</v>
      </c>
      <c r="C239" s="227" t="s">
        <v>1464</v>
      </c>
      <c r="D239" s="227">
        <v>8.44</v>
      </c>
      <c r="E239" s="305">
        <v>8.34</v>
      </c>
      <c r="F239" s="227">
        <v>8.5</v>
      </c>
      <c r="G239" s="227">
        <v>1.28</v>
      </c>
      <c r="H239" s="227">
        <v>2</v>
      </c>
      <c r="I239" s="227">
        <v>10</v>
      </c>
      <c r="J239" s="227">
        <v>1</v>
      </c>
      <c r="K239" s="226" t="s">
        <v>1469</v>
      </c>
      <c r="L239" s="227">
        <v>2016</v>
      </c>
      <c r="M239" s="227" t="s">
        <v>1802</v>
      </c>
      <c r="N239" s="228" t="s">
        <v>1973</v>
      </c>
    </row>
    <row r="240" spans="1:14" x14ac:dyDescent="0.2">
      <c r="A240" s="236">
        <v>238</v>
      </c>
      <c r="B240" s="229" t="s">
        <v>1477</v>
      </c>
      <c r="C240" s="230" t="s">
        <v>1478</v>
      </c>
      <c r="D240" s="230">
        <v>9.1</v>
      </c>
      <c r="E240" s="434">
        <v>9.06</v>
      </c>
      <c r="F240" s="230">
        <v>9</v>
      </c>
      <c r="G240" s="230">
        <v>0.8</v>
      </c>
      <c r="H240" s="230">
        <v>2</v>
      </c>
      <c r="I240" s="230">
        <v>5</v>
      </c>
      <c r="J240" s="230">
        <v>0</v>
      </c>
      <c r="K240" s="229" t="s">
        <v>1479</v>
      </c>
      <c r="L240" s="230">
        <v>1974</v>
      </c>
      <c r="M240" s="230" t="s">
        <v>1772</v>
      </c>
      <c r="N240" s="231" t="s">
        <v>1973</v>
      </c>
    </row>
    <row r="241" spans="1:14" x14ac:dyDescent="0.2">
      <c r="A241" s="236">
        <v>239</v>
      </c>
      <c r="B241" s="226" t="s">
        <v>1491</v>
      </c>
      <c r="C241" s="227" t="s">
        <v>1484</v>
      </c>
      <c r="D241" s="227">
        <v>8.75</v>
      </c>
      <c r="E241" s="284">
        <v>8.6300000000000008</v>
      </c>
      <c r="F241" s="227">
        <v>8.5</v>
      </c>
      <c r="G241" s="227">
        <v>0.87</v>
      </c>
      <c r="H241" s="227">
        <v>2</v>
      </c>
      <c r="I241" s="227">
        <v>10</v>
      </c>
      <c r="J241" s="227">
        <v>0</v>
      </c>
      <c r="K241" s="226" t="s">
        <v>1493</v>
      </c>
      <c r="L241" s="227">
        <v>1979</v>
      </c>
      <c r="M241" s="227" t="s">
        <v>1784</v>
      </c>
      <c r="N241" s="228" t="s">
        <v>1973</v>
      </c>
    </row>
    <row r="242" spans="1:14" x14ac:dyDescent="0.2">
      <c r="A242" s="236">
        <v>240</v>
      </c>
      <c r="B242" s="229" t="s">
        <v>1440</v>
      </c>
      <c r="C242" s="230" t="s">
        <v>1441</v>
      </c>
      <c r="D242" s="230">
        <v>8.67</v>
      </c>
      <c r="E242" s="255">
        <v>9</v>
      </c>
      <c r="F242" s="230">
        <v>8.5</v>
      </c>
      <c r="G242" s="230">
        <v>0.98</v>
      </c>
      <c r="H242" s="230">
        <v>5</v>
      </c>
      <c r="I242" s="230">
        <v>26</v>
      </c>
      <c r="J242" s="230">
        <v>0</v>
      </c>
      <c r="K242" s="229" t="s">
        <v>1442</v>
      </c>
      <c r="L242" s="230">
        <v>2017</v>
      </c>
      <c r="M242" s="230" t="s">
        <v>1772</v>
      </c>
      <c r="N242" s="231" t="s">
        <v>1974</v>
      </c>
    </row>
    <row r="243" spans="1:14" x14ac:dyDescent="0.2">
      <c r="A243" s="236">
        <v>241</v>
      </c>
      <c r="B243" s="226" t="s">
        <v>303</v>
      </c>
      <c r="C243" s="227" t="s">
        <v>1444</v>
      </c>
      <c r="D243" s="227">
        <v>8</v>
      </c>
      <c r="E243" s="323">
        <v>7.79</v>
      </c>
      <c r="F243" s="227">
        <v>7.5</v>
      </c>
      <c r="G243" s="227">
        <v>0.88</v>
      </c>
      <c r="H243" s="227">
        <v>0</v>
      </c>
      <c r="I243" s="227">
        <v>10</v>
      </c>
      <c r="J243" s="227">
        <v>1</v>
      </c>
      <c r="K243" s="226" t="s">
        <v>1455</v>
      </c>
      <c r="L243" s="227">
        <v>2005</v>
      </c>
      <c r="M243" s="227" t="s">
        <v>1789</v>
      </c>
      <c r="N243" s="228" t="s">
        <v>1974</v>
      </c>
    </row>
    <row r="244" spans="1:14" x14ac:dyDescent="0.2">
      <c r="A244" s="236">
        <v>242</v>
      </c>
      <c r="B244" s="229" t="s">
        <v>1410</v>
      </c>
      <c r="C244" s="230" t="s">
        <v>1411</v>
      </c>
      <c r="D244" s="230">
        <v>8.82</v>
      </c>
      <c r="E244" s="267">
        <v>8.84</v>
      </c>
      <c r="F244" s="230">
        <v>8.5</v>
      </c>
      <c r="G244" s="230">
        <v>0.81</v>
      </c>
      <c r="H244" s="230">
        <v>2</v>
      </c>
      <c r="I244" s="230">
        <v>12</v>
      </c>
      <c r="J244" s="230">
        <v>1</v>
      </c>
      <c r="K244" s="229" t="s">
        <v>735</v>
      </c>
      <c r="L244" s="230">
        <v>2005</v>
      </c>
      <c r="M244" s="230" t="s">
        <v>1782</v>
      </c>
      <c r="N244" s="231" t="s">
        <v>1975</v>
      </c>
    </row>
    <row r="245" spans="1:14" x14ac:dyDescent="0.2">
      <c r="A245" s="236">
        <v>243</v>
      </c>
      <c r="B245" s="226" t="s">
        <v>1393</v>
      </c>
      <c r="C245" s="227" t="s">
        <v>1394</v>
      </c>
      <c r="D245" s="227">
        <v>8.75</v>
      </c>
      <c r="E245" s="278">
        <v>8.6999999999999993</v>
      </c>
      <c r="F245" s="227">
        <v>8.75</v>
      </c>
      <c r="G245" s="227">
        <v>0.75</v>
      </c>
      <c r="H245" s="227">
        <v>2</v>
      </c>
      <c r="I245" s="227">
        <v>10</v>
      </c>
      <c r="J245" s="227">
        <v>0</v>
      </c>
      <c r="K245" s="226" t="s">
        <v>1395</v>
      </c>
      <c r="L245" s="227">
        <v>1998</v>
      </c>
      <c r="M245" s="227" t="s">
        <v>1802</v>
      </c>
      <c r="N245" s="228" t="s">
        <v>1975</v>
      </c>
    </row>
    <row r="246" spans="1:14" x14ac:dyDescent="0.2">
      <c r="A246" s="236">
        <v>244</v>
      </c>
      <c r="B246" s="229" t="s">
        <v>1378</v>
      </c>
      <c r="C246" s="230" t="s">
        <v>1379</v>
      </c>
      <c r="D246" s="230">
        <v>8.93</v>
      </c>
      <c r="E246" s="263">
        <v>8.8800000000000008</v>
      </c>
      <c r="F246" s="230">
        <v>9</v>
      </c>
      <c r="G246" s="230">
        <v>0.73</v>
      </c>
      <c r="H246" s="230">
        <v>1</v>
      </c>
      <c r="I246" s="230">
        <v>7</v>
      </c>
      <c r="J246" s="230">
        <v>0</v>
      </c>
      <c r="K246" s="229" t="s">
        <v>1382</v>
      </c>
      <c r="L246" s="230">
        <v>2000</v>
      </c>
      <c r="M246" s="230" t="s">
        <v>1783</v>
      </c>
      <c r="N246" s="231" t="s">
        <v>1976</v>
      </c>
    </row>
    <row r="247" spans="1:14" x14ac:dyDescent="0.2">
      <c r="A247" s="236">
        <v>245</v>
      </c>
      <c r="B247" s="226" t="s">
        <v>1368</v>
      </c>
      <c r="C247" s="227" t="s">
        <v>1369</v>
      </c>
      <c r="D247" s="227">
        <v>8.73</v>
      </c>
      <c r="E247" s="273">
        <v>8.76</v>
      </c>
      <c r="F247" s="227">
        <v>8.5</v>
      </c>
      <c r="G247" s="227">
        <v>0.75</v>
      </c>
      <c r="H247" s="227">
        <v>1</v>
      </c>
      <c r="I247" s="227">
        <v>13</v>
      </c>
      <c r="J247" s="227">
        <v>0</v>
      </c>
      <c r="K247" s="226" t="s">
        <v>4026</v>
      </c>
      <c r="L247" s="227">
        <v>1992</v>
      </c>
      <c r="M247" s="227" t="s">
        <v>1791</v>
      </c>
      <c r="N247" s="228" t="s">
        <v>1977</v>
      </c>
    </row>
    <row r="248" spans="1:14" x14ac:dyDescent="0.2">
      <c r="A248" s="236">
        <v>246</v>
      </c>
      <c r="B248" s="229" t="s">
        <v>1348</v>
      </c>
      <c r="C248" s="230" t="s">
        <v>1353</v>
      </c>
      <c r="D248" s="230">
        <v>8.8000000000000007</v>
      </c>
      <c r="E248" s="279">
        <v>8.68</v>
      </c>
      <c r="F248" s="230">
        <v>8.5</v>
      </c>
      <c r="G248" s="230">
        <v>0.7</v>
      </c>
      <c r="H248" s="230">
        <v>2</v>
      </c>
      <c r="I248" s="230">
        <v>15</v>
      </c>
      <c r="J248" s="230">
        <v>0</v>
      </c>
      <c r="K248" s="229" t="s">
        <v>1350</v>
      </c>
      <c r="L248" s="230">
        <v>2012</v>
      </c>
      <c r="M248" s="230" t="s">
        <v>1778</v>
      </c>
      <c r="N248" s="231" t="s">
        <v>1978</v>
      </c>
    </row>
    <row r="249" spans="1:14" x14ac:dyDescent="0.2">
      <c r="A249" s="236">
        <v>247</v>
      </c>
      <c r="B249" s="226" t="s">
        <v>1330</v>
      </c>
      <c r="C249" s="227" t="s">
        <v>1331</v>
      </c>
      <c r="D249" s="227">
        <v>8.83</v>
      </c>
      <c r="E249" s="276">
        <v>8.7200000000000006</v>
      </c>
      <c r="F249" s="227">
        <v>8.5</v>
      </c>
      <c r="G249" s="227">
        <v>0.57999999999999996</v>
      </c>
      <c r="H249" s="227">
        <v>1</v>
      </c>
      <c r="I249" s="227">
        <v>9</v>
      </c>
      <c r="J249" s="227">
        <v>0</v>
      </c>
      <c r="K249" s="226" t="s">
        <v>1332</v>
      </c>
      <c r="L249" s="227">
        <v>2002</v>
      </c>
      <c r="M249" s="227" t="s">
        <v>1792</v>
      </c>
      <c r="N249" s="228" t="s">
        <v>1979</v>
      </c>
    </row>
    <row r="250" spans="1:14" x14ac:dyDescent="0.2">
      <c r="A250" s="236">
        <v>248</v>
      </c>
      <c r="B250" s="229" t="s">
        <v>1300</v>
      </c>
      <c r="C250" s="230" t="s">
        <v>1301</v>
      </c>
      <c r="D250" s="230">
        <v>8.0500000000000007</v>
      </c>
      <c r="E250" s="321">
        <v>7.95</v>
      </c>
      <c r="F250" s="230">
        <v>8</v>
      </c>
      <c r="G250" s="230">
        <v>0.72</v>
      </c>
      <c r="H250" s="230">
        <v>0</v>
      </c>
      <c r="I250" s="230">
        <v>10</v>
      </c>
      <c r="J250" s="230">
        <v>0</v>
      </c>
      <c r="K250" s="229" t="s">
        <v>712</v>
      </c>
      <c r="L250" s="230">
        <v>2026</v>
      </c>
      <c r="M250" s="230" t="s">
        <v>1797</v>
      </c>
      <c r="N250" s="231" t="s">
        <v>1980</v>
      </c>
    </row>
    <row r="251" spans="1:14" x14ac:dyDescent="0.2">
      <c r="A251" s="236">
        <v>249</v>
      </c>
      <c r="B251" s="226" t="s">
        <v>677</v>
      </c>
      <c r="C251" s="227" t="s">
        <v>1318</v>
      </c>
      <c r="D251" s="227">
        <v>8.8800000000000008</v>
      </c>
      <c r="E251" s="262">
        <v>8.89</v>
      </c>
      <c r="F251" s="227">
        <v>8.5</v>
      </c>
      <c r="G251" s="227">
        <v>0.74</v>
      </c>
      <c r="H251" s="227">
        <v>2</v>
      </c>
      <c r="I251" s="227">
        <v>15</v>
      </c>
      <c r="J251" s="227">
        <v>2</v>
      </c>
      <c r="K251" s="226" t="s">
        <v>1319</v>
      </c>
      <c r="L251" s="227">
        <v>2005</v>
      </c>
      <c r="M251" s="227" t="s">
        <v>1777</v>
      </c>
      <c r="N251" s="228" t="s">
        <v>1980</v>
      </c>
    </row>
    <row r="252" spans="1:14" x14ac:dyDescent="0.2">
      <c r="A252" s="236">
        <v>250</v>
      </c>
      <c r="B252" s="229" t="s">
        <v>1276</v>
      </c>
      <c r="C252" s="230" t="s">
        <v>1269</v>
      </c>
      <c r="D252" s="230">
        <v>8.86</v>
      </c>
      <c r="E252" s="267">
        <v>8.83</v>
      </c>
      <c r="F252" s="230">
        <v>9</v>
      </c>
      <c r="G252" s="230">
        <v>0.69</v>
      </c>
      <c r="H252" s="230">
        <v>1</v>
      </c>
      <c r="I252" s="230">
        <v>7</v>
      </c>
      <c r="J252" s="230">
        <v>0</v>
      </c>
      <c r="K252" s="229" t="s">
        <v>1278</v>
      </c>
      <c r="L252" s="230">
        <v>1971</v>
      </c>
      <c r="M252" s="230" t="s">
        <v>1790</v>
      </c>
      <c r="N252" s="231" t="s">
        <v>1981</v>
      </c>
    </row>
    <row r="253" spans="1:14" x14ac:dyDescent="0.2">
      <c r="A253" s="236">
        <v>251</v>
      </c>
      <c r="B253" s="226" t="s">
        <v>297</v>
      </c>
      <c r="C253" s="227" t="s">
        <v>1286</v>
      </c>
      <c r="D253" s="227">
        <v>8.83</v>
      </c>
      <c r="E253" s="272">
        <v>8.77</v>
      </c>
      <c r="F253" s="227">
        <v>8.75</v>
      </c>
      <c r="G253" s="227">
        <v>0.62</v>
      </c>
      <c r="H253" s="227">
        <v>1</v>
      </c>
      <c r="I253" s="227">
        <v>6</v>
      </c>
      <c r="J253" s="227">
        <v>0</v>
      </c>
      <c r="K253" s="226" t="s">
        <v>1288</v>
      </c>
      <c r="L253" s="227">
        <v>2023</v>
      </c>
      <c r="M253" s="227" t="s">
        <v>1795</v>
      </c>
      <c r="N253" s="228" t="s">
        <v>1981</v>
      </c>
    </row>
    <row r="254" spans="1:14" x14ac:dyDescent="0.2">
      <c r="A254" s="236">
        <v>252</v>
      </c>
      <c r="B254" s="229" t="s">
        <v>1265</v>
      </c>
      <c r="C254" s="230" t="s">
        <v>1266</v>
      </c>
      <c r="D254" s="230">
        <v>8.7899999999999991</v>
      </c>
      <c r="E254" s="277">
        <v>8.7100000000000009</v>
      </c>
      <c r="F254" s="230">
        <v>8.75</v>
      </c>
      <c r="G254" s="230">
        <v>0.86</v>
      </c>
      <c r="H254" s="230">
        <v>3</v>
      </c>
      <c r="I254" s="230">
        <v>16</v>
      </c>
      <c r="J254" s="230">
        <v>2</v>
      </c>
      <c r="K254" s="229" t="s">
        <v>1267</v>
      </c>
      <c r="L254" s="230">
        <v>2015</v>
      </c>
      <c r="M254" s="230" t="s">
        <v>1787</v>
      </c>
      <c r="N254" s="231" t="s">
        <v>1982</v>
      </c>
    </row>
    <row r="255" spans="1:14" x14ac:dyDescent="0.2">
      <c r="A255" s="236">
        <v>253</v>
      </c>
      <c r="B255" s="226" t="s">
        <v>301</v>
      </c>
      <c r="C255" s="227" t="s">
        <v>301</v>
      </c>
      <c r="D255" s="227">
        <v>8.4600000000000009</v>
      </c>
      <c r="E255" s="282">
        <v>8.65</v>
      </c>
      <c r="F255" s="227">
        <v>8.5</v>
      </c>
      <c r="G255" s="227">
        <v>1.33</v>
      </c>
      <c r="H255" s="227">
        <v>3</v>
      </c>
      <c r="I255" s="227">
        <v>12</v>
      </c>
      <c r="J255" s="227">
        <v>0</v>
      </c>
      <c r="K255" s="226" t="s">
        <v>1247</v>
      </c>
      <c r="L255" s="227">
        <v>2021</v>
      </c>
      <c r="M255" s="227" t="s">
        <v>1799</v>
      </c>
      <c r="N255" s="228" t="s">
        <v>1983</v>
      </c>
    </row>
    <row r="256" spans="1:14" x14ac:dyDescent="0.2">
      <c r="A256" s="236">
        <v>254</v>
      </c>
      <c r="B256" s="229" t="s">
        <v>1226</v>
      </c>
      <c r="C256" s="230" t="s">
        <v>1217</v>
      </c>
      <c r="D256" s="230">
        <v>9</v>
      </c>
      <c r="E256" s="257">
        <v>8.9600000000000009</v>
      </c>
      <c r="F256" s="230">
        <v>9</v>
      </c>
      <c r="G256" s="230">
        <v>0.6</v>
      </c>
      <c r="H256" s="230">
        <v>2</v>
      </c>
      <c r="I256" s="230">
        <v>11</v>
      </c>
      <c r="J256" s="230">
        <v>0</v>
      </c>
      <c r="K256" s="229" t="s">
        <v>1230</v>
      </c>
      <c r="L256" s="230">
        <v>2025</v>
      </c>
      <c r="M256" s="230" t="s">
        <v>1789</v>
      </c>
      <c r="N256" s="231" t="s">
        <v>1984</v>
      </c>
    </row>
    <row r="257" spans="1:14" x14ac:dyDescent="0.2">
      <c r="A257" s="236">
        <v>255</v>
      </c>
      <c r="B257" s="226" t="s">
        <v>1227</v>
      </c>
      <c r="C257" s="227" t="s">
        <v>1228</v>
      </c>
      <c r="D257" s="227">
        <v>8.77</v>
      </c>
      <c r="E257" s="282">
        <v>8.65</v>
      </c>
      <c r="F257" s="227">
        <v>8.5</v>
      </c>
      <c r="G257" s="227">
        <v>0.75</v>
      </c>
      <c r="H257" s="227">
        <v>2</v>
      </c>
      <c r="I257" s="227">
        <v>14</v>
      </c>
      <c r="J257" s="227">
        <v>1</v>
      </c>
      <c r="K257" s="226" t="s">
        <v>1231</v>
      </c>
      <c r="L257" s="227">
        <v>2002</v>
      </c>
      <c r="M257" s="227" t="s">
        <v>1780</v>
      </c>
      <c r="N257" s="228" t="s">
        <v>1984</v>
      </c>
    </row>
    <row r="258" spans="1:14" x14ac:dyDescent="0.2">
      <c r="A258" s="236">
        <v>256</v>
      </c>
      <c r="B258" s="229" t="s">
        <v>677</v>
      </c>
      <c r="C258" s="230" t="s">
        <v>1180</v>
      </c>
      <c r="D258" s="230">
        <v>8.11</v>
      </c>
      <c r="E258" s="319">
        <v>8</v>
      </c>
      <c r="F258" s="230">
        <v>8</v>
      </c>
      <c r="G258" s="230">
        <v>0.71</v>
      </c>
      <c r="H258" s="230">
        <v>0</v>
      </c>
      <c r="I258" s="230">
        <v>15</v>
      </c>
      <c r="J258" s="230">
        <v>1</v>
      </c>
      <c r="K258" s="229" t="s">
        <v>1196</v>
      </c>
      <c r="L258" s="230">
        <v>2026</v>
      </c>
      <c r="M258" s="230" t="s">
        <v>1782</v>
      </c>
      <c r="N258" s="231" t="s">
        <v>1985</v>
      </c>
    </row>
    <row r="259" spans="1:14" x14ac:dyDescent="0.2">
      <c r="A259" s="236">
        <v>257</v>
      </c>
      <c r="B259" s="226" t="s">
        <v>292</v>
      </c>
      <c r="C259" s="227" t="s">
        <v>1138</v>
      </c>
      <c r="D259" s="227">
        <v>9.2899999999999991</v>
      </c>
      <c r="E259" s="371">
        <v>9.42</v>
      </c>
      <c r="F259" s="227">
        <v>9.5</v>
      </c>
      <c r="G259" s="227">
        <v>0.92</v>
      </c>
      <c r="H259" s="227">
        <v>3</v>
      </c>
      <c r="I259" s="227">
        <v>10</v>
      </c>
      <c r="J259" s="227">
        <v>3</v>
      </c>
      <c r="K259" s="226" t="s">
        <v>1150</v>
      </c>
      <c r="L259" s="227">
        <v>2019</v>
      </c>
      <c r="M259" s="227" t="s">
        <v>1770</v>
      </c>
      <c r="N259" s="228" t="s">
        <v>1986</v>
      </c>
    </row>
    <row r="260" spans="1:14" x14ac:dyDescent="0.2">
      <c r="A260" s="236">
        <v>258</v>
      </c>
      <c r="B260" s="229" t="s">
        <v>1163</v>
      </c>
      <c r="C260" s="230" t="s">
        <v>1153</v>
      </c>
      <c r="D260" s="230">
        <v>8.4499999999999993</v>
      </c>
      <c r="E260" s="303">
        <v>8.3800000000000008</v>
      </c>
      <c r="F260" s="230">
        <v>8.5</v>
      </c>
      <c r="G260" s="230">
        <v>0.78</v>
      </c>
      <c r="H260" s="230">
        <v>1</v>
      </c>
      <c r="I260" s="230">
        <v>11</v>
      </c>
      <c r="J260" s="230">
        <v>0</v>
      </c>
      <c r="K260" s="229" t="s">
        <v>1164</v>
      </c>
      <c r="L260" s="230">
        <v>2024</v>
      </c>
      <c r="M260" s="230" t="s">
        <v>1805</v>
      </c>
      <c r="N260" s="231" t="s">
        <v>1986</v>
      </c>
    </row>
    <row r="261" spans="1:14" x14ac:dyDescent="0.2">
      <c r="A261" s="236">
        <v>259</v>
      </c>
      <c r="B261" s="226" t="s">
        <v>1174</v>
      </c>
      <c r="C261" s="227" t="s">
        <v>1175</v>
      </c>
      <c r="D261" s="227">
        <v>8.7200000000000006</v>
      </c>
      <c r="E261" s="267">
        <v>8.84</v>
      </c>
      <c r="F261" s="227">
        <v>9</v>
      </c>
      <c r="G261" s="227">
        <v>1.06</v>
      </c>
      <c r="H261" s="227">
        <v>2</v>
      </c>
      <c r="I261" s="227">
        <v>9</v>
      </c>
      <c r="J261" s="227">
        <v>0</v>
      </c>
      <c r="K261" s="226" t="s">
        <v>1178</v>
      </c>
      <c r="L261" s="227">
        <v>2008</v>
      </c>
      <c r="M261" s="227" t="s">
        <v>1793</v>
      </c>
      <c r="N261" s="228" t="s">
        <v>1986</v>
      </c>
    </row>
    <row r="262" spans="1:14" x14ac:dyDescent="0.2">
      <c r="A262" s="236">
        <v>260</v>
      </c>
      <c r="B262" s="229" t="s">
        <v>292</v>
      </c>
      <c r="C262" s="230" t="s">
        <v>517</v>
      </c>
      <c r="D262" s="230">
        <v>9.61</v>
      </c>
      <c r="E262" s="237">
        <v>9.99</v>
      </c>
      <c r="F262" s="230">
        <v>10</v>
      </c>
      <c r="G262" s="230">
        <v>0.74</v>
      </c>
      <c r="H262" s="230">
        <v>5</v>
      </c>
      <c r="I262" s="230">
        <v>11</v>
      </c>
      <c r="J262" s="230">
        <v>2</v>
      </c>
      <c r="K262" s="229" t="s">
        <v>712</v>
      </c>
      <c r="L262" s="230">
        <v>2006</v>
      </c>
      <c r="M262" s="230" t="s">
        <v>1767</v>
      </c>
      <c r="N262" s="231" t="s">
        <v>1987</v>
      </c>
    </row>
    <row r="263" spans="1:14" x14ac:dyDescent="0.2">
      <c r="A263" s="236">
        <v>261</v>
      </c>
      <c r="B263" s="226" t="s">
        <v>1092</v>
      </c>
      <c r="C263" s="227" t="s">
        <v>1093</v>
      </c>
      <c r="D263" s="227">
        <v>7.71</v>
      </c>
      <c r="E263" s="328">
        <v>7.61</v>
      </c>
      <c r="F263" s="227">
        <v>7.5</v>
      </c>
      <c r="G263" s="227">
        <v>0.45</v>
      </c>
      <c r="H263" s="227">
        <v>0</v>
      </c>
      <c r="I263" s="227">
        <v>8</v>
      </c>
      <c r="J263" s="227">
        <v>1</v>
      </c>
      <c r="K263" s="226" t="s">
        <v>1095</v>
      </c>
      <c r="L263" s="227">
        <v>2020</v>
      </c>
      <c r="M263" s="227" t="s">
        <v>1808</v>
      </c>
      <c r="N263" s="228" t="s">
        <v>1987</v>
      </c>
    </row>
    <row r="264" spans="1:14" x14ac:dyDescent="0.2">
      <c r="A264" s="236">
        <v>262</v>
      </c>
      <c r="B264" s="229" t="s">
        <v>307</v>
      </c>
      <c r="C264" s="230" t="s">
        <v>307</v>
      </c>
      <c r="D264" s="230">
        <v>8.83</v>
      </c>
      <c r="E264" s="265">
        <v>8.86</v>
      </c>
      <c r="F264" s="230">
        <v>8.5</v>
      </c>
      <c r="G264" s="230">
        <v>0.82</v>
      </c>
      <c r="H264" s="230">
        <v>2</v>
      </c>
      <c r="I264" s="230">
        <v>9</v>
      </c>
      <c r="J264" s="230">
        <v>0</v>
      </c>
      <c r="K264" s="229" t="s">
        <v>1106</v>
      </c>
      <c r="L264" s="230">
        <v>1978</v>
      </c>
      <c r="M264" s="230" t="s">
        <v>1771</v>
      </c>
      <c r="N264" s="231" t="s">
        <v>1987</v>
      </c>
    </row>
    <row r="265" spans="1:14" x14ac:dyDescent="0.2">
      <c r="A265" s="236">
        <v>263</v>
      </c>
      <c r="B265" s="226" t="s">
        <v>1121</v>
      </c>
      <c r="C265" s="227" t="s">
        <v>1122</v>
      </c>
      <c r="D265" s="227">
        <v>8.5299999999999994</v>
      </c>
      <c r="E265" s="299">
        <v>8.4499999999999993</v>
      </c>
      <c r="F265" s="227">
        <v>8.5</v>
      </c>
      <c r="G265" s="227">
        <v>0.96</v>
      </c>
      <c r="H265" s="227">
        <v>3</v>
      </c>
      <c r="I265" s="227">
        <v>15</v>
      </c>
      <c r="J265" s="227">
        <v>0</v>
      </c>
      <c r="K265" s="226" t="s">
        <v>1125</v>
      </c>
      <c r="L265" s="227">
        <v>2024</v>
      </c>
      <c r="M265" s="227" t="s">
        <v>1771</v>
      </c>
      <c r="N265" s="228" t="s">
        <v>1987</v>
      </c>
    </row>
    <row r="266" spans="1:14" x14ac:dyDescent="0.2">
      <c r="A266" s="236">
        <v>264</v>
      </c>
      <c r="B266" s="229" t="s">
        <v>1134</v>
      </c>
      <c r="C266" s="230" t="s">
        <v>1129</v>
      </c>
      <c r="D266" s="230">
        <v>8.75</v>
      </c>
      <c r="E266" s="284">
        <v>8.6300000000000008</v>
      </c>
      <c r="F266" s="230">
        <v>8.5</v>
      </c>
      <c r="G266" s="230">
        <v>0.8</v>
      </c>
      <c r="H266" s="230">
        <v>1</v>
      </c>
      <c r="I266" s="230">
        <v>7</v>
      </c>
      <c r="J266" s="230">
        <v>1</v>
      </c>
      <c r="K266" s="229" t="s">
        <v>1135</v>
      </c>
      <c r="L266" s="230">
        <v>2013</v>
      </c>
      <c r="M266" s="230" t="s">
        <v>1781</v>
      </c>
      <c r="N266" s="231" t="s">
        <v>1987</v>
      </c>
    </row>
    <row r="267" spans="1:14" x14ac:dyDescent="0.2">
      <c r="A267" s="236">
        <v>265</v>
      </c>
      <c r="B267" s="226" t="s">
        <v>1075</v>
      </c>
      <c r="C267" s="227" t="s">
        <v>1439</v>
      </c>
      <c r="D267" s="227">
        <v>8.7200000000000006</v>
      </c>
      <c r="E267" s="262">
        <v>8.89</v>
      </c>
      <c r="F267" s="227">
        <v>8.5</v>
      </c>
      <c r="G267" s="227">
        <v>1.03</v>
      </c>
      <c r="H267" s="227">
        <v>5</v>
      </c>
      <c r="I267" s="227">
        <v>24</v>
      </c>
      <c r="J267" s="227">
        <v>1</v>
      </c>
      <c r="K267" s="226" t="s">
        <v>1442</v>
      </c>
      <c r="L267" s="227">
        <v>2011</v>
      </c>
      <c r="M267" s="227" t="s">
        <v>1786</v>
      </c>
      <c r="N267" s="228" t="s">
        <v>1988</v>
      </c>
    </row>
    <row r="268" spans="1:14" x14ac:dyDescent="0.2">
      <c r="A268" s="236">
        <v>266</v>
      </c>
      <c r="B268" s="229" t="s">
        <v>1048</v>
      </c>
      <c r="C268" s="230" t="s">
        <v>1049</v>
      </c>
      <c r="D268" s="230">
        <v>8.4600000000000009</v>
      </c>
      <c r="E268" s="307">
        <v>8.27</v>
      </c>
      <c r="F268" s="230">
        <v>8</v>
      </c>
      <c r="G268" s="230">
        <v>1.1299999999999999</v>
      </c>
      <c r="H268" s="230">
        <v>3</v>
      </c>
      <c r="I268" s="230">
        <v>13</v>
      </c>
      <c r="J268" s="230">
        <v>1</v>
      </c>
      <c r="K268" s="229" t="s">
        <v>1050</v>
      </c>
      <c r="L268" s="230">
        <v>1993</v>
      </c>
      <c r="M268" s="230" t="s">
        <v>1799</v>
      </c>
      <c r="N268" s="231" t="s">
        <v>1988</v>
      </c>
    </row>
    <row r="269" spans="1:14" x14ac:dyDescent="0.2">
      <c r="A269" s="236">
        <v>267</v>
      </c>
      <c r="B269" s="226" t="s">
        <v>301</v>
      </c>
      <c r="C269" s="227" t="s">
        <v>1026</v>
      </c>
      <c r="D269" s="227">
        <v>9</v>
      </c>
      <c r="E269" s="251">
        <v>9.08</v>
      </c>
      <c r="F269" s="227">
        <v>9</v>
      </c>
      <c r="G269" s="227">
        <v>0.88</v>
      </c>
      <c r="H269" s="227">
        <v>2</v>
      </c>
      <c r="I269" s="227">
        <v>9</v>
      </c>
      <c r="J269" s="227">
        <v>0</v>
      </c>
      <c r="K269" s="226" t="s">
        <v>734</v>
      </c>
      <c r="L269" s="227">
        <v>1988</v>
      </c>
      <c r="M269" s="227" t="s">
        <v>1780</v>
      </c>
      <c r="N269" s="228" t="s">
        <v>1989</v>
      </c>
    </row>
    <row r="270" spans="1:14" x14ac:dyDescent="0.2">
      <c r="A270" s="236">
        <v>268</v>
      </c>
      <c r="B270" s="229" t="s">
        <v>976</v>
      </c>
      <c r="C270" s="230" t="s">
        <v>977</v>
      </c>
      <c r="D270" s="230">
        <v>8.5500000000000007</v>
      </c>
      <c r="E270" s="297">
        <v>8.4700000000000006</v>
      </c>
      <c r="F270" s="230">
        <v>8.5</v>
      </c>
      <c r="G270" s="230">
        <v>0.69</v>
      </c>
      <c r="H270" s="230">
        <v>1</v>
      </c>
      <c r="I270" s="230">
        <v>12</v>
      </c>
      <c r="J270" s="230">
        <v>1</v>
      </c>
      <c r="K270" s="229" t="s">
        <v>733</v>
      </c>
      <c r="L270" s="230">
        <v>1999</v>
      </c>
      <c r="M270" s="230" t="s">
        <v>1768</v>
      </c>
      <c r="N270" s="231" t="s">
        <v>1990</v>
      </c>
    </row>
    <row r="271" spans="1:14" x14ac:dyDescent="0.2">
      <c r="A271" s="236">
        <v>269</v>
      </c>
      <c r="B271" s="226" t="s">
        <v>298</v>
      </c>
      <c r="C271" s="227" t="s">
        <v>981</v>
      </c>
      <c r="D271" s="227">
        <v>10</v>
      </c>
      <c r="E271" s="233">
        <v>10.39</v>
      </c>
      <c r="F271" s="227">
        <v>10</v>
      </c>
      <c r="G271" s="227">
        <v>0.55000000000000004</v>
      </c>
      <c r="H271" s="227">
        <v>4</v>
      </c>
      <c r="I271" s="227">
        <v>5</v>
      </c>
      <c r="J271" s="227">
        <v>0</v>
      </c>
      <c r="K271" s="226" t="s">
        <v>714</v>
      </c>
      <c r="L271" s="227">
        <v>1975</v>
      </c>
      <c r="M271" s="227" t="s">
        <v>1765</v>
      </c>
      <c r="N271" s="228" t="s">
        <v>1990</v>
      </c>
    </row>
    <row r="272" spans="1:14" x14ac:dyDescent="0.2">
      <c r="A272" s="236">
        <v>270</v>
      </c>
      <c r="B272" s="229" t="s">
        <v>297</v>
      </c>
      <c r="C272" s="230" t="s">
        <v>959</v>
      </c>
      <c r="D272" s="230">
        <v>9.3000000000000007</v>
      </c>
      <c r="E272" s="244">
        <v>9.36</v>
      </c>
      <c r="F272" s="230">
        <v>9</v>
      </c>
      <c r="G272" s="230">
        <v>0.87</v>
      </c>
      <c r="H272" s="230">
        <v>2</v>
      </c>
      <c r="I272" s="230">
        <v>5</v>
      </c>
      <c r="J272" s="230">
        <v>0</v>
      </c>
      <c r="K272" s="229" t="s">
        <v>714</v>
      </c>
      <c r="L272" s="230">
        <v>2024</v>
      </c>
      <c r="M272" s="230" t="s">
        <v>1775</v>
      </c>
      <c r="N272" s="231" t="s">
        <v>1991</v>
      </c>
    </row>
    <row r="273" spans="1:14" x14ac:dyDescent="0.2">
      <c r="A273" s="236">
        <v>271</v>
      </c>
      <c r="B273" s="226" t="s">
        <v>311</v>
      </c>
      <c r="C273" s="227" t="s">
        <v>947</v>
      </c>
      <c r="D273" s="227">
        <v>8.82</v>
      </c>
      <c r="E273" s="259">
        <v>8.93</v>
      </c>
      <c r="F273" s="227">
        <v>9</v>
      </c>
      <c r="G273" s="227">
        <v>0.89</v>
      </c>
      <c r="H273" s="227">
        <v>2</v>
      </c>
      <c r="I273" s="227">
        <v>11</v>
      </c>
      <c r="J273" s="227">
        <v>0</v>
      </c>
      <c r="K273" s="226" t="s">
        <v>953</v>
      </c>
      <c r="L273" s="227">
        <v>2002</v>
      </c>
      <c r="M273" s="227" t="s">
        <v>1773</v>
      </c>
      <c r="N273" s="228" t="s">
        <v>1992</v>
      </c>
    </row>
    <row r="274" spans="1:14" x14ac:dyDescent="0.2">
      <c r="A274" s="236">
        <v>272</v>
      </c>
      <c r="B274" s="229" t="s">
        <v>300</v>
      </c>
      <c r="C274" s="230" t="s">
        <v>922</v>
      </c>
      <c r="D274" s="230">
        <v>9.1300000000000008</v>
      </c>
      <c r="E274" s="460">
        <v>9.24</v>
      </c>
      <c r="F274" s="230">
        <v>9.25</v>
      </c>
      <c r="G274" s="230">
        <v>0.86</v>
      </c>
      <c r="H274" s="230">
        <v>2</v>
      </c>
      <c r="I274" s="230">
        <v>8</v>
      </c>
      <c r="J274" s="230">
        <v>0</v>
      </c>
      <c r="K274" s="229" t="s">
        <v>735</v>
      </c>
      <c r="L274" s="230">
        <v>2005</v>
      </c>
      <c r="M274" s="230" t="s">
        <v>1782</v>
      </c>
      <c r="N274" s="231" t="s">
        <v>1993</v>
      </c>
    </row>
    <row r="275" spans="1:14" x14ac:dyDescent="0.2">
      <c r="A275" s="236">
        <v>273</v>
      </c>
      <c r="B275" s="226" t="s">
        <v>293</v>
      </c>
      <c r="C275" s="227" t="s">
        <v>936</v>
      </c>
      <c r="D275" s="227">
        <v>7.5</v>
      </c>
      <c r="E275" s="329">
        <v>7.4</v>
      </c>
      <c r="F275" s="227">
        <v>7.5</v>
      </c>
      <c r="G275" s="227">
        <v>0.76</v>
      </c>
      <c r="H275" s="227">
        <v>0</v>
      </c>
      <c r="I275" s="227">
        <v>12</v>
      </c>
      <c r="J275" s="227">
        <v>0</v>
      </c>
      <c r="K275" s="226" t="s">
        <v>732</v>
      </c>
      <c r="L275" s="227">
        <v>1993</v>
      </c>
      <c r="M275" s="227" t="s">
        <v>1766</v>
      </c>
      <c r="N275" s="228" t="s">
        <v>1993</v>
      </c>
    </row>
    <row r="276" spans="1:14" x14ac:dyDescent="0.2">
      <c r="A276" s="236">
        <v>274</v>
      </c>
      <c r="B276" s="229" t="s">
        <v>912</v>
      </c>
      <c r="C276" s="230" t="s">
        <v>910</v>
      </c>
      <c r="D276" s="230">
        <v>8.67</v>
      </c>
      <c r="E276" s="290">
        <v>8.56</v>
      </c>
      <c r="F276" s="230">
        <v>8.5</v>
      </c>
      <c r="G276" s="230">
        <v>0.71</v>
      </c>
      <c r="H276" s="230">
        <v>1</v>
      </c>
      <c r="I276" s="230">
        <v>10</v>
      </c>
      <c r="J276" s="230">
        <v>1</v>
      </c>
      <c r="K276" s="229" t="s">
        <v>913</v>
      </c>
      <c r="L276" s="230">
        <v>1999</v>
      </c>
      <c r="M276" s="230" t="s">
        <v>1804</v>
      </c>
      <c r="N276" s="231" t="s">
        <v>1994</v>
      </c>
    </row>
    <row r="277" spans="1:14" x14ac:dyDescent="0.2">
      <c r="A277" s="236">
        <v>275</v>
      </c>
      <c r="B277" s="226" t="s">
        <v>888</v>
      </c>
      <c r="C277" s="227" t="s">
        <v>869</v>
      </c>
      <c r="D277" s="227">
        <v>8.5500000000000007</v>
      </c>
      <c r="E277" s="287">
        <v>8.6</v>
      </c>
      <c r="F277" s="227">
        <v>8.5</v>
      </c>
      <c r="G277" s="227">
        <v>0.96</v>
      </c>
      <c r="H277" s="227">
        <v>3</v>
      </c>
      <c r="I277" s="227">
        <v>19</v>
      </c>
      <c r="J277" s="227">
        <v>0</v>
      </c>
      <c r="K277" s="226" t="s">
        <v>889</v>
      </c>
      <c r="L277" s="227">
        <v>1979</v>
      </c>
      <c r="M277" s="227" t="s">
        <v>1780</v>
      </c>
      <c r="N277" s="228" t="s">
        <v>1995</v>
      </c>
    </row>
    <row r="278" spans="1:14" x14ac:dyDescent="0.2">
      <c r="A278" s="236">
        <v>276</v>
      </c>
      <c r="B278" s="229" t="s">
        <v>293</v>
      </c>
      <c r="C278" s="230" t="s">
        <v>899</v>
      </c>
      <c r="D278" s="230">
        <v>7.88</v>
      </c>
      <c r="E278" s="324">
        <v>7.74</v>
      </c>
      <c r="F278" s="230">
        <v>7.75</v>
      </c>
      <c r="G278" s="230">
        <v>0.86</v>
      </c>
      <c r="H278" s="230">
        <v>0</v>
      </c>
      <c r="I278" s="230">
        <v>8</v>
      </c>
      <c r="J278" s="230">
        <v>0</v>
      </c>
      <c r="K278" s="229" t="s">
        <v>900</v>
      </c>
      <c r="L278" s="230">
        <v>2011</v>
      </c>
      <c r="M278" s="230" t="s">
        <v>1800</v>
      </c>
      <c r="N278" s="231" t="s">
        <v>1995</v>
      </c>
    </row>
    <row r="279" spans="1:14" x14ac:dyDescent="0.2">
      <c r="A279" s="236">
        <v>277</v>
      </c>
      <c r="B279" s="226" t="s">
        <v>300</v>
      </c>
      <c r="C279" s="227" t="s">
        <v>855</v>
      </c>
      <c r="D279" s="227">
        <v>8.86</v>
      </c>
      <c r="E279" s="266">
        <v>8.85</v>
      </c>
      <c r="F279" s="227">
        <v>8.5</v>
      </c>
      <c r="G279" s="227">
        <v>0.95</v>
      </c>
      <c r="H279" s="227">
        <v>1</v>
      </c>
      <c r="I279" s="227">
        <v>7</v>
      </c>
      <c r="J279" s="227">
        <v>0</v>
      </c>
      <c r="K279" s="226" t="s">
        <v>735</v>
      </c>
      <c r="L279" s="227">
        <v>1999</v>
      </c>
      <c r="M279" s="227" t="s">
        <v>1799</v>
      </c>
      <c r="N279" s="228" t="s">
        <v>1996</v>
      </c>
    </row>
    <row r="280" spans="1:14" x14ac:dyDescent="0.2">
      <c r="A280" s="236">
        <v>278</v>
      </c>
      <c r="B280" s="229" t="s">
        <v>866</v>
      </c>
      <c r="C280" s="230" t="s">
        <v>857</v>
      </c>
      <c r="D280" s="230">
        <v>9.06</v>
      </c>
      <c r="E280" s="250">
        <v>9.1</v>
      </c>
      <c r="F280" s="230">
        <v>8.75</v>
      </c>
      <c r="G280" s="230">
        <v>0.92</v>
      </c>
      <c r="H280" s="230">
        <v>3</v>
      </c>
      <c r="I280" s="230">
        <v>9</v>
      </c>
      <c r="J280" s="230">
        <v>1</v>
      </c>
      <c r="K280" s="229" t="s">
        <v>867</v>
      </c>
      <c r="L280" s="230">
        <v>1979</v>
      </c>
      <c r="M280" s="230" t="s">
        <v>1763</v>
      </c>
      <c r="N280" s="231" t="s">
        <v>1997</v>
      </c>
    </row>
    <row r="281" spans="1:14" x14ac:dyDescent="0.2">
      <c r="A281" s="236">
        <v>279</v>
      </c>
      <c r="B281" s="226" t="s">
        <v>795</v>
      </c>
      <c r="C281" s="227" t="s">
        <v>790</v>
      </c>
      <c r="D281" s="227">
        <v>8.7100000000000009</v>
      </c>
      <c r="E281" s="273">
        <v>8.76</v>
      </c>
      <c r="F281" s="227">
        <v>8.5</v>
      </c>
      <c r="G281" s="227">
        <v>0.75</v>
      </c>
      <c r="H281" s="227">
        <v>2</v>
      </c>
      <c r="I281" s="227">
        <v>14</v>
      </c>
      <c r="J281" s="227">
        <v>0</v>
      </c>
      <c r="K281" s="226" t="s">
        <v>796</v>
      </c>
      <c r="L281" s="227">
        <v>2005</v>
      </c>
      <c r="M281" s="227" t="s">
        <v>1797</v>
      </c>
      <c r="N281" s="228" t="s">
        <v>1998</v>
      </c>
    </row>
    <row r="282" spans="1:14" x14ac:dyDescent="0.2">
      <c r="A282" s="236">
        <v>280</v>
      </c>
      <c r="B282" s="229" t="s">
        <v>293</v>
      </c>
      <c r="C282" s="230" t="s">
        <v>813</v>
      </c>
      <c r="D282" s="230">
        <v>8.5</v>
      </c>
      <c r="E282" s="290">
        <v>8.56</v>
      </c>
      <c r="F282" s="230">
        <v>8.5</v>
      </c>
      <c r="G282" s="230">
        <v>0.96</v>
      </c>
      <c r="H282" s="230">
        <v>2</v>
      </c>
      <c r="I282" s="230">
        <v>14</v>
      </c>
      <c r="J282" s="230">
        <v>1</v>
      </c>
      <c r="K282" s="229" t="s">
        <v>713</v>
      </c>
      <c r="L282" s="230">
        <v>2003</v>
      </c>
      <c r="M282" s="230" t="s">
        <v>1798</v>
      </c>
      <c r="N282" s="231" t="s">
        <v>1998</v>
      </c>
    </row>
    <row r="283" spans="1:14" x14ac:dyDescent="0.2">
      <c r="A283" s="236">
        <v>281</v>
      </c>
      <c r="B283" s="226" t="s">
        <v>774</v>
      </c>
      <c r="C283" s="227" t="s">
        <v>775</v>
      </c>
      <c r="D283" s="227">
        <v>8.82</v>
      </c>
      <c r="E283" s="270">
        <v>8.7899999999999991</v>
      </c>
      <c r="F283" s="227">
        <v>9</v>
      </c>
      <c r="G283" s="227">
        <v>0.86</v>
      </c>
      <c r="H283" s="227">
        <v>3</v>
      </c>
      <c r="I283" s="227">
        <v>13</v>
      </c>
      <c r="J283" s="227">
        <v>2</v>
      </c>
      <c r="K283" s="226" t="s">
        <v>776</v>
      </c>
      <c r="L283" s="227">
        <v>2010</v>
      </c>
      <c r="M283" s="227" t="s">
        <v>1792</v>
      </c>
      <c r="N283" s="228" t="s">
        <v>1999</v>
      </c>
    </row>
    <row r="284" spans="1:14" x14ac:dyDescent="0.2">
      <c r="A284" s="236">
        <v>282</v>
      </c>
      <c r="B284" s="229" t="s">
        <v>759</v>
      </c>
      <c r="C284" s="230" t="s">
        <v>760</v>
      </c>
      <c r="D284" s="230">
        <v>8.5299999999999994</v>
      </c>
      <c r="E284" s="370">
        <v>8.48</v>
      </c>
      <c r="F284" s="230">
        <v>8</v>
      </c>
      <c r="G284" s="230">
        <v>1.22</v>
      </c>
      <c r="H284" s="230">
        <v>4</v>
      </c>
      <c r="I284" s="230">
        <v>15</v>
      </c>
      <c r="J284" s="230">
        <v>0</v>
      </c>
      <c r="K284" s="229" t="s">
        <v>780</v>
      </c>
      <c r="L284" s="230">
        <v>2003</v>
      </c>
      <c r="M284" s="230" t="s">
        <v>1806</v>
      </c>
      <c r="N284" s="231" t="s">
        <v>2000</v>
      </c>
    </row>
    <row r="285" spans="1:14" x14ac:dyDescent="0.2">
      <c r="A285" s="236">
        <v>283</v>
      </c>
      <c r="B285" s="226" t="s">
        <v>298</v>
      </c>
      <c r="C285" s="227" t="s">
        <v>727</v>
      </c>
      <c r="D285" s="227">
        <v>9.4</v>
      </c>
      <c r="E285" s="239">
        <v>9.5500000000000007</v>
      </c>
      <c r="F285" s="227">
        <v>9.5</v>
      </c>
      <c r="G285" s="227">
        <v>0.8</v>
      </c>
      <c r="H285" s="227">
        <v>2</v>
      </c>
      <c r="I285" s="227">
        <v>5</v>
      </c>
      <c r="J285" s="227">
        <v>0</v>
      </c>
      <c r="K285" s="226" t="s">
        <v>715</v>
      </c>
      <c r="L285" s="227">
        <v>1977</v>
      </c>
      <c r="M285" s="227" t="s">
        <v>1771</v>
      </c>
      <c r="N285" s="228" t="s">
        <v>2001</v>
      </c>
    </row>
    <row r="286" spans="1:14" x14ac:dyDescent="0.2">
      <c r="A286" s="236">
        <v>284</v>
      </c>
      <c r="B286" s="229" t="s">
        <v>728</v>
      </c>
      <c r="C286" s="230" t="s">
        <v>729</v>
      </c>
      <c r="D286" s="230">
        <v>8.67</v>
      </c>
      <c r="E286" s="289">
        <v>8.57</v>
      </c>
      <c r="F286" s="230">
        <v>8.5</v>
      </c>
      <c r="G286" s="230">
        <v>0.75</v>
      </c>
      <c r="H286" s="230">
        <v>1</v>
      </c>
      <c r="I286" s="230">
        <v>6</v>
      </c>
      <c r="J286" s="230">
        <v>0</v>
      </c>
      <c r="K286" s="229" t="s">
        <v>730</v>
      </c>
      <c r="L286" s="230">
        <v>2024</v>
      </c>
      <c r="M286" s="230" t="s">
        <v>1802</v>
      </c>
      <c r="N286" s="231" t="s">
        <v>2001</v>
      </c>
    </row>
    <row r="287" spans="1:14" x14ac:dyDescent="0.2">
      <c r="A287" s="236">
        <v>285</v>
      </c>
      <c r="B287" s="226" t="s">
        <v>699</v>
      </c>
      <c r="C287" s="227" t="s">
        <v>700</v>
      </c>
      <c r="D287" s="227">
        <v>8.91</v>
      </c>
      <c r="E287" s="259">
        <v>8.93</v>
      </c>
      <c r="F287" s="227">
        <v>8.5</v>
      </c>
      <c r="G287" s="227">
        <v>0.85</v>
      </c>
      <c r="H287" s="227">
        <v>3</v>
      </c>
      <c r="I287" s="227">
        <v>11</v>
      </c>
      <c r="J287" s="227">
        <v>0</v>
      </c>
      <c r="K287" s="226" t="s">
        <v>797</v>
      </c>
      <c r="L287" s="227">
        <v>2002</v>
      </c>
      <c r="M287" s="227" t="s">
        <v>1788</v>
      </c>
      <c r="N287" s="228" t="s">
        <v>2002</v>
      </c>
    </row>
    <row r="288" spans="1:14" x14ac:dyDescent="0.2">
      <c r="A288" s="236">
        <v>286</v>
      </c>
      <c r="B288" s="229" t="s">
        <v>687</v>
      </c>
      <c r="C288" s="230" t="s">
        <v>688</v>
      </c>
      <c r="D288" s="230">
        <v>8.67</v>
      </c>
      <c r="E288" s="288">
        <v>8.58</v>
      </c>
      <c r="F288" s="230">
        <v>8.5</v>
      </c>
      <c r="G288" s="230">
        <v>0.62</v>
      </c>
      <c r="H288" s="230">
        <v>1</v>
      </c>
      <c r="I288" s="230">
        <v>9</v>
      </c>
      <c r="J288" s="230">
        <v>0</v>
      </c>
      <c r="K288" s="229" t="s">
        <v>737</v>
      </c>
      <c r="L288" s="230">
        <v>1992</v>
      </c>
      <c r="M288" s="230" t="s">
        <v>1789</v>
      </c>
      <c r="N288" s="231" t="s">
        <v>2003</v>
      </c>
    </row>
    <row r="289" spans="1:14" x14ac:dyDescent="0.2">
      <c r="A289" s="236">
        <v>287</v>
      </c>
      <c r="B289" s="226" t="s">
        <v>292</v>
      </c>
      <c r="C289" s="227" t="s">
        <v>156</v>
      </c>
      <c r="D289" s="227">
        <v>9.61</v>
      </c>
      <c r="E289" s="238">
        <v>9.9600000000000009</v>
      </c>
      <c r="F289" s="227">
        <v>10</v>
      </c>
      <c r="G289" s="227">
        <v>0.74</v>
      </c>
      <c r="H289" s="227">
        <v>5</v>
      </c>
      <c r="I289" s="227">
        <v>15</v>
      </c>
      <c r="J289" s="227">
        <v>6</v>
      </c>
      <c r="K289" s="226" t="s">
        <v>712</v>
      </c>
      <c r="L289" s="227">
        <v>1996</v>
      </c>
      <c r="M289" s="227" t="s">
        <v>1768</v>
      </c>
      <c r="N289" s="228" t="s">
        <v>2004</v>
      </c>
    </row>
    <row r="290" spans="1:14" x14ac:dyDescent="0.2">
      <c r="A290" s="236">
        <v>288</v>
      </c>
      <c r="B290" s="229" t="s">
        <v>293</v>
      </c>
      <c r="C290" s="230" t="s">
        <v>295</v>
      </c>
      <c r="D290" s="230">
        <v>9.68</v>
      </c>
      <c r="E290" s="233">
        <v>10.07</v>
      </c>
      <c r="F290" s="230">
        <v>10</v>
      </c>
      <c r="G290" s="230">
        <v>0.61</v>
      </c>
      <c r="H290" s="230">
        <v>6</v>
      </c>
      <c r="I290" s="230">
        <v>12</v>
      </c>
      <c r="J290" s="230">
        <v>1</v>
      </c>
      <c r="K290" s="229" t="s">
        <v>713</v>
      </c>
      <c r="L290" s="230">
        <v>1997</v>
      </c>
      <c r="M290" s="230" t="s">
        <v>1769</v>
      </c>
      <c r="N290" s="231" t="s">
        <v>2004</v>
      </c>
    </row>
    <row r="291" spans="1:14" x14ac:dyDescent="0.2">
      <c r="A291" s="236">
        <v>289</v>
      </c>
      <c r="B291" s="226" t="s">
        <v>301</v>
      </c>
      <c r="C291" s="227" t="s">
        <v>653</v>
      </c>
      <c r="D291" s="227">
        <v>9.1300000000000008</v>
      </c>
      <c r="E291" s="247">
        <v>9.2100000000000009</v>
      </c>
      <c r="F291" s="227">
        <v>9</v>
      </c>
      <c r="G291" s="227">
        <v>0.93</v>
      </c>
      <c r="H291" s="227">
        <v>3</v>
      </c>
      <c r="I291" s="227">
        <v>8</v>
      </c>
      <c r="J291" s="227">
        <v>0</v>
      </c>
      <c r="K291" s="226" t="s">
        <v>734</v>
      </c>
      <c r="L291" s="227">
        <v>1984</v>
      </c>
      <c r="M291" s="227" t="s">
        <v>1774</v>
      </c>
      <c r="N291" s="228" t="s">
        <v>2005</v>
      </c>
    </row>
    <row r="292" spans="1:14" x14ac:dyDescent="0.2">
      <c r="A292" s="236">
        <v>290</v>
      </c>
      <c r="B292" s="229" t="s">
        <v>677</v>
      </c>
      <c r="C292" s="230" t="s">
        <v>673</v>
      </c>
      <c r="D292" s="230">
        <v>8.67</v>
      </c>
      <c r="E292" s="274">
        <v>8.75</v>
      </c>
      <c r="F292" s="230">
        <v>8</v>
      </c>
      <c r="G292" s="230">
        <v>1.04</v>
      </c>
      <c r="H292" s="230">
        <v>4</v>
      </c>
      <c r="I292" s="230">
        <v>16</v>
      </c>
      <c r="J292" s="230">
        <v>1</v>
      </c>
      <c r="K292" s="229" t="s">
        <v>736</v>
      </c>
      <c r="L292" s="230">
        <v>2010</v>
      </c>
      <c r="M292" s="230" t="s">
        <v>1798</v>
      </c>
      <c r="N292" s="231" t="s">
        <v>2005</v>
      </c>
    </row>
    <row r="293" spans="1:14" x14ac:dyDescent="0.2">
      <c r="A293" s="236">
        <v>291</v>
      </c>
      <c r="B293" s="226" t="s">
        <v>303</v>
      </c>
      <c r="C293" s="227" t="s">
        <v>651</v>
      </c>
      <c r="D293" s="227">
        <v>8.07</v>
      </c>
      <c r="E293" s="321">
        <v>7.95</v>
      </c>
      <c r="F293" s="227">
        <v>8</v>
      </c>
      <c r="G293" s="227">
        <v>1.07</v>
      </c>
      <c r="H293" s="227">
        <v>2</v>
      </c>
      <c r="I293" s="227">
        <v>16</v>
      </c>
      <c r="J293" s="227">
        <v>2</v>
      </c>
      <c r="K293" s="226" t="s">
        <v>718</v>
      </c>
      <c r="L293" s="227">
        <v>1997</v>
      </c>
      <c r="M293" s="227" t="s">
        <v>1791</v>
      </c>
      <c r="N293" s="228" t="s">
        <v>2006</v>
      </c>
    </row>
    <row r="294" spans="1:14" x14ac:dyDescent="0.2">
      <c r="A294" s="236">
        <v>292</v>
      </c>
      <c r="B294" s="229" t="s">
        <v>628</v>
      </c>
      <c r="C294" s="230" t="s">
        <v>629</v>
      </c>
      <c r="D294" s="230">
        <v>7.06</v>
      </c>
      <c r="E294" s="333">
        <v>6.99</v>
      </c>
      <c r="F294" s="230">
        <v>7</v>
      </c>
      <c r="G294" s="230">
        <v>0.44</v>
      </c>
      <c r="H294" s="230">
        <v>0</v>
      </c>
      <c r="I294" s="230">
        <v>10</v>
      </c>
      <c r="J294" s="230">
        <v>1</v>
      </c>
      <c r="K294" s="229" t="s">
        <v>733</v>
      </c>
      <c r="L294" s="230">
        <v>2026</v>
      </c>
      <c r="M294" s="230" t="s">
        <v>1810</v>
      </c>
      <c r="N294" s="231" t="s">
        <v>2007</v>
      </c>
    </row>
    <row r="295" spans="1:14" x14ac:dyDescent="0.2">
      <c r="A295" s="236">
        <v>293</v>
      </c>
      <c r="B295" s="226" t="s">
        <v>2459</v>
      </c>
      <c r="C295" s="227" t="s">
        <v>634</v>
      </c>
      <c r="D295" s="227">
        <v>9.8800000000000008</v>
      </c>
      <c r="E295" s="233">
        <v>10.050000000000001</v>
      </c>
      <c r="F295" s="227">
        <v>9.75</v>
      </c>
      <c r="G295" s="227">
        <v>0.41</v>
      </c>
      <c r="H295" s="227">
        <v>2</v>
      </c>
      <c r="I295" s="227">
        <v>4</v>
      </c>
      <c r="J295" s="227">
        <v>0</v>
      </c>
      <c r="K295" s="226" t="s">
        <v>1005</v>
      </c>
      <c r="L295" s="227">
        <v>2000</v>
      </c>
      <c r="M295" s="227" t="s">
        <v>2464</v>
      </c>
      <c r="N295" s="228" t="s">
        <v>2007</v>
      </c>
    </row>
    <row r="296" spans="1:14" x14ac:dyDescent="0.2">
      <c r="A296" s="236">
        <v>294</v>
      </c>
      <c r="B296" s="229" t="s">
        <v>607</v>
      </c>
      <c r="C296" s="230" t="s">
        <v>608</v>
      </c>
      <c r="D296" s="230">
        <v>7.72</v>
      </c>
      <c r="E296" s="325">
        <v>7.7</v>
      </c>
      <c r="F296" s="230">
        <v>8</v>
      </c>
      <c r="G296" s="230">
        <v>0.57999999999999996</v>
      </c>
      <c r="H296" s="230">
        <v>0</v>
      </c>
      <c r="I296" s="230">
        <v>18</v>
      </c>
      <c r="J296" s="230">
        <v>0</v>
      </c>
      <c r="K296" s="229" t="s">
        <v>739</v>
      </c>
      <c r="L296" s="230">
        <v>2026</v>
      </c>
      <c r="M296" s="230" t="s">
        <v>1788</v>
      </c>
      <c r="N296" s="231" t="s">
        <v>2008</v>
      </c>
    </row>
    <row r="297" spans="1:14" x14ac:dyDescent="0.2">
      <c r="A297" s="236">
        <v>295</v>
      </c>
      <c r="B297" s="226" t="s">
        <v>441</v>
      </c>
      <c r="C297" s="227" t="s">
        <v>609</v>
      </c>
      <c r="D297" s="227">
        <v>8.94</v>
      </c>
      <c r="E297" s="252">
        <v>9.0399999999999991</v>
      </c>
      <c r="F297" s="227">
        <v>9</v>
      </c>
      <c r="G297" s="227">
        <v>0.86</v>
      </c>
      <c r="H297" s="227">
        <v>2</v>
      </c>
      <c r="I297" s="227">
        <v>9</v>
      </c>
      <c r="J297" s="227">
        <v>0</v>
      </c>
      <c r="K297" s="226" t="s">
        <v>716</v>
      </c>
      <c r="L297" s="227">
        <v>2005</v>
      </c>
      <c r="M297" s="227" t="s">
        <v>1781</v>
      </c>
      <c r="N297" s="228" t="s">
        <v>2008</v>
      </c>
    </row>
    <row r="298" spans="1:14" x14ac:dyDescent="0.2">
      <c r="A298" s="236">
        <v>296</v>
      </c>
      <c r="B298" s="229" t="s">
        <v>303</v>
      </c>
      <c r="C298" s="230" t="s">
        <v>588</v>
      </c>
      <c r="D298" s="230">
        <v>8.77</v>
      </c>
      <c r="E298" s="270">
        <v>8.7899999999999991</v>
      </c>
      <c r="F298" s="230">
        <v>8.5</v>
      </c>
      <c r="G298" s="230">
        <v>0.99</v>
      </c>
      <c r="H298" s="230">
        <v>3</v>
      </c>
      <c r="I298" s="230">
        <v>13</v>
      </c>
      <c r="J298" s="230">
        <v>0</v>
      </c>
      <c r="K298" s="229" t="s">
        <v>718</v>
      </c>
      <c r="L298" s="230">
        <v>2013</v>
      </c>
      <c r="M298" s="230" t="s">
        <v>1791</v>
      </c>
      <c r="N298" s="231" t="s">
        <v>2009</v>
      </c>
    </row>
    <row r="299" spans="1:14" x14ac:dyDescent="0.2">
      <c r="A299" s="236">
        <v>297</v>
      </c>
      <c r="B299" s="226" t="s">
        <v>560</v>
      </c>
      <c r="C299" s="227" t="s">
        <v>561</v>
      </c>
      <c r="D299" s="227">
        <v>8.73</v>
      </c>
      <c r="E299" s="285">
        <v>8.6199999999999992</v>
      </c>
      <c r="F299" s="227">
        <v>8.5</v>
      </c>
      <c r="G299" s="227">
        <v>0.89</v>
      </c>
      <c r="H299" s="227">
        <v>3</v>
      </c>
      <c r="I299" s="227">
        <v>13</v>
      </c>
      <c r="J299" s="227">
        <v>2</v>
      </c>
      <c r="K299" s="226" t="s">
        <v>778</v>
      </c>
      <c r="L299" s="227">
        <v>2015</v>
      </c>
      <c r="M299" s="227" t="s">
        <v>1777</v>
      </c>
      <c r="N299" s="228" t="s">
        <v>2010</v>
      </c>
    </row>
    <row r="300" spans="1:14" x14ac:dyDescent="0.2">
      <c r="A300" s="236">
        <v>298</v>
      </c>
      <c r="B300" s="229" t="s">
        <v>293</v>
      </c>
      <c r="C300" s="230" t="s">
        <v>573</v>
      </c>
      <c r="D300" s="230">
        <v>8.0500000000000007</v>
      </c>
      <c r="E300" s="316">
        <v>8.11</v>
      </c>
      <c r="F300" s="230">
        <v>8.25</v>
      </c>
      <c r="G300" s="230">
        <v>1.19</v>
      </c>
      <c r="H300" s="230">
        <v>1</v>
      </c>
      <c r="I300" s="230">
        <v>11</v>
      </c>
      <c r="J300" s="230">
        <v>1</v>
      </c>
      <c r="K300" s="229" t="s">
        <v>713</v>
      </c>
      <c r="L300" s="230">
        <v>2001</v>
      </c>
      <c r="M300" s="230" t="s">
        <v>1802</v>
      </c>
      <c r="N300" s="231" t="s">
        <v>2010</v>
      </c>
    </row>
    <row r="301" spans="1:14" x14ac:dyDescent="0.2">
      <c r="A301" s="236">
        <v>299</v>
      </c>
      <c r="B301" s="226" t="s">
        <v>533</v>
      </c>
      <c r="C301" s="227" t="s">
        <v>534</v>
      </c>
      <c r="D301" s="227">
        <v>8.31</v>
      </c>
      <c r="E301" s="314">
        <v>8.16</v>
      </c>
      <c r="F301" s="227">
        <v>8</v>
      </c>
      <c r="G301" s="227">
        <v>0.89</v>
      </c>
      <c r="H301" s="227">
        <v>2</v>
      </c>
      <c r="I301" s="227">
        <v>14</v>
      </c>
      <c r="J301" s="227">
        <v>1</v>
      </c>
      <c r="K301" s="226" t="s">
        <v>724</v>
      </c>
      <c r="L301" s="227">
        <v>2016</v>
      </c>
      <c r="M301" s="227" t="s">
        <v>1786</v>
      </c>
      <c r="N301" s="228" t="s">
        <v>2011</v>
      </c>
    </row>
    <row r="302" spans="1:14" x14ac:dyDescent="0.2">
      <c r="A302" s="236">
        <v>300</v>
      </c>
      <c r="B302" s="229" t="s">
        <v>545</v>
      </c>
      <c r="C302" s="230" t="s">
        <v>546</v>
      </c>
      <c r="D302" s="230">
        <v>8.7799999999999994</v>
      </c>
      <c r="E302" s="270">
        <v>8.7899999999999991</v>
      </c>
      <c r="F302" s="230">
        <v>8.5</v>
      </c>
      <c r="G302" s="230">
        <v>0.97</v>
      </c>
      <c r="H302" s="230">
        <v>2</v>
      </c>
      <c r="I302" s="230">
        <v>9</v>
      </c>
      <c r="J302" s="230">
        <v>0</v>
      </c>
      <c r="K302" s="229" t="s">
        <v>777</v>
      </c>
      <c r="L302" s="230">
        <v>1983</v>
      </c>
      <c r="M302" s="230" t="s">
        <v>1774</v>
      </c>
      <c r="N302" s="231" t="s">
        <v>2011</v>
      </c>
    </row>
    <row r="303" spans="1:14" x14ac:dyDescent="0.2">
      <c r="A303" s="236">
        <v>301</v>
      </c>
      <c r="B303" s="226" t="s">
        <v>951</v>
      </c>
      <c r="C303" s="227" t="s">
        <v>949</v>
      </c>
      <c r="D303" s="227">
        <v>10.5</v>
      </c>
      <c r="E303" s="233">
        <v>10.85</v>
      </c>
      <c r="F303" s="227">
        <v>10.5</v>
      </c>
      <c r="G303" s="227">
        <v>0</v>
      </c>
      <c r="H303" s="227">
        <v>1</v>
      </c>
      <c r="I303" s="227">
        <v>1</v>
      </c>
      <c r="J303" s="227">
        <v>0</v>
      </c>
      <c r="K303" s="226" t="s">
        <v>952</v>
      </c>
      <c r="L303" s="227">
        <v>1996</v>
      </c>
      <c r="M303" s="227" t="s">
        <v>1763</v>
      </c>
      <c r="N303" s="228" t="s">
        <v>2011</v>
      </c>
    </row>
    <row r="304" spans="1:14" x14ac:dyDescent="0.2">
      <c r="A304" s="236">
        <v>302</v>
      </c>
      <c r="B304" s="229" t="s">
        <v>493</v>
      </c>
      <c r="C304" s="230" t="s">
        <v>494</v>
      </c>
      <c r="D304" s="230">
        <v>8.5</v>
      </c>
      <c r="E304" s="300">
        <v>8.43</v>
      </c>
      <c r="F304" s="230">
        <v>8.5</v>
      </c>
      <c r="G304" s="230">
        <v>0.59</v>
      </c>
      <c r="H304" s="230">
        <v>0</v>
      </c>
      <c r="I304" s="230">
        <v>17</v>
      </c>
      <c r="J304" s="230">
        <v>4</v>
      </c>
      <c r="K304" s="229" t="s">
        <v>742</v>
      </c>
      <c r="L304" s="230">
        <v>2016</v>
      </c>
      <c r="M304" s="230" t="s">
        <v>1803</v>
      </c>
      <c r="N304" s="231" t="s">
        <v>2012</v>
      </c>
    </row>
    <row r="305" spans="1:14" x14ac:dyDescent="0.2">
      <c r="A305" s="236">
        <v>303</v>
      </c>
      <c r="B305" s="226" t="s">
        <v>293</v>
      </c>
      <c r="C305" s="227" t="s">
        <v>518</v>
      </c>
      <c r="D305" s="227">
        <v>8.77</v>
      </c>
      <c r="E305" s="274">
        <v>8.75</v>
      </c>
      <c r="F305" s="227">
        <v>9</v>
      </c>
      <c r="G305" s="227">
        <v>0.72</v>
      </c>
      <c r="H305" s="227">
        <v>1</v>
      </c>
      <c r="I305" s="227">
        <v>11</v>
      </c>
      <c r="J305" s="227">
        <v>0</v>
      </c>
      <c r="K305" s="226" t="s">
        <v>713</v>
      </c>
      <c r="L305" s="227">
        <v>2016</v>
      </c>
      <c r="M305" s="227" t="s">
        <v>1793</v>
      </c>
      <c r="N305" s="228" t="s">
        <v>2012</v>
      </c>
    </row>
    <row r="306" spans="1:14" x14ac:dyDescent="0.2">
      <c r="A306" s="236">
        <v>304</v>
      </c>
      <c r="B306" s="229" t="s">
        <v>456</v>
      </c>
      <c r="C306" s="230" t="s">
        <v>457</v>
      </c>
      <c r="D306" s="230">
        <v>7.67</v>
      </c>
      <c r="E306" s="326">
        <v>7.66</v>
      </c>
      <c r="F306" s="230">
        <v>8</v>
      </c>
      <c r="G306" s="230">
        <v>0.59</v>
      </c>
      <c r="H306" s="230">
        <v>0</v>
      </c>
      <c r="I306" s="230">
        <v>12</v>
      </c>
      <c r="J306" s="230">
        <v>0</v>
      </c>
      <c r="K306" s="229" t="s">
        <v>726</v>
      </c>
      <c r="L306" s="230">
        <v>2021</v>
      </c>
      <c r="M306" s="230" t="s">
        <v>1803</v>
      </c>
      <c r="N306" s="231" t="s">
        <v>2013</v>
      </c>
    </row>
    <row r="307" spans="1:14" x14ac:dyDescent="0.2">
      <c r="A307" s="236">
        <v>305</v>
      </c>
      <c r="B307" s="226" t="s">
        <v>441</v>
      </c>
      <c r="C307" s="227" t="s">
        <v>459</v>
      </c>
      <c r="D307" s="227">
        <v>9.17</v>
      </c>
      <c r="E307" s="246">
        <v>9.23</v>
      </c>
      <c r="F307" s="227">
        <v>9</v>
      </c>
      <c r="G307" s="227">
        <v>0.69</v>
      </c>
      <c r="H307" s="227">
        <v>1</v>
      </c>
      <c r="I307" s="227">
        <v>6</v>
      </c>
      <c r="J307" s="227">
        <v>0</v>
      </c>
      <c r="K307" s="226" t="s">
        <v>716</v>
      </c>
      <c r="L307" s="227">
        <v>2007</v>
      </c>
      <c r="M307" s="227" t="s">
        <v>1777</v>
      </c>
      <c r="N307" s="228" t="s">
        <v>2013</v>
      </c>
    </row>
    <row r="308" spans="1:14" x14ac:dyDescent="0.2">
      <c r="A308" s="236">
        <v>306</v>
      </c>
      <c r="B308" s="229" t="s">
        <v>300</v>
      </c>
      <c r="C308" s="230" t="s">
        <v>473</v>
      </c>
      <c r="D308" s="230">
        <v>8.81</v>
      </c>
      <c r="E308" s="373">
        <v>8.73</v>
      </c>
      <c r="F308" s="230">
        <v>8.75</v>
      </c>
      <c r="G308" s="230">
        <v>0.79</v>
      </c>
      <c r="H308" s="230">
        <v>1</v>
      </c>
      <c r="I308" s="230">
        <v>8</v>
      </c>
      <c r="J308" s="230">
        <v>0</v>
      </c>
      <c r="K308" s="229" t="s">
        <v>735</v>
      </c>
      <c r="L308" s="230">
        <v>2003</v>
      </c>
      <c r="M308" s="230" t="s">
        <v>1802</v>
      </c>
      <c r="N308" s="231" t="s">
        <v>2013</v>
      </c>
    </row>
    <row r="309" spans="1:14" x14ac:dyDescent="0.2">
      <c r="A309" s="236">
        <v>307</v>
      </c>
      <c r="B309" s="226" t="s">
        <v>293</v>
      </c>
      <c r="C309" s="227" t="s">
        <v>393</v>
      </c>
      <c r="D309" s="227">
        <v>9.0399999999999991</v>
      </c>
      <c r="E309" s="249">
        <v>9.14</v>
      </c>
      <c r="F309" s="227">
        <v>9</v>
      </c>
      <c r="G309" s="227">
        <v>0.78</v>
      </c>
      <c r="H309" s="227">
        <v>3</v>
      </c>
      <c r="I309" s="227">
        <v>12</v>
      </c>
      <c r="J309" s="227">
        <v>0</v>
      </c>
      <c r="K309" s="226" t="s">
        <v>732</v>
      </c>
      <c r="L309" s="227">
        <v>1995</v>
      </c>
      <c r="M309" s="227" t="s">
        <v>1783</v>
      </c>
      <c r="N309" s="228" t="s">
        <v>2014</v>
      </c>
    </row>
    <row r="310" spans="1:14" x14ac:dyDescent="0.2">
      <c r="A310" s="236">
        <v>308</v>
      </c>
      <c r="B310" s="229" t="s">
        <v>441</v>
      </c>
      <c r="C310" s="230" t="s">
        <v>442</v>
      </c>
      <c r="D310" s="230">
        <v>8.7899999999999991</v>
      </c>
      <c r="E310" s="269">
        <v>8.81</v>
      </c>
      <c r="F310" s="230">
        <v>8.5</v>
      </c>
      <c r="G310" s="230">
        <v>0.99</v>
      </c>
      <c r="H310" s="230">
        <v>3</v>
      </c>
      <c r="I310" s="230">
        <v>12</v>
      </c>
      <c r="J310" s="230">
        <v>0</v>
      </c>
      <c r="K310" s="229" t="s">
        <v>716</v>
      </c>
      <c r="L310" s="230">
        <v>2002</v>
      </c>
      <c r="M310" s="230" t="s">
        <v>1792</v>
      </c>
      <c r="N310" s="231" t="s">
        <v>2014</v>
      </c>
    </row>
    <row r="311" spans="1:14" x14ac:dyDescent="0.2">
      <c r="A311" s="236">
        <v>309</v>
      </c>
      <c r="B311" s="226" t="s">
        <v>426</v>
      </c>
      <c r="C311" s="227" t="s">
        <v>427</v>
      </c>
      <c r="D311" s="227">
        <v>8.18</v>
      </c>
      <c r="E311" s="317">
        <v>8.06</v>
      </c>
      <c r="F311" s="227">
        <v>8</v>
      </c>
      <c r="G311" s="227">
        <v>0.89</v>
      </c>
      <c r="H311" s="227">
        <v>2</v>
      </c>
      <c r="I311" s="227">
        <v>19</v>
      </c>
      <c r="J311" s="227">
        <v>0</v>
      </c>
      <c r="K311" s="226" t="s">
        <v>738</v>
      </c>
      <c r="L311" s="227">
        <v>2023</v>
      </c>
      <c r="M311" s="227" t="s">
        <v>1785</v>
      </c>
      <c r="N311" s="228" t="s">
        <v>2014</v>
      </c>
    </row>
    <row r="312" spans="1:14" x14ac:dyDescent="0.2">
      <c r="A312" s="236">
        <v>310</v>
      </c>
      <c r="B312" s="229" t="s">
        <v>293</v>
      </c>
      <c r="C312" s="230" t="s">
        <v>251</v>
      </c>
      <c r="D312" s="230">
        <v>9.15</v>
      </c>
      <c r="E312" s="243">
        <v>9.3699999999999992</v>
      </c>
      <c r="F312" s="230">
        <v>9</v>
      </c>
      <c r="G312" s="230">
        <v>1</v>
      </c>
      <c r="H312" s="230">
        <v>4</v>
      </c>
      <c r="I312" s="230">
        <v>11</v>
      </c>
      <c r="J312" s="230">
        <v>1</v>
      </c>
      <c r="K312" s="229" t="s">
        <v>814</v>
      </c>
      <c r="L312" s="230">
        <v>2000</v>
      </c>
      <c r="M312" s="230" t="s">
        <v>1774</v>
      </c>
      <c r="N312" s="231" t="s">
        <v>2015</v>
      </c>
    </row>
    <row r="313" spans="1:14" x14ac:dyDescent="0.2">
      <c r="A313" s="236">
        <v>311</v>
      </c>
      <c r="B313" s="226" t="s">
        <v>304</v>
      </c>
      <c r="C313" s="227" t="s">
        <v>304</v>
      </c>
      <c r="D313" s="227">
        <v>7.77</v>
      </c>
      <c r="E313" s="327">
        <v>7.64</v>
      </c>
      <c r="F313" s="227">
        <v>7.5</v>
      </c>
      <c r="G313" s="227">
        <v>0.62</v>
      </c>
      <c r="H313" s="227">
        <v>0</v>
      </c>
      <c r="I313" s="227">
        <v>11</v>
      </c>
      <c r="J313" s="227">
        <v>0</v>
      </c>
      <c r="K313" s="226" t="s">
        <v>734</v>
      </c>
      <c r="L313" s="227">
        <v>2026</v>
      </c>
      <c r="M313" s="227" t="s">
        <v>1774</v>
      </c>
      <c r="N313" s="228" t="s">
        <v>2015</v>
      </c>
    </row>
    <row r="314" spans="1:14" x14ac:dyDescent="0.2">
      <c r="A314" s="236">
        <v>312</v>
      </c>
      <c r="B314" s="229" t="s">
        <v>311</v>
      </c>
      <c r="C314" s="230" t="s">
        <v>158</v>
      </c>
      <c r="D314" s="230">
        <v>8.65</v>
      </c>
      <c r="E314" s="290">
        <v>8.56</v>
      </c>
      <c r="F314" s="230">
        <v>8.5</v>
      </c>
      <c r="G314" s="230">
        <v>0.72</v>
      </c>
      <c r="H314" s="230">
        <v>2</v>
      </c>
      <c r="I314" s="230">
        <v>13</v>
      </c>
      <c r="J314" s="230">
        <v>0</v>
      </c>
      <c r="K314" s="229" t="s">
        <v>741</v>
      </c>
      <c r="L314" s="230">
        <v>2005</v>
      </c>
      <c r="M314" s="230" t="s">
        <v>1799</v>
      </c>
      <c r="N314" s="231" t="s">
        <v>2016</v>
      </c>
    </row>
    <row r="315" spans="1:14" x14ac:dyDescent="0.2">
      <c r="A315" s="236">
        <v>313</v>
      </c>
      <c r="B315" s="226" t="s">
        <v>378</v>
      </c>
      <c r="C315" s="227" t="s">
        <v>379</v>
      </c>
      <c r="D315" s="227">
        <v>7.29</v>
      </c>
      <c r="E315" s="331">
        <v>7.16</v>
      </c>
      <c r="F315" s="227">
        <v>7</v>
      </c>
      <c r="G315" s="227">
        <v>0.52</v>
      </c>
      <c r="H315" s="227">
        <v>0</v>
      </c>
      <c r="I315" s="227">
        <v>7</v>
      </c>
      <c r="J315" s="227">
        <v>0</v>
      </c>
      <c r="K315" s="226" t="s">
        <v>740</v>
      </c>
      <c r="L315" s="227">
        <v>2021</v>
      </c>
      <c r="M315" s="227" t="s">
        <v>1809</v>
      </c>
      <c r="N315" s="228" t="s">
        <v>2016</v>
      </c>
    </row>
    <row r="316" spans="1:14" x14ac:dyDescent="0.2">
      <c r="A316" s="236">
        <v>314</v>
      </c>
      <c r="B316" s="229" t="s">
        <v>357</v>
      </c>
      <c r="C316" s="230" t="s">
        <v>351</v>
      </c>
      <c r="D316" s="230">
        <v>9.0500000000000007</v>
      </c>
      <c r="E316" s="249">
        <v>9.14</v>
      </c>
      <c r="F316" s="230">
        <v>9</v>
      </c>
      <c r="G316" s="230">
        <v>0.88</v>
      </c>
      <c r="H316" s="230">
        <v>3</v>
      </c>
      <c r="I316" s="230">
        <v>10</v>
      </c>
      <c r="J316" s="230">
        <v>0</v>
      </c>
      <c r="K316" s="229" t="s">
        <v>722</v>
      </c>
      <c r="L316" s="230">
        <v>1990</v>
      </c>
      <c r="M316" s="230" t="s">
        <v>1800</v>
      </c>
      <c r="N316" s="231" t="s">
        <v>2017</v>
      </c>
    </row>
    <row r="317" spans="1:14" x14ac:dyDescent="0.2">
      <c r="A317" s="236">
        <v>315</v>
      </c>
      <c r="B317" s="226" t="s">
        <v>370</v>
      </c>
      <c r="C317" s="227" t="s">
        <v>368</v>
      </c>
      <c r="D317" s="227">
        <v>8.67</v>
      </c>
      <c r="E317" s="277">
        <v>8.7100000000000009</v>
      </c>
      <c r="F317" s="227">
        <v>8.5</v>
      </c>
      <c r="G317" s="227">
        <v>0.85</v>
      </c>
      <c r="H317" s="227">
        <v>2</v>
      </c>
      <c r="I317" s="227">
        <v>12</v>
      </c>
      <c r="J317" s="227">
        <v>0</v>
      </c>
      <c r="K317" s="226" t="s">
        <v>777</v>
      </c>
      <c r="L317" s="227">
        <v>1989</v>
      </c>
      <c r="M317" s="227" t="s">
        <v>1801</v>
      </c>
      <c r="N317" s="228" t="s">
        <v>2017</v>
      </c>
    </row>
    <row r="318" spans="1:14" x14ac:dyDescent="0.2">
      <c r="A318" s="236">
        <v>316</v>
      </c>
      <c r="B318" s="229" t="s">
        <v>314</v>
      </c>
      <c r="C318" s="230" t="s">
        <v>271</v>
      </c>
      <c r="D318" s="230">
        <v>8.35</v>
      </c>
      <c r="E318" s="312">
        <v>8.1999999999999993</v>
      </c>
      <c r="F318" s="230">
        <v>8</v>
      </c>
      <c r="G318" s="230">
        <v>0.78</v>
      </c>
      <c r="H318" s="230">
        <v>1</v>
      </c>
      <c r="I318" s="230">
        <v>10</v>
      </c>
      <c r="J318" s="230">
        <v>0</v>
      </c>
      <c r="K318" s="229" t="s">
        <v>781</v>
      </c>
      <c r="L318" s="230">
        <v>1979</v>
      </c>
      <c r="M318" s="230" t="s">
        <v>1795</v>
      </c>
      <c r="N318" s="231" t="s">
        <v>2018</v>
      </c>
    </row>
    <row r="319" spans="1:14" x14ac:dyDescent="0.2">
      <c r="A319" s="236">
        <v>317</v>
      </c>
      <c r="B319" s="226" t="s">
        <v>292</v>
      </c>
      <c r="C319" s="227" t="s">
        <v>278</v>
      </c>
      <c r="D319" s="227">
        <v>8.35</v>
      </c>
      <c r="E319" s="311">
        <v>8.2200000000000006</v>
      </c>
      <c r="F319" s="227">
        <v>8.25</v>
      </c>
      <c r="G319" s="227">
        <v>1.32</v>
      </c>
      <c r="H319" s="227">
        <v>3</v>
      </c>
      <c r="I319" s="227">
        <v>10</v>
      </c>
      <c r="J319" s="227">
        <v>0</v>
      </c>
      <c r="K319" s="226" t="s">
        <v>731</v>
      </c>
      <c r="L319" s="227">
        <v>1993</v>
      </c>
      <c r="M319" s="227" t="s">
        <v>1792</v>
      </c>
      <c r="N319" s="228" t="s">
        <v>2018</v>
      </c>
    </row>
    <row r="320" spans="1:14" x14ac:dyDescent="0.2">
      <c r="A320" s="236">
        <v>318</v>
      </c>
      <c r="B320" s="229" t="s">
        <v>334</v>
      </c>
      <c r="C320" s="230" t="s">
        <v>335</v>
      </c>
      <c r="D320" s="230">
        <v>8.4600000000000009</v>
      </c>
      <c r="E320" s="302">
        <v>8.39</v>
      </c>
      <c r="F320" s="230">
        <v>8.5</v>
      </c>
      <c r="G320" s="230">
        <v>0.84</v>
      </c>
      <c r="H320" s="230">
        <v>2</v>
      </c>
      <c r="I320" s="230">
        <v>13</v>
      </c>
      <c r="J320" s="230">
        <v>0</v>
      </c>
      <c r="K320" s="229" t="s">
        <v>739</v>
      </c>
      <c r="L320" s="230">
        <v>2018</v>
      </c>
      <c r="M320" s="230" t="s">
        <v>1786</v>
      </c>
      <c r="N320" s="231" t="s">
        <v>2018</v>
      </c>
    </row>
    <row r="321" spans="1:14" x14ac:dyDescent="0.2">
      <c r="A321" s="236">
        <v>319</v>
      </c>
      <c r="B321" s="226" t="s">
        <v>346</v>
      </c>
      <c r="C321" s="227" t="s">
        <v>339</v>
      </c>
      <c r="D321" s="227">
        <v>8</v>
      </c>
      <c r="E321" s="320">
        <v>7.98</v>
      </c>
      <c r="F321" s="227">
        <v>8.25</v>
      </c>
      <c r="G321" s="227">
        <v>0.56000000000000005</v>
      </c>
      <c r="H321" s="227">
        <v>0</v>
      </c>
      <c r="I321" s="227">
        <v>9</v>
      </c>
      <c r="J321" s="227">
        <v>1</v>
      </c>
      <c r="K321" s="226" t="s">
        <v>987</v>
      </c>
      <c r="L321" s="227">
        <v>2005</v>
      </c>
      <c r="M321" s="227" t="s">
        <v>1797</v>
      </c>
      <c r="N321" s="228" t="s">
        <v>2018</v>
      </c>
    </row>
    <row r="322" spans="1:14" x14ac:dyDescent="0.2">
      <c r="A322" s="236">
        <v>320</v>
      </c>
      <c r="B322" s="229" t="s">
        <v>308</v>
      </c>
      <c r="C322" s="230" t="s">
        <v>240</v>
      </c>
      <c r="D322" s="230">
        <v>8.7799999999999994</v>
      </c>
      <c r="E322" s="273">
        <v>8.76</v>
      </c>
      <c r="F322" s="230">
        <v>9</v>
      </c>
      <c r="G322" s="230">
        <v>0.79</v>
      </c>
      <c r="H322" s="230">
        <v>2</v>
      </c>
      <c r="I322" s="230">
        <v>10</v>
      </c>
      <c r="J322" s="230">
        <v>1</v>
      </c>
      <c r="K322" s="229" t="s">
        <v>721</v>
      </c>
      <c r="L322" s="230">
        <v>1994</v>
      </c>
      <c r="M322" s="230" t="s">
        <v>1795</v>
      </c>
      <c r="N322" s="231" t="s">
        <v>2019</v>
      </c>
    </row>
    <row r="323" spans="1:14" x14ac:dyDescent="0.2">
      <c r="A323" s="236">
        <v>321</v>
      </c>
      <c r="B323" s="226" t="s">
        <v>296</v>
      </c>
      <c r="C323" s="227" t="s">
        <v>239</v>
      </c>
      <c r="D323" s="227">
        <v>9.3800000000000008</v>
      </c>
      <c r="E323" s="240">
        <v>9.5299999999999994</v>
      </c>
      <c r="F323" s="227">
        <v>9.5</v>
      </c>
      <c r="G323" s="227">
        <v>0.78</v>
      </c>
      <c r="H323" s="227">
        <v>3</v>
      </c>
      <c r="I323" s="227">
        <v>8</v>
      </c>
      <c r="J323" s="227">
        <v>0</v>
      </c>
      <c r="K323" s="226" t="s">
        <v>720</v>
      </c>
      <c r="L323" s="227">
        <v>1971</v>
      </c>
      <c r="M323" s="227" t="s">
        <v>1766</v>
      </c>
      <c r="N323" s="228" t="s">
        <v>2019</v>
      </c>
    </row>
    <row r="324" spans="1:14" x14ac:dyDescent="0.2">
      <c r="A324" s="236">
        <v>322</v>
      </c>
      <c r="B324" s="229" t="s">
        <v>304</v>
      </c>
      <c r="C324" s="230" t="s">
        <v>229</v>
      </c>
      <c r="D324" s="230">
        <v>9</v>
      </c>
      <c r="E324" s="250">
        <v>9.09</v>
      </c>
      <c r="F324" s="230">
        <v>9</v>
      </c>
      <c r="G324" s="230">
        <v>0.82</v>
      </c>
      <c r="H324" s="230">
        <v>2</v>
      </c>
      <c r="I324" s="230">
        <v>9</v>
      </c>
      <c r="J324" s="230">
        <v>0</v>
      </c>
      <c r="K324" s="229" t="s">
        <v>734</v>
      </c>
      <c r="L324" s="230">
        <v>1990</v>
      </c>
      <c r="M324" s="230" t="s">
        <v>1779</v>
      </c>
      <c r="N324" s="231" t="s">
        <v>2019</v>
      </c>
    </row>
    <row r="325" spans="1:14" x14ac:dyDescent="0.2">
      <c r="A325" s="236">
        <v>323</v>
      </c>
      <c r="B325" s="226" t="s">
        <v>319</v>
      </c>
      <c r="C325" s="227" t="s">
        <v>320</v>
      </c>
      <c r="D325" s="227">
        <v>8.33</v>
      </c>
      <c r="E325" s="314">
        <v>8.17</v>
      </c>
      <c r="F325" s="227">
        <v>8</v>
      </c>
      <c r="G325" s="227">
        <v>0.94</v>
      </c>
      <c r="H325" s="227">
        <v>1</v>
      </c>
      <c r="I325" s="227">
        <v>9</v>
      </c>
      <c r="J325" s="227">
        <v>0</v>
      </c>
      <c r="K325" s="226" t="s">
        <v>721</v>
      </c>
      <c r="L325" s="227">
        <v>1993</v>
      </c>
      <c r="M325" s="227" t="s">
        <v>1790</v>
      </c>
      <c r="N325" s="228" t="s">
        <v>2019</v>
      </c>
    </row>
    <row r="326" spans="1:14" x14ac:dyDescent="0.2">
      <c r="A326" s="236">
        <v>324</v>
      </c>
      <c r="B326" s="229" t="s">
        <v>298</v>
      </c>
      <c r="C326" s="230" t="s">
        <v>299</v>
      </c>
      <c r="D326" s="230">
        <v>9.61</v>
      </c>
      <c r="E326" s="233">
        <v>10</v>
      </c>
      <c r="F326" s="230">
        <v>10</v>
      </c>
      <c r="G326" s="230">
        <v>0.91</v>
      </c>
      <c r="H326" s="230">
        <v>6</v>
      </c>
      <c r="I326" s="230">
        <v>10</v>
      </c>
      <c r="J326" s="230">
        <v>1</v>
      </c>
      <c r="K326" s="229" t="s">
        <v>715</v>
      </c>
      <c r="L326" s="230">
        <v>1973</v>
      </c>
      <c r="M326" s="230" t="s">
        <v>1766</v>
      </c>
      <c r="N326" s="231" t="s">
        <v>2020</v>
      </c>
    </row>
    <row r="327" spans="1:14" x14ac:dyDescent="0.2">
      <c r="A327" s="236">
        <v>325</v>
      </c>
      <c r="B327" s="226" t="s">
        <v>301</v>
      </c>
      <c r="C327" s="227" t="s">
        <v>56</v>
      </c>
      <c r="D327" s="227">
        <v>9.25</v>
      </c>
      <c r="E327" s="243">
        <v>9.3699999999999992</v>
      </c>
      <c r="F327" s="227">
        <v>9.25</v>
      </c>
      <c r="G327" s="227">
        <v>0.83</v>
      </c>
      <c r="H327" s="227">
        <v>3</v>
      </c>
      <c r="I327" s="227">
        <v>8</v>
      </c>
      <c r="J327" s="227">
        <v>0</v>
      </c>
      <c r="K327" s="226" t="s">
        <v>734</v>
      </c>
      <c r="L327" s="227">
        <v>1986</v>
      </c>
      <c r="M327" s="227" t="s">
        <v>1773</v>
      </c>
      <c r="N327" s="228" t="s">
        <v>2020</v>
      </c>
    </row>
    <row r="328" spans="1:14" x14ac:dyDescent="0.2">
      <c r="A328" s="236">
        <v>326</v>
      </c>
      <c r="B328" s="229" t="s">
        <v>297</v>
      </c>
      <c r="C328" s="230" t="s">
        <v>1079</v>
      </c>
      <c r="D328" s="230">
        <v>9.4</v>
      </c>
      <c r="E328" s="241">
        <v>9.4600000000000009</v>
      </c>
      <c r="F328" s="230">
        <v>9</v>
      </c>
      <c r="G328" s="230">
        <v>0.73</v>
      </c>
      <c r="H328" s="230">
        <v>2</v>
      </c>
      <c r="I328" s="230">
        <v>5</v>
      </c>
      <c r="J328" s="230">
        <v>0</v>
      </c>
      <c r="K328" s="229" t="s">
        <v>714</v>
      </c>
      <c r="L328" s="230">
        <v>1969</v>
      </c>
      <c r="M328" s="230" t="s">
        <v>1772</v>
      </c>
      <c r="N328" s="231" t="s">
        <v>2020</v>
      </c>
    </row>
    <row r="329" spans="1:14" x14ac:dyDescent="0.2">
      <c r="A329" s="236">
        <v>327</v>
      </c>
      <c r="B329" s="226" t="s">
        <v>302</v>
      </c>
      <c r="C329" s="227" t="s">
        <v>186</v>
      </c>
      <c r="D329" s="227">
        <v>9.2100000000000009</v>
      </c>
      <c r="E329" s="245">
        <v>9.34</v>
      </c>
      <c r="F329" s="227">
        <v>9.25</v>
      </c>
      <c r="G329" s="227">
        <v>0.85</v>
      </c>
      <c r="H329" s="227">
        <v>5</v>
      </c>
      <c r="I329" s="227">
        <v>13</v>
      </c>
      <c r="J329" s="227">
        <v>1</v>
      </c>
      <c r="K329" s="226" t="s">
        <v>717</v>
      </c>
      <c r="L329" s="227">
        <v>2008</v>
      </c>
      <c r="M329" s="227" t="s">
        <v>1776</v>
      </c>
      <c r="N329" s="228" t="s">
        <v>2020</v>
      </c>
    </row>
    <row r="330" spans="1:14" x14ac:dyDescent="0.2">
      <c r="A330" s="236">
        <v>328</v>
      </c>
      <c r="B330" s="229" t="s">
        <v>312</v>
      </c>
      <c r="C330" s="230" t="s">
        <v>1080</v>
      </c>
      <c r="D330" s="230">
        <v>8.8800000000000008</v>
      </c>
      <c r="E330" s="249">
        <v>9.14</v>
      </c>
      <c r="F330" s="230">
        <v>9</v>
      </c>
      <c r="G330" s="230">
        <v>0.92</v>
      </c>
      <c r="H330" s="230">
        <v>3</v>
      </c>
      <c r="I330" s="230">
        <v>13</v>
      </c>
      <c r="J330" s="230">
        <v>0</v>
      </c>
      <c r="K330" s="229" t="s">
        <v>1082</v>
      </c>
      <c r="L330" s="230">
        <v>2009</v>
      </c>
      <c r="M330" s="230" t="s">
        <v>1796</v>
      </c>
      <c r="N330" s="231" t="s">
        <v>2021</v>
      </c>
    </row>
    <row r="331" spans="1:14" x14ac:dyDescent="0.2">
      <c r="A331" s="236">
        <v>329</v>
      </c>
      <c r="B331" s="226" t="s">
        <v>405</v>
      </c>
      <c r="C331" s="227" t="s">
        <v>36</v>
      </c>
      <c r="D331" s="227">
        <v>9.15</v>
      </c>
      <c r="E331" s="246">
        <v>9.23</v>
      </c>
      <c r="F331" s="227">
        <v>9</v>
      </c>
      <c r="G331" s="227">
        <v>0.78</v>
      </c>
      <c r="H331" s="227">
        <v>3</v>
      </c>
      <c r="I331" s="227">
        <v>10</v>
      </c>
      <c r="J331" s="227">
        <v>0</v>
      </c>
      <c r="K331" s="226" t="s">
        <v>714</v>
      </c>
      <c r="L331" s="227">
        <v>1982</v>
      </c>
      <c r="M331" s="227" t="s">
        <v>1766</v>
      </c>
      <c r="N331" s="228" t="s">
        <v>2021</v>
      </c>
    </row>
    <row r="332" spans="1:14" x14ac:dyDescent="0.2">
      <c r="A332" s="236">
        <v>330</v>
      </c>
      <c r="B332" s="229" t="s">
        <v>303</v>
      </c>
      <c r="C332" s="230" t="s">
        <v>157</v>
      </c>
      <c r="D332" s="230">
        <v>9</v>
      </c>
      <c r="E332" s="250">
        <v>9.09</v>
      </c>
      <c r="F332" s="230">
        <v>9</v>
      </c>
      <c r="G332" s="230">
        <v>0.85</v>
      </c>
      <c r="H332" s="230">
        <v>3</v>
      </c>
      <c r="I332" s="230">
        <v>14</v>
      </c>
      <c r="J332" s="230">
        <v>1</v>
      </c>
      <c r="K332" s="229" t="s">
        <v>718</v>
      </c>
      <c r="L332" s="230">
        <v>2001</v>
      </c>
      <c r="M332" s="230" t="s">
        <v>1778</v>
      </c>
      <c r="N332" s="231" t="s">
        <v>2021</v>
      </c>
    </row>
    <row r="333" spans="1:14" x14ac:dyDescent="0.2">
      <c r="A333" s="236">
        <v>331</v>
      </c>
      <c r="B333" s="226" t="s">
        <v>307</v>
      </c>
      <c r="C333" s="227" t="s">
        <v>95</v>
      </c>
      <c r="D333" s="227">
        <v>8.94</v>
      </c>
      <c r="E333" s="253">
        <v>9.0299999999999994</v>
      </c>
      <c r="F333" s="227">
        <v>9</v>
      </c>
      <c r="G333" s="227">
        <v>0.96</v>
      </c>
      <c r="H333" s="227">
        <v>2</v>
      </c>
      <c r="I333" s="227">
        <v>9</v>
      </c>
      <c r="J333" s="227">
        <v>0</v>
      </c>
      <c r="K333" s="226" t="s">
        <v>720</v>
      </c>
      <c r="L333" s="227">
        <v>1985</v>
      </c>
      <c r="M333" s="227" t="s">
        <v>1773</v>
      </c>
      <c r="N333" s="228" t="s">
        <v>2021</v>
      </c>
    </row>
    <row r="334" spans="1:14" x14ac:dyDescent="0.2">
      <c r="A334" s="236">
        <v>332</v>
      </c>
      <c r="B334" s="229" t="s">
        <v>309</v>
      </c>
      <c r="C334" s="230" t="s">
        <v>218</v>
      </c>
      <c r="D334" s="230">
        <v>8.77</v>
      </c>
      <c r="E334" s="281">
        <v>8.66</v>
      </c>
      <c r="F334" s="230">
        <v>8.5</v>
      </c>
      <c r="G334" s="230">
        <v>0.86</v>
      </c>
      <c r="H334" s="230">
        <v>3</v>
      </c>
      <c r="I334" s="230">
        <v>11</v>
      </c>
      <c r="J334" s="230">
        <v>0</v>
      </c>
      <c r="K334" s="229" t="s">
        <v>723</v>
      </c>
      <c r="L334" s="230">
        <v>1998</v>
      </c>
      <c r="M334" s="230" t="s">
        <v>1797</v>
      </c>
      <c r="N334" s="231" t="s">
        <v>2021</v>
      </c>
    </row>
    <row r="335" spans="1:14" x14ac:dyDescent="0.2">
      <c r="A335" s="236">
        <v>333</v>
      </c>
      <c r="B335" s="226" t="s">
        <v>315</v>
      </c>
      <c r="C335" s="227" t="s">
        <v>316</v>
      </c>
      <c r="D335" s="227">
        <v>8.42</v>
      </c>
      <c r="E335" s="305">
        <v>8.34</v>
      </c>
      <c r="F335" s="227">
        <v>8.5</v>
      </c>
      <c r="G335" s="227">
        <v>0.91</v>
      </c>
      <c r="H335" s="227">
        <v>1</v>
      </c>
      <c r="I335" s="227">
        <v>13</v>
      </c>
      <c r="J335" s="227">
        <v>1</v>
      </c>
      <c r="K335" s="226" t="s">
        <v>725</v>
      </c>
      <c r="L335" s="227">
        <v>2000</v>
      </c>
      <c r="M335" s="227" t="s">
        <v>1800</v>
      </c>
      <c r="N335" s="228" t="s">
        <v>2021</v>
      </c>
    </row>
    <row r="336" spans="1:14" x14ac:dyDescent="0.2">
      <c r="A336" s="236">
        <v>334</v>
      </c>
      <c r="B336" s="229" t="s">
        <v>305</v>
      </c>
      <c r="C336" s="230" t="s">
        <v>306</v>
      </c>
      <c r="D336" s="230">
        <v>8.89</v>
      </c>
      <c r="E336" s="264">
        <v>8.8699999999999992</v>
      </c>
      <c r="F336" s="230">
        <v>9</v>
      </c>
      <c r="G336" s="230">
        <v>0.7</v>
      </c>
      <c r="H336" s="230">
        <v>2</v>
      </c>
      <c r="I336" s="230">
        <v>9</v>
      </c>
      <c r="J336" s="230">
        <v>0</v>
      </c>
      <c r="K336" s="229" t="s">
        <v>719</v>
      </c>
      <c r="L336" s="230">
        <v>2020</v>
      </c>
      <c r="M336" s="230" t="s">
        <v>1789</v>
      </c>
      <c r="N336" s="231" t="s">
        <v>2021</v>
      </c>
    </row>
    <row r="337" spans="1:14" x14ac:dyDescent="0.2">
      <c r="A337" s="236">
        <v>335</v>
      </c>
      <c r="B337" s="226" t="s">
        <v>300</v>
      </c>
      <c r="C337" s="227" t="s">
        <v>131</v>
      </c>
      <c r="D337" s="227">
        <v>9.2899999999999991</v>
      </c>
      <c r="E337" s="403">
        <v>9.44</v>
      </c>
      <c r="F337" s="227">
        <v>9.5</v>
      </c>
      <c r="G337" s="227">
        <v>0.8</v>
      </c>
      <c r="H337" s="227">
        <v>2</v>
      </c>
      <c r="I337" s="227">
        <v>7</v>
      </c>
      <c r="J337" s="227">
        <v>0</v>
      </c>
      <c r="K337" s="226" t="s">
        <v>735</v>
      </c>
      <c r="L337" s="227">
        <v>2001</v>
      </c>
      <c r="M337" s="227" t="s">
        <v>1764</v>
      </c>
      <c r="N337" s="228" t="s">
        <v>2021</v>
      </c>
    </row>
  </sheetData>
  <sortState xmlns:xlrd2="http://schemas.microsoft.com/office/spreadsheetml/2017/richdata2" ref="B3:N27">
    <sortCondition descending="1" ref="D3:D27"/>
  </sortState>
  <mergeCells count="1">
    <mergeCell ref="A1:N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72A8-E50B-45C1-A614-C9DF615F8B20}">
  <dimension ref="A1:N364"/>
  <sheetViews>
    <sheetView topLeftCell="A96" zoomScale="90" zoomScaleNormal="90" workbookViewId="0">
      <selection activeCell="G871" sqref="G871"/>
    </sheetView>
  </sheetViews>
  <sheetFormatPr baseColWidth="10" defaultColWidth="8.83203125" defaultRowHeight="16" x14ac:dyDescent="0.2"/>
  <cols>
    <col min="1" max="1" width="3.5" bestFit="1" customWidth="1"/>
    <col min="2" max="2" width="26.6640625" bestFit="1" customWidth="1"/>
    <col min="3" max="3" width="115.1640625" bestFit="1" customWidth="1"/>
    <col min="4" max="4" width="6.83203125" bestFit="1" customWidth="1"/>
    <col min="5" max="5" width="15.5" bestFit="1" customWidth="1"/>
    <col min="6" max="6" width="8.5" bestFit="1" customWidth="1"/>
    <col min="7" max="7" width="11.5" bestFit="1" customWidth="1"/>
    <col min="8" max="8" width="9.83203125" bestFit="1" customWidth="1"/>
    <col min="9" max="9" width="15" bestFit="1" customWidth="1"/>
    <col min="10" max="10" width="10.83203125" bestFit="1" customWidth="1"/>
    <col min="11" max="11" width="59.1640625" bestFit="1" customWidth="1"/>
    <col min="12" max="12" width="11.5" bestFit="1" customWidth="1"/>
    <col min="13" max="13" width="9" bestFit="1" customWidth="1"/>
    <col min="14" max="14" width="15" bestFit="1" customWidth="1"/>
  </cols>
  <sheetData>
    <row r="1" spans="1:14" ht="18" x14ac:dyDescent="0.25">
      <c r="A1" s="567" t="s">
        <v>1229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</row>
    <row r="2" spans="1:14" x14ac:dyDescent="0.2">
      <c r="A2" s="225" t="s">
        <v>318</v>
      </c>
      <c r="B2" s="225" t="s">
        <v>285</v>
      </c>
      <c r="C2" s="225" t="s">
        <v>475</v>
      </c>
      <c r="D2" s="225" t="s">
        <v>287</v>
      </c>
      <c r="E2" s="225" t="s">
        <v>1850</v>
      </c>
      <c r="F2" s="225" t="s">
        <v>474</v>
      </c>
      <c r="G2" s="225" t="s">
        <v>288</v>
      </c>
      <c r="H2" s="225" t="s">
        <v>289</v>
      </c>
      <c r="I2" s="225" t="s">
        <v>290</v>
      </c>
      <c r="J2" s="225" t="s">
        <v>291</v>
      </c>
      <c r="K2" s="225" t="s">
        <v>3045</v>
      </c>
      <c r="L2" s="225" t="s">
        <v>1811</v>
      </c>
      <c r="M2" s="225" t="s">
        <v>1812</v>
      </c>
      <c r="N2" s="225" t="s">
        <v>1952</v>
      </c>
    </row>
    <row r="3" spans="1:14" x14ac:dyDescent="0.2">
      <c r="A3" s="232">
        <v>1</v>
      </c>
      <c r="B3" s="226" t="s">
        <v>951</v>
      </c>
      <c r="C3" s="227">
        <v>2</v>
      </c>
      <c r="D3" s="227">
        <v>9.75</v>
      </c>
      <c r="E3" s="472">
        <v>9.8800000000000008</v>
      </c>
      <c r="F3" s="227">
        <v>9.6300000000000008</v>
      </c>
      <c r="G3" s="227">
        <v>0.36</v>
      </c>
      <c r="H3" s="227">
        <v>3</v>
      </c>
      <c r="I3" s="227">
        <v>9</v>
      </c>
      <c r="J3" s="227">
        <v>0</v>
      </c>
      <c r="K3" s="226" t="s">
        <v>5874</v>
      </c>
      <c r="L3" s="227" t="s">
        <v>4422</v>
      </c>
      <c r="M3" s="227" t="s">
        <v>1774</v>
      </c>
      <c r="N3" s="228" t="s">
        <v>2022</v>
      </c>
    </row>
    <row r="4" spans="1:14" x14ac:dyDescent="0.2">
      <c r="A4" s="234">
        <v>2</v>
      </c>
      <c r="B4" s="229" t="s">
        <v>298</v>
      </c>
      <c r="C4" s="230">
        <v>5</v>
      </c>
      <c r="D4" s="230">
        <v>9.35</v>
      </c>
      <c r="E4" s="335">
        <v>9.58</v>
      </c>
      <c r="F4" s="230">
        <v>9.35</v>
      </c>
      <c r="G4" s="230">
        <v>0.76</v>
      </c>
      <c r="H4" s="230">
        <v>16</v>
      </c>
      <c r="I4" s="230">
        <v>52</v>
      </c>
      <c r="J4" s="230">
        <v>5</v>
      </c>
      <c r="K4" s="229" t="s">
        <v>5875</v>
      </c>
      <c r="L4" s="230" t="s">
        <v>2774</v>
      </c>
      <c r="M4" s="230" t="s">
        <v>1777</v>
      </c>
      <c r="N4" s="231" t="s">
        <v>2022</v>
      </c>
    </row>
    <row r="5" spans="1:14" x14ac:dyDescent="0.2">
      <c r="A5" s="235">
        <v>3</v>
      </c>
      <c r="B5" s="226" t="s">
        <v>292</v>
      </c>
      <c r="C5" s="227">
        <v>7</v>
      </c>
      <c r="D5" s="227">
        <v>9.16</v>
      </c>
      <c r="E5" s="371">
        <v>9.42</v>
      </c>
      <c r="F5" s="227">
        <v>9.39</v>
      </c>
      <c r="G5" s="227">
        <v>0.89</v>
      </c>
      <c r="H5" s="227">
        <v>26</v>
      </c>
      <c r="I5" s="227">
        <v>72</v>
      </c>
      <c r="J5" s="227">
        <v>16</v>
      </c>
      <c r="K5" s="226" t="s">
        <v>5876</v>
      </c>
      <c r="L5" s="227" t="s">
        <v>3020</v>
      </c>
      <c r="M5" s="227" t="s">
        <v>2971</v>
      </c>
      <c r="N5" s="228" t="s">
        <v>2022</v>
      </c>
    </row>
    <row r="6" spans="1:14" x14ac:dyDescent="0.2">
      <c r="A6" s="236">
        <v>4</v>
      </c>
      <c r="B6" s="229" t="s">
        <v>4530</v>
      </c>
      <c r="C6" s="230">
        <v>2</v>
      </c>
      <c r="D6" s="230">
        <v>9.2100000000000009</v>
      </c>
      <c r="E6" s="243">
        <v>9.3699999999999992</v>
      </c>
      <c r="F6" s="230">
        <v>9.3800000000000008</v>
      </c>
      <c r="G6" s="230">
        <v>0.85</v>
      </c>
      <c r="H6" s="230">
        <v>5</v>
      </c>
      <c r="I6" s="230">
        <v>12</v>
      </c>
      <c r="J6" s="230">
        <v>0</v>
      </c>
      <c r="K6" s="229" t="s">
        <v>5877</v>
      </c>
      <c r="L6" s="230" t="s">
        <v>5327</v>
      </c>
      <c r="M6" s="230" t="s">
        <v>1765</v>
      </c>
      <c r="N6" s="231" t="s">
        <v>2022</v>
      </c>
    </row>
    <row r="7" spans="1:14" x14ac:dyDescent="0.2">
      <c r="A7" s="236">
        <v>5</v>
      </c>
      <c r="B7" s="226" t="s">
        <v>2459</v>
      </c>
      <c r="C7" s="227">
        <v>3</v>
      </c>
      <c r="D7" s="227">
        <v>9.24</v>
      </c>
      <c r="E7" s="467">
        <v>9.2799999999999994</v>
      </c>
      <c r="F7" s="227">
        <v>9.25</v>
      </c>
      <c r="G7" s="227">
        <v>0.32</v>
      </c>
      <c r="H7" s="227">
        <v>2</v>
      </c>
      <c r="I7" s="227">
        <v>12</v>
      </c>
      <c r="J7" s="227">
        <v>0</v>
      </c>
      <c r="K7" s="226" t="s">
        <v>1005</v>
      </c>
      <c r="L7" s="227" t="s">
        <v>3431</v>
      </c>
      <c r="M7" s="227" t="s">
        <v>1767</v>
      </c>
      <c r="N7" s="228" t="s">
        <v>2022</v>
      </c>
    </row>
    <row r="8" spans="1:14" x14ac:dyDescent="0.2">
      <c r="A8" s="236">
        <v>6</v>
      </c>
      <c r="B8" s="229" t="s">
        <v>296</v>
      </c>
      <c r="C8" s="230">
        <v>3</v>
      </c>
      <c r="D8" s="230">
        <v>9.0399999999999991</v>
      </c>
      <c r="E8" s="434">
        <v>9.06</v>
      </c>
      <c r="F8" s="230">
        <v>8.92</v>
      </c>
      <c r="G8" s="230">
        <v>0.92</v>
      </c>
      <c r="H8" s="230">
        <v>8</v>
      </c>
      <c r="I8" s="230">
        <v>26</v>
      </c>
      <c r="J8" s="230">
        <v>0</v>
      </c>
      <c r="K8" s="229" t="s">
        <v>5878</v>
      </c>
      <c r="L8" s="230" t="s">
        <v>3991</v>
      </c>
      <c r="M8" s="230" t="s">
        <v>1766</v>
      </c>
      <c r="N8" s="231" t="s">
        <v>2022</v>
      </c>
    </row>
    <row r="9" spans="1:14" x14ac:dyDescent="0.2">
      <c r="A9" s="236">
        <v>7</v>
      </c>
      <c r="B9" s="226" t="s">
        <v>312</v>
      </c>
      <c r="C9" s="227">
        <v>2</v>
      </c>
      <c r="D9" s="227">
        <v>8.94</v>
      </c>
      <c r="E9" s="462">
        <v>9.0500000000000007</v>
      </c>
      <c r="F9" s="227">
        <v>9</v>
      </c>
      <c r="G9" s="227">
        <v>0.77</v>
      </c>
      <c r="H9" s="227">
        <v>5</v>
      </c>
      <c r="I9" s="227">
        <v>25</v>
      </c>
      <c r="J9" s="227">
        <v>0</v>
      </c>
      <c r="K9" s="226" t="s">
        <v>5879</v>
      </c>
      <c r="L9" s="227" t="s">
        <v>1814</v>
      </c>
      <c r="M9" s="227" t="s">
        <v>1780</v>
      </c>
      <c r="N9" s="228" t="s">
        <v>2022</v>
      </c>
    </row>
    <row r="10" spans="1:14" x14ac:dyDescent="0.2">
      <c r="A10" s="236">
        <v>8</v>
      </c>
      <c r="B10" s="229" t="s">
        <v>2292</v>
      </c>
      <c r="C10" s="230">
        <v>3</v>
      </c>
      <c r="D10" s="230">
        <v>8.91</v>
      </c>
      <c r="E10" s="466">
        <v>8.99</v>
      </c>
      <c r="F10" s="230">
        <v>9</v>
      </c>
      <c r="G10" s="230">
        <v>0.69</v>
      </c>
      <c r="H10" s="230">
        <v>3</v>
      </c>
      <c r="I10" s="230">
        <v>15</v>
      </c>
      <c r="J10" s="230">
        <v>1</v>
      </c>
      <c r="K10" s="229" t="s">
        <v>3433</v>
      </c>
      <c r="L10" s="230" t="s">
        <v>4540</v>
      </c>
      <c r="M10" s="230" t="s">
        <v>1779</v>
      </c>
      <c r="N10" s="231" t="s">
        <v>2022</v>
      </c>
    </row>
    <row r="11" spans="1:14" x14ac:dyDescent="0.2">
      <c r="A11" s="236">
        <v>9</v>
      </c>
      <c r="B11" s="226" t="s">
        <v>441</v>
      </c>
      <c r="C11" s="227">
        <v>4</v>
      </c>
      <c r="D11" s="227">
        <v>8.91</v>
      </c>
      <c r="E11" s="256">
        <v>8.9700000000000006</v>
      </c>
      <c r="F11" s="227">
        <v>8.75</v>
      </c>
      <c r="G11" s="227">
        <v>0.81</v>
      </c>
      <c r="H11" s="227">
        <v>7</v>
      </c>
      <c r="I11" s="227">
        <v>37</v>
      </c>
      <c r="J11" s="227">
        <v>0</v>
      </c>
      <c r="K11" s="226" t="s">
        <v>5880</v>
      </c>
      <c r="L11" s="227" t="s">
        <v>2340</v>
      </c>
      <c r="M11" s="227" t="s">
        <v>1781</v>
      </c>
      <c r="N11" s="228" t="s">
        <v>2022</v>
      </c>
    </row>
    <row r="12" spans="1:14" x14ac:dyDescent="0.2">
      <c r="A12" s="236">
        <v>10</v>
      </c>
      <c r="B12" s="229" t="s">
        <v>307</v>
      </c>
      <c r="C12" s="230">
        <v>3</v>
      </c>
      <c r="D12" s="230">
        <v>8.86</v>
      </c>
      <c r="E12" s="261">
        <v>8.9</v>
      </c>
      <c r="F12" s="230">
        <v>8.67</v>
      </c>
      <c r="G12" s="230">
        <v>0.9</v>
      </c>
      <c r="H12" s="230">
        <v>5</v>
      </c>
      <c r="I12" s="230">
        <v>23</v>
      </c>
      <c r="J12" s="230">
        <v>0</v>
      </c>
      <c r="K12" s="229" t="s">
        <v>5881</v>
      </c>
      <c r="L12" s="230" t="s">
        <v>1815</v>
      </c>
      <c r="M12" s="230" t="s">
        <v>1789</v>
      </c>
      <c r="N12" s="231" t="s">
        <v>2022</v>
      </c>
    </row>
    <row r="13" spans="1:14" x14ac:dyDescent="0.2">
      <c r="A13" s="236">
        <v>11</v>
      </c>
      <c r="B13" s="226" t="s">
        <v>1075</v>
      </c>
      <c r="C13" s="227">
        <v>2</v>
      </c>
      <c r="D13" s="227">
        <v>8.7200000000000006</v>
      </c>
      <c r="E13" s="261">
        <v>8.9</v>
      </c>
      <c r="F13" s="227">
        <v>8.5</v>
      </c>
      <c r="G13" s="227">
        <v>0.94</v>
      </c>
      <c r="H13" s="227">
        <v>10</v>
      </c>
      <c r="I13" s="227">
        <v>54</v>
      </c>
      <c r="J13" s="227">
        <v>2</v>
      </c>
      <c r="K13" s="226" t="s">
        <v>1442</v>
      </c>
      <c r="L13" s="227" t="s">
        <v>1940</v>
      </c>
      <c r="M13" s="227" t="s">
        <v>1941</v>
      </c>
      <c r="N13" s="228" t="s">
        <v>2022</v>
      </c>
    </row>
    <row r="14" spans="1:14" x14ac:dyDescent="0.2">
      <c r="A14" s="236">
        <v>12</v>
      </c>
      <c r="B14" s="229" t="s">
        <v>297</v>
      </c>
      <c r="C14" s="230">
        <v>5</v>
      </c>
      <c r="D14" s="230">
        <v>8.9</v>
      </c>
      <c r="E14" s="263">
        <v>8.8800000000000008</v>
      </c>
      <c r="F14" s="230">
        <v>8.75</v>
      </c>
      <c r="G14" s="230">
        <v>0.69</v>
      </c>
      <c r="H14" s="230">
        <v>5</v>
      </c>
      <c r="I14" s="230">
        <v>32</v>
      </c>
      <c r="J14" s="230">
        <v>0</v>
      </c>
      <c r="K14" s="229" t="s">
        <v>5882</v>
      </c>
      <c r="L14" s="230" t="s">
        <v>1813</v>
      </c>
      <c r="M14" s="230" t="s">
        <v>1765</v>
      </c>
      <c r="N14" s="231" t="s">
        <v>2022</v>
      </c>
    </row>
    <row r="15" spans="1:14" x14ac:dyDescent="0.2">
      <c r="A15" s="236">
        <v>13</v>
      </c>
      <c r="B15" s="226" t="s">
        <v>3380</v>
      </c>
      <c r="C15" s="227">
        <v>2</v>
      </c>
      <c r="D15" s="227">
        <v>8.9600000000000009</v>
      </c>
      <c r="E15" s="263">
        <v>8.8800000000000008</v>
      </c>
      <c r="F15" s="227">
        <v>8.75</v>
      </c>
      <c r="G15" s="227">
        <v>0.53</v>
      </c>
      <c r="H15" s="227">
        <v>1</v>
      </c>
      <c r="I15" s="227">
        <v>10</v>
      </c>
      <c r="J15" s="227">
        <v>0</v>
      </c>
      <c r="K15" s="226" t="s">
        <v>3382</v>
      </c>
      <c r="L15" s="227" t="s">
        <v>4646</v>
      </c>
      <c r="M15" s="227" t="s">
        <v>1771</v>
      </c>
      <c r="N15" s="228" t="s">
        <v>2022</v>
      </c>
    </row>
    <row r="16" spans="1:14" x14ac:dyDescent="0.2">
      <c r="A16" s="236">
        <v>14</v>
      </c>
      <c r="B16" s="229" t="s">
        <v>293</v>
      </c>
      <c r="C16" s="230">
        <v>10</v>
      </c>
      <c r="D16" s="230">
        <v>8.6999999999999993</v>
      </c>
      <c r="E16" s="268">
        <v>8.82</v>
      </c>
      <c r="F16" s="230">
        <v>8.7799999999999994</v>
      </c>
      <c r="G16" s="230">
        <v>0.84</v>
      </c>
      <c r="H16" s="230">
        <v>24</v>
      </c>
      <c r="I16" s="230">
        <v>109</v>
      </c>
      <c r="J16" s="230">
        <v>6</v>
      </c>
      <c r="K16" s="229" t="s">
        <v>5883</v>
      </c>
      <c r="L16" s="230" t="s">
        <v>1818</v>
      </c>
      <c r="M16" s="230" t="s">
        <v>1789</v>
      </c>
      <c r="N16" s="231" t="s">
        <v>2022</v>
      </c>
    </row>
    <row r="17" spans="1:14" x14ac:dyDescent="0.2">
      <c r="A17" s="236">
        <v>15</v>
      </c>
      <c r="B17" s="226" t="s">
        <v>1491</v>
      </c>
      <c r="C17" s="227">
        <v>2</v>
      </c>
      <c r="D17" s="227">
        <v>8.91</v>
      </c>
      <c r="E17" s="268">
        <v>8.82</v>
      </c>
      <c r="F17" s="227">
        <v>8.75</v>
      </c>
      <c r="G17" s="227">
        <v>0.8</v>
      </c>
      <c r="H17" s="227">
        <v>4</v>
      </c>
      <c r="I17" s="227">
        <v>17</v>
      </c>
      <c r="J17" s="227">
        <v>0</v>
      </c>
      <c r="K17" s="226" t="s">
        <v>1493</v>
      </c>
      <c r="L17" s="227" t="s">
        <v>2191</v>
      </c>
      <c r="M17" s="227" t="s">
        <v>1789</v>
      </c>
      <c r="N17" s="228" t="s">
        <v>2022</v>
      </c>
    </row>
    <row r="18" spans="1:14" x14ac:dyDescent="0.2">
      <c r="A18" s="236">
        <v>16</v>
      </c>
      <c r="B18" s="229" t="s">
        <v>311</v>
      </c>
      <c r="C18" s="230">
        <v>3</v>
      </c>
      <c r="D18" s="230">
        <v>8.8000000000000007</v>
      </c>
      <c r="E18" s="269">
        <v>8.81</v>
      </c>
      <c r="F18" s="230">
        <v>8.67</v>
      </c>
      <c r="G18" s="230">
        <v>0.79</v>
      </c>
      <c r="H18" s="230">
        <v>6</v>
      </c>
      <c r="I18" s="230">
        <v>34</v>
      </c>
      <c r="J18" s="230">
        <v>1</v>
      </c>
      <c r="K18" s="229" t="s">
        <v>5884</v>
      </c>
      <c r="L18" s="230" t="s">
        <v>1816</v>
      </c>
      <c r="M18" s="230" t="s">
        <v>1793</v>
      </c>
      <c r="N18" s="231" t="s">
        <v>2022</v>
      </c>
    </row>
    <row r="19" spans="1:14" x14ac:dyDescent="0.2">
      <c r="A19" s="236">
        <v>17</v>
      </c>
      <c r="B19" s="226" t="s">
        <v>357</v>
      </c>
      <c r="C19" s="227">
        <v>2</v>
      </c>
      <c r="D19" s="227">
        <v>8.8000000000000007</v>
      </c>
      <c r="E19" s="269">
        <v>8.81</v>
      </c>
      <c r="F19" s="227">
        <v>8.75</v>
      </c>
      <c r="G19" s="227">
        <v>0.7</v>
      </c>
      <c r="H19" s="227">
        <v>3</v>
      </c>
      <c r="I19" s="227">
        <v>20</v>
      </c>
      <c r="J19" s="227">
        <v>0</v>
      </c>
      <c r="K19" s="226" t="s">
        <v>5885</v>
      </c>
      <c r="L19" s="227" t="s">
        <v>5859</v>
      </c>
      <c r="M19" s="227" t="s">
        <v>1795</v>
      </c>
      <c r="N19" s="228" t="s">
        <v>2022</v>
      </c>
    </row>
    <row r="20" spans="1:14" x14ac:dyDescent="0.2">
      <c r="A20" s="236">
        <v>18</v>
      </c>
      <c r="B20" s="229" t="s">
        <v>2555</v>
      </c>
      <c r="C20" s="230">
        <v>2</v>
      </c>
      <c r="D20" s="230">
        <v>8.9</v>
      </c>
      <c r="E20" s="269">
        <v>8.81</v>
      </c>
      <c r="F20" s="230">
        <v>8.75</v>
      </c>
      <c r="G20" s="230">
        <v>0.72</v>
      </c>
      <c r="H20" s="230">
        <v>3</v>
      </c>
      <c r="I20" s="230">
        <v>18</v>
      </c>
      <c r="J20" s="230">
        <v>0</v>
      </c>
      <c r="K20" s="229" t="s">
        <v>2559</v>
      </c>
      <c r="L20" s="230" t="s">
        <v>3090</v>
      </c>
      <c r="M20" s="230" t="s">
        <v>1779</v>
      </c>
      <c r="N20" s="231" t="s">
        <v>2022</v>
      </c>
    </row>
    <row r="21" spans="1:14" x14ac:dyDescent="0.2">
      <c r="A21" s="236">
        <v>19</v>
      </c>
      <c r="B21" s="226" t="s">
        <v>1227</v>
      </c>
      <c r="C21" s="227">
        <v>2</v>
      </c>
      <c r="D21" s="227">
        <v>8.86</v>
      </c>
      <c r="E21" s="270">
        <v>8.7899999999999991</v>
      </c>
      <c r="F21" s="227">
        <v>8.75</v>
      </c>
      <c r="G21" s="227">
        <v>0.68</v>
      </c>
      <c r="H21" s="227">
        <v>4</v>
      </c>
      <c r="I21" s="227">
        <v>24</v>
      </c>
      <c r="J21" s="227">
        <v>1</v>
      </c>
      <c r="K21" s="226" t="s">
        <v>1231</v>
      </c>
      <c r="L21" s="227" t="s">
        <v>5822</v>
      </c>
      <c r="M21" s="227" t="s">
        <v>1798</v>
      </c>
      <c r="N21" s="228" t="s">
        <v>2022</v>
      </c>
    </row>
    <row r="22" spans="1:14" x14ac:dyDescent="0.2">
      <c r="A22" s="236">
        <v>20</v>
      </c>
      <c r="B22" s="229" t="s">
        <v>1577</v>
      </c>
      <c r="C22" s="230">
        <v>2</v>
      </c>
      <c r="D22" s="230">
        <v>8.81</v>
      </c>
      <c r="E22" s="272">
        <v>8.77</v>
      </c>
      <c r="F22" s="230">
        <v>8.5</v>
      </c>
      <c r="G22" s="230">
        <v>0.81</v>
      </c>
      <c r="H22" s="230">
        <v>3</v>
      </c>
      <c r="I22" s="230">
        <v>16</v>
      </c>
      <c r="J22" s="230">
        <v>0</v>
      </c>
      <c r="K22" s="229" t="s">
        <v>1247</v>
      </c>
      <c r="L22" s="230" t="s">
        <v>1953</v>
      </c>
      <c r="M22" s="230" t="s">
        <v>1766</v>
      </c>
      <c r="N22" s="231" t="s">
        <v>2022</v>
      </c>
    </row>
    <row r="23" spans="1:14" x14ac:dyDescent="0.2">
      <c r="A23" s="236">
        <v>21</v>
      </c>
      <c r="B23" s="226" t="s">
        <v>545</v>
      </c>
      <c r="C23" s="227">
        <v>2</v>
      </c>
      <c r="D23" s="227">
        <v>8.8000000000000007</v>
      </c>
      <c r="E23" s="275">
        <v>8.74</v>
      </c>
      <c r="F23" s="227">
        <v>8.5</v>
      </c>
      <c r="G23" s="227">
        <v>0.84</v>
      </c>
      <c r="H23" s="227">
        <v>3</v>
      </c>
      <c r="I23" s="227">
        <v>17</v>
      </c>
      <c r="J23" s="227">
        <v>0</v>
      </c>
      <c r="K23" s="226" t="s">
        <v>777</v>
      </c>
      <c r="L23" s="227" t="s">
        <v>4831</v>
      </c>
      <c r="M23" s="227" t="s">
        <v>1802</v>
      </c>
      <c r="N23" s="228" t="s">
        <v>2022</v>
      </c>
    </row>
    <row r="24" spans="1:14" x14ac:dyDescent="0.2">
      <c r="A24" s="236">
        <v>22</v>
      </c>
      <c r="B24" s="229" t="s">
        <v>1330</v>
      </c>
      <c r="C24" s="230">
        <v>3</v>
      </c>
      <c r="D24" s="230">
        <v>8.77</v>
      </c>
      <c r="E24" s="276">
        <v>8.7200000000000006</v>
      </c>
      <c r="F24" s="230">
        <v>8.5</v>
      </c>
      <c r="G24" s="230">
        <v>0.7</v>
      </c>
      <c r="H24" s="230">
        <v>4</v>
      </c>
      <c r="I24" s="230">
        <v>25</v>
      </c>
      <c r="J24" s="230">
        <v>1</v>
      </c>
      <c r="K24" s="229" t="s">
        <v>5886</v>
      </c>
      <c r="L24" s="230" t="s">
        <v>5246</v>
      </c>
      <c r="M24" s="230" t="s">
        <v>1797</v>
      </c>
      <c r="N24" s="231" t="s">
        <v>2022</v>
      </c>
    </row>
    <row r="25" spans="1:14" x14ac:dyDescent="0.2">
      <c r="A25" s="236">
        <v>23</v>
      </c>
      <c r="B25" s="226" t="s">
        <v>2697</v>
      </c>
      <c r="C25" s="227">
        <v>5</v>
      </c>
      <c r="D25" s="227">
        <v>8.7200000000000006</v>
      </c>
      <c r="E25" s="276">
        <v>8.7200000000000006</v>
      </c>
      <c r="F25" s="227">
        <v>8.6</v>
      </c>
      <c r="G25" s="227">
        <v>0.78</v>
      </c>
      <c r="H25" s="227">
        <v>12</v>
      </c>
      <c r="I25" s="227">
        <v>91</v>
      </c>
      <c r="J25" s="227">
        <v>19</v>
      </c>
      <c r="K25" s="226" t="s">
        <v>5149</v>
      </c>
      <c r="L25" s="227" t="s">
        <v>2973</v>
      </c>
      <c r="M25" s="227" t="s">
        <v>1817</v>
      </c>
      <c r="N25" s="228" t="s">
        <v>2022</v>
      </c>
    </row>
    <row r="26" spans="1:14" x14ac:dyDescent="0.2">
      <c r="A26" s="236">
        <v>24</v>
      </c>
      <c r="B26" s="229" t="s">
        <v>4123</v>
      </c>
      <c r="C26" s="230">
        <v>2</v>
      </c>
      <c r="D26" s="230">
        <v>8.77</v>
      </c>
      <c r="E26" s="276">
        <v>8.7200000000000006</v>
      </c>
      <c r="F26" s="230">
        <v>8.75</v>
      </c>
      <c r="G26" s="230">
        <v>0.6</v>
      </c>
      <c r="H26" s="230">
        <v>2</v>
      </c>
      <c r="I26" s="230">
        <v>16</v>
      </c>
      <c r="J26" s="230">
        <v>1</v>
      </c>
      <c r="K26" s="229" t="s">
        <v>4131</v>
      </c>
      <c r="L26" s="230" t="s">
        <v>4298</v>
      </c>
      <c r="M26" s="230" t="s">
        <v>1778</v>
      </c>
      <c r="N26" s="231" t="s">
        <v>2022</v>
      </c>
    </row>
    <row r="27" spans="1:14" x14ac:dyDescent="0.2">
      <c r="A27" s="236">
        <v>25</v>
      </c>
      <c r="B27" s="226" t="s">
        <v>2164</v>
      </c>
      <c r="C27" s="227">
        <v>3</v>
      </c>
      <c r="D27" s="227">
        <v>8.66</v>
      </c>
      <c r="E27" s="336">
        <v>8.69</v>
      </c>
      <c r="F27" s="227">
        <v>8.42</v>
      </c>
      <c r="G27" s="227">
        <v>0.77</v>
      </c>
      <c r="H27" s="227">
        <v>5</v>
      </c>
      <c r="I27" s="227">
        <v>44</v>
      </c>
      <c r="J27" s="227">
        <v>2</v>
      </c>
      <c r="K27" s="226" t="s">
        <v>2724</v>
      </c>
      <c r="L27" s="227" t="s">
        <v>2770</v>
      </c>
      <c r="M27" s="227" t="s">
        <v>1779</v>
      </c>
      <c r="N27" s="228" t="s">
        <v>2022</v>
      </c>
    </row>
    <row r="28" spans="1:14" x14ac:dyDescent="0.2">
      <c r="A28" s="236">
        <v>26</v>
      </c>
      <c r="B28" s="229" t="s">
        <v>2477</v>
      </c>
      <c r="C28" s="230">
        <v>2</v>
      </c>
      <c r="D28" s="230">
        <v>8.77</v>
      </c>
      <c r="E28" s="336">
        <v>8.69</v>
      </c>
      <c r="F28" s="230">
        <v>8.6300000000000008</v>
      </c>
      <c r="G28" s="230">
        <v>0.62</v>
      </c>
      <c r="H28" s="230">
        <v>1</v>
      </c>
      <c r="I28" s="230">
        <v>15</v>
      </c>
      <c r="J28" s="230">
        <v>1</v>
      </c>
      <c r="K28" s="229" t="s">
        <v>5887</v>
      </c>
      <c r="L28" s="230" t="s">
        <v>1816</v>
      </c>
      <c r="M28" s="230" t="s">
        <v>1781</v>
      </c>
      <c r="N28" s="231" t="s">
        <v>2022</v>
      </c>
    </row>
    <row r="29" spans="1:14" x14ac:dyDescent="0.2">
      <c r="A29" s="236">
        <v>27</v>
      </c>
      <c r="B29" s="226" t="s">
        <v>1625</v>
      </c>
      <c r="C29" s="227">
        <v>2</v>
      </c>
      <c r="D29" s="227">
        <v>8.7100000000000009</v>
      </c>
      <c r="E29" s="279">
        <v>8.68</v>
      </c>
      <c r="F29" s="227">
        <v>8.5</v>
      </c>
      <c r="G29" s="227">
        <v>0.74</v>
      </c>
      <c r="H29" s="227">
        <v>3</v>
      </c>
      <c r="I29" s="227">
        <v>22</v>
      </c>
      <c r="J29" s="227">
        <v>0</v>
      </c>
      <c r="K29" s="226" t="s">
        <v>5888</v>
      </c>
      <c r="L29" s="227" t="s">
        <v>2596</v>
      </c>
      <c r="M29" s="227" t="s">
        <v>1788</v>
      </c>
      <c r="N29" s="228" t="s">
        <v>2022</v>
      </c>
    </row>
    <row r="30" spans="1:14" x14ac:dyDescent="0.2">
      <c r="A30" s="236">
        <v>28</v>
      </c>
      <c r="B30" s="229" t="s">
        <v>1368</v>
      </c>
      <c r="C30" s="230">
        <v>8</v>
      </c>
      <c r="D30" s="230">
        <v>8.6999999999999993</v>
      </c>
      <c r="E30" s="280">
        <v>8.67</v>
      </c>
      <c r="F30" s="230">
        <v>8.41</v>
      </c>
      <c r="G30" s="230">
        <v>0.84</v>
      </c>
      <c r="H30" s="230">
        <v>16</v>
      </c>
      <c r="I30" s="230">
        <v>112</v>
      </c>
      <c r="J30" s="230">
        <v>5</v>
      </c>
      <c r="K30" s="229" t="s">
        <v>5889</v>
      </c>
      <c r="L30" s="230" t="s">
        <v>4028</v>
      </c>
      <c r="M30" s="230" t="s">
        <v>1772</v>
      </c>
      <c r="N30" s="231" t="s">
        <v>2022</v>
      </c>
    </row>
    <row r="31" spans="1:14" x14ac:dyDescent="0.2">
      <c r="A31" s="236">
        <v>29</v>
      </c>
      <c r="B31" s="226" t="s">
        <v>1555</v>
      </c>
      <c r="C31" s="227">
        <v>2</v>
      </c>
      <c r="D31" s="227">
        <v>8.73</v>
      </c>
      <c r="E31" s="282">
        <v>8.65</v>
      </c>
      <c r="F31" s="227">
        <v>8.6300000000000008</v>
      </c>
      <c r="G31" s="227">
        <v>0.59</v>
      </c>
      <c r="H31" s="227">
        <v>3</v>
      </c>
      <c r="I31" s="227">
        <v>36</v>
      </c>
      <c r="J31" s="227">
        <v>3</v>
      </c>
      <c r="K31" s="226" t="s">
        <v>1556</v>
      </c>
      <c r="L31" s="227" t="s">
        <v>3476</v>
      </c>
      <c r="M31" s="227" t="s">
        <v>3477</v>
      </c>
      <c r="N31" s="228" t="s">
        <v>2022</v>
      </c>
    </row>
    <row r="32" spans="1:14" x14ac:dyDescent="0.2">
      <c r="A32" s="236">
        <v>30</v>
      </c>
      <c r="B32" s="229" t="s">
        <v>2841</v>
      </c>
      <c r="C32" s="230">
        <v>5</v>
      </c>
      <c r="D32" s="230">
        <v>8.6999999999999993</v>
      </c>
      <c r="E32" s="282">
        <v>8.65</v>
      </c>
      <c r="F32" s="230">
        <v>8.5</v>
      </c>
      <c r="G32" s="230">
        <v>0.82</v>
      </c>
      <c r="H32" s="230">
        <v>11</v>
      </c>
      <c r="I32" s="230">
        <v>55</v>
      </c>
      <c r="J32" s="230">
        <v>0</v>
      </c>
      <c r="K32" s="229" t="s">
        <v>3867</v>
      </c>
      <c r="L32" s="230" t="s">
        <v>3868</v>
      </c>
      <c r="M32" s="230" t="s">
        <v>1769</v>
      </c>
      <c r="N32" s="231" t="s">
        <v>2022</v>
      </c>
    </row>
    <row r="33" spans="1:14" x14ac:dyDescent="0.2">
      <c r="A33" s="236">
        <v>31</v>
      </c>
      <c r="B33" s="226" t="s">
        <v>2898</v>
      </c>
      <c r="C33" s="227">
        <v>3</v>
      </c>
      <c r="D33" s="227">
        <v>8.68</v>
      </c>
      <c r="E33" s="282">
        <v>8.65</v>
      </c>
      <c r="F33" s="227">
        <v>8.58</v>
      </c>
      <c r="G33" s="227">
        <v>0.71</v>
      </c>
      <c r="H33" s="227">
        <v>4</v>
      </c>
      <c r="I33" s="227">
        <v>30</v>
      </c>
      <c r="J33" s="227">
        <v>0</v>
      </c>
      <c r="K33" s="226" t="s">
        <v>2900</v>
      </c>
      <c r="L33" s="227" t="s">
        <v>4621</v>
      </c>
      <c r="M33" s="227" t="s">
        <v>1779</v>
      </c>
      <c r="N33" s="228" t="s">
        <v>2022</v>
      </c>
    </row>
    <row r="34" spans="1:14" x14ac:dyDescent="0.2">
      <c r="A34" s="236">
        <v>32</v>
      </c>
      <c r="B34" s="229" t="s">
        <v>1410</v>
      </c>
      <c r="C34" s="230">
        <v>3</v>
      </c>
      <c r="D34" s="230">
        <v>8.6300000000000008</v>
      </c>
      <c r="E34" s="285">
        <v>8.6199999999999992</v>
      </c>
      <c r="F34" s="230">
        <v>8.5</v>
      </c>
      <c r="G34" s="230">
        <v>0.99</v>
      </c>
      <c r="H34" s="230">
        <v>6</v>
      </c>
      <c r="I34" s="230">
        <v>34</v>
      </c>
      <c r="J34" s="230">
        <v>3</v>
      </c>
      <c r="K34" s="229" t="s">
        <v>3835</v>
      </c>
      <c r="L34" s="230" t="s">
        <v>1819</v>
      </c>
      <c r="M34" s="230" t="s">
        <v>1778</v>
      </c>
      <c r="N34" s="231" t="s">
        <v>2022</v>
      </c>
    </row>
    <row r="35" spans="1:14" x14ac:dyDescent="0.2">
      <c r="A35" s="236">
        <v>33</v>
      </c>
      <c r="B35" s="226" t="s">
        <v>759</v>
      </c>
      <c r="C35" s="227">
        <v>2</v>
      </c>
      <c r="D35" s="227">
        <v>8.61</v>
      </c>
      <c r="E35" s="286">
        <v>8.61</v>
      </c>
      <c r="F35" s="227">
        <v>8.25</v>
      </c>
      <c r="G35" s="227">
        <v>1.1000000000000001</v>
      </c>
      <c r="H35" s="227">
        <v>7</v>
      </c>
      <c r="I35" s="227">
        <v>29</v>
      </c>
      <c r="J35" s="227">
        <v>1</v>
      </c>
      <c r="K35" s="226" t="s">
        <v>780</v>
      </c>
      <c r="L35" s="227" t="s">
        <v>4455</v>
      </c>
      <c r="M35" s="227" t="s">
        <v>1788</v>
      </c>
      <c r="N35" s="228" t="s">
        <v>2022</v>
      </c>
    </row>
    <row r="36" spans="1:14" x14ac:dyDescent="0.2">
      <c r="A36" s="236">
        <v>34</v>
      </c>
      <c r="B36" s="229" t="s">
        <v>1054</v>
      </c>
      <c r="C36" s="230">
        <v>2</v>
      </c>
      <c r="D36" s="230">
        <v>8.66</v>
      </c>
      <c r="E36" s="288">
        <v>8.58</v>
      </c>
      <c r="F36" s="230">
        <v>8.5</v>
      </c>
      <c r="G36" s="230">
        <v>0.62</v>
      </c>
      <c r="H36" s="230">
        <v>2</v>
      </c>
      <c r="I36" s="230">
        <v>18</v>
      </c>
      <c r="J36" s="230">
        <v>0</v>
      </c>
      <c r="K36" s="229" t="s">
        <v>5890</v>
      </c>
      <c r="L36" s="230" t="s">
        <v>3523</v>
      </c>
      <c r="M36" s="230" t="s">
        <v>1769</v>
      </c>
      <c r="N36" s="231" t="s">
        <v>2022</v>
      </c>
    </row>
    <row r="37" spans="1:14" x14ac:dyDescent="0.2">
      <c r="A37" s="236">
        <v>35</v>
      </c>
      <c r="B37" s="226" t="s">
        <v>4567</v>
      </c>
      <c r="C37" s="227">
        <v>2</v>
      </c>
      <c r="D37" s="227">
        <v>8.61</v>
      </c>
      <c r="E37" s="289">
        <v>8.57</v>
      </c>
      <c r="F37" s="227">
        <v>8.75</v>
      </c>
      <c r="G37" s="227">
        <v>0.73</v>
      </c>
      <c r="H37" s="227">
        <v>3</v>
      </c>
      <c r="I37" s="227">
        <v>28</v>
      </c>
      <c r="J37" s="227">
        <v>6</v>
      </c>
      <c r="K37" s="226" t="s">
        <v>5891</v>
      </c>
      <c r="L37" s="227" t="s">
        <v>5495</v>
      </c>
      <c r="M37" s="227" t="s">
        <v>1793</v>
      </c>
      <c r="N37" s="228" t="s">
        <v>2022</v>
      </c>
    </row>
    <row r="38" spans="1:14" x14ac:dyDescent="0.2">
      <c r="A38" s="236">
        <v>36</v>
      </c>
      <c r="B38" s="229" t="s">
        <v>303</v>
      </c>
      <c r="C38" s="230">
        <v>5</v>
      </c>
      <c r="D38" s="230">
        <v>8.58</v>
      </c>
      <c r="E38" s="290">
        <v>8.56</v>
      </c>
      <c r="F38" s="230">
        <v>8.4</v>
      </c>
      <c r="G38" s="230">
        <v>0.9</v>
      </c>
      <c r="H38" s="230">
        <v>11</v>
      </c>
      <c r="I38" s="230">
        <v>66</v>
      </c>
      <c r="J38" s="230">
        <v>4</v>
      </c>
      <c r="K38" s="229" t="s">
        <v>5892</v>
      </c>
      <c r="L38" s="230" t="s">
        <v>1822</v>
      </c>
      <c r="M38" s="230" t="s">
        <v>1792</v>
      </c>
      <c r="N38" s="231" t="s">
        <v>2022</v>
      </c>
    </row>
    <row r="39" spans="1:14" x14ac:dyDescent="0.2">
      <c r="A39" s="236">
        <v>37</v>
      </c>
      <c r="B39" s="226" t="s">
        <v>699</v>
      </c>
      <c r="C39" s="227">
        <v>2</v>
      </c>
      <c r="D39" s="227">
        <v>8.58</v>
      </c>
      <c r="E39" s="290">
        <v>8.56</v>
      </c>
      <c r="F39" s="227">
        <v>8.3800000000000008</v>
      </c>
      <c r="G39" s="227">
        <v>0.73</v>
      </c>
      <c r="H39" s="227">
        <v>3</v>
      </c>
      <c r="I39" s="227">
        <v>23</v>
      </c>
      <c r="J39" s="227">
        <v>0</v>
      </c>
      <c r="K39" s="226" t="s">
        <v>5893</v>
      </c>
      <c r="L39" s="227" t="s">
        <v>4838</v>
      </c>
      <c r="M39" s="227" t="s">
        <v>1777</v>
      </c>
      <c r="N39" s="228" t="s">
        <v>2022</v>
      </c>
    </row>
    <row r="40" spans="1:14" x14ac:dyDescent="0.2">
      <c r="A40" s="236">
        <v>38</v>
      </c>
      <c r="B40" s="229" t="s">
        <v>2595</v>
      </c>
      <c r="C40" s="230">
        <v>2</v>
      </c>
      <c r="D40" s="230">
        <v>8.6300000000000008</v>
      </c>
      <c r="E40" s="292">
        <v>8.5399999999999991</v>
      </c>
      <c r="F40" s="230">
        <v>8.5</v>
      </c>
      <c r="G40" s="230">
        <v>0.7</v>
      </c>
      <c r="H40" s="230">
        <v>3</v>
      </c>
      <c r="I40" s="230">
        <v>27</v>
      </c>
      <c r="J40" s="230">
        <v>0</v>
      </c>
      <c r="K40" s="229" t="s">
        <v>3226</v>
      </c>
      <c r="L40" s="230" t="s">
        <v>3229</v>
      </c>
      <c r="M40" s="230" t="s">
        <v>1782</v>
      </c>
      <c r="N40" s="231" t="s">
        <v>2022</v>
      </c>
    </row>
    <row r="41" spans="1:14" x14ac:dyDescent="0.2">
      <c r="A41" s="236">
        <v>39</v>
      </c>
      <c r="B41" s="226" t="s">
        <v>313</v>
      </c>
      <c r="C41" s="227">
        <v>2</v>
      </c>
      <c r="D41" s="227">
        <v>8.5399999999999991</v>
      </c>
      <c r="E41" s="296">
        <v>8.49</v>
      </c>
      <c r="F41" s="227">
        <v>8.3800000000000008</v>
      </c>
      <c r="G41" s="227">
        <v>0.98</v>
      </c>
      <c r="H41" s="227">
        <v>4</v>
      </c>
      <c r="I41" s="227">
        <v>25</v>
      </c>
      <c r="J41" s="227">
        <v>0</v>
      </c>
      <c r="K41" s="226" t="s">
        <v>5894</v>
      </c>
      <c r="L41" s="227" t="s">
        <v>4541</v>
      </c>
      <c r="M41" s="227" t="s">
        <v>1817</v>
      </c>
      <c r="N41" s="228" t="s">
        <v>2022</v>
      </c>
    </row>
    <row r="42" spans="1:14" x14ac:dyDescent="0.2">
      <c r="A42" s="236">
        <v>40</v>
      </c>
      <c r="B42" s="229" t="s">
        <v>1174</v>
      </c>
      <c r="C42" s="230">
        <v>3</v>
      </c>
      <c r="D42" s="230">
        <v>8.43</v>
      </c>
      <c r="E42" s="370">
        <v>8.48</v>
      </c>
      <c r="F42" s="230">
        <v>8.42</v>
      </c>
      <c r="G42" s="230">
        <v>1</v>
      </c>
      <c r="H42" s="230">
        <v>4</v>
      </c>
      <c r="I42" s="230">
        <v>27</v>
      </c>
      <c r="J42" s="230">
        <v>0</v>
      </c>
      <c r="K42" s="229" t="s">
        <v>5895</v>
      </c>
      <c r="L42" s="230" t="s">
        <v>3905</v>
      </c>
      <c r="M42" s="230" t="s">
        <v>1777</v>
      </c>
      <c r="N42" s="231" t="s">
        <v>2022</v>
      </c>
    </row>
    <row r="43" spans="1:14" x14ac:dyDescent="0.2">
      <c r="A43" s="236">
        <v>41</v>
      </c>
      <c r="B43" s="226" t="s">
        <v>677</v>
      </c>
      <c r="C43" s="227">
        <v>4</v>
      </c>
      <c r="D43" s="227">
        <v>8.48</v>
      </c>
      <c r="E43" s="297">
        <v>8.4700000000000006</v>
      </c>
      <c r="F43" s="227">
        <v>8.1300000000000008</v>
      </c>
      <c r="G43" s="227">
        <v>0.91</v>
      </c>
      <c r="H43" s="227">
        <v>9</v>
      </c>
      <c r="I43" s="227">
        <v>63</v>
      </c>
      <c r="J43" s="227">
        <v>4</v>
      </c>
      <c r="K43" s="226" t="s">
        <v>5896</v>
      </c>
      <c r="L43" s="227" t="s">
        <v>2455</v>
      </c>
      <c r="M43" s="227" t="s">
        <v>1781</v>
      </c>
      <c r="N43" s="228" t="s">
        <v>2022</v>
      </c>
    </row>
    <row r="44" spans="1:14" x14ac:dyDescent="0.2">
      <c r="A44" s="236">
        <v>42</v>
      </c>
      <c r="B44" s="229" t="s">
        <v>300</v>
      </c>
      <c r="C44" s="230">
        <v>14</v>
      </c>
      <c r="D44" s="230">
        <v>8.5</v>
      </c>
      <c r="E44" s="298">
        <v>8.4600000000000009</v>
      </c>
      <c r="F44" s="230">
        <v>8.43</v>
      </c>
      <c r="G44" s="230">
        <v>0.71</v>
      </c>
      <c r="H44" s="230">
        <v>9</v>
      </c>
      <c r="I44" s="230">
        <v>111</v>
      </c>
      <c r="J44" s="230">
        <v>6</v>
      </c>
      <c r="K44" s="229" t="s">
        <v>5897</v>
      </c>
      <c r="L44" s="230" t="s">
        <v>3102</v>
      </c>
      <c r="M44" s="230" t="s">
        <v>1778</v>
      </c>
      <c r="N44" s="231" t="s">
        <v>2022</v>
      </c>
    </row>
    <row r="45" spans="1:14" x14ac:dyDescent="0.2">
      <c r="A45" s="236">
        <v>43</v>
      </c>
      <c r="B45" s="226" t="s">
        <v>1048</v>
      </c>
      <c r="C45" s="227">
        <v>2</v>
      </c>
      <c r="D45" s="227">
        <v>8.52</v>
      </c>
      <c r="E45" s="299">
        <v>8.4499999999999993</v>
      </c>
      <c r="F45" s="227">
        <v>8.25</v>
      </c>
      <c r="G45" s="227">
        <v>0.96</v>
      </c>
      <c r="H45" s="227">
        <v>6</v>
      </c>
      <c r="I45" s="227">
        <v>41</v>
      </c>
      <c r="J45" s="227">
        <v>2</v>
      </c>
      <c r="K45" s="226" t="s">
        <v>5898</v>
      </c>
      <c r="L45" s="227" t="s">
        <v>1820</v>
      </c>
      <c r="M45" s="227" t="s">
        <v>1821</v>
      </c>
      <c r="N45" s="228" t="s">
        <v>2022</v>
      </c>
    </row>
    <row r="46" spans="1:14" x14ac:dyDescent="0.2">
      <c r="A46" s="236">
        <v>44</v>
      </c>
      <c r="B46" s="229" t="s">
        <v>1727</v>
      </c>
      <c r="C46" s="230">
        <v>2</v>
      </c>
      <c r="D46" s="230">
        <v>8.49</v>
      </c>
      <c r="E46" s="300">
        <v>8.43</v>
      </c>
      <c r="F46" s="230">
        <v>8.5</v>
      </c>
      <c r="G46" s="230">
        <v>0.56999999999999995</v>
      </c>
      <c r="H46" s="230">
        <v>1</v>
      </c>
      <c r="I46" s="230">
        <v>18</v>
      </c>
      <c r="J46" s="230">
        <v>0</v>
      </c>
      <c r="K46" s="229" t="s">
        <v>4770</v>
      </c>
      <c r="L46" s="230" t="s">
        <v>4783</v>
      </c>
      <c r="M46" s="230" t="s">
        <v>1805</v>
      </c>
      <c r="N46" s="231" t="s">
        <v>2022</v>
      </c>
    </row>
    <row r="47" spans="1:14" x14ac:dyDescent="0.2">
      <c r="A47" s="236">
        <v>45</v>
      </c>
      <c r="B47" s="226" t="s">
        <v>795</v>
      </c>
      <c r="C47" s="227">
        <v>3</v>
      </c>
      <c r="D47" s="227">
        <v>8.44</v>
      </c>
      <c r="E47" s="426">
        <v>8.4</v>
      </c>
      <c r="F47" s="227">
        <v>8.33</v>
      </c>
      <c r="G47" s="227">
        <v>0.71</v>
      </c>
      <c r="H47" s="227">
        <v>4</v>
      </c>
      <c r="I47" s="227">
        <v>46</v>
      </c>
      <c r="J47" s="227">
        <v>0</v>
      </c>
      <c r="K47" s="226" t="s">
        <v>5899</v>
      </c>
      <c r="L47" s="227" t="s">
        <v>2123</v>
      </c>
      <c r="M47" s="227" t="s">
        <v>1817</v>
      </c>
      <c r="N47" s="228" t="s">
        <v>2022</v>
      </c>
    </row>
    <row r="48" spans="1:14" x14ac:dyDescent="0.2">
      <c r="A48" s="236">
        <v>46</v>
      </c>
      <c r="B48" s="229" t="s">
        <v>774</v>
      </c>
      <c r="C48" s="230">
        <v>4</v>
      </c>
      <c r="D48" s="230">
        <v>8.43</v>
      </c>
      <c r="E48" s="303">
        <v>8.3800000000000008</v>
      </c>
      <c r="F48" s="230">
        <v>8.3800000000000008</v>
      </c>
      <c r="G48" s="230">
        <v>0.75</v>
      </c>
      <c r="H48" s="230">
        <v>7</v>
      </c>
      <c r="I48" s="230">
        <v>66</v>
      </c>
      <c r="J48" s="230">
        <v>8</v>
      </c>
      <c r="K48" s="229" t="s">
        <v>5900</v>
      </c>
      <c r="L48" s="230" t="s">
        <v>2644</v>
      </c>
      <c r="M48" s="230" t="s">
        <v>1803</v>
      </c>
      <c r="N48" s="231" t="s">
        <v>2022</v>
      </c>
    </row>
    <row r="49" spans="1:14" x14ac:dyDescent="0.2">
      <c r="A49" s="236">
        <v>47</v>
      </c>
      <c r="B49" s="226" t="s">
        <v>304</v>
      </c>
      <c r="C49" s="227">
        <v>2</v>
      </c>
      <c r="D49" s="227">
        <v>8.39</v>
      </c>
      <c r="E49" s="304">
        <v>8.3699999999999992</v>
      </c>
      <c r="F49" s="227">
        <v>8.25</v>
      </c>
      <c r="G49" s="227">
        <v>0.72</v>
      </c>
      <c r="H49" s="227">
        <v>2</v>
      </c>
      <c r="I49" s="227">
        <v>20</v>
      </c>
      <c r="J49" s="227">
        <v>0</v>
      </c>
      <c r="K49" s="226" t="s">
        <v>734</v>
      </c>
      <c r="L49" s="227" t="s">
        <v>1823</v>
      </c>
      <c r="M49" s="227" t="s">
        <v>1765</v>
      </c>
      <c r="N49" s="228" t="s">
        <v>2022</v>
      </c>
    </row>
    <row r="50" spans="1:14" x14ac:dyDescent="0.2">
      <c r="A50" s="236">
        <v>48</v>
      </c>
      <c r="B50" s="229" t="s">
        <v>1300</v>
      </c>
      <c r="C50" s="230">
        <v>3</v>
      </c>
      <c r="D50" s="230">
        <v>8.3000000000000007</v>
      </c>
      <c r="E50" s="309">
        <v>8.24</v>
      </c>
      <c r="F50" s="230">
        <v>8.17</v>
      </c>
      <c r="G50" s="230">
        <v>0.77</v>
      </c>
      <c r="H50" s="230">
        <v>2</v>
      </c>
      <c r="I50" s="230">
        <v>33</v>
      </c>
      <c r="J50" s="230">
        <v>2</v>
      </c>
      <c r="K50" s="229" t="s">
        <v>5901</v>
      </c>
      <c r="L50" s="230" t="s">
        <v>3478</v>
      </c>
      <c r="M50" s="230" t="s">
        <v>1778</v>
      </c>
      <c r="N50" s="231" t="s">
        <v>2022</v>
      </c>
    </row>
    <row r="51" spans="1:14" x14ac:dyDescent="0.2">
      <c r="A51" s="236">
        <v>49</v>
      </c>
      <c r="B51" s="226" t="s">
        <v>2823</v>
      </c>
      <c r="C51" s="227">
        <v>2</v>
      </c>
      <c r="D51" s="227">
        <v>8.3800000000000008</v>
      </c>
      <c r="E51" s="309">
        <v>8.24</v>
      </c>
      <c r="F51" s="227">
        <v>8.1300000000000008</v>
      </c>
      <c r="G51" s="227">
        <v>0.91</v>
      </c>
      <c r="H51" s="227">
        <v>3</v>
      </c>
      <c r="I51" s="227">
        <v>24</v>
      </c>
      <c r="J51" s="227">
        <v>3</v>
      </c>
      <c r="K51" s="226" t="s">
        <v>2826</v>
      </c>
      <c r="L51" s="227" t="s">
        <v>2241</v>
      </c>
      <c r="M51" s="227" t="s">
        <v>1774</v>
      </c>
      <c r="N51" s="228" t="s">
        <v>2022</v>
      </c>
    </row>
    <row r="52" spans="1:14" x14ac:dyDescent="0.2">
      <c r="A52" s="236">
        <v>50</v>
      </c>
      <c r="B52" s="229" t="s">
        <v>315</v>
      </c>
      <c r="C52" s="230">
        <v>3</v>
      </c>
      <c r="D52" s="230">
        <v>8.16</v>
      </c>
      <c r="E52" s="316">
        <v>8.11</v>
      </c>
      <c r="F52" s="230">
        <v>8.17</v>
      </c>
      <c r="G52" s="230">
        <v>1</v>
      </c>
      <c r="H52" s="230">
        <v>4</v>
      </c>
      <c r="I52" s="230">
        <v>38</v>
      </c>
      <c r="J52" s="230">
        <v>3</v>
      </c>
      <c r="K52" s="229" t="s">
        <v>5902</v>
      </c>
      <c r="L52" s="230" t="s">
        <v>2340</v>
      </c>
      <c r="M52" s="230" t="s">
        <v>1795</v>
      </c>
      <c r="N52" s="231" t="s">
        <v>2022</v>
      </c>
    </row>
    <row r="53" spans="1:14" x14ac:dyDescent="0.2">
      <c r="A53" s="236">
        <v>51</v>
      </c>
      <c r="B53" s="226" t="s">
        <v>5676</v>
      </c>
      <c r="C53" s="227">
        <v>6</v>
      </c>
      <c r="D53" s="227">
        <v>8.1999999999999993</v>
      </c>
      <c r="E53" s="316">
        <v>8.11</v>
      </c>
      <c r="F53" s="227">
        <v>8.08</v>
      </c>
      <c r="G53" s="227">
        <v>0.55000000000000004</v>
      </c>
      <c r="H53" s="227">
        <v>2</v>
      </c>
      <c r="I53" s="227">
        <v>50</v>
      </c>
      <c r="J53" s="227">
        <v>0</v>
      </c>
      <c r="K53" s="226" t="s">
        <v>5781</v>
      </c>
      <c r="L53" s="227" t="s">
        <v>5726</v>
      </c>
      <c r="M53" s="227" t="s">
        <v>1780</v>
      </c>
      <c r="N53" s="228" t="s">
        <v>2022</v>
      </c>
    </row>
    <row r="54" spans="1:14" x14ac:dyDescent="0.2">
      <c r="A54" s="236">
        <v>52</v>
      </c>
      <c r="B54" s="229" t="s">
        <v>301</v>
      </c>
      <c r="C54" s="230">
        <v>7</v>
      </c>
      <c r="D54" s="230">
        <v>8.0399999999999991</v>
      </c>
      <c r="E54" s="405">
        <v>8.0399999999999991</v>
      </c>
      <c r="F54" s="230">
        <v>7.89</v>
      </c>
      <c r="G54" s="230">
        <v>0.95</v>
      </c>
      <c r="H54" s="230">
        <v>13</v>
      </c>
      <c r="I54" s="230">
        <v>72</v>
      </c>
      <c r="J54" s="230">
        <v>0</v>
      </c>
      <c r="K54" s="229" t="s">
        <v>5903</v>
      </c>
      <c r="L54" s="230" t="s">
        <v>2124</v>
      </c>
      <c r="M54" s="230" t="s">
        <v>1799</v>
      </c>
      <c r="N54" s="231" t="s">
        <v>2022</v>
      </c>
    </row>
    <row r="55" spans="1:14" x14ac:dyDescent="0.2">
      <c r="A55" s="236">
        <v>53</v>
      </c>
      <c r="B55" s="226" t="s">
        <v>607</v>
      </c>
      <c r="C55" s="227">
        <v>2</v>
      </c>
      <c r="D55" s="227">
        <v>8.0500000000000007</v>
      </c>
      <c r="E55" s="388">
        <v>7.99</v>
      </c>
      <c r="F55" s="227">
        <v>8.1300000000000008</v>
      </c>
      <c r="G55" s="227">
        <v>0.63</v>
      </c>
      <c r="H55" s="227">
        <v>1</v>
      </c>
      <c r="I55" s="227">
        <v>34</v>
      </c>
      <c r="J55" s="227">
        <v>0</v>
      </c>
      <c r="K55" s="226" t="s">
        <v>739</v>
      </c>
      <c r="L55" s="227" t="s">
        <v>3335</v>
      </c>
      <c r="M55" s="227" t="s">
        <v>1810</v>
      </c>
      <c r="N55" s="228" t="s">
        <v>2022</v>
      </c>
    </row>
    <row r="56" spans="1:14" x14ac:dyDescent="0.2">
      <c r="A56" s="236">
        <v>54</v>
      </c>
      <c r="B56" s="229" t="s">
        <v>2306</v>
      </c>
      <c r="C56" s="230">
        <v>2</v>
      </c>
      <c r="D56" s="230">
        <v>7.91</v>
      </c>
      <c r="E56" s="451">
        <v>7.87</v>
      </c>
      <c r="F56" s="230">
        <v>7.75</v>
      </c>
      <c r="G56" s="230">
        <v>0.79</v>
      </c>
      <c r="H56" s="230">
        <v>2</v>
      </c>
      <c r="I56" s="230">
        <v>25</v>
      </c>
      <c r="J56" s="230">
        <v>0</v>
      </c>
      <c r="K56" s="229" t="s">
        <v>5904</v>
      </c>
      <c r="L56" s="230" t="s">
        <v>4222</v>
      </c>
      <c r="M56" s="230" t="s">
        <v>1771</v>
      </c>
      <c r="N56" s="231" t="s">
        <v>2022</v>
      </c>
    </row>
    <row r="57" spans="1:14" x14ac:dyDescent="0.2">
      <c r="A57" s="236">
        <v>55</v>
      </c>
      <c r="B57" s="226" t="s">
        <v>305</v>
      </c>
      <c r="C57" s="227">
        <v>3</v>
      </c>
      <c r="D57" s="227">
        <v>7.71</v>
      </c>
      <c r="E57" s="328">
        <v>7.61</v>
      </c>
      <c r="F57" s="227">
        <v>7.67</v>
      </c>
      <c r="G57" s="227">
        <v>0.92</v>
      </c>
      <c r="H57" s="227">
        <v>3</v>
      </c>
      <c r="I57" s="227">
        <v>29</v>
      </c>
      <c r="J57" s="227">
        <v>0</v>
      </c>
      <c r="K57" s="226" t="s">
        <v>5905</v>
      </c>
      <c r="L57" s="227" t="s">
        <v>2455</v>
      </c>
      <c r="M57" s="227" t="s">
        <v>1771</v>
      </c>
      <c r="N57" s="228" t="s">
        <v>2022</v>
      </c>
    </row>
    <row r="59" spans="1:14" ht="18" x14ac:dyDescent="0.25">
      <c r="A59" s="567" t="s">
        <v>4047</v>
      </c>
      <c r="B59" s="567"/>
      <c r="C59" s="567"/>
      <c r="D59" s="567"/>
      <c r="E59" s="567"/>
    </row>
    <row r="60" spans="1:14" x14ac:dyDescent="0.2">
      <c r="A60" s="225" t="s">
        <v>318</v>
      </c>
      <c r="B60" s="225" t="s">
        <v>285</v>
      </c>
      <c r="C60" s="225" t="s">
        <v>286</v>
      </c>
      <c r="D60" s="225" t="s">
        <v>287</v>
      </c>
      <c r="E60" s="225" t="s">
        <v>957</v>
      </c>
    </row>
    <row r="61" spans="1:14" x14ac:dyDescent="0.2">
      <c r="A61" s="232">
        <v>1</v>
      </c>
      <c r="B61" s="226" t="s">
        <v>292</v>
      </c>
      <c r="C61" s="226" t="s">
        <v>7</v>
      </c>
      <c r="D61" s="227">
        <v>10.11</v>
      </c>
      <c r="E61" s="233">
        <v>10.99</v>
      </c>
    </row>
    <row r="62" spans="1:14" x14ac:dyDescent="0.2">
      <c r="A62" s="234">
        <v>2</v>
      </c>
      <c r="B62" s="229" t="s">
        <v>951</v>
      </c>
      <c r="C62" s="229" t="s">
        <v>949</v>
      </c>
      <c r="D62" s="230">
        <v>10.5</v>
      </c>
      <c r="E62" s="233">
        <v>10.85</v>
      </c>
    </row>
    <row r="63" spans="1:14" x14ac:dyDescent="0.2">
      <c r="A63" s="235">
        <v>3</v>
      </c>
      <c r="B63" s="226" t="s">
        <v>2292</v>
      </c>
      <c r="C63" s="226" t="s">
        <v>2277</v>
      </c>
      <c r="D63" s="227">
        <v>10</v>
      </c>
      <c r="E63" s="233">
        <v>10.44</v>
      </c>
    </row>
    <row r="64" spans="1:14" x14ac:dyDescent="0.2">
      <c r="A64" s="236">
        <v>4</v>
      </c>
      <c r="B64" s="229" t="s">
        <v>293</v>
      </c>
      <c r="C64" s="229" t="s">
        <v>294</v>
      </c>
      <c r="D64" s="230">
        <v>9.6999999999999993</v>
      </c>
      <c r="E64" s="233">
        <v>10.37</v>
      </c>
    </row>
    <row r="65" spans="1:5" x14ac:dyDescent="0.2">
      <c r="A65" s="236">
        <v>5</v>
      </c>
      <c r="B65" s="226" t="s">
        <v>2459</v>
      </c>
      <c r="C65" s="226" t="s">
        <v>634</v>
      </c>
      <c r="D65" s="227">
        <v>9.8800000000000008</v>
      </c>
      <c r="E65" s="233">
        <v>10.050000000000001</v>
      </c>
    </row>
    <row r="66" spans="1:5" x14ac:dyDescent="0.2">
      <c r="A66" s="236">
        <v>6</v>
      </c>
      <c r="B66" s="229" t="s">
        <v>298</v>
      </c>
      <c r="C66" s="229" t="s">
        <v>299</v>
      </c>
      <c r="D66" s="230">
        <v>9.61</v>
      </c>
      <c r="E66" s="233">
        <v>10</v>
      </c>
    </row>
    <row r="67" spans="1:5" x14ac:dyDescent="0.2">
      <c r="A67" s="236">
        <v>7</v>
      </c>
      <c r="B67" s="226" t="s">
        <v>4530</v>
      </c>
      <c r="C67" s="226" t="s">
        <v>4531</v>
      </c>
      <c r="D67" s="227">
        <v>9.5</v>
      </c>
      <c r="E67" s="501">
        <v>9.77</v>
      </c>
    </row>
    <row r="68" spans="1:5" x14ac:dyDescent="0.2">
      <c r="A68" s="236">
        <v>8</v>
      </c>
      <c r="B68" s="229" t="s">
        <v>296</v>
      </c>
      <c r="C68" s="229" t="s">
        <v>239</v>
      </c>
      <c r="D68" s="230">
        <v>9.3800000000000008</v>
      </c>
      <c r="E68" s="240">
        <v>9.5299999999999994</v>
      </c>
    </row>
    <row r="69" spans="1:5" x14ac:dyDescent="0.2">
      <c r="A69" s="236">
        <v>9</v>
      </c>
      <c r="B69" s="226" t="s">
        <v>297</v>
      </c>
      <c r="C69" s="226" t="s">
        <v>1079</v>
      </c>
      <c r="D69" s="227">
        <v>9.4</v>
      </c>
      <c r="E69" s="241">
        <v>9.4600000000000009</v>
      </c>
    </row>
    <row r="70" spans="1:5" x14ac:dyDescent="0.2">
      <c r="A70" s="236">
        <v>10</v>
      </c>
      <c r="B70" s="229" t="s">
        <v>300</v>
      </c>
      <c r="C70" s="229" t="s">
        <v>131</v>
      </c>
      <c r="D70" s="230">
        <v>9.2899999999999991</v>
      </c>
      <c r="E70" s="403">
        <v>9.44</v>
      </c>
    </row>
    <row r="71" spans="1:5" x14ac:dyDescent="0.2">
      <c r="A71" s="236">
        <v>11</v>
      </c>
      <c r="B71" s="226" t="s">
        <v>1871</v>
      </c>
      <c r="C71" s="226" t="s">
        <v>1864</v>
      </c>
      <c r="D71" s="227">
        <v>9.31</v>
      </c>
      <c r="E71" s="242">
        <v>9.43</v>
      </c>
    </row>
    <row r="72" spans="1:5" x14ac:dyDescent="0.2">
      <c r="A72" s="236">
        <v>12</v>
      </c>
      <c r="B72" s="229" t="s">
        <v>301</v>
      </c>
      <c r="C72" s="229" t="s">
        <v>56</v>
      </c>
      <c r="D72" s="230">
        <v>9.25</v>
      </c>
      <c r="E72" s="243">
        <v>9.3699999999999992</v>
      </c>
    </row>
    <row r="73" spans="1:5" x14ac:dyDescent="0.2">
      <c r="A73" s="236">
        <v>13</v>
      </c>
      <c r="B73" s="226" t="s">
        <v>302</v>
      </c>
      <c r="C73" s="226" t="s">
        <v>186</v>
      </c>
      <c r="D73" s="227">
        <v>9.2100000000000009</v>
      </c>
      <c r="E73" s="245">
        <v>9.34</v>
      </c>
    </row>
    <row r="74" spans="1:5" x14ac:dyDescent="0.2">
      <c r="A74" s="236">
        <v>14</v>
      </c>
      <c r="B74" s="229" t="s">
        <v>5451</v>
      </c>
      <c r="C74" s="229" t="s">
        <v>5452</v>
      </c>
      <c r="D74" s="230">
        <v>9.25</v>
      </c>
      <c r="E74" s="452">
        <v>9.33</v>
      </c>
    </row>
    <row r="75" spans="1:5" x14ac:dyDescent="0.2">
      <c r="A75" s="236">
        <v>15</v>
      </c>
      <c r="B75" s="226" t="s">
        <v>405</v>
      </c>
      <c r="C75" s="226" t="s">
        <v>36</v>
      </c>
      <c r="D75" s="227">
        <v>9.15</v>
      </c>
      <c r="E75" s="246">
        <v>9.23</v>
      </c>
    </row>
    <row r="76" spans="1:5" x14ac:dyDescent="0.2">
      <c r="A76" s="236">
        <v>16</v>
      </c>
      <c r="B76" s="229" t="s">
        <v>3030</v>
      </c>
      <c r="C76" s="229" t="s">
        <v>3031</v>
      </c>
      <c r="D76" s="230">
        <v>9.14</v>
      </c>
      <c r="E76" s="246">
        <v>9.23</v>
      </c>
    </row>
    <row r="77" spans="1:5" x14ac:dyDescent="0.2">
      <c r="A77" s="236">
        <v>17</v>
      </c>
      <c r="B77" s="226" t="s">
        <v>312</v>
      </c>
      <c r="C77" s="226" t="s">
        <v>1080</v>
      </c>
      <c r="D77" s="227">
        <v>8.8800000000000008</v>
      </c>
      <c r="E77" s="249">
        <v>9.14</v>
      </c>
    </row>
    <row r="78" spans="1:5" x14ac:dyDescent="0.2">
      <c r="A78" s="236">
        <v>18</v>
      </c>
      <c r="B78" s="229" t="s">
        <v>357</v>
      </c>
      <c r="C78" s="229" t="s">
        <v>351</v>
      </c>
      <c r="D78" s="230">
        <v>9.0500000000000007</v>
      </c>
      <c r="E78" s="249">
        <v>9.14</v>
      </c>
    </row>
    <row r="79" spans="1:5" x14ac:dyDescent="0.2">
      <c r="A79" s="236">
        <v>19</v>
      </c>
      <c r="B79" s="226" t="s">
        <v>866</v>
      </c>
      <c r="C79" s="226" t="s">
        <v>857</v>
      </c>
      <c r="D79" s="227">
        <v>9.06</v>
      </c>
      <c r="E79" s="250">
        <v>9.1</v>
      </c>
    </row>
    <row r="80" spans="1:5" x14ac:dyDescent="0.2">
      <c r="A80" s="236">
        <v>20</v>
      </c>
      <c r="B80" s="229" t="s">
        <v>303</v>
      </c>
      <c r="C80" s="229" t="s">
        <v>157</v>
      </c>
      <c r="D80" s="230">
        <v>9</v>
      </c>
      <c r="E80" s="250">
        <v>9.09</v>
      </c>
    </row>
    <row r="81" spans="1:5" x14ac:dyDescent="0.2">
      <c r="A81" s="236">
        <v>21</v>
      </c>
      <c r="B81" s="226" t="s">
        <v>304</v>
      </c>
      <c r="C81" s="226" t="s">
        <v>229</v>
      </c>
      <c r="D81" s="227">
        <v>9</v>
      </c>
      <c r="E81" s="250">
        <v>9.09</v>
      </c>
    </row>
    <row r="82" spans="1:5" x14ac:dyDescent="0.2">
      <c r="A82" s="236">
        <v>22</v>
      </c>
      <c r="B82" s="229" t="s">
        <v>5608</v>
      </c>
      <c r="C82" s="229" t="s">
        <v>5572</v>
      </c>
      <c r="D82" s="230">
        <v>9</v>
      </c>
      <c r="E82" s="250">
        <v>9.09</v>
      </c>
    </row>
    <row r="83" spans="1:5" x14ac:dyDescent="0.2">
      <c r="A83" s="236">
        <v>23</v>
      </c>
      <c r="B83" s="226" t="s">
        <v>1477</v>
      </c>
      <c r="C83" s="226" t="s">
        <v>1478</v>
      </c>
      <c r="D83" s="227">
        <v>9.1</v>
      </c>
      <c r="E83" s="434">
        <v>9.06</v>
      </c>
    </row>
    <row r="84" spans="1:5" x14ac:dyDescent="0.2">
      <c r="A84" s="236">
        <v>24</v>
      </c>
      <c r="B84" s="229" t="s">
        <v>307</v>
      </c>
      <c r="C84" s="229" t="s">
        <v>95</v>
      </c>
      <c r="D84" s="230">
        <v>8.94</v>
      </c>
      <c r="E84" s="253">
        <v>9.0299999999999994</v>
      </c>
    </row>
    <row r="85" spans="1:5" x14ac:dyDescent="0.2">
      <c r="A85" s="236">
        <v>25</v>
      </c>
      <c r="B85" s="226" t="s">
        <v>4671</v>
      </c>
      <c r="C85" s="226" t="s">
        <v>4672</v>
      </c>
      <c r="D85" s="227">
        <v>9.08</v>
      </c>
      <c r="E85" s="253">
        <v>9.0299999999999994</v>
      </c>
    </row>
    <row r="87" spans="1:5" ht="18" x14ac:dyDescent="0.25">
      <c r="A87" s="567" t="s">
        <v>2561</v>
      </c>
      <c r="B87" s="567"/>
      <c r="C87" s="567"/>
      <c r="D87" s="567"/>
      <c r="E87" s="567"/>
    </row>
    <row r="88" spans="1:5" x14ac:dyDescent="0.2">
      <c r="A88" s="225" t="s">
        <v>318</v>
      </c>
      <c r="B88" s="225" t="s">
        <v>285</v>
      </c>
      <c r="C88" s="225" t="s">
        <v>286</v>
      </c>
      <c r="D88" s="225" t="s">
        <v>287</v>
      </c>
      <c r="E88" s="225" t="s">
        <v>957</v>
      </c>
    </row>
    <row r="89" spans="1:5" x14ac:dyDescent="0.2">
      <c r="A89" s="232">
        <v>1</v>
      </c>
      <c r="B89" s="226" t="s">
        <v>292</v>
      </c>
      <c r="C89" s="226" t="s">
        <v>7</v>
      </c>
      <c r="D89" s="227">
        <v>10.11</v>
      </c>
      <c r="E89" s="233">
        <v>10.99</v>
      </c>
    </row>
    <row r="90" spans="1:5" x14ac:dyDescent="0.2">
      <c r="A90" s="234">
        <v>2</v>
      </c>
      <c r="B90" s="229" t="s">
        <v>951</v>
      </c>
      <c r="C90" s="229" t="s">
        <v>949</v>
      </c>
      <c r="D90" s="230">
        <v>10.5</v>
      </c>
      <c r="E90" s="233">
        <v>10.85</v>
      </c>
    </row>
    <row r="91" spans="1:5" x14ac:dyDescent="0.2">
      <c r="A91" s="235">
        <v>3</v>
      </c>
      <c r="B91" s="226" t="s">
        <v>2292</v>
      </c>
      <c r="C91" s="226" t="s">
        <v>2277</v>
      </c>
      <c r="D91" s="227">
        <v>10</v>
      </c>
      <c r="E91" s="233">
        <v>10.44</v>
      </c>
    </row>
    <row r="92" spans="1:5" x14ac:dyDescent="0.2">
      <c r="A92" s="236">
        <v>4</v>
      </c>
      <c r="B92" s="229" t="s">
        <v>298</v>
      </c>
      <c r="C92" s="229" t="s">
        <v>981</v>
      </c>
      <c r="D92" s="230">
        <v>10</v>
      </c>
      <c r="E92" s="233">
        <v>10.39</v>
      </c>
    </row>
    <row r="93" spans="1:5" x14ac:dyDescent="0.2">
      <c r="A93" s="236">
        <v>5</v>
      </c>
      <c r="B93" s="226" t="s">
        <v>293</v>
      </c>
      <c r="C93" s="226" t="s">
        <v>294</v>
      </c>
      <c r="D93" s="227">
        <v>9.6999999999999993</v>
      </c>
      <c r="E93" s="233">
        <v>10.37</v>
      </c>
    </row>
    <row r="94" spans="1:5" x14ac:dyDescent="0.2">
      <c r="A94" s="236">
        <v>6</v>
      </c>
      <c r="B94" s="229" t="s">
        <v>293</v>
      </c>
      <c r="C94" s="229" t="s">
        <v>295</v>
      </c>
      <c r="D94" s="230">
        <v>9.68</v>
      </c>
      <c r="E94" s="233">
        <v>10.07</v>
      </c>
    </row>
    <row r="95" spans="1:5" x14ac:dyDescent="0.2">
      <c r="A95" s="236">
        <v>7</v>
      </c>
      <c r="B95" s="226" t="s">
        <v>2459</v>
      </c>
      <c r="C95" s="226" t="s">
        <v>634</v>
      </c>
      <c r="D95" s="227">
        <v>9.8800000000000008</v>
      </c>
      <c r="E95" s="233">
        <v>10.050000000000001</v>
      </c>
    </row>
    <row r="96" spans="1:5" x14ac:dyDescent="0.2">
      <c r="A96" s="236">
        <v>8</v>
      </c>
      <c r="B96" s="229" t="s">
        <v>298</v>
      </c>
      <c r="C96" s="229" t="s">
        <v>299</v>
      </c>
      <c r="D96" s="230">
        <v>9.61</v>
      </c>
      <c r="E96" s="233">
        <v>10</v>
      </c>
    </row>
    <row r="97" spans="1:5" x14ac:dyDescent="0.2">
      <c r="A97" s="236">
        <v>9</v>
      </c>
      <c r="B97" s="226" t="s">
        <v>292</v>
      </c>
      <c r="C97" s="226" t="s">
        <v>517</v>
      </c>
      <c r="D97" s="227">
        <v>9.61</v>
      </c>
      <c r="E97" s="237">
        <v>9.99</v>
      </c>
    </row>
    <row r="98" spans="1:5" x14ac:dyDescent="0.2">
      <c r="A98" s="236">
        <v>10</v>
      </c>
      <c r="B98" s="229" t="s">
        <v>292</v>
      </c>
      <c r="C98" s="229" t="s">
        <v>156</v>
      </c>
      <c r="D98" s="230">
        <v>9.61</v>
      </c>
      <c r="E98" s="238">
        <v>9.9600000000000009</v>
      </c>
    </row>
    <row r="99" spans="1:5" x14ac:dyDescent="0.2">
      <c r="A99" s="236">
        <v>11</v>
      </c>
      <c r="B99" s="226" t="s">
        <v>4530</v>
      </c>
      <c r="C99" s="226" t="s">
        <v>4531</v>
      </c>
      <c r="D99" s="227">
        <v>9.5</v>
      </c>
      <c r="E99" s="501">
        <v>9.77</v>
      </c>
    </row>
    <row r="100" spans="1:5" x14ac:dyDescent="0.2">
      <c r="A100" s="236">
        <v>12</v>
      </c>
      <c r="B100" s="229" t="s">
        <v>298</v>
      </c>
      <c r="C100" s="229" t="s">
        <v>727</v>
      </c>
      <c r="D100" s="230">
        <v>9.4</v>
      </c>
      <c r="E100" s="239">
        <v>9.5500000000000007</v>
      </c>
    </row>
    <row r="101" spans="1:5" x14ac:dyDescent="0.2">
      <c r="A101" s="236">
        <v>13</v>
      </c>
      <c r="B101" s="226" t="s">
        <v>296</v>
      </c>
      <c r="C101" s="226" t="s">
        <v>239</v>
      </c>
      <c r="D101" s="227">
        <v>9.3800000000000008</v>
      </c>
      <c r="E101" s="240">
        <v>9.5299999999999994</v>
      </c>
    </row>
    <row r="102" spans="1:5" x14ac:dyDescent="0.2">
      <c r="A102" s="236">
        <v>14</v>
      </c>
      <c r="B102" s="229" t="s">
        <v>292</v>
      </c>
      <c r="C102" s="229" t="s">
        <v>2366</v>
      </c>
      <c r="D102" s="230">
        <v>9.25</v>
      </c>
      <c r="E102" s="240">
        <v>9.5299999999999994</v>
      </c>
    </row>
    <row r="103" spans="1:5" x14ac:dyDescent="0.2">
      <c r="A103" s="236">
        <v>15</v>
      </c>
      <c r="B103" s="226" t="s">
        <v>297</v>
      </c>
      <c r="C103" s="226" t="s">
        <v>1079</v>
      </c>
      <c r="D103" s="227">
        <v>9.4</v>
      </c>
      <c r="E103" s="241">
        <v>9.4600000000000009</v>
      </c>
    </row>
    <row r="104" spans="1:5" x14ac:dyDescent="0.2">
      <c r="A104" s="236">
        <v>16</v>
      </c>
      <c r="B104" s="229" t="s">
        <v>300</v>
      </c>
      <c r="C104" s="229" t="s">
        <v>131</v>
      </c>
      <c r="D104" s="230">
        <v>9.2899999999999991</v>
      </c>
      <c r="E104" s="403">
        <v>9.44</v>
      </c>
    </row>
    <row r="105" spans="1:5" x14ac:dyDescent="0.2">
      <c r="A105" s="236">
        <v>17</v>
      </c>
      <c r="B105" s="226" t="s">
        <v>1871</v>
      </c>
      <c r="C105" s="226" t="s">
        <v>1864</v>
      </c>
      <c r="D105" s="227">
        <v>9.31</v>
      </c>
      <c r="E105" s="242">
        <v>9.43</v>
      </c>
    </row>
    <row r="106" spans="1:5" x14ac:dyDescent="0.2">
      <c r="A106" s="236">
        <v>18</v>
      </c>
      <c r="B106" s="229" t="s">
        <v>292</v>
      </c>
      <c r="C106" s="229" t="s">
        <v>1138</v>
      </c>
      <c r="D106" s="230">
        <v>9.2899999999999991</v>
      </c>
      <c r="E106" s="371">
        <v>9.42</v>
      </c>
    </row>
    <row r="107" spans="1:5" x14ac:dyDescent="0.2">
      <c r="A107" s="236">
        <v>19</v>
      </c>
      <c r="B107" s="226" t="s">
        <v>301</v>
      </c>
      <c r="C107" s="226" t="s">
        <v>56</v>
      </c>
      <c r="D107" s="227">
        <v>9.25</v>
      </c>
      <c r="E107" s="243">
        <v>9.3699999999999992</v>
      </c>
    </row>
    <row r="108" spans="1:5" x14ac:dyDescent="0.2">
      <c r="A108" s="236">
        <v>20</v>
      </c>
      <c r="B108" s="229" t="s">
        <v>293</v>
      </c>
      <c r="C108" s="229" t="s">
        <v>251</v>
      </c>
      <c r="D108" s="230">
        <v>9.15</v>
      </c>
      <c r="E108" s="243">
        <v>9.3699999999999992</v>
      </c>
    </row>
    <row r="109" spans="1:5" x14ac:dyDescent="0.2">
      <c r="A109" s="236">
        <v>21</v>
      </c>
      <c r="B109" s="226" t="s">
        <v>297</v>
      </c>
      <c r="C109" s="226" t="s">
        <v>959</v>
      </c>
      <c r="D109" s="227">
        <v>9.3000000000000007</v>
      </c>
      <c r="E109" s="244">
        <v>9.36</v>
      </c>
    </row>
    <row r="110" spans="1:5" x14ac:dyDescent="0.2">
      <c r="A110" s="236">
        <v>22</v>
      </c>
      <c r="B110" s="229" t="s">
        <v>302</v>
      </c>
      <c r="C110" s="229" t="s">
        <v>186</v>
      </c>
      <c r="D110" s="230">
        <v>9.2100000000000009</v>
      </c>
      <c r="E110" s="245">
        <v>9.34</v>
      </c>
    </row>
    <row r="111" spans="1:5" x14ac:dyDescent="0.2">
      <c r="A111" s="236">
        <v>23</v>
      </c>
      <c r="B111" s="226" t="s">
        <v>4107</v>
      </c>
      <c r="C111" s="226" t="s">
        <v>4108</v>
      </c>
      <c r="D111" s="227">
        <v>9.09</v>
      </c>
      <c r="E111" s="452">
        <v>9.33</v>
      </c>
    </row>
    <row r="112" spans="1:5" x14ac:dyDescent="0.2">
      <c r="A112" s="236">
        <v>24</v>
      </c>
      <c r="B112" s="229" t="s">
        <v>5451</v>
      </c>
      <c r="C112" s="229" t="s">
        <v>5452</v>
      </c>
      <c r="D112" s="230">
        <v>9.25</v>
      </c>
      <c r="E112" s="452">
        <v>9.33</v>
      </c>
    </row>
    <row r="113" spans="1:5" x14ac:dyDescent="0.2">
      <c r="A113" s="236">
        <v>25</v>
      </c>
      <c r="B113" s="226" t="s">
        <v>300</v>
      </c>
      <c r="C113" s="226" t="s">
        <v>922</v>
      </c>
      <c r="D113" s="227">
        <v>9.1300000000000008</v>
      </c>
      <c r="E113" s="460">
        <v>9.24</v>
      </c>
    </row>
    <row r="118" spans="1:5" ht="18" x14ac:dyDescent="0.25">
      <c r="A118" s="567" t="s">
        <v>5759</v>
      </c>
      <c r="B118" s="567"/>
      <c r="C118" s="567"/>
      <c r="D118" s="567"/>
      <c r="E118" s="567"/>
    </row>
    <row r="119" spans="1:5" x14ac:dyDescent="0.2">
      <c r="A119" s="225" t="s">
        <v>318</v>
      </c>
      <c r="B119" s="225" t="s">
        <v>285</v>
      </c>
      <c r="C119" s="225" t="s">
        <v>286</v>
      </c>
      <c r="D119" s="225" t="s">
        <v>287</v>
      </c>
      <c r="E119" s="225" t="s">
        <v>957</v>
      </c>
    </row>
    <row r="120" spans="1:5" x14ac:dyDescent="0.2">
      <c r="A120" s="232">
        <v>1</v>
      </c>
      <c r="B120" s="226" t="s">
        <v>2292</v>
      </c>
      <c r="C120" s="226" t="s">
        <v>2277</v>
      </c>
      <c r="D120" s="227">
        <v>10</v>
      </c>
      <c r="E120" s="233">
        <v>10.44</v>
      </c>
    </row>
    <row r="121" spans="1:5" x14ac:dyDescent="0.2">
      <c r="A121" s="234">
        <v>2</v>
      </c>
      <c r="B121" s="229" t="s">
        <v>298</v>
      </c>
      <c r="C121" s="229" t="s">
        <v>4544</v>
      </c>
      <c r="D121" s="230">
        <v>9.67</v>
      </c>
      <c r="E121" s="372">
        <v>9.98</v>
      </c>
    </row>
    <row r="122" spans="1:5" x14ac:dyDescent="0.2">
      <c r="A122" s="235">
        <v>3</v>
      </c>
      <c r="B122" s="226" t="s">
        <v>4530</v>
      </c>
      <c r="C122" s="226" t="s">
        <v>4531</v>
      </c>
      <c r="D122" s="227">
        <v>9.5</v>
      </c>
      <c r="E122" s="501">
        <v>9.77</v>
      </c>
    </row>
    <row r="123" spans="1:5" x14ac:dyDescent="0.2">
      <c r="A123" s="236">
        <v>4</v>
      </c>
      <c r="B123" s="229" t="s">
        <v>297</v>
      </c>
      <c r="C123" s="229" t="s">
        <v>2562</v>
      </c>
      <c r="D123" s="230">
        <v>9.35</v>
      </c>
      <c r="E123" s="338">
        <v>9.41</v>
      </c>
    </row>
    <row r="124" spans="1:5" x14ac:dyDescent="0.2">
      <c r="A124" s="236">
        <v>5</v>
      </c>
      <c r="B124" s="226" t="s">
        <v>405</v>
      </c>
      <c r="C124" s="226" t="s">
        <v>36</v>
      </c>
      <c r="D124" s="227">
        <v>9.15</v>
      </c>
      <c r="E124" s="246">
        <v>9.23</v>
      </c>
    </row>
    <row r="126" spans="1:5" ht="18" x14ac:dyDescent="0.25">
      <c r="A126" s="567" t="s">
        <v>5684</v>
      </c>
      <c r="B126" s="567"/>
      <c r="C126" s="567"/>
      <c r="D126" s="567"/>
      <c r="E126" s="567"/>
    </row>
    <row r="127" spans="1:5" x14ac:dyDescent="0.2">
      <c r="A127" s="225" t="s">
        <v>318</v>
      </c>
      <c r="B127" s="225" t="s">
        <v>285</v>
      </c>
      <c r="C127" s="225" t="s">
        <v>286</v>
      </c>
      <c r="D127" s="225" t="s">
        <v>287</v>
      </c>
      <c r="E127" s="225" t="s">
        <v>957</v>
      </c>
    </row>
    <row r="128" spans="1:5" x14ac:dyDescent="0.2">
      <c r="A128" s="232">
        <v>1</v>
      </c>
      <c r="B128" s="226" t="s">
        <v>292</v>
      </c>
      <c r="C128" s="226" t="s">
        <v>3151</v>
      </c>
      <c r="D128" s="227">
        <v>9.57</v>
      </c>
      <c r="E128" s="372">
        <v>9.98</v>
      </c>
    </row>
    <row r="129" spans="1:5" x14ac:dyDescent="0.2">
      <c r="A129" s="234">
        <v>2</v>
      </c>
      <c r="B129" s="229" t="s">
        <v>300</v>
      </c>
      <c r="C129" s="229" t="s">
        <v>3153</v>
      </c>
      <c r="D129" s="230">
        <v>9.07</v>
      </c>
      <c r="E129" s="461">
        <v>9.1300000000000008</v>
      </c>
    </row>
    <row r="130" spans="1:5" x14ac:dyDescent="0.2">
      <c r="A130" s="235">
        <v>3</v>
      </c>
      <c r="B130" s="226" t="s">
        <v>441</v>
      </c>
      <c r="C130" s="226" t="s">
        <v>5453</v>
      </c>
      <c r="D130" s="227">
        <v>9.06</v>
      </c>
      <c r="E130" s="249">
        <v>9.14</v>
      </c>
    </row>
    <row r="131" spans="1:5" x14ac:dyDescent="0.2">
      <c r="A131" s="236">
        <v>4</v>
      </c>
      <c r="B131" s="229" t="s">
        <v>3030</v>
      </c>
      <c r="C131" s="229" t="s">
        <v>3031</v>
      </c>
      <c r="D131" s="230">
        <v>9.14</v>
      </c>
      <c r="E131" s="246">
        <v>9.23</v>
      </c>
    </row>
    <row r="132" spans="1:5" x14ac:dyDescent="0.2">
      <c r="A132" s="236">
        <v>5</v>
      </c>
      <c r="B132" s="226" t="s">
        <v>1174</v>
      </c>
      <c r="C132" s="226" t="s">
        <v>1175</v>
      </c>
      <c r="D132" s="227">
        <v>8.7200000000000006</v>
      </c>
      <c r="E132" s="267">
        <v>8.84</v>
      </c>
    </row>
    <row r="134" spans="1:5" ht="18" x14ac:dyDescent="0.25">
      <c r="A134" s="567" t="s">
        <v>5328</v>
      </c>
      <c r="B134" s="567"/>
      <c r="C134" s="567"/>
      <c r="D134" s="567"/>
      <c r="E134" s="567"/>
    </row>
    <row r="135" spans="1:5" x14ac:dyDescent="0.2">
      <c r="A135" s="225" t="s">
        <v>318</v>
      </c>
      <c r="B135" s="225" t="s">
        <v>285</v>
      </c>
      <c r="C135" s="225" t="s">
        <v>286</v>
      </c>
      <c r="D135" s="225" t="s">
        <v>287</v>
      </c>
      <c r="E135" s="225" t="s">
        <v>957</v>
      </c>
    </row>
    <row r="136" spans="1:5" x14ac:dyDescent="0.2">
      <c r="A136" s="232">
        <v>1</v>
      </c>
      <c r="B136" s="226" t="s">
        <v>298</v>
      </c>
      <c r="C136" s="226" t="s">
        <v>2775</v>
      </c>
      <c r="D136" s="227">
        <v>9.4</v>
      </c>
      <c r="E136" s="339">
        <v>9.68</v>
      </c>
    </row>
    <row r="137" spans="1:5" x14ac:dyDescent="0.2">
      <c r="A137" s="234">
        <v>2</v>
      </c>
      <c r="B137" s="229" t="s">
        <v>293</v>
      </c>
      <c r="C137" s="229" t="s">
        <v>2563</v>
      </c>
      <c r="D137" s="230">
        <v>9.51</v>
      </c>
      <c r="E137" s="340">
        <v>9.94</v>
      </c>
    </row>
    <row r="138" spans="1:5" x14ac:dyDescent="0.2">
      <c r="A138" s="235">
        <v>3</v>
      </c>
      <c r="B138" s="226" t="s">
        <v>297</v>
      </c>
      <c r="C138" s="226" t="s">
        <v>2562</v>
      </c>
      <c r="D138" s="227">
        <v>9.35</v>
      </c>
      <c r="E138" s="338">
        <v>9.41</v>
      </c>
    </row>
    <row r="139" spans="1:5" x14ac:dyDescent="0.2">
      <c r="A139" s="236">
        <v>4</v>
      </c>
      <c r="B139" s="229" t="s">
        <v>405</v>
      </c>
      <c r="C139" s="229" t="s">
        <v>36</v>
      </c>
      <c r="D139" s="230">
        <v>9.15</v>
      </c>
      <c r="E139" s="246">
        <v>9.23</v>
      </c>
    </row>
    <row r="140" spans="1:5" x14ac:dyDescent="0.2">
      <c r="A140" s="236">
        <v>5</v>
      </c>
      <c r="B140" s="226" t="s">
        <v>4530</v>
      </c>
      <c r="C140" s="226" t="s">
        <v>5300</v>
      </c>
      <c r="D140" s="227">
        <v>8.92</v>
      </c>
      <c r="E140" s="256">
        <v>8.9700000000000006</v>
      </c>
    </row>
    <row r="142" spans="1:5" ht="18" x14ac:dyDescent="0.25">
      <c r="A142" s="567" t="s">
        <v>5823</v>
      </c>
      <c r="B142" s="567"/>
      <c r="C142" s="567"/>
      <c r="D142" s="567"/>
      <c r="E142" s="567"/>
    </row>
    <row r="143" spans="1:5" x14ac:dyDescent="0.2">
      <c r="A143" s="225" t="s">
        <v>318</v>
      </c>
      <c r="B143" s="225" t="s">
        <v>285</v>
      </c>
      <c r="C143" s="225" t="s">
        <v>286</v>
      </c>
      <c r="D143" s="225" t="s">
        <v>287</v>
      </c>
      <c r="E143" s="225" t="s">
        <v>957</v>
      </c>
    </row>
    <row r="144" spans="1:5" x14ac:dyDescent="0.2">
      <c r="A144" s="232">
        <v>1</v>
      </c>
      <c r="B144" s="226" t="s">
        <v>293</v>
      </c>
      <c r="C144" s="226" t="s">
        <v>4070</v>
      </c>
      <c r="D144" s="227">
        <v>9.4700000000000006</v>
      </c>
      <c r="E144" s="439">
        <v>9.86</v>
      </c>
    </row>
    <row r="145" spans="1:5" x14ac:dyDescent="0.2">
      <c r="A145" s="234">
        <v>2</v>
      </c>
      <c r="B145" s="229" t="s">
        <v>3580</v>
      </c>
      <c r="C145" s="229" t="s">
        <v>3581</v>
      </c>
      <c r="D145" s="230">
        <v>9</v>
      </c>
      <c r="E145" s="258">
        <v>8.9499999999999993</v>
      </c>
    </row>
    <row r="146" spans="1:5" x14ac:dyDescent="0.2">
      <c r="A146" s="235">
        <v>3</v>
      </c>
      <c r="B146" s="226" t="s">
        <v>4066</v>
      </c>
      <c r="C146" s="226" t="s">
        <v>4067</v>
      </c>
      <c r="D146" s="227">
        <v>9</v>
      </c>
      <c r="E146" s="260">
        <v>8.92</v>
      </c>
    </row>
    <row r="147" spans="1:5" x14ac:dyDescent="0.2">
      <c r="A147" s="236">
        <v>4</v>
      </c>
      <c r="B147" s="229" t="s">
        <v>1227</v>
      </c>
      <c r="C147" s="229" t="s">
        <v>5819</v>
      </c>
      <c r="D147" s="230">
        <v>8.9499999999999993</v>
      </c>
      <c r="E147" s="260">
        <v>8.92</v>
      </c>
    </row>
    <row r="148" spans="1:5" x14ac:dyDescent="0.2">
      <c r="A148" s="236">
        <v>5</v>
      </c>
      <c r="B148" s="226" t="s">
        <v>677</v>
      </c>
      <c r="C148" s="226" t="s">
        <v>1318</v>
      </c>
      <c r="D148" s="227">
        <v>8.8800000000000008</v>
      </c>
      <c r="E148" s="262">
        <v>8.89</v>
      </c>
    </row>
    <row r="150" spans="1:5" ht="18" x14ac:dyDescent="0.25">
      <c r="A150" s="567" t="s">
        <v>5496</v>
      </c>
      <c r="B150" s="567"/>
      <c r="C150" s="567"/>
      <c r="D150" s="567"/>
      <c r="E150" s="567"/>
    </row>
    <row r="151" spans="1:5" x14ac:dyDescent="0.2">
      <c r="A151" s="225" t="s">
        <v>318</v>
      </c>
      <c r="B151" s="225" t="s">
        <v>285</v>
      </c>
      <c r="C151" s="225" t="s">
        <v>286</v>
      </c>
      <c r="D151" s="225" t="s">
        <v>287</v>
      </c>
      <c r="E151" s="225" t="s">
        <v>957</v>
      </c>
    </row>
    <row r="152" spans="1:5" x14ac:dyDescent="0.2">
      <c r="A152" s="232">
        <v>1</v>
      </c>
      <c r="B152" s="226" t="s">
        <v>292</v>
      </c>
      <c r="C152" s="226" t="s">
        <v>3479</v>
      </c>
      <c r="D152" s="227">
        <v>9.65</v>
      </c>
      <c r="E152" s="233">
        <v>10.119999999999999</v>
      </c>
    </row>
    <row r="153" spans="1:5" x14ac:dyDescent="0.2">
      <c r="A153" s="234">
        <v>2</v>
      </c>
      <c r="B153" s="229" t="s">
        <v>2615</v>
      </c>
      <c r="C153" s="229" t="s">
        <v>2611</v>
      </c>
      <c r="D153" s="230">
        <v>8.83</v>
      </c>
      <c r="E153" s="255">
        <v>9</v>
      </c>
    </row>
    <row r="154" spans="1:5" x14ac:dyDescent="0.2">
      <c r="A154" s="235">
        <v>3</v>
      </c>
      <c r="B154" s="226" t="s">
        <v>2841</v>
      </c>
      <c r="C154" s="226" t="s">
        <v>4673</v>
      </c>
      <c r="D154" s="227">
        <v>8.8000000000000007</v>
      </c>
      <c r="E154" s="270">
        <v>8.7899999999999991</v>
      </c>
    </row>
    <row r="155" spans="1:5" x14ac:dyDescent="0.2">
      <c r="A155" s="236">
        <v>4</v>
      </c>
      <c r="B155" s="229" t="s">
        <v>4567</v>
      </c>
      <c r="C155" s="229" t="s">
        <v>4568</v>
      </c>
      <c r="D155" s="230">
        <v>8.86</v>
      </c>
      <c r="E155" s="267">
        <v>8.83</v>
      </c>
    </row>
    <row r="156" spans="1:5" x14ac:dyDescent="0.2">
      <c r="A156" s="236">
        <v>5</v>
      </c>
      <c r="B156" s="226" t="s">
        <v>3987</v>
      </c>
      <c r="C156" s="226" t="s">
        <v>3986</v>
      </c>
      <c r="D156" s="227">
        <v>8.67</v>
      </c>
      <c r="E156" s="290">
        <v>8.56</v>
      </c>
    </row>
    <row r="158" spans="1:5" ht="18" x14ac:dyDescent="0.25">
      <c r="A158" s="567" t="s">
        <v>5954</v>
      </c>
      <c r="B158" s="567"/>
      <c r="C158" s="567"/>
      <c r="D158" s="567"/>
      <c r="E158" s="567"/>
    </row>
    <row r="159" spans="1:5" x14ac:dyDescent="0.2">
      <c r="A159" s="225" t="s">
        <v>318</v>
      </c>
      <c r="B159" s="225" t="s">
        <v>285</v>
      </c>
      <c r="C159" s="225" t="s">
        <v>286</v>
      </c>
      <c r="D159" s="225" t="s">
        <v>287</v>
      </c>
      <c r="E159" s="225" t="s">
        <v>957</v>
      </c>
    </row>
    <row r="160" spans="1:5" x14ac:dyDescent="0.2">
      <c r="A160" s="232">
        <v>1</v>
      </c>
      <c r="B160" s="226" t="s">
        <v>1491</v>
      </c>
      <c r="C160" s="226" t="s">
        <v>2564</v>
      </c>
      <c r="D160" s="227">
        <v>8.91</v>
      </c>
      <c r="E160" s="268">
        <v>8.82</v>
      </c>
    </row>
    <row r="161" spans="1:5" x14ac:dyDescent="0.2">
      <c r="A161" s="234">
        <v>2</v>
      </c>
      <c r="B161" s="229" t="s">
        <v>311</v>
      </c>
      <c r="C161" s="229" t="s">
        <v>1502</v>
      </c>
      <c r="D161" s="230">
        <v>8.94</v>
      </c>
      <c r="E161" s="258">
        <v>8.9499999999999993</v>
      </c>
    </row>
    <row r="162" spans="1:5" x14ac:dyDescent="0.2">
      <c r="A162" s="235">
        <v>3</v>
      </c>
      <c r="B162" s="226" t="s">
        <v>4654</v>
      </c>
      <c r="C162" s="226" t="s">
        <v>5925</v>
      </c>
      <c r="D162" s="227">
        <v>8.94</v>
      </c>
      <c r="E162" s="258">
        <v>8.9499999999999993</v>
      </c>
    </row>
    <row r="163" spans="1:5" x14ac:dyDescent="0.2">
      <c r="A163" s="236">
        <v>4</v>
      </c>
      <c r="B163" s="229" t="s">
        <v>2164</v>
      </c>
      <c r="C163" s="229" t="s">
        <v>5955</v>
      </c>
      <c r="D163" s="230">
        <v>8.8000000000000007</v>
      </c>
      <c r="E163" s="267">
        <v>8.84</v>
      </c>
    </row>
    <row r="164" spans="1:5" x14ac:dyDescent="0.2">
      <c r="A164" s="236">
        <v>5</v>
      </c>
      <c r="B164" s="226" t="s">
        <v>310</v>
      </c>
      <c r="C164" s="226" t="s">
        <v>159</v>
      </c>
      <c r="D164" s="227">
        <v>8.7100000000000009</v>
      </c>
      <c r="E164" s="282">
        <v>8.65</v>
      </c>
    </row>
    <row r="166" spans="1:5" ht="18" x14ac:dyDescent="0.25">
      <c r="A166" s="567" t="s">
        <v>4588</v>
      </c>
      <c r="B166" s="567"/>
      <c r="C166" s="567"/>
      <c r="D166" s="567"/>
      <c r="E166" s="567"/>
    </row>
    <row r="167" spans="1:5" x14ac:dyDescent="0.2">
      <c r="A167" s="225" t="s">
        <v>318</v>
      </c>
      <c r="B167" s="225" t="s">
        <v>285</v>
      </c>
      <c r="C167" s="225" t="s">
        <v>286</v>
      </c>
      <c r="D167" s="225" t="s">
        <v>287</v>
      </c>
      <c r="E167" s="225" t="s">
        <v>957</v>
      </c>
    </row>
    <row r="168" spans="1:5" x14ac:dyDescent="0.2">
      <c r="A168" s="232">
        <v>1</v>
      </c>
      <c r="B168" s="226" t="s">
        <v>1226</v>
      </c>
      <c r="C168" s="226" t="s">
        <v>1217</v>
      </c>
      <c r="D168" s="227">
        <v>9</v>
      </c>
      <c r="E168" s="257">
        <v>8.9600000000000009</v>
      </c>
    </row>
    <row r="169" spans="1:5" x14ac:dyDescent="0.2">
      <c r="A169" s="234">
        <v>2</v>
      </c>
      <c r="B169" s="229" t="s">
        <v>699</v>
      </c>
      <c r="C169" s="229" t="s">
        <v>700</v>
      </c>
      <c r="D169" s="230">
        <v>8.91</v>
      </c>
      <c r="E169" s="259">
        <v>8.93</v>
      </c>
    </row>
    <row r="170" spans="1:5" x14ac:dyDescent="0.2">
      <c r="A170" s="235">
        <v>3</v>
      </c>
      <c r="B170" s="226" t="s">
        <v>1378</v>
      </c>
      <c r="C170" s="226" t="s">
        <v>1379</v>
      </c>
      <c r="D170" s="227">
        <v>8.93</v>
      </c>
      <c r="E170" s="263">
        <v>8.8800000000000008</v>
      </c>
    </row>
    <row r="171" spans="1:5" x14ac:dyDescent="0.2">
      <c r="A171" s="236">
        <v>4</v>
      </c>
      <c r="B171" s="229" t="s">
        <v>305</v>
      </c>
      <c r="C171" s="229" t="s">
        <v>306</v>
      </c>
      <c r="D171" s="230">
        <v>8.89</v>
      </c>
      <c r="E171" s="264">
        <v>8.8699999999999992</v>
      </c>
    </row>
    <row r="172" spans="1:5" x14ac:dyDescent="0.2">
      <c r="A172" s="236">
        <v>5</v>
      </c>
      <c r="B172" s="226" t="s">
        <v>4009</v>
      </c>
      <c r="C172" s="226" t="s">
        <v>4010</v>
      </c>
      <c r="D172" s="227">
        <v>8.77</v>
      </c>
      <c r="E172" s="270">
        <v>8.7899999999999991</v>
      </c>
    </row>
    <row r="174" spans="1:5" ht="18" x14ac:dyDescent="0.25">
      <c r="A174" s="567" t="s">
        <v>4647</v>
      </c>
      <c r="B174" s="567"/>
      <c r="C174" s="567"/>
      <c r="D174" s="567"/>
      <c r="E174" s="567"/>
    </row>
    <row r="175" spans="1:5" x14ac:dyDescent="0.2">
      <c r="A175" s="225" t="s">
        <v>318</v>
      </c>
      <c r="B175" s="225" t="s">
        <v>285</v>
      </c>
      <c r="C175" s="225" t="s">
        <v>286</v>
      </c>
      <c r="D175" s="225" t="s">
        <v>287</v>
      </c>
      <c r="E175" s="225" t="s">
        <v>957</v>
      </c>
    </row>
    <row r="176" spans="1:5" x14ac:dyDescent="0.2">
      <c r="A176" s="232">
        <v>1</v>
      </c>
      <c r="B176" s="226" t="s">
        <v>2459</v>
      </c>
      <c r="C176" s="226" t="s">
        <v>3432</v>
      </c>
      <c r="D176" s="227">
        <v>9.24</v>
      </c>
      <c r="E176" s="467">
        <v>9.2799999999999994</v>
      </c>
    </row>
    <row r="177" spans="1:5" x14ac:dyDescent="0.2">
      <c r="A177" s="234">
        <v>2</v>
      </c>
      <c r="B177" s="229" t="s">
        <v>3380</v>
      </c>
      <c r="C177" s="229" t="s">
        <v>4648</v>
      </c>
      <c r="D177" s="230">
        <v>8.9600000000000009</v>
      </c>
      <c r="E177" s="263">
        <v>8.8800000000000008</v>
      </c>
    </row>
    <row r="178" spans="1:5" x14ac:dyDescent="0.2">
      <c r="A178" s="235">
        <v>3</v>
      </c>
      <c r="B178" s="226" t="s">
        <v>1655</v>
      </c>
      <c r="C178" s="226" t="s">
        <v>1656</v>
      </c>
      <c r="D178" s="227">
        <v>8.92</v>
      </c>
      <c r="E178" s="267">
        <v>8.83</v>
      </c>
    </row>
    <row r="179" spans="1:5" x14ac:dyDescent="0.2">
      <c r="A179" s="236">
        <v>4</v>
      </c>
      <c r="B179" s="229" t="s">
        <v>2477</v>
      </c>
      <c r="C179" s="229" t="s">
        <v>2476</v>
      </c>
      <c r="D179" s="230">
        <v>8.8800000000000008</v>
      </c>
      <c r="E179" s="269">
        <v>8.81</v>
      </c>
    </row>
    <row r="180" spans="1:5" x14ac:dyDescent="0.2">
      <c r="A180" s="236">
        <v>5</v>
      </c>
      <c r="B180" s="226" t="s">
        <v>1555</v>
      </c>
      <c r="C180" s="226" t="s">
        <v>1554</v>
      </c>
      <c r="D180" s="227">
        <v>8.85</v>
      </c>
      <c r="E180" s="271">
        <v>8.7799999999999994</v>
      </c>
    </row>
    <row r="182" spans="1:5" ht="18" x14ac:dyDescent="0.25">
      <c r="A182" s="567" t="s">
        <v>4043</v>
      </c>
      <c r="B182" s="567"/>
      <c r="C182" s="567"/>
      <c r="D182" s="567"/>
      <c r="E182" s="567"/>
    </row>
    <row r="183" spans="1:5" x14ac:dyDescent="0.2">
      <c r="A183" s="225" t="s">
        <v>318</v>
      </c>
      <c r="B183" s="225" t="s">
        <v>285</v>
      </c>
      <c r="C183" s="225" t="s">
        <v>286</v>
      </c>
      <c r="D183" s="225" t="s">
        <v>287</v>
      </c>
      <c r="E183" s="225" t="s">
        <v>957</v>
      </c>
    </row>
    <row r="184" spans="1:5" x14ac:dyDescent="0.2">
      <c r="A184" s="232">
        <v>1</v>
      </c>
      <c r="B184" s="226" t="s">
        <v>300</v>
      </c>
      <c r="C184" s="226" t="s">
        <v>3115</v>
      </c>
      <c r="D184" s="227">
        <v>9.02</v>
      </c>
      <c r="E184" s="462">
        <v>9.0500000000000007</v>
      </c>
    </row>
    <row r="185" spans="1:5" x14ac:dyDescent="0.2">
      <c r="A185" s="234">
        <v>2</v>
      </c>
      <c r="B185" s="229" t="s">
        <v>1410</v>
      </c>
      <c r="C185" s="229" t="s">
        <v>3230</v>
      </c>
      <c r="D185" s="230">
        <v>8.73</v>
      </c>
      <c r="E185" s="273">
        <v>8.76</v>
      </c>
    </row>
    <row r="186" spans="1:5" x14ac:dyDescent="0.2">
      <c r="A186" s="235">
        <v>3</v>
      </c>
      <c r="B186" s="226" t="s">
        <v>3111</v>
      </c>
      <c r="C186" s="226" t="s">
        <v>3112</v>
      </c>
      <c r="D186" s="227">
        <v>8.57</v>
      </c>
      <c r="E186" s="337">
        <v>8.59</v>
      </c>
    </row>
    <row r="187" spans="1:5" x14ac:dyDescent="0.2">
      <c r="A187" s="236">
        <v>4</v>
      </c>
      <c r="B187" s="229" t="s">
        <v>728</v>
      </c>
      <c r="C187" s="229" t="s">
        <v>729</v>
      </c>
      <c r="D187" s="230">
        <v>8.67</v>
      </c>
      <c r="E187" s="289">
        <v>8.57</v>
      </c>
    </row>
    <row r="188" spans="1:5" x14ac:dyDescent="0.2">
      <c r="A188" s="236">
        <v>5</v>
      </c>
      <c r="B188" s="226" t="s">
        <v>1054</v>
      </c>
      <c r="C188" s="226" t="s">
        <v>2291</v>
      </c>
      <c r="D188" s="227">
        <v>8.61</v>
      </c>
      <c r="E188" s="293">
        <v>8.5299999999999994</v>
      </c>
    </row>
    <row r="190" spans="1:5" ht="18" x14ac:dyDescent="0.25">
      <c r="A190" s="567" t="s">
        <v>5553</v>
      </c>
      <c r="B190" s="567"/>
      <c r="C190" s="567"/>
      <c r="D190" s="567"/>
      <c r="E190" s="567"/>
    </row>
    <row r="191" spans="1:5" x14ac:dyDescent="0.2">
      <c r="A191" s="225" t="s">
        <v>318</v>
      </c>
      <c r="B191" s="225" t="s">
        <v>285</v>
      </c>
      <c r="C191" s="225" t="s">
        <v>286</v>
      </c>
      <c r="D191" s="225" t="s">
        <v>287</v>
      </c>
      <c r="E191" s="225" t="s">
        <v>957</v>
      </c>
    </row>
    <row r="192" spans="1:5" x14ac:dyDescent="0.2">
      <c r="A192" s="232">
        <v>1</v>
      </c>
      <c r="B192" s="226" t="s">
        <v>2697</v>
      </c>
      <c r="C192" s="226" t="s">
        <v>5554</v>
      </c>
      <c r="D192" s="227">
        <v>8.73</v>
      </c>
      <c r="E192" s="276">
        <v>8.7200000000000006</v>
      </c>
    </row>
    <row r="193" spans="1:5" x14ac:dyDescent="0.2">
      <c r="A193" s="234">
        <v>2</v>
      </c>
      <c r="B193" s="229" t="s">
        <v>312</v>
      </c>
      <c r="C193" s="229" t="s">
        <v>1714</v>
      </c>
      <c r="D193" s="230">
        <v>9</v>
      </c>
      <c r="E193" s="257">
        <v>8.9600000000000009</v>
      </c>
    </row>
    <row r="194" spans="1:5" x14ac:dyDescent="0.2">
      <c r="A194" s="235">
        <v>3</v>
      </c>
      <c r="B194" s="226" t="s">
        <v>1368</v>
      </c>
      <c r="C194" s="226" t="s">
        <v>4071</v>
      </c>
      <c r="D194" s="227">
        <v>8.7100000000000009</v>
      </c>
      <c r="E194" s="280">
        <v>8.67</v>
      </c>
    </row>
    <row r="195" spans="1:5" x14ac:dyDescent="0.2">
      <c r="A195" s="236">
        <v>4</v>
      </c>
      <c r="B195" s="229" t="s">
        <v>4449</v>
      </c>
      <c r="C195" s="229" t="s">
        <v>4450</v>
      </c>
      <c r="D195" s="230">
        <v>7.88</v>
      </c>
      <c r="E195" s="350">
        <v>7.84</v>
      </c>
    </row>
    <row r="198" spans="1:5" ht="18" x14ac:dyDescent="0.25">
      <c r="A198" s="567" t="s">
        <v>5693</v>
      </c>
      <c r="B198" s="567"/>
      <c r="C198" s="567"/>
      <c r="D198" s="567"/>
      <c r="E198" s="567"/>
    </row>
    <row r="199" spans="1:5" x14ac:dyDescent="0.2">
      <c r="A199" s="225" t="s">
        <v>318</v>
      </c>
      <c r="B199" s="225" t="s">
        <v>285</v>
      </c>
      <c r="C199" s="225" t="s">
        <v>286</v>
      </c>
      <c r="D199" s="225" t="s">
        <v>287</v>
      </c>
      <c r="E199" s="225" t="s">
        <v>957</v>
      </c>
    </row>
    <row r="200" spans="1:5" x14ac:dyDescent="0.2">
      <c r="A200" s="232">
        <v>1</v>
      </c>
      <c r="B200" s="226" t="s">
        <v>1440</v>
      </c>
      <c r="C200" s="226" t="s">
        <v>1441</v>
      </c>
      <c r="D200" s="227">
        <v>8.67</v>
      </c>
      <c r="E200" s="255">
        <v>9</v>
      </c>
    </row>
    <row r="201" spans="1:5" x14ac:dyDescent="0.2">
      <c r="A201" s="234">
        <v>2</v>
      </c>
      <c r="B201" s="229" t="s">
        <v>2555</v>
      </c>
      <c r="C201" s="229" t="s">
        <v>168</v>
      </c>
      <c r="D201" s="230">
        <v>9</v>
      </c>
      <c r="E201" s="392">
        <v>8.94</v>
      </c>
    </row>
    <row r="202" spans="1:5" x14ac:dyDescent="0.2">
      <c r="A202" s="235">
        <v>3</v>
      </c>
      <c r="B202" s="226" t="s">
        <v>1075</v>
      </c>
      <c r="C202" s="226" t="s">
        <v>3353</v>
      </c>
      <c r="D202" s="227">
        <v>8.7200000000000006</v>
      </c>
      <c r="E202" s="261">
        <v>8.9</v>
      </c>
    </row>
    <row r="203" spans="1:5" x14ac:dyDescent="0.2">
      <c r="A203" s="236">
        <v>4</v>
      </c>
      <c r="B203" s="229" t="s">
        <v>5244</v>
      </c>
      <c r="C203" s="229" t="s">
        <v>5245</v>
      </c>
      <c r="D203" s="230">
        <v>8.65</v>
      </c>
      <c r="E203" s="336">
        <v>8.69</v>
      </c>
    </row>
    <row r="204" spans="1:5" x14ac:dyDescent="0.2">
      <c r="A204" s="236">
        <v>5</v>
      </c>
      <c r="B204" s="226" t="s">
        <v>1368</v>
      </c>
      <c r="C204" s="226" t="s">
        <v>3334</v>
      </c>
      <c r="D204" s="227">
        <v>8.6</v>
      </c>
      <c r="E204" s="281">
        <v>8.66</v>
      </c>
    </row>
    <row r="206" spans="1:5" ht="18" x14ac:dyDescent="0.25">
      <c r="A206" s="567" t="s">
        <v>5860</v>
      </c>
      <c r="B206" s="567"/>
      <c r="C206" s="567"/>
      <c r="D206" s="567"/>
      <c r="E206" s="567"/>
    </row>
    <row r="207" spans="1:5" x14ac:dyDescent="0.2">
      <c r="A207" s="225" t="s">
        <v>318</v>
      </c>
      <c r="B207" s="225" t="s">
        <v>285</v>
      </c>
      <c r="C207" s="225" t="s">
        <v>286</v>
      </c>
      <c r="D207" s="225" t="s">
        <v>287</v>
      </c>
      <c r="E207" s="225" t="s">
        <v>957</v>
      </c>
    </row>
    <row r="208" spans="1:5" x14ac:dyDescent="0.2">
      <c r="A208" s="232">
        <v>1</v>
      </c>
      <c r="B208" s="226" t="s">
        <v>951</v>
      </c>
      <c r="C208" s="226" t="s">
        <v>4423</v>
      </c>
      <c r="D208" s="227">
        <v>9.75</v>
      </c>
      <c r="E208" s="472">
        <v>9.8800000000000008</v>
      </c>
    </row>
    <row r="209" spans="1:5" x14ac:dyDescent="0.2">
      <c r="A209" s="234">
        <v>2</v>
      </c>
      <c r="B209" s="229" t="s">
        <v>312</v>
      </c>
      <c r="C209" s="229" t="s">
        <v>1080</v>
      </c>
      <c r="D209" s="230">
        <v>8.8800000000000008</v>
      </c>
      <c r="E209" s="249">
        <v>9.14</v>
      </c>
    </row>
    <row r="210" spans="1:5" x14ac:dyDescent="0.2">
      <c r="A210" s="235">
        <v>3</v>
      </c>
      <c r="B210" s="226" t="s">
        <v>357</v>
      </c>
      <c r="C210" s="226" t="s">
        <v>351</v>
      </c>
      <c r="D210" s="227">
        <v>9.0500000000000007</v>
      </c>
      <c r="E210" s="249">
        <v>9.14</v>
      </c>
    </row>
    <row r="211" spans="1:5" x14ac:dyDescent="0.2">
      <c r="A211" s="236">
        <v>4</v>
      </c>
      <c r="B211" s="229" t="s">
        <v>1378</v>
      </c>
      <c r="C211" s="229" t="s">
        <v>1379</v>
      </c>
      <c r="D211" s="230">
        <v>8.93</v>
      </c>
      <c r="E211" s="263">
        <v>8.8800000000000008</v>
      </c>
    </row>
    <row r="212" spans="1:5" x14ac:dyDescent="0.2">
      <c r="A212" s="236">
        <v>5</v>
      </c>
      <c r="B212" s="226" t="s">
        <v>2796</v>
      </c>
      <c r="C212" s="226" t="s">
        <v>4590</v>
      </c>
      <c r="D212" s="227">
        <v>8.8000000000000007</v>
      </c>
      <c r="E212" s="278">
        <v>8.6999999999999993</v>
      </c>
    </row>
    <row r="214" spans="1:5" ht="18" x14ac:dyDescent="0.25">
      <c r="A214" s="567" t="s">
        <v>5427</v>
      </c>
      <c r="B214" s="567"/>
      <c r="C214" s="567"/>
      <c r="D214" s="567"/>
      <c r="E214" s="567"/>
    </row>
    <row r="215" spans="1:5" x14ac:dyDescent="0.2">
      <c r="A215" s="225" t="s">
        <v>318</v>
      </c>
      <c r="B215" s="225" t="s">
        <v>285</v>
      </c>
      <c r="C215" s="225" t="s">
        <v>286</v>
      </c>
      <c r="D215" s="225" t="s">
        <v>287</v>
      </c>
      <c r="E215" s="225" t="s">
        <v>957</v>
      </c>
    </row>
    <row r="216" spans="1:5" x14ac:dyDescent="0.2">
      <c r="A216" s="232">
        <v>1</v>
      </c>
      <c r="B216" s="226" t="s">
        <v>293</v>
      </c>
      <c r="C216" s="226" t="s">
        <v>251</v>
      </c>
      <c r="D216" s="227">
        <v>9.15</v>
      </c>
      <c r="E216" s="243">
        <v>9.3699999999999992</v>
      </c>
    </row>
    <row r="217" spans="1:5" x14ac:dyDescent="0.2">
      <c r="A217" s="234">
        <v>2</v>
      </c>
      <c r="B217" s="229" t="s">
        <v>4107</v>
      </c>
      <c r="C217" s="229" t="s">
        <v>4108</v>
      </c>
      <c r="D217" s="230">
        <v>9.09</v>
      </c>
      <c r="E217" s="452">
        <v>9.33</v>
      </c>
    </row>
    <row r="218" spans="1:5" x14ac:dyDescent="0.2">
      <c r="A218" s="235">
        <v>3</v>
      </c>
      <c r="B218" s="226" t="s">
        <v>303</v>
      </c>
      <c r="C218" s="226" t="s">
        <v>5428</v>
      </c>
      <c r="D218" s="227">
        <v>8.89</v>
      </c>
      <c r="E218" s="392">
        <v>8.94</v>
      </c>
    </row>
    <row r="219" spans="1:5" x14ac:dyDescent="0.2">
      <c r="A219" s="236">
        <v>4</v>
      </c>
      <c r="B219" s="229" t="s">
        <v>1368</v>
      </c>
      <c r="C219" s="229" t="s">
        <v>3334</v>
      </c>
      <c r="D219" s="230">
        <v>8.6</v>
      </c>
      <c r="E219" s="281">
        <v>8.66</v>
      </c>
    </row>
    <row r="220" spans="1:5" x14ac:dyDescent="0.2">
      <c r="A220" s="236">
        <v>5</v>
      </c>
      <c r="B220" s="226" t="s">
        <v>1625</v>
      </c>
      <c r="C220" s="226" t="s">
        <v>2580</v>
      </c>
      <c r="D220" s="227">
        <v>8.5</v>
      </c>
      <c r="E220" s="297">
        <v>8.4700000000000006</v>
      </c>
    </row>
    <row r="222" spans="1:5" ht="18" x14ac:dyDescent="0.25">
      <c r="A222" s="567" t="s">
        <v>4622</v>
      </c>
      <c r="B222" s="567"/>
      <c r="C222" s="567"/>
      <c r="D222" s="567"/>
      <c r="E222" s="567"/>
    </row>
    <row r="223" spans="1:5" x14ac:dyDescent="0.2">
      <c r="A223" s="225" t="s">
        <v>318</v>
      </c>
      <c r="B223" s="225" t="s">
        <v>285</v>
      </c>
      <c r="C223" s="225" t="s">
        <v>286</v>
      </c>
      <c r="D223" s="225" t="s">
        <v>287</v>
      </c>
      <c r="E223" s="225" t="s">
        <v>957</v>
      </c>
    </row>
    <row r="224" spans="1:5" x14ac:dyDescent="0.2">
      <c r="A224" s="232">
        <v>1</v>
      </c>
      <c r="B224" s="226" t="s">
        <v>302</v>
      </c>
      <c r="C224" s="226" t="s">
        <v>186</v>
      </c>
      <c r="D224" s="227">
        <v>9.2100000000000009</v>
      </c>
      <c r="E224" s="245">
        <v>9.34</v>
      </c>
    </row>
    <row r="225" spans="1:5" x14ac:dyDescent="0.2">
      <c r="A225" s="234">
        <v>2</v>
      </c>
      <c r="B225" s="229" t="s">
        <v>357</v>
      </c>
      <c r="C225" s="229" t="s">
        <v>351</v>
      </c>
      <c r="D225" s="230">
        <v>9.0500000000000007</v>
      </c>
      <c r="E225" s="249">
        <v>9.14</v>
      </c>
    </row>
    <row r="226" spans="1:5" x14ac:dyDescent="0.2">
      <c r="A226" s="235">
        <v>3</v>
      </c>
      <c r="B226" s="226" t="s">
        <v>2417</v>
      </c>
      <c r="C226" s="226" t="s">
        <v>2418</v>
      </c>
      <c r="D226" s="227">
        <v>8.8800000000000008</v>
      </c>
      <c r="E226" s="272">
        <v>8.77</v>
      </c>
    </row>
    <row r="227" spans="1:5" x14ac:dyDescent="0.2">
      <c r="A227" s="236">
        <v>4</v>
      </c>
      <c r="B227" s="229" t="s">
        <v>2796</v>
      </c>
      <c r="C227" s="229" t="s">
        <v>4590</v>
      </c>
      <c r="D227" s="230">
        <v>8.8000000000000007</v>
      </c>
      <c r="E227" s="278">
        <v>8.6999999999999993</v>
      </c>
    </row>
    <row r="228" spans="1:5" x14ac:dyDescent="0.2">
      <c r="A228" s="236">
        <v>5</v>
      </c>
      <c r="B228" s="226" t="s">
        <v>2507</v>
      </c>
      <c r="C228" s="226" t="s">
        <v>2508</v>
      </c>
      <c r="D228" s="227">
        <v>8.75</v>
      </c>
      <c r="E228" s="280">
        <v>8.67</v>
      </c>
    </row>
    <row r="230" spans="1:5" ht="18" x14ac:dyDescent="0.25">
      <c r="A230" s="567" t="s">
        <v>4542</v>
      </c>
      <c r="B230" s="567"/>
      <c r="C230" s="567"/>
      <c r="D230" s="567"/>
      <c r="E230" s="567"/>
    </row>
    <row r="231" spans="1:5" x14ac:dyDescent="0.2">
      <c r="A231" s="225" t="s">
        <v>318</v>
      </c>
      <c r="B231" s="225" t="s">
        <v>285</v>
      </c>
      <c r="C231" s="225" t="s">
        <v>286</v>
      </c>
      <c r="D231" s="225" t="s">
        <v>287</v>
      </c>
      <c r="E231" s="225" t="s">
        <v>957</v>
      </c>
    </row>
    <row r="232" spans="1:5" x14ac:dyDescent="0.2">
      <c r="A232" s="232">
        <v>1</v>
      </c>
      <c r="B232" s="226" t="s">
        <v>4530</v>
      </c>
      <c r="C232" s="226" t="s">
        <v>4531</v>
      </c>
      <c r="D232" s="227">
        <v>9.5</v>
      </c>
      <c r="E232" s="501">
        <v>9.77</v>
      </c>
    </row>
    <row r="233" spans="1:5" x14ac:dyDescent="0.2">
      <c r="A233" s="234">
        <v>2</v>
      </c>
      <c r="B233" s="229" t="s">
        <v>1871</v>
      </c>
      <c r="C233" s="229" t="s">
        <v>1864</v>
      </c>
      <c r="D233" s="230">
        <v>9.31</v>
      </c>
      <c r="E233" s="242">
        <v>9.43</v>
      </c>
    </row>
    <row r="234" spans="1:5" x14ac:dyDescent="0.2">
      <c r="A234" s="235">
        <v>3</v>
      </c>
      <c r="B234" s="226" t="s">
        <v>296</v>
      </c>
      <c r="C234" s="226" t="s">
        <v>3985</v>
      </c>
      <c r="D234" s="227">
        <v>9.1300000000000008</v>
      </c>
      <c r="E234" s="250">
        <v>9.1</v>
      </c>
    </row>
    <row r="235" spans="1:5" x14ac:dyDescent="0.2">
      <c r="A235" s="236">
        <v>4</v>
      </c>
      <c r="B235" s="229" t="s">
        <v>3563</v>
      </c>
      <c r="C235" s="229" t="s">
        <v>3564</v>
      </c>
      <c r="D235" s="230">
        <v>8.7899999999999991</v>
      </c>
      <c r="E235" s="280">
        <v>8.67</v>
      </c>
    </row>
    <row r="236" spans="1:5" x14ac:dyDescent="0.2">
      <c r="A236" s="236">
        <v>5</v>
      </c>
      <c r="B236" s="226" t="s">
        <v>2855</v>
      </c>
      <c r="C236" s="226">
        <v>4</v>
      </c>
      <c r="D236" s="227">
        <v>8.6</v>
      </c>
      <c r="E236" s="287">
        <v>8.6</v>
      </c>
    </row>
    <row r="238" spans="1:5" ht="18" x14ac:dyDescent="0.25">
      <c r="A238" s="567" t="s">
        <v>5782</v>
      </c>
      <c r="B238" s="567"/>
      <c r="C238" s="567"/>
      <c r="D238" s="567"/>
      <c r="E238" s="567"/>
    </row>
    <row r="239" spans="1:5" x14ac:dyDescent="0.2">
      <c r="A239" s="225" t="s">
        <v>318</v>
      </c>
      <c r="B239" s="225" t="s">
        <v>285</v>
      </c>
      <c r="C239" s="225" t="s">
        <v>286</v>
      </c>
      <c r="D239" s="225" t="s">
        <v>287</v>
      </c>
      <c r="E239" s="225" t="s">
        <v>957</v>
      </c>
    </row>
    <row r="240" spans="1:5" x14ac:dyDescent="0.2">
      <c r="A240" s="232">
        <v>1</v>
      </c>
      <c r="B240" s="226" t="s">
        <v>677</v>
      </c>
      <c r="C240" s="226" t="s">
        <v>5783</v>
      </c>
      <c r="D240" s="227">
        <v>8.7799999999999994</v>
      </c>
      <c r="E240" s="268">
        <v>8.82</v>
      </c>
    </row>
    <row r="241" spans="1:5" x14ac:dyDescent="0.2">
      <c r="A241" s="234">
        <v>2</v>
      </c>
      <c r="B241" s="229" t="s">
        <v>4394</v>
      </c>
      <c r="C241" s="229" t="s">
        <v>4366</v>
      </c>
      <c r="D241" s="230">
        <v>8.86</v>
      </c>
      <c r="E241" s="264">
        <v>8.8699999999999992</v>
      </c>
    </row>
    <row r="242" spans="1:5" x14ac:dyDescent="0.2">
      <c r="A242" s="235">
        <v>3</v>
      </c>
      <c r="B242" s="226" t="s">
        <v>311</v>
      </c>
      <c r="C242" s="226" t="s">
        <v>158</v>
      </c>
      <c r="D242" s="227">
        <v>8.65</v>
      </c>
      <c r="E242" s="290">
        <v>8.56</v>
      </c>
    </row>
    <row r="243" spans="1:5" x14ac:dyDescent="0.2">
      <c r="A243" s="236">
        <v>4</v>
      </c>
      <c r="B243" s="229" t="s">
        <v>4603</v>
      </c>
      <c r="C243" s="229" t="s">
        <v>4604</v>
      </c>
      <c r="D243" s="230">
        <v>8.59</v>
      </c>
      <c r="E243" s="295">
        <v>8.5</v>
      </c>
    </row>
    <row r="244" spans="1:5" x14ac:dyDescent="0.2">
      <c r="A244" s="236">
        <v>5</v>
      </c>
      <c r="B244" s="226" t="s">
        <v>4718</v>
      </c>
      <c r="C244" s="226" t="s">
        <v>4719</v>
      </c>
      <c r="D244" s="227">
        <v>8.35</v>
      </c>
      <c r="E244" s="311">
        <v>8.2200000000000006</v>
      </c>
    </row>
    <row r="246" spans="1:5" ht="18" x14ac:dyDescent="0.25">
      <c r="A246" s="567" t="s">
        <v>4299</v>
      </c>
      <c r="B246" s="567"/>
      <c r="C246" s="567"/>
      <c r="D246" s="567"/>
      <c r="E246" s="567"/>
    </row>
    <row r="247" spans="1:5" x14ac:dyDescent="0.2">
      <c r="A247" s="225" t="s">
        <v>318</v>
      </c>
      <c r="B247" s="225" t="s">
        <v>285</v>
      </c>
      <c r="C247" s="225" t="s">
        <v>286</v>
      </c>
      <c r="D247" s="225" t="s">
        <v>287</v>
      </c>
      <c r="E247" s="225" t="s">
        <v>957</v>
      </c>
    </row>
    <row r="248" spans="1:5" x14ac:dyDescent="0.2">
      <c r="A248" s="232">
        <v>1</v>
      </c>
      <c r="B248" s="226" t="s">
        <v>292</v>
      </c>
      <c r="C248" s="226" t="s">
        <v>1138</v>
      </c>
      <c r="D248" s="227">
        <v>9.2899999999999991</v>
      </c>
      <c r="E248" s="371">
        <v>9.42</v>
      </c>
    </row>
    <row r="249" spans="1:5" x14ac:dyDescent="0.2">
      <c r="A249" s="234">
        <v>2</v>
      </c>
      <c r="B249" s="229" t="s">
        <v>1330</v>
      </c>
      <c r="C249" s="229" t="s">
        <v>4332</v>
      </c>
      <c r="D249" s="230">
        <v>8.8800000000000008</v>
      </c>
      <c r="E249" s="268">
        <v>8.82</v>
      </c>
    </row>
    <row r="250" spans="1:5" x14ac:dyDescent="0.2">
      <c r="A250" s="235">
        <v>3</v>
      </c>
      <c r="B250" s="226" t="s">
        <v>4123</v>
      </c>
      <c r="C250" s="226" t="s">
        <v>4300</v>
      </c>
      <c r="D250" s="227">
        <v>8.77</v>
      </c>
      <c r="E250" s="276">
        <v>8.7200000000000006</v>
      </c>
    </row>
    <row r="251" spans="1:5" x14ac:dyDescent="0.2">
      <c r="A251" s="236">
        <v>4</v>
      </c>
      <c r="B251" s="229" t="s">
        <v>1134</v>
      </c>
      <c r="C251" s="229" t="s">
        <v>1129</v>
      </c>
      <c r="D251" s="230">
        <v>8.75</v>
      </c>
      <c r="E251" s="284">
        <v>8.6300000000000008</v>
      </c>
    </row>
    <row r="252" spans="1:5" x14ac:dyDescent="0.2">
      <c r="A252" s="236">
        <v>5</v>
      </c>
      <c r="B252" s="226" t="s">
        <v>2178</v>
      </c>
      <c r="C252" s="226" t="s">
        <v>2177</v>
      </c>
      <c r="D252" s="227">
        <v>8.67</v>
      </c>
      <c r="E252" s="289">
        <v>8.57</v>
      </c>
    </row>
    <row r="254" spans="1:5" ht="18" x14ac:dyDescent="0.25">
      <c r="A254" s="567" t="s">
        <v>4730</v>
      </c>
      <c r="B254" s="567"/>
      <c r="C254" s="567"/>
      <c r="D254" s="567"/>
      <c r="E254" s="567"/>
    </row>
    <row r="255" spans="1:5" x14ac:dyDescent="0.2">
      <c r="A255" s="225" t="s">
        <v>318</v>
      </c>
      <c r="B255" s="225" t="s">
        <v>285</v>
      </c>
      <c r="C255" s="225" t="s">
        <v>286</v>
      </c>
      <c r="D255" s="225" t="s">
        <v>287</v>
      </c>
      <c r="E255" s="225" t="s">
        <v>957</v>
      </c>
    </row>
    <row r="256" spans="1:5" x14ac:dyDescent="0.2">
      <c r="A256" s="232">
        <v>1</v>
      </c>
      <c r="B256" s="226" t="s">
        <v>3580</v>
      </c>
      <c r="C256" s="226" t="s">
        <v>3581</v>
      </c>
      <c r="D256" s="227">
        <v>9</v>
      </c>
      <c r="E256" s="258">
        <v>8.9499999999999993</v>
      </c>
    </row>
    <row r="257" spans="1:5" x14ac:dyDescent="0.2">
      <c r="A257" s="234">
        <v>2</v>
      </c>
      <c r="B257" s="229" t="s">
        <v>4723</v>
      </c>
      <c r="C257" s="229" t="s">
        <v>4722</v>
      </c>
      <c r="D257" s="230">
        <v>8.91</v>
      </c>
      <c r="E257" s="270">
        <v>8.7899999999999991</v>
      </c>
    </row>
    <row r="258" spans="1:5" x14ac:dyDescent="0.2">
      <c r="A258" s="235">
        <v>3</v>
      </c>
      <c r="B258" s="226" t="s">
        <v>2238</v>
      </c>
      <c r="C258" s="226" t="s">
        <v>2228</v>
      </c>
      <c r="D258" s="227">
        <v>8.86</v>
      </c>
      <c r="E258" s="275">
        <v>8.74</v>
      </c>
    </row>
    <row r="259" spans="1:5" x14ac:dyDescent="0.2">
      <c r="A259" s="236">
        <v>4</v>
      </c>
      <c r="B259" s="229" t="s">
        <v>2893</v>
      </c>
      <c r="C259" s="229" t="s">
        <v>2894</v>
      </c>
      <c r="D259" s="230">
        <v>8.85</v>
      </c>
      <c r="E259" s="276">
        <v>8.7200000000000006</v>
      </c>
    </row>
    <row r="260" spans="1:5" x14ac:dyDescent="0.2">
      <c r="A260" s="236">
        <v>5</v>
      </c>
      <c r="B260" s="226" t="s">
        <v>2950</v>
      </c>
      <c r="C260" s="226" t="s">
        <v>2938</v>
      </c>
      <c r="D260" s="227">
        <v>8.6300000000000008</v>
      </c>
      <c r="E260" s="293">
        <v>8.5299999999999994</v>
      </c>
    </row>
    <row r="262" spans="1:5" ht="18" x14ac:dyDescent="0.25">
      <c r="A262" s="567" t="s">
        <v>2936</v>
      </c>
      <c r="B262" s="567"/>
      <c r="C262" s="567"/>
      <c r="D262" s="567"/>
      <c r="E262" s="567"/>
    </row>
    <row r="263" spans="1:5" x14ac:dyDescent="0.2">
      <c r="A263" s="225" t="s">
        <v>318</v>
      </c>
      <c r="B263" s="225" t="s">
        <v>285</v>
      </c>
      <c r="C263" s="225" t="s">
        <v>286</v>
      </c>
      <c r="D263" s="225" t="s">
        <v>287</v>
      </c>
      <c r="E263" s="225" t="s">
        <v>957</v>
      </c>
    </row>
    <row r="264" spans="1:5" x14ac:dyDescent="0.2">
      <c r="A264" s="232">
        <v>1</v>
      </c>
      <c r="B264" s="226" t="s">
        <v>301</v>
      </c>
      <c r="C264" s="226" t="s">
        <v>2565</v>
      </c>
      <c r="D264" s="227">
        <v>9.02</v>
      </c>
      <c r="E264" s="341">
        <v>9.07</v>
      </c>
    </row>
    <row r="265" spans="1:5" x14ac:dyDescent="0.2">
      <c r="A265" s="234">
        <v>2</v>
      </c>
      <c r="B265" s="229" t="s">
        <v>304</v>
      </c>
      <c r="C265" s="229" t="s">
        <v>2566</v>
      </c>
      <c r="D265" s="230">
        <v>8.39</v>
      </c>
      <c r="E265" s="304">
        <v>8.3699999999999992</v>
      </c>
    </row>
    <row r="266" spans="1:5" x14ac:dyDescent="0.2">
      <c r="A266" s="235">
        <v>3</v>
      </c>
      <c r="B266" s="226" t="s">
        <v>2925</v>
      </c>
      <c r="C266" s="226" t="s">
        <v>2926</v>
      </c>
      <c r="D266" s="227">
        <v>8.4499999999999993</v>
      </c>
      <c r="E266" s="305">
        <v>8.34</v>
      </c>
    </row>
    <row r="270" spans="1:5" ht="18" x14ac:dyDescent="0.25">
      <c r="A270" s="567" t="s">
        <v>3900</v>
      </c>
      <c r="B270" s="567"/>
      <c r="C270" s="567"/>
      <c r="D270" s="567"/>
      <c r="E270" s="567"/>
    </row>
    <row r="271" spans="1:5" x14ac:dyDescent="0.2">
      <c r="A271" s="225" t="s">
        <v>318</v>
      </c>
      <c r="B271" s="225" t="s">
        <v>285</v>
      </c>
      <c r="C271" s="225" t="s">
        <v>286</v>
      </c>
      <c r="D271" s="225" t="s">
        <v>287</v>
      </c>
      <c r="E271" s="225" t="s">
        <v>957</v>
      </c>
    </row>
    <row r="272" spans="1:5" x14ac:dyDescent="0.2">
      <c r="A272" s="232">
        <v>1</v>
      </c>
      <c r="B272" s="226" t="s">
        <v>2697</v>
      </c>
      <c r="C272" s="226" t="s">
        <v>3901</v>
      </c>
      <c r="D272" s="227">
        <v>8.8000000000000007</v>
      </c>
      <c r="E272" s="269">
        <v>8.81</v>
      </c>
    </row>
    <row r="273" spans="1:5" x14ac:dyDescent="0.2">
      <c r="A273" s="234">
        <v>2</v>
      </c>
      <c r="B273" s="229" t="s">
        <v>1393</v>
      </c>
      <c r="C273" s="229" t="s">
        <v>1394</v>
      </c>
      <c r="D273" s="230">
        <v>8.75</v>
      </c>
      <c r="E273" s="278">
        <v>8.6999999999999993</v>
      </c>
    </row>
    <row r="274" spans="1:5" x14ac:dyDescent="0.2">
      <c r="A274" s="235">
        <v>3</v>
      </c>
      <c r="B274" s="226" t="s">
        <v>309</v>
      </c>
      <c r="C274" s="226" t="s">
        <v>218</v>
      </c>
      <c r="D274" s="227">
        <v>8.77</v>
      </c>
      <c r="E274" s="281">
        <v>8.66</v>
      </c>
    </row>
    <row r="275" spans="1:5" x14ac:dyDescent="0.2">
      <c r="A275" s="236">
        <v>4</v>
      </c>
      <c r="B275" s="229" t="s">
        <v>2700</v>
      </c>
      <c r="C275" s="229" t="s">
        <v>2701</v>
      </c>
      <c r="D275" s="230">
        <v>8.4</v>
      </c>
      <c r="E275" s="304">
        <v>8.3699999999999992</v>
      </c>
    </row>
    <row r="278" spans="1:5" ht="18" x14ac:dyDescent="0.25">
      <c r="A278" s="567" t="s">
        <v>5535</v>
      </c>
      <c r="B278" s="567"/>
      <c r="C278" s="567"/>
      <c r="D278" s="567"/>
      <c r="E278" s="567"/>
    </row>
    <row r="279" spans="1:5" x14ac:dyDescent="0.2">
      <c r="A279" s="225" t="s">
        <v>318</v>
      </c>
      <c r="B279" s="225" t="s">
        <v>285</v>
      </c>
      <c r="C279" s="225" t="s">
        <v>286</v>
      </c>
      <c r="D279" s="225" t="s">
        <v>287</v>
      </c>
      <c r="E279" s="225" t="s">
        <v>957</v>
      </c>
    </row>
    <row r="280" spans="1:5" x14ac:dyDescent="0.2">
      <c r="A280" s="232">
        <v>1</v>
      </c>
      <c r="B280" s="226" t="s">
        <v>312</v>
      </c>
      <c r="C280" s="226" t="s">
        <v>1080</v>
      </c>
      <c r="D280" s="227">
        <v>8.8800000000000008</v>
      </c>
      <c r="E280" s="249">
        <v>9.14</v>
      </c>
    </row>
    <row r="281" spans="1:5" x14ac:dyDescent="0.2">
      <c r="A281" s="234">
        <v>2</v>
      </c>
      <c r="B281" s="229" t="s">
        <v>2898</v>
      </c>
      <c r="C281" s="229" t="s">
        <v>5536</v>
      </c>
      <c r="D281" s="230">
        <v>8.68</v>
      </c>
      <c r="E281" s="282">
        <v>8.65</v>
      </c>
    </row>
    <row r="282" spans="1:5" x14ac:dyDescent="0.2">
      <c r="A282" s="235">
        <v>3</v>
      </c>
      <c r="B282" s="226" t="s">
        <v>2950</v>
      </c>
      <c r="C282" s="226" t="s">
        <v>2938</v>
      </c>
      <c r="D282" s="227">
        <v>8.6300000000000008</v>
      </c>
      <c r="E282" s="293">
        <v>8.5299999999999994</v>
      </c>
    </row>
    <row r="283" spans="1:5" x14ac:dyDescent="0.2">
      <c r="A283" s="236">
        <v>4</v>
      </c>
      <c r="B283" s="229" t="s">
        <v>4721</v>
      </c>
      <c r="C283" s="229" t="s">
        <v>891</v>
      </c>
      <c r="D283" s="230">
        <v>8.6</v>
      </c>
      <c r="E283" s="294">
        <v>8.52</v>
      </c>
    </row>
    <row r="286" spans="1:5" ht="18" x14ac:dyDescent="0.25">
      <c r="A286" s="567" t="s">
        <v>3634</v>
      </c>
      <c r="B286" s="567"/>
      <c r="C286" s="567"/>
      <c r="D286" s="567"/>
      <c r="E286" s="567"/>
    </row>
    <row r="287" spans="1:5" x14ac:dyDescent="0.2">
      <c r="A287" s="225" t="s">
        <v>318</v>
      </c>
      <c r="B287" s="225" t="s">
        <v>285</v>
      </c>
      <c r="C287" s="225" t="s">
        <v>286</v>
      </c>
      <c r="D287" s="225" t="s">
        <v>287</v>
      </c>
      <c r="E287" s="225" t="s">
        <v>957</v>
      </c>
    </row>
    <row r="288" spans="1:5" x14ac:dyDescent="0.2">
      <c r="A288" s="232">
        <v>1</v>
      </c>
      <c r="B288" s="226" t="s">
        <v>3617</v>
      </c>
      <c r="C288" s="226" t="s">
        <v>3618</v>
      </c>
      <c r="D288" s="227">
        <v>8.5399999999999991</v>
      </c>
      <c r="E288" s="296">
        <v>8.49</v>
      </c>
    </row>
    <row r="289" spans="1:5" x14ac:dyDescent="0.2">
      <c r="A289" s="234">
        <v>2</v>
      </c>
      <c r="B289" s="229" t="s">
        <v>493</v>
      </c>
      <c r="C289" s="229" t="s">
        <v>494</v>
      </c>
      <c r="D289" s="230">
        <v>8.5</v>
      </c>
      <c r="E289" s="300">
        <v>8.43</v>
      </c>
    </row>
    <row r="290" spans="1:5" x14ac:dyDescent="0.2">
      <c r="A290" s="235">
        <v>3</v>
      </c>
      <c r="B290" s="226" t="s">
        <v>334</v>
      </c>
      <c r="C290" s="226" t="s">
        <v>335</v>
      </c>
      <c r="D290" s="227">
        <v>8.4600000000000009</v>
      </c>
      <c r="E290" s="302">
        <v>8.39</v>
      </c>
    </row>
    <row r="291" spans="1:5" x14ac:dyDescent="0.2">
      <c r="A291" s="236">
        <v>4</v>
      </c>
      <c r="B291" s="229" t="s">
        <v>607</v>
      </c>
      <c r="C291" s="229" t="s">
        <v>3336</v>
      </c>
      <c r="D291" s="230">
        <v>8.0500000000000007</v>
      </c>
      <c r="E291" s="388">
        <v>7.99</v>
      </c>
    </row>
    <row r="292" spans="1:5" x14ac:dyDescent="0.2">
      <c r="A292" s="236">
        <v>5</v>
      </c>
      <c r="B292" s="226" t="s">
        <v>426</v>
      </c>
      <c r="C292" s="226" t="s">
        <v>427</v>
      </c>
      <c r="D292" s="227">
        <v>8.18</v>
      </c>
      <c r="E292" s="317">
        <v>8.06</v>
      </c>
    </row>
    <row r="294" spans="1:5" ht="18" x14ac:dyDescent="0.25">
      <c r="A294" s="567" t="s">
        <v>3537</v>
      </c>
      <c r="B294" s="567"/>
      <c r="C294" s="567"/>
      <c r="D294" s="567"/>
      <c r="E294" s="567"/>
    </row>
    <row r="295" spans="1:5" x14ac:dyDescent="0.2">
      <c r="A295" s="225" t="s">
        <v>318</v>
      </c>
      <c r="B295" s="225" t="s">
        <v>285</v>
      </c>
      <c r="C295" s="225" t="s">
        <v>286</v>
      </c>
      <c r="D295" s="225" t="s">
        <v>287</v>
      </c>
      <c r="E295" s="225" t="s">
        <v>957</v>
      </c>
    </row>
    <row r="296" spans="1:5" x14ac:dyDescent="0.2">
      <c r="A296" s="232">
        <v>1</v>
      </c>
      <c r="B296" s="226" t="s">
        <v>1871</v>
      </c>
      <c r="C296" s="226" t="s">
        <v>1864</v>
      </c>
      <c r="D296" s="227">
        <v>9.31</v>
      </c>
      <c r="E296" s="242">
        <v>9.43</v>
      </c>
    </row>
    <row r="297" spans="1:5" x14ac:dyDescent="0.2">
      <c r="A297" s="234">
        <v>2</v>
      </c>
      <c r="B297" s="229" t="s">
        <v>1577</v>
      </c>
      <c r="C297" s="229" t="s">
        <v>2868</v>
      </c>
      <c r="D297" s="230">
        <v>8.81</v>
      </c>
      <c r="E297" s="272">
        <v>8.77</v>
      </c>
    </row>
    <row r="298" spans="1:5" x14ac:dyDescent="0.2">
      <c r="A298" s="235">
        <v>3</v>
      </c>
      <c r="B298" s="226" t="s">
        <v>301</v>
      </c>
      <c r="C298" s="226" t="s">
        <v>3538</v>
      </c>
      <c r="D298" s="227">
        <v>8.25</v>
      </c>
      <c r="E298" s="407">
        <v>8.31</v>
      </c>
    </row>
    <row r="299" spans="1:5" x14ac:dyDescent="0.2">
      <c r="A299" s="236">
        <v>4</v>
      </c>
      <c r="B299" s="229" t="s">
        <v>2864</v>
      </c>
      <c r="C299" s="229" t="s">
        <v>2865</v>
      </c>
      <c r="D299" s="230">
        <v>8.58</v>
      </c>
      <c r="E299" s="295">
        <v>8.5</v>
      </c>
    </row>
    <row r="302" spans="1:5" ht="18" x14ac:dyDescent="0.25">
      <c r="A302" s="567" t="s">
        <v>4313</v>
      </c>
      <c r="B302" s="567"/>
      <c r="C302" s="567"/>
      <c r="D302" s="567"/>
      <c r="E302" s="567"/>
    </row>
    <row r="303" spans="1:5" x14ac:dyDescent="0.2">
      <c r="A303" s="225" t="s">
        <v>318</v>
      </c>
      <c r="B303" s="225" t="s">
        <v>285</v>
      </c>
      <c r="C303" s="225" t="s">
        <v>286</v>
      </c>
      <c r="D303" s="225" t="s">
        <v>287</v>
      </c>
      <c r="E303" s="225" t="s">
        <v>957</v>
      </c>
    </row>
    <row r="304" spans="1:5" x14ac:dyDescent="0.2">
      <c r="A304" s="232">
        <v>1</v>
      </c>
      <c r="B304" s="226" t="s">
        <v>315</v>
      </c>
      <c r="C304" s="226" t="s">
        <v>4314</v>
      </c>
      <c r="D304" s="227">
        <v>8.67</v>
      </c>
      <c r="E304" s="280">
        <v>8.67</v>
      </c>
    </row>
    <row r="305" spans="1:5" x14ac:dyDescent="0.2">
      <c r="A305" s="234">
        <v>2</v>
      </c>
      <c r="B305" s="229" t="s">
        <v>2841</v>
      </c>
      <c r="C305" s="229" t="s">
        <v>4315</v>
      </c>
      <c r="D305" s="230">
        <v>8.49</v>
      </c>
      <c r="E305" s="443">
        <v>8.44</v>
      </c>
    </row>
    <row r="306" spans="1:5" x14ac:dyDescent="0.2">
      <c r="A306" s="235">
        <v>3</v>
      </c>
      <c r="B306" s="226" t="s">
        <v>3373</v>
      </c>
      <c r="C306" s="226" t="s">
        <v>3373</v>
      </c>
      <c r="D306" s="227">
        <v>7.75</v>
      </c>
      <c r="E306" s="326">
        <v>7.66</v>
      </c>
    </row>
    <row r="310" spans="1:5" ht="18" x14ac:dyDescent="0.25">
      <c r="A310" s="567" t="s">
        <v>4832</v>
      </c>
      <c r="B310" s="567"/>
      <c r="C310" s="567"/>
      <c r="D310" s="567"/>
      <c r="E310" s="567"/>
    </row>
    <row r="311" spans="1:5" x14ac:dyDescent="0.2">
      <c r="A311" s="225" t="s">
        <v>318</v>
      </c>
      <c r="B311" s="225" t="s">
        <v>285</v>
      </c>
      <c r="C311" s="225" t="s">
        <v>286</v>
      </c>
      <c r="D311" s="225" t="s">
        <v>287</v>
      </c>
      <c r="E311" s="225" t="s">
        <v>957</v>
      </c>
    </row>
    <row r="312" spans="1:5" x14ac:dyDescent="0.2">
      <c r="A312" s="232">
        <v>1</v>
      </c>
      <c r="B312" s="226" t="s">
        <v>699</v>
      </c>
      <c r="C312" s="226" t="s">
        <v>700</v>
      </c>
      <c r="D312" s="227">
        <v>8.91</v>
      </c>
      <c r="E312" s="259">
        <v>8.93</v>
      </c>
    </row>
    <row r="313" spans="1:5" x14ac:dyDescent="0.2">
      <c r="A313" s="234">
        <v>2</v>
      </c>
      <c r="B313" s="229" t="s">
        <v>545</v>
      </c>
      <c r="C313" s="229" t="s">
        <v>4833</v>
      </c>
      <c r="D313" s="230">
        <v>8.8000000000000007</v>
      </c>
      <c r="E313" s="275">
        <v>8.74</v>
      </c>
    </row>
    <row r="314" spans="1:5" x14ac:dyDescent="0.2">
      <c r="A314" s="235">
        <v>3</v>
      </c>
      <c r="B314" s="226" t="s">
        <v>370</v>
      </c>
      <c r="C314" s="226" t="s">
        <v>368</v>
      </c>
      <c r="D314" s="227">
        <v>8.67</v>
      </c>
      <c r="E314" s="277">
        <v>8.7100000000000009</v>
      </c>
    </row>
    <row r="315" spans="1:5" x14ac:dyDescent="0.2">
      <c r="A315" s="236">
        <v>4</v>
      </c>
      <c r="B315" s="229" t="s">
        <v>314</v>
      </c>
      <c r="C315" s="229" t="s">
        <v>271</v>
      </c>
      <c r="D315" s="230">
        <v>8.35</v>
      </c>
      <c r="E315" s="312">
        <v>8.1999999999999993</v>
      </c>
    </row>
    <row r="318" spans="1:5" ht="18" x14ac:dyDescent="0.25">
      <c r="A318" s="567" t="s">
        <v>4834</v>
      </c>
      <c r="B318" s="567"/>
      <c r="C318" s="567"/>
      <c r="D318" s="567"/>
      <c r="E318" s="567"/>
    </row>
    <row r="319" spans="1:5" x14ac:dyDescent="0.2">
      <c r="A319" s="225" t="s">
        <v>318</v>
      </c>
      <c r="B319" s="225" t="s">
        <v>285</v>
      </c>
      <c r="C319" s="225" t="s">
        <v>286</v>
      </c>
      <c r="D319" s="225" t="s">
        <v>287</v>
      </c>
      <c r="E319" s="225" t="s">
        <v>957</v>
      </c>
    </row>
    <row r="320" spans="1:5" x14ac:dyDescent="0.2">
      <c r="A320" s="232">
        <v>1</v>
      </c>
      <c r="B320" s="226" t="s">
        <v>545</v>
      </c>
      <c r="C320" s="226" t="s">
        <v>4833</v>
      </c>
      <c r="D320" s="227">
        <v>8.8000000000000007</v>
      </c>
      <c r="E320" s="275">
        <v>8.74</v>
      </c>
    </row>
    <row r="321" spans="1:5" x14ac:dyDescent="0.2">
      <c r="A321" s="234">
        <v>2</v>
      </c>
      <c r="B321" s="229" t="s">
        <v>370</v>
      </c>
      <c r="C321" s="229" t="s">
        <v>368</v>
      </c>
      <c r="D321" s="230">
        <v>8.67</v>
      </c>
      <c r="E321" s="277">
        <v>8.7100000000000009</v>
      </c>
    </row>
    <row r="322" spans="1:5" x14ac:dyDescent="0.2">
      <c r="A322" s="235">
        <v>3</v>
      </c>
      <c r="B322" s="226" t="s">
        <v>888</v>
      </c>
      <c r="C322" s="226" t="s">
        <v>869</v>
      </c>
      <c r="D322" s="227">
        <v>8.5500000000000007</v>
      </c>
      <c r="E322" s="287">
        <v>8.6</v>
      </c>
    </row>
    <row r="323" spans="1:5" x14ac:dyDescent="0.2">
      <c r="A323" s="236">
        <v>4</v>
      </c>
      <c r="B323" s="229" t="s">
        <v>314</v>
      </c>
      <c r="C323" s="229" t="s">
        <v>271</v>
      </c>
      <c r="D323" s="230">
        <v>8.35</v>
      </c>
      <c r="E323" s="312">
        <v>8.1999999999999993</v>
      </c>
    </row>
    <row r="326" spans="1:5" ht="18" x14ac:dyDescent="0.25">
      <c r="A326" s="567" t="s">
        <v>4456</v>
      </c>
      <c r="B326" s="567"/>
      <c r="C326" s="567"/>
      <c r="D326" s="567"/>
      <c r="E326" s="567"/>
    </row>
    <row r="327" spans="1:5" x14ac:dyDescent="0.2">
      <c r="A327" s="225" t="s">
        <v>318</v>
      </c>
      <c r="B327" s="225" t="s">
        <v>285</v>
      </c>
      <c r="C327" s="225" t="s">
        <v>286</v>
      </c>
      <c r="D327" s="225" t="s">
        <v>287</v>
      </c>
      <c r="E327" s="225" t="s">
        <v>957</v>
      </c>
    </row>
    <row r="328" spans="1:5" x14ac:dyDescent="0.2">
      <c r="A328" s="232">
        <v>1</v>
      </c>
      <c r="B328" s="226" t="s">
        <v>951</v>
      </c>
      <c r="C328" s="226" t="s">
        <v>949</v>
      </c>
      <c r="D328" s="227">
        <v>10.5</v>
      </c>
      <c r="E328" s="233">
        <v>10.85</v>
      </c>
    </row>
    <row r="329" spans="1:5" x14ac:dyDescent="0.2">
      <c r="A329" s="234">
        <v>2</v>
      </c>
      <c r="B329" s="229" t="s">
        <v>759</v>
      </c>
      <c r="C329" s="229" t="s">
        <v>4457</v>
      </c>
      <c r="D329" s="230">
        <v>8.61</v>
      </c>
      <c r="E329" s="286">
        <v>8.61</v>
      </c>
    </row>
    <row r="330" spans="1:5" x14ac:dyDescent="0.2">
      <c r="A330" s="235">
        <v>3</v>
      </c>
      <c r="B330" s="226" t="s">
        <v>2052</v>
      </c>
      <c r="C330" s="226" t="s">
        <v>2053</v>
      </c>
      <c r="D330" s="227">
        <v>8.73</v>
      </c>
      <c r="E330" s="284">
        <v>8.6300000000000008</v>
      </c>
    </row>
    <row r="331" spans="1:5" x14ac:dyDescent="0.2">
      <c r="A331" s="236">
        <v>4</v>
      </c>
      <c r="B331" s="229" t="s">
        <v>560</v>
      </c>
      <c r="C331" s="229" t="s">
        <v>561</v>
      </c>
      <c r="D331" s="230">
        <v>8.73</v>
      </c>
      <c r="E331" s="285">
        <v>8.6199999999999992</v>
      </c>
    </row>
    <row r="334" spans="1:5" ht="18" x14ac:dyDescent="0.25">
      <c r="A334" s="567" t="s">
        <v>4784</v>
      </c>
      <c r="B334" s="567"/>
      <c r="C334" s="567"/>
      <c r="D334" s="567"/>
      <c r="E334" s="567"/>
    </row>
    <row r="335" spans="1:5" x14ac:dyDescent="0.2">
      <c r="A335" s="225" t="s">
        <v>318</v>
      </c>
      <c r="B335" s="225" t="s">
        <v>285</v>
      </c>
      <c r="C335" s="225" t="s">
        <v>286</v>
      </c>
      <c r="D335" s="225" t="s">
        <v>287</v>
      </c>
      <c r="E335" s="225" t="s">
        <v>957</v>
      </c>
    </row>
    <row r="336" spans="1:5" x14ac:dyDescent="0.2">
      <c r="A336" s="232">
        <v>1</v>
      </c>
      <c r="B336" s="226" t="s">
        <v>677</v>
      </c>
      <c r="C336" s="226" t="s">
        <v>673</v>
      </c>
      <c r="D336" s="227">
        <v>8.67</v>
      </c>
      <c r="E336" s="274">
        <v>8.75</v>
      </c>
    </row>
    <row r="337" spans="1:5" x14ac:dyDescent="0.2">
      <c r="A337" s="234">
        <v>2</v>
      </c>
      <c r="B337" s="229" t="s">
        <v>2720</v>
      </c>
      <c r="C337" s="229" t="s">
        <v>2721</v>
      </c>
      <c r="D337" s="230">
        <v>8.65</v>
      </c>
      <c r="E337" s="290">
        <v>8.56</v>
      </c>
    </row>
    <row r="338" spans="1:5" x14ac:dyDescent="0.2">
      <c r="A338" s="235">
        <v>3</v>
      </c>
      <c r="B338" s="226" t="s">
        <v>1121</v>
      </c>
      <c r="C338" s="226" t="s">
        <v>1122</v>
      </c>
      <c r="D338" s="227">
        <v>8.5299999999999994</v>
      </c>
      <c r="E338" s="299">
        <v>8.4499999999999993</v>
      </c>
    </row>
    <row r="339" spans="1:5" x14ac:dyDescent="0.2">
      <c r="A339" s="236">
        <v>4</v>
      </c>
      <c r="B339" s="229" t="s">
        <v>1647</v>
      </c>
      <c r="C339" s="229" t="s">
        <v>1648</v>
      </c>
      <c r="D339" s="230">
        <v>8.5</v>
      </c>
      <c r="E339" s="299">
        <v>8.4499999999999993</v>
      </c>
    </row>
    <row r="340" spans="1:5" x14ac:dyDescent="0.2">
      <c r="A340" s="236">
        <v>5</v>
      </c>
      <c r="B340" s="226" t="s">
        <v>1727</v>
      </c>
      <c r="C340" s="226" t="s">
        <v>4769</v>
      </c>
      <c r="D340" s="227">
        <v>8.3800000000000008</v>
      </c>
      <c r="E340" s="305">
        <v>8.34</v>
      </c>
    </row>
    <row r="342" spans="1:5" ht="18" x14ac:dyDescent="0.25">
      <c r="A342" s="567" t="s">
        <v>4389</v>
      </c>
      <c r="B342" s="567"/>
      <c r="C342" s="567"/>
      <c r="D342" s="567"/>
      <c r="E342" s="567"/>
    </row>
    <row r="343" spans="1:5" x14ac:dyDescent="0.2">
      <c r="A343" s="225" t="s">
        <v>318</v>
      </c>
      <c r="B343" s="225" t="s">
        <v>285</v>
      </c>
      <c r="C343" s="225" t="s">
        <v>286</v>
      </c>
      <c r="D343" s="225" t="s">
        <v>287</v>
      </c>
      <c r="E343" s="225" t="s">
        <v>957</v>
      </c>
    </row>
    <row r="344" spans="1:5" x14ac:dyDescent="0.2">
      <c r="A344" s="232">
        <v>1</v>
      </c>
      <c r="B344" s="226" t="s">
        <v>774</v>
      </c>
      <c r="C344" s="226" t="s">
        <v>4390</v>
      </c>
      <c r="D344" s="227">
        <v>8.8000000000000007</v>
      </c>
      <c r="E344" s="271">
        <v>8.7799999999999994</v>
      </c>
    </row>
    <row r="345" spans="1:5" x14ac:dyDescent="0.2">
      <c r="A345" s="234">
        <v>2</v>
      </c>
      <c r="B345" s="229" t="s">
        <v>3617</v>
      </c>
      <c r="C345" s="229" t="s">
        <v>3618</v>
      </c>
      <c r="D345" s="230">
        <v>8.5399999999999991</v>
      </c>
      <c r="E345" s="296">
        <v>8.49</v>
      </c>
    </row>
    <row r="346" spans="1:5" x14ac:dyDescent="0.2">
      <c r="A346" s="235">
        <v>3</v>
      </c>
      <c r="B346" s="226" t="s">
        <v>1688</v>
      </c>
      <c r="C346" s="226" t="s">
        <v>1688</v>
      </c>
      <c r="D346" s="227">
        <v>8.2899999999999991</v>
      </c>
      <c r="E346" s="314">
        <v>8.16</v>
      </c>
    </row>
    <row r="350" spans="1:5" ht="18" x14ac:dyDescent="0.25">
      <c r="A350" s="567" t="s">
        <v>2568</v>
      </c>
      <c r="B350" s="567"/>
      <c r="C350" s="567"/>
      <c r="D350" s="567"/>
      <c r="E350" s="567"/>
    </row>
    <row r="351" spans="1:5" x14ac:dyDescent="0.2">
      <c r="A351" s="225" t="s">
        <v>318</v>
      </c>
      <c r="B351" s="225" t="s">
        <v>285</v>
      </c>
      <c r="C351" s="225" t="s">
        <v>286</v>
      </c>
      <c r="D351" s="225" t="s">
        <v>287</v>
      </c>
      <c r="E351" s="225" t="s">
        <v>957</v>
      </c>
    </row>
    <row r="352" spans="1:5" x14ac:dyDescent="0.2">
      <c r="A352" s="232">
        <v>1</v>
      </c>
      <c r="B352" s="226" t="s">
        <v>795</v>
      </c>
      <c r="C352" s="226" t="s">
        <v>2567</v>
      </c>
      <c r="D352" s="227">
        <v>8.64</v>
      </c>
      <c r="E352" s="284">
        <v>8.6300000000000008</v>
      </c>
    </row>
    <row r="353" spans="1:5" x14ac:dyDescent="0.2">
      <c r="A353" s="234">
        <v>2</v>
      </c>
      <c r="B353" s="229" t="s">
        <v>1265</v>
      </c>
      <c r="C353" s="229" t="s">
        <v>1266</v>
      </c>
      <c r="D353" s="230">
        <v>8.7899999999999991</v>
      </c>
      <c r="E353" s="277">
        <v>8.7100000000000009</v>
      </c>
    </row>
    <row r="354" spans="1:5" x14ac:dyDescent="0.2">
      <c r="A354" s="235">
        <v>3</v>
      </c>
      <c r="B354" s="226" t="s">
        <v>1348</v>
      </c>
      <c r="C354" s="226" t="s">
        <v>1353</v>
      </c>
      <c r="D354" s="227">
        <v>8.8000000000000007</v>
      </c>
      <c r="E354" s="279">
        <v>8.68</v>
      </c>
    </row>
    <row r="355" spans="1:5" x14ac:dyDescent="0.2">
      <c r="A355" s="236">
        <v>4</v>
      </c>
      <c r="B355" s="229" t="s">
        <v>2088</v>
      </c>
      <c r="C355" s="229" t="s">
        <v>2089</v>
      </c>
      <c r="D355" s="230">
        <v>8.5399999999999991</v>
      </c>
      <c r="E355" s="301">
        <v>8.41</v>
      </c>
    </row>
    <row r="358" spans="1:5" ht="18" x14ac:dyDescent="0.25">
      <c r="A358" s="567" t="s">
        <v>3886</v>
      </c>
      <c r="B358" s="567"/>
      <c r="C358" s="567"/>
      <c r="D358" s="567"/>
      <c r="E358" s="567"/>
    </row>
    <row r="359" spans="1:5" x14ac:dyDescent="0.2">
      <c r="A359" s="225" t="s">
        <v>318</v>
      </c>
      <c r="B359" s="225" t="s">
        <v>285</v>
      </c>
      <c r="C359" s="225" t="s">
        <v>286</v>
      </c>
      <c r="D359" s="225" t="s">
        <v>287</v>
      </c>
      <c r="E359" s="225" t="s">
        <v>957</v>
      </c>
    </row>
    <row r="360" spans="1:5" x14ac:dyDescent="0.2">
      <c r="A360" s="232">
        <v>1</v>
      </c>
      <c r="B360" s="226" t="s">
        <v>2033</v>
      </c>
      <c r="C360" s="226" t="s">
        <v>2034</v>
      </c>
      <c r="D360" s="227">
        <v>8.75</v>
      </c>
      <c r="E360" s="283">
        <v>8.64</v>
      </c>
    </row>
    <row r="361" spans="1:5" x14ac:dyDescent="0.2">
      <c r="A361" s="234">
        <v>2</v>
      </c>
      <c r="B361" s="229" t="s">
        <v>1054</v>
      </c>
      <c r="C361" s="229" t="s">
        <v>3497</v>
      </c>
      <c r="D361" s="230">
        <v>8.7200000000000006</v>
      </c>
      <c r="E361" s="284">
        <v>8.6300000000000008</v>
      </c>
    </row>
    <row r="362" spans="1:5" x14ac:dyDescent="0.2">
      <c r="A362" s="235">
        <v>3</v>
      </c>
      <c r="B362" s="226" t="s">
        <v>3865</v>
      </c>
      <c r="C362" s="226" t="s">
        <v>3866</v>
      </c>
      <c r="D362" s="227">
        <v>8.64</v>
      </c>
      <c r="E362" s="293">
        <v>8.5299999999999994</v>
      </c>
    </row>
    <row r="363" spans="1:5" x14ac:dyDescent="0.2">
      <c r="A363" s="236">
        <v>4</v>
      </c>
      <c r="B363" s="229" t="s">
        <v>3259</v>
      </c>
      <c r="C363" s="229" t="s">
        <v>3260</v>
      </c>
      <c r="D363" s="230">
        <v>8.2899999999999991</v>
      </c>
      <c r="E363" s="348">
        <v>8.3000000000000007</v>
      </c>
    </row>
    <row r="364" spans="1:5" x14ac:dyDescent="0.2">
      <c r="A364" s="236">
        <v>5</v>
      </c>
      <c r="B364" s="226" t="s">
        <v>300</v>
      </c>
      <c r="C364" s="226" t="s">
        <v>3099</v>
      </c>
      <c r="D364" s="227">
        <v>8</v>
      </c>
      <c r="E364" s="322">
        <v>7.94</v>
      </c>
    </row>
  </sheetData>
  <mergeCells count="34">
    <mergeCell ref="A302:E302"/>
    <mergeCell ref="A310:E310"/>
    <mergeCell ref="A358:E358"/>
    <mergeCell ref="A318:E318"/>
    <mergeCell ref="A326:E326"/>
    <mergeCell ref="A334:E334"/>
    <mergeCell ref="A342:E342"/>
    <mergeCell ref="A350:E350"/>
    <mergeCell ref="A262:E262"/>
    <mergeCell ref="A270:E270"/>
    <mergeCell ref="A278:E278"/>
    <mergeCell ref="A286:E286"/>
    <mergeCell ref="A294:E294"/>
    <mergeCell ref="A198:E198"/>
    <mergeCell ref="A206:E206"/>
    <mergeCell ref="A238:E238"/>
    <mergeCell ref="A246:E246"/>
    <mergeCell ref="A254:E254"/>
    <mergeCell ref="A1:N1"/>
    <mergeCell ref="A214:E214"/>
    <mergeCell ref="A222:E222"/>
    <mergeCell ref="A230:E230"/>
    <mergeCell ref="A142:E142"/>
    <mergeCell ref="A150:E150"/>
    <mergeCell ref="A158:E158"/>
    <mergeCell ref="A166:E166"/>
    <mergeCell ref="A59:E59"/>
    <mergeCell ref="A87:E87"/>
    <mergeCell ref="A118:E118"/>
    <mergeCell ref="A126:E126"/>
    <mergeCell ref="A134:E134"/>
    <mergeCell ref="A174:E174"/>
    <mergeCell ref="A182:E182"/>
    <mergeCell ref="A190:E1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F166-4FCD-4F40-8FF3-DD389DBF85F4}">
  <dimension ref="A1:H102"/>
  <sheetViews>
    <sheetView zoomScaleNormal="100" workbookViewId="0">
      <selection activeCell="G871" sqref="G871"/>
    </sheetView>
  </sheetViews>
  <sheetFormatPr baseColWidth="10" defaultColWidth="8.83203125" defaultRowHeight="16" x14ac:dyDescent="0.2"/>
  <cols>
    <col min="1" max="1" width="4.1640625" bestFit="1" customWidth="1"/>
    <col min="2" max="2" width="36.6640625" customWidth="1"/>
    <col min="3" max="3" width="33.33203125" customWidth="1"/>
    <col min="4" max="4" width="25" customWidth="1"/>
    <col min="5" max="5" width="30.83203125" bestFit="1" customWidth="1"/>
    <col min="7" max="7" width="20.1640625" bestFit="1" customWidth="1"/>
    <col min="8" max="8" width="4.1640625" bestFit="1" customWidth="1"/>
  </cols>
  <sheetData>
    <row r="1" spans="1:8" ht="18" x14ac:dyDescent="0.25">
      <c r="A1" s="567" t="s">
        <v>5927</v>
      </c>
      <c r="B1" s="567"/>
      <c r="C1" s="567"/>
      <c r="D1" s="567"/>
      <c r="E1" s="567"/>
      <c r="G1" s="567" t="s">
        <v>4125</v>
      </c>
      <c r="H1" s="567"/>
    </row>
    <row r="2" spans="1:8" x14ac:dyDescent="0.2">
      <c r="A2" s="225" t="s">
        <v>318</v>
      </c>
      <c r="B2" s="225" t="s">
        <v>2974</v>
      </c>
      <c r="C2" s="225" t="s">
        <v>286</v>
      </c>
      <c r="D2" s="225" t="s">
        <v>285</v>
      </c>
      <c r="E2" s="225" t="s">
        <v>3047</v>
      </c>
      <c r="G2" s="378" t="s">
        <v>4126</v>
      </c>
      <c r="H2">
        <v>100</v>
      </c>
    </row>
    <row r="3" spans="1:8" x14ac:dyDescent="0.2">
      <c r="A3" s="232">
        <v>1</v>
      </c>
      <c r="B3" s="516" t="s">
        <v>4</v>
      </c>
      <c r="C3" s="516" t="s">
        <v>7</v>
      </c>
      <c r="D3" s="226" t="s">
        <v>292</v>
      </c>
      <c r="E3" s="226" t="s">
        <v>712</v>
      </c>
      <c r="G3" s="378" t="s">
        <v>4127</v>
      </c>
      <c r="H3">
        <v>2</v>
      </c>
    </row>
    <row r="4" spans="1:8" x14ac:dyDescent="0.2">
      <c r="A4" s="234">
        <v>2</v>
      </c>
      <c r="B4" s="517" t="s">
        <v>7</v>
      </c>
      <c r="C4" s="517" t="s">
        <v>7</v>
      </c>
      <c r="D4" s="229" t="s">
        <v>292</v>
      </c>
      <c r="E4" s="229" t="s">
        <v>712</v>
      </c>
      <c r="G4" s="378" t="s">
        <v>4128</v>
      </c>
    </row>
    <row r="5" spans="1:8" x14ac:dyDescent="0.2">
      <c r="A5" s="235">
        <v>3</v>
      </c>
      <c r="B5" s="516" t="s">
        <v>949</v>
      </c>
      <c r="C5" s="516" t="s">
        <v>949</v>
      </c>
      <c r="D5" s="226" t="s">
        <v>951</v>
      </c>
      <c r="E5" s="226" t="s">
        <v>952</v>
      </c>
      <c r="G5" s="378" t="s">
        <v>4129</v>
      </c>
      <c r="H5" t="s">
        <v>4130</v>
      </c>
    </row>
    <row r="6" spans="1:8" x14ac:dyDescent="0.2">
      <c r="A6" s="236">
        <v>4</v>
      </c>
      <c r="B6" s="517" t="s">
        <v>2277</v>
      </c>
      <c r="C6" s="517" t="s">
        <v>2277</v>
      </c>
      <c r="D6" s="229" t="s">
        <v>2292</v>
      </c>
      <c r="E6" s="229" t="s">
        <v>987</v>
      </c>
      <c r="G6" s="378" t="s">
        <v>5909</v>
      </c>
    </row>
    <row r="7" spans="1:8" x14ac:dyDescent="0.2">
      <c r="A7" s="236">
        <v>5</v>
      </c>
      <c r="B7" s="516" t="s">
        <v>2278</v>
      </c>
      <c r="C7" s="516" t="s">
        <v>2277</v>
      </c>
      <c r="D7" s="226" t="s">
        <v>2292</v>
      </c>
      <c r="E7" s="226" t="s">
        <v>987</v>
      </c>
      <c r="G7" s="378" t="s">
        <v>5910</v>
      </c>
    </row>
    <row r="8" spans="1:8" x14ac:dyDescent="0.2">
      <c r="A8" s="236">
        <v>6</v>
      </c>
      <c r="B8" s="517" t="s">
        <v>981</v>
      </c>
      <c r="C8" s="517" t="s">
        <v>981</v>
      </c>
      <c r="D8" s="229" t="s">
        <v>298</v>
      </c>
      <c r="E8" s="229" t="s">
        <v>714</v>
      </c>
    </row>
    <row r="9" spans="1:8" x14ac:dyDescent="0.2">
      <c r="A9" s="236">
        <v>7</v>
      </c>
      <c r="B9" s="516" t="s">
        <v>978</v>
      </c>
      <c r="C9" s="516" t="s">
        <v>981</v>
      </c>
      <c r="D9" s="226" t="s">
        <v>298</v>
      </c>
      <c r="E9" s="226" t="s">
        <v>714</v>
      </c>
      <c r="G9" s="566" t="s">
        <v>5914</v>
      </c>
    </row>
    <row r="10" spans="1:8" x14ac:dyDescent="0.2">
      <c r="A10" s="236">
        <v>8</v>
      </c>
      <c r="B10" s="517" t="s">
        <v>14</v>
      </c>
      <c r="C10" s="517" t="s">
        <v>294</v>
      </c>
      <c r="D10" s="229" t="s">
        <v>293</v>
      </c>
      <c r="E10" s="229" t="s">
        <v>713</v>
      </c>
      <c r="G10" s="566" t="s">
        <v>5915</v>
      </c>
    </row>
    <row r="11" spans="1:8" x14ac:dyDescent="0.2">
      <c r="A11" s="236">
        <v>9</v>
      </c>
      <c r="B11" s="516" t="s">
        <v>20</v>
      </c>
      <c r="C11" s="516" t="s">
        <v>294</v>
      </c>
      <c r="D11" s="226" t="s">
        <v>293</v>
      </c>
      <c r="E11" s="226" t="s">
        <v>713</v>
      </c>
      <c r="G11" s="566" t="s">
        <v>5916</v>
      </c>
    </row>
    <row r="12" spans="1:8" x14ac:dyDescent="0.2">
      <c r="A12" s="236">
        <v>10</v>
      </c>
      <c r="B12" s="517" t="s">
        <v>145</v>
      </c>
      <c r="C12" s="517" t="s">
        <v>295</v>
      </c>
      <c r="D12" s="229" t="s">
        <v>293</v>
      </c>
      <c r="E12" s="229" t="s">
        <v>713</v>
      </c>
    </row>
    <row r="13" spans="1:8" x14ac:dyDescent="0.2">
      <c r="A13" s="236">
        <v>11</v>
      </c>
      <c r="B13" s="516" t="s">
        <v>148</v>
      </c>
      <c r="C13" s="516" t="s">
        <v>295</v>
      </c>
      <c r="D13" s="226" t="s">
        <v>293</v>
      </c>
      <c r="E13" s="226" t="s">
        <v>713</v>
      </c>
    </row>
    <row r="14" spans="1:8" x14ac:dyDescent="0.2">
      <c r="A14" s="236">
        <v>12</v>
      </c>
      <c r="B14" s="517" t="s">
        <v>632</v>
      </c>
      <c r="C14" s="517" t="s">
        <v>634</v>
      </c>
      <c r="D14" s="229" t="s">
        <v>2459</v>
      </c>
      <c r="E14" s="229" t="s">
        <v>1005</v>
      </c>
    </row>
    <row r="15" spans="1:8" x14ac:dyDescent="0.2">
      <c r="A15" s="236">
        <v>13</v>
      </c>
      <c r="B15" s="516" t="s">
        <v>49</v>
      </c>
      <c r="C15" s="516" t="s">
        <v>299</v>
      </c>
      <c r="D15" s="226" t="s">
        <v>298</v>
      </c>
      <c r="E15" s="226" t="s">
        <v>715</v>
      </c>
    </row>
    <row r="16" spans="1:8" x14ac:dyDescent="0.2">
      <c r="A16" s="236">
        <v>14</v>
      </c>
      <c r="B16" s="517" t="s">
        <v>48</v>
      </c>
      <c r="C16" s="517" t="s">
        <v>299</v>
      </c>
      <c r="D16" s="229" t="s">
        <v>298</v>
      </c>
      <c r="E16" s="229" t="s">
        <v>715</v>
      </c>
    </row>
    <row r="17" spans="1:5" x14ac:dyDescent="0.2">
      <c r="A17" s="236">
        <v>15</v>
      </c>
      <c r="B17" s="516" t="s">
        <v>513</v>
      </c>
      <c r="C17" s="516" t="s">
        <v>517</v>
      </c>
      <c r="D17" s="226" t="s">
        <v>292</v>
      </c>
      <c r="E17" s="226" t="s">
        <v>712</v>
      </c>
    </row>
    <row r="18" spans="1:5" x14ac:dyDescent="0.2">
      <c r="A18" s="236">
        <v>16</v>
      </c>
      <c r="B18" s="517" t="s">
        <v>506</v>
      </c>
      <c r="C18" s="517" t="s">
        <v>517</v>
      </c>
      <c r="D18" s="229" t="s">
        <v>292</v>
      </c>
      <c r="E18" s="229" t="s">
        <v>712</v>
      </c>
    </row>
    <row r="19" spans="1:5" x14ac:dyDescent="0.2">
      <c r="A19" s="236">
        <v>17</v>
      </c>
      <c r="B19" s="516" t="s">
        <v>199</v>
      </c>
      <c r="C19" s="516" t="s">
        <v>156</v>
      </c>
      <c r="D19" s="226" t="s">
        <v>292</v>
      </c>
      <c r="E19" s="226" t="s">
        <v>712</v>
      </c>
    </row>
    <row r="20" spans="1:5" x14ac:dyDescent="0.2">
      <c r="A20" s="236">
        <v>18</v>
      </c>
      <c r="B20" s="517" t="s">
        <v>142</v>
      </c>
      <c r="C20" s="517" t="s">
        <v>156</v>
      </c>
      <c r="D20" s="229" t="s">
        <v>292</v>
      </c>
      <c r="E20" s="229" t="s">
        <v>712</v>
      </c>
    </row>
    <row r="21" spans="1:5" x14ac:dyDescent="0.2">
      <c r="A21" s="236">
        <v>19</v>
      </c>
      <c r="B21" s="516" t="s">
        <v>4527</v>
      </c>
      <c r="C21" s="516" t="s">
        <v>4531</v>
      </c>
      <c r="D21" s="226" t="s">
        <v>4530</v>
      </c>
      <c r="E21" s="226" t="s">
        <v>4537</v>
      </c>
    </row>
    <row r="22" spans="1:5" x14ac:dyDescent="0.2">
      <c r="A22" s="236">
        <v>20</v>
      </c>
      <c r="B22" s="517" t="s">
        <v>702</v>
      </c>
      <c r="C22" s="517" t="s">
        <v>727</v>
      </c>
      <c r="D22" s="229" t="s">
        <v>298</v>
      </c>
      <c r="E22" s="229" t="s">
        <v>715</v>
      </c>
    </row>
    <row r="23" spans="1:5" x14ac:dyDescent="0.2">
      <c r="A23" s="236">
        <v>21</v>
      </c>
      <c r="B23" s="516" t="s">
        <v>213</v>
      </c>
      <c r="C23" s="516" t="s">
        <v>239</v>
      </c>
      <c r="D23" s="226" t="s">
        <v>296</v>
      </c>
      <c r="E23" s="226" t="s">
        <v>720</v>
      </c>
    </row>
    <row r="24" spans="1:5" x14ac:dyDescent="0.2">
      <c r="A24" s="236">
        <v>22</v>
      </c>
      <c r="B24" s="517" t="s">
        <v>2262</v>
      </c>
      <c r="C24" s="517" t="s">
        <v>2366</v>
      </c>
      <c r="D24" s="229" t="s">
        <v>292</v>
      </c>
      <c r="E24" s="229" t="s">
        <v>2367</v>
      </c>
    </row>
    <row r="25" spans="1:5" x14ac:dyDescent="0.2">
      <c r="A25" s="236">
        <v>23</v>
      </c>
      <c r="B25" s="516" t="s">
        <v>2261</v>
      </c>
      <c r="C25" s="516" t="s">
        <v>2366</v>
      </c>
      <c r="D25" s="226" t="s">
        <v>292</v>
      </c>
      <c r="E25" s="226" t="s">
        <v>2367</v>
      </c>
    </row>
    <row r="26" spans="1:5" x14ac:dyDescent="0.2">
      <c r="A26" s="236">
        <v>24</v>
      </c>
      <c r="B26" s="517" t="s">
        <v>391</v>
      </c>
      <c r="C26" s="517" t="s">
        <v>1079</v>
      </c>
      <c r="D26" s="229" t="s">
        <v>297</v>
      </c>
      <c r="E26" s="229" t="s">
        <v>714</v>
      </c>
    </row>
    <row r="27" spans="1:5" x14ac:dyDescent="0.2">
      <c r="A27" s="236">
        <v>25</v>
      </c>
      <c r="B27" s="516" t="s">
        <v>128</v>
      </c>
      <c r="C27" s="516" t="s">
        <v>131</v>
      </c>
      <c r="D27" s="226" t="s">
        <v>300</v>
      </c>
      <c r="E27" s="226" t="s">
        <v>735</v>
      </c>
    </row>
    <row r="28" spans="1:5" x14ac:dyDescent="0.2">
      <c r="A28" s="236">
        <v>26</v>
      </c>
      <c r="B28" s="517" t="s">
        <v>1864</v>
      </c>
      <c r="C28" s="517" t="s">
        <v>1864</v>
      </c>
      <c r="D28" s="229" t="s">
        <v>1871</v>
      </c>
      <c r="E28" s="229" t="s">
        <v>1872</v>
      </c>
    </row>
    <row r="29" spans="1:5" x14ac:dyDescent="0.2">
      <c r="A29" s="236">
        <v>27</v>
      </c>
      <c r="B29" s="516" t="s">
        <v>1139</v>
      </c>
      <c r="C29" s="516" t="s">
        <v>1138</v>
      </c>
      <c r="D29" s="226" t="s">
        <v>292</v>
      </c>
      <c r="E29" s="226" t="s">
        <v>1150</v>
      </c>
    </row>
    <row r="30" spans="1:5" x14ac:dyDescent="0.2">
      <c r="A30" s="236">
        <v>28</v>
      </c>
      <c r="B30" s="517" t="s">
        <v>61</v>
      </c>
      <c r="C30" s="517" t="s">
        <v>56</v>
      </c>
      <c r="D30" s="229" t="s">
        <v>301</v>
      </c>
      <c r="E30" s="229" t="s">
        <v>734</v>
      </c>
    </row>
    <row r="31" spans="1:5" x14ac:dyDescent="0.2">
      <c r="A31" s="236">
        <v>29</v>
      </c>
      <c r="B31" s="516" t="s">
        <v>253</v>
      </c>
      <c r="C31" s="516" t="s">
        <v>251</v>
      </c>
      <c r="D31" s="226" t="s">
        <v>293</v>
      </c>
      <c r="E31" s="226" t="s">
        <v>814</v>
      </c>
    </row>
    <row r="32" spans="1:5" x14ac:dyDescent="0.2">
      <c r="A32" s="236">
        <v>30</v>
      </c>
      <c r="B32" s="517" t="s">
        <v>259</v>
      </c>
      <c r="C32" s="517" t="s">
        <v>251</v>
      </c>
      <c r="D32" s="229" t="s">
        <v>293</v>
      </c>
      <c r="E32" s="229" t="s">
        <v>814</v>
      </c>
    </row>
    <row r="33" spans="1:5" x14ac:dyDescent="0.2">
      <c r="A33" s="236">
        <v>31</v>
      </c>
      <c r="B33" s="516" t="s">
        <v>963</v>
      </c>
      <c r="C33" s="516" t="s">
        <v>959</v>
      </c>
      <c r="D33" s="226" t="s">
        <v>297</v>
      </c>
      <c r="E33" s="226" t="s">
        <v>714</v>
      </c>
    </row>
    <row r="34" spans="1:5" x14ac:dyDescent="0.2">
      <c r="A34" s="236">
        <v>32</v>
      </c>
      <c r="B34" s="517" t="s">
        <v>176</v>
      </c>
      <c r="C34" s="517" t="s">
        <v>186</v>
      </c>
      <c r="D34" s="229" t="s">
        <v>302</v>
      </c>
      <c r="E34" s="229" t="s">
        <v>717</v>
      </c>
    </row>
    <row r="35" spans="1:5" x14ac:dyDescent="0.2">
      <c r="A35" s="236">
        <v>33</v>
      </c>
      <c r="B35" s="516" t="s">
        <v>4084</v>
      </c>
      <c r="C35" s="516" t="s">
        <v>4108</v>
      </c>
      <c r="D35" s="226" t="s">
        <v>4107</v>
      </c>
      <c r="E35" s="226" t="s">
        <v>1011</v>
      </c>
    </row>
    <row r="36" spans="1:5" x14ac:dyDescent="0.2">
      <c r="A36" s="236">
        <v>34</v>
      </c>
      <c r="B36" s="517" t="s">
        <v>4086</v>
      </c>
      <c r="C36" s="517" t="s">
        <v>4108</v>
      </c>
      <c r="D36" s="229" t="s">
        <v>4107</v>
      </c>
      <c r="E36" s="229" t="s">
        <v>1011</v>
      </c>
    </row>
    <row r="37" spans="1:5" x14ac:dyDescent="0.2">
      <c r="A37" s="236">
        <v>35</v>
      </c>
      <c r="B37" s="516" t="s">
        <v>5443</v>
      </c>
      <c r="C37" s="516" t="s">
        <v>5452</v>
      </c>
      <c r="D37" s="226" t="s">
        <v>5451</v>
      </c>
      <c r="E37" s="226" t="s">
        <v>5460</v>
      </c>
    </row>
    <row r="38" spans="1:5" x14ac:dyDescent="0.2">
      <c r="A38" s="236">
        <v>36</v>
      </c>
      <c r="B38" s="517" t="s">
        <v>915</v>
      </c>
      <c r="C38" s="517" t="s">
        <v>922</v>
      </c>
      <c r="D38" s="229" t="s">
        <v>300</v>
      </c>
      <c r="E38" s="229" t="s">
        <v>735</v>
      </c>
    </row>
    <row r="39" spans="1:5" x14ac:dyDescent="0.2">
      <c r="A39" s="236">
        <v>37</v>
      </c>
      <c r="B39" s="516" t="s">
        <v>39</v>
      </c>
      <c r="C39" s="516" t="s">
        <v>36</v>
      </c>
      <c r="D39" s="226" t="s">
        <v>405</v>
      </c>
      <c r="E39" s="226" t="s">
        <v>714</v>
      </c>
    </row>
    <row r="40" spans="1:5" x14ac:dyDescent="0.2">
      <c r="A40" s="236">
        <v>38</v>
      </c>
      <c r="B40" s="517" t="s">
        <v>461</v>
      </c>
      <c r="C40" s="517" t="s">
        <v>459</v>
      </c>
      <c r="D40" s="229" t="s">
        <v>441</v>
      </c>
      <c r="E40" s="229" t="s">
        <v>716</v>
      </c>
    </row>
    <row r="41" spans="1:5" x14ac:dyDescent="0.2">
      <c r="A41" s="236">
        <v>39</v>
      </c>
      <c r="B41" s="516" t="s">
        <v>3026</v>
      </c>
      <c r="C41" s="516" t="s">
        <v>3031</v>
      </c>
      <c r="D41" s="226" t="s">
        <v>3030</v>
      </c>
      <c r="E41" s="226" t="s">
        <v>733</v>
      </c>
    </row>
    <row r="42" spans="1:5" x14ac:dyDescent="0.2">
      <c r="A42" s="236">
        <v>40</v>
      </c>
      <c r="B42" s="517" t="s">
        <v>655</v>
      </c>
      <c r="C42" s="517" t="s">
        <v>653</v>
      </c>
      <c r="D42" s="229" t="s">
        <v>301</v>
      </c>
      <c r="E42" s="229" t="s">
        <v>734</v>
      </c>
    </row>
    <row r="43" spans="1:5" x14ac:dyDescent="0.2">
      <c r="A43" s="236">
        <v>41</v>
      </c>
      <c r="B43" s="516" t="s">
        <v>2354</v>
      </c>
      <c r="C43" s="516" t="s">
        <v>2365</v>
      </c>
      <c r="D43" s="226" t="s">
        <v>303</v>
      </c>
      <c r="E43" s="226" t="s">
        <v>2379</v>
      </c>
    </row>
    <row r="44" spans="1:5" x14ac:dyDescent="0.2">
      <c r="A44" s="236">
        <v>42</v>
      </c>
      <c r="B44" s="517" t="s">
        <v>26</v>
      </c>
      <c r="C44" s="517" t="s">
        <v>1080</v>
      </c>
      <c r="D44" s="229" t="s">
        <v>312</v>
      </c>
      <c r="E44" s="229" t="s">
        <v>1082</v>
      </c>
    </row>
    <row r="45" spans="1:5" x14ac:dyDescent="0.2">
      <c r="A45" s="236">
        <v>43</v>
      </c>
      <c r="B45" s="516" t="s">
        <v>27</v>
      </c>
      <c r="C45" s="516" t="s">
        <v>1080</v>
      </c>
      <c r="D45" s="226" t="s">
        <v>312</v>
      </c>
      <c r="E45" s="226" t="s">
        <v>1082</v>
      </c>
    </row>
    <row r="46" spans="1:5" x14ac:dyDescent="0.2">
      <c r="A46" s="236">
        <v>44</v>
      </c>
      <c r="B46" s="517" t="s">
        <v>347</v>
      </c>
      <c r="C46" s="517" t="s">
        <v>351</v>
      </c>
      <c r="D46" s="229" t="s">
        <v>357</v>
      </c>
      <c r="E46" s="229" t="s">
        <v>722</v>
      </c>
    </row>
    <row r="47" spans="1:5" x14ac:dyDescent="0.2">
      <c r="A47" s="236">
        <v>45</v>
      </c>
      <c r="B47" s="516" t="s">
        <v>395</v>
      </c>
      <c r="C47" s="516" t="s">
        <v>393</v>
      </c>
      <c r="D47" s="226" t="s">
        <v>293</v>
      </c>
      <c r="E47" s="226" t="s">
        <v>732</v>
      </c>
    </row>
    <row r="48" spans="1:5" x14ac:dyDescent="0.2">
      <c r="A48" s="236">
        <v>46</v>
      </c>
      <c r="B48" s="517" t="s">
        <v>862</v>
      </c>
      <c r="C48" s="517" t="s">
        <v>857</v>
      </c>
      <c r="D48" s="229" t="s">
        <v>866</v>
      </c>
      <c r="E48" s="229" t="s">
        <v>867</v>
      </c>
    </row>
    <row r="49" spans="1:5" x14ac:dyDescent="0.2">
      <c r="A49" s="236">
        <v>47</v>
      </c>
      <c r="B49" s="516" t="s">
        <v>64</v>
      </c>
      <c r="C49" s="516" t="s">
        <v>157</v>
      </c>
      <c r="D49" s="226" t="s">
        <v>303</v>
      </c>
      <c r="E49" s="226" t="s">
        <v>718</v>
      </c>
    </row>
    <row r="50" spans="1:5" x14ac:dyDescent="0.2">
      <c r="A50" s="236">
        <v>48</v>
      </c>
      <c r="B50" s="517" t="s">
        <v>236</v>
      </c>
      <c r="C50" s="517" t="s">
        <v>229</v>
      </c>
      <c r="D50" s="229" t="s">
        <v>304</v>
      </c>
      <c r="E50" s="229" t="s">
        <v>734</v>
      </c>
    </row>
    <row r="51" spans="1:5" x14ac:dyDescent="0.2">
      <c r="A51" s="236">
        <v>49</v>
      </c>
      <c r="B51" s="516" t="s">
        <v>5571</v>
      </c>
      <c r="C51" s="516" t="s">
        <v>5572</v>
      </c>
      <c r="D51" s="226" t="s">
        <v>5608</v>
      </c>
      <c r="E51" s="226" t="s">
        <v>5612</v>
      </c>
    </row>
    <row r="52" spans="1:5" x14ac:dyDescent="0.2">
      <c r="A52" s="236">
        <v>50</v>
      </c>
      <c r="B52" s="517" t="s">
        <v>1028</v>
      </c>
      <c r="C52" s="517" t="s">
        <v>1026</v>
      </c>
      <c r="D52" s="229" t="s">
        <v>301</v>
      </c>
      <c r="E52" s="229" t="s">
        <v>734</v>
      </c>
    </row>
    <row r="53" spans="1:5" x14ac:dyDescent="0.2">
      <c r="A53" s="236">
        <v>51</v>
      </c>
      <c r="B53" s="516" t="s">
        <v>612</v>
      </c>
      <c r="C53" s="516" t="s">
        <v>609</v>
      </c>
      <c r="D53" s="226" t="s">
        <v>441</v>
      </c>
      <c r="E53" s="226" t="s">
        <v>716</v>
      </c>
    </row>
    <row r="54" spans="1:5" x14ac:dyDescent="0.2">
      <c r="A54" s="236">
        <v>52</v>
      </c>
      <c r="B54" s="517" t="s">
        <v>2691</v>
      </c>
      <c r="C54" s="517" t="s">
        <v>2698</v>
      </c>
      <c r="D54" s="229" t="s">
        <v>2697</v>
      </c>
      <c r="E54" s="229" t="s">
        <v>2703</v>
      </c>
    </row>
    <row r="55" spans="1:5" x14ac:dyDescent="0.2">
      <c r="A55" s="236">
        <v>53</v>
      </c>
      <c r="B55" s="516" t="s">
        <v>2688</v>
      </c>
      <c r="C55" s="516" t="s">
        <v>2698</v>
      </c>
      <c r="D55" s="226" t="s">
        <v>2697</v>
      </c>
      <c r="E55" s="226" t="s">
        <v>2703</v>
      </c>
    </row>
    <row r="56" spans="1:5" x14ac:dyDescent="0.2">
      <c r="A56" s="236">
        <v>54</v>
      </c>
      <c r="B56" s="517" t="s">
        <v>95</v>
      </c>
      <c r="C56" s="517" t="s">
        <v>95</v>
      </c>
      <c r="D56" s="229" t="s">
        <v>307</v>
      </c>
      <c r="E56" s="229" t="s">
        <v>720</v>
      </c>
    </row>
    <row r="57" spans="1:5" x14ac:dyDescent="0.2">
      <c r="A57" s="236">
        <v>55</v>
      </c>
      <c r="B57" s="516" t="s">
        <v>5433</v>
      </c>
      <c r="C57" s="516" t="s">
        <v>5437</v>
      </c>
      <c r="D57" s="226" t="s">
        <v>5436</v>
      </c>
      <c r="E57" s="226" t="s">
        <v>5441</v>
      </c>
    </row>
    <row r="58" spans="1:5" x14ac:dyDescent="0.2">
      <c r="A58" s="236">
        <v>56</v>
      </c>
      <c r="B58" s="517" t="s">
        <v>4793</v>
      </c>
      <c r="C58" s="517" t="s">
        <v>4800</v>
      </c>
      <c r="D58" s="229" t="s">
        <v>4799</v>
      </c>
      <c r="E58" s="229" t="s">
        <v>989</v>
      </c>
    </row>
    <row r="59" spans="1:5" x14ac:dyDescent="0.2">
      <c r="A59" s="236">
        <v>57</v>
      </c>
      <c r="B59" s="516" t="s">
        <v>1418</v>
      </c>
      <c r="C59" s="516" t="s">
        <v>1441</v>
      </c>
      <c r="D59" s="226" t="s">
        <v>1440</v>
      </c>
      <c r="E59" s="226" t="s">
        <v>1442</v>
      </c>
    </row>
    <row r="60" spans="1:5" x14ac:dyDescent="0.2">
      <c r="A60" s="236">
        <v>58</v>
      </c>
      <c r="B60" s="517" t="s">
        <v>1420</v>
      </c>
      <c r="C60" s="517" t="s">
        <v>1441</v>
      </c>
      <c r="D60" s="229" t="s">
        <v>1440</v>
      </c>
      <c r="E60" s="229" t="s">
        <v>1442</v>
      </c>
    </row>
    <row r="61" spans="1:5" x14ac:dyDescent="0.2">
      <c r="A61" s="236">
        <v>59</v>
      </c>
      <c r="B61" s="516" t="s">
        <v>2195</v>
      </c>
      <c r="C61" s="516" t="s">
        <v>2205</v>
      </c>
      <c r="D61" s="226" t="s">
        <v>315</v>
      </c>
      <c r="E61" s="226" t="s">
        <v>725</v>
      </c>
    </row>
    <row r="62" spans="1:5" x14ac:dyDescent="0.2">
      <c r="A62" s="236">
        <v>60</v>
      </c>
      <c r="B62" s="517" t="s">
        <v>2613</v>
      </c>
      <c r="C62" s="517" t="s">
        <v>2611</v>
      </c>
      <c r="D62" s="229" t="s">
        <v>2615</v>
      </c>
      <c r="E62" s="229" t="s">
        <v>731</v>
      </c>
    </row>
    <row r="63" spans="1:5" x14ac:dyDescent="0.2">
      <c r="A63" s="236">
        <v>61</v>
      </c>
      <c r="B63" s="516" t="s">
        <v>2605</v>
      </c>
      <c r="C63" s="516" t="s">
        <v>2611</v>
      </c>
      <c r="D63" s="226" t="s">
        <v>2615</v>
      </c>
      <c r="E63" s="226" t="s">
        <v>731</v>
      </c>
    </row>
    <row r="64" spans="1:5" x14ac:dyDescent="0.2">
      <c r="A64" s="236">
        <v>62</v>
      </c>
      <c r="B64" s="517" t="s">
        <v>1678</v>
      </c>
      <c r="C64" s="517" t="s">
        <v>1679</v>
      </c>
      <c r="D64" s="229" t="s">
        <v>298</v>
      </c>
      <c r="E64" s="229" t="s">
        <v>987</v>
      </c>
    </row>
    <row r="65" spans="1:5" x14ac:dyDescent="0.2">
      <c r="A65" s="236">
        <v>63</v>
      </c>
      <c r="B65" s="516" t="s">
        <v>2344</v>
      </c>
      <c r="C65" s="516" t="s">
        <v>2344</v>
      </c>
      <c r="D65" s="226" t="s">
        <v>300</v>
      </c>
      <c r="E65" s="226" t="s">
        <v>735</v>
      </c>
    </row>
    <row r="66" spans="1:5" x14ac:dyDescent="0.2">
      <c r="A66" s="236">
        <v>64</v>
      </c>
      <c r="B66" s="517" t="s">
        <v>2747</v>
      </c>
      <c r="C66" s="517" t="s">
        <v>2769</v>
      </c>
      <c r="D66" s="229" t="s">
        <v>298</v>
      </c>
      <c r="E66" s="229" t="s">
        <v>2772</v>
      </c>
    </row>
    <row r="67" spans="1:5" x14ac:dyDescent="0.2">
      <c r="A67" s="236">
        <v>65</v>
      </c>
      <c r="B67" s="516" t="s">
        <v>2761</v>
      </c>
      <c r="C67" s="516" t="s">
        <v>2769</v>
      </c>
      <c r="D67" s="226" t="s">
        <v>298</v>
      </c>
      <c r="E67" s="226" t="s">
        <v>2772</v>
      </c>
    </row>
    <row r="68" spans="1:5" x14ac:dyDescent="0.2">
      <c r="A68" s="236">
        <v>66</v>
      </c>
      <c r="B68" s="517" t="s">
        <v>5296</v>
      </c>
      <c r="C68" s="517" t="s">
        <v>5300</v>
      </c>
      <c r="D68" s="229" t="s">
        <v>4530</v>
      </c>
      <c r="E68" s="229" t="s">
        <v>988</v>
      </c>
    </row>
    <row r="69" spans="1:5" x14ac:dyDescent="0.2">
      <c r="A69" s="236">
        <v>67</v>
      </c>
      <c r="B69" s="516" t="s">
        <v>1501</v>
      </c>
      <c r="C69" s="516" t="s">
        <v>1502</v>
      </c>
      <c r="D69" s="226" t="s">
        <v>311</v>
      </c>
      <c r="E69" s="226" t="s">
        <v>1519</v>
      </c>
    </row>
    <row r="70" spans="1:5" x14ac:dyDescent="0.2">
      <c r="A70" s="236">
        <v>68</v>
      </c>
      <c r="B70" s="517" t="s">
        <v>5925</v>
      </c>
      <c r="C70" s="517" t="s">
        <v>5925</v>
      </c>
      <c r="D70" s="229" t="s">
        <v>4654</v>
      </c>
      <c r="E70" s="229" t="s">
        <v>1007</v>
      </c>
    </row>
    <row r="71" spans="1:5" x14ac:dyDescent="0.2">
      <c r="A71" s="236">
        <v>69</v>
      </c>
      <c r="B71" s="516" t="s">
        <v>691</v>
      </c>
      <c r="C71" s="516" t="s">
        <v>700</v>
      </c>
      <c r="D71" s="226" t="s">
        <v>699</v>
      </c>
      <c r="E71" s="226" t="s">
        <v>797</v>
      </c>
    </row>
    <row r="72" spans="1:5" x14ac:dyDescent="0.2">
      <c r="A72" s="236">
        <v>70</v>
      </c>
      <c r="B72" s="517" t="s">
        <v>942</v>
      </c>
      <c r="C72" s="517" t="s">
        <v>947</v>
      </c>
      <c r="D72" s="229" t="s">
        <v>311</v>
      </c>
      <c r="E72" s="229" t="s">
        <v>953</v>
      </c>
    </row>
    <row r="73" spans="1:5" x14ac:dyDescent="0.2">
      <c r="A73" s="236">
        <v>71</v>
      </c>
      <c r="B73" s="516" t="s">
        <v>1561</v>
      </c>
      <c r="C73" s="516" t="s">
        <v>1565</v>
      </c>
      <c r="D73" s="226" t="s">
        <v>1330</v>
      </c>
      <c r="E73" s="226" t="s">
        <v>1566</v>
      </c>
    </row>
    <row r="74" spans="1:5" x14ac:dyDescent="0.2">
      <c r="A74" s="236">
        <v>72</v>
      </c>
      <c r="B74" s="517" t="s">
        <v>4358</v>
      </c>
      <c r="C74" s="517" t="s">
        <v>4364</v>
      </c>
      <c r="D74" s="229" t="s">
        <v>774</v>
      </c>
      <c r="E74" s="229" t="s">
        <v>994</v>
      </c>
    </row>
    <row r="75" spans="1:5" x14ac:dyDescent="0.2">
      <c r="A75" s="236">
        <v>73</v>
      </c>
      <c r="B75" s="516" t="s">
        <v>1909</v>
      </c>
      <c r="C75" s="516" t="s">
        <v>1926</v>
      </c>
      <c r="D75" s="226" t="s">
        <v>1075</v>
      </c>
      <c r="E75" s="226" t="s">
        <v>1442</v>
      </c>
    </row>
    <row r="76" spans="1:5" x14ac:dyDescent="0.2">
      <c r="A76" s="236">
        <v>74</v>
      </c>
      <c r="B76" s="517" t="s">
        <v>1898</v>
      </c>
      <c r="C76" s="517" t="s">
        <v>1926</v>
      </c>
      <c r="D76" s="229" t="s">
        <v>1075</v>
      </c>
      <c r="E76" s="229" t="s">
        <v>1442</v>
      </c>
    </row>
    <row r="77" spans="1:5" x14ac:dyDescent="0.2">
      <c r="A77" s="236">
        <v>75</v>
      </c>
      <c r="B77" s="516" t="s">
        <v>1061</v>
      </c>
      <c r="C77" s="516" t="s">
        <v>1439</v>
      </c>
      <c r="D77" s="226" t="s">
        <v>1075</v>
      </c>
      <c r="E77" s="226" t="s">
        <v>1442</v>
      </c>
    </row>
    <row r="78" spans="1:5" x14ac:dyDescent="0.2">
      <c r="A78" s="236">
        <v>76</v>
      </c>
      <c r="B78" s="517" t="s">
        <v>1055</v>
      </c>
      <c r="C78" s="517" t="s">
        <v>1439</v>
      </c>
      <c r="D78" s="229" t="s">
        <v>1075</v>
      </c>
      <c r="E78" s="229" t="s">
        <v>1442</v>
      </c>
    </row>
    <row r="79" spans="1:5" x14ac:dyDescent="0.2">
      <c r="A79" s="236">
        <v>77</v>
      </c>
      <c r="B79" s="516" t="s">
        <v>1309</v>
      </c>
      <c r="C79" s="516" t="s">
        <v>1318</v>
      </c>
      <c r="D79" s="226" t="s">
        <v>677</v>
      </c>
      <c r="E79" s="226" t="s">
        <v>1319</v>
      </c>
    </row>
    <row r="80" spans="1:5" x14ac:dyDescent="0.2">
      <c r="A80" s="236">
        <v>78</v>
      </c>
      <c r="B80" s="517" t="s">
        <v>2372</v>
      </c>
      <c r="C80" s="517" t="s">
        <v>2381</v>
      </c>
      <c r="D80" s="229" t="s">
        <v>2380</v>
      </c>
      <c r="E80" s="229" t="s">
        <v>2383</v>
      </c>
    </row>
    <row r="81" spans="1:5" x14ac:dyDescent="0.2">
      <c r="A81" s="236">
        <v>79</v>
      </c>
      <c r="B81" s="516" t="s">
        <v>2891</v>
      </c>
      <c r="C81" s="516" t="s">
        <v>2883</v>
      </c>
      <c r="D81" s="226" t="s">
        <v>2898</v>
      </c>
      <c r="E81" s="226" t="s">
        <v>2900</v>
      </c>
    </row>
    <row r="82" spans="1:5" x14ac:dyDescent="0.2">
      <c r="A82" s="236">
        <v>80</v>
      </c>
      <c r="B82" s="517" t="s">
        <v>4368</v>
      </c>
      <c r="C82" s="517" t="s">
        <v>4366</v>
      </c>
      <c r="D82" s="229" t="s">
        <v>4394</v>
      </c>
      <c r="E82" s="229" t="s">
        <v>4395</v>
      </c>
    </row>
    <row r="83" spans="1:5" x14ac:dyDescent="0.2">
      <c r="A83" s="236">
        <v>81</v>
      </c>
      <c r="B83" s="516" t="s">
        <v>1102</v>
      </c>
      <c r="C83" s="516" t="s">
        <v>307</v>
      </c>
      <c r="D83" s="226" t="s">
        <v>307</v>
      </c>
      <c r="E83" s="226" t="s">
        <v>1106</v>
      </c>
    </row>
    <row r="84" spans="1:5" x14ac:dyDescent="0.2">
      <c r="A84" s="236">
        <v>82</v>
      </c>
      <c r="B84" s="517" t="s">
        <v>2325</v>
      </c>
      <c r="C84" s="517" t="s">
        <v>2313</v>
      </c>
      <c r="D84" s="229" t="s">
        <v>2164</v>
      </c>
      <c r="E84" s="229" t="s">
        <v>2326</v>
      </c>
    </row>
    <row r="85" spans="1:5" x14ac:dyDescent="0.2">
      <c r="A85" s="236">
        <v>83</v>
      </c>
      <c r="B85" s="516" t="s">
        <v>854</v>
      </c>
      <c r="C85" s="516" t="s">
        <v>855</v>
      </c>
      <c r="D85" s="226" t="s">
        <v>300</v>
      </c>
      <c r="E85" s="226" t="s">
        <v>735</v>
      </c>
    </row>
    <row r="86" spans="1:5" x14ac:dyDescent="0.2">
      <c r="A86" s="236">
        <v>84</v>
      </c>
      <c r="B86" s="517" t="s">
        <v>3920</v>
      </c>
      <c r="C86" s="517" t="s">
        <v>3924</v>
      </c>
      <c r="D86" s="229" t="s">
        <v>3929</v>
      </c>
      <c r="E86" s="229" t="s">
        <v>3930</v>
      </c>
    </row>
    <row r="87" spans="1:5" x14ac:dyDescent="0.2">
      <c r="A87" s="236">
        <v>85</v>
      </c>
      <c r="B87" s="516" t="s">
        <v>1167</v>
      </c>
      <c r="C87" s="516" t="s">
        <v>1175</v>
      </c>
      <c r="D87" s="226" t="s">
        <v>1174</v>
      </c>
      <c r="E87" s="226" t="s">
        <v>1178</v>
      </c>
    </row>
    <row r="88" spans="1:5" x14ac:dyDescent="0.2">
      <c r="A88" s="236">
        <v>86</v>
      </c>
      <c r="B88" s="517" t="s">
        <v>1403</v>
      </c>
      <c r="C88" s="517" t="s">
        <v>1411</v>
      </c>
      <c r="D88" s="229" t="s">
        <v>1410</v>
      </c>
      <c r="E88" s="229" t="s">
        <v>735</v>
      </c>
    </row>
    <row r="89" spans="1:5" x14ac:dyDescent="0.2">
      <c r="A89" s="236">
        <v>87</v>
      </c>
      <c r="B89" s="516" t="s">
        <v>1947</v>
      </c>
      <c r="C89" s="516" t="s">
        <v>1948</v>
      </c>
      <c r="D89" s="226" t="s">
        <v>1577</v>
      </c>
      <c r="E89" s="226" t="s">
        <v>1247</v>
      </c>
    </row>
    <row r="90" spans="1:5" x14ac:dyDescent="0.2">
      <c r="A90" s="236">
        <v>88</v>
      </c>
      <c r="B90" s="517" t="s">
        <v>2154</v>
      </c>
      <c r="C90" s="517" t="s">
        <v>2165</v>
      </c>
      <c r="D90" s="229" t="s">
        <v>2164</v>
      </c>
      <c r="E90" s="229" t="s">
        <v>1007</v>
      </c>
    </row>
    <row r="91" spans="1:5" x14ac:dyDescent="0.2">
      <c r="A91" s="236">
        <v>89</v>
      </c>
      <c r="B91" s="516" t="s">
        <v>3231</v>
      </c>
      <c r="C91" s="516" t="s">
        <v>3251</v>
      </c>
      <c r="D91" s="226" t="s">
        <v>3251</v>
      </c>
      <c r="E91" s="226" t="s">
        <v>3252</v>
      </c>
    </row>
    <row r="92" spans="1:5" x14ac:dyDescent="0.2">
      <c r="A92" s="236">
        <v>90</v>
      </c>
      <c r="B92" s="517" t="s">
        <v>3422</v>
      </c>
      <c r="C92" s="517" t="s">
        <v>3429</v>
      </c>
      <c r="D92" s="229" t="s">
        <v>2584</v>
      </c>
      <c r="E92" s="229" t="s">
        <v>3433</v>
      </c>
    </row>
    <row r="93" spans="1:5" x14ac:dyDescent="0.2">
      <c r="A93" s="236">
        <v>91</v>
      </c>
      <c r="B93" s="516" t="s">
        <v>429</v>
      </c>
      <c r="C93" s="516" t="s">
        <v>442</v>
      </c>
      <c r="D93" s="226" t="s">
        <v>441</v>
      </c>
      <c r="E93" s="226" t="s">
        <v>716</v>
      </c>
    </row>
    <row r="94" spans="1:5" x14ac:dyDescent="0.2">
      <c r="A94" s="236">
        <v>92</v>
      </c>
      <c r="B94" s="517" t="s">
        <v>2639</v>
      </c>
      <c r="C94" s="517" t="s">
        <v>2642</v>
      </c>
      <c r="D94" s="229" t="s">
        <v>307</v>
      </c>
      <c r="E94" s="229" t="s">
        <v>988</v>
      </c>
    </row>
    <row r="95" spans="1:5" x14ac:dyDescent="0.2">
      <c r="A95" s="236">
        <v>93</v>
      </c>
      <c r="B95" s="516" t="s">
        <v>538</v>
      </c>
      <c r="C95" s="516" t="s">
        <v>546</v>
      </c>
      <c r="D95" s="226" t="s">
        <v>545</v>
      </c>
      <c r="E95" s="226" t="s">
        <v>777</v>
      </c>
    </row>
    <row r="96" spans="1:5" x14ac:dyDescent="0.2">
      <c r="A96" s="236">
        <v>94</v>
      </c>
      <c r="B96" s="517" t="s">
        <v>581</v>
      </c>
      <c r="C96" s="517" t="s">
        <v>588</v>
      </c>
      <c r="D96" s="229" t="s">
        <v>303</v>
      </c>
      <c r="E96" s="229" t="s">
        <v>718</v>
      </c>
    </row>
    <row r="97" spans="1:5" x14ac:dyDescent="0.2">
      <c r="A97" s="236">
        <v>95</v>
      </c>
      <c r="B97" s="516" t="s">
        <v>4005</v>
      </c>
      <c r="C97" s="516" t="s">
        <v>4010</v>
      </c>
      <c r="D97" s="226" t="s">
        <v>4009</v>
      </c>
      <c r="E97" s="226" t="s">
        <v>4011</v>
      </c>
    </row>
    <row r="98" spans="1:5" x14ac:dyDescent="0.2">
      <c r="A98" s="236">
        <v>96</v>
      </c>
      <c r="B98" s="517" t="s">
        <v>2332</v>
      </c>
      <c r="C98" s="517" t="s">
        <v>2329</v>
      </c>
      <c r="D98" s="229" t="s">
        <v>441</v>
      </c>
      <c r="E98" s="229" t="s">
        <v>4779</v>
      </c>
    </row>
    <row r="99" spans="1:5" x14ac:dyDescent="0.2">
      <c r="A99" s="236">
        <v>97</v>
      </c>
      <c r="B99" s="516" t="s">
        <v>3585</v>
      </c>
      <c r="C99" s="516" t="s">
        <v>3616</v>
      </c>
      <c r="D99" s="226" t="s">
        <v>3615</v>
      </c>
      <c r="E99" s="226" t="s">
        <v>3620</v>
      </c>
    </row>
    <row r="100" spans="1:5" x14ac:dyDescent="0.2">
      <c r="A100" s="236">
        <v>98</v>
      </c>
      <c r="B100" s="517" t="s">
        <v>3056</v>
      </c>
      <c r="C100" s="517" t="s">
        <v>3060</v>
      </c>
      <c r="D100" s="229" t="s">
        <v>2841</v>
      </c>
      <c r="E100" s="229" t="s">
        <v>731</v>
      </c>
    </row>
    <row r="101" spans="1:5" x14ac:dyDescent="0.2">
      <c r="A101" s="236">
        <v>99</v>
      </c>
      <c r="B101" s="516" t="s">
        <v>785</v>
      </c>
      <c r="C101" s="516" t="s">
        <v>790</v>
      </c>
      <c r="D101" s="226" t="s">
        <v>795</v>
      </c>
      <c r="E101" s="226" t="s">
        <v>796</v>
      </c>
    </row>
    <row r="102" spans="1:5" x14ac:dyDescent="0.2">
      <c r="A102" s="236">
        <v>100</v>
      </c>
      <c r="B102" s="517" t="s">
        <v>1367</v>
      </c>
      <c r="C102" s="517" t="s">
        <v>1369</v>
      </c>
      <c r="D102" s="229" t="s">
        <v>1368</v>
      </c>
      <c r="E102" s="229" t="s">
        <v>4026</v>
      </c>
    </row>
  </sheetData>
  <sortState xmlns:xlrd2="http://schemas.microsoft.com/office/spreadsheetml/2017/richdata2" ref="B3:E102">
    <sortCondition ref="D3:D102"/>
  </sortState>
  <mergeCells count="2">
    <mergeCell ref="G1:H1"/>
    <mergeCell ref="A1:E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A842-9E03-4A71-8EB2-02308CCB50E6}">
  <dimension ref="A1:E460"/>
  <sheetViews>
    <sheetView topLeftCell="A80" zoomScale="80" zoomScaleNormal="80" workbookViewId="0">
      <selection activeCell="G871" sqref="G871"/>
    </sheetView>
  </sheetViews>
  <sheetFormatPr baseColWidth="10" defaultColWidth="8.83203125" defaultRowHeight="16" x14ac:dyDescent="0.2"/>
  <cols>
    <col min="1" max="1" width="4.5" bestFit="1" customWidth="1"/>
    <col min="2" max="2" width="26.83203125" bestFit="1" customWidth="1"/>
    <col min="3" max="3" width="44.33203125" bestFit="1" customWidth="1"/>
    <col min="4" max="4" width="6.6640625" bestFit="1" customWidth="1"/>
    <col min="5" max="5" width="14.1640625" bestFit="1" customWidth="1"/>
  </cols>
  <sheetData>
    <row r="1" spans="1:5" ht="18" x14ac:dyDescent="0.25">
      <c r="A1" s="567" t="s">
        <v>5956</v>
      </c>
      <c r="B1" s="567"/>
      <c r="C1" s="567"/>
      <c r="D1" s="567"/>
      <c r="E1" s="567"/>
    </row>
    <row r="2" spans="1:5" x14ac:dyDescent="0.2">
      <c r="A2" s="225" t="s">
        <v>318</v>
      </c>
      <c r="B2" s="225" t="s">
        <v>285</v>
      </c>
      <c r="C2" s="225" t="s">
        <v>286</v>
      </c>
      <c r="D2" s="225" t="s">
        <v>287</v>
      </c>
      <c r="E2" s="225" t="s">
        <v>957</v>
      </c>
    </row>
    <row r="3" spans="1:5" x14ac:dyDescent="0.2">
      <c r="A3" s="232">
        <v>1</v>
      </c>
      <c r="B3" s="226" t="s">
        <v>951</v>
      </c>
      <c r="C3" s="226" t="s">
        <v>949</v>
      </c>
      <c r="D3" s="227">
        <v>10.5</v>
      </c>
      <c r="E3" s="233">
        <v>10.85</v>
      </c>
    </row>
    <row r="4" spans="1:5" x14ac:dyDescent="0.2">
      <c r="A4" s="234">
        <v>2</v>
      </c>
      <c r="B4" s="229" t="s">
        <v>2292</v>
      </c>
      <c r="C4" s="229" t="s">
        <v>2277</v>
      </c>
      <c r="D4" s="230">
        <v>10</v>
      </c>
      <c r="E4" s="233">
        <v>10.44</v>
      </c>
    </row>
    <row r="5" spans="1:5" x14ac:dyDescent="0.2">
      <c r="A5" s="235">
        <v>3</v>
      </c>
      <c r="B5" s="226" t="s">
        <v>298</v>
      </c>
      <c r="C5" s="226" t="s">
        <v>981</v>
      </c>
      <c r="D5" s="227">
        <v>10</v>
      </c>
      <c r="E5" s="233">
        <v>10.39</v>
      </c>
    </row>
    <row r="6" spans="1:5" x14ac:dyDescent="0.2">
      <c r="A6" s="236">
        <v>4</v>
      </c>
      <c r="B6" s="229" t="s">
        <v>293</v>
      </c>
      <c r="C6" s="229" t="s">
        <v>294</v>
      </c>
      <c r="D6" s="230">
        <v>9.6999999999999993</v>
      </c>
      <c r="E6" s="233">
        <v>10.37</v>
      </c>
    </row>
    <row r="7" spans="1:5" x14ac:dyDescent="0.2">
      <c r="A7" s="236">
        <v>5</v>
      </c>
      <c r="B7" s="226" t="s">
        <v>293</v>
      </c>
      <c r="C7" s="226" t="s">
        <v>295</v>
      </c>
      <c r="D7" s="227">
        <v>9.68</v>
      </c>
      <c r="E7" s="233">
        <v>10.07</v>
      </c>
    </row>
    <row r="8" spans="1:5" x14ac:dyDescent="0.2">
      <c r="A8" s="236">
        <v>6</v>
      </c>
      <c r="B8" s="229" t="s">
        <v>2459</v>
      </c>
      <c r="C8" s="229" t="s">
        <v>634</v>
      </c>
      <c r="D8" s="230">
        <v>9.8800000000000008</v>
      </c>
      <c r="E8" s="233">
        <v>10.050000000000001</v>
      </c>
    </row>
    <row r="9" spans="1:5" x14ac:dyDescent="0.2">
      <c r="A9" s="236">
        <v>7</v>
      </c>
      <c r="B9" s="226" t="s">
        <v>298</v>
      </c>
      <c r="C9" s="226" t="s">
        <v>299</v>
      </c>
      <c r="D9" s="227">
        <v>9.61</v>
      </c>
      <c r="E9" s="233">
        <v>10</v>
      </c>
    </row>
    <row r="10" spans="1:5" x14ac:dyDescent="0.2">
      <c r="A10" s="236">
        <v>8</v>
      </c>
      <c r="B10" s="229" t="s">
        <v>4530</v>
      </c>
      <c r="C10" s="229" t="s">
        <v>4531</v>
      </c>
      <c r="D10" s="230">
        <v>9.5</v>
      </c>
      <c r="E10" s="501">
        <v>9.77</v>
      </c>
    </row>
    <row r="11" spans="1:5" x14ac:dyDescent="0.2">
      <c r="A11" s="236">
        <v>9</v>
      </c>
      <c r="B11" s="226" t="s">
        <v>298</v>
      </c>
      <c r="C11" s="226" t="s">
        <v>727</v>
      </c>
      <c r="D11" s="227">
        <v>9.4</v>
      </c>
      <c r="E11" s="239">
        <v>9.5500000000000007</v>
      </c>
    </row>
    <row r="12" spans="1:5" x14ac:dyDescent="0.2">
      <c r="A12" s="236">
        <v>10</v>
      </c>
      <c r="B12" s="229" t="s">
        <v>296</v>
      </c>
      <c r="C12" s="229" t="s">
        <v>239</v>
      </c>
      <c r="D12" s="230">
        <v>9.3800000000000008</v>
      </c>
      <c r="E12" s="240">
        <v>9.5299999999999994</v>
      </c>
    </row>
    <row r="13" spans="1:5" x14ac:dyDescent="0.2">
      <c r="A13" s="236">
        <v>11</v>
      </c>
      <c r="B13" s="226" t="s">
        <v>297</v>
      </c>
      <c r="C13" s="226" t="s">
        <v>1079</v>
      </c>
      <c r="D13" s="227">
        <v>9.4</v>
      </c>
      <c r="E13" s="241">
        <v>9.4600000000000009</v>
      </c>
    </row>
    <row r="14" spans="1:5" x14ac:dyDescent="0.2">
      <c r="A14" s="236">
        <v>12</v>
      </c>
      <c r="B14" s="229" t="s">
        <v>1871</v>
      </c>
      <c r="C14" s="229" t="s">
        <v>1864</v>
      </c>
      <c r="D14" s="230">
        <v>9.31</v>
      </c>
      <c r="E14" s="242">
        <v>9.43</v>
      </c>
    </row>
    <row r="15" spans="1:5" x14ac:dyDescent="0.2">
      <c r="A15" s="236">
        <v>13</v>
      </c>
      <c r="B15" s="226" t="s">
        <v>293</v>
      </c>
      <c r="C15" s="226" t="s">
        <v>251</v>
      </c>
      <c r="D15" s="227">
        <v>9.15</v>
      </c>
      <c r="E15" s="243">
        <v>9.3699999999999992</v>
      </c>
    </row>
    <row r="16" spans="1:5" x14ac:dyDescent="0.2">
      <c r="A16" s="236">
        <v>14</v>
      </c>
      <c r="B16" s="229" t="s">
        <v>297</v>
      </c>
      <c r="C16" s="229" t="s">
        <v>959</v>
      </c>
      <c r="D16" s="230">
        <v>9.3000000000000007</v>
      </c>
      <c r="E16" s="244">
        <v>9.36</v>
      </c>
    </row>
    <row r="17" spans="1:5" x14ac:dyDescent="0.2">
      <c r="A17" s="236">
        <v>15</v>
      </c>
      <c r="B17" s="226" t="s">
        <v>302</v>
      </c>
      <c r="C17" s="226" t="s">
        <v>186</v>
      </c>
      <c r="D17" s="227">
        <v>9.2100000000000009</v>
      </c>
      <c r="E17" s="245">
        <v>9.34</v>
      </c>
    </row>
    <row r="18" spans="1:5" x14ac:dyDescent="0.2">
      <c r="A18" s="236">
        <v>16</v>
      </c>
      <c r="B18" s="229" t="s">
        <v>5451</v>
      </c>
      <c r="C18" s="229" t="s">
        <v>5452</v>
      </c>
      <c r="D18" s="230">
        <v>9.25</v>
      </c>
      <c r="E18" s="452">
        <v>9.33</v>
      </c>
    </row>
    <row r="19" spans="1:5" x14ac:dyDescent="0.2">
      <c r="A19" s="236">
        <v>17</v>
      </c>
      <c r="B19" s="226" t="s">
        <v>405</v>
      </c>
      <c r="C19" s="226" t="s">
        <v>36</v>
      </c>
      <c r="D19" s="227">
        <v>9.15</v>
      </c>
      <c r="E19" s="246">
        <v>9.23</v>
      </c>
    </row>
    <row r="20" spans="1:5" x14ac:dyDescent="0.2">
      <c r="A20" s="236">
        <v>18</v>
      </c>
      <c r="B20" s="229" t="s">
        <v>441</v>
      </c>
      <c r="C20" s="229" t="s">
        <v>459</v>
      </c>
      <c r="D20" s="230">
        <v>9.17</v>
      </c>
      <c r="E20" s="246">
        <v>9.23</v>
      </c>
    </row>
    <row r="21" spans="1:5" x14ac:dyDescent="0.2">
      <c r="A21" s="236">
        <v>19</v>
      </c>
      <c r="B21" s="226" t="s">
        <v>312</v>
      </c>
      <c r="C21" s="226" t="s">
        <v>1080</v>
      </c>
      <c r="D21" s="227">
        <v>8.8800000000000008</v>
      </c>
      <c r="E21" s="249">
        <v>9.14</v>
      </c>
    </row>
    <row r="22" spans="1:5" x14ac:dyDescent="0.2">
      <c r="A22" s="236">
        <v>20</v>
      </c>
      <c r="B22" s="229" t="s">
        <v>357</v>
      </c>
      <c r="C22" s="229" t="s">
        <v>351</v>
      </c>
      <c r="D22" s="230">
        <v>9.0500000000000007</v>
      </c>
      <c r="E22" s="249">
        <v>9.14</v>
      </c>
    </row>
    <row r="23" spans="1:5" x14ac:dyDescent="0.2">
      <c r="A23" s="236">
        <v>21</v>
      </c>
      <c r="B23" s="226" t="s">
        <v>293</v>
      </c>
      <c r="C23" s="226" t="s">
        <v>393</v>
      </c>
      <c r="D23" s="227">
        <v>9.0399999999999991</v>
      </c>
      <c r="E23" s="249">
        <v>9.14</v>
      </c>
    </row>
    <row r="24" spans="1:5" x14ac:dyDescent="0.2">
      <c r="A24" s="236">
        <v>22</v>
      </c>
      <c r="B24" s="229" t="s">
        <v>296</v>
      </c>
      <c r="C24" s="229" t="s">
        <v>3985</v>
      </c>
      <c r="D24" s="230">
        <v>9.1300000000000008</v>
      </c>
      <c r="E24" s="250">
        <v>9.1</v>
      </c>
    </row>
    <row r="25" spans="1:5" x14ac:dyDescent="0.2">
      <c r="A25" s="236">
        <v>23</v>
      </c>
      <c r="B25" s="226" t="s">
        <v>5608</v>
      </c>
      <c r="C25" s="226" t="s">
        <v>5572</v>
      </c>
      <c r="D25" s="227">
        <v>9</v>
      </c>
      <c r="E25" s="250">
        <v>9.09</v>
      </c>
    </row>
    <row r="26" spans="1:5" x14ac:dyDescent="0.2">
      <c r="A26" s="236">
        <v>24</v>
      </c>
      <c r="B26" s="229" t="s">
        <v>1477</v>
      </c>
      <c r="C26" s="229" t="s">
        <v>1478</v>
      </c>
      <c r="D26" s="230">
        <v>9.1</v>
      </c>
      <c r="E26" s="434">
        <v>9.06</v>
      </c>
    </row>
    <row r="27" spans="1:5" x14ac:dyDescent="0.2">
      <c r="A27" s="236">
        <v>25</v>
      </c>
      <c r="B27" s="226" t="s">
        <v>441</v>
      </c>
      <c r="C27" s="226" t="s">
        <v>609</v>
      </c>
      <c r="D27" s="227">
        <v>8.94</v>
      </c>
      <c r="E27" s="252">
        <v>9.0399999999999991</v>
      </c>
    </row>
    <row r="28" spans="1:5" x14ac:dyDescent="0.2">
      <c r="A28" s="236">
        <v>26</v>
      </c>
      <c r="B28" s="229" t="s">
        <v>307</v>
      </c>
      <c r="C28" s="229" t="s">
        <v>95</v>
      </c>
      <c r="D28" s="230">
        <v>8.94</v>
      </c>
      <c r="E28" s="253">
        <v>9.0299999999999994</v>
      </c>
    </row>
    <row r="29" spans="1:5" x14ac:dyDescent="0.2">
      <c r="A29" s="236">
        <v>27</v>
      </c>
      <c r="B29" s="226" t="s">
        <v>4671</v>
      </c>
      <c r="C29" s="226" t="s">
        <v>4672</v>
      </c>
      <c r="D29" s="227">
        <v>9.08</v>
      </c>
      <c r="E29" s="253">
        <v>9.0299999999999994</v>
      </c>
    </row>
    <row r="30" spans="1:5" x14ac:dyDescent="0.2">
      <c r="A30" s="236">
        <v>28</v>
      </c>
      <c r="B30" s="229" t="s">
        <v>1491</v>
      </c>
      <c r="C30" s="229" t="s">
        <v>2189</v>
      </c>
      <c r="D30" s="230">
        <v>9.07</v>
      </c>
      <c r="E30" s="254">
        <v>9.02</v>
      </c>
    </row>
    <row r="31" spans="1:5" x14ac:dyDescent="0.2">
      <c r="A31" s="236">
        <v>29</v>
      </c>
      <c r="B31" s="226" t="s">
        <v>4799</v>
      </c>
      <c r="C31" s="226" t="s">
        <v>4800</v>
      </c>
      <c r="D31" s="227">
        <v>8.9600000000000009</v>
      </c>
      <c r="E31" s="556">
        <v>9.01</v>
      </c>
    </row>
    <row r="32" spans="1:5" x14ac:dyDescent="0.2">
      <c r="A32" s="236">
        <v>30</v>
      </c>
      <c r="B32" s="229" t="s">
        <v>298</v>
      </c>
      <c r="C32" s="229" t="s">
        <v>1679</v>
      </c>
      <c r="D32" s="230">
        <v>8.92</v>
      </c>
      <c r="E32" s="256">
        <v>8.9700000000000006</v>
      </c>
    </row>
    <row r="33" spans="1:5" x14ac:dyDescent="0.2">
      <c r="A33" s="236">
        <v>31</v>
      </c>
      <c r="B33" s="226" t="s">
        <v>298</v>
      </c>
      <c r="C33" s="226" t="s">
        <v>2769</v>
      </c>
      <c r="D33" s="227">
        <v>8.8000000000000007</v>
      </c>
      <c r="E33" s="256">
        <v>8.9700000000000006</v>
      </c>
    </row>
    <row r="34" spans="1:5" x14ac:dyDescent="0.2">
      <c r="A34" s="236">
        <v>32</v>
      </c>
      <c r="B34" s="229" t="s">
        <v>4914</v>
      </c>
      <c r="C34" s="229" t="s">
        <v>4915</v>
      </c>
      <c r="D34" s="230">
        <v>9</v>
      </c>
      <c r="E34" s="256">
        <v>8.9700000000000006</v>
      </c>
    </row>
    <row r="35" spans="1:5" x14ac:dyDescent="0.2">
      <c r="A35" s="236">
        <v>33</v>
      </c>
      <c r="B35" s="226" t="s">
        <v>4530</v>
      </c>
      <c r="C35" s="226" t="s">
        <v>5300</v>
      </c>
      <c r="D35" s="227">
        <v>8.92</v>
      </c>
      <c r="E35" s="256">
        <v>8.9700000000000006</v>
      </c>
    </row>
    <row r="36" spans="1:5" x14ac:dyDescent="0.2">
      <c r="A36" s="236">
        <v>34</v>
      </c>
      <c r="B36" s="229" t="s">
        <v>1226</v>
      </c>
      <c r="C36" s="229" t="s">
        <v>1217</v>
      </c>
      <c r="D36" s="230">
        <v>9</v>
      </c>
      <c r="E36" s="257">
        <v>8.9600000000000009</v>
      </c>
    </row>
    <row r="37" spans="1:5" x14ac:dyDescent="0.2">
      <c r="A37" s="236">
        <v>35</v>
      </c>
      <c r="B37" s="226" t="s">
        <v>2459</v>
      </c>
      <c r="C37" s="226" t="s">
        <v>3418</v>
      </c>
      <c r="D37" s="227">
        <v>9</v>
      </c>
      <c r="E37" s="257">
        <v>8.9600000000000009</v>
      </c>
    </row>
    <row r="38" spans="1:5" x14ac:dyDescent="0.2">
      <c r="A38" s="236">
        <v>36</v>
      </c>
      <c r="B38" s="229" t="s">
        <v>311</v>
      </c>
      <c r="C38" s="229" t="s">
        <v>1502</v>
      </c>
      <c r="D38" s="230">
        <v>8.94</v>
      </c>
      <c r="E38" s="258">
        <v>8.9499999999999993</v>
      </c>
    </row>
    <row r="39" spans="1:5" x14ac:dyDescent="0.2">
      <c r="A39" s="236">
        <v>37</v>
      </c>
      <c r="B39" s="226" t="s">
        <v>3580</v>
      </c>
      <c r="C39" s="226" t="s">
        <v>3581</v>
      </c>
      <c r="D39" s="227">
        <v>9</v>
      </c>
      <c r="E39" s="258">
        <v>8.9499999999999993</v>
      </c>
    </row>
    <row r="40" spans="1:5" x14ac:dyDescent="0.2">
      <c r="A40" s="236">
        <v>38</v>
      </c>
      <c r="B40" s="229" t="s">
        <v>4654</v>
      </c>
      <c r="C40" s="229" t="s">
        <v>5925</v>
      </c>
      <c r="D40" s="230">
        <v>8.94</v>
      </c>
      <c r="E40" s="258">
        <v>8.9499999999999993</v>
      </c>
    </row>
    <row r="41" spans="1:5" x14ac:dyDescent="0.2">
      <c r="A41" s="236">
        <v>39</v>
      </c>
      <c r="B41" s="226" t="s">
        <v>2555</v>
      </c>
      <c r="C41" s="226" t="s">
        <v>168</v>
      </c>
      <c r="D41" s="227">
        <v>9</v>
      </c>
      <c r="E41" s="392">
        <v>8.94</v>
      </c>
    </row>
    <row r="42" spans="1:5" x14ac:dyDescent="0.2">
      <c r="A42" s="236">
        <v>40</v>
      </c>
      <c r="B42" s="229" t="s">
        <v>699</v>
      </c>
      <c r="C42" s="229" t="s">
        <v>700</v>
      </c>
      <c r="D42" s="230">
        <v>8.91</v>
      </c>
      <c r="E42" s="259">
        <v>8.93</v>
      </c>
    </row>
    <row r="43" spans="1:5" x14ac:dyDescent="0.2">
      <c r="A43" s="236">
        <v>41</v>
      </c>
      <c r="B43" s="226" t="s">
        <v>311</v>
      </c>
      <c r="C43" s="226" t="s">
        <v>947</v>
      </c>
      <c r="D43" s="227">
        <v>8.82</v>
      </c>
      <c r="E43" s="259">
        <v>8.93</v>
      </c>
    </row>
    <row r="44" spans="1:5" x14ac:dyDescent="0.2">
      <c r="A44" s="236">
        <v>42</v>
      </c>
      <c r="B44" s="229" t="s">
        <v>3380</v>
      </c>
      <c r="C44" s="229" t="s">
        <v>3381</v>
      </c>
      <c r="D44" s="230">
        <v>9</v>
      </c>
      <c r="E44" s="260">
        <v>8.92</v>
      </c>
    </row>
    <row r="45" spans="1:5" x14ac:dyDescent="0.2">
      <c r="A45" s="236">
        <v>43</v>
      </c>
      <c r="B45" s="226" t="s">
        <v>4066</v>
      </c>
      <c r="C45" s="226" t="s">
        <v>4067</v>
      </c>
      <c r="D45" s="227">
        <v>9</v>
      </c>
      <c r="E45" s="260">
        <v>8.92</v>
      </c>
    </row>
    <row r="46" spans="1:5" x14ac:dyDescent="0.2">
      <c r="A46" s="236">
        <v>44</v>
      </c>
      <c r="B46" s="229" t="s">
        <v>1227</v>
      </c>
      <c r="C46" s="229" t="s">
        <v>5819</v>
      </c>
      <c r="D46" s="230">
        <v>8.9499999999999993</v>
      </c>
      <c r="E46" s="260">
        <v>8.92</v>
      </c>
    </row>
    <row r="47" spans="1:5" x14ac:dyDescent="0.2">
      <c r="A47" s="236">
        <v>45</v>
      </c>
      <c r="B47" s="226" t="s">
        <v>951</v>
      </c>
      <c r="C47" s="226" t="s">
        <v>4417</v>
      </c>
      <c r="D47" s="227">
        <v>9</v>
      </c>
      <c r="E47" s="261">
        <v>8.91</v>
      </c>
    </row>
    <row r="48" spans="1:5" x14ac:dyDescent="0.2">
      <c r="A48" s="236">
        <v>46</v>
      </c>
      <c r="B48" s="229" t="s">
        <v>677</v>
      </c>
      <c r="C48" s="229" t="s">
        <v>1318</v>
      </c>
      <c r="D48" s="230">
        <v>8.8800000000000008</v>
      </c>
      <c r="E48" s="262">
        <v>8.89</v>
      </c>
    </row>
    <row r="49" spans="1:5" x14ac:dyDescent="0.2">
      <c r="A49" s="236">
        <v>47</v>
      </c>
      <c r="B49" s="226" t="s">
        <v>1378</v>
      </c>
      <c r="C49" s="226" t="s">
        <v>1379</v>
      </c>
      <c r="D49" s="227">
        <v>8.93</v>
      </c>
      <c r="E49" s="263">
        <v>8.8800000000000008</v>
      </c>
    </row>
    <row r="50" spans="1:5" x14ac:dyDescent="0.2">
      <c r="A50" s="236">
        <v>48</v>
      </c>
      <c r="B50" s="229" t="s">
        <v>2380</v>
      </c>
      <c r="C50" s="229" t="s">
        <v>2381</v>
      </c>
      <c r="D50" s="230">
        <v>8.86</v>
      </c>
      <c r="E50" s="263">
        <v>8.8800000000000008</v>
      </c>
    </row>
    <row r="51" spans="1:5" x14ac:dyDescent="0.2">
      <c r="A51" s="236">
        <v>49</v>
      </c>
      <c r="B51" s="226" t="s">
        <v>305</v>
      </c>
      <c r="C51" s="226" t="s">
        <v>306</v>
      </c>
      <c r="D51" s="227">
        <v>8.89</v>
      </c>
      <c r="E51" s="264">
        <v>8.8699999999999992</v>
      </c>
    </row>
    <row r="52" spans="1:5" x14ac:dyDescent="0.2">
      <c r="A52" s="236">
        <v>50</v>
      </c>
      <c r="B52" s="229" t="s">
        <v>307</v>
      </c>
      <c r="C52" s="229" t="s">
        <v>307</v>
      </c>
      <c r="D52" s="230">
        <v>8.83</v>
      </c>
      <c r="E52" s="265">
        <v>8.86</v>
      </c>
    </row>
    <row r="53" spans="1:5" x14ac:dyDescent="0.2">
      <c r="A53" s="236">
        <v>51</v>
      </c>
      <c r="B53" s="226" t="s">
        <v>2164</v>
      </c>
      <c r="C53" s="226" t="s">
        <v>2313</v>
      </c>
      <c r="D53" s="227">
        <v>8.7899999999999991</v>
      </c>
      <c r="E53" s="265">
        <v>8.86</v>
      </c>
    </row>
    <row r="54" spans="1:5" x14ac:dyDescent="0.2">
      <c r="A54" s="236">
        <v>52</v>
      </c>
      <c r="B54" s="229" t="s">
        <v>3929</v>
      </c>
      <c r="C54" s="229" t="s">
        <v>3924</v>
      </c>
      <c r="D54" s="230">
        <v>8.83</v>
      </c>
      <c r="E54" s="266">
        <v>8.85</v>
      </c>
    </row>
    <row r="55" spans="1:5" x14ac:dyDescent="0.2">
      <c r="A55" s="236">
        <v>53</v>
      </c>
      <c r="B55" s="226" t="s">
        <v>2459</v>
      </c>
      <c r="C55" s="226" t="s">
        <v>2460</v>
      </c>
      <c r="D55" s="227">
        <v>8.83</v>
      </c>
      <c r="E55" s="267">
        <v>8.84</v>
      </c>
    </row>
    <row r="56" spans="1:5" x14ac:dyDescent="0.2">
      <c r="A56" s="236">
        <v>54</v>
      </c>
      <c r="B56" s="229" t="s">
        <v>1276</v>
      </c>
      <c r="C56" s="229" t="s">
        <v>1269</v>
      </c>
      <c r="D56" s="230">
        <v>8.86</v>
      </c>
      <c r="E56" s="267">
        <v>8.83</v>
      </c>
    </row>
    <row r="57" spans="1:5" x14ac:dyDescent="0.2">
      <c r="A57" s="236">
        <v>55</v>
      </c>
      <c r="B57" s="226" t="s">
        <v>1655</v>
      </c>
      <c r="C57" s="226" t="s">
        <v>1656</v>
      </c>
      <c r="D57" s="227">
        <v>8.92</v>
      </c>
      <c r="E57" s="267">
        <v>8.83</v>
      </c>
    </row>
    <row r="58" spans="1:5" x14ac:dyDescent="0.2">
      <c r="A58" s="236">
        <v>56</v>
      </c>
      <c r="B58" s="229" t="s">
        <v>2164</v>
      </c>
      <c r="C58" s="229" t="s">
        <v>2165</v>
      </c>
      <c r="D58" s="230">
        <v>8.81</v>
      </c>
      <c r="E58" s="267">
        <v>8.83</v>
      </c>
    </row>
    <row r="59" spans="1:5" x14ac:dyDescent="0.2">
      <c r="A59" s="236">
        <v>57</v>
      </c>
      <c r="B59" s="226" t="s">
        <v>3251</v>
      </c>
      <c r="C59" s="226" t="s">
        <v>3251</v>
      </c>
      <c r="D59" s="227">
        <v>8.82</v>
      </c>
      <c r="E59" s="267">
        <v>8.83</v>
      </c>
    </row>
    <row r="60" spans="1:5" x14ac:dyDescent="0.2">
      <c r="A60" s="236">
        <v>58</v>
      </c>
      <c r="B60" s="229" t="s">
        <v>2584</v>
      </c>
      <c r="C60" s="229" t="s">
        <v>3429</v>
      </c>
      <c r="D60" s="230">
        <v>8.81</v>
      </c>
      <c r="E60" s="267">
        <v>8.83</v>
      </c>
    </row>
    <row r="61" spans="1:5" x14ac:dyDescent="0.2">
      <c r="A61" s="236">
        <v>59</v>
      </c>
      <c r="B61" s="226" t="s">
        <v>3380</v>
      </c>
      <c r="C61" s="226" t="s">
        <v>4641</v>
      </c>
      <c r="D61" s="227">
        <v>8.92</v>
      </c>
      <c r="E61" s="267">
        <v>8.83</v>
      </c>
    </row>
    <row r="62" spans="1:5" x14ac:dyDescent="0.2">
      <c r="A62" s="236">
        <v>60</v>
      </c>
      <c r="B62" s="229" t="s">
        <v>297</v>
      </c>
      <c r="C62" s="229" t="s">
        <v>2454</v>
      </c>
      <c r="D62" s="230">
        <v>8.86</v>
      </c>
      <c r="E62" s="268">
        <v>8.82</v>
      </c>
    </row>
    <row r="63" spans="1:5" x14ac:dyDescent="0.2">
      <c r="A63" s="236">
        <v>61</v>
      </c>
      <c r="B63" s="226" t="s">
        <v>441</v>
      </c>
      <c r="C63" s="226" t="s">
        <v>442</v>
      </c>
      <c r="D63" s="227">
        <v>8.7899999999999991</v>
      </c>
      <c r="E63" s="269">
        <v>8.81</v>
      </c>
    </row>
    <row r="64" spans="1:5" x14ac:dyDescent="0.2">
      <c r="A64" s="236">
        <v>62</v>
      </c>
      <c r="B64" s="229" t="s">
        <v>2477</v>
      </c>
      <c r="C64" s="229" t="s">
        <v>2476</v>
      </c>
      <c r="D64" s="230">
        <v>8.8800000000000008</v>
      </c>
      <c r="E64" s="269">
        <v>8.81</v>
      </c>
    </row>
    <row r="65" spans="1:5" x14ac:dyDescent="0.2">
      <c r="A65" s="236">
        <v>63</v>
      </c>
      <c r="B65" s="226" t="s">
        <v>307</v>
      </c>
      <c r="C65" s="226" t="s">
        <v>2642</v>
      </c>
      <c r="D65" s="227">
        <v>8.8000000000000007</v>
      </c>
      <c r="E65" s="269">
        <v>8.81</v>
      </c>
    </row>
    <row r="66" spans="1:5" x14ac:dyDescent="0.2">
      <c r="A66" s="236">
        <v>64</v>
      </c>
      <c r="B66" s="229" t="s">
        <v>545</v>
      </c>
      <c r="C66" s="229" t="s">
        <v>546</v>
      </c>
      <c r="D66" s="230">
        <v>8.7799999999999994</v>
      </c>
      <c r="E66" s="270">
        <v>8.7899999999999991</v>
      </c>
    </row>
    <row r="67" spans="1:5" x14ac:dyDescent="0.2">
      <c r="A67" s="236">
        <v>65</v>
      </c>
      <c r="B67" s="226" t="s">
        <v>4009</v>
      </c>
      <c r="C67" s="226" t="s">
        <v>4010</v>
      </c>
      <c r="D67" s="227">
        <v>8.77</v>
      </c>
      <c r="E67" s="270">
        <v>8.7899999999999991</v>
      </c>
    </row>
    <row r="68" spans="1:5" x14ac:dyDescent="0.2">
      <c r="A68" s="236">
        <v>66</v>
      </c>
      <c r="B68" s="229" t="s">
        <v>1555</v>
      </c>
      <c r="C68" s="229" t="s">
        <v>1554</v>
      </c>
      <c r="D68" s="230">
        <v>8.85</v>
      </c>
      <c r="E68" s="271">
        <v>8.7799999999999994</v>
      </c>
    </row>
    <row r="69" spans="1:5" x14ac:dyDescent="0.2">
      <c r="A69" s="236">
        <v>67</v>
      </c>
      <c r="B69" s="226" t="s">
        <v>441</v>
      </c>
      <c r="C69" s="226" t="s">
        <v>2329</v>
      </c>
      <c r="D69" s="227">
        <v>8.75</v>
      </c>
      <c r="E69" s="271">
        <v>8.7799999999999994</v>
      </c>
    </row>
    <row r="70" spans="1:5" x14ac:dyDescent="0.2">
      <c r="A70" s="236">
        <v>68</v>
      </c>
      <c r="B70" s="229" t="s">
        <v>3615</v>
      </c>
      <c r="C70" s="229" t="s">
        <v>3616</v>
      </c>
      <c r="D70" s="230">
        <v>8.75</v>
      </c>
      <c r="E70" s="271">
        <v>8.7799999999999994</v>
      </c>
    </row>
    <row r="71" spans="1:5" x14ac:dyDescent="0.2">
      <c r="A71" s="236">
        <v>69</v>
      </c>
      <c r="B71" s="226" t="s">
        <v>297</v>
      </c>
      <c r="C71" s="226" t="s">
        <v>1286</v>
      </c>
      <c r="D71" s="227">
        <v>8.83</v>
      </c>
      <c r="E71" s="272">
        <v>8.77</v>
      </c>
    </row>
    <row r="72" spans="1:5" x14ac:dyDescent="0.2">
      <c r="A72" s="236">
        <v>70</v>
      </c>
      <c r="B72" s="229" t="s">
        <v>2417</v>
      </c>
      <c r="C72" s="229" t="s">
        <v>2418</v>
      </c>
      <c r="D72" s="230">
        <v>8.8800000000000008</v>
      </c>
      <c r="E72" s="272">
        <v>8.77</v>
      </c>
    </row>
    <row r="73" spans="1:5" x14ac:dyDescent="0.2">
      <c r="A73" s="236">
        <v>71</v>
      </c>
      <c r="B73" s="226" t="s">
        <v>293</v>
      </c>
      <c r="C73" s="226" t="s">
        <v>518</v>
      </c>
      <c r="D73" s="227">
        <v>8.77</v>
      </c>
      <c r="E73" s="274">
        <v>8.75</v>
      </c>
    </row>
    <row r="74" spans="1:5" x14ac:dyDescent="0.2">
      <c r="A74" s="236">
        <v>72</v>
      </c>
      <c r="B74" s="229" t="s">
        <v>2238</v>
      </c>
      <c r="C74" s="229" t="s">
        <v>2228</v>
      </c>
      <c r="D74" s="230">
        <v>8.86</v>
      </c>
      <c r="E74" s="275">
        <v>8.74</v>
      </c>
    </row>
    <row r="75" spans="1:5" x14ac:dyDescent="0.2">
      <c r="A75" s="236">
        <v>73</v>
      </c>
      <c r="B75" s="226" t="s">
        <v>759</v>
      </c>
      <c r="C75" s="226" t="s">
        <v>4435</v>
      </c>
      <c r="D75" s="227">
        <v>8.69</v>
      </c>
      <c r="E75" s="373">
        <v>8.73</v>
      </c>
    </row>
    <row r="76" spans="1:5" x14ac:dyDescent="0.2">
      <c r="A76" s="236">
        <v>74</v>
      </c>
      <c r="B76" s="229" t="s">
        <v>4387</v>
      </c>
      <c r="C76" s="229" t="s">
        <v>4388</v>
      </c>
      <c r="D76" s="230">
        <v>8.69</v>
      </c>
      <c r="E76" s="276">
        <v>8.7200000000000006</v>
      </c>
    </row>
    <row r="77" spans="1:5" x14ac:dyDescent="0.2">
      <c r="A77" s="236">
        <v>75</v>
      </c>
      <c r="B77" s="226" t="s">
        <v>313</v>
      </c>
      <c r="C77" s="226" t="s">
        <v>4529</v>
      </c>
      <c r="D77" s="227">
        <v>8.69</v>
      </c>
      <c r="E77" s="276">
        <v>8.7200000000000006</v>
      </c>
    </row>
    <row r="78" spans="1:5" x14ac:dyDescent="0.2">
      <c r="A78" s="236">
        <v>76</v>
      </c>
      <c r="B78" s="229" t="s">
        <v>370</v>
      </c>
      <c r="C78" s="229" t="s">
        <v>368</v>
      </c>
      <c r="D78" s="230">
        <v>8.67</v>
      </c>
      <c r="E78" s="277">
        <v>8.7100000000000009</v>
      </c>
    </row>
    <row r="79" spans="1:5" x14ac:dyDescent="0.2">
      <c r="A79" s="236">
        <v>77</v>
      </c>
      <c r="B79" s="226" t="s">
        <v>2796</v>
      </c>
      <c r="C79" s="226" t="s">
        <v>4590</v>
      </c>
      <c r="D79" s="227">
        <v>8.8000000000000007</v>
      </c>
      <c r="E79" s="278">
        <v>8.6999999999999993</v>
      </c>
    </row>
    <row r="80" spans="1:5" x14ac:dyDescent="0.2">
      <c r="A80" s="236">
        <v>78</v>
      </c>
      <c r="B80" s="229" t="s">
        <v>2306</v>
      </c>
      <c r="C80" s="229" t="s">
        <v>4221</v>
      </c>
      <c r="D80" s="230">
        <v>8.65</v>
      </c>
      <c r="E80" s="278">
        <v>8.6999999999999993</v>
      </c>
    </row>
    <row r="81" spans="1:5" x14ac:dyDescent="0.2">
      <c r="A81" s="236">
        <v>79</v>
      </c>
      <c r="B81" s="226" t="s">
        <v>293</v>
      </c>
      <c r="C81" s="226" t="s">
        <v>4532</v>
      </c>
      <c r="D81" s="227">
        <v>8.75</v>
      </c>
      <c r="E81" s="336">
        <v>8.69</v>
      </c>
    </row>
    <row r="82" spans="1:5" x14ac:dyDescent="0.2">
      <c r="A82" s="236">
        <v>80</v>
      </c>
      <c r="B82" s="229" t="s">
        <v>4720</v>
      </c>
      <c r="C82" s="229" t="s">
        <v>4701</v>
      </c>
      <c r="D82" s="230">
        <v>8.65</v>
      </c>
      <c r="E82" s="336">
        <v>8.69</v>
      </c>
    </row>
    <row r="83" spans="1:5" x14ac:dyDescent="0.2">
      <c r="A83" s="236">
        <v>81</v>
      </c>
      <c r="B83" s="226" t="s">
        <v>545</v>
      </c>
      <c r="C83" s="226" t="s">
        <v>4816</v>
      </c>
      <c r="D83" s="227">
        <v>8.81</v>
      </c>
      <c r="E83" s="336">
        <v>8.69</v>
      </c>
    </row>
    <row r="84" spans="1:5" x14ac:dyDescent="0.2">
      <c r="A84" s="236">
        <v>82</v>
      </c>
      <c r="B84" s="229" t="s">
        <v>4481</v>
      </c>
      <c r="C84" s="229" t="s">
        <v>4482</v>
      </c>
      <c r="D84" s="230">
        <v>8.8000000000000007</v>
      </c>
      <c r="E84" s="279">
        <v>8.68</v>
      </c>
    </row>
    <row r="85" spans="1:5" x14ac:dyDescent="0.2">
      <c r="A85" s="236">
        <v>83</v>
      </c>
      <c r="B85" s="226" t="s">
        <v>2507</v>
      </c>
      <c r="C85" s="226" t="s">
        <v>2508</v>
      </c>
      <c r="D85" s="227">
        <v>8.75</v>
      </c>
      <c r="E85" s="280">
        <v>8.67</v>
      </c>
    </row>
    <row r="86" spans="1:5" x14ac:dyDescent="0.2">
      <c r="A86" s="236">
        <v>84</v>
      </c>
      <c r="B86" s="229" t="s">
        <v>2555</v>
      </c>
      <c r="C86" s="229" t="s">
        <v>3088</v>
      </c>
      <c r="D86" s="230">
        <v>8.7899999999999991</v>
      </c>
      <c r="E86" s="280">
        <v>8.67</v>
      </c>
    </row>
    <row r="87" spans="1:5" x14ac:dyDescent="0.2">
      <c r="A87" s="236">
        <v>85</v>
      </c>
      <c r="B87" s="226" t="s">
        <v>3563</v>
      </c>
      <c r="C87" s="226" t="s">
        <v>3564</v>
      </c>
      <c r="D87" s="227">
        <v>8.7899999999999991</v>
      </c>
      <c r="E87" s="280">
        <v>8.67</v>
      </c>
    </row>
    <row r="88" spans="1:5" x14ac:dyDescent="0.2">
      <c r="A88" s="236">
        <v>86</v>
      </c>
      <c r="B88" s="229" t="s">
        <v>4330</v>
      </c>
      <c r="C88" s="229" t="s">
        <v>4331</v>
      </c>
      <c r="D88" s="230">
        <v>8.75</v>
      </c>
      <c r="E88" s="281">
        <v>8.66</v>
      </c>
    </row>
    <row r="89" spans="1:5" x14ac:dyDescent="0.2">
      <c r="A89" s="236">
        <v>87</v>
      </c>
      <c r="B89" s="226" t="s">
        <v>310</v>
      </c>
      <c r="C89" s="226" t="s">
        <v>159</v>
      </c>
      <c r="D89" s="227">
        <v>8.7100000000000009</v>
      </c>
      <c r="E89" s="282">
        <v>8.65</v>
      </c>
    </row>
    <row r="90" spans="1:5" x14ac:dyDescent="0.2">
      <c r="A90" s="236">
        <v>88</v>
      </c>
      <c r="B90" s="229" t="s">
        <v>1227</v>
      </c>
      <c r="C90" s="229" t="s">
        <v>1228</v>
      </c>
      <c r="D90" s="230">
        <v>8.77</v>
      </c>
      <c r="E90" s="282">
        <v>8.65</v>
      </c>
    </row>
    <row r="91" spans="1:5" x14ac:dyDescent="0.2">
      <c r="A91" s="236">
        <v>89</v>
      </c>
      <c r="B91" s="226" t="s">
        <v>1491</v>
      </c>
      <c r="C91" s="226" t="s">
        <v>1484</v>
      </c>
      <c r="D91" s="227">
        <v>8.75</v>
      </c>
      <c r="E91" s="284">
        <v>8.6300000000000008</v>
      </c>
    </row>
    <row r="92" spans="1:5" x14ac:dyDescent="0.2">
      <c r="A92" s="236">
        <v>90</v>
      </c>
      <c r="B92" s="229" t="s">
        <v>1048</v>
      </c>
      <c r="C92" s="229" t="s">
        <v>1586</v>
      </c>
      <c r="D92" s="230">
        <v>8.57</v>
      </c>
      <c r="E92" s="284">
        <v>8.6300000000000008</v>
      </c>
    </row>
    <row r="93" spans="1:5" x14ac:dyDescent="0.2">
      <c r="A93" s="236">
        <v>91</v>
      </c>
      <c r="B93" s="226" t="s">
        <v>2052</v>
      </c>
      <c r="C93" s="226" t="s">
        <v>2053</v>
      </c>
      <c r="D93" s="227">
        <v>8.73</v>
      </c>
      <c r="E93" s="284">
        <v>8.6300000000000008</v>
      </c>
    </row>
    <row r="94" spans="1:5" x14ac:dyDescent="0.2">
      <c r="A94" s="236">
        <v>92</v>
      </c>
      <c r="B94" s="229" t="s">
        <v>560</v>
      </c>
      <c r="C94" s="229" t="s">
        <v>561</v>
      </c>
      <c r="D94" s="230">
        <v>8.73</v>
      </c>
      <c r="E94" s="285">
        <v>8.6199999999999992</v>
      </c>
    </row>
    <row r="95" spans="1:5" x14ac:dyDescent="0.2">
      <c r="A95" s="236">
        <v>93</v>
      </c>
      <c r="B95" s="226" t="s">
        <v>1848</v>
      </c>
      <c r="C95" s="226" t="s">
        <v>1849</v>
      </c>
      <c r="D95" s="227">
        <v>8.67</v>
      </c>
      <c r="E95" s="286">
        <v>8.61</v>
      </c>
    </row>
    <row r="96" spans="1:5" x14ac:dyDescent="0.2">
      <c r="A96" s="236">
        <v>94</v>
      </c>
      <c r="B96" s="229" t="s">
        <v>5836</v>
      </c>
      <c r="C96" s="229" t="s">
        <v>157</v>
      </c>
      <c r="D96" s="230">
        <v>8.56</v>
      </c>
      <c r="E96" s="286">
        <v>8.61</v>
      </c>
    </row>
    <row r="97" spans="1:5" x14ac:dyDescent="0.2">
      <c r="A97" s="236">
        <v>95</v>
      </c>
      <c r="B97" s="226" t="s">
        <v>888</v>
      </c>
      <c r="C97" s="226" t="s">
        <v>869</v>
      </c>
      <c r="D97" s="227">
        <v>8.5500000000000007</v>
      </c>
      <c r="E97" s="287">
        <v>8.6</v>
      </c>
    </row>
    <row r="98" spans="1:5" x14ac:dyDescent="0.2">
      <c r="A98" s="236">
        <v>96</v>
      </c>
      <c r="B98" s="229" t="s">
        <v>2855</v>
      </c>
      <c r="C98" s="229">
        <v>4</v>
      </c>
      <c r="D98" s="230">
        <v>8.6</v>
      </c>
      <c r="E98" s="287">
        <v>8.6</v>
      </c>
    </row>
    <row r="99" spans="1:5" x14ac:dyDescent="0.2">
      <c r="A99" s="236">
        <v>97</v>
      </c>
      <c r="B99" s="226" t="s">
        <v>2178</v>
      </c>
      <c r="C99" s="226" t="s">
        <v>2177</v>
      </c>
      <c r="D99" s="227">
        <v>8.67</v>
      </c>
      <c r="E99" s="289">
        <v>8.57</v>
      </c>
    </row>
    <row r="100" spans="1:5" x14ac:dyDescent="0.2">
      <c r="A100" s="236">
        <v>98</v>
      </c>
      <c r="B100" s="229" t="s">
        <v>3637</v>
      </c>
      <c r="C100" s="229" t="s">
        <v>3625</v>
      </c>
      <c r="D100" s="230">
        <v>8.67</v>
      </c>
      <c r="E100" s="289">
        <v>8.57</v>
      </c>
    </row>
    <row r="101" spans="1:5" x14ac:dyDescent="0.2">
      <c r="A101" s="236">
        <v>99</v>
      </c>
      <c r="B101" s="226" t="s">
        <v>311</v>
      </c>
      <c r="C101" s="226" t="s">
        <v>158</v>
      </c>
      <c r="D101" s="227">
        <v>8.65</v>
      </c>
      <c r="E101" s="290">
        <v>8.56</v>
      </c>
    </row>
    <row r="102" spans="1:5" x14ac:dyDescent="0.2">
      <c r="A102" s="236">
        <v>100</v>
      </c>
      <c r="B102" s="229" t="s">
        <v>293</v>
      </c>
      <c r="C102" s="229" t="s">
        <v>813</v>
      </c>
      <c r="D102" s="230">
        <v>8.5</v>
      </c>
      <c r="E102" s="290">
        <v>8.56</v>
      </c>
    </row>
    <row r="103" spans="1:5" x14ac:dyDescent="0.2">
      <c r="A103" s="236">
        <v>101</v>
      </c>
      <c r="B103" s="226" t="s">
        <v>912</v>
      </c>
      <c r="C103" s="226" t="s">
        <v>910</v>
      </c>
      <c r="D103" s="227">
        <v>8.67</v>
      </c>
      <c r="E103" s="290">
        <v>8.56</v>
      </c>
    </row>
    <row r="104" spans="1:5" x14ac:dyDescent="0.2">
      <c r="A104" s="236">
        <v>102</v>
      </c>
      <c r="B104" s="229" t="s">
        <v>2477</v>
      </c>
      <c r="C104" s="229" t="s">
        <v>3339</v>
      </c>
      <c r="D104" s="230">
        <v>8.65</v>
      </c>
      <c r="E104" s="290">
        <v>8.56</v>
      </c>
    </row>
    <row r="105" spans="1:5" x14ac:dyDescent="0.2">
      <c r="A105" s="236">
        <v>103</v>
      </c>
      <c r="B105" s="226" t="s">
        <v>296</v>
      </c>
      <c r="C105" s="226" t="s">
        <v>1939</v>
      </c>
      <c r="D105" s="227">
        <v>8.6</v>
      </c>
      <c r="E105" s="292">
        <v>8.5399999999999991</v>
      </c>
    </row>
    <row r="106" spans="1:5" x14ac:dyDescent="0.2">
      <c r="A106" s="236">
        <v>104</v>
      </c>
      <c r="B106" s="229" t="s">
        <v>4584</v>
      </c>
      <c r="C106" s="229" t="s">
        <v>4576</v>
      </c>
      <c r="D106" s="230">
        <v>8.6300000000000008</v>
      </c>
      <c r="E106" s="293">
        <v>8.5299999999999994</v>
      </c>
    </row>
    <row r="107" spans="1:5" x14ac:dyDescent="0.2">
      <c r="A107" s="236">
        <v>105</v>
      </c>
      <c r="B107" s="226" t="s">
        <v>1555</v>
      </c>
      <c r="C107" s="226" t="s">
        <v>3430</v>
      </c>
      <c r="D107" s="227">
        <v>8.61</v>
      </c>
      <c r="E107" s="294">
        <v>8.52</v>
      </c>
    </row>
    <row r="108" spans="1:5" x14ac:dyDescent="0.2">
      <c r="A108" s="236">
        <v>106</v>
      </c>
      <c r="B108" s="229" t="s">
        <v>4572</v>
      </c>
      <c r="C108" s="229" t="s">
        <v>4573</v>
      </c>
      <c r="D108" s="230">
        <v>8.6</v>
      </c>
      <c r="E108" s="294">
        <v>8.52</v>
      </c>
    </row>
    <row r="109" spans="1:5" x14ac:dyDescent="0.2">
      <c r="A109" s="236">
        <v>107</v>
      </c>
      <c r="B109" s="226" t="s">
        <v>4721</v>
      </c>
      <c r="C109" s="226" t="s">
        <v>891</v>
      </c>
      <c r="D109" s="227">
        <v>8.6</v>
      </c>
      <c r="E109" s="294">
        <v>8.52</v>
      </c>
    </row>
    <row r="110" spans="1:5" x14ac:dyDescent="0.2">
      <c r="A110" s="236">
        <v>108</v>
      </c>
      <c r="B110" s="229" t="s">
        <v>4109</v>
      </c>
      <c r="C110" s="229" t="s">
        <v>4110</v>
      </c>
      <c r="D110" s="230">
        <v>8.59</v>
      </c>
      <c r="E110" s="363">
        <v>8.51</v>
      </c>
    </row>
    <row r="111" spans="1:5" x14ac:dyDescent="0.2">
      <c r="A111" s="236">
        <v>109</v>
      </c>
      <c r="B111" s="226" t="s">
        <v>1517</v>
      </c>
      <c r="C111" s="226" t="s">
        <v>1518</v>
      </c>
      <c r="D111" s="227">
        <v>8.6</v>
      </c>
      <c r="E111" s="295">
        <v>8.5</v>
      </c>
    </row>
    <row r="112" spans="1:5" x14ac:dyDescent="0.2">
      <c r="A112" s="236">
        <v>110</v>
      </c>
      <c r="B112" s="229" t="s">
        <v>2068</v>
      </c>
      <c r="C112" s="229" t="s">
        <v>2069</v>
      </c>
      <c r="D112" s="230">
        <v>8.58</v>
      </c>
      <c r="E112" s="295">
        <v>8.5</v>
      </c>
    </row>
    <row r="113" spans="1:5" x14ac:dyDescent="0.2">
      <c r="A113" s="236">
        <v>111</v>
      </c>
      <c r="B113" s="226" t="s">
        <v>2864</v>
      </c>
      <c r="C113" s="226" t="s">
        <v>2865</v>
      </c>
      <c r="D113" s="227">
        <v>8.58</v>
      </c>
      <c r="E113" s="295">
        <v>8.5</v>
      </c>
    </row>
    <row r="114" spans="1:5" x14ac:dyDescent="0.2">
      <c r="A114" s="236">
        <v>112</v>
      </c>
      <c r="B114" s="229" t="s">
        <v>759</v>
      </c>
      <c r="C114" s="229" t="s">
        <v>760</v>
      </c>
      <c r="D114" s="230">
        <v>8.5299999999999994</v>
      </c>
      <c r="E114" s="370">
        <v>8.48</v>
      </c>
    </row>
    <row r="115" spans="1:5" x14ac:dyDescent="0.2">
      <c r="A115" s="236">
        <v>113</v>
      </c>
      <c r="B115" s="226" t="s">
        <v>2292</v>
      </c>
      <c r="C115" s="226" t="s">
        <v>3148</v>
      </c>
      <c r="D115" s="227">
        <v>8.56</v>
      </c>
      <c r="E115" s="370">
        <v>8.48</v>
      </c>
    </row>
    <row r="116" spans="1:5" x14ac:dyDescent="0.2">
      <c r="A116" s="236">
        <v>114</v>
      </c>
      <c r="B116" s="229" t="s">
        <v>1625</v>
      </c>
      <c r="C116" s="229" t="s">
        <v>2580</v>
      </c>
      <c r="D116" s="230">
        <v>8.5</v>
      </c>
      <c r="E116" s="297">
        <v>8.4700000000000006</v>
      </c>
    </row>
    <row r="117" spans="1:5" x14ac:dyDescent="0.2">
      <c r="A117" s="236">
        <v>115</v>
      </c>
      <c r="B117" s="226" t="s">
        <v>357</v>
      </c>
      <c r="C117" s="226" t="s">
        <v>5856</v>
      </c>
      <c r="D117" s="227">
        <v>8.5500000000000007</v>
      </c>
      <c r="E117" s="297">
        <v>8.4700000000000006</v>
      </c>
    </row>
    <row r="118" spans="1:5" x14ac:dyDescent="0.2">
      <c r="A118" s="236">
        <v>116</v>
      </c>
      <c r="B118" s="229" t="s">
        <v>3918</v>
      </c>
      <c r="C118" s="229" t="s">
        <v>3913</v>
      </c>
      <c r="D118" s="230">
        <v>8.5</v>
      </c>
      <c r="E118" s="299">
        <v>8.4499999999999993</v>
      </c>
    </row>
    <row r="119" spans="1:5" x14ac:dyDescent="0.2">
      <c r="A119" s="236">
        <v>117</v>
      </c>
      <c r="B119" s="226" t="s">
        <v>3536</v>
      </c>
      <c r="C119" s="226" t="s">
        <v>3530</v>
      </c>
      <c r="D119" s="227">
        <v>8.5</v>
      </c>
      <c r="E119" s="300">
        <v>8.43</v>
      </c>
    </row>
    <row r="120" spans="1:5" x14ac:dyDescent="0.2">
      <c r="A120" s="236">
        <v>118</v>
      </c>
      <c r="B120" s="229" t="s">
        <v>1300</v>
      </c>
      <c r="C120" s="229" t="s">
        <v>3945</v>
      </c>
      <c r="D120" s="230">
        <v>8.5</v>
      </c>
      <c r="E120" s="300">
        <v>8.43</v>
      </c>
    </row>
    <row r="121" spans="1:5" x14ac:dyDescent="0.2">
      <c r="A121" s="236">
        <v>119</v>
      </c>
      <c r="B121" s="226" t="s">
        <v>4297</v>
      </c>
      <c r="C121" s="226" t="s">
        <v>4291</v>
      </c>
      <c r="D121" s="227">
        <v>8.42</v>
      </c>
      <c r="E121" s="301">
        <v>8.41</v>
      </c>
    </row>
    <row r="122" spans="1:5" x14ac:dyDescent="0.2">
      <c r="A122" s="236">
        <v>120</v>
      </c>
      <c r="B122" s="229" t="s">
        <v>2164</v>
      </c>
      <c r="C122" s="229" t="s">
        <v>2740</v>
      </c>
      <c r="D122" s="230">
        <v>8.39</v>
      </c>
      <c r="E122" s="302">
        <v>8.39</v>
      </c>
    </row>
    <row r="123" spans="1:5" x14ac:dyDescent="0.2">
      <c r="A123" s="236">
        <v>121</v>
      </c>
      <c r="B123" s="226" t="s">
        <v>2809</v>
      </c>
      <c r="C123" s="226" t="s">
        <v>2799</v>
      </c>
      <c r="D123" s="227">
        <v>8.44</v>
      </c>
      <c r="E123" s="302">
        <v>8.39</v>
      </c>
    </row>
    <row r="124" spans="1:5" x14ac:dyDescent="0.2">
      <c r="A124" s="236">
        <v>122</v>
      </c>
      <c r="B124" s="229" t="s">
        <v>3619</v>
      </c>
      <c r="C124" s="229" t="s">
        <v>3619</v>
      </c>
      <c r="D124" s="230">
        <v>8.39</v>
      </c>
      <c r="E124" s="416">
        <v>8.36</v>
      </c>
    </row>
    <row r="125" spans="1:5" x14ac:dyDescent="0.2">
      <c r="A125" s="236">
        <v>123</v>
      </c>
      <c r="B125" s="226" t="s">
        <v>4347</v>
      </c>
      <c r="C125" s="226" t="s">
        <v>4348</v>
      </c>
      <c r="D125" s="227">
        <v>8.3800000000000008</v>
      </c>
      <c r="E125" s="464">
        <v>8.32</v>
      </c>
    </row>
    <row r="126" spans="1:5" x14ac:dyDescent="0.2">
      <c r="A126" s="236">
        <v>124</v>
      </c>
      <c r="B126" s="229" t="s">
        <v>4567</v>
      </c>
      <c r="C126" s="229" t="s">
        <v>5478</v>
      </c>
      <c r="D126" s="230">
        <v>8.36</v>
      </c>
      <c r="E126" s="407">
        <v>8.31</v>
      </c>
    </row>
    <row r="127" spans="1:5" x14ac:dyDescent="0.2">
      <c r="A127" s="236">
        <v>125</v>
      </c>
      <c r="B127" s="226" t="s">
        <v>1048</v>
      </c>
      <c r="C127" s="226" t="s">
        <v>1049</v>
      </c>
      <c r="D127" s="227">
        <v>8.4600000000000009</v>
      </c>
      <c r="E127" s="307">
        <v>8.27</v>
      </c>
    </row>
    <row r="128" spans="1:5" x14ac:dyDescent="0.2">
      <c r="A128" s="236">
        <v>126</v>
      </c>
      <c r="B128" s="229" t="s">
        <v>313</v>
      </c>
      <c r="C128" s="229" t="s">
        <v>160</v>
      </c>
      <c r="D128" s="230">
        <v>8.3800000000000008</v>
      </c>
      <c r="E128" s="308">
        <v>8.25</v>
      </c>
    </row>
    <row r="129" spans="1:5" x14ac:dyDescent="0.2">
      <c r="A129" s="236">
        <v>127</v>
      </c>
      <c r="B129" s="226" t="s">
        <v>2823</v>
      </c>
      <c r="C129" s="226" t="s">
        <v>2824</v>
      </c>
      <c r="D129" s="227">
        <v>8.41</v>
      </c>
      <c r="E129" s="309">
        <v>8.24</v>
      </c>
    </row>
    <row r="130" spans="1:5" x14ac:dyDescent="0.2">
      <c r="A130" s="236">
        <v>128</v>
      </c>
      <c r="B130" s="229" t="s">
        <v>2823</v>
      </c>
      <c r="C130" s="229" t="s">
        <v>3448</v>
      </c>
      <c r="D130" s="230">
        <v>8.35</v>
      </c>
      <c r="E130" s="309">
        <v>8.24</v>
      </c>
    </row>
    <row r="131" spans="1:5" x14ac:dyDescent="0.2">
      <c r="A131" s="236">
        <v>129</v>
      </c>
      <c r="B131" s="226" t="s">
        <v>677</v>
      </c>
      <c r="C131" s="226" t="s">
        <v>677</v>
      </c>
      <c r="D131" s="227">
        <v>8.24</v>
      </c>
      <c r="E131" s="310">
        <v>8.23</v>
      </c>
    </row>
    <row r="132" spans="1:5" x14ac:dyDescent="0.2">
      <c r="A132" s="236">
        <v>130</v>
      </c>
      <c r="B132" s="229" t="s">
        <v>4329</v>
      </c>
      <c r="C132" s="229" t="s">
        <v>4326</v>
      </c>
      <c r="D132" s="230">
        <v>8.39</v>
      </c>
      <c r="E132" s="311">
        <v>8.2200000000000006</v>
      </c>
    </row>
    <row r="133" spans="1:5" x14ac:dyDescent="0.2">
      <c r="A133" s="236">
        <v>131</v>
      </c>
      <c r="B133" s="226" t="s">
        <v>5748</v>
      </c>
      <c r="C133" s="226" t="s">
        <v>5749</v>
      </c>
      <c r="D133" s="227">
        <v>8.23</v>
      </c>
      <c r="E133" s="385">
        <v>8.2100000000000009</v>
      </c>
    </row>
    <row r="134" spans="1:5" x14ac:dyDescent="0.2">
      <c r="A134" s="236">
        <v>132</v>
      </c>
      <c r="B134" s="229" t="s">
        <v>314</v>
      </c>
      <c r="C134" s="229" t="s">
        <v>271</v>
      </c>
      <c r="D134" s="230">
        <v>8.35</v>
      </c>
      <c r="E134" s="312">
        <v>8.1999999999999993</v>
      </c>
    </row>
    <row r="135" spans="1:5" x14ac:dyDescent="0.2">
      <c r="A135" s="236">
        <v>133</v>
      </c>
      <c r="B135" s="226" t="s">
        <v>4642</v>
      </c>
      <c r="C135" s="226" t="s">
        <v>4642</v>
      </c>
      <c r="D135" s="227">
        <v>8.35</v>
      </c>
      <c r="E135" s="491">
        <v>8.19</v>
      </c>
    </row>
    <row r="136" spans="1:5" x14ac:dyDescent="0.2">
      <c r="A136" s="236">
        <v>134</v>
      </c>
      <c r="B136" s="229" t="s">
        <v>2526</v>
      </c>
      <c r="C136" s="229" t="s">
        <v>2527</v>
      </c>
      <c r="D136" s="230">
        <v>8.31</v>
      </c>
      <c r="E136" s="314">
        <v>8.16</v>
      </c>
    </row>
    <row r="137" spans="1:5" x14ac:dyDescent="0.2">
      <c r="A137" s="236">
        <v>135</v>
      </c>
      <c r="B137" s="226" t="s">
        <v>300</v>
      </c>
      <c r="C137" s="226" t="s">
        <v>1636</v>
      </c>
      <c r="D137" s="227">
        <v>8.25</v>
      </c>
      <c r="E137" s="315">
        <v>8.1300000000000008</v>
      </c>
    </row>
    <row r="138" spans="1:5" x14ac:dyDescent="0.2">
      <c r="A138" s="236">
        <v>136</v>
      </c>
      <c r="B138" s="229" t="s">
        <v>2223</v>
      </c>
      <c r="C138" s="229" t="s">
        <v>2224</v>
      </c>
      <c r="D138" s="230">
        <v>8.1999999999999993</v>
      </c>
      <c r="E138" s="315">
        <v>8.1300000000000008</v>
      </c>
    </row>
    <row r="139" spans="1:5" x14ac:dyDescent="0.2">
      <c r="A139" s="236">
        <v>137</v>
      </c>
      <c r="B139" s="226" t="s">
        <v>293</v>
      </c>
      <c r="C139" s="226" t="s">
        <v>573</v>
      </c>
      <c r="D139" s="227">
        <v>8.0500000000000007</v>
      </c>
      <c r="E139" s="316">
        <v>8.11</v>
      </c>
    </row>
    <row r="140" spans="1:5" x14ac:dyDescent="0.2">
      <c r="A140" s="236">
        <v>138</v>
      </c>
      <c r="B140" s="229" t="s">
        <v>305</v>
      </c>
      <c r="C140" s="229" t="s">
        <v>1732</v>
      </c>
      <c r="D140" s="230">
        <v>8.18</v>
      </c>
      <c r="E140" s="317">
        <v>8.06</v>
      </c>
    </row>
    <row r="141" spans="1:5" x14ac:dyDescent="0.2">
      <c r="A141" s="236">
        <v>139</v>
      </c>
      <c r="B141" s="226" t="s">
        <v>2292</v>
      </c>
      <c r="C141" s="226" t="s">
        <v>4533</v>
      </c>
      <c r="D141" s="227">
        <v>8.17</v>
      </c>
      <c r="E141" s="317">
        <v>8.06</v>
      </c>
    </row>
    <row r="142" spans="1:5" x14ac:dyDescent="0.2">
      <c r="A142" s="236">
        <v>140</v>
      </c>
      <c r="B142" s="229" t="s">
        <v>300</v>
      </c>
      <c r="C142" s="229" t="s">
        <v>2281</v>
      </c>
      <c r="D142" s="230">
        <v>8.11</v>
      </c>
      <c r="E142" s="318">
        <v>8.0299999999999994</v>
      </c>
    </row>
    <row r="143" spans="1:5" x14ac:dyDescent="0.2">
      <c r="A143" s="236">
        <v>141</v>
      </c>
      <c r="B143" s="226" t="s">
        <v>3798</v>
      </c>
      <c r="C143" s="226" t="s">
        <v>3799</v>
      </c>
      <c r="D143" s="227">
        <v>8.11</v>
      </c>
      <c r="E143" s="420">
        <v>8.01</v>
      </c>
    </row>
    <row r="144" spans="1:5" x14ac:dyDescent="0.2">
      <c r="A144" s="236">
        <v>142</v>
      </c>
      <c r="B144" s="229" t="s">
        <v>297</v>
      </c>
      <c r="C144" s="229" t="s">
        <v>4471</v>
      </c>
      <c r="D144" s="230">
        <v>8.11</v>
      </c>
      <c r="E144" s="319">
        <v>8</v>
      </c>
    </row>
    <row r="145" spans="1:5" x14ac:dyDescent="0.2">
      <c r="A145" s="236">
        <v>143</v>
      </c>
      <c r="B145" s="226" t="s">
        <v>346</v>
      </c>
      <c r="C145" s="226" t="s">
        <v>339</v>
      </c>
      <c r="D145" s="227">
        <v>8</v>
      </c>
      <c r="E145" s="320">
        <v>7.98</v>
      </c>
    </row>
    <row r="146" spans="1:5" x14ac:dyDescent="0.2">
      <c r="A146" s="236">
        <v>144</v>
      </c>
      <c r="B146" s="229" t="s">
        <v>301</v>
      </c>
      <c r="C146" s="229" t="s">
        <v>3522</v>
      </c>
      <c r="D146" s="230">
        <v>8.0399999999999991</v>
      </c>
      <c r="E146" s="404">
        <v>7.96</v>
      </c>
    </row>
    <row r="147" spans="1:5" x14ac:dyDescent="0.2">
      <c r="A147" s="236">
        <v>145</v>
      </c>
      <c r="B147" s="226" t="s">
        <v>2136</v>
      </c>
      <c r="C147" s="226" t="s">
        <v>2137</v>
      </c>
      <c r="D147" s="227">
        <v>8</v>
      </c>
      <c r="E147" s="322">
        <v>7.94</v>
      </c>
    </row>
    <row r="148" spans="1:5" x14ac:dyDescent="0.2">
      <c r="A148" s="236">
        <v>146</v>
      </c>
      <c r="B148" s="229" t="s">
        <v>4405</v>
      </c>
      <c r="C148" s="229" t="s">
        <v>4400</v>
      </c>
      <c r="D148" s="230">
        <v>8</v>
      </c>
      <c r="E148" s="322">
        <v>7.94</v>
      </c>
    </row>
    <row r="149" spans="1:5" x14ac:dyDescent="0.2">
      <c r="A149" s="236">
        <v>147</v>
      </c>
      <c r="B149" s="226" t="s">
        <v>300</v>
      </c>
      <c r="C149" s="226" t="s">
        <v>3019</v>
      </c>
      <c r="D149" s="227">
        <v>7.95</v>
      </c>
      <c r="E149" s="356">
        <v>7.89</v>
      </c>
    </row>
    <row r="150" spans="1:5" x14ac:dyDescent="0.2">
      <c r="A150" s="236">
        <v>148</v>
      </c>
      <c r="B150" s="229" t="s">
        <v>4194</v>
      </c>
      <c r="C150" s="229" t="s">
        <v>4195</v>
      </c>
      <c r="D150" s="230">
        <v>7.92</v>
      </c>
      <c r="E150" s="451">
        <v>7.87</v>
      </c>
    </row>
    <row r="151" spans="1:5" x14ac:dyDescent="0.2">
      <c r="A151" s="236">
        <v>149</v>
      </c>
      <c r="B151" s="226" t="s">
        <v>293</v>
      </c>
      <c r="C151" s="226" t="s">
        <v>899</v>
      </c>
      <c r="D151" s="227">
        <v>7.88</v>
      </c>
      <c r="E151" s="324">
        <v>7.74</v>
      </c>
    </row>
    <row r="152" spans="1:5" x14ac:dyDescent="0.2">
      <c r="A152" s="236">
        <v>150</v>
      </c>
      <c r="B152" s="229" t="s">
        <v>300</v>
      </c>
      <c r="C152" s="229" t="s">
        <v>3450</v>
      </c>
      <c r="D152" s="230">
        <v>7.75</v>
      </c>
      <c r="E152" s="326">
        <v>7.66</v>
      </c>
    </row>
    <row r="153" spans="1:5" x14ac:dyDescent="0.2">
      <c r="A153" s="236">
        <v>151</v>
      </c>
      <c r="B153" s="226" t="s">
        <v>1092</v>
      </c>
      <c r="C153" s="226" t="s">
        <v>1093</v>
      </c>
      <c r="D153" s="227">
        <v>7.71</v>
      </c>
      <c r="E153" s="328">
        <v>7.61</v>
      </c>
    </row>
    <row r="154" spans="1:5" x14ac:dyDescent="0.2">
      <c r="A154" s="236">
        <v>152</v>
      </c>
      <c r="B154" s="229" t="s">
        <v>293</v>
      </c>
      <c r="C154" s="229" t="s">
        <v>936</v>
      </c>
      <c r="D154" s="230">
        <v>7.5</v>
      </c>
      <c r="E154" s="329">
        <v>7.4</v>
      </c>
    </row>
    <row r="155" spans="1:5" x14ac:dyDescent="0.2">
      <c r="A155" s="236">
        <v>153</v>
      </c>
      <c r="B155" s="226" t="s">
        <v>2306</v>
      </c>
      <c r="C155" s="226" t="s">
        <v>2307</v>
      </c>
      <c r="D155" s="227">
        <v>7.17</v>
      </c>
      <c r="E155" s="332">
        <v>7.04</v>
      </c>
    </row>
    <row r="156" spans="1:5" x14ac:dyDescent="0.2">
      <c r="A156" s="236">
        <v>154</v>
      </c>
      <c r="B156" s="229" t="s">
        <v>315</v>
      </c>
      <c r="C156" s="229" t="s">
        <v>4932</v>
      </c>
      <c r="D156" s="230">
        <v>7.14</v>
      </c>
      <c r="E156" s="515">
        <v>6.98</v>
      </c>
    </row>
    <row r="157" spans="1:5" x14ac:dyDescent="0.2">
      <c r="A157" s="236">
        <v>155</v>
      </c>
      <c r="B157" s="226" t="s">
        <v>305</v>
      </c>
      <c r="C157" s="226" t="s">
        <v>4498</v>
      </c>
      <c r="D157" s="227">
        <v>6.06</v>
      </c>
      <c r="E157" s="485">
        <v>5.9</v>
      </c>
    </row>
    <row r="158" spans="1:5" x14ac:dyDescent="0.2">
      <c r="A158" s="236">
        <v>156</v>
      </c>
      <c r="B158" s="229" t="s">
        <v>5551</v>
      </c>
      <c r="C158" s="229" t="s">
        <v>5552</v>
      </c>
      <c r="D158" s="230">
        <v>3.88</v>
      </c>
      <c r="E158" s="334">
        <v>3.65</v>
      </c>
    </row>
    <row r="159" spans="1:5" x14ac:dyDescent="0.2">
      <c r="A159" s="236">
        <v>157</v>
      </c>
      <c r="B159" s="226" t="s">
        <v>2419</v>
      </c>
      <c r="C159" s="226" t="s">
        <v>2420</v>
      </c>
      <c r="D159" s="227">
        <v>2.5</v>
      </c>
      <c r="E159" s="334">
        <v>2.39</v>
      </c>
    </row>
    <row r="161" spans="1:5" ht="18" x14ac:dyDescent="0.25">
      <c r="A161" s="567" t="s">
        <v>5685</v>
      </c>
      <c r="B161" s="567"/>
      <c r="C161" s="567"/>
      <c r="D161" s="567"/>
      <c r="E161" s="567"/>
    </row>
    <row r="162" spans="1:5" x14ac:dyDescent="0.2">
      <c r="A162" s="225" t="s">
        <v>318</v>
      </c>
      <c r="B162" s="225" t="s">
        <v>285</v>
      </c>
      <c r="C162" s="225" t="s">
        <v>286</v>
      </c>
      <c r="D162" s="225" t="s">
        <v>287</v>
      </c>
      <c r="E162" s="225" t="s">
        <v>957</v>
      </c>
    </row>
    <row r="163" spans="1:5" x14ac:dyDescent="0.2">
      <c r="A163" s="232">
        <v>1</v>
      </c>
      <c r="B163" s="226" t="s">
        <v>292</v>
      </c>
      <c r="C163" s="226" t="s">
        <v>7</v>
      </c>
      <c r="D163" s="227">
        <v>10.11</v>
      </c>
      <c r="E163" s="233">
        <v>10.99</v>
      </c>
    </row>
    <row r="164" spans="1:5" x14ac:dyDescent="0.2">
      <c r="A164" s="234">
        <v>2</v>
      </c>
      <c r="B164" s="229" t="s">
        <v>292</v>
      </c>
      <c r="C164" s="229" t="s">
        <v>517</v>
      </c>
      <c r="D164" s="230">
        <v>9.61</v>
      </c>
      <c r="E164" s="237">
        <v>9.99</v>
      </c>
    </row>
    <row r="165" spans="1:5" x14ac:dyDescent="0.2">
      <c r="A165" s="235">
        <v>3</v>
      </c>
      <c r="B165" s="226" t="s">
        <v>292</v>
      </c>
      <c r="C165" s="226" t="s">
        <v>156</v>
      </c>
      <c r="D165" s="227">
        <v>9.61</v>
      </c>
      <c r="E165" s="238">
        <v>9.9600000000000009</v>
      </c>
    </row>
    <row r="166" spans="1:5" x14ac:dyDescent="0.2">
      <c r="A166" s="236">
        <v>4</v>
      </c>
      <c r="B166" s="229" t="s">
        <v>292</v>
      </c>
      <c r="C166" s="229" t="s">
        <v>2366</v>
      </c>
      <c r="D166" s="230">
        <v>9.25</v>
      </c>
      <c r="E166" s="240">
        <v>9.5299999999999994</v>
      </c>
    </row>
    <row r="167" spans="1:5" x14ac:dyDescent="0.2">
      <c r="A167" s="236">
        <v>5</v>
      </c>
      <c r="B167" s="226" t="s">
        <v>300</v>
      </c>
      <c r="C167" s="226" t="s">
        <v>131</v>
      </c>
      <c r="D167" s="227">
        <v>9.2899999999999991</v>
      </c>
      <c r="E167" s="403">
        <v>9.44</v>
      </c>
    </row>
    <row r="168" spans="1:5" x14ac:dyDescent="0.2">
      <c r="A168" s="236">
        <v>6</v>
      </c>
      <c r="B168" s="229" t="s">
        <v>1871</v>
      </c>
      <c r="C168" s="229" t="s">
        <v>1864</v>
      </c>
      <c r="D168" s="230">
        <v>9.31</v>
      </c>
      <c r="E168" s="242">
        <v>9.43</v>
      </c>
    </row>
    <row r="169" spans="1:5" x14ac:dyDescent="0.2">
      <c r="A169" s="236">
        <v>7</v>
      </c>
      <c r="B169" s="226" t="s">
        <v>292</v>
      </c>
      <c r="C169" s="226" t="s">
        <v>1138</v>
      </c>
      <c r="D169" s="227">
        <v>9.2899999999999991</v>
      </c>
      <c r="E169" s="371">
        <v>9.42</v>
      </c>
    </row>
    <row r="170" spans="1:5" x14ac:dyDescent="0.2">
      <c r="A170" s="236">
        <v>8</v>
      </c>
      <c r="B170" s="229" t="s">
        <v>301</v>
      </c>
      <c r="C170" s="229" t="s">
        <v>56</v>
      </c>
      <c r="D170" s="230">
        <v>9.25</v>
      </c>
      <c r="E170" s="243">
        <v>9.3699999999999992</v>
      </c>
    </row>
    <row r="171" spans="1:5" x14ac:dyDescent="0.2">
      <c r="A171" s="236">
        <v>9</v>
      </c>
      <c r="B171" s="226" t="s">
        <v>300</v>
      </c>
      <c r="C171" s="226" t="s">
        <v>922</v>
      </c>
      <c r="D171" s="227">
        <v>9.1300000000000008</v>
      </c>
      <c r="E171" s="460">
        <v>9.24</v>
      </c>
    </row>
    <row r="172" spans="1:5" x14ac:dyDescent="0.2">
      <c r="A172" s="236">
        <v>10</v>
      </c>
      <c r="B172" s="229" t="s">
        <v>441</v>
      </c>
      <c r="C172" s="229" t="s">
        <v>459</v>
      </c>
      <c r="D172" s="230">
        <v>9.17</v>
      </c>
      <c r="E172" s="246">
        <v>9.23</v>
      </c>
    </row>
    <row r="173" spans="1:5" x14ac:dyDescent="0.2">
      <c r="A173" s="236">
        <v>11</v>
      </c>
      <c r="B173" s="226" t="s">
        <v>3030</v>
      </c>
      <c r="C173" s="226" t="s">
        <v>3031</v>
      </c>
      <c r="D173" s="227">
        <v>9.14</v>
      </c>
      <c r="E173" s="246">
        <v>9.23</v>
      </c>
    </row>
    <row r="174" spans="1:5" x14ac:dyDescent="0.2">
      <c r="A174" s="236">
        <v>12</v>
      </c>
      <c r="B174" s="229" t="s">
        <v>301</v>
      </c>
      <c r="C174" s="229" t="s">
        <v>653</v>
      </c>
      <c r="D174" s="230">
        <v>9.1300000000000008</v>
      </c>
      <c r="E174" s="247">
        <v>9.2100000000000009</v>
      </c>
    </row>
    <row r="175" spans="1:5" x14ac:dyDescent="0.2">
      <c r="A175" s="236">
        <v>13</v>
      </c>
      <c r="B175" s="226" t="s">
        <v>304</v>
      </c>
      <c r="C175" s="226" t="s">
        <v>229</v>
      </c>
      <c r="D175" s="227">
        <v>9</v>
      </c>
      <c r="E175" s="250">
        <v>9.09</v>
      </c>
    </row>
    <row r="176" spans="1:5" x14ac:dyDescent="0.2">
      <c r="A176" s="236">
        <v>14</v>
      </c>
      <c r="B176" s="229" t="s">
        <v>301</v>
      </c>
      <c r="C176" s="229" t="s">
        <v>1026</v>
      </c>
      <c r="D176" s="230">
        <v>9</v>
      </c>
      <c r="E176" s="251">
        <v>9.08</v>
      </c>
    </row>
    <row r="177" spans="1:5" x14ac:dyDescent="0.2">
      <c r="A177" s="236">
        <v>15</v>
      </c>
      <c r="B177" s="226" t="s">
        <v>441</v>
      </c>
      <c r="C177" s="226" t="s">
        <v>609</v>
      </c>
      <c r="D177" s="227">
        <v>8.94</v>
      </c>
      <c r="E177" s="252">
        <v>9.0399999999999991</v>
      </c>
    </row>
    <row r="178" spans="1:5" x14ac:dyDescent="0.2">
      <c r="A178" s="236">
        <v>16</v>
      </c>
      <c r="B178" s="229" t="s">
        <v>315</v>
      </c>
      <c r="C178" s="229" t="s">
        <v>2205</v>
      </c>
      <c r="D178" s="230">
        <v>8.92</v>
      </c>
      <c r="E178" s="255">
        <v>9</v>
      </c>
    </row>
    <row r="179" spans="1:5" x14ac:dyDescent="0.2">
      <c r="A179" s="236">
        <v>17</v>
      </c>
      <c r="B179" s="226" t="s">
        <v>2615</v>
      </c>
      <c r="C179" s="226" t="s">
        <v>2611</v>
      </c>
      <c r="D179" s="227">
        <v>8.83</v>
      </c>
      <c r="E179" s="255">
        <v>9</v>
      </c>
    </row>
    <row r="180" spans="1:5" x14ac:dyDescent="0.2">
      <c r="A180" s="236">
        <v>18</v>
      </c>
      <c r="B180" s="229" t="s">
        <v>300</v>
      </c>
      <c r="C180" s="229" t="s">
        <v>2344</v>
      </c>
      <c r="D180" s="230">
        <v>9</v>
      </c>
      <c r="E180" s="256">
        <v>8.9700000000000006</v>
      </c>
    </row>
    <row r="181" spans="1:5" x14ac:dyDescent="0.2">
      <c r="A181" s="236">
        <v>19</v>
      </c>
      <c r="B181" s="226" t="s">
        <v>1330</v>
      </c>
      <c r="C181" s="226" t="s">
        <v>1565</v>
      </c>
      <c r="D181" s="227">
        <v>8.93</v>
      </c>
      <c r="E181" s="259">
        <v>8.93</v>
      </c>
    </row>
    <row r="182" spans="1:5" x14ac:dyDescent="0.2">
      <c r="A182" s="236">
        <v>20</v>
      </c>
      <c r="B182" s="229" t="s">
        <v>2841</v>
      </c>
      <c r="C182" s="229" t="s">
        <v>2842</v>
      </c>
      <c r="D182" s="230">
        <v>8.9600000000000009</v>
      </c>
      <c r="E182" s="260">
        <v>8.92</v>
      </c>
    </row>
    <row r="183" spans="1:5" x14ac:dyDescent="0.2">
      <c r="A183" s="236">
        <v>21</v>
      </c>
      <c r="B183" s="226" t="s">
        <v>5493</v>
      </c>
      <c r="C183" s="226" t="s">
        <v>5494</v>
      </c>
      <c r="D183" s="227">
        <v>8.91</v>
      </c>
      <c r="E183" s="263">
        <v>8.8800000000000008</v>
      </c>
    </row>
    <row r="184" spans="1:5" x14ac:dyDescent="0.2">
      <c r="A184" s="236">
        <v>22</v>
      </c>
      <c r="B184" s="229" t="s">
        <v>300</v>
      </c>
      <c r="C184" s="229" t="s">
        <v>855</v>
      </c>
      <c r="D184" s="230">
        <v>8.86</v>
      </c>
      <c r="E184" s="266">
        <v>8.85</v>
      </c>
    </row>
    <row r="185" spans="1:5" x14ac:dyDescent="0.2">
      <c r="A185" s="236">
        <v>23</v>
      </c>
      <c r="B185" s="226" t="s">
        <v>1174</v>
      </c>
      <c r="C185" s="226" t="s">
        <v>1175</v>
      </c>
      <c r="D185" s="227">
        <v>8.7200000000000006</v>
      </c>
      <c r="E185" s="267">
        <v>8.84</v>
      </c>
    </row>
    <row r="186" spans="1:5" x14ac:dyDescent="0.2">
      <c r="A186" s="236">
        <v>24</v>
      </c>
      <c r="B186" s="229" t="s">
        <v>1410</v>
      </c>
      <c r="C186" s="229" t="s">
        <v>1411</v>
      </c>
      <c r="D186" s="230">
        <v>8.82</v>
      </c>
      <c r="E186" s="267">
        <v>8.84</v>
      </c>
    </row>
    <row r="187" spans="1:5" x14ac:dyDescent="0.2">
      <c r="A187" s="236">
        <v>25</v>
      </c>
      <c r="B187" s="226" t="s">
        <v>4123</v>
      </c>
      <c r="C187" s="226" t="s">
        <v>4124</v>
      </c>
      <c r="D187" s="227">
        <v>8.86</v>
      </c>
      <c r="E187" s="267">
        <v>8.84</v>
      </c>
    </row>
    <row r="188" spans="1:5" x14ac:dyDescent="0.2">
      <c r="A188" s="236">
        <v>26</v>
      </c>
      <c r="B188" s="229" t="s">
        <v>1577</v>
      </c>
      <c r="C188" s="229" t="s">
        <v>1948</v>
      </c>
      <c r="D188" s="230">
        <v>8.81</v>
      </c>
      <c r="E188" s="267">
        <v>8.83</v>
      </c>
    </row>
    <row r="189" spans="1:5" x14ac:dyDescent="0.2">
      <c r="A189" s="236">
        <v>27</v>
      </c>
      <c r="B189" s="226" t="s">
        <v>4567</v>
      </c>
      <c r="C189" s="226" t="s">
        <v>4568</v>
      </c>
      <c r="D189" s="227">
        <v>8.86</v>
      </c>
      <c r="E189" s="267">
        <v>8.83</v>
      </c>
    </row>
    <row r="190" spans="1:5" x14ac:dyDescent="0.2">
      <c r="A190" s="236">
        <v>28</v>
      </c>
      <c r="B190" s="229" t="s">
        <v>441</v>
      </c>
      <c r="C190" s="229" t="s">
        <v>442</v>
      </c>
      <c r="D190" s="230">
        <v>8.7899999999999991</v>
      </c>
      <c r="E190" s="269">
        <v>8.81</v>
      </c>
    </row>
    <row r="191" spans="1:5" x14ac:dyDescent="0.2">
      <c r="A191" s="236">
        <v>29</v>
      </c>
      <c r="B191" s="226" t="s">
        <v>2841</v>
      </c>
      <c r="C191" s="226" t="s">
        <v>3060</v>
      </c>
      <c r="D191" s="227">
        <v>8.73</v>
      </c>
      <c r="E191" s="272">
        <v>8.77</v>
      </c>
    </row>
    <row r="192" spans="1:5" x14ac:dyDescent="0.2">
      <c r="A192" s="236">
        <v>30</v>
      </c>
      <c r="B192" s="229" t="s">
        <v>2841</v>
      </c>
      <c r="C192" s="229" t="s">
        <v>4305</v>
      </c>
      <c r="D192" s="230">
        <v>8.6999999999999993</v>
      </c>
      <c r="E192" s="275">
        <v>8.74</v>
      </c>
    </row>
    <row r="193" spans="1:5" x14ac:dyDescent="0.2">
      <c r="A193" s="236">
        <v>31</v>
      </c>
      <c r="B193" s="226" t="s">
        <v>300</v>
      </c>
      <c r="C193" s="226" t="s">
        <v>473</v>
      </c>
      <c r="D193" s="227">
        <v>8.81</v>
      </c>
      <c r="E193" s="373">
        <v>8.73</v>
      </c>
    </row>
    <row r="194" spans="1:5" x14ac:dyDescent="0.2">
      <c r="A194" s="236">
        <v>32</v>
      </c>
      <c r="B194" s="229" t="s">
        <v>1330</v>
      </c>
      <c r="C194" s="229" t="s">
        <v>1331</v>
      </c>
      <c r="D194" s="230">
        <v>8.83</v>
      </c>
      <c r="E194" s="276">
        <v>8.7200000000000006</v>
      </c>
    </row>
    <row r="195" spans="1:5" x14ac:dyDescent="0.2">
      <c r="A195" s="236">
        <v>33</v>
      </c>
      <c r="B195" s="226" t="s">
        <v>632</v>
      </c>
      <c r="C195" s="226" t="s">
        <v>3949</v>
      </c>
      <c r="D195" s="227">
        <v>8.75</v>
      </c>
      <c r="E195" s="276">
        <v>8.7200000000000006</v>
      </c>
    </row>
    <row r="196" spans="1:5" x14ac:dyDescent="0.2">
      <c r="A196" s="236">
        <v>34</v>
      </c>
      <c r="B196" s="229" t="s">
        <v>2841</v>
      </c>
      <c r="C196" s="229" t="s">
        <v>4650</v>
      </c>
      <c r="D196" s="230">
        <v>8.82</v>
      </c>
      <c r="E196" s="277">
        <v>8.7100000000000009</v>
      </c>
    </row>
    <row r="197" spans="1:5" x14ac:dyDescent="0.2">
      <c r="A197" s="236">
        <v>35</v>
      </c>
      <c r="B197" s="226" t="s">
        <v>1577</v>
      </c>
      <c r="C197" s="226" t="s">
        <v>1573</v>
      </c>
      <c r="D197" s="227">
        <v>8.81</v>
      </c>
      <c r="E197" s="278">
        <v>8.6999999999999993</v>
      </c>
    </row>
    <row r="198" spans="1:5" x14ac:dyDescent="0.2">
      <c r="A198" s="236">
        <v>36</v>
      </c>
      <c r="B198" s="229" t="s">
        <v>4139</v>
      </c>
      <c r="C198" s="229" t="s">
        <v>4140</v>
      </c>
      <c r="D198" s="230">
        <v>8.75</v>
      </c>
      <c r="E198" s="278">
        <v>8.6999999999999993</v>
      </c>
    </row>
    <row r="199" spans="1:5" x14ac:dyDescent="0.2">
      <c r="A199" s="236">
        <v>37</v>
      </c>
      <c r="B199" s="226" t="s">
        <v>1410</v>
      </c>
      <c r="C199" s="226" t="s">
        <v>3168</v>
      </c>
      <c r="D199" s="227">
        <v>8.64</v>
      </c>
      <c r="E199" s="279">
        <v>8.68</v>
      </c>
    </row>
    <row r="200" spans="1:5" x14ac:dyDescent="0.2">
      <c r="A200" s="236">
        <v>38</v>
      </c>
      <c r="B200" s="229" t="s">
        <v>301</v>
      </c>
      <c r="C200" s="229" t="s">
        <v>301</v>
      </c>
      <c r="D200" s="230">
        <v>8.4600000000000009</v>
      </c>
      <c r="E200" s="282">
        <v>8.65</v>
      </c>
    </row>
    <row r="201" spans="1:5" x14ac:dyDescent="0.2">
      <c r="A201" s="236">
        <v>39</v>
      </c>
      <c r="B201" s="226" t="s">
        <v>1530</v>
      </c>
      <c r="C201" s="226" t="s">
        <v>1526</v>
      </c>
      <c r="D201" s="227">
        <v>8.75</v>
      </c>
      <c r="E201" s="282">
        <v>8.65</v>
      </c>
    </row>
    <row r="202" spans="1:5" x14ac:dyDescent="0.2">
      <c r="A202" s="236">
        <v>40</v>
      </c>
      <c r="B202" s="229" t="s">
        <v>2033</v>
      </c>
      <c r="C202" s="229" t="s">
        <v>2034</v>
      </c>
      <c r="D202" s="230">
        <v>8.75</v>
      </c>
      <c r="E202" s="283">
        <v>8.64</v>
      </c>
    </row>
    <row r="203" spans="1:5" x14ac:dyDescent="0.2">
      <c r="A203" s="236">
        <v>41</v>
      </c>
      <c r="B203" s="226" t="s">
        <v>1134</v>
      </c>
      <c r="C203" s="226" t="s">
        <v>1129</v>
      </c>
      <c r="D203" s="227">
        <v>8.75</v>
      </c>
      <c r="E203" s="284">
        <v>8.6300000000000008</v>
      </c>
    </row>
    <row r="204" spans="1:5" x14ac:dyDescent="0.2">
      <c r="A204" s="236">
        <v>42</v>
      </c>
      <c r="B204" s="229" t="s">
        <v>1054</v>
      </c>
      <c r="C204" s="229" t="s">
        <v>3497</v>
      </c>
      <c r="D204" s="230">
        <v>8.7200000000000006</v>
      </c>
      <c r="E204" s="284">
        <v>8.6300000000000008</v>
      </c>
    </row>
    <row r="205" spans="1:5" x14ac:dyDescent="0.2">
      <c r="A205" s="236">
        <v>43</v>
      </c>
      <c r="B205" s="226" t="s">
        <v>301</v>
      </c>
      <c r="C205" s="226" t="s">
        <v>2122</v>
      </c>
      <c r="D205" s="227">
        <v>8.6999999999999993</v>
      </c>
      <c r="E205" s="286">
        <v>8.61</v>
      </c>
    </row>
    <row r="206" spans="1:5" x14ac:dyDescent="0.2">
      <c r="A206" s="236">
        <v>44</v>
      </c>
      <c r="B206" s="229" t="s">
        <v>4123</v>
      </c>
      <c r="C206" s="229" t="s">
        <v>4282</v>
      </c>
      <c r="D206" s="230">
        <v>8.69</v>
      </c>
      <c r="E206" s="287">
        <v>8.6</v>
      </c>
    </row>
    <row r="207" spans="1:5" x14ac:dyDescent="0.2">
      <c r="A207" s="236">
        <v>45</v>
      </c>
      <c r="B207" s="226" t="s">
        <v>3111</v>
      </c>
      <c r="C207" s="226" t="s">
        <v>3112</v>
      </c>
      <c r="D207" s="227">
        <v>8.57</v>
      </c>
      <c r="E207" s="337">
        <v>8.59</v>
      </c>
    </row>
    <row r="208" spans="1:5" x14ac:dyDescent="0.2">
      <c r="A208" s="236">
        <v>46</v>
      </c>
      <c r="B208" s="229" t="s">
        <v>728</v>
      </c>
      <c r="C208" s="229" t="s">
        <v>729</v>
      </c>
      <c r="D208" s="230">
        <v>8.67</v>
      </c>
      <c r="E208" s="289">
        <v>8.57</v>
      </c>
    </row>
    <row r="209" spans="1:5" x14ac:dyDescent="0.2">
      <c r="A209" s="236">
        <v>47</v>
      </c>
      <c r="B209" s="226" t="s">
        <v>2178</v>
      </c>
      <c r="C209" s="226" t="s">
        <v>2177</v>
      </c>
      <c r="D209" s="227">
        <v>8.67</v>
      </c>
      <c r="E209" s="289">
        <v>8.57</v>
      </c>
    </row>
    <row r="210" spans="1:5" x14ac:dyDescent="0.2">
      <c r="A210" s="236">
        <v>48</v>
      </c>
      <c r="B210" s="229" t="s">
        <v>2477</v>
      </c>
      <c r="C210" s="229" t="s">
        <v>3339</v>
      </c>
      <c r="D210" s="230">
        <v>8.65</v>
      </c>
      <c r="E210" s="290">
        <v>8.56</v>
      </c>
    </row>
    <row r="211" spans="1:5" x14ac:dyDescent="0.2">
      <c r="A211" s="236">
        <v>49</v>
      </c>
      <c r="B211" s="226" t="s">
        <v>3987</v>
      </c>
      <c r="C211" s="226" t="s">
        <v>3986</v>
      </c>
      <c r="D211" s="227">
        <v>8.67</v>
      </c>
      <c r="E211" s="290">
        <v>8.56</v>
      </c>
    </row>
    <row r="212" spans="1:5" x14ac:dyDescent="0.2">
      <c r="A212" s="236">
        <v>50</v>
      </c>
      <c r="B212" s="229" t="s">
        <v>5362</v>
      </c>
      <c r="C212" s="229" t="s">
        <v>5345</v>
      </c>
      <c r="D212" s="230">
        <v>8.65</v>
      </c>
      <c r="E212" s="290">
        <v>8.56</v>
      </c>
    </row>
    <row r="213" spans="1:5" x14ac:dyDescent="0.2">
      <c r="A213" s="236">
        <v>51</v>
      </c>
      <c r="B213" s="226" t="s">
        <v>300</v>
      </c>
      <c r="C213" s="226" t="s">
        <v>2146</v>
      </c>
      <c r="D213" s="227">
        <v>8.64</v>
      </c>
      <c r="E213" s="291">
        <v>8.5500000000000007</v>
      </c>
    </row>
    <row r="214" spans="1:5" x14ac:dyDescent="0.2">
      <c r="A214" s="236">
        <v>52</v>
      </c>
      <c r="B214" s="229" t="s">
        <v>1054</v>
      </c>
      <c r="C214" s="229" t="s">
        <v>2291</v>
      </c>
      <c r="D214" s="230">
        <v>8.61</v>
      </c>
      <c r="E214" s="293">
        <v>8.5299999999999994</v>
      </c>
    </row>
    <row r="215" spans="1:5" x14ac:dyDescent="0.2">
      <c r="A215" s="236">
        <v>53</v>
      </c>
      <c r="B215" s="226" t="s">
        <v>2988</v>
      </c>
      <c r="C215" s="226" t="s">
        <v>2989</v>
      </c>
      <c r="D215" s="227">
        <v>8.6</v>
      </c>
      <c r="E215" s="293">
        <v>8.5299999999999994</v>
      </c>
    </row>
    <row r="216" spans="1:5" x14ac:dyDescent="0.2">
      <c r="A216" s="236">
        <v>54</v>
      </c>
      <c r="B216" s="229" t="s">
        <v>3865</v>
      </c>
      <c r="C216" s="229" t="s">
        <v>3866</v>
      </c>
      <c r="D216" s="230">
        <v>8.64</v>
      </c>
      <c r="E216" s="293">
        <v>8.5299999999999994</v>
      </c>
    </row>
    <row r="217" spans="1:5" x14ac:dyDescent="0.2">
      <c r="A217" s="236">
        <v>55</v>
      </c>
      <c r="B217" s="226" t="s">
        <v>5363</v>
      </c>
      <c r="C217" s="226" t="s">
        <v>5360</v>
      </c>
      <c r="D217" s="227">
        <v>8.6</v>
      </c>
      <c r="E217" s="363">
        <v>8.51</v>
      </c>
    </row>
    <row r="218" spans="1:5" x14ac:dyDescent="0.2">
      <c r="A218" s="236">
        <v>56</v>
      </c>
      <c r="B218" s="229" t="s">
        <v>2864</v>
      </c>
      <c r="C218" s="229" t="s">
        <v>2865</v>
      </c>
      <c r="D218" s="230">
        <v>8.58</v>
      </c>
      <c r="E218" s="295">
        <v>8.5</v>
      </c>
    </row>
    <row r="219" spans="1:5" x14ac:dyDescent="0.2">
      <c r="A219" s="236">
        <v>57</v>
      </c>
      <c r="B219" s="226" t="s">
        <v>1330</v>
      </c>
      <c r="C219" s="226" t="s">
        <v>5163</v>
      </c>
      <c r="D219" s="227">
        <v>8.56</v>
      </c>
      <c r="E219" s="295">
        <v>8.5</v>
      </c>
    </row>
    <row r="220" spans="1:5" x14ac:dyDescent="0.2">
      <c r="A220" s="236">
        <v>58</v>
      </c>
      <c r="B220" s="229" t="s">
        <v>976</v>
      </c>
      <c r="C220" s="229" t="s">
        <v>977</v>
      </c>
      <c r="D220" s="230">
        <v>8.5500000000000007</v>
      </c>
      <c r="E220" s="297">
        <v>8.4700000000000006</v>
      </c>
    </row>
    <row r="221" spans="1:5" x14ac:dyDescent="0.2">
      <c r="A221" s="236">
        <v>59</v>
      </c>
      <c r="B221" s="226" t="s">
        <v>300</v>
      </c>
      <c r="C221" s="226" t="s">
        <v>1840</v>
      </c>
      <c r="D221" s="227">
        <v>8.5</v>
      </c>
      <c r="E221" s="298">
        <v>8.4600000000000009</v>
      </c>
    </row>
    <row r="222" spans="1:5" x14ac:dyDescent="0.2">
      <c r="A222" s="236">
        <v>60</v>
      </c>
      <c r="B222" s="229" t="s">
        <v>1300</v>
      </c>
      <c r="C222" s="229" t="s">
        <v>3945</v>
      </c>
      <c r="D222" s="230">
        <v>8.5</v>
      </c>
      <c r="E222" s="300">
        <v>8.43</v>
      </c>
    </row>
    <row r="223" spans="1:5" x14ac:dyDescent="0.2">
      <c r="A223" s="236">
        <v>61</v>
      </c>
      <c r="B223" s="226" t="s">
        <v>1174</v>
      </c>
      <c r="C223" s="226" t="s">
        <v>3899</v>
      </c>
      <c r="D223" s="227">
        <v>8.3800000000000008</v>
      </c>
      <c r="E223" s="426">
        <v>8.4</v>
      </c>
    </row>
    <row r="224" spans="1:5" x14ac:dyDescent="0.2">
      <c r="A224" s="236">
        <v>62</v>
      </c>
      <c r="B224" s="229" t="s">
        <v>2809</v>
      </c>
      <c r="C224" s="229" t="s">
        <v>2799</v>
      </c>
      <c r="D224" s="230">
        <v>8.44</v>
      </c>
      <c r="E224" s="302">
        <v>8.39</v>
      </c>
    </row>
    <row r="225" spans="1:5" x14ac:dyDescent="0.2">
      <c r="A225" s="236">
        <v>63</v>
      </c>
      <c r="B225" s="226" t="s">
        <v>1859</v>
      </c>
      <c r="C225" s="226" t="s">
        <v>1860</v>
      </c>
      <c r="D225" s="227">
        <v>8.43</v>
      </c>
      <c r="E225" s="303">
        <v>8.3800000000000008</v>
      </c>
    </row>
    <row r="226" spans="1:5" x14ac:dyDescent="0.2">
      <c r="A226" s="236">
        <v>64</v>
      </c>
      <c r="B226" s="229" t="s">
        <v>1540</v>
      </c>
      <c r="C226" s="229" t="s">
        <v>1541</v>
      </c>
      <c r="D226" s="230">
        <v>8.4</v>
      </c>
      <c r="E226" s="304">
        <v>8.3699999999999992</v>
      </c>
    </row>
    <row r="227" spans="1:5" x14ac:dyDescent="0.2">
      <c r="A227" s="236">
        <v>65</v>
      </c>
      <c r="B227" s="226" t="s">
        <v>4157</v>
      </c>
      <c r="C227" s="226" t="s">
        <v>4158</v>
      </c>
      <c r="D227" s="227">
        <v>8.4600000000000009</v>
      </c>
      <c r="E227" s="446">
        <v>8.35</v>
      </c>
    </row>
    <row r="228" spans="1:5" x14ac:dyDescent="0.2">
      <c r="A228" s="236">
        <v>66</v>
      </c>
      <c r="B228" s="229" t="s">
        <v>315</v>
      </c>
      <c r="C228" s="229" t="s">
        <v>316</v>
      </c>
      <c r="D228" s="230">
        <v>8.42</v>
      </c>
      <c r="E228" s="305">
        <v>8.34</v>
      </c>
    </row>
    <row r="229" spans="1:5" x14ac:dyDescent="0.2">
      <c r="A229" s="236">
        <v>67</v>
      </c>
      <c r="B229" s="226" t="s">
        <v>1410</v>
      </c>
      <c r="C229" s="226" t="s">
        <v>1464</v>
      </c>
      <c r="D229" s="227">
        <v>8.44</v>
      </c>
      <c r="E229" s="305">
        <v>8.34</v>
      </c>
    </row>
    <row r="230" spans="1:5" x14ac:dyDescent="0.2">
      <c r="A230" s="236">
        <v>68</v>
      </c>
      <c r="B230" s="229" t="s">
        <v>2925</v>
      </c>
      <c r="C230" s="229" t="s">
        <v>2926</v>
      </c>
      <c r="D230" s="230">
        <v>8.4499999999999993</v>
      </c>
      <c r="E230" s="305">
        <v>8.34</v>
      </c>
    </row>
    <row r="231" spans="1:5" x14ac:dyDescent="0.2">
      <c r="A231" s="236">
        <v>69</v>
      </c>
      <c r="B231" s="226" t="s">
        <v>1300</v>
      </c>
      <c r="C231" s="226" t="s">
        <v>3463</v>
      </c>
      <c r="D231" s="227">
        <v>8.36</v>
      </c>
      <c r="E231" s="305">
        <v>8.34</v>
      </c>
    </row>
    <row r="232" spans="1:5" x14ac:dyDescent="0.2">
      <c r="A232" s="236">
        <v>70</v>
      </c>
      <c r="B232" s="229" t="s">
        <v>4781</v>
      </c>
      <c r="C232" s="229" t="s">
        <v>4782</v>
      </c>
      <c r="D232" s="230">
        <v>8.42</v>
      </c>
      <c r="E232" s="407">
        <v>8.31</v>
      </c>
    </row>
    <row r="233" spans="1:5" x14ac:dyDescent="0.2">
      <c r="A233" s="236">
        <v>71</v>
      </c>
      <c r="B233" s="226" t="s">
        <v>4567</v>
      </c>
      <c r="C233" s="226" t="s">
        <v>5478</v>
      </c>
      <c r="D233" s="227">
        <v>8.36</v>
      </c>
      <c r="E233" s="407">
        <v>8.31</v>
      </c>
    </row>
    <row r="234" spans="1:5" x14ac:dyDescent="0.2">
      <c r="A234" s="236">
        <v>72</v>
      </c>
      <c r="B234" s="229" t="s">
        <v>2911</v>
      </c>
      <c r="C234" s="229" t="s">
        <v>2912</v>
      </c>
      <c r="D234" s="230">
        <v>8.4</v>
      </c>
      <c r="E234" s="348">
        <v>8.3000000000000007</v>
      </c>
    </row>
    <row r="235" spans="1:5" x14ac:dyDescent="0.2">
      <c r="A235" s="236">
        <v>73</v>
      </c>
      <c r="B235" s="226" t="s">
        <v>3259</v>
      </c>
      <c r="C235" s="226" t="s">
        <v>3260</v>
      </c>
      <c r="D235" s="227">
        <v>8.2899999999999991</v>
      </c>
      <c r="E235" s="348">
        <v>8.3000000000000007</v>
      </c>
    </row>
    <row r="236" spans="1:5" x14ac:dyDescent="0.2">
      <c r="A236" s="236">
        <v>74</v>
      </c>
      <c r="B236" s="229" t="s">
        <v>300</v>
      </c>
      <c r="C236" s="229" t="s">
        <v>1700</v>
      </c>
      <c r="D236" s="230">
        <v>8.2899999999999991</v>
      </c>
      <c r="E236" s="307">
        <v>8.27</v>
      </c>
    </row>
    <row r="237" spans="1:5" x14ac:dyDescent="0.2">
      <c r="A237" s="236">
        <v>75</v>
      </c>
      <c r="B237" s="226" t="s">
        <v>300</v>
      </c>
      <c r="C237" s="226" t="s">
        <v>1584</v>
      </c>
      <c r="D237" s="227">
        <v>8.4</v>
      </c>
      <c r="E237" s="308">
        <v>8.25</v>
      </c>
    </row>
    <row r="238" spans="1:5" x14ac:dyDescent="0.2">
      <c r="A238" s="236">
        <v>76</v>
      </c>
      <c r="B238" s="229" t="s">
        <v>2823</v>
      </c>
      <c r="C238" s="229" t="s">
        <v>2824</v>
      </c>
      <c r="D238" s="230">
        <v>8.41</v>
      </c>
      <c r="E238" s="309">
        <v>8.24</v>
      </c>
    </row>
    <row r="239" spans="1:5" x14ac:dyDescent="0.2">
      <c r="A239" s="236">
        <v>77</v>
      </c>
      <c r="B239" s="226" t="s">
        <v>2823</v>
      </c>
      <c r="C239" s="226" t="s">
        <v>3448</v>
      </c>
      <c r="D239" s="227">
        <v>8.35</v>
      </c>
      <c r="E239" s="309">
        <v>8.24</v>
      </c>
    </row>
    <row r="240" spans="1:5" x14ac:dyDescent="0.2">
      <c r="A240" s="236">
        <v>78</v>
      </c>
      <c r="B240" s="229" t="s">
        <v>292</v>
      </c>
      <c r="C240" s="229" t="s">
        <v>278</v>
      </c>
      <c r="D240" s="230">
        <v>8.35</v>
      </c>
      <c r="E240" s="311">
        <v>8.2200000000000006</v>
      </c>
    </row>
    <row r="241" spans="1:5" x14ac:dyDescent="0.2">
      <c r="A241" s="236">
        <v>79</v>
      </c>
      <c r="B241" s="226" t="s">
        <v>1174</v>
      </c>
      <c r="C241" s="226" t="s">
        <v>3284</v>
      </c>
      <c r="D241" s="227">
        <v>8.1999999999999993</v>
      </c>
      <c r="E241" s="385">
        <v>8.2100000000000009</v>
      </c>
    </row>
    <row r="242" spans="1:5" x14ac:dyDescent="0.2">
      <c r="A242" s="236">
        <v>80</v>
      </c>
      <c r="B242" s="229" t="s">
        <v>2841</v>
      </c>
      <c r="C242" s="229" t="s">
        <v>3851</v>
      </c>
      <c r="D242" s="230">
        <v>8.27</v>
      </c>
      <c r="E242" s="315">
        <v>8.1300000000000008</v>
      </c>
    </row>
    <row r="243" spans="1:5" x14ac:dyDescent="0.2">
      <c r="A243" s="236">
        <v>81</v>
      </c>
      <c r="B243" s="226" t="s">
        <v>4039</v>
      </c>
      <c r="C243" s="226" t="s">
        <v>4040</v>
      </c>
      <c r="D243" s="227">
        <v>8.17</v>
      </c>
      <c r="E243" s="437">
        <v>8.07</v>
      </c>
    </row>
    <row r="244" spans="1:5" x14ac:dyDescent="0.2">
      <c r="A244" s="236">
        <v>82</v>
      </c>
      <c r="B244" s="229" t="s">
        <v>301</v>
      </c>
      <c r="C244" s="229" t="s">
        <v>3522</v>
      </c>
      <c r="D244" s="230">
        <v>8.0399999999999991</v>
      </c>
      <c r="E244" s="404">
        <v>7.96</v>
      </c>
    </row>
    <row r="245" spans="1:5" x14ac:dyDescent="0.2">
      <c r="A245" s="236">
        <v>83</v>
      </c>
      <c r="B245" s="226" t="s">
        <v>1300</v>
      </c>
      <c r="C245" s="226" t="s">
        <v>1301</v>
      </c>
      <c r="D245" s="227">
        <v>8.0500000000000007</v>
      </c>
      <c r="E245" s="321">
        <v>7.95</v>
      </c>
    </row>
    <row r="246" spans="1:5" x14ac:dyDescent="0.2">
      <c r="A246" s="236">
        <v>84</v>
      </c>
      <c r="B246" s="229" t="s">
        <v>300</v>
      </c>
      <c r="C246" s="229" t="s">
        <v>3099</v>
      </c>
      <c r="D246" s="230">
        <v>8</v>
      </c>
      <c r="E246" s="322">
        <v>7.94</v>
      </c>
    </row>
    <row r="247" spans="1:5" x14ac:dyDescent="0.2">
      <c r="A247" s="236">
        <v>85</v>
      </c>
      <c r="B247" s="226" t="s">
        <v>4405</v>
      </c>
      <c r="C247" s="226" t="s">
        <v>4400</v>
      </c>
      <c r="D247" s="227">
        <v>8</v>
      </c>
      <c r="E247" s="322">
        <v>7.94</v>
      </c>
    </row>
    <row r="248" spans="1:5" x14ac:dyDescent="0.2">
      <c r="A248" s="236">
        <v>86</v>
      </c>
      <c r="B248" s="229" t="s">
        <v>292</v>
      </c>
      <c r="C248" s="229" t="s">
        <v>2934</v>
      </c>
      <c r="D248" s="230">
        <v>7.92</v>
      </c>
      <c r="E248" s="350">
        <v>7.84</v>
      </c>
    </row>
    <row r="249" spans="1:5" x14ac:dyDescent="0.2">
      <c r="A249" s="236">
        <v>87</v>
      </c>
      <c r="B249" s="226" t="s">
        <v>3984</v>
      </c>
      <c r="C249" s="226" t="s">
        <v>3974</v>
      </c>
      <c r="D249" s="227">
        <v>7.75</v>
      </c>
      <c r="E249" s="325">
        <v>7.69</v>
      </c>
    </row>
    <row r="250" spans="1:5" x14ac:dyDescent="0.2">
      <c r="A250" s="236">
        <v>88</v>
      </c>
      <c r="B250" s="229" t="s">
        <v>3373</v>
      </c>
      <c r="C250" s="229" t="s">
        <v>3373</v>
      </c>
      <c r="D250" s="230">
        <v>7.75</v>
      </c>
      <c r="E250" s="326">
        <v>7.66</v>
      </c>
    </row>
    <row r="251" spans="1:5" x14ac:dyDescent="0.2">
      <c r="A251" s="236">
        <v>89</v>
      </c>
      <c r="B251" s="226" t="s">
        <v>304</v>
      </c>
      <c r="C251" s="226" t="s">
        <v>304</v>
      </c>
      <c r="D251" s="227">
        <v>7.77</v>
      </c>
      <c r="E251" s="327">
        <v>7.64</v>
      </c>
    </row>
    <row r="252" spans="1:5" x14ac:dyDescent="0.2">
      <c r="A252" s="236">
        <v>90</v>
      </c>
      <c r="B252" s="229" t="s">
        <v>628</v>
      </c>
      <c r="C252" s="229" t="s">
        <v>629</v>
      </c>
      <c r="D252" s="230">
        <v>7.06</v>
      </c>
      <c r="E252" s="333">
        <v>6.99</v>
      </c>
    </row>
    <row r="253" spans="1:5" x14ac:dyDescent="0.2">
      <c r="A253" s="236">
        <v>91</v>
      </c>
      <c r="B253" s="226" t="s">
        <v>5609</v>
      </c>
      <c r="C253" s="226" t="s">
        <v>5582</v>
      </c>
      <c r="D253" s="227">
        <v>7.13</v>
      </c>
      <c r="E253" s="548">
        <v>6.97</v>
      </c>
    </row>
    <row r="254" spans="1:5" x14ac:dyDescent="0.2">
      <c r="A254" s="236">
        <v>92</v>
      </c>
      <c r="B254" s="229" t="s">
        <v>301</v>
      </c>
      <c r="C254" s="229" t="s">
        <v>1661</v>
      </c>
      <c r="D254" s="230">
        <v>3.68</v>
      </c>
      <c r="E254" s="334">
        <v>3.37</v>
      </c>
    </row>
    <row r="256" spans="1:5" ht="18" x14ac:dyDescent="0.25">
      <c r="A256" s="567" t="s">
        <v>5555</v>
      </c>
      <c r="B256" s="567"/>
      <c r="C256" s="567"/>
      <c r="D256" s="567"/>
      <c r="E256" s="567"/>
    </row>
    <row r="257" spans="1:5" x14ac:dyDescent="0.2">
      <c r="A257" s="225" t="s">
        <v>318</v>
      </c>
      <c r="B257" s="225" t="s">
        <v>285</v>
      </c>
      <c r="C257" s="225" t="s">
        <v>286</v>
      </c>
      <c r="D257" s="225" t="s">
        <v>287</v>
      </c>
      <c r="E257" s="225" t="s">
        <v>957</v>
      </c>
    </row>
    <row r="258" spans="1:5" x14ac:dyDescent="0.2">
      <c r="A258" s="232">
        <v>1</v>
      </c>
      <c r="B258" s="226" t="s">
        <v>293</v>
      </c>
      <c r="C258" s="226" t="s">
        <v>251</v>
      </c>
      <c r="D258" s="227">
        <v>9.15</v>
      </c>
      <c r="E258" s="243">
        <v>9.3699999999999992</v>
      </c>
    </row>
    <row r="259" spans="1:5" x14ac:dyDescent="0.2">
      <c r="A259" s="234">
        <v>2</v>
      </c>
      <c r="B259" s="229" t="s">
        <v>4107</v>
      </c>
      <c r="C259" s="229" t="s">
        <v>4108</v>
      </c>
      <c r="D259" s="230">
        <v>9.09</v>
      </c>
      <c r="E259" s="452">
        <v>9.33</v>
      </c>
    </row>
    <row r="260" spans="1:5" x14ac:dyDescent="0.2">
      <c r="A260" s="235">
        <v>3</v>
      </c>
      <c r="B260" s="226" t="s">
        <v>303</v>
      </c>
      <c r="C260" s="226" t="s">
        <v>2365</v>
      </c>
      <c r="D260" s="227">
        <v>9.08</v>
      </c>
      <c r="E260" s="248">
        <v>9.17</v>
      </c>
    </row>
    <row r="261" spans="1:5" x14ac:dyDescent="0.2">
      <c r="A261" s="236">
        <v>4</v>
      </c>
      <c r="B261" s="229" t="s">
        <v>303</v>
      </c>
      <c r="C261" s="229" t="s">
        <v>157</v>
      </c>
      <c r="D261" s="230">
        <v>9</v>
      </c>
      <c r="E261" s="250">
        <v>9.09</v>
      </c>
    </row>
    <row r="262" spans="1:5" x14ac:dyDescent="0.2">
      <c r="A262" s="236">
        <v>5</v>
      </c>
      <c r="B262" s="226" t="s">
        <v>2697</v>
      </c>
      <c r="C262" s="226" t="s">
        <v>2698</v>
      </c>
      <c r="D262" s="227">
        <v>8.8800000000000008</v>
      </c>
      <c r="E262" s="252">
        <v>9.0399999999999991</v>
      </c>
    </row>
    <row r="263" spans="1:5" x14ac:dyDescent="0.2">
      <c r="A263" s="236">
        <v>6</v>
      </c>
      <c r="B263" s="229" t="s">
        <v>1440</v>
      </c>
      <c r="C263" s="229" t="s">
        <v>1441</v>
      </c>
      <c r="D263" s="230">
        <v>8.67</v>
      </c>
      <c r="E263" s="255">
        <v>9</v>
      </c>
    </row>
    <row r="264" spans="1:5" x14ac:dyDescent="0.2">
      <c r="A264" s="236">
        <v>7</v>
      </c>
      <c r="B264" s="226" t="s">
        <v>312</v>
      </c>
      <c r="C264" s="226" t="s">
        <v>1714</v>
      </c>
      <c r="D264" s="227">
        <v>9</v>
      </c>
      <c r="E264" s="257">
        <v>8.9600000000000009</v>
      </c>
    </row>
    <row r="265" spans="1:5" x14ac:dyDescent="0.2">
      <c r="A265" s="236">
        <v>8</v>
      </c>
      <c r="B265" s="229" t="s">
        <v>1075</v>
      </c>
      <c r="C265" s="229" t="s">
        <v>1926</v>
      </c>
      <c r="D265" s="230">
        <v>8.7200000000000006</v>
      </c>
      <c r="E265" s="261">
        <v>8.91</v>
      </c>
    </row>
    <row r="266" spans="1:5" x14ac:dyDescent="0.2">
      <c r="A266" s="236">
        <v>9</v>
      </c>
      <c r="B266" s="226" t="s">
        <v>951</v>
      </c>
      <c r="C266" s="226" t="s">
        <v>4417</v>
      </c>
      <c r="D266" s="227">
        <v>9</v>
      </c>
      <c r="E266" s="261">
        <v>8.91</v>
      </c>
    </row>
    <row r="267" spans="1:5" x14ac:dyDescent="0.2">
      <c r="A267" s="236">
        <v>10</v>
      </c>
      <c r="B267" s="229" t="s">
        <v>1075</v>
      </c>
      <c r="C267" s="229" t="s">
        <v>1439</v>
      </c>
      <c r="D267" s="230">
        <v>8.7200000000000006</v>
      </c>
      <c r="E267" s="262">
        <v>8.89</v>
      </c>
    </row>
    <row r="268" spans="1:5" x14ac:dyDescent="0.2">
      <c r="A268" s="236">
        <v>11</v>
      </c>
      <c r="B268" s="226" t="s">
        <v>1625</v>
      </c>
      <c r="C268" s="226" t="s">
        <v>1626</v>
      </c>
      <c r="D268" s="227">
        <v>8.91</v>
      </c>
      <c r="E268" s="263">
        <v>8.8800000000000008</v>
      </c>
    </row>
    <row r="269" spans="1:5" x14ac:dyDescent="0.2">
      <c r="A269" s="236">
        <v>12</v>
      </c>
      <c r="B269" s="229" t="s">
        <v>2697</v>
      </c>
      <c r="C269" s="229" t="s">
        <v>2699</v>
      </c>
      <c r="D269" s="230">
        <v>8.8800000000000008</v>
      </c>
      <c r="E269" s="267">
        <v>8.84</v>
      </c>
    </row>
    <row r="270" spans="1:5" x14ac:dyDescent="0.2">
      <c r="A270" s="236">
        <v>13</v>
      </c>
      <c r="B270" s="226" t="s">
        <v>303</v>
      </c>
      <c r="C270" s="226" t="s">
        <v>588</v>
      </c>
      <c r="D270" s="227">
        <v>8.77</v>
      </c>
      <c r="E270" s="270">
        <v>8.7899999999999991</v>
      </c>
    </row>
    <row r="271" spans="1:5" x14ac:dyDescent="0.2">
      <c r="A271" s="236">
        <v>14</v>
      </c>
      <c r="B271" s="229" t="s">
        <v>1368</v>
      </c>
      <c r="C271" s="229" t="s">
        <v>1369</v>
      </c>
      <c r="D271" s="230">
        <v>8.73</v>
      </c>
      <c r="E271" s="273">
        <v>8.76</v>
      </c>
    </row>
    <row r="272" spans="1:5" x14ac:dyDescent="0.2">
      <c r="A272" s="236">
        <v>15</v>
      </c>
      <c r="B272" s="226" t="s">
        <v>1368</v>
      </c>
      <c r="C272" s="226" t="s">
        <v>4051</v>
      </c>
      <c r="D272" s="227">
        <v>8.83</v>
      </c>
      <c r="E272" s="275">
        <v>8.74</v>
      </c>
    </row>
    <row r="273" spans="1:5" x14ac:dyDescent="0.2">
      <c r="A273" s="236">
        <v>16</v>
      </c>
      <c r="B273" s="229" t="s">
        <v>1368</v>
      </c>
      <c r="C273" s="229" t="s">
        <v>3834</v>
      </c>
      <c r="D273" s="230">
        <v>8.65</v>
      </c>
      <c r="E273" s="277">
        <v>8.7100000000000009</v>
      </c>
    </row>
    <row r="274" spans="1:5" x14ac:dyDescent="0.2">
      <c r="A274" s="236">
        <v>17</v>
      </c>
      <c r="B274" s="226" t="s">
        <v>2697</v>
      </c>
      <c r="C274" s="226" t="s">
        <v>3885</v>
      </c>
      <c r="D274" s="227">
        <v>8.68</v>
      </c>
      <c r="E274" s="277">
        <v>8.7100000000000009</v>
      </c>
    </row>
    <row r="275" spans="1:5" x14ac:dyDescent="0.2">
      <c r="A275" s="236">
        <v>18</v>
      </c>
      <c r="B275" s="229" t="s">
        <v>1393</v>
      </c>
      <c r="C275" s="229" t="s">
        <v>1394</v>
      </c>
      <c r="D275" s="230">
        <v>8.75</v>
      </c>
      <c r="E275" s="278">
        <v>8.6999999999999993</v>
      </c>
    </row>
    <row r="276" spans="1:5" x14ac:dyDescent="0.2">
      <c r="A276" s="236">
        <v>19</v>
      </c>
      <c r="B276" s="226" t="s">
        <v>1368</v>
      </c>
      <c r="C276" s="226" t="s">
        <v>3283</v>
      </c>
      <c r="D276" s="227">
        <v>8.8000000000000007</v>
      </c>
      <c r="E276" s="278">
        <v>8.6999999999999993</v>
      </c>
    </row>
    <row r="277" spans="1:5" x14ac:dyDescent="0.2">
      <c r="A277" s="236">
        <v>20</v>
      </c>
      <c r="B277" s="229" t="s">
        <v>3493</v>
      </c>
      <c r="C277" s="229" t="s">
        <v>3486</v>
      </c>
      <c r="D277" s="230">
        <v>8.82</v>
      </c>
      <c r="E277" s="336">
        <v>8.69</v>
      </c>
    </row>
    <row r="278" spans="1:5" x14ac:dyDescent="0.2">
      <c r="A278" s="236">
        <v>21</v>
      </c>
      <c r="B278" s="226" t="s">
        <v>5244</v>
      </c>
      <c r="C278" s="226" t="s">
        <v>5245</v>
      </c>
      <c r="D278" s="227">
        <v>8.65</v>
      </c>
      <c r="E278" s="336">
        <v>8.69</v>
      </c>
    </row>
    <row r="279" spans="1:5" x14ac:dyDescent="0.2">
      <c r="A279" s="236">
        <v>22</v>
      </c>
      <c r="B279" s="229" t="s">
        <v>5335</v>
      </c>
      <c r="C279" s="229" t="s">
        <v>5336</v>
      </c>
      <c r="D279" s="230">
        <v>8.75</v>
      </c>
      <c r="E279" s="336">
        <v>8.69</v>
      </c>
    </row>
    <row r="280" spans="1:5" x14ac:dyDescent="0.2">
      <c r="A280" s="236">
        <v>23</v>
      </c>
      <c r="B280" s="226" t="s">
        <v>1368</v>
      </c>
      <c r="C280" s="226" t="s">
        <v>2416</v>
      </c>
      <c r="D280" s="227">
        <v>8.6300000000000008</v>
      </c>
      <c r="E280" s="280">
        <v>8.67</v>
      </c>
    </row>
    <row r="281" spans="1:5" x14ac:dyDescent="0.2">
      <c r="A281" s="236">
        <v>24</v>
      </c>
      <c r="B281" s="229" t="s">
        <v>309</v>
      </c>
      <c r="C281" s="229" t="s">
        <v>218</v>
      </c>
      <c r="D281" s="230">
        <v>8.77</v>
      </c>
      <c r="E281" s="281">
        <v>8.66</v>
      </c>
    </row>
    <row r="282" spans="1:5" x14ac:dyDescent="0.2">
      <c r="A282" s="236">
        <v>25</v>
      </c>
      <c r="B282" s="226" t="s">
        <v>1368</v>
      </c>
      <c r="C282" s="226" t="s">
        <v>3334</v>
      </c>
      <c r="D282" s="227">
        <v>8.6</v>
      </c>
      <c r="E282" s="281">
        <v>8.66</v>
      </c>
    </row>
    <row r="283" spans="1:5" x14ac:dyDescent="0.2">
      <c r="A283" s="236">
        <v>26</v>
      </c>
      <c r="B283" s="229" t="s">
        <v>2697</v>
      </c>
      <c r="C283" s="229" t="s">
        <v>2970</v>
      </c>
      <c r="D283" s="230">
        <v>8.75</v>
      </c>
      <c r="E283" s="282">
        <v>8.65</v>
      </c>
    </row>
    <row r="284" spans="1:5" x14ac:dyDescent="0.2">
      <c r="A284" s="236">
        <v>27</v>
      </c>
      <c r="B284" s="226" t="s">
        <v>5425</v>
      </c>
      <c r="C284" s="226" t="s">
        <v>5426</v>
      </c>
      <c r="D284" s="227">
        <v>8.75</v>
      </c>
      <c r="E284" s="283">
        <v>8.64</v>
      </c>
    </row>
    <row r="285" spans="1:5" x14ac:dyDescent="0.2">
      <c r="A285" s="236">
        <v>28</v>
      </c>
      <c r="B285" s="229" t="s">
        <v>3003</v>
      </c>
      <c r="C285" s="229" t="s">
        <v>3004</v>
      </c>
      <c r="D285" s="230">
        <v>8.6999999999999993</v>
      </c>
      <c r="E285" s="286">
        <v>8.61</v>
      </c>
    </row>
    <row r="286" spans="1:5" x14ac:dyDescent="0.2">
      <c r="A286" s="236">
        <v>29</v>
      </c>
      <c r="B286" s="226" t="s">
        <v>2720</v>
      </c>
      <c r="C286" s="226" t="s">
        <v>2721</v>
      </c>
      <c r="D286" s="227">
        <v>8.65</v>
      </c>
      <c r="E286" s="290">
        <v>8.56</v>
      </c>
    </row>
    <row r="287" spans="1:5" x14ac:dyDescent="0.2">
      <c r="A287" s="236">
        <v>30</v>
      </c>
      <c r="B287" s="229" t="s">
        <v>1368</v>
      </c>
      <c r="C287" s="229" t="s">
        <v>4025</v>
      </c>
      <c r="D287" s="230">
        <v>8.64</v>
      </c>
      <c r="E287" s="291">
        <v>8.5500000000000007</v>
      </c>
    </row>
    <row r="288" spans="1:5" x14ac:dyDescent="0.2">
      <c r="A288" s="236">
        <v>31</v>
      </c>
      <c r="B288" s="226" t="s">
        <v>1368</v>
      </c>
      <c r="C288" s="226" t="s">
        <v>2466</v>
      </c>
      <c r="D288" s="227">
        <v>8.69</v>
      </c>
      <c r="E288" s="292">
        <v>8.5399999999999991</v>
      </c>
    </row>
    <row r="289" spans="1:5" x14ac:dyDescent="0.2">
      <c r="A289" s="236">
        <v>32</v>
      </c>
      <c r="B289" s="229" t="s">
        <v>2595</v>
      </c>
      <c r="C289" s="229" t="s">
        <v>2595</v>
      </c>
      <c r="D289" s="230">
        <v>8.6300000000000008</v>
      </c>
      <c r="E289" s="292">
        <v>8.5399999999999991</v>
      </c>
    </row>
    <row r="290" spans="1:5" x14ac:dyDescent="0.2">
      <c r="A290" s="236">
        <v>33</v>
      </c>
      <c r="B290" s="226" t="s">
        <v>2595</v>
      </c>
      <c r="C290" s="226" t="s">
        <v>3225</v>
      </c>
      <c r="D290" s="227">
        <v>8.6300000000000008</v>
      </c>
      <c r="E290" s="293">
        <v>8.5299999999999994</v>
      </c>
    </row>
    <row r="291" spans="1:5" x14ac:dyDescent="0.2">
      <c r="A291" s="236">
        <v>34</v>
      </c>
      <c r="B291" s="229" t="s">
        <v>4603</v>
      </c>
      <c r="C291" s="229" t="s">
        <v>4604</v>
      </c>
      <c r="D291" s="230">
        <v>8.59</v>
      </c>
      <c r="E291" s="295">
        <v>8.5</v>
      </c>
    </row>
    <row r="292" spans="1:5" x14ac:dyDescent="0.2">
      <c r="A292" s="236">
        <v>35</v>
      </c>
      <c r="B292" s="226" t="s">
        <v>4200</v>
      </c>
      <c r="C292" s="226" t="s">
        <v>4192</v>
      </c>
      <c r="D292" s="227">
        <v>8.56</v>
      </c>
      <c r="E292" s="370">
        <v>8.48</v>
      </c>
    </row>
    <row r="293" spans="1:5" x14ac:dyDescent="0.2">
      <c r="A293" s="236">
        <v>36</v>
      </c>
      <c r="B293" s="229" t="s">
        <v>1625</v>
      </c>
      <c r="C293" s="229" t="s">
        <v>2580</v>
      </c>
      <c r="D293" s="230">
        <v>8.5</v>
      </c>
      <c r="E293" s="297">
        <v>8.4700000000000006</v>
      </c>
    </row>
    <row r="294" spans="1:5" x14ac:dyDescent="0.2">
      <c r="A294" s="236">
        <v>37</v>
      </c>
      <c r="B294" s="226" t="s">
        <v>1121</v>
      </c>
      <c r="C294" s="226" t="s">
        <v>1122</v>
      </c>
      <c r="D294" s="227">
        <v>8.5299999999999994</v>
      </c>
      <c r="E294" s="299">
        <v>8.4499999999999993</v>
      </c>
    </row>
    <row r="295" spans="1:5" x14ac:dyDescent="0.2">
      <c r="A295" s="236">
        <v>38</v>
      </c>
      <c r="B295" s="229" t="s">
        <v>1647</v>
      </c>
      <c r="C295" s="229" t="s">
        <v>1648</v>
      </c>
      <c r="D295" s="230">
        <v>8.5</v>
      </c>
      <c r="E295" s="299">
        <v>8.4499999999999993</v>
      </c>
    </row>
    <row r="296" spans="1:5" x14ac:dyDescent="0.2">
      <c r="A296" s="236">
        <v>39</v>
      </c>
      <c r="B296" s="226" t="s">
        <v>5411</v>
      </c>
      <c r="C296" s="226" t="s">
        <v>5412</v>
      </c>
      <c r="D296" s="227">
        <v>8.4700000000000006</v>
      </c>
      <c r="E296" s="302">
        <v>8.39</v>
      </c>
    </row>
    <row r="297" spans="1:5" x14ac:dyDescent="0.2">
      <c r="A297" s="236">
        <v>40</v>
      </c>
      <c r="B297" s="229" t="s">
        <v>1163</v>
      </c>
      <c r="C297" s="229" t="s">
        <v>1153</v>
      </c>
      <c r="D297" s="230">
        <v>8.4499999999999993</v>
      </c>
      <c r="E297" s="303">
        <v>8.3800000000000008</v>
      </c>
    </row>
    <row r="298" spans="1:5" x14ac:dyDescent="0.2">
      <c r="A298" s="236">
        <v>41</v>
      </c>
      <c r="B298" s="226" t="s">
        <v>2700</v>
      </c>
      <c r="C298" s="226" t="s">
        <v>2701</v>
      </c>
      <c r="D298" s="227">
        <v>8.4</v>
      </c>
      <c r="E298" s="304">
        <v>8.3699999999999992</v>
      </c>
    </row>
    <row r="299" spans="1:5" x14ac:dyDescent="0.2">
      <c r="A299" s="236">
        <v>42</v>
      </c>
      <c r="B299" s="229" t="s">
        <v>2697</v>
      </c>
      <c r="C299" s="229" t="s">
        <v>5534</v>
      </c>
      <c r="D299" s="230">
        <v>8.4</v>
      </c>
      <c r="E299" s="305">
        <v>8.34</v>
      </c>
    </row>
    <row r="300" spans="1:5" x14ac:dyDescent="0.2">
      <c r="A300" s="236">
        <v>43</v>
      </c>
      <c r="B300" s="226" t="s">
        <v>3561</v>
      </c>
      <c r="C300" s="226" t="s">
        <v>3562</v>
      </c>
      <c r="D300" s="227">
        <v>8.35</v>
      </c>
      <c r="E300" s="307">
        <v>8.27</v>
      </c>
    </row>
    <row r="301" spans="1:5" x14ac:dyDescent="0.2">
      <c r="A301" s="236">
        <v>44</v>
      </c>
      <c r="B301" s="229" t="s">
        <v>4718</v>
      </c>
      <c r="C301" s="229" t="s">
        <v>4719</v>
      </c>
      <c r="D301" s="230">
        <v>8.35</v>
      </c>
      <c r="E301" s="311">
        <v>8.2200000000000006</v>
      </c>
    </row>
    <row r="302" spans="1:5" x14ac:dyDescent="0.2">
      <c r="A302" s="236">
        <v>45</v>
      </c>
      <c r="B302" s="226" t="s">
        <v>533</v>
      </c>
      <c r="C302" s="226" t="s">
        <v>534</v>
      </c>
      <c r="D302" s="227">
        <v>8.31</v>
      </c>
      <c r="E302" s="314">
        <v>8.16</v>
      </c>
    </row>
    <row r="303" spans="1:5" x14ac:dyDescent="0.2">
      <c r="A303" s="236">
        <v>46</v>
      </c>
      <c r="B303" s="229" t="s">
        <v>5242</v>
      </c>
      <c r="C303" s="229" t="s">
        <v>5243</v>
      </c>
      <c r="D303" s="230">
        <v>8.23</v>
      </c>
      <c r="E303" s="526">
        <v>8.1</v>
      </c>
    </row>
    <row r="304" spans="1:5" x14ac:dyDescent="0.2">
      <c r="A304" s="236">
        <v>47</v>
      </c>
      <c r="B304" s="226" t="s">
        <v>303</v>
      </c>
      <c r="C304" s="226" t="s">
        <v>651</v>
      </c>
      <c r="D304" s="227">
        <v>8.07</v>
      </c>
      <c r="E304" s="321">
        <v>7.95</v>
      </c>
    </row>
    <row r="305" spans="1:5" x14ac:dyDescent="0.2">
      <c r="A305" s="236">
        <v>48</v>
      </c>
      <c r="B305" s="229" t="s">
        <v>4449</v>
      </c>
      <c r="C305" s="229" t="s">
        <v>4450</v>
      </c>
      <c r="D305" s="230">
        <v>7.88</v>
      </c>
      <c r="E305" s="350">
        <v>7.84</v>
      </c>
    </row>
    <row r="306" spans="1:5" x14ac:dyDescent="0.2">
      <c r="A306" s="236">
        <v>49</v>
      </c>
      <c r="B306" s="226" t="s">
        <v>303</v>
      </c>
      <c r="C306" s="226" t="s">
        <v>1444</v>
      </c>
      <c r="D306" s="227">
        <v>8</v>
      </c>
      <c r="E306" s="323">
        <v>7.79</v>
      </c>
    </row>
    <row r="307" spans="1:5" x14ac:dyDescent="0.2">
      <c r="A307" s="236">
        <v>50</v>
      </c>
      <c r="B307" s="229" t="s">
        <v>293</v>
      </c>
      <c r="C307" s="229" t="s">
        <v>899</v>
      </c>
      <c r="D307" s="230">
        <v>7.88</v>
      </c>
      <c r="E307" s="324">
        <v>7.74</v>
      </c>
    </row>
    <row r="309" spans="1:5" ht="18" x14ac:dyDescent="0.25">
      <c r="A309" s="567" t="s">
        <v>5784</v>
      </c>
      <c r="B309" s="567"/>
      <c r="C309" s="567"/>
      <c r="D309" s="567"/>
      <c r="E309" s="567"/>
    </row>
    <row r="310" spans="1:5" x14ac:dyDescent="0.2">
      <c r="A310" s="225" t="s">
        <v>318</v>
      </c>
      <c r="B310" s="225" t="s">
        <v>285</v>
      </c>
      <c r="C310" s="225" t="s">
        <v>286</v>
      </c>
      <c r="D310" s="225" t="s">
        <v>287</v>
      </c>
      <c r="E310" s="225" t="s">
        <v>957</v>
      </c>
    </row>
    <row r="311" spans="1:5" x14ac:dyDescent="0.2">
      <c r="A311" s="232">
        <v>1</v>
      </c>
      <c r="B311" s="226" t="s">
        <v>312</v>
      </c>
      <c r="C311" s="226" t="s">
        <v>1080</v>
      </c>
      <c r="D311" s="227">
        <v>8.8800000000000008</v>
      </c>
      <c r="E311" s="249">
        <v>9.14</v>
      </c>
    </row>
    <row r="312" spans="1:5" x14ac:dyDescent="0.2">
      <c r="A312" s="234">
        <v>2</v>
      </c>
      <c r="B312" s="229" t="s">
        <v>1491</v>
      </c>
      <c r="C312" s="229" t="s">
        <v>2189</v>
      </c>
      <c r="D312" s="230">
        <v>9.07</v>
      </c>
      <c r="E312" s="254">
        <v>9.02</v>
      </c>
    </row>
    <row r="313" spans="1:5" x14ac:dyDescent="0.2">
      <c r="A313" s="235">
        <v>3</v>
      </c>
      <c r="B313" s="226" t="s">
        <v>2539</v>
      </c>
      <c r="C313" s="226" t="s">
        <v>2532</v>
      </c>
      <c r="D313" s="227">
        <v>9.06</v>
      </c>
      <c r="E313" s="254">
        <v>9.02</v>
      </c>
    </row>
    <row r="314" spans="1:5" x14ac:dyDescent="0.2">
      <c r="A314" s="236">
        <v>4</v>
      </c>
      <c r="B314" s="229" t="s">
        <v>312</v>
      </c>
      <c r="C314" s="229" t="s">
        <v>1714</v>
      </c>
      <c r="D314" s="230">
        <v>9</v>
      </c>
      <c r="E314" s="257">
        <v>8.9600000000000009</v>
      </c>
    </row>
    <row r="315" spans="1:5" x14ac:dyDescent="0.2">
      <c r="A315" s="236">
        <v>5</v>
      </c>
      <c r="B315" s="226" t="s">
        <v>677</v>
      </c>
      <c r="C315" s="226" t="s">
        <v>1318</v>
      </c>
      <c r="D315" s="227">
        <v>8.8800000000000008</v>
      </c>
      <c r="E315" s="262">
        <v>8.89</v>
      </c>
    </row>
    <row r="316" spans="1:5" x14ac:dyDescent="0.2">
      <c r="A316" s="236">
        <v>6</v>
      </c>
      <c r="B316" s="229" t="s">
        <v>2898</v>
      </c>
      <c r="C316" s="229" t="s">
        <v>2883</v>
      </c>
      <c r="D316" s="230">
        <v>8.8000000000000007</v>
      </c>
      <c r="E316" s="264">
        <v>8.8699999999999992</v>
      </c>
    </row>
    <row r="317" spans="1:5" x14ac:dyDescent="0.2">
      <c r="A317" s="236">
        <v>7</v>
      </c>
      <c r="B317" s="226" t="s">
        <v>4394</v>
      </c>
      <c r="C317" s="226" t="s">
        <v>4366</v>
      </c>
      <c r="D317" s="227">
        <v>8.86</v>
      </c>
      <c r="E317" s="264">
        <v>8.8699999999999992</v>
      </c>
    </row>
    <row r="318" spans="1:5" x14ac:dyDescent="0.2">
      <c r="A318" s="236">
        <v>8</v>
      </c>
      <c r="B318" s="229" t="s">
        <v>2164</v>
      </c>
      <c r="C318" s="229" t="s">
        <v>2313</v>
      </c>
      <c r="D318" s="230">
        <v>8.7899999999999991</v>
      </c>
      <c r="E318" s="265">
        <v>8.86</v>
      </c>
    </row>
    <row r="319" spans="1:5" x14ac:dyDescent="0.2">
      <c r="A319" s="236">
        <v>9</v>
      </c>
      <c r="B319" s="226" t="s">
        <v>3251</v>
      </c>
      <c r="C319" s="226" t="s">
        <v>3251</v>
      </c>
      <c r="D319" s="227">
        <v>8.82</v>
      </c>
      <c r="E319" s="267">
        <v>8.83</v>
      </c>
    </row>
    <row r="320" spans="1:5" x14ac:dyDescent="0.2">
      <c r="A320" s="236">
        <v>10</v>
      </c>
      <c r="B320" s="229" t="s">
        <v>677</v>
      </c>
      <c r="C320" s="229" t="s">
        <v>673</v>
      </c>
      <c r="D320" s="230">
        <v>8.67</v>
      </c>
      <c r="E320" s="274">
        <v>8.75</v>
      </c>
    </row>
    <row r="321" spans="1:5" x14ac:dyDescent="0.2">
      <c r="A321" s="236">
        <v>11</v>
      </c>
      <c r="B321" s="226" t="s">
        <v>1393</v>
      </c>
      <c r="C321" s="226" t="s">
        <v>1394</v>
      </c>
      <c r="D321" s="227">
        <v>8.75</v>
      </c>
      <c r="E321" s="278">
        <v>8.6999999999999993</v>
      </c>
    </row>
    <row r="322" spans="1:5" x14ac:dyDescent="0.2">
      <c r="A322" s="236">
        <v>12</v>
      </c>
      <c r="B322" s="229" t="s">
        <v>5425</v>
      </c>
      <c r="C322" s="229" t="s">
        <v>5426</v>
      </c>
      <c r="D322" s="230">
        <v>8.75</v>
      </c>
      <c r="E322" s="283">
        <v>8.64</v>
      </c>
    </row>
    <row r="323" spans="1:5" x14ac:dyDescent="0.2">
      <c r="A323" s="236">
        <v>13</v>
      </c>
      <c r="B323" s="226" t="s">
        <v>1491</v>
      </c>
      <c r="C323" s="226" t="s">
        <v>1484</v>
      </c>
      <c r="D323" s="227">
        <v>8.75</v>
      </c>
      <c r="E323" s="284">
        <v>8.6300000000000008</v>
      </c>
    </row>
    <row r="324" spans="1:5" x14ac:dyDescent="0.2">
      <c r="A324" s="236">
        <v>14</v>
      </c>
      <c r="B324" s="229" t="s">
        <v>2052</v>
      </c>
      <c r="C324" s="229" t="s">
        <v>2053</v>
      </c>
      <c r="D324" s="230">
        <v>8.73</v>
      </c>
      <c r="E324" s="284">
        <v>8.6300000000000008</v>
      </c>
    </row>
    <row r="325" spans="1:5" x14ac:dyDescent="0.2">
      <c r="A325" s="236">
        <v>15</v>
      </c>
      <c r="B325" s="226" t="s">
        <v>2898</v>
      </c>
      <c r="C325" s="226" t="s">
        <v>2898</v>
      </c>
      <c r="D325" s="227">
        <v>8.68</v>
      </c>
      <c r="E325" s="337">
        <v>8.59</v>
      </c>
    </row>
    <row r="326" spans="1:5" x14ac:dyDescent="0.2">
      <c r="A326" s="236">
        <v>16</v>
      </c>
      <c r="B326" s="229" t="s">
        <v>311</v>
      </c>
      <c r="C326" s="229" t="s">
        <v>158</v>
      </c>
      <c r="D326" s="230">
        <v>8.65</v>
      </c>
      <c r="E326" s="290">
        <v>8.56</v>
      </c>
    </row>
    <row r="327" spans="1:5" x14ac:dyDescent="0.2">
      <c r="A327" s="236">
        <v>17</v>
      </c>
      <c r="B327" s="226" t="s">
        <v>2720</v>
      </c>
      <c r="C327" s="226" t="s">
        <v>2721</v>
      </c>
      <c r="D327" s="227">
        <v>8.65</v>
      </c>
      <c r="E327" s="290">
        <v>8.56</v>
      </c>
    </row>
    <row r="328" spans="1:5" x14ac:dyDescent="0.2">
      <c r="A328" s="236">
        <v>18</v>
      </c>
      <c r="B328" s="229" t="s">
        <v>2221</v>
      </c>
      <c r="C328" s="229" t="s">
        <v>2222</v>
      </c>
      <c r="D328" s="230">
        <v>8.61</v>
      </c>
      <c r="E328" s="291">
        <v>8.5500000000000007</v>
      </c>
    </row>
    <row r="329" spans="1:5" x14ac:dyDescent="0.2">
      <c r="A329" s="236">
        <v>19</v>
      </c>
      <c r="B329" s="226" t="s">
        <v>2252</v>
      </c>
      <c r="C329" s="226" t="s">
        <v>2253</v>
      </c>
      <c r="D329" s="227">
        <v>8.69</v>
      </c>
      <c r="E329" s="293">
        <v>8.5299999999999994</v>
      </c>
    </row>
    <row r="330" spans="1:5" x14ac:dyDescent="0.2">
      <c r="A330" s="236">
        <v>20</v>
      </c>
      <c r="B330" s="229" t="s">
        <v>2950</v>
      </c>
      <c r="C330" s="229" t="s">
        <v>2938</v>
      </c>
      <c r="D330" s="230">
        <v>8.6300000000000008</v>
      </c>
      <c r="E330" s="293">
        <v>8.5299999999999994</v>
      </c>
    </row>
    <row r="331" spans="1:5" x14ac:dyDescent="0.2">
      <c r="A331" s="236">
        <v>21</v>
      </c>
      <c r="B331" s="226" t="s">
        <v>1727</v>
      </c>
      <c r="C331" s="226" t="s">
        <v>1728</v>
      </c>
      <c r="D331" s="227">
        <v>8.6</v>
      </c>
      <c r="E331" s="294">
        <v>8.52</v>
      </c>
    </row>
    <row r="332" spans="1:5" x14ac:dyDescent="0.2">
      <c r="A332" s="236">
        <v>22</v>
      </c>
      <c r="B332" s="229" t="s">
        <v>4721</v>
      </c>
      <c r="C332" s="229" t="s">
        <v>891</v>
      </c>
      <c r="D332" s="230">
        <v>8.6</v>
      </c>
      <c r="E332" s="294">
        <v>8.52</v>
      </c>
    </row>
    <row r="333" spans="1:5" x14ac:dyDescent="0.2">
      <c r="A333" s="236">
        <v>23</v>
      </c>
      <c r="B333" s="226" t="s">
        <v>4603</v>
      </c>
      <c r="C333" s="226" t="s">
        <v>4604</v>
      </c>
      <c r="D333" s="227">
        <v>8.59</v>
      </c>
      <c r="E333" s="295">
        <v>8.5</v>
      </c>
    </row>
    <row r="334" spans="1:5" x14ac:dyDescent="0.2">
      <c r="A334" s="236">
        <v>24</v>
      </c>
      <c r="B334" s="229" t="s">
        <v>2898</v>
      </c>
      <c r="C334" s="229" t="s">
        <v>5507</v>
      </c>
      <c r="D334" s="230">
        <v>8.56</v>
      </c>
      <c r="E334" s="370">
        <v>8.48</v>
      </c>
    </row>
    <row r="335" spans="1:5" x14ac:dyDescent="0.2">
      <c r="A335" s="236">
        <v>25</v>
      </c>
      <c r="B335" s="226" t="s">
        <v>1121</v>
      </c>
      <c r="C335" s="226" t="s">
        <v>1122</v>
      </c>
      <c r="D335" s="227">
        <v>8.5299999999999994</v>
      </c>
      <c r="E335" s="299">
        <v>8.4499999999999993</v>
      </c>
    </row>
    <row r="336" spans="1:5" x14ac:dyDescent="0.2">
      <c r="A336" s="236">
        <v>26</v>
      </c>
      <c r="B336" s="229" t="s">
        <v>1647</v>
      </c>
      <c r="C336" s="229" t="s">
        <v>1648</v>
      </c>
      <c r="D336" s="230">
        <v>8.5</v>
      </c>
      <c r="E336" s="299">
        <v>8.4499999999999993</v>
      </c>
    </row>
    <row r="337" spans="1:5" x14ac:dyDescent="0.2">
      <c r="A337" s="236">
        <v>27</v>
      </c>
      <c r="B337" s="226" t="s">
        <v>2164</v>
      </c>
      <c r="C337" s="226" t="s">
        <v>2740</v>
      </c>
      <c r="D337" s="227">
        <v>8.39</v>
      </c>
      <c r="E337" s="302">
        <v>8.39</v>
      </c>
    </row>
    <row r="338" spans="1:5" x14ac:dyDescent="0.2">
      <c r="A338" s="236">
        <v>28</v>
      </c>
      <c r="B338" s="229" t="s">
        <v>1727</v>
      </c>
      <c r="C338" s="229" t="s">
        <v>4769</v>
      </c>
      <c r="D338" s="230">
        <v>8.3800000000000008</v>
      </c>
      <c r="E338" s="305">
        <v>8.34</v>
      </c>
    </row>
    <row r="339" spans="1:5" x14ac:dyDescent="0.2">
      <c r="A339" s="236">
        <v>29</v>
      </c>
      <c r="B339" s="226" t="s">
        <v>4718</v>
      </c>
      <c r="C339" s="226" t="s">
        <v>4719</v>
      </c>
      <c r="D339" s="227">
        <v>8.35</v>
      </c>
      <c r="E339" s="311">
        <v>8.2200000000000006</v>
      </c>
    </row>
    <row r="340" spans="1:5" x14ac:dyDescent="0.2">
      <c r="A340" s="236">
        <v>30</v>
      </c>
      <c r="B340" s="229" t="s">
        <v>4642</v>
      </c>
      <c r="C340" s="229" t="s">
        <v>4642</v>
      </c>
      <c r="D340" s="230">
        <v>8.35</v>
      </c>
      <c r="E340" s="491">
        <v>8.19</v>
      </c>
    </row>
    <row r="341" spans="1:5" x14ac:dyDescent="0.2">
      <c r="A341" s="236">
        <v>31</v>
      </c>
      <c r="B341" s="226" t="s">
        <v>2790</v>
      </c>
      <c r="C341" s="226" t="s">
        <v>2791</v>
      </c>
      <c r="D341" s="227">
        <v>8.25</v>
      </c>
      <c r="E341" s="313">
        <v>8.18</v>
      </c>
    </row>
    <row r="342" spans="1:5" x14ac:dyDescent="0.2">
      <c r="A342" s="236">
        <v>32</v>
      </c>
      <c r="B342" s="229" t="s">
        <v>5779</v>
      </c>
      <c r="C342" s="229" t="s">
        <v>5772</v>
      </c>
      <c r="D342" s="230">
        <v>8.17</v>
      </c>
      <c r="E342" s="561">
        <v>8.08</v>
      </c>
    </row>
    <row r="343" spans="1:5" x14ac:dyDescent="0.2">
      <c r="A343" s="236">
        <v>33</v>
      </c>
      <c r="B343" s="226" t="s">
        <v>677</v>
      </c>
      <c r="C343" s="226" t="s">
        <v>1180</v>
      </c>
      <c r="D343" s="227">
        <v>8.11</v>
      </c>
      <c r="E343" s="319">
        <v>8</v>
      </c>
    </row>
    <row r="345" spans="1:5" ht="18" x14ac:dyDescent="0.25">
      <c r="A345" s="567" t="s">
        <v>5392</v>
      </c>
      <c r="B345" s="567"/>
      <c r="C345" s="567"/>
      <c r="D345" s="567"/>
      <c r="E345" s="567"/>
    </row>
    <row r="346" spans="1:5" x14ac:dyDescent="0.2">
      <c r="A346" s="225" t="s">
        <v>318</v>
      </c>
      <c r="B346" s="225" t="s">
        <v>285</v>
      </c>
      <c r="C346" s="225" t="s">
        <v>286</v>
      </c>
      <c r="D346" s="225" t="s">
        <v>287</v>
      </c>
      <c r="E346" s="225" t="s">
        <v>957</v>
      </c>
    </row>
    <row r="347" spans="1:5" x14ac:dyDescent="0.2">
      <c r="A347" s="232">
        <v>1</v>
      </c>
      <c r="B347" s="226" t="s">
        <v>774</v>
      </c>
      <c r="C347" s="226" t="s">
        <v>4364</v>
      </c>
      <c r="D347" s="227">
        <v>8.86</v>
      </c>
      <c r="E347" s="260">
        <v>8.92</v>
      </c>
    </row>
    <row r="348" spans="1:5" x14ac:dyDescent="0.2">
      <c r="A348" s="234">
        <v>2</v>
      </c>
      <c r="B348" s="229" t="s">
        <v>774</v>
      </c>
      <c r="C348" s="229" t="s">
        <v>775</v>
      </c>
      <c r="D348" s="230">
        <v>8.82</v>
      </c>
      <c r="E348" s="270">
        <v>8.7899999999999991</v>
      </c>
    </row>
    <row r="349" spans="1:5" x14ac:dyDescent="0.2">
      <c r="A349" s="235">
        <v>3</v>
      </c>
      <c r="B349" s="226" t="s">
        <v>308</v>
      </c>
      <c r="C349" s="226" t="s">
        <v>240</v>
      </c>
      <c r="D349" s="227">
        <v>8.7799999999999994</v>
      </c>
      <c r="E349" s="273">
        <v>8.76</v>
      </c>
    </row>
    <row r="350" spans="1:5" x14ac:dyDescent="0.2">
      <c r="A350" s="236">
        <v>4</v>
      </c>
      <c r="B350" s="229" t="s">
        <v>795</v>
      </c>
      <c r="C350" s="229" t="s">
        <v>790</v>
      </c>
      <c r="D350" s="230">
        <v>8.7100000000000009</v>
      </c>
      <c r="E350" s="273">
        <v>8.76</v>
      </c>
    </row>
    <row r="351" spans="1:5" x14ac:dyDescent="0.2">
      <c r="A351" s="236">
        <v>5</v>
      </c>
      <c r="B351" s="226" t="s">
        <v>1265</v>
      </c>
      <c r="C351" s="226" t="s">
        <v>1266</v>
      </c>
      <c r="D351" s="227">
        <v>8.7899999999999991</v>
      </c>
      <c r="E351" s="277">
        <v>8.7100000000000009</v>
      </c>
    </row>
    <row r="352" spans="1:5" x14ac:dyDescent="0.2">
      <c r="A352" s="236">
        <v>6</v>
      </c>
      <c r="B352" s="229" t="s">
        <v>5387</v>
      </c>
      <c r="C352" s="229" t="s">
        <v>5383</v>
      </c>
      <c r="D352" s="230">
        <v>8.8000000000000007</v>
      </c>
      <c r="E352" s="336">
        <v>8.69</v>
      </c>
    </row>
    <row r="353" spans="1:5" x14ac:dyDescent="0.2">
      <c r="A353" s="236">
        <v>7</v>
      </c>
      <c r="B353" s="226" t="s">
        <v>1348</v>
      </c>
      <c r="C353" s="226" t="s">
        <v>1353</v>
      </c>
      <c r="D353" s="227">
        <v>8.8000000000000007</v>
      </c>
      <c r="E353" s="279">
        <v>8.68</v>
      </c>
    </row>
    <row r="354" spans="1:5" x14ac:dyDescent="0.2">
      <c r="A354" s="236">
        <v>8</v>
      </c>
      <c r="B354" s="229" t="s">
        <v>774</v>
      </c>
      <c r="C354" s="229" t="s">
        <v>2637</v>
      </c>
      <c r="D354" s="230">
        <v>8.73</v>
      </c>
      <c r="E354" s="285">
        <v>8.6199999999999992</v>
      </c>
    </row>
    <row r="355" spans="1:5" x14ac:dyDescent="0.2">
      <c r="A355" s="236">
        <v>9</v>
      </c>
      <c r="B355" s="226" t="s">
        <v>795</v>
      </c>
      <c r="C355" s="226" t="s">
        <v>2109</v>
      </c>
      <c r="D355" s="227">
        <v>8.57</v>
      </c>
      <c r="E355" s="296">
        <v>8.49</v>
      </c>
    </row>
    <row r="356" spans="1:5" x14ac:dyDescent="0.2">
      <c r="A356" s="236">
        <v>10</v>
      </c>
      <c r="B356" s="229" t="s">
        <v>3617</v>
      </c>
      <c r="C356" s="229" t="s">
        <v>3618</v>
      </c>
      <c r="D356" s="230">
        <v>8.5399999999999991</v>
      </c>
      <c r="E356" s="296">
        <v>8.49</v>
      </c>
    </row>
    <row r="357" spans="1:5" x14ac:dyDescent="0.2">
      <c r="A357" s="236">
        <v>11</v>
      </c>
      <c r="B357" s="226" t="s">
        <v>493</v>
      </c>
      <c r="C357" s="226" t="s">
        <v>494</v>
      </c>
      <c r="D357" s="227">
        <v>8.5</v>
      </c>
      <c r="E357" s="300">
        <v>8.43</v>
      </c>
    </row>
    <row r="358" spans="1:5" x14ac:dyDescent="0.2">
      <c r="A358" s="236">
        <v>12</v>
      </c>
      <c r="B358" s="229" t="s">
        <v>2088</v>
      </c>
      <c r="C358" s="229" t="s">
        <v>2089</v>
      </c>
      <c r="D358" s="230">
        <v>8.5399999999999991</v>
      </c>
      <c r="E358" s="301">
        <v>8.41</v>
      </c>
    </row>
    <row r="359" spans="1:5" x14ac:dyDescent="0.2">
      <c r="A359" s="236">
        <v>13</v>
      </c>
      <c r="B359" s="226" t="s">
        <v>334</v>
      </c>
      <c r="C359" s="226" t="s">
        <v>335</v>
      </c>
      <c r="D359" s="227">
        <v>8.4600000000000009</v>
      </c>
      <c r="E359" s="302">
        <v>8.39</v>
      </c>
    </row>
    <row r="360" spans="1:5" x14ac:dyDescent="0.2">
      <c r="A360" s="236">
        <v>14</v>
      </c>
      <c r="B360" s="229" t="s">
        <v>1892</v>
      </c>
      <c r="C360" s="229" t="s">
        <v>1878</v>
      </c>
      <c r="D360" s="230">
        <v>8.3800000000000008</v>
      </c>
      <c r="E360" s="306">
        <v>8.33</v>
      </c>
    </row>
    <row r="361" spans="1:5" x14ac:dyDescent="0.2">
      <c r="A361" s="236">
        <v>15</v>
      </c>
      <c r="B361" s="226" t="s">
        <v>607</v>
      </c>
      <c r="C361" s="226" t="s">
        <v>3307</v>
      </c>
      <c r="D361" s="227">
        <v>8.3800000000000008</v>
      </c>
      <c r="E361" s="387">
        <v>8.2799999999999994</v>
      </c>
    </row>
    <row r="362" spans="1:5" x14ac:dyDescent="0.2">
      <c r="A362" s="236">
        <v>16</v>
      </c>
      <c r="B362" s="229" t="s">
        <v>677</v>
      </c>
      <c r="C362" s="229" t="s">
        <v>677</v>
      </c>
      <c r="D362" s="230">
        <v>8.24</v>
      </c>
      <c r="E362" s="310">
        <v>8.23</v>
      </c>
    </row>
    <row r="363" spans="1:5" x14ac:dyDescent="0.2">
      <c r="A363" s="236">
        <v>17</v>
      </c>
      <c r="B363" s="226" t="s">
        <v>319</v>
      </c>
      <c r="C363" s="226" t="s">
        <v>320</v>
      </c>
      <c r="D363" s="227">
        <v>8.33</v>
      </c>
      <c r="E363" s="314">
        <v>8.17</v>
      </c>
    </row>
    <row r="364" spans="1:5" x14ac:dyDescent="0.2">
      <c r="A364" s="236">
        <v>18</v>
      </c>
      <c r="B364" s="229" t="s">
        <v>1688</v>
      </c>
      <c r="C364" s="229" t="s">
        <v>1688</v>
      </c>
      <c r="D364" s="230">
        <v>8.2899999999999991</v>
      </c>
      <c r="E364" s="314">
        <v>8.16</v>
      </c>
    </row>
    <row r="365" spans="1:5" x14ac:dyDescent="0.2">
      <c r="A365" s="236">
        <v>19</v>
      </c>
      <c r="B365" s="226" t="s">
        <v>426</v>
      </c>
      <c r="C365" s="226" t="s">
        <v>427</v>
      </c>
      <c r="D365" s="227">
        <v>8.18</v>
      </c>
      <c r="E365" s="317">
        <v>8.06</v>
      </c>
    </row>
    <row r="366" spans="1:5" x14ac:dyDescent="0.2">
      <c r="A366" s="236">
        <v>20</v>
      </c>
      <c r="B366" s="229" t="s">
        <v>795</v>
      </c>
      <c r="C366" s="229" t="s">
        <v>4757</v>
      </c>
      <c r="D366" s="230">
        <v>8.0299999999999994</v>
      </c>
      <c r="E366" s="322">
        <v>7.94</v>
      </c>
    </row>
    <row r="367" spans="1:5" x14ac:dyDescent="0.2">
      <c r="A367" s="236">
        <v>21</v>
      </c>
      <c r="B367" s="226" t="s">
        <v>607</v>
      </c>
      <c r="C367" s="226" t="s">
        <v>608</v>
      </c>
      <c r="D367" s="227">
        <v>7.72</v>
      </c>
      <c r="E367" s="325">
        <v>7.7</v>
      </c>
    </row>
    <row r="368" spans="1:5" x14ac:dyDescent="0.2">
      <c r="A368" s="236">
        <v>22</v>
      </c>
      <c r="B368" s="229" t="s">
        <v>456</v>
      </c>
      <c r="C368" s="229" t="s">
        <v>457</v>
      </c>
      <c r="D368" s="230">
        <v>7.67</v>
      </c>
      <c r="E368" s="326">
        <v>7.66</v>
      </c>
    </row>
    <row r="369" spans="1:5" x14ac:dyDescent="0.2">
      <c r="A369" s="236">
        <v>23</v>
      </c>
      <c r="B369" s="226" t="s">
        <v>774</v>
      </c>
      <c r="C369" s="226" t="s">
        <v>1751</v>
      </c>
      <c r="D369" s="227">
        <v>7.31</v>
      </c>
      <c r="E369" s="330">
        <v>7.2</v>
      </c>
    </row>
    <row r="370" spans="1:5" x14ac:dyDescent="0.2">
      <c r="A370" s="236">
        <v>24</v>
      </c>
      <c r="B370" s="229" t="s">
        <v>378</v>
      </c>
      <c r="C370" s="229" t="s">
        <v>379</v>
      </c>
      <c r="D370" s="230">
        <v>7.29</v>
      </c>
      <c r="E370" s="331">
        <v>7.16</v>
      </c>
    </row>
    <row r="371" spans="1:5" x14ac:dyDescent="0.2">
      <c r="A371" s="236">
        <v>25</v>
      </c>
      <c r="B371" s="226" t="s">
        <v>4196</v>
      </c>
      <c r="C371" s="226" t="s">
        <v>4197</v>
      </c>
      <c r="D371" s="227">
        <v>0.81</v>
      </c>
      <c r="E371" s="334">
        <v>0.76</v>
      </c>
    </row>
    <row r="373" spans="1:5" ht="18" x14ac:dyDescent="0.25">
      <c r="A373" s="567" t="s">
        <v>5785</v>
      </c>
      <c r="B373" s="567"/>
      <c r="C373" s="567"/>
      <c r="D373" s="567"/>
      <c r="E373" s="567"/>
    </row>
    <row r="374" spans="1:5" x14ac:dyDescent="0.2">
      <c r="A374" s="225" t="s">
        <v>318</v>
      </c>
      <c r="B374" s="225" t="s">
        <v>285</v>
      </c>
      <c r="C374" s="225" t="s">
        <v>286</v>
      </c>
      <c r="D374" s="225" t="s">
        <v>287</v>
      </c>
      <c r="E374" s="225" t="s">
        <v>957</v>
      </c>
    </row>
    <row r="375" spans="1:5" x14ac:dyDescent="0.2">
      <c r="A375" s="232">
        <v>1</v>
      </c>
      <c r="B375" s="226" t="s">
        <v>1440</v>
      </c>
      <c r="C375" s="226" t="s">
        <v>1441</v>
      </c>
      <c r="D375" s="227">
        <v>8.67</v>
      </c>
      <c r="E375" s="255">
        <v>9</v>
      </c>
    </row>
    <row r="376" spans="1:5" x14ac:dyDescent="0.2">
      <c r="A376" s="234">
        <v>2</v>
      </c>
      <c r="B376" s="229" t="s">
        <v>2555</v>
      </c>
      <c r="C376" s="229" t="s">
        <v>168</v>
      </c>
      <c r="D376" s="230">
        <v>9</v>
      </c>
      <c r="E376" s="392">
        <v>8.94</v>
      </c>
    </row>
    <row r="377" spans="1:5" x14ac:dyDescent="0.2">
      <c r="A377" s="235">
        <v>3</v>
      </c>
      <c r="B377" s="226" t="s">
        <v>1075</v>
      </c>
      <c r="C377" s="226" t="s">
        <v>1926</v>
      </c>
      <c r="D377" s="227">
        <v>8.7200000000000006</v>
      </c>
      <c r="E377" s="261">
        <v>8.91</v>
      </c>
    </row>
    <row r="378" spans="1:5" x14ac:dyDescent="0.2">
      <c r="A378" s="236">
        <v>4</v>
      </c>
      <c r="B378" s="229" t="s">
        <v>1075</v>
      </c>
      <c r="C378" s="229" t="s">
        <v>1439</v>
      </c>
      <c r="D378" s="230">
        <v>8.7200000000000006</v>
      </c>
      <c r="E378" s="262">
        <v>8.89</v>
      </c>
    </row>
    <row r="379" spans="1:5" x14ac:dyDescent="0.2">
      <c r="A379" s="236">
        <v>5</v>
      </c>
      <c r="B379" s="226" t="s">
        <v>2477</v>
      </c>
      <c r="C379" s="226" t="s">
        <v>2476</v>
      </c>
      <c r="D379" s="227">
        <v>8.8800000000000008</v>
      </c>
      <c r="E379" s="269">
        <v>8.81</v>
      </c>
    </row>
    <row r="380" spans="1:5" x14ac:dyDescent="0.2">
      <c r="A380" s="236">
        <v>6</v>
      </c>
      <c r="B380" s="229" t="s">
        <v>4756</v>
      </c>
      <c r="C380" s="229" t="s">
        <v>4755</v>
      </c>
      <c r="D380" s="230">
        <v>8.83</v>
      </c>
      <c r="E380" s="277">
        <v>8.7100000000000009</v>
      </c>
    </row>
    <row r="381" spans="1:5" x14ac:dyDescent="0.2">
      <c r="A381" s="236">
        <v>7</v>
      </c>
      <c r="B381" s="226" t="s">
        <v>5244</v>
      </c>
      <c r="C381" s="226" t="s">
        <v>5245</v>
      </c>
      <c r="D381" s="227">
        <v>8.65</v>
      </c>
      <c r="E381" s="336">
        <v>8.69</v>
      </c>
    </row>
    <row r="382" spans="1:5" x14ac:dyDescent="0.2">
      <c r="A382" s="236">
        <v>8</v>
      </c>
      <c r="B382" s="229" t="s">
        <v>1368</v>
      </c>
      <c r="C382" s="229" t="s">
        <v>3334</v>
      </c>
      <c r="D382" s="230">
        <v>8.6</v>
      </c>
      <c r="E382" s="281">
        <v>8.66</v>
      </c>
    </row>
    <row r="383" spans="1:5" x14ac:dyDescent="0.2">
      <c r="A383" s="236">
        <v>9</v>
      </c>
      <c r="B383" s="226" t="s">
        <v>5676</v>
      </c>
      <c r="C383" s="226" t="s">
        <v>5718</v>
      </c>
      <c r="D383" s="227">
        <v>8.6300000000000008</v>
      </c>
      <c r="E383" s="295">
        <v>8.5</v>
      </c>
    </row>
    <row r="384" spans="1:5" x14ac:dyDescent="0.2">
      <c r="A384" s="236">
        <v>10</v>
      </c>
      <c r="B384" s="229" t="s">
        <v>5676</v>
      </c>
      <c r="C384" s="229" t="s">
        <v>5677</v>
      </c>
      <c r="D384" s="230">
        <v>8.4</v>
      </c>
      <c r="E384" s="304">
        <v>8.3699999999999992</v>
      </c>
    </row>
    <row r="385" spans="1:5" x14ac:dyDescent="0.2">
      <c r="A385" s="236">
        <v>11</v>
      </c>
      <c r="B385" s="226" t="s">
        <v>4781</v>
      </c>
      <c r="C385" s="226" t="s">
        <v>4782</v>
      </c>
      <c r="D385" s="227">
        <v>8.42</v>
      </c>
      <c r="E385" s="407">
        <v>8.31</v>
      </c>
    </row>
    <row r="386" spans="1:5" x14ac:dyDescent="0.2">
      <c r="A386" s="236">
        <v>12</v>
      </c>
      <c r="B386" s="229" t="s">
        <v>3561</v>
      </c>
      <c r="C386" s="229" t="s">
        <v>3562</v>
      </c>
      <c r="D386" s="230">
        <v>8.35</v>
      </c>
      <c r="E386" s="307">
        <v>8.27</v>
      </c>
    </row>
    <row r="387" spans="1:5" x14ac:dyDescent="0.2">
      <c r="A387" s="236">
        <v>13</v>
      </c>
      <c r="B387" s="226" t="s">
        <v>5676</v>
      </c>
      <c r="C387" s="226" t="s">
        <v>5678</v>
      </c>
      <c r="D387" s="227">
        <v>8.17</v>
      </c>
      <c r="E387" s="555">
        <v>8.0500000000000007</v>
      </c>
    </row>
    <row r="388" spans="1:5" x14ac:dyDescent="0.2">
      <c r="A388" s="236">
        <v>14</v>
      </c>
      <c r="B388" s="229" t="s">
        <v>5676</v>
      </c>
      <c r="C388" s="229" t="s">
        <v>5683</v>
      </c>
      <c r="D388" s="230">
        <v>8.09</v>
      </c>
      <c r="E388" s="319">
        <v>8</v>
      </c>
    </row>
    <row r="389" spans="1:5" x14ac:dyDescent="0.2">
      <c r="A389" s="236">
        <v>15</v>
      </c>
      <c r="B389" s="226" t="s">
        <v>5676</v>
      </c>
      <c r="C389" s="226" t="s">
        <v>5721</v>
      </c>
      <c r="D389" s="227">
        <v>8</v>
      </c>
      <c r="E389" s="404">
        <v>7.96</v>
      </c>
    </row>
    <row r="390" spans="1:5" x14ac:dyDescent="0.2">
      <c r="A390" s="236">
        <v>16</v>
      </c>
      <c r="B390" s="229" t="s">
        <v>5676</v>
      </c>
      <c r="C390" s="229" t="s">
        <v>5723</v>
      </c>
      <c r="D390" s="230">
        <v>7.88</v>
      </c>
      <c r="E390" s="558">
        <v>7.8</v>
      </c>
    </row>
    <row r="392" spans="1:5" ht="18" x14ac:dyDescent="0.25">
      <c r="A392" s="567" t="s">
        <v>4839</v>
      </c>
      <c r="B392" s="567"/>
      <c r="C392" s="567"/>
      <c r="D392" s="567"/>
      <c r="E392" s="567"/>
    </row>
    <row r="393" spans="1:5" x14ac:dyDescent="0.2">
      <c r="A393" s="225" t="s">
        <v>318</v>
      </c>
      <c r="B393" s="225" t="s">
        <v>285</v>
      </c>
      <c r="C393" s="225" t="s">
        <v>286</v>
      </c>
      <c r="D393" s="225" t="s">
        <v>287</v>
      </c>
      <c r="E393" s="225" t="s">
        <v>957</v>
      </c>
    </row>
    <row r="394" spans="1:5" x14ac:dyDescent="0.2">
      <c r="A394" s="232">
        <v>1</v>
      </c>
      <c r="B394" s="226" t="s">
        <v>699</v>
      </c>
      <c r="C394" s="226" t="s">
        <v>700</v>
      </c>
      <c r="D394" s="227">
        <v>8.91</v>
      </c>
      <c r="E394" s="259">
        <v>8.93</v>
      </c>
    </row>
    <row r="395" spans="1:5" x14ac:dyDescent="0.2">
      <c r="A395" s="234">
        <v>2</v>
      </c>
      <c r="B395" s="229" t="s">
        <v>1655</v>
      </c>
      <c r="C395" s="229" t="s">
        <v>1656</v>
      </c>
      <c r="D395" s="230">
        <v>8.92</v>
      </c>
      <c r="E395" s="267">
        <v>8.83</v>
      </c>
    </row>
    <row r="396" spans="1:5" x14ac:dyDescent="0.2">
      <c r="A396" s="235">
        <v>3</v>
      </c>
      <c r="B396" s="226" t="s">
        <v>545</v>
      </c>
      <c r="C396" s="226" t="s">
        <v>546</v>
      </c>
      <c r="D396" s="227">
        <v>8.7799999999999994</v>
      </c>
      <c r="E396" s="270">
        <v>8.7899999999999991</v>
      </c>
    </row>
    <row r="397" spans="1:5" x14ac:dyDescent="0.2">
      <c r="A397" s="236">
        <v>4</v>
      </c>
      <c r="B397" s="229" t="s">
        <v>4387</v>
      </c>
      <c r="C397" s="229" t="s">
        <v>4388</v>
      </c>
      <c r="D397" s="230">
        <v>8.69</v>
      </c>
      <c r="E397" s="276">
        <v>8.7200000000000006</v>
      </c>
    </row>
    <row r="398" spans="1:5" x14ac:dyDescent="0.2">
      <c r="A398" s="236">
        <v>5</v>
      </c>
      <c r="B398" s="226" t="s">
        <v>370</v>
      </c>
      <c r="C398" s="226" t="s">
        <v>368</v>
      </c>
      <c r="D398" s="227">
        <v>8.67</v>
      </c>
      <c r="E398" s="277">
        <v>8.7100000000000009</v>
      </c>
    </row>
    <row r="399" spans="1:5" x14ac:dyDescent="0.2">
      <c r="A399" s="236">
        <v>6</v>
      </c>
      <c r="B399" s="229" t="s">
        <v>545</v>
      </c>
      <c r="C399" s="229" t="s">
        <v>4816</v>
      </c>
      <c r="D399" s="230">
        <v>8.81</v>
      </c>
      <c r="E399" s="336">
        <v>8.69</v>
      </c>
    </row>
    <row r="400" spans="1:5" x14ac:dyDescent="0.2">
      <c r="A400" s="236">
        <v>7</v>
      </c>
      <c r="B400" s="226" t="s">
        <v>888</v>
      </c>
      <c r="C400" s="226" t="s">
        <v>869</v>
      </c>
      <c r="D400" s="227">
        <v>8.5500000000000007</v>
      </c>
      <c r="E400" s="287">
        <v>8.6</v>
      </c>
    </row>
    <row r="401" spans="1:5" x14ac:dyDescent="0.2">
      <c r="A401" s="236">
        <v>8</v>
      </c>
      <c r="B401" s="229" t="s">
        <v>2988</v>
      </c>
      <c r="C401" s="229" t="s">
        <v>2989</v>
      </c>
      <c r="D401" s="230">
        <v>8.6</v>
      </c>
      <c r="E401" s="293">
        <v>8.5299999999999994</v>
      </c>
    </row>
    <row r="402" spans="1:5" x14ac:dyDescent="0.2">
      <c r="A402" s="236">
        <v>9</v>
      </c>
      <c r="B402" s="226" t="s">
        <v>314</v>
      </c>
      <c r="C402" s="226" t="s">
        <v>271</v>
      </c>
      <c r="D402" s="227">
        <v>8.35</v>
      </c>
      <c r="E402" s="312">
        <v>8.1999999999999993</v>
      </c>
    </row>
    <row r="403" spans="1:5" x14ac:dyDescent="0.2">
      <c r="A403" s="236">
        <v>10</v>
      </c>
      <c r="B403" s="229" t="s">
        <v>699</v>
      </c>
      <c r="C403" s="229" t="s">
        <v>4818</v>
      </c>
      <c r="D403" s="230">
        <v>8.25</v>
      </c>
      <c r="E403" s="313">
        <v>8.18</v>
      </c>
    </row>
    <row r="404" spans="1:5" x14ac:dyDescent="0.2">
      <c r="A404" s="236">
        <v>11</v>
      </c>
      <c r="B404" s="226" t="s">
        <v>3984</v>
      </c>
      <c r="C404" s="226" t="s">
        <v>3974</v>
      </c>
      <c r="D404" s="227">
        <v>7.75</v>
      </c>
      <c r="E404" s="325">
        <v>7.69</v>
      </c>
    </row>
    <row r="406" spans="1:5" ht="18" x14ac:dyDescent="0.25">
      <c r="A406" s="567" t="s">
        <v>4732</v>
      </c>
      <c r="B406" s="567"/>
      <c r="C406" s="567"/>
      <c r="D406" s="567"/>
      <c r="E406" s="567"/>
    </row>
    <row r="407" spans="1:5" x14ac:dyDescent="0.2">
      <c r="A407" s="225" t="s">
        <v>318</v>
      </c>
      <c r="B407" s="225" t="s">
        <v>285</v>
      </c>
      <c r="C407" s="225" t="s">
        <v>286</v>
      </c>
      <c r="D407" s="225" t="s">
        <v>287</v>
      </c>
      <c r="E407" s="225" t="s">
        <v>957</v>
      </c>
    </row>
    <row r="408" spans="1:5" x14ac:dyDescent="0.2">
      <c r="A408" s="232">
        <v>1</v>
      </c>
      <c r="B408" s="226" t="s">
        <v>3580</v>
      </c>
      <c r="C408" s="226" t="s">
        <v>3581</v>
      </c>
      <c r="D408" s="227">
        <v>9</v>
      </c>
      <c r="E408" s="258">
        <v>8.9499999999999993</v>
      </c>
    </row>
    <row r="409" spans="1:5" x14ac:dyDescent="0.2">
      <c r="A409" s="234">
        <v>2</v>
      </c>
      <c r="B409" s="229" t="s">
        <v>4723</v>
      </c>
      <c r="C409" s="229" t="s">
        <v>4722</v>
      </c>
      <c r="D409" s="230">
        <v>8.91</v>
      </c>
      <c r="E409" s="270">
        <v>8.7899999999999991</v>
      </c>
    </row>
    <row r="410" spans="1:5" x14ac:dyDescent="0.2">
      <c r="A410" s="235">
        <v>3</v>
      </c>
      <c r="B410" s="226" t="s">
        <v>2238</v>
      </c>
      <c r="C410" s="226" t="s">
        <v>2228</v>
      </c>
      <c r="D410" s="227">
        <v>8.86</v>
      </c>
      <c r="E410" s="275">
        <v>8.74</v>
      </c>
    </row>
    <row r="411" spans="1:5" x14ac:dyDescent="0.2">
      <c r="A411" s="236">
        <v>4</v>
      </c>
      <c r="B411" s="229" t="s">
        <v>2893</v>
      </c>
      <c r="C411" s="229" t="s">
        <v>2894</v>
      </c>
      <c r="D411" s="230">
        <v>8.85</v>
      </c>
      <c r="E411" s="276">
        <v>8.7200000000000006</v>
      </c>
    </row>
    <row r="412" spans="1:5" x14ac:dyDescent="0.2">
      <c r="A412" s="236">
        <v>5</v>
      </c>
      <c r="B412" s="226" t="s">
        <v>2950</v>
      </c>
      <c r="C412" s="226" t="s">
        <v>2938</v>
      </c>
      <c r="D412" s="227">
        <v>8.6300000000000008</v>
      </c>
      <c r="E412" s="293">
        <v>8.5299999999999994</v>
      </c>
    </row>
    <row r="413" spans="1:5" x14ac:dyDescent="0.2">
      <c r="A413" s="236">
        <v>6</v>
      </c>
      <c r="B413" s="229" t="s">
        <v>3077</v>
      </c>
      <c r="C413" s="229" t="s">
        <v>3078</v>
      </c>
      <c r="D413" s="230">
        <v>8.58</v>
      </c>
      <c r="E413" s="363">
        <v>8.51</v>
      </c>
    </row>
    <row r="414" spans="1:5" x14ac:dyDescent="0.2">
      <c r="A414" s="236">
        <v>7</v>
      </c>
      <c r="B414" s="226" t="s">
        <v>2509</v>
      </c>
      <c r="C414" s="226" t="s">
        <v>2505</v>
      </c>
      <c r="D414" s="227">
        <v>8.5500000000000007</v>
      </c>
      <c r="E414" s="297">
        <v>8.4700000000000006</v>
      </c>
    </row>
    <row r="415" spans="1:5" x14ac:dyDescent="0.2">
      <c r="A415" s="236">
        <v>8</v>
      </c>
      <c r="B415" s="229" t="s">
        <v>4194</v>
      </c>
      <c r="C415" s="229" t="s">
        <v>4195</v>
      </c>
      <c r="D415" s="230">
        <v>7.92</v>
      </c>
      <c r="E415" s="451">
        <v>7.87</v>
      </c>
    </row>
    <row r="417" spans="1:5" ht="18" x14ac:dyDescent="0.25">
      <c r="A417" s="567" t="s">
        <v>5786</v>
      </c>
      <c r="B417" s="567"/>
      <c r="C417" s="567"/>
      <c r="D417" s="567"/>
      <c r="E417" s="567"/>
    </row>
    <row r="418" spans="1:5" x14ac:dyDescent="0.2">
      <c r="A418" s="225" t="s">
        <v>318</v>
      </c>
      <c r="B418" s="225" t="s">
        <v>285</v>
      </c>
      <c r="C418" s="225" t="s">
        <v>286</v>
      </c>
      <c r="D418" s="225" t="s">
        <v>287</v>
      </c>
      <c r="E418" s="225" t="s">
        <v>957</v>
      </c>
    </row>
    <row r="419" spans="1:5" x14ac:dyDescent="0.2">
      <c r="A419" s="232">
        <v>1</v>
      </c>
      <c r="B419" s="226" t="s">
        <v>866</v>
      </c>
      <c r="C419" s="226" t="s">
        <v>857</v>
      </c>
      <c r="D419" s="227">
        <v>9.06</v>
      </c>
      <c r="E419" s="250">
        <v>9.1</v>
      </c>
    </row>
    <row r="420" spans="1:5" x14ac:dyDescent="0.2">
      <c r="A420" s="234">
        <v>2</v>
      </c>
      <c r="B420" s="229" t="s">
        <v>2539</v>
      </c>
      <c r="C420" s="229" t="s">
        <v>2532</v>
      </c>
      <c r="D420" s="230">
        <v>9.06</v>
      </c>
      <c r="E420" s="254">
        <v>9.02</v>
      </c>
    </row>
    <row r="421" spans="1:5" x14ac:dyDescent="0.2">
      <c r="A421" s="235">
        <v>3</v>
      </c>
      <c r="B421" s="226" t="s">
        <v>5387</v>
      </c>
      <c r="C421" s="226" t="s">
        <v>5383</v>
      </c>
      <c r="D421" s="227">
        <v>8.8000000000000007</v>
      </c>
      <c r="E421" s="336">
        <v>8.69</v>
      </c>
    </row>
    <row r="422" spans="1:5" x14ac:dyDescent="0.2">
      <c r="A422" s="236">
        <v>4</v>
      </c>
      <c r="B422" s="229" t="s">
        <v>687</v>
      </c>
      <c r="C422" s="229" t="s">
        <v>688</v>
      </c>
      <c r="D422" s="230">
        <v>8.67</v>
      </c>
      <c r="E422" s="288">
        <v>8.58</v>
      </c>
    </row>
    <row r="423" spans="1:5" x14ac:dyDescent="0.2">
      <c r="A423" s="236">
        <v>5</v>
      </c>
      <c r="B423" s="226" t="s">
        <v>493</v>
      </c>
      <c r="C423" s="226" t="s">
        <v>494</v>
      </c>
      <c r="D423" s="227">
        <v>8.5</v>
      </c>
      <c r="E423" s="300">
        <v>8.43</v>
      </c>
    </row>
    <row r="424" spans="1:5" x14ac:dyDescent="0.2">
      <c r="A424" s="236">
        <v>6</v>
      </c>
      <c r="B424" s="229" t="s">
        <v>5748</v>
      </c>
      <c r="C424" s="229" t="s">
        <v>5749</v>
      </c>
      <c r="D424" s="230">
        <v>8.23</v>
      </c>
      <c r="E424" s="385">
        <v>8.2100000000000009</v>
      </c>
    </row>
    <row r="426" spans="1:5" ht="18" x14ac:dyDescent="0.25">
      <c r="A426" s="567" t="s">
        <v>4733</v>
      </c>
      <c r="B426" s="567"/>
      <c r="C426" s="567"/>
      <c r="D426" s="567"/>
      <c r="E426" s="567"/>
    </row>
    <row r="427" spans="1:5" x14ac:dyDescent="0.2">
      <c r="A427" s="225" t="s">
        <v>318</v>
      </c>
      <c r="B427" s="225" t="s">
        <v>285</v>
      </c>
      <c r="C427" s="225" t="s">
        <v>286</v>
      </c>
      <c r="D427" s="225" t="s">
        <v>287</v>
      </c>
      <c r="E427" s="225" t="s">
        <v>957</v>
      </c>
    </row>
    <row r="428" spans="1:5" x14ac:dyDescent="0.2">
      <c r="A428" s="232">
        <v>1</v>
      </c>
      <c r="B428" s="226" t="s">
        <v>4723</v>
      </c>
      <c r="C428" s="226" t="s">
        <v>4722</v>
      </c>
      <c r="D428" s="227">
        <v>8.91</v>
      </c>
      <c r="E428" s="270">
        <v>8.7899999999999991</v>
      </c>
    </row>
    <row r="429" spans="1:5" x14ac:dyDescent="0.2">
      <c r="A429" s="234">
        <v>2</v>
      </c>
      <c r="B429" s="229" t="s">
        <v>2893</v>
      </c>
      <c r="C429" s="229" t="s">
        <v>2894</v>
      </c>
      <c r="D429" s="230">
        <v>8.85</v>
      </c>
      <c r="E429" s="276">
        <v>8.7200000000000006</v>
      </c>
    </row>
    <row r="430" spans="1:5" x14ac:dyDescent="0.2">
      <c r="A430" s="235">
        <v>3</v>
      </c>
      <c r="B430" s="226" t="s">
        <v>296</v>
      </c>
      <c r="C430" s="226" t="s">
        <v>1939</v>
      </c>
      <c r="D430" s="227">
        <v>8.6</v>
      </c>
      <c r="E430" s="292">
        <v>8.5399999999999991</v>
      </c>
    </row>
    <row r="431" spans="1:5" x14ac:dyDescent="0.2">
      <c r="A431" s="236">
        <v>4</v>
      </c>
      <c r="B431" s="229" t="s">
        <v>3077</v>
      </c>
      <c r="C431" s="229" t="s">
        <v>3078</v>
      </c>
      <c r="D431" s="230">
        <v>8.58</v>
      </c>
      <c r="E431" s="363">
        <v>8.51</v>
      </c>
    </row>
    <row r="432" spans="1:5" x14ac:dyDescent="0.2">
      <c r="A432" s="236">
        <v>5</v>
      </c>
      <c r="B432" s="226" t="s">
        <v>2509</v>
      </c>
      <c r="C432" s="226" t="s">
        <v>2505</v>
      </c>
      <c r="D432" s="227">
        <v>8.5500000000000007</v>
      </c>
      <c r="E432" s="297">
        <v>8.4700000000000006</v>
      </c>
    </row>
    <row r="434" spans="1:5" ht="18" x14ac:dyDescent="0.25">
      <c r="A434" s="567" t="s">
        <v>5455</v>
      </c>
      <c r="B434" s="567"/>
      <c r="C434" s="567"/>
      <c r="D434" s="567"/>
      <c r="E434" s="567"/>
    </row>
    <row r="435" spans="1:5" x14ac:dyDescent="0.2">
      <c r="A435" s="225" t="s">
        <v>318</v>
      </c>
      <c r="B435" s="225" t="s">
        <v>285</v>
      </c>
      <c r="C435" s="225" t="s">
        <v>286</v>
      </c>
      <c r="D435" s="225" t="s">
        <v>287</v>
      </c>
      <c r="E435" s="225" t="s">
        <v>957</v>
      </c>
    </row>
    <row r="436" spans="1:5" x14ac:dyDescent="0.2">
      <c r="A436" s="232">
        <v>1</v>
      </c>
      <c r="B436" s="226" t="s">
        <v>5436</v>
      </c>
      <c r="C436" s="226" t="s">
        <v>5437</v>
      </c>
      <c r="D436" s="227">
        <v>9</v>
      </c>
      <c r="E436" s="253">
        <v>9.0299999999999994</v>
      </c>
    </row>
    <row r="437" spans="1:5" x14ac:dyDescent="0.2">
      <c r="A437" s="234">
        <v>2</v>
      </c>
      <c r="B437" s="229" t="s">
        <v>3615</v>
      </c>
      <c r="C437" s="229" t="s">
        <v>3616</v>
      </c>
      <c r="D437" s="230">
        <v>8.75</v>
      </c>
      <c r="E437" s="271">
        <v>8.7799999999999994</v>
      </c>
    </row>
    <row r="438" spans="1:5" x14ac:dyDescent="0.2">
      <c r="A438" s="235">
        <v>3</v>
      </c>
      <c r="B438" s="226" t="s">
        <v>2252</v>
      </c>
      <c r="C438" s="226" t="s">
        <v>2253</v>
      </c>
      <c r="D438" s="227">
        <v>8.69</v>
      </c>
      <c r="E438" s="293">
        <v>8.5299999999999994</v>
      </c>
    </row>
    <row r="439" spans="1:5" x14ac:dyDescent="0.2">
      <c r="A439" s="236">
        <v>4</v>
      </c>
      <c r="B439" s="229" t="s">
        <v>1163</v>
      </c>
      <c r="C439" s="229" t="s">
        <v>1153</v>
      </c>
      <c r="D439" s="230">
        <v>8.4499999999999993</v>
      </c>
      <c r="E439" s="303">
        <v>8.3800000000000008</v>
      </c>
    </row>
    <row r="441" spans="1:5" ht="18" x14ac:dyDescent="0.25">
      <c r="A441" s="567" t="s">
        <v>5787</v>
      </c>
      <c r="B441" s="567"/>
      <c r="C441" s="567"/>
      <c r="D441" s="567"/>
      <c r="E441" s="567"/>
    </row>
    <row r="442" spans="1:5" x14ac:dyDescent="0.2">
      <c r="A442" s="225" t="s">
        <v>318</v>
      </c>
      <c r="B442" s="225" t="s">
        <v>285</v>
      </c>
      <c r="C442" s="225" t="s">
        <v>286</v>
      </c>
      <c r="D442" s="225" t="s">
        <v>287</v>
      </c>
      <c r="E442" s="225" t="s">
        <v>957</v>
      </c>
    </row>
    <row r="443" spans="1:5" x14ac:dyDescent="0.2">
      <c r="A443" s="232">
        <v>1</v>
      </c>
      <c r="B443" s="226" t="s">
        <v>5676</v>
      </c>
      <c r="C443" s="226" t="s">
        <v>5723</v>
      </c>
      <c r="D443" s="227">
        <v>7.88</v>
      </c>
      <c r="E443" s="558">
        <v>7.8</v>
      </c>
    </row>
    <row r="444" spans="1:5" x14ac:dyDescent="0.2">
      <c r="A444" s="234">
        <v>2</v>
      </c>
      <c r="B444" s="229" t="s">
        <v>303</v>
      </c>
      <c r="C444" s="229" t="s">
        <v>1444</v>
      </c>
      <c r="D444" s="230">
        <v>8</v>
      </c>
      <c r="E444" s="323">
        <v>7.79</v>
      </c>
    </row>
    <row r="446" spans="1:5" ht="18" x14ac:dyDescent="0.25">
      <c r="A446" s="567" t="s">
        <v>4458</v>
      </c>
      <c r="B446" s="567"/>
      <c r="C446" s="567"/>
      <c r="D446" s="567"/>
      <c r="E446" s="567"/>
    </row>
    <row r="447" spans="1:5" x14ac:dyDescent="0.2">
      <c r="A447" s="225" t="s">
        <v>318</v>
      </c>
      <c r="B447" s="225" t="s">
        <v>285</v>
      </c>
      <c r="C447" s="225" t="s">
        <v>286</v>
      </c>
      <c r="D447" s="225" t="s">
        <v>287</v>
      </c>
      <c r="E447" s="225" t="s">
        <v>957</v>
      </c>
    </row>
    <row r="448" spans="1:5" x14ac:dyDescent="0.2">
      <c r="A448" s="232">
        <v>1</v>
      </c>
      <c r="B448" s="226" t="s">
        <v>677</v>
      </c>
      <c r="C448" s="226" t="s">
        <v>1180</v>
      </c>
      <c r="D448" s="227">
        <v>8.11</v>
      </c>
      <c r="E448" s="319">
        <v>8</v>
      </c>
    </row>
    <row r="450" spans="1:5" ht="18" x14ac:dyDescent="0.25">
      <c r="A450" s="567" t="s">
        <v>3046</v>
      </c>
      <c r="B450" s="567"/>
      <c r="C450" s="567"/>
      <c r="D450" s="567"/>
      <c r="E450" s="567"/>
    </row>
    <row r="451" spans="1:5" x14ac:dyDescent="0.2">
      <c r="A451" s="225" t="s">
        <v>318</v>
      </c>
      <c r="B451" s="225" t="s">
        <v>285</v>
      </c>
      <c r="C451" s="225" t="s">
        <v>286</v>
      </c>
      <c r="D451" s="225" t="s">
        <v>287</v>
      </c>
      <c r="E451" s="225" t="s">
        <v>957</v>
      </c>
    </row>
    <row r="452" spans="1:5" x14ac:dyDescent="0.2">
      <c r="A452" s="232">
        <v>1</v>
      </c>
      <c r="B452" s="226" t="s">
        <v>2700</v>
      </c>
      <c r="C452" s="226" t="s">
        <v>2701</v>
      </c>
      <c r="D452" s="227">
        <v>8.4</v>
      </c>
      <c r="E452" s="304">
        <v>8.3699999999999992</v>
      </c>
    </row>
    <row r="454" spans="1:5" ht="18" x14ac:dyDescent="0.25">
      <c r="A454" s="567" t="s">
        <v>3152</v>
      </c>
      <c r="B454" s="567"/>
      <c r="C454" s="567"/>
      <c r="D454" s="567"/>
      <c r="E454" s="567"/>
    </row>
    <row r="455" spans="1:5" x14ac:dyDescent="0.2">
      <c r="A455" s="225" t="s">
        <v>318</v>
      </c>
      <c r="B455" s="225" t="s">
        <v>285</v>
      </c>
      <c r="C455" s="225" t="s">
        <v>286</v>
      </c>
      <c r="D455" s="225" t="s">
        <v>287</v>
      </c>
      <c r="E455" s="225" t="s">
        <v>957</v>
      </c>
    </row>
    <row r="456" spans="1:5" x14ac:dyDescent="0.2">
      <c r="A456" s="232">
        <v>1</v>
      </c>
      <c r="B456" s="226" t="s">
        <v>3135</v>
      </c>
      <c r="C456" s="226" t="s">
        <v>3136</v>
      </c>
      <c r="D456" s="227">
        <v>4.79</v>
      </c>
      <c r="E456" s="334">
        <v>4.62</v>
      </c>
    </row>
    <row r="458" spans="1:5" ht="18" x14ac:dyDescent="0.25">
      <c r="A458" s="567" t="s">
        <v>4806</v>
      </c>
      <c r="B458" s="567"/>
      <c r="C458" s="567"/>
      <c r="D458" s="567"/>
      <c r="E458" s="567"/>
    </row>
    <row r="459" spans="1:5" x14ac:dyDescent="0.2">
      <c r="A459" s="225" t="s">
        <v>318</v>
      </c>
      <c r="B459" s="225" t="s">
        <v>285</v>
      </c>
      <c r="C459" s="225" t="s">
        <v>286</v>
      </c>
      <c r="D459" s="225" t="s">
        <v>287</v>
      </c>
      <c r="E459" s="225" t="s">
        <v>957</v>
      </c>
    </row>
    <row r="460" spans="1:5" x14ac:dyDescent="0.2">
      <c r="A460" s="232">
        <v>1</v>
      </c>
      <c r="B460" s="226" t="s">
        <v>795</v>
      </c>
      <c r="C460" s="226" t="s">
        <v>4757</v>
      </c>
      <c r="D460" s="227">
        <v>8.0299999999999994</v>
      </c>
      <c r="E460" s="322">
        <v>7.94</v>
      </c>
    </row>
  </sheetData>
  <mergeCells count="16">
    <mergeCell ref="A458:E458"/>
    <mergeCell ref="A406:E406"/>
    <mergeCell ref="A417:E417"/>
    <mergeCell ref="A426:E426"/>
    <mergeCell ref="A434:E434"/>
    <mergeCell ref="A441:E441"/>
    <mergeCell ref="A446:E446"/>
    <mergeCell ref="A450:E450"/>
    <mergeCell ref="A454:E454"/>
    <mergeCell ref="A1:E1"/>
    <mergeCell ref="A161:E161"/>
    <mergeCell ref="A256:E256"/>
    <mergeCell ref="A309:E309"/>
    <mergeCell ref="A345:E345"/>
    <mergeCell ref="A373:E373"/>
    <mergeCell ref="A392:E39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5C0B-0924-4E91-9DED-FD144395D557}">
  <dimension ref="A1:E166"/>
  <sheetViews>
    <sheetView topLeftCell="A12" zoomScale="80" zoomScaleNormal="80" workbookViewId="0">
      <selection activeCell="A42" sqref="A42"/>
    </sheetView>
  </sheetViews>
  <sheetFormatPr baseColWidth="10" defaultColWidth="8.83203125" defaultRowHeight="16" x14ac:dyDescent="0.2"/>
  <cols>
    <col min="1" max="1" width="22.1640625" bestFit="1" customWidth="1"/>
    <col min="2" max="3" width="15.6640625" bestFit="1" customWidth="1"/>
  </cols>
  <sheetData>
    <row r="1" spans="1:5" x14ac:dyDescent="0.2">
      <c r="A1" s="342" t="s">
        <v>3042</v>
      </c>
      <c r="B1" s="342" t="s">
        <v>3043</v>
      </c>
      <c r="C1" s="342" t="s">
        <v>3044</v>
      </c>
      <c r="E1" s="358" t="s">
        <v>3207</v>
      </c>
    </row>
    <row r="2" spans="1:5" x14ac:dyDescent="0.2">
      <c r="A2" t="s">
        <v>1729</v>
      </c>
      <c r="B2" t="s">
        <v>3034</v>
      </c>
      <c r="C2" t="s">
        <v>1081</v>
      </c>
      <c r="E2" t="s">
        <v>3255</v>
      </c>
    </row>
    <row r="3" spans="1:5" x14ac:dyDescent="0.2">
      <c r="A3" t="s">
        <v>4204</v>
      </c>
      <c r="B3" t="s">
        <v>1011</v>
      </c>
      <c r="C3" t="s">
        <v>1011</v>
      </c>
    </row>
    <row r="4" spans="1:5" x14ac:dyDescent="0.2">
      <c r="A4" t="s">
        <v>731</v>
      </c>
      <c r="B4" t="s">
        <v>3036</v>
      </c>
      <c r="C4" t="s">
        <v>3035</v>
      </c>
      <c r="E4" t="s">
        <v>3256</v>
      </c>
    </row>
    <row r="5" spans="1:5" x14ac:dyDescent="0.2">
      <c r="A5" t="s">
        <v>1015</v>
      </c>
      <c r="B5" t="s">
        <v>3033</v>
      </c>
      <c r="C5" t="s">
        <v>995</v>
      </c>
    </row>
    <row r="6" spans="1:5" x14ac:dyDescent="0.2">
      <c r="A6" t="s">
        <v>732</v>
      </c>
      <c r="B6" t="s">
        <v>3032</v>
      </c>
      <c r="C6" t="s">
        <v>3041</v>
      </c>
      <c r="E6" t="s">
        <v>3384</v>
      </c>
    </row>
    <row r="7" spans="1:5" x14ac:dyDescent="0.2">
      <c r="A7" t="s">
        <v>1081</v>
      </c>
      <c r="B7" t="s">
        <v>1081</v>
      </c>
      <c r="C7" t="s">
        <v>3040</v>
      </c>
    </row>
    <row r="8" spans="1:5" x14ac:dyDescent="0.2">
      <c r="A8" t="s">
        <v>1396</v>
      </c>
      <c r="B8" t="s">
        <v>3034</v>
      </c>
      <c r="C8" t="s">
        <v>3036</v>
      </c>
      <c r="E8" t="s">
        <v>3206</v>
      </c>
    </row>
    <row r="9" spans="1:5" x14ac:dyDescent="0.2">
      <c r="A9" t="s">
        <v>1380</v>
      </c>
      <c r="B9" t="s">
        <v>1011</v>
      </c>
      <c r="C9" t="s">
        <v>2705</v>
      </c>
      <c r="E9" t="s">
        <v>3257</v>
      </c>
    </row>
    <row r="10" spans="1:5" x14ac:dyDescent="0.2">
      <c r="A10" t="s">
        <v>1095</v>
      </c>
      <c r="B10" t="s">
        <v>3032</v>
      </c>
      <c r="C10" t="s">
        <v>3034</v>
      </c>
    </row>
    <row r="11" spans="1:5" x14ac:dyDescent="0.2">
      <c r="A11" t="s">
        <v>2866</v>
      </c>
      <c r="B11" t="s">
        <v>3032</v>
      </c>
      <c r="C11" t="s">
        <v>3037</v>
      </c>
      <c r="E11" t="s">
        <v>4780</v>
      </c>
    </row>
    <row r="12" spans="1:5" x14ac:dyDescent="0.2">
      <c r="A12" t="s">
        <v>1006</v>
      </c>
      <c r="B12" t="s">
        <v>3034</v>
      </c>
      <c r="C12" t="s">
        <v>3039</v>
      </c>
    </row>
    <row r="13" spans="1:5" x14ac:dyDescent="0.2">
      <c r="A13" t="s">
        <v>988</v>
      </c>
      <c r="B13" t="s">
        <v>3032</v>
      </c>
      <c r="C13" t="s">
        <v>3033</v>
      </c>
    </row>
    <row r="14" spans="1:5" x14ac:dyDescent="0.2">
      <c r="A14" t="s">
        <v>1543</v>
      </c>
      <c r="B14" t="s">
        <v>3036</v>
      </c>
      <c r="C14" t="s">
        <v>3150</v>
      </c>
    </row>
    <row r="15" spans="1:5" x14ac:dyDescent="0.2">
      <c r="A15" t="s">
        <v>1861</v>
      </c>
      <c r="B15" t="s">
        <v>3036</v>
      </c>
      <c r="C15" t="s">
        <v>3032</v>
      </c>
    </row>
    <row r="16" spans="1:5" x14ac:dyDescent="0.2">
      <c r="A16" t="s">
        <v>1289</v>
      </c>
      <c r="B16" t="s">
        <v>3032</v>
      </c>
      <c r="C16" t="s">
        <v>3038</v>
      </c>
    </row>
    <row r="17" spans="1:3" x14ac:dyDescent="0.2">
      <c r="A17" t="s">
        <v>3254</v>
      </c>
      <c r="B17" t="s">
        <v>3032</v>
      </c>
      <c r="C17" t="s">
        <v>4805</v>
      </c>
    </row>
    <row r="18" spans="1:3" x14ac:dyDescent="0.2">
      <c r="A18" t="s">
        <v>3005</v>
      </c>
      <c r="B18" t="s">
        <v>1011</v>
      </c>
    </row>
    <row r="19" spans="1:3" x14ac:dyDescent="0.2">
      <c r="A19" t="s">
        <v>4159</v>
      </c>
      <c r="B19" t="s">
        <v>3036</v>
      </c>
    </row>
    <row r="20" spans="1:3" x14ac:dyDescent="0.2">
      <c r="A20" t="s">
        <v>1136</v>
      </c>
      <c r="B20" t="s">
        <v>3036</v>
      </c>
    </row>
    <row r="21" spans="1:3" x14ac:dyDescent="0.2">
      <c r="A21" t="s">
        <v>1124</v>
      </c>
      <c r="B21" t="s">
        <v>3032</v>
      </c>
    </row>
    <row r="22" spans="1:3" x14ac:dyDescent="0.2">
      <c r="A22" t="s">
        <v>1351</v>
      </c>
      <c r="B22" t="s">
        <v>995</v>
      </c>
    </row>
    <row r="23" spans="1:3" x14ac:dyDescent="0.2">
      <c r="A23" t="s">
        <v>4111</v>
      </c>
      <c r="B23" t="s">
        <v>3032</v>
      </c>
    </row>
    <row r="24" spans="1:3" x14ac:dyDescent="0.2">
      <c r="A24" t="s">
        <v>4044</v>
      </c>
      <c r="B24" t="s">
        <v>3036</v>
      </c>
    </row>
    <row r="25" spans="1:3" x14ac:dyDescent="0.2">
      <c r="A25" t="s">
        <v>2825</v>
      </c>
      <c r="B25" t="s">
        <v>3036</v>
      </c>
    </row>
    <row r="26" spans="1:3" x14ac:dyDescent="0.2">
      <c r="A26" t="s">
        <v>2899</v>
      </c>
      <c r="B26" t="s">
        <v>3035</v>
      </c>
    </row>
    <row r="27" spans="1:3" x14ac:dyDescent="0.2">
      <c r="A27" t="s">
        <v>2645</v>
      </c>
      <c r="B27" t="s">
        <v>995</v>
      </c>
    </row>
    <row r="28" spans="1:3" x14ac:dyDescent="0.2">
      <c r="A28" t="s">
        <v>2265</v>
      </c>
      <c r="B28" t="s">
        <v>3034</v>
      </c>
    </row>
    <row r="29" spans="1:3" x14ac:dyDescent="0.2">
      <c r="A29" t="s">
        <v>720</v>
      </c>
      <c r="B29" t="s">
        <v>3032</v>
      </c>
    </row>
    <row r="30" spans="1:3" x14ac:dyDescent="0.2">
      <c r="A30" t="s">
        <v>4198</v>
      </c>
      <c r="B30" t="s">
        <v>995</v>
      </c>
    </row>
    <row r="31" spans="1:3" x14ac:dyDescent="0.2">
      <c r="A31" t="s">
        <v>1277</v>
      </c>
      <c r="B31" t="s">
        <v>995</v>
      </c>
    </row>
    <row r="32" spans="1:3" x14ac:dyDescent="0.2">
      <c r="A32" t="s">
        <v>2556</v>
      </c>
      <c r="B32" t="s">
        <v>3033</v>
      </c>
    </row>
    <row r="33" spans="1:2" x14ac:dyDescent="0.2">
      <c r="A33" t="s">
        <v>3932</v>
      </c>
      <c r="B33" t="s">
        <v>3032</v>
      </c>
    </row>
    <row r="34" spans="1:2" x14ac:dyDescent="0.2">
      <c r="A34" t="s">
        <v>2478</v>
      </c>
      <c r="B34" t="s">
        <v>1011</v>
      </c>
    </row>
    <row r="35" spans="1:2" x14ac:dyDescent="0.2">
      <c r="A35" t="s">
        <v>2557</v>
      </c>
      <c r="B35" t="s">
        <v>3034</v>
      </c>
    </row>
    <row r="36" spans="1:2" x14ac:dyDescent="0.2">
      <c r="A36" t="s">
        <v>3116</v>
      </c>
      <c r="B36" t="s">
        <v>3036</v>
      </c>
    </row>
    <row r="37" spans="1:2" x14ac:dyDescent="0.2">
      <c r="A37" t="s">
        <v>997</v>
      </c>
      <c r="B37" t="s">
        <v>3036</v>
      </c>
    </row>
    <row r="38" spans="1:2" x14ac:dyDescent="0.2">
      <c r="A38" t="s">
        <v>1177</v>
      </c>
      <c r="B38" t="s">
        <v>1011</v>
      </c>
    </row>
    <row r="39" spans="1:2" x14ac:dyDescent="0.2">
      <c r="A39" t="s">
        <v>1179</v>
      </c>
      <c r="B39" t="s">
        <v>3036</v>
      </c>
    </row>
    <row r="40" spans="1:2" x14ac:dyDescent="0.2">
      <c r="A40" t="s">
        <v>1532</v>
      </c>
      <c r="B40" t="s">
        <v>3036</v>
      </c>
    </row>
    <row r="41" spans="1:2" x14ac:dyDescent="0.2">
      <c r="A41" t="s">
        <v>1003</v>
      </c>
      <c r="B41" t="s">
        <v>1011</v>
      </c>
    </row>
    <row r="42" spans="1:2" x14ac:dyDescent="0.2">
      <c r="A42" t="s">
        <v>985</v>
      </c>
      <c r="B42" t="s">
        <v>3032</v>
      </c>
    </row>
    <row r="43" spans="1:2" x14ac:dyDescent="0.2">
      <c r="A43" t="s">
        <v>3289</v>
      </c>
      <c r="B43" t="s">
        <v>1011</v>
      </c>
    </row>
    <row r="44" spans="1:2" x14ac:dyDescent="0.2">
      <c r="A44" t="s">
        <v>2516</v>
      </c>
      <c r="B44" t="s">
        <v>1081</v>
      </c>
    </row>
    <row r="45" spans="1:2" x14ac:dyDescent="0.2">
      <c r="A45" t="s">
        <v>3495</v>
      </c>
      <c r="B45" t="s">
        <v>1011</v>
      </c>
    </row>
    <row r="46" spans="1:2" x14ac:dyDescent="0.2">
      <c r="A46" t="s">
        <v>1013</v>
      </c>
      <c r="B46" t="s">
        <v>995</v>
      </c>
    </row>
    <row r="47" spans="1:2" x14ac:dyDescent="0.2">
      <c r="A47" t="s">
        <v>724</v>
      </c>
      <c r="B47" t="s">
        <v>1011</v>
      </c>
    </row>
    <row r="48" spans="1:2" x14ac:dyDescent="0.2">
      <c r="A48" t="s">
        <v>1456</v>
      </c>
      <c r="B48" t="s">
        <v>1011</v>
      </c>
    </row>
    <row r="49" spans="1:2" x14ac:dyDescent="0.2">
      <c r="A49" t="s">
        <v>1011</v>
      </c>
      <c r="B49" t="s">
        <v>1011</v>
      </c>
    </row>
    <row r="50" spans="1:2" x14ac:dyDescent="0.2">
      <c r="A50" t="s">
        <v>1004</v>
      </c>
      <c r="B50" t="s">
        <v>3034</v>
      </c>
    </row>
    <row r="51" spans="1:2" x14ac:dyDescent="0.2">
      <c r="A51" t="s">
        <v>3540</v>
      </c>
      <c r="B51" t="s">
        <v>3032</v>
      </c>
    </row>
    <row r="52" spans="1:2" x14ac:dyDescent="0.2">
      <c r="A52" t="s">
        <v>1020</v>
      </c>
      <c r="B52" t="s">
        <v>995</v>
      </c>
    </row>
    <row r="53" spans="1:2" x14ac:dyDescent="0.2">
      <c r="A53" t="s">
        <v>1021</v>
      </c>
      <c r="B53" t="s">
        <v>3032</v>
      </c>
    </row>
    <row r="54" spans="1:2" x14ac:dyDescent="0.2">
      <c r="A54" t="s">
        <v>1349</v>
      </c>
      <c r="B54" t="s">
        <v>3036</v>
      </c>
    </row>
    <row r="55" spans="1:2" x14ac:dyDescent="0.2">
      <c r="A55" t="s">
        <v>2512</v>
      </c>
      <c r="B55" t="s">
        <v>3035</v>
      </c>
    </row>
    <row r="56" spans="1:2" x14ac:dyDescent="0.2">
      <c r="A56" t="s">
        <v>1943</v>
      </c>
      <c r="B56" t="s">
        <v>3035</v>
      </c>
    </row>
    <row r="57" spans="1:2" x14ac:dyDescent="0.2">
      <c r="A57" t="s">
        <v>3902</v>
      </c>
      <c r="B57" t="s">
        <v>1011</v>
      </c>
    </row>
    <row r="58" spans="1:2" x14ac:dyDescent="0.2">
      <c r="A58" t="s">
        <v>2597</v>
      </c>
      <c r="B58" t="s">
        <v>1011</v>
      </c>
    </row>
    <row r="59" spans="1:2" x14ac:dyDescent="0.2">
      <c r="A59" t="s">
        <v>1009</v>
      </c>
      <c r="B59" t="s">
        <v>1011</v>
      </c>
    </row>
    <row r="60" spans="1:2" x14ac:dyDescent="0.2">
      <c r="A60" t="s">
        <v>1287</v>
      </c>
      <c r="B60" t="s">
        <v>3032</v>
      </c>
    </row>
    <row r="61" spans="1:2" x14ac:dyDescent="0.2">
      <c r="A61" t="s">
        <v>3496</v>
      </c>
      <c r="B61" t="s">
        <v>1011</v>
      </c>
    </row>
    <row r="62" spans="1:2" x14ac:dyDescent="0.2">
      <c r="A62" t="s">
        <v>1927</v>
      </c>
      <c r="B62" t="s">
        <v>995</v>
      </c>
    </row>
    <row r="63" spans="1:2" x14ac:dyDescent="0.2">
      <c r="A63" t="s">
        <v>993</v>
      </c>
      <c r="B63" t="s">
        <v>3032</v>
      </c>
    </row>
    <row r="64" spans="1:2" x14ac:dyDescent="0.2">
      <c r="A64" t="s">
        <v>1762</v>
      </c>
      <c r="B64" t="s">
        <v>3032</v>
      </c>
    </row>
    <row r="65" spans="1:2" x14ac:dyDescent="0.2">
      <c r="A65" t="s">
        <v>3802</v>
      </c>
      <c r="B65" t="s">
        <v>3034</v>
      </c>
    </row>
    <row r="66" spans="1:2" x14ac:dyDescent="0.2">
      <c r="A66" t="s">
        <v>3887</v>
      </c>
      <c r="B66" t="s">
        <v>3036</v>
      </c>
    </row>
    <row r="67" spans="1:2" x14ac:dyDescent="0.2">
      <c r="A67" t="s">
        <v>1022</v>
      </c>
      <c r="B67" t="s">
        <v>995</v>
      </c>
    </row>
    <row r="68" spans="1:2" x14ac:dyDescent="0.2">
      <c r="A68" t="s">
        <v>1470</v>
      </c>
      <c r="B68" t="s">
        <v>3036</v>
      </c>
    </row>
    <row r="69" spans="1:2" x14ac:dyDescent="0.2">
      <c r="A69" t="s">
        <v>1016</v>
      </c>
      <c r="B69" t="s">
        <v>3032</v>
      </c>
    </row>
    <row r="70" spans="1:2" x14ac:dyDescent="0.2">
      <c r="A70" t="s">
        <v>1893</v>
      </c>
      <c r="B70" t="s">
        <v>3032</v>
      </c>
    </row>
    <row r="71" spans="1:2" x14ac:dyDescent="0.2">
      <c r="A71" t="s">
        <v>1247</v>
      </c>
      <c r="B71" t="s">
        <v>3036</v>
      </c>
    </row>
    <row r="72" spans="1:2" x14ac:dyDescent="0.2">
      <c r="A72" t="s">
        <v>995</v>
      </c>
      <c r="B72" t="s">
        <v>995</v>
      </c>
    </row>
    <row r="73" spans="1:2" x14ac:dyDescent="0.2">
      <c r="A73" t="s">
        <v>1715</v>
      </c>
      <c r="B73" t="s">
        <v>1011</v>
      </c>
    </row>
    <row r="74" spans="1:2" x14ac:dyDescent="0.2">
      <c r="A74" t="s">
        <v>1381</v>
      </c>
      <c r="B74" t="s">
        <v>1011</v>
      </c>
    </row>
    <row r="75" spans="1:2" x14ac:dyDescent="0.2">
      <c r="A75" t="s">
        <v>999</v>
      </c>
      <c r="B75" t="s">
        <v>3032</v>
      </c>
    </row>
    <row r="76" spans="1:2" x14ac:dyDescent="0.2">
      <c r="A76" t="s">
        <v>3080</v>
      </c>
      <c r="B76" t="s">
        <v>3035</v>
      </c>
    </row>
    <row r="77" spans="1:2" x14ac:dyDescent="0.2">
      <c r="A77" t="s">
        <v>1094</v>
      </c>
      <c r="B77" t="s">
        <v>3034</v>
      </c>
    </row>
    <row r="78" spans="1:2" x14ac:dyDescent="0.2">
      <c r="A78" t="s">
        <v>996</v>
      </c>
      <c r="B78" t="s">
        <v>3032</v>
      </c>
    </row>
    <row r="79" spans="1:2" x14ac:dyDescent="0.2">
      <c r="A79" t="s">
        <v>4205</v>
      </c>
      <c r="B79" t="s">
        <v>1011</v>
      </c>
    </row>
    <row r="80" spans="1:2" x14ac:dyDescent="0.2">
      <c r="A80" t="s">
        <v>1001</v>
      </c>
      <c r="B80" t="s">
        <v>995</v>
      </c>
    </row>
    <row r="81" spans="1:2" x14ac:dyDescent="0.2">
      <c r="A81" t="s">
        <v>2913</v>
      </c>
      <c r="B81" t="s">
        <v>3034</v>
      </c>
    </row>
    <row r="82" spans="1:2" x14ac:dyDescent="0.2">
      <c r="A82" t="s">
        <v>2264</v>
      </c>
      <c r="B82" t="s">
        <v>3040</v>
      </c>
    </row>
    <row r="83" spans="1:2" x14ac:dyDescent="0.2">
      <c r="A83" t="s">
        <v>1000</v>
      </c>
      <c r="B83" t="s">
        <v>995</v>
      </c>
    </row>
    <row r="84" spans="1:2" x14ac:dyDescent="0.2">
      <c r="A84" t="s">
        <v>3635</v>
      </c>
      <c r="B84" t="s">
        <v>3032</v>
      </c>
    </row>
    <row r="85" spans="1:2" x14ac:dyDescent="0.2">
      <c r="A85" t="s">
        <v>2382</v>
      </c>
      <c r="B85" t="s">
        <v>1011</v>
      </c>
    </row>
    <row r="86" spans="1:2" x14ac:dyDescent="0.2">
      <c r="A86" t="s">
        <v>3262</v>
      </c>
      <c r="B86" t="s">
        <v>3036</v>
      </c>
    </row>
    <row r="87" spans="1:2" x14ac:dyDescent="0.2">
      <c r="A87" t="s">
        <v>2035</v>
      </c>
      <c r="B87" t="s">
        <v>3036</v>
      </c>
    </row>
    <row r="88" spans="1:2" x14ac:dyDescent="0.2">
      <c r="A88" t="s">
        <v>3992</v>
      </c>
      <c r="B88" t="s">
        <v>3036</v>
      </c>
    </row>
    <row r="89" spans="1:2" x14ac:dyDescent="0.2">
      <c r="A89" t="s">
        <v>3636</v>
      </c>
      <c r="B89" t="s">
        <v>3032</v>
      </c>
    </row>
    <row r="90" spans="1:2" x14ac:dyDescent="0.2">
      <c r="A90" t="s">
        <v>2070</v>
      </c>
      <c r="B90" t="s">
        <v>3037</v>
      </c>
    </row>
    <row r="91" spans="1:2" x14ac:dyDescent="0.2">
      <c r="A91" t="s">
        <v>1197</v>
      </c>
      <c r="B91" t="s">
        <v>3037</v>
      </c>
    </row>
    <row r="92" spans="1:2" x14ac:dyDescent="0.2">
      <c r="A92" t="s">
        <v>986</v>
      </c>
      <c r="B92" t="s">
        <v>3032</v>
      </c>
    </row>
    <row r="93" spans="1:2" x14ac:dyDescent="0.2">
      <c r="A93" t="s">
        <v>2705</v>
      </c>
      <c r="B93" t="s">
        <v>2705</v>
      </c>
    </row>
    <row r="94" spans="1:2" x14ac:dyDescent="0.2">
      <c r="A94" t="s">
        <v>1010</v>
      </c>
      <c r="B94" t="s">
        <v>3032</v>
      </c>
    </row>
    <row r="95" spans="1:2" x14ac:dyDescent="0.2">
      <c r="A95" t="s">
        <v>2558</v>
      </c>
      <c r="B95" t="s">
        <v>3032</v>
      </c>
    </row>
    <row r="96" spans="1:2" x14ac:dyDescent="0.2">
      <c r="A96" t="s">
        <v>3354</v>
      </c>
      <c r="B96" t="s">
        <v>3032</v>
      </c>
    </row>
    <row r="97" spans="1:2" x14ac:dyDescent="0.2">
      <c r="A97" t="s">
        <v>1176</v>
      </c>
      <c r="B97" t="s">
        <v>3040</v>
      </c>
    </row>
    <row r="98" spans="1:2" x14ac:dyDescent="0.2">
      <c r="A98" t="s">
        <v>1018</v>
      </c>
      <c r="B98" t="s">
        <v>3036</v>
      </c>
    </row>
    <row r="99" spans="1:2" x14ac:dyDescent="0.2">
      <c r="A99" t="s">
        <v>3640</v>
      </c>
      <c r="B99" t="s">
        <v>3032</v>
      </c>
    </row>
    <row r="100" spans="1:2" x14ac:dyDescent="0.2">
      <c r="A100" t="s">
        <v>1012</v>
      </c>
      <c r="B100" t="s">
        <v>995</v>
      </c>
    </row>
    <row r="101" spans="1:2" x14ac:dyDescent="0.2">
      <c r="A101" t="s">
        <v>994</v>
      </c>
      <c r="B101" t="s">
        <v>995</v>
      </c>
    </row>
    <row r="102" spans="1:2" x14ac:dyDescent="0.2">
      <c r="A102" t="s">
        <v>1007</v>
      </c>
      <c r="B102" t="s">
        <v>3032</v>
      </c>
    </row>
    <row r="103" spans="1:2" x14ac:dyDescent="0.2">
      <c r="A103" t="s">
        <v>2341</v>
      </c>
      <c r="B103" t="s">
        <v>3032</v>
      </c>
    </row>
    <row r="104" spans="1:2" x14ac:dyDescent="0.2">
      <c r="A104" t="s">
        <v>998</v>
      </c>
      <c r="B104" t="s">
        <v>3032</v>
      </c>
    </row>
    <row r="105" spans="1:2" x14ac:dyDescent="0.2">
      <c r="A105" t="s">
        <v>1017</v>
      </c>
      <c r="B105" t="s">
        <v>3032</v>
      </c>
    </row>
    <row r="106" spans="1:2" x14ac:dyDescent="0.2">
      <c r="A106" t="s">
        <v>1658</v>
      </c>
      <c r="B106" t="s">
        <v>3039</v>
      </c>
    </row>
    <row r="107" spans="1:2" x14ac:dyDescent="0.2">
      <c r="A107" t="s">
        <v>1457</v>
      </c>
      <c r="B107" t="s">
        <v>3041</v>
      </c>
    </row>
    <row r="108" spans="1:2" x14ac:dyDescent="0.2">
      <c r="A108" t="s">
        <v>1137</v>
      </c>
      <c r="B108" t="s">
        <v>3036</v>
      </c>
    </row>
    <row r="109" spans="1:2" x14ac:dyDescent="0.2">
      <c r="A109" t="s">
        <v>1008</v>
      </c>
      <c r="B109" t="s">
        <v>3039</v>
      </c>
    </row>
    <row r="110" spans="1:2" x14ac:dyDescent="0.2">
      <c r="A110" t="s">
        <v>1005</v>
      </c>
      <c r="B110" t="s">
        <v>3032</v>
      </c>
    </row>
    <row r="111" spans="1:2" x14ac:dyDescent="0.2">
      <c r="A111" t="s">
        <v>3568</v>
      </c>
      <c r="B111" t="s">
        <v>1011</v>
      </c>
    </row>
    <row r="112" spans="1:2" x14ac:dyDescent="0.2">
      <c r="A112" t="s">
        <v>733</v>
      </c>
      <c r="B112" t="s">
        <v>3036</v>
      </c>
    </row>
    <row r="113" spans="1:2" x14ac:dyDescent="0.2">
      <c r="A113" t="s">
        <v>1494</v>
      </c>
      <c r="B113" t="s">
        <v>3034</v>
      </c>
    </row>
    <row r="114" spans="1:2" x14ac:dyDescent="0.2">
      <c r="A114" t="s">
        <v>987</v>
      </c>
      <c r="B114" t="s">
        <v>3032</v>
      </c>
    </row>
    <row r="115" spans="1:2" x14ac:dyDescent="0.2">
      <c r="A115" t="s">
        <v>991</v>
      </c>
      <c r="B115" t="s">
        <v>3033</v>
      </c>
    </row>
    <row r="116" spans="1:2" x14ac:dyDescent="0.2">
      <c r="A116" t="s">
        <v>2328</v>
      </c>
      <c r="B116" t="s">
        <v>3034</v>
      </c>
    </row>
    <row r="117" spans="1:2" x14ac:dyDescent="0.2">
      <c r="A117" t="s">
        <v>984</v>
      </c>
      <c r="B117" t="s">
        <v>3032</v>
      </c>
    </row>
    <row r="118" spans="1:2" x14ac:dyDescent="0.2">
      <c r="A118" t="s">
        <v>1014</v>
      </c>
      <c r="B118" t="s">
        <v>3039</v>
      </c>
    </row>
    <row r="119" spans="1:2" x14ac:dyDescent="0.2">
      <c r="A119" t="s">
        <v>1019</v>
      </c>
      <c r="B119" t="s">
        <v>3036</v>
      </c>
    </row>
    <row r="120" spans="1:2" x14ac:dyDescent="0.2">
      <c r="A120" t="s">
        <v>3137</v>
      </c>
      <c r="B120" t="s">
        <v>3150</v>
      </c>
    </row>
    <row r="121" spans="1:2" x14ac:dyDescent="0.2">
      <c r="A121" t="s">
        <v>2776</v>
      </c>
      <c r="B121" t="s">
        <v>3032</v>
      </c>
    </row>
    <row r="122" spans="1:2" x14ac:dyDescent="0.2">
      <c r="A122" t="s">
        <v>1123</v>
      </c>
      <c r="B122" t="s">
        <v>3032</v>
      </c>
    </row>
    <row r="123" spans="1:2" x14ac:dyDescent="0.2">
      <c r="A123" t="s">
        <v>992</v>
      </c>
      <c r="B123" t="s">
        <v>3032</v>
      </c>
    </row>
    <row r="124" spans="1:2" x14ac:dyDescent="0.2">
      <c r="A124" t="s">
        <v>2242</v>
      </c>
      <c r="B124" t="s">
        <v>3038</v>
      </c>
    </row>
    <row r="125" spans="1:2" x14ac:dyDescent="0.2">
      <c r="A125" t="s">
        <v>989</v>
      </c>
      <c r="B125" t="s">
        <v>3032</v>
      </c>
    </row>
    <row r="126" spans="1:2" x14ac:dyDescent="0.2">
      <c r="A126" t="s">
        <v>737</v>
      </c>
      <c r="B126" t="s">
        <v>3033</v>
      </c>
    </row>
    <row r="127" spans="1:2" x14ac:dyDescent="0.2">
      <c r="A127" t="s">
        <v>2581</v>
      </c>
      <c r="B127" t="s">
        <v>3032</v>
      </c>
    </row>
    <row r="128" spans="1:2" x14ac:dyDescent="0.2">
      <c r="A128" t="s">
        <v>990</v>
      </c>
      <c r="B128" t="s">
        <v>3033</v>
      </c>
    </row>
    <row r="129" spans="1:2" x14ac:dyDescent="0.2">
      <c r="A129" t="s">
        <v>2426</v>
      </c>
      <c r="B129" t="s">
        <v>3032</v>
      </c>
    </row>
    <row r="130" spans="1:2" x14ac:dyDescent="0.2">
      <c r="A130" t="s">
        <v>740</v>
      </c>
      <c r="B130" t="s">
        <v>995</v>
      </c>
    </row>
    <row r="131" spans="1:2" x14ac:dyDescent="0.2">
      <c r="A131" t="s">
        <v>1533</v>
      </c>
      <c r="B131" t="s">
        <v>3036</v>
      </c>
    </row>
    <row r="132" spans="1:2" x14ac:dyDescent="0.2">
      <c r="A132" t="s">
        <v>1232</v>
      </c>
      <c r="B132" t="s">
        <v>3032</v>
      </c>
    </row>
    <row r="133" spans="1:2" x14ac:dyDescent="0.2">
      <c r="A133" t="s">
        <v>1492</v>
      </c>
      <c r="B133" t="s">
        <v>3032</v>
      </c>
    </row>
    <row r="134" spans="1:2" x14ac:dyDescent="0.2">
      <c r="A134" t="s">
        <v>2071</v>
      </c>
      <c r="B134" t="s">
        <v>3034</v>
      </c>
    </row>
    <row r="135" spans="1:2" x14ac:dyDescent="0.2">
      <c r="A135" t="s">
        <v>3906</v>
      </c>
      <c r="B135" t="s">
        <v>3036</v>
      </c>
    </row>
    <row r="136" spans="1:2" x14ac:dyDescent="0.2">
      <c r="A136" t="s">
        <v>734</v>
      </c>
      <c r="B136" t="s">
        <v>3036</v>
      </c>
    </row>
    <row r="137" spans="1:2" x14ac:dyDescent="0.2">
      <c r="A137" t="s">
        <v>739</v>
      </c>
      <c r="B137" t="s">
        <v>995</v>
      </c>
    </row>
    <row r="138" spans="1:2" x14ac:dyDescent="0.2">
      <c r="A138" t="s">
        <v>1002</v>
      </c>
      <c r="B138" t="s">
        <v>1011</v>
      </c>
    </row>
    <row r="139" spans="1:2" x14ac:dyDescent="0.2">
      <c r="A139" t="s">
        <v>1023</v>
      </c>
      <c r="B139" t="s">
        <v>995</v>
      </c>
    </row>
    <row r="140" spans="1:2" x14ac:dyDescent="0.2">
      <c r="A140" t="s">
        <v>1443</v>
      </c>
      <c r="B140" t="s">
        <v>1011</v>
      </c>
    </row>
    <row r="141" spans="1:2" x14ac:dyDescent="0.2">
      <c r="A141" t="s">
        <v>4424</v>
      </c>
      <c r="B141" t="s">
        <v>1011</v>
      </c>
    </row>
    <row r="142" spans="1:2" x14ac:dyDescent="0.2">
      <c r="A142" t="s">
        <v>4453</v>
      </c>
      <c r="B142" t="s">
        <v>1011</v>
      </c>
    </row>
    <row r="143" spans="1:2" x14ac:dyDescent="0.2">
      <c r="A143" t="s">
        <v>4499</v>
      </c>
      <c r="B143" t="s">
        <v>3032</v>
      </c>
    </row>
    <row r="144" spans="1:2" x14ac:dyDescent="0.2">
      <c r="A144" t="s">
        <v>4543</v>
      </c>
      <c r="B144" t="s">
        <v>3032</v>
      </c>
    </row>
    <row r="145" spans="1:2" x14ac:dyDescent="0.2">
      <c r="A145" t="s">
        <v>4649</v>
      </c>
      <c r="B145" t="s">
        <v>3034</v>
      </c>
    </row>
    <row r="146" spans="1:2" x14ac:dyDescent="0.2">
      <c r="A146" t="s">
        <v>4731</v>
      </c>
      <c r="B146" t="s">
        <v>3035</v>
      </c>
    </row>
    <row r="147" spans="1:2" x14ac:dyDescent="0.2">
      <c r="A147" t="s">
        <v>4758</v>
      </c>
      <c r="B147" t="s">
        <v>1081</v>
      </c>
    </row>
    <row r="148" spans="1:2" x14ac:dyDescent="0.2">
      <c r="A148" t="s">
        <v>4803</v>
      </c>
      <c r="B148" t="s">
        <v>4805</v>
      </c>
    </row>
    <row r="149" spans="1:2" x14ac:dyDescent="0.2">
      <c r="A149" t="s">
        <v>4836</v>
      </c>
      <c r="B149" t="s">
        <v>3039</v>
      </c>
    </row>
    <row r="150" spans="1:2" x14ac:dyDescent="0.2">
      <c r="A150" t="s">
        <v>5364</v>
      </c>
      <c r="B150" t="s">
        <v>1011</v>
      </c>
    </row>
    <row r="151" spans="1:2" x14ac:dyDescent="0.2">
      <c r="A151" t="s">
        <v>5365</v>
      </c>
      <c r="B151" t="s">
        <v>1011</v>
      </c>
    </row>
    <row r="152" spans="1:2" x14ac:dyDescent="0.2">
      <c r="A152" t="s">
        <v>5368</v>
      </c>
      <c r="B152" t="s">
        <v>3036</v>
      </c>
    </row>
    <row r="153" spans="1:2" x14ac:dyDescent="0.2">
      <c r="A153" t="s">
        <v>5390</v>
      </c>
      <c r="B153" t="s">
        <v>3036</v>
      </c>
    </row>
    <row r="154" spans="1:2" x14ac:dyDescent="0.2">
      <c r="A154" t="s">
        <v>5391</v>
      </c>
      <c r="B154" t="s">
        <v>3033</v>
      </c>
    </row>
    <row r="155" spans="1:2" x14ac:dyDescent="0.2">
      <c r="A155" t="s">
        <v>5438</v>
      </c>
      <c r="B155" t="s">
        <v>3034</v>
      </c>
    </row>
    <row r="156" spans="1:2" x14ac:dyDescent="0.2">
      <c r="A156" t="s">
        <v>5454</v>
      </c>
      <c r="B156" t="s">
        <v>3040</v>
      </c>
    </row>
    <row r="157" spans="1:2" x14ac:dyDescent="0.2">
      <c r="A157" t="s">
        <v>5462</v>
      </c>
      <c r="B157" t="s">
        <v>3032</v>
      </c>
    </row>
    <row r="158" spans="1:2" x14ac:dyDescent="0.2">
      <c r="A158" t="s">
        <v>5508</v>
      </c>
      <c r="B158" t="s">
        <v>3036</v>
      </c>
    </row>
    <row r="159" spans="1:2" x14ac:dyDescent="0.2">
      <c r="A159" t="s">
        <v>5613</v>
      </c>
      <c r="B159" t="s">
        <v>3036</v>
      </c>
    </row>
    <row r="160" spans="1:2" x14ac:dyDescent="0.2">
      <c r="A160" t="s">
        <v>5616</v>
      </c>
      <c r="B160" t="s">
        <v>3032</v>
      </c>
    </row>
    <row r="161" spans="1:2" x14ac:dyDescent="0.2">
      <c r="A161" t="s">
        <v>5681</v>
      </c>
      <c r="B161" t="s">
        <v>1081</v>
      </c>
    </row>
    <row r="162" spans="1:2" x14ac:dyDescent="0.2">
      <c r="A162" t="s">
        <v>5727</v>
      </c>
      <c r="B162" t="s">
        <v>1081</v>
      </c>
    </row>
    <row r="163" spans="1:2" x14ac:dyDescent="0.2">
      <c r="A163" t="s">
        <v>5728</v>
      </c>
      <c r="B163" t="s">
        <v>3041</v>
      </c>
    </row>
    <row r="164" spans="1:2" x14ac:dyDescent="0.2">
      <c r="A164" t="s">
        <v>5752</v>
      </c>
      <c r="B164" t="s">
        <v>3033</v>
      </c>
    </row>
    <row r="165" spans="1:2" x14ac:dyDescent="0.2">
      <c r="A165" t="s">
        <v>5751</v>
      </c>
      <c r="B165" t="s">
        <v>3032</v>
      </c>
    </row>
    <row r="166" spans="1:2" x14ac:dyDescent="0.2">
      <c r="A166" t="s">
        <v>5861</v>
      </c>
    </row>
  </sheetData>
  <sortState xmlns:xlrd2="http://schemas.microsoft.com/office/spreadsheetml/2017/richdata2" ref="A2:B140">
    <sortCondition ref="A2:A140"/>
  </sortState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CFB5-0541-4C7B-98E1-3FCD7070C4C4}">
  <dimension ref="AT1:AY2539"/>
  <sheetViews>
    <sheetView topLeftCell="A27" zoomScale="90" zoomScaleNormal="90" workbookViewId="0">
      <selection activeCell="AA53" sqref="AA53"/>
    </sheetView>
  </sheetViews>
  <sheetFormatPr baseColWidth="10" defaultColWidth="8.83203125" defaultRowHeight="16" x14ac:dyDescent="0.2"/>
  <sheetData>
    <row r="1" spans="46:47" x14ac:dyDescent="0.2">
      <c r="AT1" s="418" t="s">
        <v>3641</v>
      </c>
      <c r="AU1" t="s">
        <v>3642</v>
      </c>
    </row>
    <row r="2" spans="46:47" x14ac:dyDescent="0.2">
      <c r="AT2" s="418" t="s">
        <v>3643</v>
      </c>
      <c r="AU2">
        <v>42</v>
      </c>
    </row>
    <row r="3" spans="46:47" x14ac:dyDescent="0.2">
      <c r="AT3" s="418" t="s">
        <v>3644</v>
      </c>
      <c r="AU3">
        <v>78</v>
      </c>
    </row>
    <row r="4" spans="46:47" x14ac:dyDescent="0.2">
      <c r="AT4" s="418" t="s">
        <v>3645</v>
      </c>
      <c r="AU4">
        <v>119</v>
      </c>
    </row>
    <row r="5" spans="46:47" x14ac:dyDescent="0.2">
      <c r="AT5" s="418" t="s">
        <v>3646</v>
      </c>
      <c r="AU5">
        <v>152</v>
      </c>
    </row>
    <row r="6" spans="46:47" x14ac:dyDescent="0.2">
      <c r="AT6" s="418" t="s">
        <v>3647</v>
      </c>
      <c r="AU6">
        <v>192</v>
      </c>
    </row>
    <row r="7" spans="46:47" x14ac:dyDescent="0.2">
      <c r="AT7" s="418" t="s">
        <v>3648</v>
      </c>
      <c r="AU7">
        <v>232</v>
      </c>
    </row>
    <row r="8" spans="46:47" x14ac:dyDescent="0.2">
      <c r="AT8" s="418" t="s">
        <v>3903</v>
      </c>
      <c r="AU8">
        <v>271</v>
      </c>
    </row>
    <row r="9" spans="46:47" x14ac:dyDescent="0.2">
      <c r="AT9" s="418" t="s">
        <v>4571</v>
      </c>
      <c r="AU9">
        <v>289</v>
      </c>
    </row>
    <row r="10" spans="46:47" x14ac:dyDescent="0.2">
      <c r="AT10" s="418" t="s">
        <v>4917</v>
      </c>
      <c r="AU10">
        <v>316</v>
      </c>
    </row>
    <row r="11" spans="46:47" x14ac:dyDescent="0.2">
      <c r="AT11" s="418" t="s">
        <v>5845</v>
      </c>
      <c r="AU11">
        <v>319</v>
      </c>
    </row>
    <row r="14" spans="46:47" x14ac:dyDescent="0.2">
      <c r="AT14" s="418" t="s">
        <v>3641</v>
      </c>
      <c r="AU14" t="s">
        <v>3649</v>
      </c>
    </row>
    <row r="15" spans="46:47" x14ac:dyDescent="0.2">
      <c r="AT15" s="418" t="s">
        <v>3643</v>
      </c>
      <c r="AU15">
        <v>42</v>
      </c>
    </row>
    <row r="16" spans="46:47" x14ac:dyDescent="0.2">
      <c r="AT16" s="418" t="s">
        <v>3644</v>
      </c>
      <c r="AU16">
        <v>36</v>
      </c>
    </row>
    <row r="17" spans="46:49" x14ac:dyDescent="0.2">
      <c r="AT17" s="418" t="s">
        <v>3645</v>
      </c>
      <c r="AU17">
        <v>41</v>
      </c>
    </row>
    <row r="18" spans="46:49" x14ac:dyDescent="0.2">
      <c r="AT18" s="418" t="s">
        <v>3646</v>
      </c>
      <c r="AU18">
        <v>33</v>
      </c>
    </row>
    <row r="19" spans="46:49" x14ac:dyDescent="0.2">
      <c r="AT19" s="418" t="s">
        <v>3647</v>
      </c>
      <c r="AU19">
        <v>40</v>
      </c>
    </row>
    <row r="20" spans="46:49" x14ac:dyDescent="0.2">
      <c r="AT20" s="418" t="s">
        <v>3648</v>
      </c>
      <c r="AU20">
        <v>40</v>
      </c>
    </row>
    <row r="21" spans="46:49" x14ac:dyDescent="0.2">
      <c r="AT21" s="418" t="s">
        <v>3903</v>
      </c>
      <c r="AU21">
        <v>39</v>
      </c>
    </row>
    <row r="22" spans="46:49" x14ac:dyDescent="0.2">
      <c r="AT22" s="418" t="s">
        <v>4571</v>
      </c>
      <c r="AU22">
        <v>18</v>
      </c>
    </row>
    <row r="23" spans="46:49" x14ac:dyDescent="0.2">
      <c r="AT23" s="418" t="s">
        <v>4917</v>
      </c>
      <c r="AU23">
        <v>27</v>
      </c>
    </row>
    <row r="24" spans="46:49" x14ac:dyDescent="0.2">
      <c r="AT24" s="418" t="s">
        <v>5845</v>
      </c>
      <c r="AU24">
        <v>3</v>
      </c>
    </row>
    <row r="27" spans="46:49" x14ac:dyDescent="0.2">
      <c r="AT27" s="418" t="s">
        <v>1952</v>
      </c>
      <c r="AU27" t="s">
        <v>5968</v>
      </c>
      <c r="AV27" t="s">
        <v>5969</v>
      </c>
      <c r="AW27" t="s">
        <v>5970</v>
      </c>
    </row>
    <row r="28" spans="46:49" x14ac:dyDescent="0.2">
      <c r="AT28" s="418" t="s">
        <v>2021</v>
      </c>
      <c r="AU28">
        <v>8.8800000000000008</v>
      </c>
      <c r="AV28">
        <v>9.14</v>
      </c>
      <c r="AW28">
        <v>8.8800000000000008</v>
      </c>
    </row>
    <row r="29" spans="46:49" x14ac:dyDescent="0.2">
      <c r="AT29" s="418" t="s">
        <v>2021</v>
      </c>
      <c r="AU29">
        <v>9.02</v>
      </c>
      <c r="AV29">
        <v>9.19</v>
      </c>
      <c r="AW29">
        <v>9.02</v>
      </c>
    </row>
    <row r="30" spans="46:49" x14ac:dyDescent="0.2">
      <c r="AT30" s="418" t="s">
        <v>2021</v>
      </c>
      <c r="AU30">
        <v>9.01</v>
      </c>
      <c r="AV30">
        <v>9.15</v>
      </c>
      <c r="AW30">
        <v>9.01</v>
      </c>
    </row>
    <row r="31" spans="46:49" x14ac:dyDescent="0.2">
      <c r="AT31" s="418" t="s">
        <v>2021</v>
      </c>
      <c r="AU31">
        <v>8.99</v>
      </c>
      <c r="AV31">
        <v>9.1199999999999992</v>
      </c>
      <c r="AW31">
        <v>8.99</v>
      </c>
    </row>
    <row r="32" spans="46:49" x14ac:dyDescent="0.2">
      <c r="AT32" s="418" t="s">
        <v>2021</v>
      </c>
      <c r="AU32">
        <v>8.9499999999999993</v>
      </c>
      <c r="AV32">
        <v>9.0299999999999994</v>
      </c>
      <c r="AW32">
        <v>8.9499999999999993</v>
      </c>
    </row>
    <row r="33" spans="46:49" x14ac:dyDescent="0.2">
      <c r="AT33" s="418" t="s">
        <v>2021</v>
      </c>
      <c r="AU33">
        <v>8.86</v>
      </c>
      <c r="AV33">
        <v>8.92</v>
      </c>
      <c r="AW33">
        <v>8.86</v>
      </c>
    </row>
    <row r="34" spans="46:49" x14ac:dyDescent="0.2">
      <c r="AT34" s="418" t="s">
        <v>2021</v>
      </c>
      <c r="AU34">
        <v>8.86</v>
      </c>
      <c r="AV34">
        <v>8.91</v>
      </c>
      <c r="AW34">
        <v>8.86</v>
      </c>
    </row>
    <row r="35" spans="46:49" x14ac:dyDescent="0.2">
      <c r="AT35" s="418" t="s">
        <v>2021</v>
      </c>
      <c r="AU35">
        <v>8.92</v>
      </c>
      <c r="AV35">
        <v>8.98</v>
      </c>
      <c r="AW35">
        <v>8.92</v>
      </c>
    </row>
    <row r="36" spans="46:49" x14ac:dyDescent="0.2">
      <c r="AT36" s="418" t="s">
        <v>2020</v>
      </c>
      <c r="AU36">
        <v>8.99</v>
      </c>
      <c r="AV36">
        <v>9.09</v>
      </c>
      <c r="AW36">
        <v>8.99</v>
      </c>
    </row>
    <row r="37" spans="46:49" x14ac:dyDescent="0.2">
      <c r="AT37" s="418" t="s">
        <v>2020</v>
      </c>
      <c r="AU37">
        <v>9.02</v>
      </c>
      <c r="AV37">
        <v>9.1199999999999992</v>
      </c>
      <c r="AW37">
        <v>9.02</v>
      </c>
    </row>
    <row r="38" spans="46:49" x14ac:dyDescent="0.2">
      <c r="AT38" s="418" t="s">
        <v>2020</v>
      </c>
      <c r="AU38">
        <v>9.0500000000000007</v>
      </c>
      <c r="AV38">
        <v>9.15</v>
      </c>
      <c r="AW38">
        <v>9.0500000000000007</v>
      </c>
    </row>
    <row r="39" spans="46:49" x14ac:dyDescent="0.2">
      <c r="AT39" s="418" t="s">
        <v>2020</v>
      </c>
      <c r="AU39">
        <v>9.07</v>
      </c>
      <c r="AV39">
        <v>9.16</v>
      </c>
      <c r="AW39">
        <v>9.07</v>
      </c>
    </row>
    <row r="40" spans="46:49" x14ac:dyDescent="0.2">
      <c r="AT40" s="418" t="s">
        <v>2019</v>
      </c>
      <c r="AU40">
        <v>9.0500000000000007</v>
      </c>
      <c r="AV40">
        <v>9.1300000000000008</v>
      </c>
      <c r="AW40">
        <v>9.0500000000000007</v>
      </c>
    </row>
    <row r="41" spans="46:49" x14ac:dyDescent="0.2">
      <c r="AT41" s="418" t="s">
        <v>2019</v>
      </c>
      <c r="AU41">
        <v>9.07</v>
      </c>
      <c r="AV41">
        <v>9.16</v>
      </c>
      <c r="AW41">
        <v>9.07</v>
      </c>
    </row>
    <row r="42" spans="46:49" x14ac:dyDescent="0.2">
      <c r="AT42" s="418" t="s">
        <v>2019</v>
      </c>
      <c r="AU42">
        <v>9.06</v>
      </c>
      <c r="AV42">
        <v>9.16</v>
      </c>
      <c r="AW42">
        <v>9.06</v>
      </c>
    </row>
    <row r="43" spans="46:49" x14ac:dyDescent="0.2">
      <c r="AT43" s="418" t="s">
        <v>2019</v>
      </c>
      <c r="AU43">
        <v>9.02</v>
      </c>
      <c r="AV43">
        <v>9.1</v>
      </c>
      <c r="AW43">
        <v>9.02</v>
      </c>
    </row>
    <row r="44" spans="46:49" x14ac:dyDescent="0.2">
      <c r="AT44" s="418" t="s">
        <v>2018</v>
      </c>
      <c r="AU44">
        <v>8.98</v>
      </c>
      <c r="AV44">
        <v>9.0399999999999991</v>
      </c>
      <c r="AW44">
        <v>8.98</v>
      </c>
    </row>
    <row r="45" spans="46:49" x14ac:dyDescent="0.2">
      <c r="AT45" s="418" t="s">
        <v>2018</v>
      </c>
      <c r="AU45">
        <v>8.94</v>
      </c>
      <c r="AV45">
        <v>9</v>
      </c>
      <c r="AW45">
        <v>8.94</v>
      </c>
    </row>
    <row r="46" spans="46:49" x14ac:dyDescent="0.2">
      <c r="AT46" s="418" t="s">
        <v>2018</v>
      </c>
      <c r="AU46">
        <v>8.92</v>
      </c>
      <c r="AV46">
        <v>8.9600000000000009</v>
      </c>
      <c r="AW46">
        <v>8.92</v>
      </c>
    </row>
    <row r="47" spans="46:49" x14ac:dyDescent="0.2">
      <c r="AT47" s="418" t="s">
        <v>2018</v>
      </c>
      <c r="AU47">
        <v>8.8699999999999992</v>
      </c>
      <c r="AV47">
        <v>8.92</v>
      </c>
      <c r="AW47">
        <v>8.8699999999999992</v>
      </c>
    </row>
    <row r="48" spans="46:49" x14ac:dyDescent="0.2">
      <c r="AT48" s="418" t="s">
        <v>2017</v>
      </c>
      <c r="AU48">
        <v>8.8800000000000008</v>
      </c>
      <c r="AV48">
        <v>8.93</v>
      </c>
      <c r="AW48">
        <v>8.8800000000000008</v>
      </c>
    </row>
    <row r="49" spans="46:49" x14ac:dyDescent="0.2">
      <c r="AT49" s="418" t="s">
        <v>2017</v>
      </c>
      <c r="AU49">
        <v>8.8699999999999992</v>
      </c>
      <c r="AV49">
        <v>8.92</v>
      </c>
      <c r="AW49">
        <v>8.86</v>
      </c>
    </row>
    <row r="50" spans="46:49" x14ac:dyDescent="0.2">
      <c r="AT50" s="418" t="s">
        <v>2016</v>
      </c>
      <c r="AU50">
        <v>8.86</v>
      </c>
      <c r="AV50">
        <v>8.9</v>
      </c>
      <c r="AW50">
        <v>8.84</v>
      </c>
    </row>
    <row r="51" spans="46:49" x14ac:dyDescent="0.2">
      <c r="AT51" s="418" t="s">
        <v>2016</v>
      </c>
      <c r="AU51">
        <v>8.8000000000000007</v>
      </c>
      <c r="AV51">
        <v>8.83</v>
      </c>
      <c r="AW51">
        <v>8.76</v>
      </c>
    </row>
    <row r="52" spans="46:49" x14ac:dyDescent="0.2">
      <c r="AT52" s="418" t="s">
        <v>2015</v>
      </c>
      <c r="AU52">
        <v>8.81</v>
      </c>
      <c r="AV52">
        <v>8.85</v>
      </c>
      <c r="AW52">
        <v>8.7799999999999994</v>
      </c>
    </row>
    <row r="53" spans="46:49" x14ac:dyDescent="0.2">
      <c r="AT53" s="418" t="s">
        <v>2015</v>
      </c>
      <c r="AU53">
        <v>8.77</v>
      </c>
      <c r="AV53">
        <v>8.8000000000000007</v>
      </c>
      <c r="AW53">
        <v>8.74</v>
      </c>
    </row>
    <row r="54" spans="46:49" x14ac:dyDescent="0.2">
      <c r="AT54" s="418" t="s">
        <v>2014</v>
      </c>
      <c r="AU54">
        <v>8.7799999999999994</v>
      </c>
      <c r="AV54">
        <v>8.82</v>
      </c>
      <c r="AW54">
        <v>8.75</v>
      </c>
    </row>
    <row r="55" spans="46:49" x14ac:dyDescent="0.2">
      <c r="AT55" s="418" t="s">
        <v>2014</v>
      </c>
      <c r="AU55">
        <v>8.7799999999999994</v>
      </c>
      <c r="AV55">
        <v>8.82</v>
      </c>
      <c r="AW55">
        <v>8.73</v>
      </c>
    </row>
    <row r="56" spans="46:49" x14ac:dyDescent="0.2">
      <c r="AT56" s="418" t="s">
        <v>2014</v>
      </c>
      <c r="AU56">
        <v>8.76</v>
      </c>
      <c r="AV56">
        <v>8.7899999999999991</v>
      </c>
      <c r="AW56">
        <v>8.65</v>
      </c>
    </row>
    <row r="57" spans="46:49" x14ac:dyDescent="0.2">
      <c r="AT57" s="418" t="s">
        <v>2013</v>
      </c>
      <c r="AU57">
        <v>8.7200000000000006</v>
      </c>
      <c r="AV57">
        <v>8.75</v>
      </c>
      <c r="AW57">
        <v>8.58</v>
      </c>
    </row>
    <row r="58" spans="46:49" x14ac:dyDescent="0.2">
      <c r="AT58" s="418" t="s">
        <v>2013</v>
      </c>
      <c r="AU58">
        <v>8.74</v>
      </c>
      <c r="AV58">
        <v>8.77</v>
      </c>
      <c r="AW58">
        <v>8.56</v>
      </c>
    </row>
    <row r="59" spans="46:49" x14ac:dyDescent="0.2">
      <c r="AT59" s="418" t="s">
        <v>2013</v>
      </c>
      <c r="AU59">
        <v>8.74</v>
      </c>
      <c r="AV59">
        <v>8.77</v>
      </c>
      <c r="AW59">
        <v>8.5399999999999991</v>
      </c>
    </row>
    <row r="60" spans="46:49" x14ac:dyDescent="0.2">
      <c r="AT60" s="418" t="s">
        <v>2012</v>
      </c>
      <c r="AU60">
        <v>8.73</v>
      </c>
      <c r="AV60">
        <v>8.76</v>
      </c>
      <c r="AW60">
        <v>8.5299999999999994</v>
      </c>
    </row>
    <row r="61" spans="46:49" x14ac:dyDescent="0.2">
      <c r="AT61" s="418" t="s">
        <v>2012</v>
      </c>
      <c r="AU61">
        <v>8.73</v>
      </c>
      <c r="AV61">
        <v>8.76</v>
      </c>
      <c r="AW61">
        <v>8.5</v>
      </c>
    </row>
    <row r="62" spans="46:49" x14ac:dyDescent="0.2">
      <c r="AT62" s="418" t="s">
        <v>2011</v>
      </c>
      <c r="AU62">
        <v>8.7200000000000006</v>
      </c>
      <c r="AV62">
        <v>8.74</v>
      </c>
      <c r="AW62">
        <v>8.4700000000000006</v>
      </c>
    </row>
    <row r="63" spans="46:49" x14ac:dyDescent="0.2">
      <c r="AT63" s="418" t="s">
        <v>2011</v>
      </c>
      <c r="AU63">
        <v>8.7200000000000006</v>
      </c>
      <c r="AV63">
        <v>8.74</v>
      </c>
      <c r="AW63">
        <v>8.49</v>
      </c>
    </row>
    <row r="64" spans="46:49" x14ac:dyDescent="0.2">
      <c r="AT64" s="418" t="s">
        <v>2011</v>
      </c>
      <c r="AU64">
        <v>8.77</v>
      </c>
      <c r="AV64">
        <v>8.8000000000000007</v>
      </c>
      <c r="AW64">
        <v>8.6</v>
      </c>
    </row>
    <row r="65" spans="46:49" x14ac:dyDescent="0.2">
      <c r="AT65" s="418" t="s">
        <v>2010</v>
      </c>
      <c r="AU65">
        <v>8.77</v>
      </c>
      <c r="AV65">
        <v>8.7899999999999991</v>
      </c>
      <c r="AW65">
        <v>8.61</v>
      </c>
    </row>
    <row r="66" spans="46:49" x14ac:dyDescent="0.2">
      <c r="AT66" s="418" t="s">
        <v>2010</v>
      </c>
      <c r="AU66">
        <v>8.75</v>
      </c>
      <c r="AV66">
        <v>8.7799999999999994</v>
      </c>
      <c r="AW66">
        <v>8.59</v>
      </c>
    </row>
    <row r="67" spans="46:49" x14ac:dyDescent="0.2">
      <c r="AT67" s="418" t="s">
        <v>2009</v>
      </c>
      <c r="AU67">
        <v>8.75</v>
      </c>
      <c r="AV67">
        <v>8.7799999999999994</v>
      </c>
      <c r="AW67">
        <v>8.6300000000000008</v>
      </c>
    </row>
    <row r="68" spans="46:49" x14ac:dyDescent="0.2">
      <c r="AT68" s="418" t="s">
        <v>2008</v>
      </c>
      <c r="AU68">
        <v>8.73</v>
      </c>
      <c r="AV68">
        <v>8.75</v>
      </c>
      <c r="AW68">
        <v>8.57</v>
      </c>
    </row>
    <row r="69" spans="46:49" x14ac:dyDescent="0.2">
      <c r="AT69" s="418" t="s">
        <v>2008</v>
      </c>
      <c r="AU69">
        <v>8.73</v>
      </c>
      <c r="AV69">
        <v>8.76</v>
      </c>
      <c r="AW69">
        <v>8.58</v>
      </c>
    </row>
    <row r="70" spans="46:49" x14ac:dyDescent="0.2">
      <c r="AT70" s="418" t="s">
        <v>2007</v>
      </c>
      <c r="AU70">
        <v>8.69</v>
      </c>
      <c r="AV70">
        <v>8.7200000000000006</v>
      </c>
      <c r="AW70">
        <v>8.5</v>
      </c>
    </row>
    <row r="71" spans="46:49" x14ac:dyDescent="0.2">
      <c r="AT71" s="418" t="s">
        <v>2007</v>
      </c>
      <c r="AU71">
        <v>8.7200000000000006</v>
      </c>
      <c r="AV71">
        <v>8.75</v>
      </c>
      <c r="AW71">
        <v>8.6300000000000008</v>
      </c>
    </row>
    <row r="72" spans="46:49" x14ac:dyDescent="0.2">
      <c r="AT72" s="418" t="s">
        <v>2006</v>
      </c>
      <c r="AU72">
        <v>8.7100000000000009</v>
      </c>
      <c r="AV72">
        <v>8.73</v>
      </c>
      <c r="AW72">
        <v>8.58</v>
      </c>
    </row>
    <row r="73" spans="46:49" x14ac:dyDescent="0.2">
      <c r="AT73" s="418" t="s">
        <v>2005</v>
      </c>
      <c r="AU73">
        <v>8.7200000000000006</v>
      </c>
      <c r="AV73">
        <v>8.74</v>
      </c>
      <c r="AW73">
        <v>8.64</v>
      </c>
    </row>
    <row r="74" spans="46:49" x14ac:dyDescent="0.2">
      <c r="AT74" s="418" t="s">
        <v>2005</v>
      </c>
      <c r="AU74">
        <v>8.7100000000000009</v>
      </c>
      <c r="AV74">
        <v>8.74</v>
      </c>
      <c r="AW74">
        <v>8.6199999999999992</v>
      </c>
    </row>
    <row r="75" spans="46:49" x14ac:dyDescent="0.2">
      <c r="AT75" s="418" t="s">
        <v>2004</v>
      </c>
      <c r="AU75">
        <v>8.73</v>
      </c>
      <c r="AV75">
        <v>8.76</v>
      </c>
      <c r="AW75">
        <v>8.67</v>
      </c>
    </row>
    <row r="76" spans="46:49" x14ac:dyDescent="0.2">
      <c r="AT76" s="418" t="s">
        <v>2004</v>
      </c>
      <c r="AU76">
        <v>8.75</v>
      </c>
      <c r="AV76">
        <v>8.7899999999999991</v>
      </c>
      <c r="AW76">
        <v>8.74</v>
      </c>
    </row>
    <row r="77" spans="46:49" x14ac:dyDescent="0.2">
      <c r="AT77" s="418" t="s">
        <v>2003</v>
      </c>
      <c r="AU77">
        <v>8.75</v>
      </c>
      <c r="AV77">
        <v>8.7899999999999991</v>
      </c>
      <c r="AW77">
        <v>8.7899999999999991</v>
      </c>
    </row>
    <row r="78" spans="46:49" x14ac:dyDescent="0.2">
      <c r="AT78" s="418" t="s">
        <v>2002</v>
      </c>
      <c r="AU78">
        <v>8.75</v>
      </c>
      <c r="AV78">
        <v>8.7899999999999991</v>
      </c>
      <c r="AW78">
        <v>8.7799999999999994</v>
      </c>
    </row>
    <row r="79" spans="46:49" x14ac:dyDescent="0.2">
      <c r="AT79" s="418" t="s">
        <v>2001</v>
      </c>
      <c r="AU79">
        <v>8.77</v>
      </c>
      <c r="AV79">
        <v>8.8000000000000007</v>
      </c>
      <c r="AW79">
        <v>8.81</v>
      </c>
    </row>
    <row r="80" spans="46:49" x14ac:dyDescent="0.2">
      <c r="AT80" s="418" t="s">
        <v>2001</v>
      </c>
      <c r="AU80">
        <v>8.76</v>
      </c>
      <c r="AV80">
        <v>8.8000000000000007</v>
      </c>
      <c r="AW80">
        <v>8.82</v>
      </c>
    </row>
    <row r="81" spans="46:49" x14ac:dyDescent="0.2">
      <c r="AT81" s="418" t="s">
        <v>2000</v>
      </c>
      <c r="AU81">
        <v>8.76</v>
      </c>
      <c r="AV81">
        <v>8.7899999999999991</v>
      </c>
      <c r="AW81">
        <v>8.8000000000000007</v>
      </c>
    </row>
    <row r="82" spans="46:49" x14ac:dyDescent="0.2">
      <c r="AT82" s="418" t="s">
        <v>1999</v>
      </c>
      <c r="AU82">
        <v>8.76</v>
      </c>
      <c r="AV82">
        <v>8.7899999999999991</v>
      </c>
      <c r="AW82">
        <v>8.83</v>
      </c>
    </row>
    <row r="83" spans="46:49" x14ac:dyDescent="0.2">
      <c r="AT83" s="418" t="s">
        <v>1998</v>
      </c>
      <c r="AU83">
        <v>8.76</v>
      </c>
      <c r="AV83">
        <v>8.7899999999999991</v>
      </c>
      <c r="AW83">
        <v>8.83</v>
      </c>
    </row>
    <row r="84" spans="46:49" x14ac:dyDescent="0.2">
      <c r="AT84" s="418" t="s">
        <v>1998</v>
      </c>
      <c r="AU84">
        <v>8.76</v>
      </c>
      <c r="AV84">
        <v>8.7899999999999991</v>
      </c>
      <c r="AW84">
        <v>8.73</v>
      </c>
    </row>
    <row r="85" spans="46:49" x14ac:dyDescent="0.2">
      <c r="AT85" s="418" t="s">
        <v>1997</v>
      </c>
      <c r="AU85">
        <v>8.76</v>
      </c>
      <c r="AV85">
        <v>8.7899999999999991</v>
      </c>
      <c r="AW85">
        <v>8.74</v>
      </c>
    </row>
    <row r="86" spans="46:49" x14ac:dyDescent="0.2">
      <c r="AT86" s="418" t="s">
        <v>1996</v>
      </c>
      <c r="AU86">
        <v>8.76</v>
      </c>
      <c r="AV86">
        <v>8.8000000000000007</v>
      </c>
      <c r="AW86">
        <v>8.7799999999999994</v>
      </c>
    </row>
    <row r="87" spans="46:49" x14ac:dyDescent="0.2">
      <c r="AT87" s="418" t="s">
        <v>1995</v>
      </c>
      <c r="AU87">
        <v>8.76</v>
      </c>
      <c r="AV87">
        <v>8.7899999999999991</v>
      </c>
      <c r="AW87">
        <v>8.77</v>
      </c>
    </row>
    <row r="88" spans="46:49" x14ac:dyDescent="0.2">
      <c r="AT88" s="418" t="s">
        <v>1995</v>
      </c>
      <c r="AU88">
        <v>8.74</v>
      </c>
      <c r="AV88">
        <v>8.77</v>
      </c>
      <c r="AW88">
        <v>8.7799999999999994</v>
      </c>
    </row>
    <row r="89" spans="46:49" x14ac:dyDescent="0.2">
      <c r="AT89" s="418" t="s">
        <v>1994</v>
      </c>
      <c r="AU89">
        <v>8.74</v>
      </c>
      <c r="AV89">
        <v>8.77</v>
      </c>
      <c r="AW89">
        <v>8.77</v>
      </c>
    </row>
    <row r="90" spans="46:49" x14ac:dyDescent="0.2">
      <c r="AT90" s="418" t="s">
        <v>1993</v>
      </c>
      <c r="AU90">
        <v>8.75</v>
      </c>
      <c r="AV90">
        <v>8.7799999999999994</v>
      </c>
      <c r="AW90">
        <v>8.8699999999999992</v>
      </c>
    </row>
    <row r="91" spans="46:49" x14ac:dyDescent="0.2">
      <c r="AT91" s="418" t="s">
        <v>1993</v>
      </c>
      <c r="AU91">
        <v>8.73</v>
      </c>
      <c r="AV91">
        <v>8.76</v>
      </c>
      <c r="AW91">
        <v>8.75</v>
      </c>
    </row>
    <row r="92" spans="46:49" x14ac:dyDescent="0.2">
      <c r="AT92" s="418" t="s">
        <v>1992</v>
      </c>
      <c r="AU92">
        <v>8.73</v>
      </c>
      <c r="AV92">
        <v>8.76</v>
      </c>
      <c r="AW92">
        <v>8.7899999999999991</v>
      </c>
    </row>
    <row r="93" spans="46:49" x14ac:dyDescent="0.2">
      <c r="AT93" s="418" t="s">
        <v>1991</v>
      </c>
      <c r="AU93">
        <v>8.74</v>
      </c>
      <c r="AV93">
        <v>8.77</v>
      </c>
      <c r="AW93">
        <v>8.8000000000000007</v>
      </c>
    </row>
    <row r="94" spans="46:49" x14ac:dyDescent="0.2">
      <c r="AT94" s="418" t="s">
        <v>1990</v>
      </c>
      <c r="AU94">
        <v>8.74</v>
      </c>
      <c r="AV94">
        <v>8.76</v>
      </c>
      <c r="AW94">
        <v>8.7899999999999991</v>
      </c>
    </row>
    <row r="95" spans="46:49" x14ac:dyDescent="0.2">
      <c r="AT95" s="418" t="s">
        <v>1990</v>
      </c>
      <c r="AU95">
        <v>8.76</v>
      </c>
      <c r="AV95">
        <v>8.7899999999999991</v>
      </c>
      <c r="AW95">
        <v>8.81</v>
      </c>
    </row>
    <row r="96" spans="46:49" x14ac:dyDescent="0.2">
      <c r="AT96" s="418" t="s">
        <v>1989</v>
      </c>
      <c r="AU96">
        <v>8.76</v>
      </c>
      <c r="AV96">
        <v>8.7899999999999991</v>
      </c>
      <c r="AW96">
        <v>8.7799999999999994</v>
      </c>
    </row>
    <row r="97" spans="46:49" x14ac:dyDescent="0.2">
      <c r="AT97" s="418" t="s">
        <v>1988</v>
      </c>
      <c r="AU97">
        <v>8.76</v>
      </c>
      <c r="AV97">
        <v>8.7899999999999991</v>
      </c>
      <c r="AW97">
        <v>8.77</v>
      </c>
    </row>
    <row r="98" spans="46:49" x14ac:dyDescent="0.2">
      <c r="AT98" s="418" t="s">
        <v>1987</v>
      </c>
      <c r="AU98">
        <v>8.77</v>
      </c>
      <c r="AV98">
        <v>8.8000000000000007</v>
      </c>
      <c r="AW98">
        <v>8.8000000000000007</v>
      </c>
    </row>
    <row r="99" spans="46:49" x14ac:dyDescent="0.2">
      <c r="AT99" s="418" t="s">
        <v>1987</v>
      </c>
      <c r="AU99">
        <v>8.75</v>
      </c>
      <c r="AV99">
        <v>8.7899999999999991</v>
      </c>
      <c r="AW99">
        <v>8.7200000000000006</v>
      </c>
    </row>
    <row r="100" spans="46:49" x14ac:dyDescent="0.2">
      <c r="AT100" s="418" t="s">
        <v>1987</v>
      </c>
      <c r="AU100">
        <v>8.75</v>
      </c>
      <c r="AV100">
        <v>8.7899999999999991</v>
      </c>
      <c r="AW100">
        <v>8.7200000000000006</v>
      </c>
    </row>
    <row r="101" spans="46:49" x14ac:dyDescent="0.2">
      <c r="AT101" s="418" t="s">
        <v>1987</v>
      </c>
      <c r="AU101">
        <v>8.75</v>
      </c>
      <c r="AV101">
        <v>8.7799999999999994</v>
      </c>
      <c r="AW101">
        <v>8.7200000000000006</v>
      </c>
    </row>
    <row r="102" spans="46:49" x14ac:dyDescent="0.2">
      <c r="AT102" s="418" t="s">
        <v>1987</v>
      </c>
      <c r="AU102">
        <v>8.75</v>
      </c>
      <c r="AV102">
        <v>8.7799999999999994</v>
      </c>
      <c r="AW102">
        <v>8.7200000000000006</v>
      </c>
    </row>
    <row r="103" spans="46:49" x14ac:dyDescent="0.2">
      <c r="AT103" s="418" t="s">
        <v>1986</v>
      </c>
      <c r="AU103">
        <v>8.76</v>
      </c>
      <c r="AV103">
        <v>8.7899999999999991</v>
      </c>
      <c r="AW103">
        <v>8.75</v>
      </c>
    </row>
    <row r="104" spans="46:49" x14ac:dyDescent="0.2">
      <c r="AT104" s="418" t="s">
        <v>1986</v>
      </c>
      <c r="AU104">
        <v>8.75</v>
      </c>
      <c r="AV104">
        <v>8.7799999999999994</v>
      </c>
      <c r="AW104">
        <v>8.75</v>
      </c>
    </row>
    <row r="105" spans="46:49" x14ac:dyDescent="0.2">
      <c r="AT105" s="418" t="s">
        <v>1986</v>
      </c>
      <c r="AU105">
        <v>8.75</v>
      </c>
      <c r="AV105">
        <v>8.7799999999999994</v>
      </c>
      <c r="AW105">
        <v>8.73</v>
      </c>
    </row>
    <row r="106" spans="46:49" x14ac:dyDescent="0.2">
      <c r="AT106" s="418" t="s">
        <v>1985</v>
      </c>
      <c r="AU106">
        <v>8.75</v>
      </c>
      <c r="AV106">
        <v>8.77</v>
      </c>
      <c r="AW106">
        <v>8.69</v>
      </c>
    </row>
    <row r="107" spans="46:49" x14ac:dyDescent="0.2">
      <c r="AT107" s="418" t="s">
        <v>1984</v>
      </c>
      <c r="AU107">
        <v>8.75</v>
      </c>
      <c r="AV107">
        <v>8.7799999999999994</v>
      </c>
      <c r="AW107">
        <v>8.7200000000000006</v>
      </c>
    </row>
    <row r="108" spans="46:49" x14ac:dyDescent="0.2">
      <c r="AT108" s="418" t="s">
        <v>1984</v>
      </c>
      <c r="AU108">
        <v>8.75</v>
      </c>
      <c r="AV108">
        <v>8.77</v>
      </c>
      <c r="AW108">
        <v>8.76</v>
      </c>
    </row>
    <row r="109" spans="46:49" x14ac:dyDescent="0.2">
      <c r="AT109" s="418" t="s">
        <v>1983</v>
      </c>
      <c r="AU109">
        <v>8.75</v>
      </c>
      <c r="AV109">
        <v>8.77</v>
      </c>
      <c r="AW109">
        <v>8.75</v>
      </c>
    </row>
    <row r="110" spans="46:49" x14ac:dyDescent="0.2">
      <c r="AT110" s="418" t="s">
        <v>1982</v>
      </c>
      <c r="AU110">
        <v>8.75</v>
      </c>
      <c r="AV110">
        <v>8.77</v>
      </c>
      <c r="AW110">
        <v>8.73</v>
      </c>
    </row>
    <row r="111" spans="46:49" x14ac:dyDescent="0.2">
      <c r="AT111" s="418" t="s">
        <v>1981</v>
      </c>
      <c r="AU111">
        <v>8.75</v>
      </c>
      <c r="AV111">
        <v>8.77</v>
      </c>
      <c r="AW111">
        <v>8.8000000000000007</v>
      </c>
    </row>
    <row r="112" spans="46:49" x14ac:dyDescent="0.2">
      <c r="AT112" s="418" t="s">
        <v>1981</v>
      </c>
      <c r="AU112">
        <v>8.75</v>
      </c>
      <c r="AV112">
        <v>8.77</v>
      </c>
      <c r="AW112">
        <v>8.8000000000000007</v>
      </c>
    </row>
    <row r="113" spans="46:49" x14ac:dyDescent="0.2">
      <c r="AT113" s="418" t="s">
        <v>1980</v>
      </c>
      <c r="AU113">
        <v>8.74</v>
      </c>
      <c r="AV113">
        <v>8.76</v>
      </c>
      <c r="AW113">
        <v>8.74</v>
      </c>
    </row>
    <row r="114" spans="46:49" x14ac:dyDescent="0.2">
      <c r="AT114" s="418" t="s">
        <v>1980</v>
      </c>
      <c r="AU114">
        <v>8.74</v>
      </c>
      <c r="AV114">
        <v>8.76</v>
      </c>
      <c r="AW114">
        <v>8.75</v>
      </c>
    </row>
    <row r="115" spans="46:49" x14ac:dyDescent="0.2">
      <c r="AT115" s="418" t="s">
        <v>1979</v>
      </c>
      <c r="AU115">
        <v>8.74</v>
      </c>
      <c r="AV115">
        <v>8.76</v>
      </c>
      <c r="AW115">
        <v>8.6999999999999993</v>
      </c>
    </row>
    <row r="116" spans="46:49" x14ac:dyDescent="0.2">
      <c r="AT116" s="418" t="s">
        <v>1978</v>
      </c>
      <c r="AU116">
        <v>8.74</v>
      </c>
      <c r="AV116">
        <v>8.76</v>
      </c>
      <c r="AW116">
        <v>8.69</v>
      </c>
    </row>
    <row r="117" spans="46:49" x14ac:dyDescent="0.2">
      <c r="AT117" s="418" t="s">
        <v>1977</v>
      </c>
      <c r="AU117">
        <v>8.74</v>
      </c>
      <c r="AV117">
        <v>8.76</v>
      </c>
      <c r="AW117">
        <v>8.6999999999999993</v>
      </c>
    </row>
    <row r="118" spans="46:49" x14ac:dyDescent="0.2">
      <c r="AT118" s="418" t="s">
        <v>1976</v>
      </c>
      <c r="AU118">
        <v>8.74</v>
      </c>
      <c r="AV118">
        <v>8.76</v>
      </c>
      <c r="AW118">
        <v>8.67</v>
      </c>
    </row>
    <row r="119" spans="46:49" x14ac:dyDescent="0.2">
      <c r="AT119" s="418" t="s">
        <v>1975</v>
      </c>
      <c r="AU119">
        <v>8.75</v>
      </c>
      <c r="AV119">
        <v>8.77</v>
      </c>
      <c r="AW119">
        <v>8.7200000000000006</v>
      </c>
    </row>
    <row r="120" spans="46:49" x14ac:dyDescent="0.2">
      <c r="AT120" s="418" t="s">
        <v>1975</v>
      </c>
      <c r="AU120">
        <v>8.75</v>
      </c>
      <c r="AV120">
        <v>8.76</v>
      </c>
      <c r="AW120">
        <v>8.7200000000000006</v>
      </c>
    </row>
    <row r="121" spans="46:49" x14ac:dyDescent="0.2">
      <c r="AT121" s="418" t="s">
        <v>1974</v>
      </c>
      <c r="AU121">
        <v>8.74</v>
      </c>
      <c r="AV121">
        <v>8.75</v>
      </c>
      <c r="AW121">
        <v>8.69</v>
      </c>
    </row>
    <row r="122" spans="46:49" x14ac:dyDescent="0.2">
      <c r="AT122" s="418" t="s">
        <v>1973</v>
      </c>
      <c r="AU122">
        <v>8.75</v>
      </c>
      <c r="AV122">
        <v>8.77</v>
      </c>
      <c r="AW122">
        <v>8.74</v>
      </c>
    </row>
    <row r="123" spans="46:49" x14ac:dyDescent="0.2">
      <c r="AT123" s="418" t="s">
        <v>1973</v>
      </c>
      <c r="AU123">
        <v>8.74</v>
      </c>
      <c r="AV123">
        <v>8.77</v>
      </c>
      <c r="AW123">
        <v>8.6999999999999993</v>
      </c>
    </row>
    <row r="124" spans="46:49" x14ac:dyDescent="0.2">
      <c r="AT124" s="418" t="s">
        <v>1973</v>
      </c>
      <c r="AU124">
        <v>8.75</v>
      </c>
      <c r="AV124">
        <v>8.77</v>
      </c>
      <c r="AW124">
        <v>8.73</v>
      </c>
    </row>
    <row r="125" spans="46:49" x14ac:dyDescent="0.2">
      <c r="AT125" s="418" t="s">
        <v>1973</v>
      </c>
      <c r="AU125">
        <v>8.75</v>
      </c>
      <c r="AV125">
        <v>8.77</v>
      </c>
      <c r="AW125">
        <v>8.73</v>
      </c>
    </row>
    <row r="126" spans="46:49" x14ac:dyDescent="0.2">
      <c r="AT126" s="418" t="s">
        <v>1972</v>
      </c>
      <c r="AU126">
        <v>8.75</v>
      </c>
      <c r="AV126">
        <v>8.77</v>
      </c>
      <c r="AW126">
        <v>8.77</v>
      </c>
    </row>
    <row r="127" spans="46:49" x14ac:dyDescent="0.2">
      <c r="AT127" s="418" t="s">
        <v>1972</v>
      </c>
      <c r="AU127">
        <v>8.75</v>
      </c>
      <c r="AV127">
        <v>8.77</v>
      </c>
      <c r="AW127">
        <v>8.75</v>
      </c>
    </row>
    <row r="128" spans="46:49" x14ac:dyDescent="0.2">
      <c r="AT128" s="418" t="s">
        <v>1971</v>
      </c>
      <c r="AU128">
        <v>8.75</v>
      </c>
      <c r="AV128">
        <v>8.77</v>
      </c>
      <c r="AW128">
        <v>8.75</v>
      </c>
    </row>
    <row r="129" spans="46:49" x14ac:dyDescent="0.2">
      <c r="AT129" s="418" t="s">
        <v>1970</v>
      </c>
      <c r="AU129">
        <v>8.75</v>
      </c>
      <c r="AV129">
        <v>8.76</v>
      </c>
      <c r="AW129">
        <v>8.75</v>
      </c>
    </row>
    <row r="130" spans="46:49" x14ac:dyDescent="0.2">
      <c r="AT130" s="418" t="s">
        <v>1969</v>
      </c>
      <c r="AU130">
        <v>8.75</v>
      </c>
      <c r="AV130">
        <v>8.76</v>
      </c>
      <c r="AW130">
        <v>8.75</v>
      </c>
    </row>
    <row r="131" spans="46:49" x14ac:dyDescent="0.2">
      <c r="AT131" s="418" t="s">
        <v>1968</v>
      </c>
      <c r="AU131">
        <v>8.75</v>
      </c>
      <c r="AV131">
        <v>8.76</v>
      </c>
      <c r="AW131">
        <v>8.75</v>
      </c>
    </row>
    <row r="132" spans="46:49" x14ac:dyDescent="0.2">
      <c r="AT132" s="418" t="s">
        <v>1968</v>
      </c>
      <c r="AU132">
        <v>8.75</v>
      </c>
      <c r="AV132">
        <v>8.76</v>
      </c>
      <c r="AW132">
        <v>8.75</v>
      </c>
    </row>
    <row r="133" spans="46:49" x14ac:dyDescent="0.2">
      <c r="AT133" s="418" t="s">
        <v>1967</v>
      </c>
      <c r="AU133">
        <v>8.75</v>
      </c>
      <c r="AV133">
        <v>8.76</v>
      </c>
      <c r="AW133">
        <v>8.77</v>
      </c>
    </row>
    <row r="134" spans="46:49" x14ac:dyDescent="0.2">
      <c r="AT134" s="418" t="s">
        <v>1966</v>
      </c>
      <c r="AU134">
        <v>8.74</v>
      </c>
      <c r="AV134">
        <v>8.76</v>
      </c>
      <c r="AW134">
        <v>8.75</v>
      </c>
    </row>
    <row r="135" spans="46:49" x14ac:dyDescent="0.2">
      <c r="AT135" s="418" t="s">
        <v>1965</v>
      </c>
      <c r="AU135">
        <v>8.75</v>
      </c>
      <c r="AV135">
        <v>8.76</v>
      </c>
      <c r="AW135">
        <v>8.76</v>
      </c>
    </row>
    <row r="136" spans="46:49" x14ac:dyDescent="0.2">
      <c r="AT136" s="418" t="s">
        <v>1965</v>
      </c>
      <c r="AU136">
        <v>8.74</v>
      </c>
      <c r="AV136">
        <v>8.75</v>
      </c>
      <c r="AW136">
        <v>8.73</v>
      </c>
    </row>
    <row r="137" spans="46:49" x14ac:dyDescent="0.2">
      <c r="AT137" s="418" t="s">
        <v>1965</v>
      </c>
      <c r="AU137">
        <v>8.74</v>
      </c>
      <c r="AV137">
        <v>8.75</v>
      </c>
      <c r="AW137">
        <v>8.7200000000000006</v>
      </c>
    </row>
    <row r="138" spans="46:49" x14ac:dyDescent="0.2">
      <c r="AT138" s="418" t="s">
        <v>1964</v>
      </c>
      <c r="AU138">
        <v>8.74</v>
      </c>
      <c r="AV138">
        <v>8.75</v>
      </c>
      <c r="AW138">
        <v>8.7200000000000006</v>
      </c>
    </row>
    <row r="139" spans="46:49" x14ac:dyDescent="0.2">
      <c r="AT139" s="418" t="s">
        <v>1964</v>
      </c>
      <c r="AU139">
        <v>8.6999999999999993</v>
      </c>
      <c r="AV139">
        <v>8.6999999999999993</v>
      </c>
      <c r="AW139">
        <v>8.4600000000000009</v>
      </c>
    </row>
    <row r="140" spans="46:49" x14ac:dyDescent="0.2">
      <c r="AT140" s="418" t="s">
        <v>1963</v>
      </c>
      <c r="AU140">
        <v>8.6999999999999993</v>
      </c>
      <c r="AV140">
        <v>8.7100000000000009</v>
      </c>
      <c r="AW140">
        <v>8.4700000000000006</v>
      </c>
    </row>
    <row r="141" spans="46:49" x14ac:dyDescent="0.2">
      <c r="AT141" s="418" t="s">
        <v>1963</v>
      </c>
      <c r="AU141">
        <v>8.69</v>
      </c>
      <c r="AV141">
        <v>8.6999999999999993</v>
      </c>
      <c r="AW141">
        <v>8.49</v>
      </c>
    </row>
    <row r="142" spans="46:49" x14ac:dyDescent="0.2">
      <c r="AT142" s="418" t="s">
        <v>1962</v>
      </c>
      <c r="AU142">
        <v>8.69</v>
      </c>
      <c r="AV142">
        <v>8.6999999999999993</v>
      </c>
      <c r="AW142">
        <v>8.41</v>
      </c>
    </row>
    <row r="143" spans="46:49" x14ac:dyDescent="0.2">
      <c r="AT143" s="418" t="s">
        <v>1961</v>
      </c>
      <c r="AU143">
        <v>8.69</v>
      </c>
      <c r="AV143">
        <v>8.6999999999999993</v>
      </c>
      <c r="AW143">
        <v>8.44</v>
      </c>
    </row>
    <row r="144" spans="46:49" x14ac:dyDescent="0.2">
      <c r="AT144" s="418" t="s">
        <v>1961</v>
      </c>
      <c r="AU144">
        <v>8.69</v>
      </c>
      <c r="AV144">
        <v>8.6999999999999993</v>
      </c>
      <c r="AW144">
        <v>8.42</v>
      </c>
    </row>
    <row r="145" spans="46:49" x14ac:dyDescent="0.2">
      <c r="AT145" s="418" t="s">
        <v>1960</v>
      </c>
      <c r="AU145">
        <v>8.69</v>
      </c>
      <c r="AV145">
        <v>8.69</v>
      </c>
      <c r="AW145">
        <v>8.39</v>
      </c>
    </row>
    <row r="146" spans="46:49" x14ac:dyDescent="0.2">
      <c r="AT146" s="418" t="s">
        <v>1960</v>
      </c>
      <c r="AU146">
        <v>8.68</v>
      </c>
      <c r="AV146">
        <v>8.68</v>
      </c>
      <c r="AW146">
        <v>8.31</v>
      </c>
    </row>
    <row r="147" spans="46:49" x14ac:dyDescent="0.2">
      <c r="AT147" s="418" t="s">
        <v>1959</v>
      </c>
      <c r="AU147">
        <v>8.67</v>
      </c>
      <c r="AV147">
        <v>8.68</v>
      </c>
      <c r="AW147">
        <v>8.3000000000000007</v>
      </c>
    </row>
    <row r="148" spans="46:49" x14ac:dyDescent="0.2">
      <c r="AT148" s="418" t="s">
        <v>1958</v>
      </c>
      <c r="AU148">
        <v>8.67</v>
      </c>
      <c r="AV148">
        <v>8.68</v>
      </c>
      <c r="AW148">
        <v>8.2899999999999991</v>
      </c>
    </row>
    <row r="149" spans="46:49" x14ac:dyDescent="0.2">
      <c r="AT149" s="418" t="s">
        <v>1958</v>
      </c>
      <c r="AU149">
        <v>8.68</v>
      </c>
      <c r="AV149">
        <v>8.68</v>
      </c>
      <c r="AW149">
        <v>8.33</v>
      </c>
    </row>
    <row r="150" spans="46:49" x14ac:dyDescent="0.2">
      <c r="AT150" s="418" t="s">
        <v>1958</v>
      </c>
      <c r="AU150">
        <v>8.68</v>
      </c>
      <c r="AV150">
        <v>8.68</v>
      </c>
      <c r="AW150">
        <v>8.32</v>
      </c>
    </row>
    <row r="151" spans="46:49" x14ac:dyDescent="0.2">
      <c r="AT151" s="418" t="s">
        <v>1957</v>
      </c>
      <c r="AU151">
        <v>8.68</v>
      </c>
      <c r="AV151">
        <v>8.68</v>
      </c>
      <c r="AW151">
        <v>8.3000000000000007</v>
      </c>
    </row>
    <row r="152" spans="46:49" x14ac:dyDescent="0.2">
      <c r="AT152" s="418" t="s">
        <v>1956</v>
      </c>
      <c r="AU152">
        <v>8.67</v>
      </c>
      <c r="AV152">
        <v>8.68</v>
      </c>
      <c r="AW152">
        <v>8.2899999999999991</v>
      </c>
    </row>
    <row r="153" spans="46:49" x14ac:dyDescent="0.2">
      <c r="AT153" s="418" t="s">
        <v>1955</v>
      </c>
      <c r="AU153">
        <v>8.68</v>
      </c>
      <c r="AV153">
        <v>8.68</v>
      </c>
      <c r="AW153">
        <v>8.31</v>
      </c>
    </row>
    <row r="154" spans="46:49" x14ac:dyDescent="0.2">
      <c r="AT154" s="418" t="s">
        <v>1954</v>
      </c>
      <c r="AU154">
        <v>8.68</v>
      </c>
      <c r="AV154">
        <v>8.68</v>
      </c>
      <c r="AW154">
        <v>8.31</v>
      </c>
    </row>
    <row r="155" spans="46:49" x14ac:dyDescent="0.2">
      <c r="AT155" s="418" t="s">
        <v>1954</v>
      </c>
      <c r="AU155">
        <v>8.67</v>
      </c>
      <c r="AV155">
        <v>8.67</v>
      </c>
      <c r="AW155">
        <v>8.2899999999999991</v>
      </c>
    </row>
    <row r="156" spans="46:49" x14ac:dyDescent="0.2">
      <c r="AT156" s="418" t="s">
        <v>1954</v>
      </c>
      <c r="AU156">
        <v>8.67</v>
      </c>
      <c r="AV156">
        <v>8.67</v>
      </c>
      <c r="AW156">
        <v>8.31</v>
      </c>
    </row>
    <row r="157" spans="46:49" x14ac:dyDescent="0.2">
      <c r="AT157" s="418" t="s">
        <v>2054</v>
      </c>
      <c r="AU157">
        <v>8.67</v>
      </c>
      <c r="AV157">
        <v>8.67</v>
      </c>
      <c r="AW157">
        <v>8.32</v>
      </c>
    </row>
    <row r="158" spans="46:49" x14ac:dyDescent="0.2">
      <c r="AT158" s="418" t="s">
        <v>2054</v>
      </c>
      <c r="AU158">
        <v>8.67</v>
      </c>
      <c r="AV158">
        <v>8.67</v>
      </c>
      <c r="AW158">
        <v>8.31</v>
      </c>
    </row>
    <row r="159" spans="46:49" x14ac:dyDescent="0.2">
      <c r="AT159" s="418" t="s">
        <v>2108</v>
      </c>
      <c r="AU159">
        <v>8.67</v>
      </c>
      <c r="AV159">
        <v>8.67</v>
      </c>
      <c r="AW159">
        <v>8.5500000000000007</v>
      </c>
    </row>
    <row r="160" spans="46:49" x14ac:dyDescent="0.2">
      <c r="AT160" s="418" t="s">
        <v>2110</v>
      </c>
      <c r="AU160">
        <v>8.67</v>
      </c>
      <c r="AV160">
        <v>8.67</v>
      </c>
      <c r="AW160">
        <v>8.5299999999999994</v>
      </c>
    </row>
    <row r="161" spans="46:49" x14ac:dyDescent="0.2">
      <c r="AT161" s="418" t="s">
        <v>2110</v>
      </c>
      <c r="AU161">
        <v>8.67</v>
      </c>
      <c r="AV161">
        <v>8.67</v>
      </c>
      <c r="AW161">
        <v>8.5500000000000007</v>
      </c>
    </row>
    <row r="162" spans="46:49" x14ac:dyDescent="0.2">
      <c r="AT162" s="418" t="s">
        <v>2110</v>
      </c>
      <c r="AU162">
        <v>8.67</v>
      </c>
      <c r="AV162">
        <v>8.66</v>
      </c>
      <c r="AW162">
        <v>8.5399999999999991</v>
      </c>
    </row>
    <row r="163" spans="46:49" x14ac:dyDescent="0.2">
      <c r="AT163" s="418" t="s">
        <v>2166</v>
      </c>
      <c r="AU163">
        <v>8.67</v>
      </c>
      <c r="AV163">
        <v>8.66</v>
      </c>
      <c r="AW163">
        <v>8.52</v>
      </c>
    </row>
    <row r="164" spans="46:49" x14ac:dyDescent="0.2">
      <c r="AT164" s="418" t="s">
        <v>2166</v>
      </c>
      <c r="AU164">
        <v>8.67</v>
      </c>
      <c r="AV164">
        <v>8.66</v>
      </c>
      <c r="AW164">
        <v>8.5299999999999994</v>
      </c>
    </row>
    <row r="165" spans="46:49" x14ac:dyDescent="0.2">
      <c r="AT165" s="418" t="s">
        <v>2180</v>
      </c>
      <c r="AU165">
        <v>8.67</v>
      </c>
      <c r="AV165">
        <v>8.66</v>
      </c>
      <c r="AW165">
        <v>8.5500000000000007</v>
      </c>
    </row>
    <row r="166" spans="46:49" x14ac:dyDescent="0.2">
      <c r="AT166" s="418" t="s">
        <v>2190</v>
      </c>
      <c r="AU166">
        <v>8.67</v>
      </c>
      <c r="AV166">
        <v>8.67</v>
      </c>
      <c r="AW166">
        <v>8.64</v>
      </c>
    </row>
    <row r="167" spans="46:49" x14ac:dyDescent="0.2">
      <c r="AT167" s="418" t="s">
        <v>2225</v>
      </c>
      <c r="AU167">
        <v>8.67</v>
      </c>
      <c r="AV167">
        <v>8.67</v>
      </c>
      <c r="AW167">
        <v>8.66</v>
      </c>
    </row>
    <row r="168" spans="46:49" x14ac:dyDescent="0.2">
      <c r="AT168" s="418" t="s">
        <v>2225</v>
      </c>
      <c r="AU168">
        <v>8.67</v>
      </c>
      <c r="AV168">
        <v>8.66</v>
      </c>
      <c r="AW168">
        <v>8.65</v>
      </c>
    </row>
    <row r="169" spans="46:49" x14ac:dyDescent="0.2">
      <c r="AT169" s="418" t="s">
        <v>2225</v>
      </c>
      <c r="AU169">
        <v>8.67</v>
      </c>
      <c r="AV169">
        <v>8.66</v>
      </c>
      <c r="AW169">
        <v>8.6199999999999992</v>
      </c>
    </row>
    <row r="170" spans="46:49" x14ac:dyDescent="0.2">
      <c r="AT170" s="418" t="s">
        <v>2240</v>
      </c>
      <c r="AU170">
        <v>8.67</v>
      </c>
      <c r="AV170">
        <v>8.66</v>
      </c>
      <c r="AW170">
        <v>8.6300000000000008</v>
      </c>
    </row>
    <row r="171" spans="46:49" x14ac:dyDescent="0.2">
      <c r="AT171" s="418" t="s">
        <v>2255</v>
      </c>
      <c r="AU171">
        <v>8.67</v>
      </c>
      <c r="AV171">
        <v>8.66</v>
      </c>
      <c r="AW171">
        <v>8.64</v>
      </c>
    </row>
    <row r="172" spans="46:49" x14ac:dyDescent="0.2">
      <c r="AT172" s="418" t="s">
        <v>2309</v>
      </c>
      <c r="AU172">
        <v>8.67</v>
      </c>
      <c r="AV172">
        <v>8.66</v>
      </c>
      <c r="AW172">
        <v>8.64</v>
      </c>
    </row>
    <row r="173" spans="46:49" x14ac:dyDescent="0.2">
      <c r="AT173" s="418" t="s">
        <v>2308</v>
      </c>
      <c r="AU173">
        <v>8.68</v>
      </c>
      <c r="AV173">
        <v>8.67</v>
      </c>
      <c r="AW173">
        <v>8.6999999999999993</v>
      </c>
    </row>
    <row r="174" spans="46:49" x14ac:dyDescent="0.2">
      <c r="AT174" s="418" t="s">
        <v>2310</v>
      </c>
      <c r="AU174">
        <v>8.68</v>
      </c>
      <c r="AV174">
        <v>8.67</v>
      </c>
      <c r="AW174">
        <v>8.67</v>
      </c>
    </row>
    <row r="175" spans="46:49" x14ac:dyDescent="0.2">
      <c r="AT175" s="418" t="s">
        <v>2310</v>
      </c>
      <c r="AU175">
        <v>8.67</v>
      </c>
      <c r="AV175">
        <v>8.66</v>
      </c>
      <c r="AW175">
        <v>8.61</v>
      </c>
    </row>
    <row r="176" spans="46:49" x14ac:dyDescent="0.2">
      <c r="AT176" s="418" t="s">
        <v>2327</v>
      </c>
      <c r="AU176">
        <v>8.67</v>
      </c>
      <c r="AV176">
        <v>8.66</v>
      </c>
      <c r="AW176">
        <v>8.61</v>
      </c>
    </row>
    <row r="177" spans="46:49" x14ac:dyDescent="0.2">
      <c r="AT177" s="418" t="s">
        <v>2327</v>
      </c>
      <c r="AU177">
        <v>8.67</v>
      </c>
      <c r="AV177">
        <v>8.66</v>
      </c>
      <c r="AW177">
        <v>8.61</v>
      </c>
    </row>
    <row r="178" spans="46:49" x14ac:dyDescent="0.2">
      <c r="AT178" s="418" t="s">
        <v>2349</v>
      </c>
      <c r="AU178">
        <v>8.67</v>
      </c>
      <c r="AV178">
        <v>8.66</v>
      </c>
      <c r="AW178">
        <v>8.64</v>
      </c>
    </row>
    <row r="179" spans="46:49" x14ac:dyDescent="0.2">
      <c r="AT179" s="418" t="s">
        <v>2384</v>
      </c>
      <c r="AU179">
        <v>8.67</v>
      </c>
      <c r="AV179">
        <v>8.66</v>
      </c>
      <c r="AW179">
        <v>8.65</v>
      </c>
    </row>
    <row r="180" spans="46:49" x14ac:dyDescent="0.2">
      <c r="AT180" s="418" t="s">
        <v>2423</v>
      </c>
      <c r="AU180">
        <v>8.67</v>
      </c>
      <c r="AV180">
        <v>8.67</v>
      </c>
      <c r="AW180">
        <v>8.67</v>
      </c>
    </row>
    <row r="181" spans="46:49" x14ac:dyDescent="0.2">
      <c r="AT181" s="418" t="s">
        <v>2424</v>
      </c>
      <c r="AU181">
        <v>8.67</v>
      </c>
      <c r="AV181">
        <v>8.67</v>
      </c>
      <c r="AW181">
        <v>8.66</v>
      </c>
    </row>
    <row r="182" spans="46:49" x14ac:dyDescent="0.2">
      <c r="AT182" s="418" t="s">
        <v>2424</v>
      </c>
      <c r="AU182">
        <v>8.6300000000000008</v>
      </c>
      <c r="AV182">
        <v>8.6199999999999992</v>
      </c>
      <c r="AW182">
        <v>8.39</v>
      </c>
    </row>
    <row r="183" spans="46:49" x14ac:dyDescent="0.2">
      <c r="AT183" s="418" t="s">
        <v>2446</v>
      </c>
      <c r="AU183">
        <v>8.6300000000000008</v>
      </c>
      <c r="AV183">
        <v>8.6199999999999992</v>
      </c>
      <c r="AW183">
        <v>8.3699999999999992</v>
      </c>
    </row>
    <row r="184" spans="46:49" x14ac:dyDescent="0.2">
      <c r="AT184" s="418" t="s">
        <v>2461</v>
      </c>
      <c r="AU184">
        <v>8.6300000000000008</v>
      </c>
      <c r="AV184">
        <v>8.6199999999999992</v>
      </c>
      <c r="AW184">
        <v>8.3699999999999992</v>
      </c>
    </row>
    <row r="185" spans="46:49" x14ac:dyDescent="0.2">
      <c r="AT185" s="418" t="s">
        <v>2462</v>
      </c>
      <c r="AU185">
        <v>8.6300000000000008</v>
      </c>
      <c r="AV185">
        <v>8.6199999999999992</v>
      </c>
      <c r="AW185">
        <v>8.3800000000000008</v>
      </c>
    </row>
    <row r="186" spans="46:49" x14ac:dyDescent="0.2">
      <c r="AT186" s="418" t="s">
        <v>2474</v>
      </c>
      <c r="AU186">
        <v>8.6300000000000008</v>
      </c>
      <c r="AV186">
        <v>8.6199999999999992</v>
      </c>
      <c r="AW186">
        <v>8.36</v>
      </c>
    </row>
    <row r="187" spans="46:49" x14ac:dyDescent="0.2">
      <c r="AT187" s="418" t="s">
        <v>2704</v>
      </c>
      <c r="AU187">
        <v>8.6300000000000008</v>
      </c>
      <c r="AV187">
        <v>8.6300000000000008</v>
      </c>
      <c r="AW187">
        <v>8.36</v>
      </c>
    </row>
    <row r="188" spans="46:49" x14ac:dyDescent="0.2">
      <c r="AT188" s="418" t="s">
        <v>2515</v>
      </c>
      <c r="AU188">
        <v>8.64</v>
      </c>
      <c r="AV188">
        <v>8.6300000000000008</v>
      </c>
      <c r="AW188">
        <v>8.39</v>
      </c>
    </row>
    <row r="189" spans="46:49" x14ac:dyDescent="0.2">
      <c r="AT189" s="418" t="s">
        <v>2511</v>
      </c>
      <c r="AU189">
        <v>8.64</v>
      </c>
      <c r="AV189">
        <v>8.6300000000000008</v>
      </c>
      <c r="AW189">
        <v>8.4</v>
      </c>
    </row>
    <row r="190" spans="46:49" x14ac:dyDescent="0.2">
      <c r="AT190" s="418" t="s">
        <v>2511</v>
      </c>
      <c r="AU190">
        <v>8.64</v>
      </c>
      <c r="AV190">
        <v>8.6300000000000008</v>
      </c>
      <c r="AW190">
        <v>8.3800000000000008</v>
      </c>
    </row>
    <row r="191" spans="46:49" x14ac:dyDescent="0.2">
      <c r="AT191" s="418" t="s">
        <v>2528</v>
      </c>
      <c r="AU191">
        <v>8.6300000000000008</v>
      </c>
      <c r="AV191">
        <v>8.6199999999999992</v>
      </c>
      <c r="AW191">
        <v>8.36</v>
      </c>
    </row>
    <row r="192" spans="46:49" x14ac:dyDescent="0.2">
      <c r="AT192" s="418" t="s">
        <v>2542</v>
      </c>
      <c r="AU192">
        <v>8.64</v>
      </c>
      <c r="AV192">
        <v>8.6300000000000008</v>
      </c>
      <c r="AW192">
        <v>8.39</v>
      </c>
    </row>
    <row r="193" spans="46:49" x14ac:dyDescent="0.2">
      <c r="AT193" s="418" t="s">
        <v>2560</v>
      </c>
      <c r="AU193">
        <v>8.64</v>
      </c>
      <c r="AV193">
        <v>8.6300000000000008</v>
      </c>
      <c r="AW193">
        <v>8.34</v>
      </c>
    </row>
    <row r="194" spans="46:49" x14ac:dyDescent="0.2">
      <c r="AT194" s="418" t="s">
        <v>2560</v>
      </c>
      <c r="AU194">
        <v>8.64</v>
      </c>
      <c r="AV194">
        <v>8.6300000000000008</v>
      </c>
      <c r="AW194">
        <v>8.35</v>
      </c>
    </row>
    <row r="195" spans="46:49" x14ac:dyDescent="0.2">
      <c r="AT195" s="418" t="s">
        <v>2582</v>
      </c>
      <c r="AU195">
        <v>8.64</v>
      </c>
      <c r="AV195">
        <v>8.6300000000000008</v>
      </c>
      <c r="AW195">
        <v>8.42</v>
      </c>
    </row>
    <row r="196" spans="46:49" x14ac:dyDescent="0.2">
      <c r="AT196" s="418" t="s">
        <v>2598</v>
      </c>
      <c r="AU196">
        <v>8.64</v>
      </c>
      <c r="AV196">
        <v>8.6300000000000008</v>
      </c>
      <c r="AW196">
        <v>8.41</v>
      </c>
    </row>
    <row r="197" spans="46:49" x14ac:dyDescent="0.2">
      <c r="AT197" s="418" t="s">
        <v>2598</v>
      </c>
      <c r="AU197">
        <v>8.64</v>
      </c>
      <c r="AV197">
        <v>8.6300000000000008</v>
      </c>
      <c r="AW197">
        <v>8.41</v>
      </c>
    </row>
    <row r="198" spans="46:49" x14ac:dyDescent="0.2">
      <c r="AT198" s="418" t="s">
        <v>2598</v>
      </c>
      <c r="AU198">
        <v>8.64</v>
      </c>
      <c r="AV198">
        <v>8.6300000000000008</v>
      </c>
      <c r="AW198">
        <v>8.4</v>
      </c>
    </row>
    <row r="199" spans="46:49" x14ac:dyDescent="0.2">
      <c r="AT199" s="418" t="s">
        <v>2598</v>
      </c>
      <c r="AU199">
        <v>8.64</v>
      </c>
      <c r="AV199">
        <v>8.6300000000000008</v>
      </c>
      <c r="AW199">
        <v>8.4</v>
      </c>
    </row>
    <row r="200" spans="46:49" x14ac:dyDescent="0.2">
      <c r="AT200" s="418" t="s">
        <v>2646</v>
      </c>
      <c r="AU200">
        <v>8.64</v>
      </c>
      <c r="AV200">
        <v>8.6300000000000008</v>
      </c>
      <c r="AW200">
        <v>8.4</v>
      </c>
    </row>
    <row r="201" spans="46:49" x14ac:dyDescent="0.2">
      <c r="AT201" s="418" t="s">
        <v>2723</v>
      </c>
      <c r="AU201">
        <v>8.64</v>
      </c>
      <c r="AV201">
        <v>8.6300000000000008</v>
      </c>
      <c r="AW201">
        <v>8.4</v>
      </c>
    </row>
    <row r="202" spans="46:49" x14ac:dyDescent="0.2">
      <c r="AT202" s="418" t="s">
        <v>2741</v>
      </c>
      <c r="AU202">
        <v>8.64</v>
      </c>
      <c r="AV202">
        <v>8.6300000000000008</v>
      </c>
      <c r="AW202">
        <v>8.69</v>
      </c>
    </row>
    <row r="203" spans="46:49" x14ac:dyDescent="0.2">
      <c r="AT203" s="418" t="s">
        <v>2741</v>
      </c>
      <c r="AU203">
        <v>8.64</v>
      </c>
      <c r="AV203">
        <v>8.6300000000000008</v>
      </c>
      <c r="AW203">
        <v>8.7200000000000006</v>
      </c>
    </row>
    <row r="204" spans="46:49" x14ac:dyDescent="0.2">
      <c r="AT204" s="418" t="s">
        <v>2795</v>
      </c>
      <c r="AU204">
        <v>8.64</v>
      </c>
      <c r="AV204">
        <v>8.6300000000000008</v>
      </c>
      <c r="AW204">
        <v>8.69</v>
      </c>
    </row>
    <row r="205" spans="46:49" x14ac:dyDescent="0.2">
      <c r="AT205" s="418" t="s">
        <v>2795</v>
      </c>
      <c r="AU205">
        <v>8.64</v>
      </c>
      <c r="AV205">
        <v>8.6300000000000008</v>
      </c>
      <c r="AW205">
        <v>8.67</v>
      </c>
    </row>
    <row r="206" spans="46:49" x14ac:dyDescent="0.2">
      <c r="AT206" s="418" t="s">
        <v>2827</v>
      </c>
      <c r="AU206">
        <v>8.6300000000000008</v>
      </c>
      <c r="AV206">
        <v>8.6199999999999992</v>
      </c>
      <c r="AW206">
        <v>8.66</v>
      </c>
    </row>
    <row r="207" spans="46:49" x14ac:dyDescent="0.2">
      <c r="AT207" s="418" t="s">
        <v>2827</v>
      </c>
      <c r="AU207">
        <v>8.64</v>
      </c>
      <c r="AV207">
        <v>8.6300000000000008</v>
      </c>
      <c r="AW207">
        <v>8.66</v>
      </c>
    </row>
    <row r="208" spans="46:49" x14ac:dyDescent="0.2">
      <c r="AT208" s="418" t="s">
        <v>2857</v>
      </c>
      <c r="AU208">
        <v>8.64</v>
      </c>
      <c r="AV208">
        <v>8.6300000000000008</v>
      </c>
      <c r="AW208">
        <v>8.65</v>
      </c>
    </row>
    <row r="209" spans="46:49" x14ac:dyDescent="0.2">
      <c r="AT209" s="418" t="s">
        <v>2857</v>
      </c>
      <c r="AU209">
        <v>8.64</v>
      </c>
      <c r="AV209">
        <v>8.6300000000000008</v>
      </c>
      <c r="AW209">
        <v>8.64</v>
      </c>
    </row>
    <row r="210" spans="46:49" x14ac:dyDescent="0.2">
      <c r="AT210" s="418" t="s">
        <v>2896</v>
      </c>
      <c r="AU210">
        <v>8.64</v>
      </c>
      <c r="AV210">
        <v>8.6300000000000008</v>
      </c>
      <c r="AW210">
        <v>8.65</v>
      </c>
    </row>
    <row r="211" spans="46:49" x14ac:dyDescent="0.2">
      <c r="AT211" s="418" t="s">
        <v>2896</v>
      </c>
      <c r="AU211">
        <v>8.64</v>
      </c>
      <c r="AV211">
        <v>8.6300000000000008</v>
      </c>
      <c r="AW211">
        <v>8.68</v>
      </c>
    </row>
    <row r="212" spans="46:49" x14ac:dyDescent="0.2">
      <c r="AT212" s="418" t="s">
        <v>2896</v>
      </c>
      <c r="AU212">
        <v>8.64</v>
      </c>
      <c r="AV212">
        <v>8.6300000000000008</v>
      </c>
      <c r="AW212">
        <v>8.65</v>
      </c>
    </row>
    <row r="213" spans="46:49" x14ac:dyDescent="0.2">
      <c r="AT213" s="418" t="s">
        <v>2914</v>
      </c>
      <c r="AU213">
        <v>8.64</v>
      </c>
      <c r="AV213">
        <v>8.64</v>
      </c>
      <c r="AW213">
        <v>8.6999999999999993</v>
      </c>
    </row>
    <row r="214" spans="46:49" x14ac:dyDescent="0.2">
      <c r="AT214" s="418" t="s">
        <v>2928</v>
      </c>
      <c r="AU214">
        <v>8.64</v>
      </c>
      <c r="AV214">
        <v>8.64</v>
      </c>
      <c r="AW214">
        <v>8.6999999999999993</v>
      </c>
    </row>
    <row r="215" spans="46:49" x14ac:dyDescent="0.2">
      <c r="AT215" s="418" t="s">
        <v>2928</v>
      </c>
      <c r="AU215">
        <v>8.64</v>
      </c>
      <c r="AV215">
        <v>8.6300000000000008</v>
      </c>
      <c r="AW215">
        <v>8.67</v>
      </c>
    </row>
    <row r="216" spans="46:49" x14ac:dyDescent="0.2">
      <c r="AT216" s="418" t="s">
        <v>2928</v>
      </c>
      <c r="AU216">
        <v>8.64</v>
      </c>
      <c r="AV216">
        <v>8.6300000000000008</v>
      </c>
      <c r="AW216">
        <v>8.67</v>
      </c>
    </row>
    <row r="217" spans="46:49" x14ac:dyDescent="0.2">
      <c r="AT217" s="418" t="s">
        <v>2972</v>
      </c>
      <c r="AU217">
        <v>8.64</v>
      </c>
      <c r="AV217">
        <v>8.6300000000000008</v>
      </c>
      <c r="AW217">
        <v>8.67</v>
      </c>
    </row>
    <row r="218" spans="46:49" x14ac:dyDescent="0.2">
      <c r="AT218" s="418" t="s">
        <v>2991</v>
      </c>
      <c r="AU218">
        <v>8.64</v>
      </c>
      <c r="AV218">
        <v>8.6300000000000008</v>
      </c>
      <c r="AW218">
        <v>8.66</v>
      </c>
    </row>
    <row r="219" spans="46:49" x14ac:dyDescent="0.2">
      <c r="AT219" s="418" t="s">
        <v>3006</v>
      </c>
      <c r="AU219">
        <v>8.64</v>
      </c>
      <c r="AV219">
        <v>8.6300000000000008</v>
      </c>
      <c r="AW219">
        <v>8.65</v>
      </c>
    </row>
    <row r="220" spans="46:49" x14ac:dyDescent="0.2">
      <c r="AT220" s="418" t="s">
        <v>3021</v>
      </c>
      <c r="AU220">
        <v>8.64</v>
      </c>
      <c r="AV220">
        <v>8.6300000000000008</v>
      </c>
      <c r="AW220">
        <v>8.61</v>
      </c>
    </row>
    <row r="221" spans="46:49" x14ac:dyDescent="0.2">
      <c r="AT221" s="418" t="s">
        <v>3021</v>
      </c>
      <c r="AU221">
        <v>8.64</v>
      </c>
      <c r="AV221">
        <v>8.6300000000000008</v>
      </c>
      <c r="AW221">
        <v>8.64</v>
      </c>
    </row>
    <row r="222" spans="46:49" x14ac:dyDescent="0.2">
      <c r="AT222" s="418" t="s">
        <v>3061</v>
      </c>
      <c r="AU222">
        <v>8.64</v>
      </c>
      <c r="AV222">
        <v>8.6300000000000008</v>
      </c>
      <c r="AW222">
        <v>8.65</v>
      </c>
    </row>
    <row r="223" spans="46:49" x14ac:dyDescent="0.2">
      <c r="AT223" s="418" t="s">
        <v>3061</v>
      </c>
      <c r="AU223">
        <v>8.64</v>
      </c>
      <c r="AV223">
        <v>8.6300000000000008</v>
      </c>
      <c r="AW223">
        <v>8.64</v>
      </c>
    </row>
    <row r="224" spans="46:49" x14ac:dyDescent="0.2">
      <c r="AT224" s="418" t="s">
        <v>3089</v>
      </c>
      <c r="AU224">
        <v>8.64</v>
      </c>
      <c r="AV224">
        <v>8.6300000000000008</v>
      </c>
      <c r="AW224">
        <v>8.67</v>
      </c>
    </row>
    <row r="225" spans="46:49" x14ac:dyDescent="0.2">
      <c r="AT225" s="418" t="s">
        <v>3101</v>
      </c>
      <c r="AU225">
        <v>8.64</v>
      </c>
      <c r="AV225">
        <v>8.6300000000000008</v>
      </c>
      <c r="AW225">
        <v>8.65</v>
      </c>
    </row>
    <row r="226" spans="46:49" x14ac:dyDescent="0.2">
      <c r="AT226" s="418" t="s">
        <v>3114</v>
      </c>
      <c r="AU226">
        <v>8.64</v>
      </c>
      <c r="AV226">
        <v>8.6300000000000008</v>
      </c>
      <c r="AW226">
        <v>8.66</v>
      </c>
    </row>
    <row r="227" spans="46:49" x14ac:dyDescent="0.2">
      <c r="AT227" s="418" t="s">
        <v>3114</v>
      </c>
      <c r="AU227">
        <v>8.6199999999999992</v>
      </c>
      <c r="AV227">
        <v>8.61</v>
      </c>
      <c r="AW227">
        <v>8.4499999999999993</v>
      </c>
    </row>
    <row r="228" spans="46:49" x14ac:dyDescent="0.2">
      <c r="AT228" s="418" t="s">
        <v>3149</v>
      </c>
      <c r="AU228">
        <v>8.6199999999999992</v>
      </c>
      <c r="AV228">
        <v>8.61</v>
      </c>
      <c r="AW228">
        <v>8.44</v>
      </c>
    </row>
    <row r="229" spans="46:49" x14ac:dyDescent="0.2">
      <c r="AT229" s="418" t="s">
        <v>3228</v>
      </c>
      <c r="AU229">
        <v>8.6199999999999992</v>
      </c>
      <c r="AV229">
        <v>8.61</v>
      </c>
      <c r="AW229">
        <v>8.4499999999999993</v>
      </c>
    </row>
    <row r="230" spans="46:49" x14ac:dyDescent="0.2">
      <c r="AT230" s="418" t="s">
        <v>3227</v>
      </c>
      <c r="AU230">
        <v>8.6199999999999992</v>
      </c>
      <c r="AV230">
        <v>8.61</v>
      </c>
      <c r="AW230">
        <v>8.44</v>
      </c>
    </row>
    <row r="231" spans="46:49" x14ac:dyDescent="0.2">
      <c r="AT231" s="418" t="s">
        <v>3253</v>
      </c>
      <c r="AU231">
        <v>8.6199999999999992</v>
      </c>
      <c r="AV231">
        <v>8.61</v>
      </c>
      <c r="AW231">
        <v>8.44</v>
      </c>
    </row>
    <row r="232" spans="46:49" x14ac:dyDescent="0.2">
      <c r="AT232" s="418" t="s">
        <v>3253</v>
      </c>
      <c r="AU232">
        <v>8.6199999999999992</v>
      </c>
      <c r="AV232">
        <v>8.61</v>
      </c>
      <c r="AW232">
        <v>8.43</v>
      </c>
    </row>
    <row r="233" spans="46:49" x14ac:dyDescent="0.2">
      <c r="AT233" s="418" t="s">
        <v>3286</v>
      </c>
      <c r="AU233">
        <v>8.61</v>
      </c>
      <c r="AV233">
        <v>8.6</v>
      </c>
      <c r="AW233">
        <v>8.34</v>
      </c>
    </row>
    <row r="234" spans="46:49" x14ac:dyDescent="0.2">
      <c r="AT234" s="418" t="s">
        <v>3286</v>
      </c>
      <c r="AU234">
        <v>8.6199999999999992</v>
      </c>
      <c r="AV234">
        <v>8.6</v>
      </c>
      <c r="AW234">
        <v>8.35</v>
      </c>
    </row>
    <row r="235" spans="46:49" x14ac:dyDescent="0.2">
      <c r="AT235" s="418" t="s">
        <v>3308</v>
      </c>
      <c r="AU235">
        <v>8.61</v>
      </c>
      <c r="AV235">
        <v>8.6</v>
      </c>
      <c r="AW235">
        <v>8.3800000000000008</v>
      </c>
    </row>
    <row r="236" spans="46:49" x14ac:dyDescent="0.2">
      <c r="AT236" s="418" t="s">
        <v>3351</v>
      </c>
      <c r="AU236">
        <v>8.61</v>
      </c>
      <c r="AV236">
        <v>8.6</v>
      </c>
      <c r="AW236">
        <v>8.3800000000000008</v>
      </c>
    </row>
    <row r="237" spans="46:49" x14ac:dyDescent="0.2">
      <c r="AT237" s="418" t="s">
        <v>3351</v>
      </c>
      <c r="AU237">
        <v>8.61</v>
      </c>
      <c r="AV237">
        <v>8.6</v>
      </c>
      <c r="AW237">
        <v>8.3699999999999992</v>
      </c>
    </row>
    <row r="238" spans="46:49" x14ac:dyDescent="0.2">
      <c r="AT238" s="418" t="s">
        <v>3374</v>
      </c>
      <c r="AU238">
        <v>8.61</v>
      </c>
      <c r="AV238">
        <v>8.6</v>
      </c>
      <c r="AW238">
        <v>8.33</v>
      </c>
    </row>
    <row r="239" spans="46:49" x14ac:dyDescent="0.2">
      <c r="AT239" s="418" t="s">
        <v>3383</v>
      </c>
      <c r="AU239">
        <v>8.61</v>
      </c>
      <c r="AV239">
        <v>8.6</v>
      </c>
      <c r="AW239">
        <v>8.34</v>
      </c>
    </row>
    <row r="240" spans="46:49" x14ac:dyDescent="0.2">
      <c r="AT240" s="418" t="s">
        <v>3383</v>
      </c>
      <c r="AU240">
        <v>8.61</v>
      </c>
      <c r="AV240">
        <v>8.6</v>
      </c>
      <c r="AW240">
        <v>8.3800000000000008</v>
      </c>
    </row>
    <row r="241" spans="46:49" x14ac:dyDescent="0.2">
      <c r="AT241" s="418" t="s">
        <v>3419</v>
      </c>
      <c r="AU241">
        <v>8.61</v>
      </c>
      <c r="AV241">
        <v>8.6</v>
      </c>
      <c r="AW241">
        <v>8.3699999999999992</v>
      </c>
    </row>
    <row r="242" spans="46:49" x14ac:dyDescent="0.2">
      <c r="AT242" s="418" t="s">
        <v>3434</v>
      </c>
      <c r="AU242">
        <v>8.6199999999999992</v>
      </c>
      <c r="AV242">
        <v>8.6</v>
      </c>
      <c r="AW242">
        <v>8.3699999999999992</v>
      </c>
    </row>
    <row r="243" spans="46:49" x14ac:dyDescent="0.2">
      <c r="AT243" s="418" t="s">
        <v>3449</v>
      </c>
      <c r="AU243">
        <v>8.61</v>
      </c>
      <c r="AV243">
        <v>8.6</v>
      </c>
      <c r="AW243">
        <v>8.36</v>
      </c>
    </row>
    <row r="244" spans="46:49" x14ac:dyDescent="0.2">
      <c r="AT244" s="418" t="s">
        <v>3449</v>
      </c>
      <c r="AU244">
        <v>8.61</v>
      </c>
      <c r="AV244">
        <v>8.6</v>
      </c>
      <c r="AW244">
        <v>8.31</v>
      </c>
    </row>
    <row r="245" spans="46:49" x14ac:dyDescent="0.2">
      <c r="AT245" s="418" t="s">
        <v>3475</v>
      </c>
      <c r="AU245">
        <v>8.61</v>
      </c>
      <c r="AV245">
        <v>8.6</v>
      </c>
      <c r="AW245">
        <v>8.33</v>
      </c>
    </row>
    <row r="246" spans="46:49" x14ac:dyDescent="0.2">
      <c r="AT246" s="418" t="s">
        <v>3475</v>
      </c>
      <c r="AU246">
        <v>8.61</v>
      </c>
      <c r="AV246">
        <v>8.6</v>
      </c>
      <c r="AW246">
        <v>8.34</v>
      </c>
    </row>
    <row r="247" spans="46:49" x14ac:dyDescent="0.2">
      <c r="AT247" s="418" t="s">
        <v>3507</v>
      </c>
      <c r="AU247">
        <v>8.61</v>
      </c>
      <c r="AV247">
        <v>8.6</v>
      </c>
      <c r="AW247">
        <v>8.5399999999999991</v>
      </c>
    </row>
    <row r="248" spans="46:49" x14ac:dyDescent="0.2">
      <c r="AT248" s="418" t="s">
        <v>3525</v>
      </c>
      <c r="AU248">
        <v>8.61</v>
      </c>
      <c r="AV248">
        <v>8.59</v>
      </c>
      <c r="AW248">
        <v>8.51</v>
      </c>
    </row>
    <row r="249" spans="46:49" x14ac:dyDescent="0.2">
      <c r="AT249" s="418" t="s">
        <v>3525</v>
      </c>
      <c r="AU249">
        <v>8.61</v>
      </c>
      <c r="AV249">
        <v>8.59</v>
      </c>
      <c r="AW249">
        <v>8.5</v>
      </c>
    </row>
    <row r="250" spans="46:49" x14ac:dyDescent="0.2">
      <c r="AT250" s="418" t="s">
        <v>3525</v>
      </c>
      <c r="AU250">
        <v>8.61</v>
      </c>
      <c r="AV250">
        <v>8.59</v>
      </c>
      <c r="AW250">
        <v>8.51</v>
      </c>
    </row>
    <row r="251" spans="46:49" x14ac:dyDescent="0.2">
      <c r="AT251" s="418" t="s">
        <v>3567</v>
      </c>
      <c r="AU251">
        <v>8.61</v>
      </c>
      <c r="AV251">
        <v>8.59</v>
      </c>
      <c r="AW251">
        <v>8.49</v>
      </c>
    </row>
    <row r="252" spans="46:49" x14ac:dyDescent="0.2">
      <c r="AT252" s="418" t="s">
        <v>3583</v>
      </c>
      <c r="AU252">
        <v>8.61</v>
      </c>
      <c r="AV252">
        <v>8.59</v>
      </c>
      <c r="AW252">
        <v>8.52</v>
      </c>
    </row>
    <row r="253" spans="46:49" x14ac:dyDescent="0.2">
      <c r="AT253" s="418" t="s">
        <v>3583</v>
      </c>
      <c r="AU253">
        <v>8.61</v>
      </c>
      <c r="AV253">
        <v>8.59</v>
      </c>
      <c r="AW253">
        <v>8.5500000000000007</v>
      </c>
    </row>
    <row r="254" spans="46:49" x14ac:dyDescent="0.2">
      <c r="AT254" s="418" t="s">
        <v>3622</v>
      </c>
      <c r="AU254">
        <v>8.61</v>
      </c>
      <c r="AV254">
        <v>8.59</v>
      </c>
      <c r="AW254">
        <v>8.5299999999999994</v>
      </c>
    </row>
    <row r="255" spans="46:49" x14ac:dyDescent="0.2">
      <c r="AT255" s="418" t="s">
        <v>3639</v>
      </c>
      <c r="AU255">
        <v>8.61</v>
      </c>
      <c r="AV255">
        <v>8.59</v>
      </c>
      <c r="AW255">
        <v>8.5500000000000007</v>
      </c>
    </row>
    <row r="256" spans="46:49" x14ac:dyDescent="0.2">
      <c r="AT256" s="418" t="s">
        <v>3800</v>
      </c>
      <c r="AU256">
        <v>8.61</v>
      </c>
      <c r="AV256">
        <v>8.59</v>
      </c>
      <c r="AW256">
        <v>8.52</v>
      </c>
    </row>
    <row r="257" spans="46:49" x14ac:dyDescent="0.2">
      <c r="AT257" s="418" t="s">
        <v>3838</v>
      </c>
      <c r="AU257">
        <v>8.61</v>
      </c>
      <c r="AV257">
        <v>8.59</v>
      </c>
      <c r="AW257">
        <v>8.52</v>
      </c>
    </row>
    <row r="258" spans="46:49" x14ac:dyDescent="0.2">
      <c r="AT258" s="418" t="s">
        <v>3838</v>
      </c>
      <c r="AU258">
        <v>8.61</v>
      </c>
      <c r="AV258">
        <v>8.59</v>
      </c>
      <c r="AW258">
        <v>8.5500000000000007</v>
      </c>
    </row>
    <row r="259" spans="46:49" x14ac:dyDescent="0.2">
      <c r="AT259" s="418" t="s">
        <v>3838</v>
      </c>
      <c r="AU259">
        <v>8.61</v>
      </c>
      <c r="AV259">
        <v>8.59</v>
      </c>
      <c r="AW259">
        <v>8.5299999999999994</v>
      </c>
    </row>
    <row r="260" spans="46:49" x14ac:dyDescent="0.2">
      <c r="AT260" s="418" t="s">
        <v>3889</v>
      </c>
      <c r="AU260">
        <v>8.61</v>
      </c>
      <c r="AV260">
        <v>8.59</v>
      </c>
      <c r="AW260">
        <v>8.5299999999999994</v>
      </c>
    </row>
    <row r="261" spans="46:49" x14ac:dyDescent="0.2">
      <c r="AT261" s="418" t="s">
        <v>3889</v>
      </c>
      <c r="AU261">
        <v>8.6</v>
      </c>
      <c r="AV261">
        <v>8.59</v>
      </c>
      <c r="AW261">
        <v>8.5</v>
      </c>
    </row>
    <row r="262" spans="46:49" x14ac:dyDescent="0.2">
      <c r="AT262" s="418" t="s">
        <v>3889</v>
      </c>
      <c r="AU262">
        <v>8.6</v>
      </c>
      <c r="AV262">
        <v>8.59</v>
      </c>
      <c r="AW262">
        <v>8.49</v>
      </c>
    </row>
    <row r="263" spans="46:49" x14ac:dyDescent="0.2">
      <c r="AT263" s="418" t="s">
        <v>3931</v>
      </c>
      <c r="AU263">
        <v>8.61</v>
      </c>
      <c r="AV263">
        <v>8.59</v>
      </c>
      <c r="AW263">
        <v>8.51</v>
      </c>
    </row>
    <row r="264" spans="46:49" x14ac:dyDescent="0.2">
      <c r="AT264" s="418" t="s">
        <v>3931</v>
      </c>
      <c r="AU264">
        <v>8.6</v>
      </c>
      <c r="AV264">
        <v>8.59</v>
      </c>
      <c r="AW264">
        <v>8.5500000000000007</v>
      </c>
    </row>
    <row r="265" spans="46:49" x14ac:dyDescent="0.2">
      <c r="AT265" s="418" t="s">
        <v>3952</v>
      </c>
      <c r="AU265">
        <v>8.61</v>
      </c>
      <c r="AV265">
        <v>8.59</v>
      </c>
      <c r="AW265">
        <v>8.57</v>
      </c>
    </row>
    <row r="266" spans="46:49" x14ac:dyDescent="0.2">
      <c r="AT266" s="418" t="s">
        <v>3990</v>
      </c>
      <c r="AU266">
        <v>8.61</v>
      </c>
      <c r="AV266">
        <v>8.59</v>
      </c>
      <c r="AW266">
        <v>8.56</v>
      </c>
    </row>
    <row r="267" spans="46:49" x14ac:dyDescent="0.2">
      <c r="AT267" s="418" t="s">
        <v>3989</v>
      </c>
      <c r="AU267">
        <v>8.6</v>
      </c>
      <c r="AV267">
        <v>8.58</v>
      </c>
      <c r="AW267">
        <v>8.51</v>
      </c>
    </row>
    <row r="268" spans="46:49" x14ac:dyDescent="0.2">
      <c r="AT268" s="418" t="s">
        <v>3989</v>
      </c>
      <c r="AU268">
        <v>8.6</v>
      </c>
      <c r="AV268">
        <v>8.59</v>
      </c>
      <c r="AW268">
        <v>8.5500000000000007</v>
      </c>
    </row>
    <row r="269" spans="46:49" x14ac:dyDescent="0.2">
      <c r="AT269" s="418" t="s">
        <v>3989</v>
      </c>
      <c r="AU269">
        <v>8.6</v>
      </c>
      <c r="AV269">
        <v>8.59</v>
      </c>
      <c r="AW269">
        <v>8.58</v>
      </c>
    </row>
    <row r="270" spans="46:49" x14ac:dyDescent="0.2">
      <c r="AT270" s="418" t="s">
        <v>4027</v>
      </c>
      <c r="AU270">
        <v>8.61</v>
      </c>
      <c r="AV270">
        <v>8.59</v>
      </c>
      <c r="AW270">
        <v>8.57</v>
      </c>
    </row>
    <row r="271" spans="46:49" x14ac:dyDescent="0.2">
      <c r="AT271" s="418" t="s">
        <v>4042</v>
      </c>
      <c r="AU271">
        <v>8.6</v>
      </c>
      <c r="AV271">
        <v>8.59</v>
      </c>
      <c r="AW271">
        <v>8.56</v>
      </c>
    </row>
    <row r="272" spans="46:49" x14ac:dyDescent="0.2">
      <c r="AT272" s="418" t="s">
        <v>4069</v>
      </c>
      <c r="AU272">
        <v>8.6</v>
      </c>
      <c r="AV272">
        <v>8.59</v>
      </c>
      <c r="AW272">
        <v>8.56</v>
      </c>
    </row>
    <row r="273" spans="46:49" x14ac:dyDescent="0.2">
      <c r="AT273" s="418" t="s">
        <v>4112</v>
      </c>
      <c r="AU273">
        <v>8.61</v>
      </c>
      <c r="AV273">
        <v>8.59</v>
      </c>
      <c r="AW273">
        <v>8.57</v>
      </c>
    </row>
    <row r="274" spans="46:49" x14ac:dyDescent="0.2">
      <c r="AT274" s="418" t="s">
        <v>4112</v>
      </c>
      <c r="AU274">
        <v>8.61</v>
      </c>
      <c r="AV274">
        <v>8.59</v>
      </c>
      <c r="AW274">
        <v>8.58</v>
      </c>
    </row>
    <row r="275" spans="46:49" x14ac:dyDescent="0.2">
      <c r="AT275" s="418" t="s">
        <v>4142</v>
      </c>
      <c r="AU275">
        <v>8.61</v>
      </c>
      <c r="AV275">
        <v>8.59</v>
      </c>
      <c r="AW275">
        <v>8.58</v>
      </c>
    </row>
    <row r="276" spans="46:49" x14ac:dyDescent="0.2">
      <c r="AT276" s="418" t="s">
        <v>4142</v>
      </c>
      <c r="AU276">
        <v>8.61</v>
      </c>
      <c r="AV276">
        <v>8.59</v>
      </c>
      <c r="AW276">
        <v>8.6</v>
      </c>
    </row>
    <row r="277" spans="46:49" x14ac:dyDescent="0.2">
      <c r="AT277" s="418" t="s">
        <v>4202</v>
      </c>
      <c r="AU277">
        <v>8.6</v>
      </c>
      <c r="AV277">
        <v>8.58</v>
      </c>
      <c r="AW277">
        <v>8.56</v>
      </c>
    </row>
    <row r="278" spans="46:49" x14ac:dyDescent="0.2">
      <c r="AT278" s="418" t="s">
        <v>4199</v>
      </c>
      <c r="AU278">
        <v>8.57</v>
      </c>
      <c r="AV278">
        <v>8.5500000000000007</v>
      </c>
      <c r="AW278">
        <v>8.19</v>
      </c>
    </row>
    <row r="279" spans="46:49" x14ac:dyDescent="0.2">
      <c r="AT279" s="418" t="s">
        <v>4199</v>
      </c>
      <c r="AU279">
        <v>8.57</v>
      </c>
      <c r="AV279">
        <v>8.5500000000000007</v>
      </c>
      <c r="AW279">
        <v>8.19</v>
      </c>
    </row>
    <row r="280" spans="46:49" x14ac:dyDescent="0.2">
      <c r="AT280" s="418" t="s">
        <v>4199</v>
      </c>
      <c r="AU280">
        <v>8.57</v>
      </c>
      <c r="AV280">
        <v>8.5500000000000007</v>
      </c>
      <c r="AW280">
        <v>8.18</v>
      </c>
    </row>
    <row r="281" spans="46:49" x14ac:dyDescent="0.2">
      <c r="AT281" s="418" t="s">
        <v>4283</v>
      </c>
      <c r="AU281">
        <v>8.57</v>
      </c>
      <c r="AV281">
        <v>8.5500000000000007</v>
      </c>
      <c r="AW281">
        <v>8.1999999999999993</v>
      </c>
    </row>
    <row r="282" spans="46:49" x14ac:dyDescent="0.2">
      <c r="AT282" s="418" t="s">
        <v>4283</v>
      </c>
      <c r="AU282">
        <v>8.57</v>
      </c>
      <c r="AV282">
        <v>8.5500000000000007</v>
      </c>
      <c r="AW282">
        <v>8.1999999999999993</v>
      </c>
    </row>
    <row r="283" spans="46:49" x14ac:dyDescent="0.2">
      <c r="AT283" s="418" t="s">
        <v>4312</v>
      </c>
      <c r="AU283">
        <v>8.57</v>
      </c>
      <c r="AV283">
        <v>8.5500000000000007</v>
      </c>
      <c r="AW283">
        <v>8.19</v>
      </c>
    </row>
    <row r="284" spans="46:49" x14ac:dyDescent="0.2">
      <c r="AT284" s="418" t="s">
        <v>4312</v>
      </c>
      <c r="AU284">
        <v>8.57</v>
      </c>
      <c r="AV284">
        <v>8.5500000000000007</v>
      </c>
      <c r="AW284">
        <v>8.1999999999999993</v>
      </c>
    </row>
    <row r="285" spans="46:49" x14ac:dyDescent="0.2">
      <c r="AT285" s="418" t="s">
        <v>4333</v>
      </c>
      <c r="AU285">
        <v>8.57</v>
      </c>
      <c r="AV285">
        <v>8.5500000000000007</v>
      </c>
      <c r="AW285">
        <v>8.18</v>
      </c>
    </row>
    <row r="286" spans="46:49" x14ac:dyDescent="0.2">
      <c r="AT286" s="418" t="s">
        <v>4349</v>
      </c>
      <c r="AU286">
        <v>8.57</v>
      </c>
      <c r="AV286">
        <v>8.5500000000000007</v>
      </c>
      <c r="AW286">
        <v>8.17</v>
      </c>
    </row>
    <row r="287" spans="46:49" x14ac:dyDescent="0.2">
      <c r="AT287" s="418" t="s">
        <v>4349</v>
      </c>
      <c r="AU287">
        <v>8.57</v>
      </c>
      <c r="AV287">
        <v>8.5500000000000007</v>
      </c>
      <c r="AW287">
        <v>8.23</v>
      </c>
    </row>
    <row r="288" spans="46:49" x14ac:dyDescent="0.2">
      <c r="AT288" s="418" t="s">
        <v>4392</v>
      </c>
      <c r="AU288">
        <v>8.57</v>
      </c>
      <c r="AV288">
        <v>8.5500000000000007</v>
      </c>
      <c r="AW288">
        <v>8.23</v>
      </c>
    </row>
    <row r="289" spans="46:49" x14ac:dyDescent="0.2">
      <c r="AT289" s="418" t="s">
        <v>4392</v>
      </c>
      <c r="AU289">
        <v>8.57</v>
      </c>
      <c r="AV289">
        <v>8.5500000000000007</v>
      </c>
      <c r="AW289">
        <v>8.2100000000000009</v>
      </c>
    </row>
    <row r="290" spans="46:49" x14ac:dyDescent="0.2">
      <c r="AT290" s="418" t="s">
        <v>4407</v>
      </c>
      <c r="AU290">
        <v>8.57</v>
      </c>
      <c r="AV290">
        <v>8.5500000000000007</v>
      </c>
      <c r="AW290">
        <v>8.18</v>
      </c>
    </row>
    <row r="291" spans="46:49" x14ac:dyDescent="0.2">
      <c r="AT291" s="418" t="s">
        <v>4420</v>
      </c>
      <c r="AU291">
        <v>8.57</v>
      </c>
      <c r="AV291">
        <v>8.5500000000000007</v>
      </c>
      <c r="AW291">
        <v>8.2200000000000006</v>
      </c>
    </row>
    <row r="292" spans="46:49" x14ac:dyDescent="0.2">
      <c r="AT292" s="418" t="s">
        <v>4452</v>
      </c>
      <c r="AU292">
        <v>8.57</v>
      </c>
      <c r="AV292">
        <v>8.5500000000000007</v>
      </c>
      <c r="AW292">
        <v>8.16</v>
      </c>
    </row>
    <row r="293" spans="46:49" x14ac:dyDescent="0.2">
      <c r="AT293" s="418" t="s">
        <v>4452</v>
      </c>
      <c r="AU293">
        <v>8.57</v>
      </c>
      <c r="AV293">
        <v>8.5500000000000007</v>
      </c>
      <c r="AW293">
        <v>8.15</v>
      </c>
    </row>
    <row r="294" spans="46:49" x14ac:dyDescent="0.2">
      <c r="AT294" s="418" t="s">
        <v>4495</v>
      </c>
      <c r="AU294">
        <v>8.57</v>
      </c>
      <c r="AV294">
        <v>8.5500000000000007</v>
      </c>
      <c r="AW294">
        <v>8.16</v>
      </c>
    </row>
    <row r="295" spans="46:49" x14ac:dyDescent="0.2">
      <c r="AT295" s="418" t="s">
        <v>4497</v>
      </c>
      <c r="AU295">
        <v>8.57</v>
      </c>
      <c r="AV295">
        <v>8.5500000000000007</v>
      </c>
      <c r="AW295">
        <v>8.1300000000000008</v>
      </c>
    </row>
    <row r="296" spans="46:49" x14ac:dyDescent="0.2">
      <c r="AT296" s="418" t="s">
        <v>4497</v>
      </c>
      <c r="AU296">
        <v>8.56</v>
      </c>
      <c r="AV296">
        <v>8.5399999999999991</v>
      </c>
      <c r="AW296">
        <v>8.01</v>
      </c>
    </row>
    <row r="297" spans="46:49" x14ac:dyDescent="0.2">
      <c r="AT297" s="418" t="s">
        <v>4539</v>
      </c>
      <c r="AU297">
        <v>8.56</v>
      </c>
      <c r="AV297">
        <v>8.5399999999999991</v>
      </c>
      <c r="AW297">
        <v>8.02</v>
      </c>
    </row>
    <row r="298" spans="46:49" x14ac:dyDescent="0.2">
      <c r="AT298" s="418" t="s">
        <v>4538</v>
      </c>
      <c r="AU298">
        <v>8.56</v>
      </c>
      <c r="AV298">
        <v>8.5399999999999991</v>
      </c>
      <c r="AW298">
        <v>8.4600000000000009</v>
      </c>
    </row>
    <row r="299" spans="46:49" x14ac:dyDescent="0.2">
      <c r="AT299" s="418" t="s">
        <v>4570</v>
      </c>
      <c r="AU299">
        <v>8.56</v>
      </c>
      <c r="AV299">
        <v>8.5399999999999991</v>
      </c>
      <c r="AW299">
        <v>8.4700000000000006</v>
      </c>
    </row>
    <row r="300" spans="46:49" x14ac:dyDescent="0.2">
      <c r="AT300" s="418" t="s">
        <v>4570</v>
      </c>
      <c r="AU300">
        <v>8.57</v>
      </c>
      <c r="AV300">
        <v>8.5399999999999991</v>
      </c>
      <c r="AW300">
        <v>8.4700000000000006</v>
      </c>
    </row>
    <row r="301" spans="46:49" x14ac:dyDescent="0.2">
      <c r="AT301" s="418" t="s">
        <v>4570</v>
      </c>
      <c r="AU301">
        <v>8.57</v>
      </c>
      <c r="AV301">
        <v>8.5399999999999991</v>
      </c>
      <c r="AW301">
        <v>8.4700000000000006</v>
      </c>
    </row>
    <row r="302" spans="46:49" x14ac:dyDescent="0.2">
      <c r="AT302" s="418" t="s">
        <v>4620</v>
      </c>
      <c r="AU302">
        <v>8.57</v>
      </c>
      <c r="AV302">
        <v>8.5399999999999991</v>
      </c>
      <c r="AW302">
        <v>8.48</v>
      </c>
    </row>
    <row r="303" spans="46:49" x14ac:dyDescent="0.2">
      <c r="AT303" s="418" t="s">
        <v>4644</v>
      </c>
      <c r="AU303">
        <v>8.57</v>
      </c>
      <c r="AV303">
        <v>8.5500000000000007</v>
      </c>
      <c r="AW303">
        <v>8.49</v>
      </c>
    </row>
    <row r="304" spans="46:49" x14ac:dyDescent="0.2">
      <c r="AT304" s="418" t="s">
        <v>4644</v>
      </c>
      <c r="AU304">
        <v>8.57</v>
      </c>
      <c r="AV304">
        <v>8.5399999999999991</v>
      </c>
      <c r="AW304">
        <v>8.4700000000000006</v>
      </c>
    </row>
    <row r="305" spans="46:49" x14ac:dyDescent="0.2">
      <c r="AT305" s="418" t="s">
        <v>4662</v>
      </c>
      <c r="AU305">
        <v>8.57</v>
      </c>
      <c r="AV305">
        <v>8.5399999999999991</v>
      </c>
      <c r="AW305">
        <v>8.49</v>
      </c>
    </row>
    <row r="306" spans="46:49" x14ac:dyDescent="0.2">
      <c r="AT306" s="418" t="s">
        <v>4662</v>
      </c>
      <c r="AU306">
        <v>8.57</v>
      </c>
      <c r="AV306">
        <v>8.5500000000000007</v>
      </c>
      <c r="AW306">
        <v>8.5299999999999994</v>
      </c>
    </row>
    <row r="307" spans="46:49" x14ac:dyDescent="0.2">
      <c r="AT307" s="418" t="s">
        <v>4729</v>
      </c>
      <c r="AU307">
        <v>8.57</v>
      </c>
      <c r="AV307">
        <v>8.5500000000000007</v>
      </c>
      <c r="AW307">
        <v>8.51</v>
      </c>
    </row>
    <row r="308" spans="46:49" x14ac:dyDescent="0.2">
      <c r="AT308" s="418" t="s">
        <v>4728</v>
      </c>
      <c r="AU308">
        <v>8.57</v>
      </c>
      <c r="AV308">
        <v>8.5500000000000007</v>
      </c>
      <c r="AW308">
        <v>8.5</v>
      </c>
    </row>
    <row r="309" spans="46:49" x14ac:dyDescent="0.2">
      <c r="AT309" s="418" t="s">
        <v>4724</v>
      </c>
      <c r="AU309">
        <v>8.57</v>
      </c>
      <c r="AV309">
        <v>8.5500000000000007</v>
      </c>
      <c r="AW309">
        <v>8.49</v>
      </c>
    </row>
    <row r="310" spans="46:49" x14ac:dyDescent="0.2">
      <c r="AT310" s="418" t="s">
        <v>4726</v>
      </c>
      <c r="AU310">
        <v>8.57</v>
      </c>
      <c r="AV310">
        <v>8.5500000000000007</v>
      </c>
      <c r="AW310">
        <v>8.5299999999999994</v>
      </c>
    </row>
    <row r="311" spans="46:49" x14ac:dyDescent="0.2">
      <c r="AT311" s="418" t="s">
        <v>4759</v>
      </c>
      <c r="AU311">
        <v>8.57</v>
      </c>
      <c r="AV311">
        <v>8.5399999999999991</v>
      </c>
      <c r="AW311">
        <v>8.48</v>
      </c>
    </row>
    <row r="312" spans="46:49" x14ac:dyDescent="0.2">
      <c r="AT312" s="418" t="s">
        <v>4759</v>
      </c>
      <c r="AU312">
        <v>8.57</v>
      </c>
      <c r="AV312">
        <v>8.5399999999999991</v>
      </c>
      <c r="AW312">
        <v>8.5299999999999994</v>
      </c>
    </row>
    <row r="313" spans="46:49" x14ac:dyDescent="0.2">
      <c r="AT313" s="418" t="s">
        <v>4759</v>
      </c>
      <c r="AU313">
        <v>8.57</v>
      </c>
      <c r="AV313">
        <v>8.5399999999999991</v>
      </c>
      <c r="AW313">
        <v>8.52</v>
      </c>
    </row>
    <row r="314" spans="46:49" x14ac:dyDescent="0.2">
      <c r="AT314" s="418" t="s">
        <v>4802</v>
      </c>
      <c r="AU314">
        <v>8.57</v>
      </c>
      <c r="AV314">
        <v>8.5500000000000007</v>
      </c>
      <c r="AW314">
        <v>8.5299999999999994</v>
      </c>
    </row>
    <row r="315" spans="46:49" x14ac:dyDescent="0.2">
      <c r="AT315" s="418" t="s">
        <v>4817</v>
      </c>
      <c r="AU315">
        <v>8.57</v>
      </c>
      <c r="AV315">
        <v>8.5500000000000007</v>
      </c>
      <c r="AW315">
        <v>8.56</v>
      </c>
    </row>
    <row r="316" spans="46:49" x14ac:dyDescent="0.2">
      <c r="AT316" s="418" t="s">
        <v>4837</v>
      </c>
      <c r="AU316">
        <v>8.57</v>
      </c>
      <c r="AV316">
        <v>8.5399999999999991</v>
      </c>
      <c r="AW316">
        <v>8.67</v>
      </c>
    </row>
    <row r="317" spans="46:49" x14ac:dyDescent="0.2">
      <c r="AT317" s="418" t="s">
        <v>4916</v>
      </c>
      <c r="AU317">
        <v>8.57</v>
      </c>
      <c r="AV317">
        <v>8.5500000000000007</v>
      </c>
      <c r="AW317">
        <v>8.7100000000000009</v>
      </c>
    </row>
    <row r="318" spans="46:49" x14ac:dyDescent="0.2">
      <c r="AT318" s="418" t="s">
        <v>5148</v>
      </c>
      <c r="AU318">
        <v>8.57</v>
      </c>
      <c r="AV318">
        <v>8.5399999999999991</v>
      </c>
      <c r="AW318">
        <v>8.59</v>
      </c>
    </row>
    <row r="319" spans="46:49" x14ac:dyDescent="0.2">
      <c r="AT319" s="418" t="s">
        <v>5148</v>
      </c>
      <c r="AU319">
        <v>8.57</v>
      </c>
      <c r="AV319">
        <v>8.5399999999999991</v>
      </c>
      <c r="AW319">
        <v>8.58</v>
      </c>
    </row>
    <row r="320" spans="46:49" x14ac:dyDescent="0.2">
      <c r="AT320" s="418" t="s">
        <v>5250</v>
      </c>
      <c r="AU320">
        <v>8.56</v>
      </c>
      <c r="AV320">
        <v>8.5399999999999991</v>
      </c>
      <c r="AW320">
        <v>8.56</v>
      </c>
    </row>
    <row r="321" spans="46:49" x14ac:dyDescent="0.2">
      <c r="AT321" s="418" t="s">
        <v>5302</v>
      </c>
      <c r="AU321">
        <v>8.57</v>
      </c>
      <c r="AV321">
        <v>8.5399999999999991</v>
      </c>
      <c r="AW321">
        <v>8.58</v>
      </c>
    </row>
    <row r="322" spans="46:49" x14ac:dyDescent="0.2">
      <c r="AT322" s="418" t="s">
        <v>5339</v>
      </c>
      <c r="AU322">
        <v>8.57</v>
      </c>
      <c r="AV322">
        <v>8.5399999999999991</v>
      </c>
      <c r="AW322">
        <v>8.57</v>
      </c>
    </row>
    <row r="323" spans="46:49" x14ac:dyDescent="0.2">
      <c r="AT323" s="418" t="s">
        <v>5367</v>
      </c>
      <c r="AU323">
        <v>8.57</v>
      </c>
      <c r="AV323">
        <v>8.5399999999999991</v>
      </c>
      <c r="AW323">
        <v>8.56</v>
      </c>
    </row>
    <row r="324" spans="46:49" x14ac:dyDescent="0.2">
      <c r="AT324" s="418" t="s">
        <v>5389</v>
      </c>
      <c r="AU324">
        <v>8.57</v>
      </c>
      <c r="AV324">
        <v>8.5399999999999991</v>
      </c>
      <c r="AW324">
        <v>8.58</v>
      </c>
    </row>
    <row r="325" spans="46:49" x14ac:dyDescent="0.2">
      <c r="AT325" s="418" t="s">
        <v>5430</v>
      </c>
      <c r="AU325">
        <v>8.57</v>
      </c>
      <c r="AV325">
        <v>8.5399999999999991</v>
      </c>
      <c r="AW325">
        <v>8.58</v>
      </c>
    </row>
    <row r="326" spans="46:49" x14ac:dyDescent="0.2">
      <c r="AT326" s="418" t="s">
        <v>5430</v>
      </c>
      <c r="AU326">
        <v>8.57</v>
      </c>
      <c r="AV326">
        <v>8.5399999999999991</v>
      </c>
      <c r="AW326">
        <v>8.57</v>
      </c>
    </row>
    <row r="327" spans="46:49" x14ac:dyDescent="0.2">
      <c r="AT327" s="418" t="s">
        <v>5461</v>
      </c>
      <c r="AU327">
        <v>8.57</v>
      </c>
      <c r="AV327">
        <v>8.5500000000000007</v>
      </c>
      <c r="AW327">
        <v>8.61</v>
      </c>
    </row>
    <row r="328" spans="46:49" x14ac:dyDescent="0.2">
      <c r="AT328" s="418" t="s">
        <v>5480</v>
      </c>
      <c r="AU328">
        <v>8.57</v>
      </c>
      <c r="AV328">
        <v>8.5399999999999991</v>
      </c>
      <c r="AW328">
        <v>8.59</v>
      </c>
    </row>
    <row r="329" spans="46:49" x14ac:dyDescent="0.2">
      <c r="AT329" s="418" t="s">
        <v>5499</v>
      </c>
      <c r="AU329">
        <v>8.57</v>
      </c>
      <c r="AV329">
        <v>8.5500000000000007</v>
      </c>
      <c r="AW329">
        <v>8.6199999999999992</v>
      </c>
    </row>
    <row r="330" spans="46:49" x14ac:dyDescent="0.2">
      <c r="AT330" s="418" t="s">
        <v>5512</v>
      </c>
      <c r="AU330">
        <v>8.57</v>
      </c>
      <c r="AV330">
        <v>8.5500000000000007</v>
      </c>
      <c r="AW330">
        <v>8.6</v>
      </c>
    </row>
    <row r="331" spans="46:49" x14ac:dyDescent="0.2">
      <c r="AT331" s="418" t="s">
        <v>5512</v>
      </c>
      <c r="AU331">
        <v>8.57</v>
      </c>
      <c r="AV331">
        <v>8.5500000000000007</v>
      </c>
      <c r="AW331">
        <v>8.6199999999999992</v>
      </c>
    </row>
    <row r="332" spans="46:49" x14ac:dyDescent="0.2">
      <c r="AT332" s="418" t="s">
        <v>5560</v>
      </c>
      <c r="AU332">
        <v>8.56</v>
      </c>
      <c r="AV332">
        <v>8.5299999999999994</v>
      </c>
      <c r="AW332">
        <v>8.3699999999999992</v>
      </c>
    </row>
    <row r="333" spans="46:49" x14ac:dyDescent="0.2">
      <c r="AT333" s="418" t="s">
        <v>5615</v>
      </c>
      <c r="AU333">
        <v>8.56</v>
      </c>
      <c r="AV333">
        <v>8.5299999999999994</v>
      </c>
      <c r="AW333">
        <v>8.4</v>
      </c>
    </row>
    <row r="334" spans="46:49" x14ac:dyDescent="0.2">
      <c r="AT334" s="418" t="s">
        <v>5614</v>
      </c>
      <c r="AU334">
        <v>8.5500000000000007</v>
      </c>
      <c r="AV334">
        <v>8.5299999999999994</v>
      </c>
      <c r="AW334">
        <v>8.31</v>
      </c>
    </row>
    <row r="335" spans="46:49" x14ac:dyDescent="0.2">
      <c r="AT335" s="418" t="s">
        <v>5614</v>
      </c>
      <c r="AU335">
        <v>8.5500000000000007</v>
      </c>
      <c r="AV335">
        <v>8.52</v>
      </c>
      <c r="AW335">
        <v>8.2799999999999994</v>
      </c>
    </row>
    <row r="336" spans="46:49" x14ac:dyDescent="0.2">
      <c r="AT336" s="418" t="s">
        <v>5614</v>
      </c>
      <c r="AU336">
        <v>8.5500000000000007</v>
      </c>
      <c r="AV336">
        <v>8.52</v>
      </c>
      <c r="AW336">
        <v>8.2899999999999991</v>
      </c>
    </row>
    <row r="337" spans="46:49" x14ac:dyDescent="0.2">
      <c r="AT337" s="418" t="s">
        <v>5682</v>
      </c>
      <c r="AU337">
        <v>8.5500000000000007</v>
      </c>
      <c r="AV337">
        <v>8.52</v>
      </c>
      <c r="AW337">
        <v>8.25</v>
      </c>
    </row>
    <row r="338" spans="46:49" x14ac:dyDescent="0.2">
      <c r="AT338" s="418" t="s">
        <v>5682</v>
      </c>
      <c r="AU338">
        <v>8.5500000000000007</v>
      </c>
      <c r="AV338">
        <v>8.52</v>
      </c>
      <c r="AW338">
        <v>8.2899999999999991</v>
      </c>
    </row>
    <row r="339" spans="46:49" x14ac:dyDescent="0.2">
      <c r="AT339" s="418" t="s">
        <v>5682</v>
      </c>
      <c r="AU339">
        <v>8.5500000000000007</v>
      </c>
      <c r="AV339">
        <v>8.52</v>
      </c>
      <c r="AW339">
        <v>8.27</v>
      </c>
    </row>
    <row r="340" spans="46:49" x14ac:dyDescent="0.2">
      <c r="AT340" s="418" t="s">
        <v>5682</v>
      </c>
      <c r="AU340">
        <v>8.5399999999999991</v>
      </c>
      <c r="AV340">
        <v>8.52</v>
      </c>
      <c r="AW340">
        <v>8.25</v>
      </c>
    </row>
    <row r="341" spans="46:49" x14ac:dyDescent="0.2">
      <c r="AT341" s="418" t="s">
        <v>5682</v>
      </c>
      <c r="AU341">
        <v>8.5399999999999991</v>
      </c>
      <c r="AV341">
        <v>8.52</v>
      </c>
      <c r="AW341">
        <v>8.23</v>
      </c>
    </row>
    <row r="342" spans="46:49" x14ac:dyDescent="0.2">
      <c r="AT342" s="418" t="s">
        <v>5780</v>
      </c>
      <c r="AU342">
        <v>8.5399999999999991</v>
      </c>
      <c r="AV342">
        <v>8.52</v>
      </c>
      <c r="AW342">
        <v>8.2100000000000009</v>
      </c>
    </row>
    <row r="343" spans="46:49" x14ac:dyDescent="0.2">
      <c r="AT343" s="418" t="s">
        <v>5821</v>
      </c>
      <c r="AU343">
        <v>8.5399999999999991</v>
      </c>
      <c r="AV343">
        <v>8.52</v>
      </c>
      <c r="AW343">
        <v>8.23</v>
      </c>
    </row>
    <row r="344" spans="46:49" x14ac:dyDescent="0.2">
      <c r="AT344" s="418" t="s">
        <v>5837</v>
      </c>
      <c r="AU344">
        <v>8.5399999999999991</v>
      </c>
      <c r="AV344">
        <v>8.52</v>
      </c>
      <c r="AW344">
        <v>8.2200000000000006</v>
      </c>
    </row>
    <row r="345" spans="46:49" x14ac:dyDescent="0.2">
      <c r="AT345" s="418" t="s">
        <v>5858</v>
      </c>
      <c r="AU345">
        <v>8.5399999999999991</v>
      </c>
      <c r="AV345">
        <v>8.52</v>
      </c>
      <c r="AW345">
        <v>8.2100000000000009</v>
      </c>
    </row>
    <row r="346" spans="46:49" x14ac:dyDescent="0.2">
      <c r="AT346" s="418" t="s">
        <v>5953</v>
      </c>
      <c r="AU346">
        <v>8.5500000000000007</v>
      </c>
      <c r="AV346">
        <v>8.52</v>
      </c>
      <c r="AW346">
        <v>8.1999999999999993</v>
      </c>
    </row>
    <row r="349" spans="46:49" x14ac:dyDescent="0.2">
      <c r="AT349" s="418" t="s">
        <v>3641</v>
      </c>
      <c r="AU349" t="s">
        <v>5971</v>
      </c>
    </row>
    <row r="350" spans="46:49" x14ac:dyDescent="0.2">
      <c r="AT350" s="418" t="s">
        <v>3643</v>
      </c>
      <c r="AU350">
        <v>8.73</v>
      </c>
    </row>
    <row r="351" spans="46:49" x14ac:dyDescent="0.2">
      <c r="AT351" s="418" t="s">
        <v>3644</v>
      </c>
      <c r="AU351">
        <v>8.7799999999999994</v>
      </c>
    </row>
    <row r="352" spans="46:49" x14ac:dyDescent="0.2">
      <c r="AT352" s="418" t="s">
        <v>3645</v>
      </c>
      <c r="AU352">
        <v>8.5299999999999994</v>
      </c>
    </row>
    <row r="353" spans="46:47" x14ac:dyDescent="0.2">
      <c r="AT353" s="418" t="s">
        <v>3646</v>
      </c>
      <c r="AU353">
        <v>8.65</v>
      </c>
    </row>
    <row r="354" spans="46:47" x14ac:dyDescent="0.2">
      <c r="AT354" s="418" t="s">
        <v>3647</v>
      </c>
      <c r="AU354">
        <v>8.5299999999999994</v>
      </c>
    </row>
    <row r="355" spans="46:47" x14ac:dyDescent="0.2">
      <c r="AT355" s="418" t="s">
        <v>3648</v>
      </c>
      <c r="AU355">
        <v>8.44</v>
      </c>
    </row>
    <row r="356" spans="46:47" x14ac:dyDescent="0.2">
      <c r="AT356" s="418" t="s">
        <v>3903</v>
      </c>
      <c r="AU356">
        <v>8.32</v>
      </c>
    </row>
    <row r="357" spans="46:47" x14ac:dyDescent="0.2">
      <c r="AT357" s="418" t="s">
        <v>4571</v>
      </c>
      <c r="AU357">
        <v>8.65</v>
      </c>
    </row>
    <row r="358" spans="46:47" x14ac:dyDescent="0.2">
      <c r="AT358" s="418" t="s">
        <v>4917</v>
      </c>
      <c r="AU358">
        <v>8.2799999999999994</v>
      </c>
    </row>
    <row r="359" spans="46:47" x14ac:dyDescent="0.2">
      <c r="AT359" s="418" t="s">
        <v>5845</v>
      </c>
      <c r="AU359">
        <v>8.68</v>
      </c>
    </row>
    <row r="362" spans="46:47" x14ac:dyDescent="0.2">
      <c r="AT362" s="418" t="s">
        <v>3650</v>
      </c>
      <c r="AU362" t="s">
        <v>3651</v>
      </c>
    </row>
    <row r="363" spans="46:47" x14ac:dyDescent="0.2">
      <c r="AT363" s="418" t="s">
        <v>3652</v>
      </c>
      <c r="AU363">
        <v>6</v>
      </c>
    </row>
    <row r="364" spans="46:47" x14ac:dyDescent="0.2">
      <c r="AT364" s="418" t="s">
        <v>3653</v>
      </c>
      <c r="AU364">
        <v>0</v>
      </c>
    </row>
    <row r="365" spans="46:47" x14ac:dyDescent="0.2">
      <c r="AT365" s="418" t="s">
        <v>3654</v>
      </c>
      <c r="AU365">
        <v>5</v>
      </c>
    </row>
    <row r="366" spans="46:47" x14ac:dyDescent="0.2">
      <c r="AT366" s="418" t="s">
        <v>3655</v>
      </c>
      <c r="AU366">
        <v>1</v>
      </c>
    </row>
    <row r="367" spans="46:47" x14ac:dyDescent="0.2">
      <c r="AT367" s="418" t="s">
        <v>3656</v>
      </c>
      <c r="AU367">
        <v>6</v>
      </c>
    </row>
    <row r="368" spans="46:47" x14ac:dyDescent="0.2">
      <c r="AT368" s="418" t="s">
        <v>3657</v>
      </c>
      <c r="AU368">
        <v>1</v>
      </c>
    </row>
    <row r="369" spans="46:47" x14ac:dyDescent="0.2">
      <c r="AT369" s="418" t="s">
        <v>3658</v>
      </c>
      <c r="AU369">
        <v>10</v>
      </c>
    </row>
    <row r="370" spans="46:47" x14ac:dyDescent="0.2">
      <c r="AT370" s="418" t="s">
        <v>3659</v>
      </c>
      <c r="AU370">
        <v>2</v>
      </c>
    </row>
    <row r="371" spans="46:47" x14ac:dyDescent="0.2">
      <c r="AT371" s="418" t="s">
        <v>3660</v>
      </c>
      <c r="AU371">
        <v>10</v>
      </c>
    </row>
    <row r="372" spans="46:47" x14ac:dyDescent="0.2">
      <c r="AT372" s="418" t="s">
        <v>3661</v>
      </c>
      <c r="AU372">
        <v>0</v>
      </c>
    </row>
    <row r="373" spans="46:47" x14ac:dyDescent="0.2">
      <c r="AT373" s="418" t="s">
        <v>3662</v>
      </c>
      <c r="AU373">
        <v>9</v>
      </c>
    </row>
    <row r="374" spans="46:47" x14ac:dyDescent="0.2">
      <c r="AT374" s="418" t="s">
        <v>3663</v>
      </c>
      <c r="AU374">
        <v>2</v>
      </c>
    </row>
    <row r="375" spans="46:47" x14ac:dyDescent="0.2">
      <c r="AT375" s="418" t="s">
        <v>3664</v>
      </c>
      <c r="AU375">
        <v>24</v>
      </c>
    </row>
    <row r="376" spans="46:47" x14ac:dyDescent="0.2">
      <c r="AT376" s="418" t="s">
        <v>3665</v>
      </c>
      <c r="AU376">
        <v>28</v>
      </c>
    </row>
    <row r="377" spans="46:47" x14ac:dyDescent="0.2">
      <c r="AT377" s="418" t="s">
        <v>3666</v>
      </c>
      <c r="AU377">
        <v>120</v>
      </c>
    </row>
    <row r="378" spans="46:47" x14ac:dyDescent="0.2">
      <c r="AT378" s="418" t="s">
        <v>3667</v>
      </c>
      <c r="AU378">
        <v>277</v>
      </c>
    </row>
    <row r="379" spans="46:47" x14ac:dyDescent="0.2">
      <c r="AT379" s="418" t="s">
        <v>3668</v>
      </c>
      <c r="AU379">
        <v>790</v>
      </c>
    </row>
    <row r="380" spans="46:47" x14ac:dyDescent="0.2">
      <c r="AT380" s="418" t="s">
        <v>3669</v>
      </c>
      <c r="AU380">
        <v>723</v>
      </c>
    </row>
    <row r="381" spans="46:47" x14ac:dyDescent="0.2">
      <c r="AT381" s="418" t="s">
        <v>3670</v>
      </c>
      <c r="AU381">
        <v>556</v>
      </c>
    </row>
    <row r="382" spans="46:47" x14ac:dyDescent="0.2">
      <c r="AT382" s="418" t="s">
        <v>3671</v>
      </c>
      <c r="AU382">
        <v>181</v>
      </c>
    </row>
    <row r="383" spans="46:47" x14ac:dyDescent="0.2">
      <c r="AT383" s="418" t="s">
        <v>3672</v>
      </c>
      <c r="AU383">
        <v>353</v>
      </c>
    </row>
    <row r="384" spans="46:47" x14ac:dyDescent="0.2">
      <c r="AT384" s="418" t="s">
        <v>3673</v>
      </c>
      <c r="AU384">
        <v>126</v>
      </c>
    </row>
    <row r="387" spans="46:47" x14ac:dyDescent="0.2">
      <c r="AT387" s="418" t="s">
        <v>5972</v>
      </c>
      <c r="AU387" t="s">
        <v>3650</v>
      </c>
    </row>
    <row r="388" spans="46:47" x14ac:dyDescent="0.2">
      <c r="AT388" s="418" t="s">
        <v>5973</v>
      </c>
      <c r="AU388">
        <v>0</v>
      </c>
    </row>
    <row r="389" spans="46:47" x14ac:dyDescent="0.2">
      <c r="AT389" s="418" t="s">
        <v>5974</v>
      </c>
      <c r="AU389">
        <v>6</v>
      </c>
    </row>
    <row r="390" spans="46:47" x14ac:dyDescent="0.2">
      <c r="AT390" s="418" t="s">
        <v>5975</v>
      </c>
      <c r="AU390">
        <v>7</v>
      </c>
    </row>
    <row r="391" spans="46:47" x14ac:dyDescent="0.2">
      <c r="AT391" s="418" t="s">
        <v>5976</v>
      </c>
      <c r="AU391">
        <v>7</v>
      </c>
    </row>
    <row r="392" spans="46:47" x14ac:dyDescent="0.2">
      <c r="AT392" s="418" t="s">
        <v>5977</v>
      </c>
      <c r="AU392">
        <v>7.5</v>
      </c>
    </row>
    <row r="393" spans="46:47" x14ac:dyDescent="0.2">
      <c r="AT393" s="418" t="s">
        <v>3752</v>
      </c>
      <c r="AU393">
        <v>7.5</v>
      </c>
    </row>
    <row r="394" spans="46:47" x14ac:dyDescent="0.2">
      <c r="AT394" s="418" t="s">
        <v>5978</v>
      </c>
      <c r="AU394">
        <v>7.5</v>
      </c>
    </row>
    <row r="395" spans="46:47" x14ac:dyDescent="0.2">
      <c r="AT395" s="418" t="s">
        <v>5979</v>
      </c>
      <c r="AU395">
        <v>7.5</v>
      </c>
    </row>
    <row r="396" spans="46:47" x14ac:dyDescent="0.2">
      <c r="AT396" s="418" t="s">
        <v>5980</v>
      </c>
      <c r="AU396">
        <v>8</v>
      </c>
    </row>
    <row r="397" spans="46:47" x14ac:dyDescent="0.2">
      <c r="AT397" s="418" t="s">
        <v>5981</v>
      </c>
      <c r="AU397">
        <v>8</v>
      </c>
    </row>
    <row r="398" spans="46:47" x14ac:dyDescent="0.2">
      <c r="AT398" s="418" t="s">
        <v>3753</v>
      </c>
      <c r="AU398">
        <v>8</v>
      </c>
    </row>
    <row r="399" spans="46:47" x14ac:dyDescent="0.2">
      <c r="AT399" s="418" t="s">
        <v>5982</v>
      </c>
      <c r="AU399">
        <v>8</v>
      </c>
    </row>
    <row r="400" spans="46:47" x14ac:dyDescent="0.2">
      <c r="AT400" s="418" t="s">
        <v>5983</v>
      </c>
      <c r="AU400">
        <v>8</v>
      </c>
    </row>
    <row r="401" spans="46:47" x14ac:dyDescent="0.2">
      <c r="AT401" s="418" t="s">
        <v>5984</v>
      </c>
      <c r="AU401">
        <v>8</v>
      </c>
    </row>
    <row r="402" spans="46:47" x14ac:dyDescent="0.2">
      <c r="AT402" s="418" t="s">
        <v>5985</v>
      </c>
      <c r="AU402">
        <v>8</v>
      </c>
    </row>
    <row r="403" spans="46:47" x14ac:dyDescent="0.2">
      <c r="AT403" s="418" t="s">
        <v>3754</v>
      </c>
      <c r="AU403">
        <v>8</v>
      </c>
    </row>
    <row r="404" spans="46:47" x14ac:dyDescent="0.2">
      <c r="AT404" s="418" t="s">
        <v>5986</v>
      </c>
      <c r="AU404">
        <v>8</v>
      </c>
    </row>
    <row r="405" spans="46:47" x14ac:dyDescent="0.2">
      <c r="AT405" s="418" t="s">
        <v>5987</v>
      </c>
      <c r="AU405">
        <v>8</v>
      </c>
    </row>
    <row r="406" spans="46:47" x14ac:dyDescent="0.2">
      <c r="AT406" s="418" t="s">
        <v>5988</v>
      </c>
      <c r="AU406">
        <v>8</v>
      </c>
    </row>
    <row r="407" spans="46:47" x14ac:dyDescent="0.2">
      <c r="AT407" s="418" t="s">
        <v>5989</v>
      </c>
      <c r="AU407">
        <v>8</v>
      </c>
    </row>
    <row r="408" spans="46:47" x14ac:dyDescent="0.2">
      <c r="AT408" s="418" t="s">
        <v>3755</v>
      </c>
      <c r="AU408">
        <v>8.5</v>
      </c>
    </row>
    <row r="409" spans="46:47" x14ac:dyDescent="0.2">
      <c r="AT409" s="418" t="s">
        <v>5990</v>
      </c>
      <c r="AU409">
        <v>8.5</v>
      </c>
    </row>
    <row r="410" spans="46:47" x14ac:dyDescent="0.2">
      <c r="AT410" s="418" t="s">
        <v>5991</v>
      </c>
      <c r="AU410">
        <v>8.5</v>
      </c>
    </row>
    <row r="411" spans="46:47" x14ac:dyDescent="0.2">
      <c r="AT411" s="418" t="s">
        <v>5992</v>
      </c>
      <c r="AU411">
        <v>8.5</v>
      </c>
    </row>
    <row r="412" spans="46:47" x14ac:dyDescent="0.2">
      <c r="AT412" s="418" t="s">
        <v>5993</v>
      </c>
      <c r="AU412">
        <v>8.5</v>
      </c>
    </row>
    <row r="413" spans="46:47" x14ac:dyDescent="0.2">
      <c r="AT413" s="418" t="s">
        <v>3756</v>
      </c>
      <c r="AU413">
        <v>8.5</v>
      </c>
    </row>
    <row r="414" spans="46:47" x14ac:dyDescent="0.2">
      <c r="AT414" s="418" t="s">
        <v>5994</v>
      </c>
      <c r="AU414">
        <v>8.5</v>
      </c>
    </row>
    <row r="415" spans="46:47" x14ac:dyDescent="0.2">
      <c r="AT415" s="418" t="s">
        <v>5995</v>
      </c>
      <c r="AU415">
        <v>8.5</v>
      </c>
    </row>
    <row r="416" spans="46:47" x14ac:dyDescent="0.2">
      <c r="AT416" s="418" t="s">
        <v>5996</v>
      </c>
      <c r="AU416">
        <v>8.5</v>
      </c>
    </row>
    <row r="417" spans="46:47" x14ac:dyDescent="0.2">
      <c r="AT417" s="418" t="s">
        <v>5997</v>
      </c>
      <c r="AU417">
        <v>8.5</v>
      </c>
    </row>
    <row r="418" spans="46:47" x14ac:dyDescent="0.2">
      <c r="AT418" s="418" t="s">
        <v>3757</v>
      </c>
      <c r="AU418">
        <v>8.5</v>
      </c>
    </row>
    <row r="419" spans="46:47" x14ac:dyDescent="0.2">
      <c r="AT419" s="418" t="s">
        <v>5998</v>
      </c>
      <c r="AU419">
        <v>8.5</v>
      </c>
    </row>
    <row r="420" spans="46:47" x14ac:dyDescent="0.2">
      <c r="AT420" s="418" t="s">
        <v>5999</v>
      </c>
      <c r="AU420">
        <v>9</v>
      </c>
    </row>
    <row r="421" spans="46:47" x14ac:dyDescent="0.2">
      <c r="AT421" s="418" t="s">
        <v>6000</v>
      </c>
      <c r="AU421">
        <v>9</v>
      </c>
    </row>
    <row r="422" spans="46:47" x14ac:dyDescent="0.2">
      <c r="AT422" s="418" t="s">
        <v>6001</v>
      </c>
      <c r="AU422">
        <v>9</v>
      </c>
    </row>
    <row r="423" spans="46:47" x14ac:dyDescent="0.2">
      <c r="AT423" s="418" t="s">
        <v>3758</v>
      </c>
      <c r="AU423">
        <v>9</v>
      </c>
    </row>
    <row r="424" spans="46:47" x14ac:dyDescent="0.2">
      <c r="AT424" s="418" t="s">
        <v>6002</v>
      </c>
      <c r="AU424">
        <v>9</v>
      </c>
    </row>
    <row r="425" spans="46:47" x14ac:dyDescent="0.2">
      <c r="AT425" s="418" t="s">
        <v>6003</v>
      </c>
      <c r="AU425">
        <v>9</v>
      </c>
    </row>
    <row r="426" spans="46:47" x14ac:dyDescent="0.2">
      <c r="AT426" s="418" t="s">
        <v>6004</v>
      </c>
      <c r="AU426">
        <v>9</v>
      </c>
    </row>
    <row r="427" spans="46:47" x14ac:dyDescent="0.2">
      <c r="AT427" s="418" t="s">
        <v>6005</v>
      </c>
      <c r="AU427">
        <v>9</v>
      </c>
    </row>
    <row r="428" spans="46:47" x14ac:dyDescent="0.2">
      <c r="AT428" s="418" t="s">
        <v>3759</v>
      </c>
      <c r="AU428">
        <v>9.5</v>
      </c>
    </row>
    <row r="429" spans="46:47" x14ac:dyDescent="0.2">
      <c r="AT429" s="418" t="s">
        <v>6006</v>
      </c>
      <c r="AU429">
        <v>9.5</v>
      </c>
    </row>
    <row r="430" spans="46:47" x14ac:dyDescent="0.2">
      <c r="AT430" s="418" t="s">
        <v>6007</v>
      </c>
      <c r="AU430">
        <v>9.5</v>
      </c>
    </row>
    <row r="431" spans="46:47" x14ac:dyDescent="0.2">
      <c r="AT431" s="418" t="s">
        <v>6008</v>
      </c>
      <c r="AU431">
        <v>10</v>
      </c>
    </row>
    <row r="432" spans="46:47" x14ac:dyDescent="0.2">
      <c r="AT432" s="418" t="s">
        <v>6009</v>
      </c>
      <c r="AU432">
        <v>10</v>
      </c>
    </row>
    <row r="433" spans="46:47" x14ac:dyDescent="0.2">
      <c r="AT433" s="418" t="s">
        <v>3760</v>
      </c>
      <c r="AU433">
        <v>10</v>
      </c>
    </row>
    <row r="434" spans="46:47" x14ac:dyDescent="0.2">
      <c r="AT434" s="418" t="s">
        <v>6010</v>
      </c>
      <c r="AU434">
        <v>10</v>
      </c>
    </row>
    <row r="435" spans="46:47" x14ac:dyDescent="0.2">
      <c r="AT435" s="418" t="s">
        <v>6011</v>
      </c>
      <c r="AU435">
        <v>10</v>
      </c>
    </row>
    <row r="436" spans="46:47" x14ac:dyDescent="0.2">
      <c r="AT436" s="418" t="s">
        <v>6012</v>
      </c>
      <c r="AU436">
        <v>10</v>
      </c>
    </row>
    <row r="437" spans="46:47" x14ac:dyDescent="0.2">
      <c r="AT437" s="418" t="s">
        <v>6013</v>
      </c>
      <c r="AU437">
        <v>10.5</v>
      </c>
    </row>
    <row r="438" spans="46:47" x14ac:dyDescent="0.2">
      <c r="AT438" s="418" t="s">
        <v>3761</v>
      </c>
      <c r="AU438">
        <v>10.5</v>
      </c>
    </row>
    <row r="441" spans="46:47" x14ac:dyDescent="0.2">
      <c r="AT441" s="418" t="s">
        <v>6014</v>
      </c>
      <c r="AU441" t="s">
        <v>475</v>
      </c>
    </row>
    <row r="442" spans="46:47" x14ac:dyDescent="0.2">
      <c r="AT442" s="418" t="s">
        <v>3735</v>
      </c>
      <c r="AU442">
        <v>1</v>
      </c>
    </row>
    <row r="443" spans="46:47" x14ac:dyDescent="0.2">
      <c r="AT443" s="418" t="s">
        <v>3736</v>
      </c>
      <c r="AU443">
        <v>2</v>
      </c>
    </row>
    <row r="444" spans="46:47" x14ac:dyDescent="0.2">
      <c r="AT444" s="418" t="s">
        <v>3738</v>
      </c>
      <c r="AU444">
        <v>4</v>
      </c>
    </row>
    <row r="445" spans="46:47" x14ac:dyDescent="0.2">
      <c r="AT445" s="418" t="s">
        <v>2976</v>
      </c>
      <c r="AU445">
        <v>7</v>
      </c>
    </row>
    <row r="446" spans="46:47" x14ac:dyDescent="0.2">
      <c r="AT446" s="418" t="s">
        <v>3739</v>
      </c>
      <c r="AU446">
        <v>11</v>
      </c>
    </row>
    <row r="447" spans="46:47" x14ac:dyDescent="0.2">
      <c r="AT447" s="418" t="s">
        <v>3740</v>
      </c>
      <c r="AU447">
        <v>17</v>
      </c>
    </row>
    <row r="448" spans="46:47" x14ac:dyDescent="0.2">
      <c r="AT448" s="418" t="s">
        <v>3741</v>
      </c>
      <c r="AU448">
        <v>18</v>
      </c>
    </row>
    <row r="449" spans="46:47" x14ac:dyDescent="0.2">
      <c r="AT449" s="418" t="s">
        <v>3742</v>
      </c>
      <c r="AU449">
        <v>29</v>
      </c>
    </row>
    <row r="450" spans="46:47" x14ac:dyDescent="0.2">
      <c r="AT450" s="418" t="s">
        <v>3743</v>
      </c>
      <c r="AU450">
        <v>34</v>
      </c>
    </row>
    <row r="451" spans="46:47" x14ac:dyDescent="0.2">
      <c r="AT451" s="418" t="s">
        <v>3744</v>
      </c>
      <c r="AU451">
        <v>52</v>
      </c>
    </row>
    <row r="452" spans="46:47" x14ac:dyDescent="0.2">
      <c r="AT452" s="418" t="s">
        <v>3745</v>
      </c>
      <c r="AU452">
        <v>34</v>
      </c>
    </row>
    <row r="453" spans="46:47" x14ac:dyDescent="0.2">
      <c r="AT453" s="418" t="s">
        <v>3746</v>
      </c>
      <c r="AU453">
        <v>34</v>
      </c>
    </row>
    <row r="454" spans="46:47" x14ac:dyDescent="0.2">
      <c r="AT454" s="418" t="s">
        <v>3747</v>
      </c>
      <c r="AU454">
        <v>19</v>
      </c>
    </row>
    <row r="455" spans="46:47" x14ac:dyDescent="0.2">
      <c r="AT455" s="418" t="s">
        <v>3748</v>
      </c>
      <c r="AU455">
        <v>15</v>
      </c>
    </row>
    <row r="456" spans="46:47" x14ac:dyDescent="0.2">
      <c r="AT456" s="418" t="s">
        <v>3749</v>
      </c>
      <c r="AU456">
        <v>14</v>
      </c>
    </row>
    <row r="457" spans="46:47" x14ac:dyDescent="0.2">
      <c r="AT457" s="418" t="s">
        <v>3750</v>
      </c>
      <c r="AU457">
        <v>6</v>
      </c>
    </row>
    <row r="458" spans="46:47" x14ac:dyDescent="0.2">
      <c r="AT458" s="418" t="s">
        <v>5330</v>
      </c>
      <c r="AU458">
        <v>7</v>
      </c>
    </row>
    <row r="459" spans="46:47" x14ac:dyDescent="0.2">
      <c r="AT459" s="418" t="s">
        <v>6015</v>
      </c>
      <c r="AU459">
        <v>4</v>
      </c>
    </row>
    <row r="460" spans="46:47" x14ac:dyDescent="0.2">
      <c r="AT460" s="418" t="s">
        <v>6016</v>
      </c>
      <c r="AU460">
        <v>3</v>
      </c>
    </row>
    <row r="461" spans="46:47" x14ac:dyDescent="0.2">
      <c r="AT461" s="418" t="s">
        <v>4224</v>
      </c>
      <c r="AU461">
        <v>0</v>
      </c>
    </row>
    <row r="462" spans="46:47" x14ac:dyDescent="0.2">
      <c r="AT462" s="418" t="s">
        <v>6017</v>
      </c>
      <c r="AU462">
        <v>1</v>
      </c>
    </row>
    <row r="463" spans="46:47" x14ac:dyDescent="0.2">
      <c r="AT463" s="418" t="s">
        <v>6018</v>
      </c>
      <c r="AU463">
        <v>0</v>
      </c>
    </row>
    <row r="464" spans="46:47" x14ac:dyDescent="0.2">
      <c r="AT464" s="418" t="s">
        <v>6019</v>
      </c>
      <c r="AU464">
        <v>1</v>
      </c>
    </row>
    <row r="465" spans="46:47" x14ac:dyDescent="0.2">
      <c r="AT465" s="418" t="s">
        <v>6020</v>
      </c>
      <c r="AU465">
        <v>1</v>
      </c>
    </row>
    <row r="466" spans="46:47" x14ac:dyDescent="0.2">
      <c r="AT466" s="418" t="s">
        <v>4225</v>
      </c>
      <c r="AU466">
        <v>0</v>
      </c>
    </row>
    <row r="467" spans="46:47" x14ac:dyDescent="0.2">
      <c r="AT467" s="418" t="s">
        <v>6021</v>
      </c>
      <c r="AU467">
        <v>2</v>
      </c>
    </row>
    <row r="468" spans="46:47" x14ac:dyDescent="0.2">
      <c r="AT468" s="418" t="s">
        <v>6022</v>
      </c>
      <c r="AU468">
        <v>0</v>
      </c>
    </row>
    <row r="469" spans="46:47" x14ac:dyDescent="0.2">
      <c r="AT469" s="418" t="s">
        <v>6023</v>
      </c>
      <c r="AU469">
        <v>2</v>
      </c>
    </row>
    <row r="470" spans="46:47" x14ac:dyDescent="0.2">
      <c r="AT470" s="418" t="s">
        <v>6024</v>
      </c>
      <c r="AU470">
        <v>0</v>
      </c>
    </row>
    <row r="471" spans="46:47" x14ac:dyDescent="0.2">
      <c r="AT471" s="418" t="s">
        <v>4226</v>
      </c>
      <c r="AU471">
        <v>1</v>
      </c>
    </row>
    <row r="474" spans="46:47" x14ac:dyDescent="0.2">
      <c r="AT474" s="418" t="s">
        <v>3674</v>
      </c>
      <c r="AU474" t="s">
        <v>475</v>
      </c>
    </row>
    <row r="475" spans="46:47" x14ac:dyDescent="0.2">
      <c r="AT475" s="418" t="s">
        <v>1824</v>
      </c>
      <c r="AU475">
        <v>6</v>
      </c>
    </row>
    <row r="476" spans="46:47" x14ac:dyDescent="0.2">
      <c r="AT476" s="418" t="s">
        <v>1825</v>
      </c>
      <c r="AU476">
        <v>33</v>
      </c>
    </row>
    <row r="477" spans="46:47" x14ac:dyDescent="0.2">
      <c r="AT477" s="418" t="s">
        <v>1826</v>
      </c>
      <c r="AU477">
        <v>31</v>
      </c>
    </row>
    <row r="478" spans="46:47" x14ac:dyDescent="0.2">
      <c r="AT478" s="418" t="s">
        <v>1827</v>
      </c>
      <c r="AU478">
        <v>75</v>
      </c>
    </row>
    <row r="479" spans="46:47" x14ac:dyDescent="0.2">
      <c r="AT479" s="418" t="s">
        <v>1828</v>
      </c>
      <c r="AU479">
        <v>77</v>
      </c>
    </row>
    <row r="480" spans="46:47" x14ac:dyDescent="0.2">
      <c r="AT480" s="418" t="s">
        <v>1829</v>
      </c>
      <c r="AU480">
        <v>47</v>
      </c>
    </row>
    <row r="481" spans="46:47" x14ac:dyDescent="0.2">
      <c r="AT481" s="418" t="s">
        <v>1830</v>
      </c>
      <c r="AU481">
        <v>50</v>
      </c>
    </row>
    <row r="484" spans="46:47" x14ac:dyDescent="0.2">
      <c r="AT484" s="418" t="s">
        <v>3674</v>
      </c>
      <c r="AU484" t="s">
        <v>3675</v>
      </c>
    </row>
    <row r="485" spans="46:47" x14ac:dyDescent="0.2">
      <c r="AT485" s="418" t="s">
        <v>1824</v>
      </c>
      <c r="AU485">
        <v>8.86</v>
      </c>
    </row>
    <row r="486" spans="46:47" x14ac:dyDescent="0.2">
      <c r="AT486" s="418" t="s">
        <v>1825</v>
      </c>
      <c r="AU486">
        <v>8.92</v>
      </c>
    </row>
    <row r="487" spans="46:47" x14ac:dyDescent="0.2">
      <c r="AT487" s="418" t="s">
        <v>1826</v>
      </c>
      <c r="AU487">
        <v>8.6999999999999993</v>
      </c>
    </row>
    <row r="488" spans="46:47" x14ac:dyDescent="0.2">
      <c r="AT488" s="418" t="s">
        <v>1827</v>
      </c>
      <c r="AU488">
        <v>8.59</v>
      </c>
    </row>
    <row r="489" spans="46:47" x14ac:dyDescent="0.2">
      <c r="AT489" s="418" t="s">
        <v>1828</v>
      </c>
      <c r="AU489">
        <v>8.7200000000000006</v>
      </c>
    </row>
    <row r="490" spans="46:47" x14ac:dyDescent="0.2">
      <c r="AT490" s="418" t="s">
        <v>1829</v>
      </c>
      <c r="AU490">
        <v>8.3000000000000007</v>
      </c>
    </row>
    <row r="491" spans="46:47" x14ac:dyDescent="0.2">
      <c r="AT491" s="418" t="s">
        <v>1830</v>
      </c>
      <c r="AU491">
        <v>7.88</v>
      </c>
    </row>
    <row r="494" spans="46:47" x14ac:dyDescent="0.2">
      <c r="AT494" s="418" t="s">
        <v>1811</v>
      </c>
      <c r="AU494" t="s">
        <v>475</v>
      </c>
    </row>
    <row r="495" spans="46:47" x14ac:dyDescent="0.2">
      <c r="AT495" s="418" t="s">
        <v>3676</v>
      </c>
      <c r="AU495">
        <v>1</v>
      </c>
    </row>
    <row r="496" spans="46:47" x14ac:dyDescent="0.2">
      <c r="AT496" s="418" t="s">
        <v>3677</v>
      </c>
      <c r="AU496">
        <v>1</v>
      </c>
    </row>
    <row r="497" spans="46:47" x14ac:dyDescent="0.2">
      <c r="AT497" s="418" t="s">
        <v>3678</v>
      </c>
      <c r="AU497">
        <v>4</v>
      </c>
    </row>
    <row r="498" spans="46:47" x14ac:dyDescent="0.2">
      <c r="AT498" s="418" t="s">
        <v>3679</v>
      </c>
      <c r="AU498">
        <v>3</v>
      </c>
    </row>
    <row r="499" spans="46:47" x14ac:dyDescent="0.2">
      <c r="AT499" s="418" t="s">
        <v>3680</v>
      </c>
      <c r="AU499">
        <v>5</v>
      </c>
    </row>
    <row r="500" spans="46:47" x14ac:dyDescent="0.2">
      <c r="AT500" s="418" t="s">
        <v>3681</v>
      </c>
      <c r="AU500">
        <v>3</v>
      </c>
    </row>
    <row r="501" spans="46:47" x14ac:dyDescent="0.2">
      <c r="AT501" s="418" t="s">
        <v>3682</v>
      </c>
      <c r="AU501">
        <v>4</v>
      </c>
    </row>
    <row r="502" spans="46:47" x14ac:dyDescent="0.2">
      <c r="AT502" s="418" t="s">
        <v>3683</v>
      </c>
      <c r="AU502">
        <v>2</v>
      </c>
    </row>
    <row r="503" spans="46:47" x14ac:dyDescent="0.2">
      <c r="AT503" s="418" t="s">
        <v>3684</v>
      </c>
      <c r="AU503">
        <v>2</v>
      </c>
    </row>
    <row r="504" spans="46:47" x14ac:dyDescent="0.2">
      <c r="AT504" s="418" t="s">
        <v>3685</v>
      </c>
      <c r="AU504">
        <v>3</v>
      </c>
    </row>
    <row r="505" spans="46:47" x14ac:dyDescent="0.2">
      <c r="AT505" s="418" t="s">
        <v>3686</v>
      </c>
      <c r="AU505">
        <v>4</v>
      </c>
    </row>
    <row r="506" spans="46:47" x14ac:dyDescent="0.2">
      <c r="AT506" s="418" t="s">
        <v>3687</v>
      </c>
      <c r="AU506">
        <v>1</v>
      </c>
    </row>
    <row r="507" spans="46:47" x14ac:dyDescent="0.2">
      <c r="AT507" s="418" t="s">
        <v>2975</v>
      </c>
      <c r="AU507">
        <v>6</v>
      </c>
    </row>
    <row r="508" spans="46:47" x14ac:dyDescent="0.2">
      <c r="AT508" s="418" t="s">
        <v>4835</v>
      </c>
      <c r="AU508">
        <v>1</v>
      </c>
    </row>
    <row r="509" spans="46:47" x14ac:dyDescent="0.2">
      <c r="AT509" s="418" t="s">
        <v>3688</v>
      </c>
      <c r="AU509">
        <v>4</v>
      </c>
    </row>
    <row r="510" spans="46:47" x14ac:dyDescent="0.2">
      <c r="AT510" s="418" t="s">
        <v>3689</v>
      </c>
      <c r="AU510">
        <v>4</v>
      </c>
    </row>
    <row r="511" spans="46:47" x14ac:dyDescent="0.2">
      <c r="AT511" s="418" t="s">
        <v>3690</v>
      </c>
      <c r="AU511">
        <v>2</v>
      </c>
    </row>
    <row r="512" spans="46:47" x14ac:dyDescent="0.2">
      <c r="AT512" s="418" t="s">
        <v>3691</v>
      </c>
      <c r="AU512">
        <v>6</v>
      </c>
    </row>
    <row r="513" spans="46:47" x14ac:dyDescent="0.2">
      <c r="AT513" s="418" t="s">
        <v>3692</v>
      </c>
      <c r="AU513">
        <v>3</v>
      </c>
    </row>
    <row r="514" spans="46:47" x14ac:dyDescent="0.2">
      <c r="AT514" s="418" t="s">
        <v>3693</v>
      </c>
      <c r="AU514">
        <v>3</v>
      </c>
    </row>
    <row r="515" spans="46:47" x14ac:dyDescent="0.2">
      <c r="AT515" s="418" t="s">
        <v>5619</v>
      </c>
      <c r="AU515">
        <v>1</v>
      </c>
    </row>
    <row r="516" spans="46:47" x14ac:dyDescent="0.2">
      <c r="AT516" s="418" t="s">
        <v>3694</v>
      </c>
      <c r="AU516">
        <v>3</v>
      </c>
    </row>
    <row r="517" spans="46:47" x14ac:dyDescent="0.2">
      <c r="AT517" s="418" t="s">
        <v>3695</v>
      </c>
      <c r="AU517">
        <v>4</v>
      </c>
    </row>
    <row r="518" spans="46:47" x14ac:dyDescent="0.2">
      <c r="AT518" s="418" t="s">
        <v>3696</v>
      </c>
      <c r="AU518">
        <v>5</v>
      </c>
    </row>
    <row r="519" spans="46:47" x14ac:dyDescent="0.2">
      <c r="AT519" s="418" t="s">
        <v>3697</v>
      </c>
      <c r="AU519">
        <v>6</v>
      </c>
    </row>
    <row r="520" spans="46:47" x14ac:dyDescent="0.2">
      <c r="AT520" s="418" t="s">
        <v>3698</v>
      </c>
      <c r="AU520">
        <v>8</v>
      </c>
    </row>
    <row r="521" spans="46:47" x14ac:dyDescent="0.2">
      <c r="AT521" s="418" t="s">
        <v>3699</v>
      </c>
      <c r="AU521">
        <v>5</v>
      </c>
    </row>
    <row r="522" spans="46:47" x14ac:dyDescent="0.2">
      <c r="AT522" s="418" t="s">
        <v>3700</v>
      </c>
      <c r="AU522">
        <v>7</v>
      </c>
    </row>
    <row r="523" spans="46:47" x14ac:dyDescent="0.2">
      <c r="AT523" s="418" t="s">
        <v>3701</v>
      </c>
      <c r="AU523">
        <v>8</v>
      </c>
    </row>
    <row r="524" spans="46:47" x14ac:dyDescent="0.2">
      <c r="AT524" s="418" t="s">
        <v>3702</v>
      </c>
      <c r="AU524">
        <v>8</v>
      </c>
    </row>
    <row r="525" spans="46:47" x14ac:dyDescent="0.2">
      <c r="AT525" s="418" t="s">
        <v>3703</v>
      </c>
      <c r="AU525">
        <v>11</v>
      </c>
    </row>
    <row r="526" spans="46:47" x14ac:dyDescent="0.2">
      <c r="AT526" s="418" t="s">
        <v>3704</v>
      </c>
      <c r="AU526">
        <v>9</v>
      </c>
    </row>
    <row r="527" spans="46:47" x14ac:dyDescent="0.2">
      <c r="AT527" s="418" t="s">
        <v>3705</v>
      </c>
      <c r="AU527">
        <v>8</v>
      </c>
    </row>
    <row r="528" spans="46:47" x14ac:dyDescent="0.2">
      <c r="AT528" s="418" t="s">
        <v>3706</v>
      </c>
      <c r="AU528">
        <v>11</v>
      </c>
    </row>
    <row r="529" spans="46:47" x14ac:dyDescent="0.2">
      <c r="AT529" s="418" t="s">
        <v>3707</v>
      </c>
      <c r="AU529">
        <v>9</v>
      </c>
    </row>
    <row r="530" spans="46:47" x14ac:dyDescent="0.2">
      <c r="AT530" s="418" t="s">
        <v>3708</v>
      </c>
      <c r="AU530">
        <v>11</v>
      </c>
    </row>
    <row r="531" spans="46:47" x14ac:dyDescent="0.2">
      <c r="AT531" s="418" t="s">
        <v>3709</v>
      </c>
      <c r="AU531">
        <v>12</v>
      </c>
    </row>
    <row r="532" spans="46:47" x14ac:dyDescent="0.2">
      <c r="AT532" s="418" t="s">
        <v>3710</v>
      </c>
      <c r="AU532">
        <v>3</v>
      </c>
    </row>
    <row r="533" spans="46:47" x14ac:dyDescent="0.2">
      <c r="AT533" s="418" t="s">
        <v>3711</v>
      </c>
      <c r="AU533">
        <v>12</v>
      </c>
    </row>
    <row r="534" spans="46:47" x14ac:dyDescent="0.2">
      <c r="AT534" s="418" t="s">
        <v>3712</v>
      </c>
      <c r="AU534">
        <v>3</v>
      </c>
    </row>
    <row r="535" spans="46:47" x14ac:dyDescent="0.2">
      <c r="AT535" s="418" t="s">
        <v>3713</v>
      </c>
      <c r="AU535">
        <v>7</v>
      </c>
    </row>
    <row r="536" spans="46:47" x14ac:dyDescent="0.2">
      <c r="AT536" s="418" t="s">
        <v>3714</v>
      </c>
      <c r="AU536">
        <v>6</v>
      </c>
    </row>
    <row r="537" spans="46:47" x14ac:dyDescent="0.2">
      <c r="AT537" s="418" t="s">
        <v>3715</v>
      </c>
      <c r="AU537">
        <v>3</v>
      </c>
    </row>
    <row r="538" spans="46:47" x14ac:dyDescent="0.2">
      <c r="AT538" s="418" t="s">
        <v>3716</v>
      </c>
      <c r="AU538">
        <v>4</v>
      </c>
    </row>
    <row r="539" spans="46:47" x14ac:dyDescent="0.2">
      <c r="AT539" s="418" t="s">
        <v>3717</v>
      </c>
      <c r="AU539">
        <v>3</v>
      </c>
    </row>
    <row r="540" spans="46:47" x14ac:dyDescent="0.2">
      <c r="AT540" s="418" t="s">
        <v>3718</v>
      </c>
      <c r="AU540">
        <v>4</v>
      </c>
    </row>
    <row r="541" spans="46:47" x14ac:dyDescent="0.2">
      <c r="AT541" s="418" t="s">
        <v>3719</v>
      </c>
      <c r="AU541">
        <v>6</v>
      </c>
    </row>
    <row r="542" spans="46:47" x14ac:dyDescent="0.2">
      <c r="AT542" s="418" t="s">
        <v>3720</v>
      </c>
      <c r="AU542">
        <v>3</v>
      </c>
    </row>
    <row r="543" spans="46:47" x14ac:dyDescent="0.2">
      <c r="AT543" s="418" t="s">
        <v>3721</v>
      </c>
      <c r="AU543">
        <v>4</v>
      </c>
    </row>
    <row r="544" spans="46:47" x14ac:dyDescent="0.2">
      <c r="AT544" s="418" t="s">
        <v>3722</v>
      </c>
      <c r="AU544">
        <v>10</v>
      </c>
    </row>
    <row r="545" spans="46:47" x14ac:dyDescent="0.2">
      <c r="AT545" s="418" t="s">
        <v>3723</v>
      </c>
      <c r="AU545">
        <v>4</v>
      </c>
    </row>
    <row r="546" spans="46:47" x14ac:dyDescent="0.2">
      <c r="AT546" s="418" t="s">
        <v>3724</v>
      </c>
      <c r="AU546">
        <v>6</v>
      </c>
    </row>
    <row r="547" spans="46:47" x14ac:dyDescent="0.2">
      <c r="AT547" s="418" t="s">
        <v>3725</v>
      </c>
      <c r="AU547">
        <v>3</v>
      </c>
    </row>
    <row r="548" spans="46:47" x14ac:dyDescent="0.2">
      <c r="AT548" s="418" t="s">
        <v>3726</v>
      </c>
      <c r="AU548">
        <v>5</v>
      </c>
    </row>
    <row r="549" spans="46:47" x14ac:dyDescent="0.2">
      <c r="AT549" s="418" t="s">
        <v>3727</v>
      </c>
      <c r="AU549">
        <v>6</v>
      </c>
    </row>
    <row r="550" spans="46:47" x14ac:dyDescent="0.2">
      <c r="AT550" s="418" t="s">
        <v>3728</v>
      </c>
      <c r="AU550">
        <v>1</v>
      </c>
    </row>
    <row r="551" spans="46:47" x14ac:dyDescent="0.2">
      <c r="AT551" s="418" t="s">
        <v>3729</v>
      </c>
      <c r="AU551">
        <v>2</v>
      </c>
    </row>
    <row r="552" spans="46:47" x14ac:dyDescent="0.2">
      <c r="AT552" s="418" t="s">
        <v>3730</v>
      </c>
      <c r="AU552">
        <v>11</v>
      </c>
    </row>
    <row r="553" spans="46:47" x14ac:dyDescent="0.2">
      <c r="AT553" s="418" t="s">
        <v>3731</v>
      </c>
      <c r="AU553">
        <v>6</v>
      </c>
    </row>
    <row r="554" spans="46:47" x14ac:dyDescent="0.2">
      <c r="AT554" s="418" t="s">
        <v>3732</v>
      </c>
      <c r="AU554">
        <v>19</v>
      </c>
    </row>
    <row r="557" spans="46:47" x14ac:dyDescent="0.2">
      <c r="AT557" s="418" t="s">
        <v>3674</v>
      </c>
      <c r="AU557" t="s">
        <v>4223</v>
      </c>
    </row>
    <row r="558" spans="46:47" x14ac:dyDescent="0.2">
      <c r="AT558" s="418" t="s">
        <v>1824</v>
      </c>
      <c r="AU558">
        <v>45</v>
      </c>
    </row>
    <row r="559" spans="46:47" x14ac:dyDescent="0.2">
      <c r="AT559" s="418" t="s">
        <v>1825</v>
      </c>
      <c r="AU559">
        <v>43</v>
      </c>
    </row>
    <row r="560" spans="46:47" x14ac:dyDescent="0.2">
      <c r="AT560" s="418" t="s">
        <v>1826</v>
      </c>
      <c r="AU560">
        <v>45</v>
      </c>
    </row>
    <row r="561" spans="46:47" x14ac:dyDescent="0.2">
      <c r="AT561" s="418" t="s">
        <v>1827</v>
      </c>
      <c r="AU561">
        <v>56</v>
      </c>
    </row>
    <row r="562" spans="46:47" x14ac:dyDescent="0.2">
      <c r="AT562" s="418" t="s">
        <v>1828</v>
      </c>
      <c r="AU562">
        <v>57</v>
      </c>
    </row>
    <row r="563" spans="46:47" x14ac:dyDescent="0.2">
      <c r="AT563" s="418" t="s">
        <v>1829</v>
      </c>
      <c r="AU563">
        <v>58</v>
      </c>
    </row>
    <row r="564" spans="46:47" x14ac:dyDescent="0.2">
      <c r="AT564" s="418" t="s">
        <v>1830</v>
      </c>
      <c r="AU564">
        <v>46</v>
      </c>
    </row>
    <row r="567" spans="46:47" x14ac:dyDescent="0.2">
      <c r="AT567" s="418" t="s">
        <v>3047</v>
      </c>
      <c r="AU567" t="s">
        <v>475</v>
      </c>
    </row>
    <row r="568" spans="46:47" x14ac:dyDescent="0.2">
      <c r="AT568" s="418" t="s">
        <v>1137</v>
      </c>
      <c r="AU568">
        <v>8</v>
      </c>
    </row>
    <row r="569" spans="46:47" x14ac:dyDescent="0.2">
      <c r="AT569" s="418" t="s">
        <v>992</v>
      </c>
      <c r="AU569">
        <v>8</v>
      </c>
    </row>
    <row r="570" spans="46:47" x14ac:dyDescent="0.2">
      <c r="AT570" s="418" t="s">
        <v>1006</v>
      </c>
      <c r="AU570">
        <v>8</v>
      </c>
    </row>
    <row r="571" spans="46:47" x14ac:dyDescent="0.2">
      <c r="AT571" s="418" t="s">
        <v>1893</v>
      </c>
      <c r="AU571">
        <v>9</v>
      </c>
    </row>
    <row r="572" spans="46:47" x14ac:dyDescent="0.2">
      <c r="AT572" s="418" t="s">
        <v>985</v>
      </c>
      <c r="AU572">
        <v>9</v>
      </c>
    </row>
    <row r="573" spans="46:47" x14ac:dyDescent="0.2">
      <c r="AT573" s="418" t="s">
        <v>1715</v>
      </c>
      <c r="AU573">
        <v>12</v>
      </c>
    </row>
    <row r="574" spans="46:47" x14ac:dyDescent="0.2">
      <c r="AT574" s="418" t="s">
        <v>997</v>
      </c>
      <c r="AU574">
        <v>13</v>
      </c>
    </row>
    <row r="575" spans="46:47" x14ac:dyDescent="0.2">
      <c r="AT575" s="418" t="s">
        <v>996</v>
      </c>
      <c r="AU575">
        <v>13</v>
      </c>
    </row>
    <row r="576" spans="46:47" x14ac:dyDescent="0.2">
      <c r="AT576" s="418" t="s">
        <v>1005</v>
      </c>
      <c r="AU576">
        <v>14</v>
      </c>
    </row>
    <row r="577" spans="46:47" x14ac:dyDescent="0.2">
      <c r="AT577" s="418" t="s">
        <v>1007</v>
      </c>
      <c r="AU577">
        <v>15</v>
      </c>
    </row>
    <row r="578" spans="46:47" x14ac:dyDescent="0.2">
      <c r="AT578" s="418" t="s">
        <v>731</v>
      </c>
      <c r="AU578">
        <v>22</v>
      </c>
    </row>
    <row r="579" spans="46:47" x14ac:dyDescent="0.2">
      <c r="AT579" s="418" t="s">
        <v>732</v>
      </c>
      <c r="AU579">
        <v>26</v>
      </c>
    </row>
    <row r="580" spans="46:47" x14ac:dyDescent="0.2">
      <c r="AT580" s="418" t="s">
        <v>988</v>
      </c>
      <c r="AU580">
        <v>26</v>
      </c>
    </row>
    <row r="581" spans="46:47" x14ac:dyDescent="0.2">
      <c r="AT581" s="418" t="s">
        <v>733</v>
      </c>
      <c r="AU581">
        <v>30</v>
      </c>
    </row>
    <row r="582" spans="46:47" x14ac:dyDescent="0.2">
      <c r="AT582" s="418" t="s">
        <v>987</v>
      </c>
      <c r="AU582">
        <v>35</v>
      </c>
    </row>
    <row r="585" spans="46:47" x14ac:dyDescent="0.2">
      <c r="AT585" s="418" t="s">
        <v>3733</v>
      </c>
      <c r="AU585" t="s">
        <v>475</v>
      </c>
    </row>
    <row r="586" spans="46:47" x14ac:dyDescent="0.2">
      <c r="AT586" s="418" t="s">
        <v>3032</v>
      </c>
      <c r="AU586">
        <v>153</v>
      </c>
    </row>
    <row r="587" spans="46:47" x14ac:dyDescent="0.2">
      <c r="AT587" s="418" t="s">
        <v>3036</v>
      </c>
      <c r="AU587">
        <v>91</v>
      </c>
    </row>
    <row r="588" spans="46:47" x14ac:dyDescent="0.2">
      <c r="AT588" s="418" t="s">
        <v>1011</v>
      </c>
      <c r="AU588">
        <v>41</v>
      </c>
    </row>
    <row r="589" spans="46:47" x14ac:dyDescent="0.2">
      <c r="AT589" s="418" t="s">
        <v>3034</v>
      </c>
      <c r="AU589">
        <v>32</v>
      </c>
    </row>
    <row r="590" spans="46:47" x14ac:dyDescent="0.2">
      <c r="AT590" s="418" t="s">
        <v>995</v>
      </c>
      <c r="AU590">
        <v>24</v>
      </c>
    </row>
    <row r="591" spans="46:47" x14ac:dyDescent="0.2">
      <c r="AT591" s="418" t="s">
        <v>1081</v>
      </c>
      <c r="AU591">
        <v>12</v>
      </c>
    </row>
    <row r="592" spans="46:47" x14ac:dyDescent="0.2">
      <c r="AT592" s="418" t="s">
        <v>3039</v>
      </c>
      <c r="AU592">
        <v>11</v>
      </c>
    </row>
    <row r="593" spans="46:47" x14ac:dyDescent="0.2">
      <c r="AT593" s="418" t="s">
        <v>3038</v>
      </c>
      <c r="AU593">
        <v>8</v>
      </c>
    </row>
    <row r="594" spans="46:47" x14ac:dyDescent="0.2">
      <c r="AT594" s="418" t="s">
        <v>3033</v>
      </c>
      <c r="AU594">
        <v>6</v>
      </c>
    </row>
    <row r="595" spans="46:47" x14ac:dyDescent="0.2">
      <c r="AT595" s="418" t="s">
        <v>3035</v>
      </c>
      <c r="AU595">
        <v>5</v>
      </c>
    </row>
    <row r="596" spans="46:47" x14ac:dyDescent="0.2">
      <c r="AT596" s="418" t="s">
        <v>3040</v>
      </c>
      <c r="AU596">
        <v>4</v>
      </c>
    </row>
    <row r="597" spans="46:47" x14ac:dyDescent="0.2">
      <c r="AT597" s="418" t="s">
        <v>3041</v>
      </c>
      <c r="AU597">
        <v>2</v>
      </c>
    </row>
    <row r="598" spans="46:47" x14ac:dyDescent="0.2">
      <c r="AT598" s="418" t="s">
        <v>3037</v>
      </c>
      <c r="AU598">
        <v>1</v>
      </c>
    </row>
    <row r="599" spans="46:47" x14ac:dyDescent="0.2">
      <c r="AT599" s="418" t="s">
        <v>2705</v>
      </c>
      <c r="AU599">
        <v>1</v>
      </c>
    </row>
    <row r="600" spans="46:47" x14ac:dyDescent="0.2">
      <c r="AT600" s="418" t="s">
        <v>3150</v>
      </c>
      <c r="AU600">
        <v>1</v>
      </c>
    </row>
    <row r="601" spans="46:47" x14ac:dyDescent="0.2">
      <c r="AT601" s="418" t="s">
        <v>4805</v>
      </c>
      <c r="AU601">
        <v>1</v>
      </c>
    </row>
    <row r="604" spans="46:47" x14ac:dyDescent="0.2">
      <c r="AT604" s="418" t="s">
        <v>3733</v>
      </c>
      <c r="AU604" t="s">
        <v>287</v>
      </c>
    </row>
    <row r="605" spans="46:47" x14ac:dyDescent="0.2">
      <c r="AT605" s="418" t="s">
        <v>3150</v>
      </c>
      <c r="AU605">
        <v>4.79</v>
      </c>
    </row>
    <row r="606" spans="46:47" x14ac:dyDescent="0.2">
      <c r="AT606" s="418" t="s">
        <v>3041</v>
      </c>
      <c r="AU606">
        <v>7.94</v>
      </c>
    </row>
    <row r="607" spans="46:47" x14ac:dyDescent="0.2">
      <c r="AT607" s="418" t="s">
        <v>4805</v>
      </c>
      <c r="AU607">
        <v>8.0299999999999994</v>
      </c>
    </row>
    <row r="608" spans="46:47" x14ac:dyDescent="0.2">
      <c r="AT608" s="418" t="s">
        <v>995</v>
      </c>
      <c r="AU608">
        <v>8.0399999999999991</v>
      </c>
    </row>
    <row r="609" spans="46:47" x14ac:dyDescent="0.2">
      <c r="AT609" s="418" t="s">
        <v>3037</v>
      </c>
      <c r="AU609">
        <v>8.11</v>
      </c>
    </row>
    <row r="610" spans="46:47" x14ac:dyDescent="0.2">
      <c r="AT610" s="418" t="s">
        <v>2705</v>
      </c>
      <c r="AU610">
        <v>8.4</v>
      </c>
    </row>
    <row r="611" spans="46:47" x14ac:dyDescent="0.2">
      <c r="AT611" s="418" t="s">
        <v>1081</v>
      </c>
      <c r="AU611">
        <v>8.44</v>
      </c>
    </row>
    <row r="612" spans="46:47" x14ac:dyDescent="0.2">
      <c r="AT612" s="418" t="s">
        <v>3036</v>
      </c>
      <c r="AU612">
        <v>8.56</v>
      </c>
    </row>
    <row r="613" spans="46:47" x14ac:dyDescent="0.2">
      <c r="AT613" s="418" t="s">
        <v>3039</v>
      </c>
      <c r="AU613">
        <v>8.57</v>
      </c>
    </row>
    <row r="614" spans="46:47" x14ac:dyDescent="0.2">
      <c r="AT614" s="418" t="s">
        <v>1011</v>
      </c>
      <c r="AU614">
        <v>8.6</v>
      </c>
    </row>
    <row r="615" spans="46:47" x14ac:dyDescent="0.2">
      <c r="AT615" s="418" t="s">
        <v>3032</v>
      </c>
      <c r="AU615">
        <v>8.6300000000000008</v>
      </c>
    </row>
    <row r="616" spans="46:47" x14ac:dyDescent="0.2">
      <c r="AT616" s="418" t="s">
        <v>3034</v>
      </c>
      <c r="AU616">
        <v>8.65</v>
      </c>
    </row>
    <row r="617" spans="46:47" x14ac:dyDescent="0.2">
      <c r="AT617" s="418" t="s">
        <v>3038</v>
      </c>
      <c r="AU617">
        <v>8.66</v>
      </c>
    </row>
    <row r="618" spans="46:47" x14ac:dyDescent="0.2">
      <c r="AT618" s="418" t="s">
        <v>3035</v>
      </c>
      <c r="AU618">
        <v>8.6999999999999993</v>
      </c>
    </row>
    <row r="619" spans="46:47" x14ac:dyDescent="0.2">
      <c r="AT619" s="418" t="s">
        <v>3033</v>
      </c>
      <c r="AU619">
        <v>8.7200000000000006</v>
      </c>
    </row>
    <row r="620" spans="46:47" x14ac:dyDescent="0.2">
      <c r="AT620" s="418" t="s">
        <v>3040</v>
      </c>
      <c r="AU620">
        <v>8.7200000000000006</v>
      </c>
    </row>
    <row r="623" spans="46:47" x14ac:dyDescent="0.2">
      <c r="AT623" s="418" t="s">
        <v>3733</v>
      </c>
      <c r="AU623" t="s">
        <v>957</v>
      </c>
    </row>
    <row r="624" spans="46:47" x14ac:dyDescent="0.2">
      <c r="AT624" s="418" t="s">
        <v>3150</v>
      </c>
      <c r="AU624">
        <v>4.62</v>
      </c>
    </row>
    <row r="625" spans="46:47" x14ac:dyDescent="0.2">
      <c r="AT625" s="418" t="s">
        <v>3041</v>
      </c>
      <c r="AU625">
        <v>7.8</v>
      </c>
    </row>
    <row r="626" spans="46:47" x14ac:dyDescent="0.2">
      <c r="AT626" s="418" t="s">
        <v>4805</v>
      </c>
      <c r="AU626">
        <v>7.94</v>
      </c>
    </row>
    <row r="627" spans="46:47" x14ac:dyDescent="0.2">
      <c r="AT627" s="418" t="s">
        <v>995</v>
      </c>
      <c r="AU627">
        <v>7.97</v>
      </c>
    </row>
    <row r="628" spans="46:47" x14ac:dyDescent="0.2">
      <c r="AT628" s="418" t="s">
        <v>3037</v>
      </c>
      <c r="AU628">
        <v>8</v>
      </c>
    </row>
    <row r="629" spans="46:47" x14ac:dyDescent="0.2">
      <c r="AT629" s="418" t="s">
        <v>1081</v>
      </c>
      <c r="AU629">
        <v>8.3699999999999992</v>
      </c>
    </row>
    <row r="630" spans="46:47" x14ac:dyDescent="0.2">
      <c r="AT630" s="418" t="s">
        <v>2705</v>
      </c>
      <c r="AU630">
        <v>8.3699999999999992</v>
      </c>
    </row>
    <row r="631" spans="46:47" x14ac:dyDescent="0.2">
      <c r="AT631" s="418" t="s">
        <v>3039</v>
      </c>
      <c r="AU631">
        <v>8.5299999999999994</v>
      </c>
    </row>
    <row r="632" spans="46:47" x14ac:dyDescent="0.2">
      <c r="AT632" s="418" t="s">
        <v>1011</v>
      </c>
      <c r="AU632">
        <v>8.5399999999999991</v>
      </c>
    </row>
    <row r="633" spans="46:47" x14ac:dyDescent="0.2">
      <c r="AT633" s="418" t="s">
        <v>3036</v>
      </c>
      <c r="AU633">
        <v>8.5500000000000007</v>
      </c>
    </row>
    <row r="634" spans="46:47" x14ac:dyDescent="0.2">
      <c r="AT634" s="418" t="s">
        <v>3038</v>
      </c>
      <c r="AU634">
        <v>8.57</v>
      </c>
    </row>
    <row r="635" spans="46:47" x14ac:dyDescent="0.2">
      <c r="AT635" s="418" t="s">
        <v>3034</v>
      </c>
      <c r="AU635">
        <v>8.6</v>
      </c>
    </row>
    <row r="636" spans="46:47" x14ac:dyDescent="0.2">
      <c r="AT636" s="418" t="s">
        <v>3035</v>
      </c>
      <c r="AU636">
        <v>8.61</v>
      </c>
    </row>
    <row r="637" spans="46:47" x14ac:dyDescent="0.2">
      <c r="AT637" s="418" t="s">
        <v>3032</v>
      </c>
      <c r="AU637">
        <v>8.6199999999999992</v>
      </c>
    </row>
    <row r="638" spans="46:47" x14ac:dyDescent="0.2">
      <c r="AT638" s="418" t="s">
        <v>3033</v>
      </c>
      <c r="AU638">
        <v>8.67</v>
      </c>
    </row>
    <row r="639" spans="46:47" x14ac:dyDescent="0.2">
      <c r="AT639" s="418" t="s">
        <v>3040</v>
      </c>
      <c r="AU639">
        <v>8.68</v>
      </c>
    </row>
    <row r="642" spans="46:47" x14ac:dyDescent="0.2">
      <c r="AT642" s="418" t="s">
        <v>3733</v>
      </c>
      <c r="AU642" t="s">
        <v>4223</v>
      </c>
    </row>
    <row r="643" spans="46:47" x14ac:dyDescent="0.2">
      <c r="AT643" s="418" t="s">
        <v>3040</v>
      </c>
      <c r="AU643">
        <v>40</v>
      </c>
    </row>
    <row r="644" spans="46:47" x14ac:dyDescent="0.2">
      <c r="AT644" s="418" t="s">
        <v>2705</v>
      </c>
      <c r="AU644">
        <v>40</v>
      </c>
    </row>
    <row r="645" spans="46:47" x14ac:dyDescent="0.2">
      <c r="AT645" s="418" t="s">
        <v>3035</v>
      </c>
      <c r="AU645">
        <v>41</v>
      </c>
    </row>
    <row r="646" spans="46:47" x14ac:dyDescent="0.2">
      <c r="AT646" s="418" t="s">
        <v>3038</v>
      </c>
      <c r="AU646">
        <v>43</v>
      </c>
    </row>
    <row r="647" spans="46:47" x14ac:dyDescent="0.2">
      <c r="AT647" s="418" t="s">
        <v>3034</v>
      </c>
      <c r="AU647">
        <v>47</v>
      </c>
    </row>
    <row r="648" spans="46:47" x14ac:dyDescent="0.2">
      <c r="AT648" s="418" t="s">
        <v>3039</v>
      </c>
      <c r="AU648">
        <v>49</v>
      </c>
    </row>
    <row r="649" spans="46:47" x14ac:dyDescent="0.2">
      <c r="AT649" s="418" t="s">
        <v>3032</v>
      </c>
      <c r="AU649">
        <v>50</v>
      </c>
    </row>
    <row r="650" spans="46:47" x14ac:dyDescent="0.2">
      <c r="AT650" s="418" t="s">
        <v>3033</v>
      </c>
      <c r="AU650">
        <v>51</v>
      </c>
    </row>
    <row r="651" spans="46:47" x14ac:dyDescent="0.2">
      <c r="AT651" s="418" t="s">
        <v>3036</v>
      </c>
      <c r="AU651">
        <v>55</v>
      </c>
    </row>
    <row r="652" spans="46:47" x14ac:dyDescent="0.2">
      <c r="AT652" s="418" t="s">
        <v>995</v>
      </c>
      <c r="AU652">
        <v>56</v>
      </c>
    </row>
    <row r="653" spans="46:47" x14ac:dyDescent="0.2">
      <c r="AT653" s="418" t="s">
        <v>1011</v>
      </c>
      <c r="AU653">
        <v>57</v>
      </c>
    </row>
    <row r="654" spans="46:47" x14ac:dyDescent="0.2">
      <c r="AT654" s="418" t="s">
        <v>3150</v>
      </c>
      <c r="AU654">
        <v>62</v>
      </c>
    </row>
    <row r="655" spans="46:47" x14ac:dyDescent="0.2">
      <c r="AT655" s="418" t="s">
        <v>3037</v>
      </c>
      <c r="AU655">
        <v>66</v>
      </c>
    </row>
    <row r="656" spans="46:47" x14ac:dyDescent="0.2">
      <c r="AT656" s="418" t="s">
        <v>3041</v>
      </c>
      <c r="AU656">
        <v>67</v>
      </c>
    </row>
    <row r="657" spans="46:47" x14ac:dyDescent="0.2">
      <c r="AT657" s="418" t="s">
        <v>4805</v>
      </c>
      <c r="AU657">
        <v>68</v>
      </c>
    </row>
    <row r="658" spans="46:47" x14ac:dyDescent="0.2">
      <c r="AT658" s="418" t="s">
        <v>1081</v>
      </c>
      <c r="AU658">
        <v>69</v>
      </c>
    </row>
    <row r="661" spans="46:47" x14ac:dyDescent="0.2">
      <c r="AT661" s="418" t="s">
        <v>3733</v>
      </c>
      <c r="AU661" t="s">
        <v>6025</v>
      </c>
    </row>
    <row r="662" spans="46:47" x14ac:dyDescent="0.2">
      <c r="AT662" s="418" t="s">
        <v>3037</v>
      </c>
      <c r="AU662">
        <v>0</v>
      </c>
    </row>
    <row r="663" spans="46:47" x14ac:dyDescent="0.2">
      <c r="AT663" s="418" t="s">
        <v>3041</v>
      </c>
      <c r="AU663">
        <v>0</v>
      </c>
    </row>
    <row r="664" spans="46:47" x14ac:dyDescent="0.2">
      <c r="AT664" s="418" t="s">
        <v>2705</v>
      </c>
      <c r="AU664">
        <v>0</v>
      </c>
    </row>
    <row r="665" spans="46:47" x14ac:dyDescent="0.2">
      <c r="AT665" s="418" t="s">
        <v>3150</v>
      </c>
      <c r="AU665">
        <v>0</v>
      </c>
    </row>
    <row r="666" spans="46:47" x14ac:dyDescent="0.2">
      <c r="AT666" s="418" t="s">
        <v>4805</v>
      </c>
      <c r="AU666">
        <v>5.88</v>
      </c>
    </row>
    <row r="667" spans="46:47" x14ac:dyDescent="0.2">
      <c r="AT667" s="418" t="s">
        <v>1081</v>
      </c>
      <c r="AU667">
        <v>9.26</v>
      </c>
    </row>
    <row r="668" spans="46:47" x14ac:dyDescent="0.2">
      <c r="AT668" s="418" t="s">
        <v>995</v>
      </c>
      <c r="AU668">
        <v>10.4</v>
      </c>
    </row>
    <row r="669" spans="46:47" x14ac:dyDescent="0.2">
      <c r="AT669" s="418" t="s">
        <v>3039</v>
      </c>
      <c r="AU669">
        <v>13.04</v>
      </c>
    </row>
    <row r="670" spans="46:47" x14ac:dyDescent="0.2">
      <c r="AT670" s="418" t="s">
        <v>3040</v>
      </c>
      <c r="AU670">
        <v>13.79</v>
      </c>
    </row>
    <row r="671" spans="46:47" x14ac:dyDescent="0.2">
      <c r="AT671" s="418" t="s">
        <v>1011</v>
      </c>
      <c r="AU671">
        <v>13.91</v>
      </c>
    </row>
    <row r="672" spans="46:47" x14ac:dyDescent="0.2">
      <c r="AT672" s="418" t="s">
        <v>3034</v>
      </c>
      <c r="AU672">
        <v>14.4</v>
      </c>
    </row>
    <row r="673" spans="46:51" x14ac:dyDescent="0.2">
      <c r="AT673" s="418" t="s">
        <v>3036</v>
      </c>
      <c r="AU673">
        <v>14.73</v>
      </c>
    </row>
    <row r="674" spans="46:51" x14ac:dyDescent="0.2">
      <c r="AT674" s="418" t="s">
        <v>3038</v>
      </c>
      <c r="AU674">
        <v>15.05</v>
      </c>
    </row>
    <row r="675" spans="46:51" x14ac:dyDescent="0.2">
      <c r="AT675" s="418" t="s">
        <v>3032</v>
      </c>
      <c r="AU675">
        <v>16.579999999999998</v>
      </c>
    </row>
    <row r="676" spans="46:51" x14ac:dyDescent="0.2">
      <c r="AT676" s="418" t="s">
        <v>3033</v>
      </c>
      <c r="AU676">
        <v>18.46</v>
      </c>
    </row>
    <row r="677" spans="46:51" x14ac:dyDescent="0.2">
      <c r="AT677" s="418" t="s">
        <v>3035</v>
      </c>
      <c r="AU677">
        <v>19.3</v>
      </c>
    </row>
    <row r="680" spans="46:51" x14ac:dyDescent="0.2">
      <c r="AT680" s="418" t="s">
        <v>3733</v>
      </c>
      <c r="AU680" t="s">
        <v>6026</v>
      </c>
      <c r="AV680" s="569">
        <v>46211</v>
      </c>
      <c r="AW680" s="569">
        <v>46243</v>
      </c>
      <c r="AX680" s="569">
        <v>46275</v>
      </c>
      <c r="AY680" t="s">
        <v>6027</v>
      </c>
    </row>
    <row r="681" spans="46:51" x14ac:dyDescent="0.2">
      <c r="AT681" s="418" t="s">
        <v>3032</v>
      </c>
      <c r="AU681">
        <v>46</v>
      </c>
      <c r="AV681">
        <v>168</v>
      </c>
      <c r="AW681">
        <v>667</v>
      </c>
      <c r="AX681">
        <v>347</v>
      </c>
      <c r="AY681">
        <v>244</v>
      </c>
    </row>
    <row r="682" spans="46:51" x14ac:dyDescent="0.2">
      <c r="AT682" s="418" t="s">
        <v>3036</v>
      </c>
      <c r="AU682">
        <v>26</v>
      </c>
      <c r="AV682">
        <v>115</v>
      </c>
      <c r="AW682">
        <v>387</v>
      </c>
      <c r="AX682">
        <v>184</v>
      </c>
      <c r="AY682">
        <v>123</v>
      </c>
    </row>
    <row r="683" spans="46:51" x14ac:dyDescent="0.2">
      <c r="AT683" s="418" t="s">
        <v>1011</v>
      </c>
      <c r="AU683">
        <v>4</v>
      </c>
      <c r="AV683">
        <v>54</v>
      </c>
      <c r="AW683">
        <v>237</v>
      </c>
      <c r="AX683">
        <v>126</v>
      </c>
      <c r="AY683">
        <v>68</v>
      </c>
    </row>
    <row r="684" spans="46:51" x14ac:dyDescent="0.2">
      <c r="AT684" s="418" t="s">
        <v>3034</v>
      </c>
      <c r="AU684">
        <v>1</v>
      </c>
      <c r="AV684">
        <v>30</v>
      </c>
      <c r="AW684">
        <v>190</v>
      </c>
      <c r="AX684">
        <v>88</v>
      </c>
      <c r="AY684">
        <v>52</v>
      </c>
    </row>
    <row r="685" spans="46:51" x14ac:dyDescent="0.2">
      <c r="AT685" s="418" t="s">
        <v>995</v>
      </c>
      <c r="AU685">
        <v>15</v>
      </c>
      <c r="AV685">
        <v>61</v>
      </c>
      <c r="AW685">
        <v>153</v>
      </c>
      <c r="AX685">
        <v>64</v>
      </c>
      <c r="AY685">
        <v>34</v>
      </c>
    </row>
    <row r="686" spans="46:51" x14ac:dyDescent="0.2">
      <c r="AT686" s="418" t="s">
        <v>1081</v>
      </c>
      <c r="AU686">
        <v>0</v>
      </c>
      <c r="AV686">
        <v>14</v>
      </c>
      <c r="AW686">
        <v>62</v>
      </c>
      <c r="AX686">
        <v>22</v>
      </c>
      <c r="AY686">
        <v>10</v>
      </c>
    </row>
    <row r="687" spans="46:51" x14ac:dyDescent="0.2">
      <c r="AT687" s="418" t="s">
        <v>3039</v>
      </c>
      <c r="AU687">
        <v>0</v>
      </c>
      <c r="AV687">
        <v>16</v>
      </c>
      <c r="AW687">
        <v>61</v>
      </c>
      <c r="AX687">
        <v>23</v>
      </c>
      <c r="AY687">
        <v>15</v>
      </c>
    </row>
    <row r="688" spans="46:51" x14ac:dyDescent="0.2">
      <c r="AT688" s="418" t="s">
        <v>3038</v>
      </c>
      <c r="AU688">
        <v>0</v>
      </c>
      <c r="AV688">
        <v>8</v>
      </c>
      <c r="AW688">
        <v>51</v>
      </c>
      <c r="AX688">
        <v>20</v>
      </c>
      <c r="AY688">
        <v>14</v>
      </c>
    </row>
    <row r="689" spans="46:51" x14ac:dyDescent="0.2">
      <c r="AT689" s="418" t="s">
        <v>3033</v>
      </c>
      <c r="AU689">
        <v>1</v>
      </c>
      <c r="AV689">
        <v>5</v>
      </c>
      <c r="AW689">
        <v>30</v>
      </c>
      <c r="AX689">
        <v>17</v>
      </c>
      <c r="AY689">
        <v>12</v>
      </c>
    </row>
    <row r="690" spans="46:51" x14ac:dyDescent="0.2">
      <c r="AT690" s="418" t="s">
        <v>3035</v>
      </c>
      <c r="AU690">
        <v>0</v>
      </c>
      <c r="AV690">
        <v>4</v>
      </c>
      <c r="AW690">
        <v>32</v>
      </c>
      <c r="AX690">
        <v>10</v>
      </c>
      <c r="AY690">
        <v>11</v>
      </c>
    </row>
    <row r="691" spans="46:51" x14ac:dyDescent="0.2">
      <c r="AT691" s="418" t="s">
        <v>3040</v>
      </c>
      <c r="AU691">
        <v>0</v>
      </c>
      <c r="AV691">
        <v>2</v>
      </c>
      <c r="AW691">
        <v>16</v>
      </c>
      <c r="AX691">
        <v>7</v>
      </c>
      <c r="AY691">
        <v>4</v>
      </c>
    </row>
    <row r="692" spans="46:51" x14ac:dyDescent="0.2">
      <c r="AT692" s="418" t="s">
        <v>3041</v>
      </c>
      <c r="AU692">
        <v>1</v>
      </c>
      <c r="AV692">
        <v>6</v>
      </c>
      <c r="AW692">
        <v>4</v>
      </c>
      <c r="AX692">
        <v>2</v>
      </c>
      <c r="AY692">
        <v>0</v>
      </c>
    </row>
    <row r="695" spans="46:51" x14ac:dyDescent="0.2">
      <c r="AT695" s="418" t="s">
        <v>3734</v>
      </c>
      <c r="AU695" t="s">
        <v>475</v>
      </c>
    </row>
    <row r="696" spans="46:51" x14ac:dyDescent="0.2">
      <c r="AT696" s="418" t="s">
        <v>3735</v>
      </c>
      <c r="AU696">
        <v>245</v>
      </c>
    </row>
    <row r="697" spans="46:51" x14ac:dyDescent="0.2">
      <c r="AT697" s="418" t="s">
        <v>3736</v>
      </c>
      <c r="AU697">
        <v>74</v>
      </c>
    </row>
    <row r="700" spans="46:51" x14ac:dyDescent="0.2">
      <c r="AT700" s="418" t="s">
        <v>3737</v>
      </c>
      <c r="AU700" t="s">
        <v>287</v>
      </c>
    </row>
    <row r="701" spans="46:51" x14ac:dyDescent="0.2">
      <c r="AT701" s="418" t="s">
        <v>3735</v>
      </c>
      <c r="AU701">
        <v>8.94</v>
      </c>
    </row>
    <row r="702" spans="46:51" x14ac:dyDescent="0.2">
      <c r="AT702" s="418" t="s">
        <v>3736</v>
      </c>
      <c r="AU702">
        <v>8.8000000000000007</v>
      </c>
    </row>
    <row r="703" spans="46:51" x14ac:dyDescent="0.2">
      <c r="AT703" s="418" t="s">
        <v>3738</v>
      </c>
      <c r="AU703">
        <v>8.7200000000000006</v>
      </c>
    </row>
    <row r="704" spans="46:51" x14ac:dyDescent="0.2">
      <c r="AT704" s="418" t="s">
        <v>2976</v>
      </c>
      <c r="AU704">
        <v>8.6</v>
      </c>
    </row>
    <row r="705" spans="46:47" x14ac:dyDescent="0.2">
      <c r="AT705" s="418" t="s">
        <v>3739</v>
      </c>
      <c r="AU705">
        <v>8.5</v>
      </c>
    </row>
    <row r="706" spans="46:47" x14ac:dyDescent="0.2">
      <c r="AT706" s="418" t="s">
        <v>3740</v>
      </c>
      <c r="AU706">
        <v>8.4499999999999993</v>
      </c>
    </row>
    <row r="707" spans="46:47" x14ac:dyDescent="0.2">
      <c r="AT707" s="418" t="s">
        <v>3741</v>
      </c>
      <c r="AU707">
        <v>8.3699999999999992</v>
      </c>
    </row>
    <row r="708" spans="46:47" x14ac:dyDescent="0.2">
      <c r="AT708" s="418" t="s">
        <v>3742</v>
      </c>
      <c r="AU708">
        <v>8.26</v>
      </c>
    </row>
    <row r="709" spans="46:47" x14ac:dyDescent="0.2">
      <c r="AT709" s="418" t="s">
        <v>3743</v>
      </c>
      <c r="AU709">
        <v>8.25</v>
      </c>
    </row>
    <row r="710" spans="46:47" x14ac:dyDescent="0.2">
      <c r="AT710" s="418" t="s">
        <v>3744</v>
      </c>
      <c r="AU710">
        <v>8.2200000000000006</v>
      </c>
    </row>
    <row r="711" spans="46:47" x14ac:dyDescent="0.2">
      <c r="AT711" s="418" t="s">
        <v>3745</v>
      </c>
      <c r="AU711">
        <v>8.2899999999999991</v>
      </c>
    </row>
    <row r="712" spans="46:47" x14ac:dyDescent="0.2">
      <c r="AT712" s="418" t="s">
        <v>3746</v>
      </c>
      <c r="AU712">
        <v>8.24</v>
      </c>
    </row>
    <row r="713" spans="46:47" x14ac:dyDescent="0.2">
      <c r="AT713" s="418" t="s">
        <v>3747</v>
      </c>
      <c r="AU713">
        <v>8.11</v>
      </c>
    </row>
    <row r="714" spans="46:47" x14ac:dyDescent="0.2">
      <c r="AT714" s="418" t="s">
        <v>3748</v>
      </c>
      <c r="AU714">
        <v>8.27</v>
      </c>
    </row>
    <row r="715" spans="46:47" x14ac:dyDescent="0.2">
      <c r="AT715" s="418" t="s">
        <v>3749</v>
      </c>
      <c r="AU715">
        <v>8.27</v>
      </c>
    </row>
    <row r="716" spans="46:47" x14ac:dyDescent="0.2">
      <c r="AT716" s="418" t="s">
        <v>3750</v>
      </c>
      <c r="AU716">
        <v>7.66</v>
      </c>
    </row>
    <row r="717" spans="46:47" x14ac:dyDescent="0.2">
      <c r="AT717" s="418" t="s">
        <v>5330</v>
      </c>
      <c r="AU717">
        <v>8.1300000000000008</v>
      </c>
    </row>
    <row r="720" spans="46:47" x14ac:dyDescent="0.2">
      <c r="AT720" s="418" t="s">
        <v>3751</v>
      </c>
      <c r="AU720" t="s">
        <v>287</v>
      </c>
    </row>
    <row r="721" spans="46:47" x14ac:dyDescent="0.2">
      <c r="AT721" s="418" t="s">
        <v>3752</v>
      </c>
      <c r="AU721">
        <v>8.93</v>
      </c>
    </row>
    <row r="722" spans="46:47" x14ac:dyDescent="0.2">
      <c r="AT722" s="418" t="s">
        <v>3753</v>
      </c>
      <c r="AU722">
        <v>8.74</v>
      </c>
    </row>
    <row r="723" spans="46:47" x14ac:dyDescent="0.2">
      <c r="AT723" s="418" t="s">
        <v>3754</v>
      </c>
      <c r="AU723">
        <v>8.6300000000000008</v>
      </c>
    </row>
    <row r="724" spans="46:47" x14ac:dyDescent="0.2">
      <c r="AT724" s="418" t="s">
        <v>3755</v>
      </c>
      <c r="AU724">
        <v>8.6300000000000008</v>
      </c>
    </row>
    <row r="725" spans="46:47" x14ac:dyDescent="0.2">
      <c r="AT725" s="418" t="s">
        <v>3756</v>
      </c>
      <c r="AU725">
        <v>8.44</v>
      </c>
    </row>
    <row r="726" spans="46:47" x14ac:dyDescent="0.2">
      <c r="AT726" s="418" t="s">
        <v>3757</v>
      </c>
      <c r="AU726">
        <v>8.4</v>
      </c>
    </row>
    <row r="727" spans="46:47" x14ac:dyDescent="0.2">
      <c r="AT727" s="418" t="s">
        <v>3758</v>
      </c>
      <c r="AU727">
        <v>8.36</v>
      </c>
    </row>
    <row r="728" spans="46:47" x14ac:dyDescent="0.2">
      <c r="AT728" s="418" t="s">
        <v>3759</v>
      </c>
      <c r="AU728">
        <v>8.34</v>
      </c>
    </row>
    <row r="729" spans="46:47" x14ac:dyDescent="0.2">
      <c r="AT729" s="418" t="s">
        <v>3760</v>
      </c>
      <c r="AU729">
        <v>8.2799999999999994</v>
      </c>
    </row>
    <row r="730" spans="46:47" x14ac:dyDescent="0.2">
      <c r="AT730" s="418" t="s">
        <v>3761</v>
      </c>
      <c r="AU730">
        <v>8.36</v>
      </c>
    </row>
    <row r="733" spans="46:47" x14ac:dyDescent="0.2">
      <c r="AT733" s="418" t="s">
        <v>957</v>
      </c>
      <c r="AU733" t="s">
        <v>475</v>
      </c>
    </row>
    <row r="734" spans="46:47" x14ac:dyDescent="0.2">
      <c r="AT734" s="418" t="s">
        <v>3653</v>
      </c>
      <c r="AU734">
        <v>1</v>
      </c>
    </row>
    <row r="735" spans="46:47" x14ac:dyDescent="0.2">
      <c r="AT735" s="418" t="s">
        <v>3654</v>
      </c>
      <c r="AU735">
        <v>0</v>
      </c>
    </row>
    <row r="736" spans="46:47" x14ac:dyDescent="0.2">
      <c r="AT736" s="418" t="s">
        <v>3655</v>
      </c>
      <c r="AU736">
        <v>0</v>
      </c>
    </row>
    <row r="737" spans="46:47" x14ac:dyDescent="0.2">
      <c r="AT737" s="418" t="s">
        <v>3656</v>
      </c>
      <c r="AU737">
        <v>1</v>
      </c>
    </row>
    <row r="738" spans="46:47" x14ac:dyDescent="0.2">
      <c r="AT738" s="418" t="s">
        <v>3657</v>
      </c>
      <c r="AU738">
        <v>0</v>
      </c>
    </row>
    <row r="739" spans="46:47" x14ac:dyDescent="0.2">
      <c r="AT739" s="418" t="s">
        <v>3658</v>
      </c>
      <c r="AU739">
        <v>1</v>
      </c>
    </row>
    <row r="740" spans="46:47" x14ac:dyDescent="0.2">
      <c r="AT740" s="418" t="s">
        <v>3659</v>
      </c>
      <c r="AU740">
        <v>1</v>
      </c>
    </row>
    <row r="741" spans="46:47" x14ac:dyDescent="0.2">
      <c r="AT741" s="418" t="s">
        <v>3660</v>
      </c>
      <c r="AU741">
        <v>0</v>
      </c>
    </row>
    <row r="742" spans="46:47" x14ac:dyDescent="0.2">
      <c r="AT742" s="418" t="s">
        <v>3661</v>
      </c>
      <c r="AU742">
        <v>1</v>
      </c>
    </row>
    <row r="743" spans="46:47" x14ac:dyDescent="0.2">
      <c r="AT743" s="418" t="s">
        <v>3662</v>
      </c>
      <c r="AU743">
        <v>0</v>
      </c>
    </row>
    <row r="744" spans="46:47" x14ac:dyDescent="0.2">
      <c r="AT744" s="418" t="s">
        <v>3663</v>
      </c>
      <c r="AU744">
        <v>1</v>
      </c>
    </row>
    <row r="745" spans="46:47" x14ac:dyDescent="0.2">
      <c r="AT745" s="418" t="s">
        <v>3664</v>
      </c>
      <c r="AU745">
        <v>0</v>
      </c>
    </row>
    <row r="746" spans="46:47" x14ac:dyDescent="0.2">
      <c r="AT746" s="418" t="s">
        <v>3665</v>
      </c>
      <c r="AU746">
        <v>3</v>
      </c>
    </row>
    <row r="747" spans="46:47" x14ac:dyDescent="0.2">
      <c r="AT747" s="418" t="s">
        <v>3666</v>
      </c>
      <c r="AU747">
        <v>4</v>
      </c>
    </row>
    <row r="748" spans="46:47" x14ac:dyDescent="0.2">
      <c r="AT748" s="418" t="s">
        <v>3667</v>
      </c>
      <c r="AU748">
        <v>23</v>
      </c>
    </row>
    <row r="749" spans="46:47" x14ac:dyDescent="0.2">
      <c r="AT749" s="418" t="s">
        <v>3668</v>
      </c>
      <c r="AU749">
        <v>78</v>
      </c>
    </row>
    <row r="750" spans="46:47" x14ac:dyDescent="0.2">
      <c r="AT750" s="418" t="s">
        <v>3669</v>
      </c>
      <c r="AU750">
        <v>158</v>
      </c>
    </row>
    <row r="751" spans="46:47" x14ac:dyDescent="0.2">
      <c r="AT751" s="418" t="s">
        <v>3670</v>
      </c>
      <c r="AU751">
        <v>34</v>
      </c>
    </row>
    <row r="752" spans="46:47" x14ac:dyDescent="0.2">
      <c r="AT752" s="418" t="s">
        <v>3671</v>
      </c>
      <c r="AU752">
        <v>5</v>
      </c>
    </row>
    <row r="753" spans="46:47" x14ac:dyDescent="0.2">
      <c r="AT753" s="418" t="s">
        <v>3672</v>
      </c>
      <c r="AU753">
        <v>6</v>
      </c>
    </row>
    <row r="754" spans="46:47" x14ac:dyDescent="0.2">
      <c r="AT754" s="418" t="s">
        <v>3673</v>
      </c>
      <c r="AU754">
        <v>2</v>
      </c>
    </row>
    <row r="755" spans="46:47" x14ac:dyDescent="0.2">
      <c r="AT755" s="418" t="s">
        <v>3762</v>
      </c>
      <c r="AU755">
        <v>0</v>
      </c>
    </row>
    <row r="758" spans="46:47" x14ac:dyDescent="0.2">
      <c r="AT758" s="418" t="s">
        <v>287</v>
      </c>
      <c r="AU758" t="s">
        <v>475</v>
      </c>
    </row>
    <row r="759" spans="46:47" x14ac:dyDescent="0.2">
      <c r="AT759" s="418" t="s">
        <v>3653</v>
      </c>
      <c r="AU759">
        <v>1</v>
      </c>
    </row>
    <row r="760" spans="46:47" x14ac:dyDescent="0.2">
      <c r="AT760" s="418" t="s">
        <v>3654</v>
      </c>
      <c r="AU760">
        <v>0</v>
      </c>
    </row>
    <row r="761" spans="46:47" x14ac:dyDescent="0.2">
      <c r="AT761" s="418" t="s">
        <v>3655</v>
      </c>
      <c r="AU761">
        <v>0</v>
      </c>
    </row>
    <row r="762" spans="46:47" x14ac:dyDescent="0.2">
      <c r="AT762" s="418" t="s">
        <v>3656</v>
      </c>
      <c r="AU762">
        <v>0</v>
      </c>
    </row>
    <row r="763" spans="46:47" x14ac:dyDescent="0.2">
      <c r="AT763" s="418" t="s">
        <v>3657</v>
      </c>
      <c r="AU763">
        <v>1</v>
      </c>
    </row>
    <row r="764" spans="46:47" x14ac:dyDescent="0.2">
      <c r="AT764" s="418" t="s">
        <v>3658</v>
      </c>
      <c r="AU764">
        <v>0</v>
      </c>
    </row>
    <row r="765" spans="46:47" x14ac:dyDescent="0.2">
      <c r="AT765" s="418" t="s">
        <v>3659</v>
      </c>
      <c r="AU765">
        <v>2</v>
      </c>
    </row>
    <row r="766" spans="46:47" x14ac:dyDescent="0.2">
      <c r="AT766" s="418" t="s">
        <v>3660</v>
      </c>
      <c r="AU766">
        <v>0</v>
      </c>
    </row>
    <row r="767" spans="46:47" x14ac:dyDescent="0.2">
      <c r="AT767" s="418" t="s">
        <v>3661</v>
      </c>
      <c r="AU767">
        <v>1</v>
      </c>
    </row>
    <row r="768" spans="46:47" x14ac:dyDescent="0.2">
      <c r="AT768" s="418" t="s">
        <v>3662</v>
      </c>
      <c r="AU768">
        <v>0</v>
      </c>
    </row>
    <row r="769" spans="46:47" x14ac:dyDescent="0.2">
      <c r="AT769" s="418" t="s">
        <v>3663</v>
      </c>
      <c r="AU769">
        <v>0</v>
      </c>
    </row>
    <row r="770" spans="46:47" x14ac:dyDescent="0.2">
      <c r="AT770" s="418" t="s">
        <v>3664</v>
      </c>
      <c r="AU770">
        <v>1</v>
      </c>
    </row>
    <row r="771" spans="46:47" x14ac:dyDescent="0.2">
      <c r="AT771" s="418" t="s">
        <v>3665</v>
      </c>
      <c r="AU771">
        <v>0</v>
      </c>
    </row>
    <row r="772" spans="46:47" x14ac:dyDescent="0.2">
      <c r="AT772" s="418" t="s">
        <v>3666</v>
      </c>
      <c r="AU772">
        <v>6</v>
      </c>
    </row>
    <row r="773" spans="46:47" x14ac:dyDescent="0.2">
      <c r="AT773" s="418" t="s">
        <v>3667</v>
      </c>
      <c r="AU773">
        <v>14</v>
      </c>
    </row>
    <row r="774" spans="46:47" x14ac:dyDescent="0.2">
      <c r="AT774" s="418" t="s">
        <v>3668</v>
      </c>
      <c r="AU774">
        <v>72</v>
      </c>
    </row>
    <row r="775" spans="46:47" x14ac:dyDescent="0.2">
      <c r="AT775" s="418" t="s">
        <v>3669</v>
      </c>
      <c r="AU775">
        <v>171</v>
      </c>
    </row>
    <row r="776" spans="46:47" x14ac:dyDescent="0.2">
      <c r="AT776" s="418" t="s">
        <v>3670</v>
      </c>
      <c r="AU776">
        <v>39</v>
      </c>
    </row>
    <row r="777" spans="46:47" x14ac:dyDescent="0.2">
      <c r="AT777" s="418" t="s">
        <v>3671</v>
      </c>
      <c r="AU777">
        <v>7</v>
      </c>
    </row>
    <row r="778" spans="46:47" x14ac:dyDescent="0.2">
      <c r="AT778" s="418" t="s">
        <v>3672</v>
      </c>
      <c r="AU778">
        <v>3</v>
      </c>
    </row>
    <row r="779" spans="46:47" x14ac:dyDescent="0.2">
      <c r="AT779" s="418" t="s">
        <v>3673</v>
      </c>
      <c r="AU779">
        <v>1</v>
      </c>
    </row>
    <row r="782" spans="46:47" x14ac:dyDescent="0.2">
      <c r="AT782" s="418" t="s">
        <v>3763</v>
      </c>
      <c r="AU782" t="s">
        <v>475</v>
      </c>
    </row>
    <row r="783" spans="46:47" x14ac:dyDescent="0.2">
      <c r="AT783" s="418" t="s">
        <v>4224</v>
      </c>
      <c r="AU783">
        <v>4</v>
      </c>
    </row>
    <row r="784" spans="46:47" x14ac:dyDescent="0.2">
      <c r="AT784" s="418" t="s">
        <v>4225</v>
      </c>
      <c r="AU784">
        <v>3</v>
      </c>
    </row>
    <row r="785" spans="46:47" x14ac:dyDescent="0.2">
      <c r="AT785" s="418" t="s">
        <v>4226</v>
      </c>
      <c r="AU785">
        <v>14</v>
      </c>
    </row>
    <row r="786" spans="46:47" x14ac:dyDescent="0.2">
      <c r="AT786" s="418" t="s">
        <v>4227</v>
      </c>
      <c r="AU786">
        <v>34</v>
      </c>
    </row>
    <row r="787" spans="46:47" x14ac:dyDescent="0.2">
      <c r="AT787" s="418" t="s">
        <v>4228</v>
      </c>
      <c r="AU787">
        <v>70</v>
      </c>
    </row>
    <row r="788" spans="46:47" x14ac:dyDescent="0.2">
      <c r="AT788" s="418" t="s">
        <v>4229</v>
      </c>
      <c r="AU788">
        <v>41</v>
      </c>
    </row>
    <row r="789" spans="46:47" x14ac:dyDescent="0.2">
      <c r="AT789" s="418" t="s">
        <v>4230</v>
      </c>
      <c r="AU789">
        <v>35</v>
      </c>
    </row>
    <row r="790" spans="46:47" x14ac:dyDescent="0.2">
      <c r="AT790" s="418" t="s">
        <v>4231</v>
      </c>
      <c r="AU790">
        <v>27</v>
      </c>
    </row>
    <row r="791" spans="46:47" x14ac:dyDescent="0.2">
      <c r="AT791" s="418" t="s">
        <v>4232</v>
      </c>
      <c r="AU791">
        <v>30</v>
      </c>
    </row>
    <row r="792" spans="46:47" x14ac:dyDescent="0.2">
      <c r="AT792" s="418" t="s">
        <v>4233</v>
      </c>
      <c r="AU792">
        <v>18</v>
      </c>
    </row>
    <row r="793" spans="46:47" x14ac:dyDescent="0.2">
      <c r="AT793" s="418" t="s">
        <v>4234</v>
      </c>
      <c r="AU793">
        <v>17</v>
      </c>
    </row>
    <row r="794" spans="46:47" x14ac:dyDescent="0.2">
      <c r="AT794" s="418" t="s">
        <v>4235</v>
      </c>
      <c r="AU794">
        <v>13</v>
      </c>
    </row>
    <row r="795" spans="46:47" x14ac:dyDescent="0.2">
      <c r="AT795" s="418" t="s">
        <v>4236</v>
      </c>
      <c r="AU795">
        <v>3</v>
      </c>
    </row>
    <row r="796" spans="46:47" x14ac:dyDescent="0.2">
      <c r="AT796" s="418" t="s">
        <v>4237</v>
      </c>
      <c r="AU796">
        <v>5</v>
      </c>
    </row>
    <row r="797" spans="46:47" x14ac:dyDescent="0.2">
      <c r="AT797" s="418" t="s">
        <v>4238</v>
      </c>
      <c r="AU797">
        <v>0</v>
      </c>
    </row>
    <row r="798" spans="46:47" x14ac:dyDescent="0.2">
      <c r="AT798" s="418" t="s">
        <v>4239</v>
      </c>
      <c r="AU798">
        <v>0</v>
      </c>
    </row>
    <row r="799" spans="46:47" x14ac:dyDescent="0.2">
      <c r="AT799" s="418" t="s">
        <v>4240</v>
      </c>
      <c r="AU799">
        <v>1</v>
      </c>
    </row>
    <row r="800" spans="46:47" x14ac:dyDescent="0.2">
      <c r="AT800" s="418" t="s">
        <v>4241</v>
      </c>
      <c r="AU800">
        <v>0</v>
      </c>
    </row>
    <row r="801" spans="46:47" x14ac:dyDescent="0.2">
      <c r="AT801" s="418" t="s">
        <v>4242</v>
      </c>
      <c r="AU801">
        <v>0</v>
      </c>
    </row>
    <row r="802" spans="46:47" x14ac:dyDescent="0.2">
      <c r="AT802" s="418" t="s">
        <v>4243</v>
      </c>
      <c r="AU802">
        <v>0</v>
      </c>
    </row>
    <row r="803" spans="46:47" x14ac:dyDescent="0.2">
      <c r="AT803" s="418" t="s">
        <v>4244</v>
      </c>
      <c r="AU803">
        <v>2</v>
      </c>
    </row>
    <row r="804" spans="46:47" x14ac:dyDescent="0.2">
      <c r="AT804" s="418" t="s">
        <v>4245</v>
      </c>
      <c r="AU804">
        <v>0</v>
      </c>
    </row>
    <row r="805" spans="46:47" x14ac:dyDescent="0.2">
      <c r="AT805" s="418" t="s">
        <v>4246</v>
      </c>
      <c r="AU805">
        <v>0</v>
      </c>
    </row>
    <row r="806" spans="46:47" x14ac:dyDescent="0.2">
      <c r="AT806" s="418" t="s">
        <v>4247</v>
      </c>
      <c r="AU806">
        <v>0</v>
      </c>
    </row>
    <row r="807" spans="46:47" x14ac:dyDescent="0.2">
      <c r="AT807" s="418" t="s">
        <v>4248</v>
      </c>
      <c r="AU807">
        <v>1</v>
      </c>
    </row>
    <row r="808" spans="46:47" x14ac:dyDescent="0.2">
      <c r="AT808" s="418" t="s">
        <v>4249</v>
      </c>
      <c r="AU808">
        <v>0</v>
      </c>
    </row>
    <row r="809" spans="46:47" x14ac:dyDescent="0.2">
      <c r="AT809" s="418" t="s">
        <v>4250</v>
      </c>
      <c r="AU809">
        <v>0</v>
      </c>
    </row>
    <row r="810" spans="46:47" x14ac:dyDescent="0.2">
      <c r="AT810" s="418" t="s">
        <v>4251</v>
      </c>
      <c r="AU810">
        <v>1</v>
      </c>
    </row>
    <row r="811" spans="46:47" x14ac:dyDescent="0.2">
      <c r="AT811" s="418" t="s">
        <v>4252</v>
      </c>
      <c r="AU811">
        <v>0</v>
      </c>
    </row>
    <row r="814" spans="46:47" x14ac:dyDescent="0.2">
      <c r="AT814" t="s">
        <v>1811</v>
      </c>
      <c r="AU814" t="s">
        <v>957</v>
      </c>
    </row>
    <row r="815" spans="46:47" x14ac:dyDescent="0.2">
      <c r="AT815">
        <v>2001</v>
      </c>
      <c r="AU815">
        <v>10.99</v>
      </c>
    </row>
    <row r="816" spans="46:47" x14ac:dyDescent="0.2">
      <c r="AT816">
        <v>2007</v>
      </c>
      <c r="AU816">
        <v>10.37</v>
      </c>
    </row>
    <row r="817" spans="46:47" x14ac:dyDescent="0.2">
      <c r="AT817">
        <v>2009</v>
      </c>
      <c r="AU817">
        <v>9.14</v>
      </c>
    </row>
    <row r="818" spans="46:47" x14ac:dyDescent="0.2">
      <c r="AT818">
        <v>1982</v>
      </c>
      <c r="AU818">
        <v>9.23</v>
      </c>
    </row>
    <row r="819" spans="46:47" x14ac:dyDescent="0.2">
      <c r="AT819">
        <v>1973</v>
      </c>
      <c r="AU819">
        <v>10</v>
      </c>
    </row>
    <row r="820" spans="46:47" x14ac:dyDescent="0.2">
      <c r="AT820">
        <v>2001</v>
      </c>
      <c r="AU820">
        <v>9.09</v>
      </c>
    </row>
    <row r="821" spans="46:47" x14ac:dyDescent="0.2">
      <c r="AT821">
        <v>1985</v>
      </c>
      <c r="AU821">
        <v>9.0299999999999994</v>
      </c>
    </row>
    <row r="822" spans="46:47" x14ac:dyDescent="0.2">
      <c r="AT822">
        <v>1977</v>
      </c>
      <c r="AU822">
        <v>8.65</v>
      </c>
    </row>
    <row r="823" spans="46:47" x14ac:dyDescent="0.2">
      <c r="AT823">
        <v>1986</v>
      </c>
      <c r="AU823">
        <v>9.3699999999999992</v>
      </c>
    </row>
    <row r="824" spans="46:47" x14ac:dyDescent="0.2">
      <c r="AT824">
        <v>1998</v>
      </c>
      <c r="AU824">
        <v>8.66</v>
      </c>
    </row>
    <row r="825" spans="46:47" x14ac:dyDescent="0.2">
      <c r="AT825">
        <v>2000</v>
      </c>
      <c r="AU825">
        <v>8.34</v>
      </c>
    </row>
    <row r="826" spans="46:47" x14ac:dyDescent="0.2">
      <c r="AT826">
        <v>1969</v>
      </c>
      <c r="AU826">
        <v>9.4600000000000009</v>
      </c>
    </row>
    <row r="827" spans="46:47" x14ac:dyDescent="0.2">
      <c r="AT827">
        <v>2020</v>
      </c>
      <c r="AU827">
        <v>8.8699999999999992</v>
      </c>
    </row>
    <row r="828" spans="46:47" x14ac:dyDescent="0.2">
      <c r="AT828">
        <v>2001</v>
      </c>
      <c r="AU828">
        <v>9.44</v>
      </c>
    </row>
    <row r="829" spans="46:47" x14ac:dyDescent="0.2">
      <c r="AT829">
        <v>1996</v>
      </c>
      <c r="AU829">
        <v>9.9600000000000009</v>
      </c>
    </row>
    <row r="830" spans="46:47" x14ac:dyDescent="0.2">
      <c r="AT830">
        <v>1997</v>
      </c>
      <c r="AU830">
        <v>10.07</v>
      </c>
    </row>
    <row r="831" spans="46:47" x14ac:dyDescent="0.2">
      <c r="AT831">
        <v>2005</v>
      </c>
      <c r="AU831">
        <v>8.56</v>
      </c>
    </row>
    <row r="832" spans="46:47" x14ac:dyDescent="0.2">
      <c r="AT832">
        <v>2008</v>
      </c>
      <c r="AU832">
        <v>9.34</v>
      </c>
    </row>
    <row r="833" spans="46:47" x14ac:dyDescent="0.2">
      <c r="AT833">
        <v>1992</v>
      </c>
      <c r="AU833">
        <v>8.25</v>
      </c>
    </row>
    <row r="834" spans="46:47" x14ac:dyDescent="0.2">
      <c r="AT834">
        <v>1994</v>
      </c>
      <c r="AU834">
        <v>8.76</v>
      </c>
    </row>
    <row r="835" spans="46:47" x14ac:dyDescent="0.2">
      <c r="AT835">
        <v>1971</v>
      </c>
      <c r="AU835">
        <v>9.5299999999999994</v>
      </c>
    </row>
    <row r="836" spans="46:47" x14ac:dyDescent="0.2">
      <c r="AT836">
        <v>1990</v>
      </c>
      <c r="AU836">
        <v>9.09</v>
      </c>
    </row>
    <row r="837" spans="46:47" x14ac:dyDescent="0.2">
      <c r="AT837">
        <v>1979</v>
      </c>
      <c r="AU837">
        <v>8.1999999999999993</v>
      </c>
    </row>
    <row r="838" spans="46:47" x14ac:dyDescent="0.2">
      <c r="AT838">
        <v>2000</v>
      </c>
      <c r="AU838">
        <v>9.3699999999999992</v>
      </c>
    </row>
    <row r="839" spans="46:47" x14ac:dyDescent="0.2">
      <c r="AT839">
        <v>1993</v>
      </c>
      <c r="AU839">
        <v>8.2200000000000006</v>
      </c>
    </row>
    <row r="840" spans="46:47" x14ac:dyDescent="0.2">
      <c r="AT840">
        <v>1993</v>
      </c>
      <c r="AU840">
        <v>8.17</v>
      </c>
    </row>
    <row r="841" spans="46:47" x14ac:dyDescent="0.2">
      <c r="AT841">
        <v>2018</v>
      </c>
      <c r="AU841">
        <v>8.39</v>
      </c>
    </row>
    <row r="842" spans="46:47" x14ac:dyDescent="0.2">
      <c r="AT842">
        <v>2005</v>
      </c>
      <c r="AU842">
        <v>7.98</v>
      </c>
    </row>
    <row r="843" spans="46:47" x14ac:dyDescent="0.2">
      <c r="AT843">
        <v>1990</v>
      </c>
      <c r="AU843">
        <v>9.14</v>
      </c>
    </row>
    <row r="844" spans="46:47" x14ac:dyDescent="0.2">
      <c r="AT844">
        <v>1989</v>
      </c>
      <c r="AU844">
        <v>8.7100000000000009</v>
      </c>
    </row>
    <row r="845" spans="46:47" x14ac:dyDescent="0.2">
      <c r="AT845">
        <v>2021</v>
      </c>
      <c r="AU845">
        <v>7.16</v>
      </c>
    </row>
    <row r="846" spans="46:47" x14ac:dyDescent="0.2">
      <c r="AT846">
        <v>2026</v>
      </c>
      <c r="AU846">
        <v>7.64</v>
      </c>
    </row>
    <row r="847" spans="46:47" x14ac:dyDescent="0.2">
      <c r="AT847">
        <v>1995</v>
      </c>
      <c r="AU847">
        <v>9.14</v>
      </c>
    </row>
    <row r="848" spans="46:47" x14ac:dyDescent="0.2">
      <c r="AT848">
        <v>2002</v>
      </c>
      <c r="AU848">
        <v>8.81</v>
      </c>
    </row>
    <row r="849" spans="46:47" x14ac:dyDescent="0.2">
      <c r="AT849">
        <v>2023</v>
      </c>
      <c r="AU849">
        <v>8.06</v>
      </c>
    </row>
    <row r="850" spans="46:47" x14ac:dyDescent="0.2">
      <c r="AT850">
        <v>2021</v>
      </c>
      <c r="AU850">
        <v>7.66</v>
      </c>
    </row>
    <row r="851" spans="46:47" x14ac:dyDescent="0.2">
      <c r="AT851">
        <v>2007</v>
      </c>
      <c r="AU851">
        <v>9.23</v>
      </c>
    </row>
    <row r="852" spans="46:47" x14ac:dyDescent="0.2">
      <c r="AT852">
        <v>2003</v>
      </c>
      <c r="AU852">
        <v>8.73</v>
      </c>
    </row>
    <row r="853" spans="46:47" x14ac:dyDescent="0.2">
      <c r="AT853">
        <v>2016</v>
      </c>
      <c r="AU853">
        <v>8.43</v>
      </c>
    </row>
    <row r="854" spans="46:47" x14ac:dyDescent="0.2">
      <c r="AT854">
        <v>2016</v>
      </c>
      <c r="AU854">
        <v>8.75</v>
      </c>
    </row>
    <row r="855" spans="46:47" x14ac:dyDescent="0.2">
      <c r="AT855">
        <v>2006</v>
      </c>
      <c r="AU855">
        <v>9.99</v>
      </c>
    </row>
    <row r="856" spans="46:47" x14ac:dyDescent="0.2">
      <c r="AT856">
        <v>2016</v>
      </c>
      <c r="AU856">
        <v>8.16</v>
      </c>
    </row>
    <row r="857" spans="46:47" x14ac:dyDescent="0.2">
      <c r="AT857">
        <v>1983</v>
      </c>
      <c r="AU857">
        <v>8.7899999999999991</v>
      </c>
    </row>
    <row r="858" spans="46:47" x14ac:dyDescent="0.2">
      <c r="AT858">
        <v>2015</v>
      </c>
      <c r="AU858">
        <v>8.6199999999999992</v>
      </c>
    </row>
    <row r="859" spans="46:47" x14ac:dyDescent="0.2">
      <c r="AT859">
        <v>2001</v>
      </c>
      <c r="AU859">
        <v>8.11</v>
      </c>
    </row>
    <row r="860" spans="46:47" x14ac:dyDescent="0.2">
      <c r="AT860">
        <v>2013</v>
      </c>
      <c r="AU860">
        <v>8.7899999999999991</v>
      </c>
    </row>
    <row r="861" spans="46:47" x14ac:dyDescent="0.2">
      <c r="AT861">
        <v>2026</v>
      </c>
      <c r="AU861">
        <v>7.7</v>
      </c>
    </row>
    <row r="862" spans="46:47" x14ac:dyDescent="0.2">
      <c r="AT862">
        <v>2005</v>
      </c>
      <c r="AU862">
        <v>9.0399999999999991</v>
      </c>
    </row>
    <row r="863" spans="46:47" x14ac:dyDescent="0.2">
      <c r="AT863">
        <v>2026</v>
      </c>
      <c r="AU863">
        <v>6.99</v>
      </c>
    </row>
    <row r="864" spans="46:47" x14ac:dyDescent="0.2">
      <c r="AT864">
        <v>2000</v>
      </c>
      <c r="AU864">
        <v>10.050000000000001</v>
      </c>
    </row>
    <row r="865" spans="46:47" x14ac:dyDescent="0.2">
      <c r="AT865">
        <v>1984</v>
      </c>
      <c r="AU865">
        <v>9.2100000000000009</v>
      </c>
    </row>
    <row r="866" spans="46:47" x14ac:dyDescent="0.2">
      <c r="AT866">
        <v>1997</v>
      </c>
      <c r="AU866">
        <v>7.95</v>
      </c>
    </row>
    <row r="867" spans="46:47" x14ac:dyDescent="0.2">
      <c r="AT867">
        <v>2010</v>
      </c>
      <c r="AU867">
        <v>8.75</v>
      </c>
    </row>
    <row r="868" spans="46:47" x14ac:dyDescent="0.2">
      <c r="AT868">
        <v>1992</v>
      </c>
      <c r="AU868">
        <v>8.58</v>
      </c>
    </row>
    <row r="869" spans="46:47" x14ac:dyDescent="0.2">
      <c r="AT869">
        <v>2002</v>
      </c>
      <c r="AU869">
        <v>8.93</v>
      </c>
    </row>
    <row r="870" spans="46:47" x14ac:dyDescent="0.2">
      <c r="AT870">
        <v>1977</v>
      </c>
      <c r="AU870">
        <v>9.5500000000000007</v>
      </c>
    </row>
    <row r="871" spans="46:47" x14ac:dyDescent="0.2">
      <c r="AT871">
        <v>2024</v>
      </c>
      <c r="AU871">
        <v>8.57</v>
      </c>
    </row>
    <row r="872" spans="46:47" x14ac:dyDescent="0.2">
      <c r="AT872">
        <v>2003</v>
      </c>
      <c r="AU872">
        <v>8.48</v>
      </c>
    </row>
    <row r="873" spans="46:47" x14ac:dyDescent="0.2">
      <c r="AT873">
        <v>2010</v>
      </c>
      <c r="AU873">
        <v>8.7899999999999991</v>
      </c>
    </row>
    <row r="874" spans="46:47" x14ac:dyDescent="0.2">
      <c r="AT874">
        <v>2005</v>
      </c>
      <c r="AU874">
        <v>8.76</v>
      </c>
    </row>
    <row r="875" spans="46:47" x14ac:dyDescent="0.2">
      <c r="AT875">
        <v>2003</v>
      </c>
      <c r="AU875">
        <v>8.56</v>
      </c>
    </row>
    <row r="876" spans="46:47" x14ac:dyDescent="0.2">
      <c r="AT876">
        <v>1999</v>
      </c>
      <c r="AU876">
        <v>8.85</v>
      </c>
    </row>
    <row r="877" spans="46:47" x14ac:dyDescent="0.2">
      <c r="AT877">
        <v>1979</v>
      </c>
      <c r="AU877">
        <v>9.1</v>
      </c>
    </row>
    <row r="878" spans="46:47" x14ac:dyDescent="0.2">
      <c r="AT878">
        <v>1979</v>
      </c>
      <c r="AU878">
        <v>8.6</v>
      </c>
    </row>
    <row r="879" spans="46:47" x14ac:dyDescent="0.2">
      <c r="AT879">
        <v>2011</v>
      </c>
      <c r="AU879">
        <v>7.74</v>
      </c>
    </row>
    <row r="880" spans="46:47" x14ac:dyDescent="0.2">
      <c r="AT880">
        <v>1999</v>
      </c>
      <c r="AU880">
        <v>8.56</v>
      </c>
    </row>
    <row r="881" spans="46:47" x14ac:dyDescent="0.2">
      <c r="AT881">
        <v>2005</v>
      </c>
      <c r="AU881">
        <v>9.24</v>
      </c>
    </row>
    <row r="882" spans="46:47" x14ac:dyDescent="0.2">
      <c r="AT882">
        <v>2002</v>
      </c>
      <c r="AU882">
        <v>8.93</v>
      </c>
    </row>
    <row r="883" spans="46:47" x14ac:dyDescent="0.2">
      <c r="AT883">
        <v>1993</v>
      </c>
      <c r="AU883">
        <v>7.4</v>
      </c>
    </row>
    <row r="884" spans="46:47" x14ac:dyDescent="0.2">
      <c r="AT884">
        <v>2024</v>
      </c>
      <c r="AU884">
        <v>9.36</v>
      </c>
    </row>
    <row r="885" spans="46:47" x14ac:dyDescent="0.2">
      <c r="AT885">
        <v>1999</v>
      </c>
      <c r="AU885">
        <v>8.4700000000000006</v>
      </c>
    </row>
    <row r="886" spans="46:47" x14ac:dyDescent="0.2">
      <c r="AT886">
        <v>1975</v>
      </c>
      <c r="AU886">
        <v>10.39</v>
      </c>
    </row>
    <row r="887" spans="46:47" x14ac:dyDescent="0.2">
      <c r="AT887">
        <v>1996</v>
      </c>
      <c r="AU887">
        <v>10.85</v>
      </c>
    </row>
    <row r="888" spans="46:47" x14ac:dyDescent="0.2">
      <c r="AT888">
        <v>1988</v>
      </c>
      <c r="AU888">
        <v>9.08</v>
      </c>
    </row>
    <row r="889" spans="46:47" x14ac:dyDescent="0.2">
      <c r="AT889">
        <v>1993</v>
      </c>
      <c r="AU889">
        <v>8.27</v>
      </c>
    </row>
    <row r="890" spans="46:47" x14ac:dyDescent="0.2">
      <c r="AT890">
        <v>2020</v>
      </c>
      <c r="AU890">
        <v>7.61</v>
      </c>
    </row>
    <row r="891" spans="46:47" x14ac:dyDescent="0.2">
      <c r="AT891">
        <v>1978</v>
      </c>
      <c r="AU891">
        <v>8.86</v>
      </c>
    </row>
    <row r="892" spans="46:47" x14ac:dyDescent="0.2">
      <c r="AT892">
        <v>2024</v>
      </c>
      <c r="AU892">
        <v>8.4499999999999993</v>
      </c>
    </row>
    <row r="893" spans="46:47" x14ac:dyDescent="0.2">
      <c r="AT893">
        <v>2013</v>
      </c>
      <c r="AU893">
        <v>8.6300000000000008</v>
      </c>
    </row>
    <row r="894" spans="46:47" x14ac:dyDescent="0.2">
      <c r="AT894">
        <v>2019</v>
      </c>
      <c r="AU894">
        <v>9.42</v>
      </c>
    </row>
    <row r="895" spans="46:47" x14ac:dyDescent="0.2">
      <c r="AT895">
        <v>2024</v>
      </c>
      <c r="AU895">
        <v>8.3800000000000008</v>
      </c>
    </row>
    <row r="896" spans="46:47" x14ac:dyDescent="0.2">
      <c r="AT896">
        <v>2008</v>
      </c>
      <c r="AU896">
        <v>8.84</v>
      </c>
    </row>
    <row r="897" spans="46:47" x14ac:dyDescent="0.2">
      <c r="AT897">
        <v>2026</v>
      </c>
      <c r="AU897">
        <v>8</v>
      </c>
    </row>
    <row r="898" spans="46:47" x14ac:dyDescent="0.2">
      <c r="AT898">
        <v>2025</v>
      </c>
      <c r="AU898">
        <v>8.9600000000000009</v>
      </c>
    </row>
    <row r="899" spans="46:47" x14ac:dyDescent="0.2">
      <c r="AT899">
        <v>2002</v>
      </c>
      <c r="AU899">
        <v>8.65</v>
      </c>
    </row>
    <row r="900" spans="46:47" x14ac:dyDescent="0.2">
      <c r="AT900">
        <v>2021</v>
      </c>
      <c r="AU900">
        <v>8.65</v>
      </c>
    </row>
    <row r="901" spans="46:47" x14ac:dyDescent="0.2">
      <c r="AT901">
        <v>2015</v>
      </c>
      <c r="AU901">
        <v>8.7100000000000009</v>
      </c>
    </row>
    <row r="902" spans="46:47" x14ac:dyDescent="0.2">
      <c r="AT902">
        <v>1971</v>
      </c>
      <c r="AU902">
        <v>8.83</v>
      </c>
    </row>
    <row r="903" spans="46:47" x14ac:dyDescent="0.2">
      <c r="AT903">
        <v>2026</v>
      </c>
      <c r="AU903">
        <v>7.95</v>
      </c>
    </row>
    <row r="904" spans="46:47" x14ac:dyDescent="0.2">
      <c r="AT904">
        <v>2023</v>
      </c>
      <c r="AU904">
        <v>8.77</v>
      </c>
    </row>
    <row r="905" spans="46:47" x14ac:dyDescent="0.2">
      <c r="AT905">
        <v>2005</v>
      </c>
      <c r="AU905">
        <v>8.89</v>
      </c>
    </row>
    <row r="906" spans="46:47" x14ac:dyDescent="0.2">
      <c r="AT906">
        <v>2002</v>
      </c>
      <c r="AU906">
        <v>8.7200000000000006</v>
      </c>
    </row>
    <row r="907" spans="46:47" x14ac:dyDescent="0.2">
      <c r="AT907">
        <v>2012</v>
      </c>
      <c r="AU907">
        <v>8.68</v>
      </c>
    </row>
    <row r="908" spans="46:47" x14ac:dyDescent="0.2">
      <c r="AT908">
        <v>1992</v>
      </c>
      <c r="AU908">
        <v>8.76</v>
      </c>
    </row>
    <row r="909" spans="46:47" x14ac:dyDescent="0.2">
      <c r="AT909">
        <v>2000</v>
      </c>
      <c r="AU909">
        <v>8.8800000000000008</v>
      </c>
    </row>
    <row r="910" spans="46:47" x14ac:dyDescent="0.2">
      <c r="AT910">
        <v>2005</v>
      </c>
      <c r="AU910">
        <v>8.84</v>
      </c>
    </row>
    <row r="911" spans="46:47" x14ac:dyDescent="0.2">
      <c r="AT911">
        <v>1998</v>
      </c>
      <c r="AU911">
        <v>8.6999999999999993</v>
      </c>
    </row>
    <row r="912" spans="46:47" x14ac:dyDescent="0.2">
      <c r="AT912">
        <v>2005</v>
      </c>
      <c r="AU912">
        <v>7.79</v>
      </c>
    </row>
    <row r="913" spans="46:47" x14ac:dyDescent="0.2">
      <c r="AT913">
        <v>2016</v>
      </c>
      <c r="AU913">
        <v>8.34</v>
      </c>
    </row>
    <row r="914" spans="46:47" x14ac:dyDescent="0.2">
      <c r="AT914">
        <v>1974</v>
      </c>
      <c r="AU914">
        <v>9.06</v>
      </c>
    </row>
    <row r="915" spans="46:47" x14ac:dyDescent="0.2">
      <c r="AT915">
        <v>1979</v>
      </c>
      <c r="AU915">
        <v>8.6300000000000008</v>
      </c>
    </row>
    <row r="916" spans="46:47" x14ac:dyDescent="0.2">
      <c r="AT916">
        <v>2000</v>
      </c>
      <c r="AU916">
        <v>8.9499999999999993</v>
      </c>
    </row>
    <row r="917" spans="46:47" x14ac:dyDescent="0.2">
      <c r="AT917">
        <v>2000</v>
      </c>
      <c r="AU917">
        <v>8.65</v>
      </c>
    </row>
    <row r="918" spans="46:47" x14ac:dyDescent="0.2">
      <c r="AT918">
        <v>1993</v>
      </c>
      <c r="AU918">
        <v>8.5</v>
      </c>
    </row>
    <row r="919" spans="46:47" x14ac:dyDescent="0.2">
      <c r="AT919">
        <v>2026</v>
      </c>
      <c r="AU919">
        <v>8.3699999999999992</v>
      </c>
    </row>
    <row r="920" spans="46:47" x14ac:dyDescent="0.2">
      <c r="AT920">
        <v>2014</v>
      </c>
      <c r="AU920">
        <v>8.7799999999999994</v>
      </c>
    </row>
    <row r="921" spans="46:47" x14ac:dyDescent="0.2">
      <c r="AT921">
        <v>2006</v>
      </c>
      <c r="AU921">
        <v>8.93</v>
      </c>
    </row>
    <row r="922" spans="46:47" x14ac:dyDescent="0.2">
      <c r="AT922">
        <v>1996</v>
      </c>
      <c r="AU922">
        <v>8.25</v>
      </c>
    </row>
    <row r="923" spans="46:47" x14ac:dyDescent="0.2">
      <c r="AT923">
        <v>1982</v>
      </c>
      <c r="AU923">
        <v>8.6999999999999993</v>
      </c>
    </row>
    <row r="924" spans="46:47" x14ac:dyDescent="0.2">
      <c r="AT924">
        <v>1995</v>
      </c>
      <c r="AU924">
        <v>8.6300000000000008</v>
      </c>
    </row>
    <row r="925" spans="46:47" x14ac:dyDescent="0.2">
      <c r="AT925">
        <v>1994</v>
      </c>
      <c r="AU925">
        <v>8.8800000000000008</v>
      </c>
    </row>
    <row r="926" spans="46:47" x14ac:dyDescent="0.2">
      <c r="AT926">
        <v>2014</v>
      </c>
      <c r="AU926">
        <v>8.1300000000000008</v>
      </c>
    </row>
    <row r="927" spans="46:47" x14ac:dyDescent="0.2">
      <c r="AT927">
        <v>2026</v>
      </c>
      <c r="AU927">
        <v>8.4499999999999993</v>
      </c>
    </row>
    <row r="928" spans="46:47" x14ac:dyDescent="0.2">
      <c r="AT928">
        <v>1991</v>
      </c>
      <c r="AU928">
        <v>8.83</v>
      </c>
    </row>
    <row r="929" spans="46:47" x14ac:dyDescent="0.2">
      <c r="AT929">
        <v>2003</v>
      </c>
      <c r="AU929">
        <v>3.37</v>
      </c>
    </row>
    <row r="930" spans="46:47" x14ac:dyDescent="0.2">
      <c r="AT930">
        <v>1971</v>
      </c>
      <c r="AU930">
        <v>8.9700000000000006</v>
      </c>
    </row>
    <row r="931" spans="46:47" x14ac:dyDescent="0.2">
      <c r="AT931">
        <v>2018</v>
      </c>
      <c r="AU931">
        <v>8.16</v>
      </c>
    </row>
    <row r="932" spans="46:47" x14ac:dyDescent="0.2">
      <c r="AT932">
        <v>1998</v>
      </c>
      <c r="AU932">
        <v>8.27</v>
      </c>
    </row>
    <row r="933" spans="46:47" x14ac:dyDescent="0.2">
      <c r="AT933">
        <v>2003</v>
      </c>
      <c r="AU933">
        <v>8.9600000000000009</v>
      </c>
    </row>
    <row r="934" spans="46:47" x14ac:dyDescent="0.2">
      <c r="AT934">
        <v>2024</v>
      </c>
      <c r="AU934">
        <v>8.52</v>
      </c>
    </row>
    <row r="935" spans="46:47" x14ac:dyDescent="0.2">
      <c r="AT935">
        <v>2001</v>
      </c>
      <c r="AU935">
        <v>8.06</v>
      </c>
    </row>
    <row r="936" spans="46:47" x14ac:dyDescent="0.2">
      <c r="AT936">
        <v>2026</v>
      </c>
      <c r="AU936">
        <v>7.2</v>
      </c>
    </row>
    <row r="937" spans="46:47" x14ac:dyDescent="0.2">
      <c r="AT937">
        <v>2024</v>
      </c>
      <c r="AU937">
        <v>8.4600000000000009</v>
      </c>
    </row>
    <row r="938" spans="46:47" x14ac:dyDescent="0.2">
      <c r="AT938">
        <v>2026</v>
      </c>
      <c r="AU938">
        <v>8.3800000000000008</v>
      </c>
    </row>
    <row r="939" spans="46:47" x14ac:dyDescent="0.2">
      <c r="AT939">
        <v>1970</v>
      </c>
      <c r="AU939">
        <v>9.43</v>
      </c>
    </row>
    <row r="940" spans="46:47" x14ac:dyDescent="0.2">
      <c r="AT940">
        <v>2013</v>
      </c>
      <c r="AU940">
        <v>8.61</v>
      </c>
    </row>
    <row r="941" spans="46:47" x14ac:dyDescent="0.2">
      <c r="AT941">
        <v>1994</v>
      </c>
      <c r="AU941">
        <v>8.33</v>
      </c>
    </row>
    <row r="942" spans="46:47" x14ac:dyDescent="0.2">
      <c r="AT942">
        <v>1970</v>
      </c>
      <c r="AU942">
        <v>8.5399999999999991</v>
      </c>
    </row>
    <row r="943" spans="46:47" x14ac:dyDescent="0.2">
      <c r="AT943">
        <v>1988</v>
      </c>
      <c r="AU943">
        <v>8.83</v>
      </c>
    </row>
    <row r="944" spans="46:47" x14ac:dyDescent="0.2">
      <c r="AT944">
        <v>1996</v>
      </c>
      <c r="AU944">
        <v>8.64</v>
      </c>
    </row>
    <row r="945" spans="46:47" x14ac:dyDescent="0.2">
      <c r="AT945">
        <v>2024</v>
      </c>
      <c r="AU945">
        <v>8.6300000000000008</v>
      </c>
    </row>
    <row r="946" spans="46:47" x14ac:dyDescent="0.2">
      <c r="AT946">
        <v>1992</v>
      </c>
      <c r="AU946">
        <v>8.5</v>
      </c>
    </row>
    <row r="947" spans="46:47" x14ac:dyDescent="0.2">
      <c r="AT947">
        <v>1991</v>
      </c>
      <c r="AU947">
        <v>8.41</v>
      </c>
    </row>
    <row r="948" spans="46:47" x14ac:dyDescent="0.2">
      <c r="AT948">
        <v>2003</v>
      </c>
      <c r="AU948">
        <v>8.49</v>
      </c>
    </row>
    <row r="949" spans="46:47" x14ac:dyDescent="0.2">
      <c r="AT949">
        <v>1983</v>
      </c>
      <c r="AU949">
        <v>8.61</v>
      </c>
    </row>
    <row r="950" spans="46:47" x14ac:dyDescent="0.2">
      <c r="AT950">
        <v>2025</v>
      </c>
      <c r="AU950">
        <v>7.94</v>
      </c>
    </row>
    <row r="951" spans="46:47" x14ac:dyDescent="0.2">
      <c r="AT951">
        <v>2008</v>
      </c>
      <c r="AU951">
        <v>8.5500000000000007</v>
      </c>
    </row>
    <row r="952" spans="46:47" x14ac:dyDescent="0.2">
      <c r="AT952">
        <v>1969</v>
      </c>
      <c r="AU952">
        <v>8.83</v>
      </c>
    </row>
    <row r="953" spans="46:47" x14ac:dyDescent="0.2">
      <c r="AT953">
        <v>2015</v>
      </c>
      <c r="AU953">
        <v>8.57</v>
      </c>
    </row>
    <row r="954" spans="46:47" x14ac:dyDescent="0.2">
      <c r="AT954">
        <v>1977</v>
      </c>
      <c r="AU954">
        <v>9.02</v>
      </c>
    </row>
    <row r="955" spans="46:47" x14ac:dyDescent="0.2">
      <c r="AT955">
        <v>2003</v>
      </c>
      <c r="AU955">
        <v>9</v>
      </c>
    </row>
    <row r="956" spans="46:47" x14ac:dyDescent="0.2">
      <c r="AT956">
        <v>2026</v>
      </c>
      <c r="AU956">
        <v>8.1300000000000008</v>
      </c>
    </row>
    <row r="957" spans="46:47" x14ac:dyDescent="0.2">
      <c r="AT957">
        <v>1990</v>
      </c>
      <c r="AU957">
        <v>8.5500000000000007</v>
      </c>
    </row>
    <row r="958" spans="46:47" x14ac:dyDescent="0.2">
      <c r="AT958">
        <v>1994</v>
      </c>
      <c r="AU958">
        <v>8.74</v>
      </c>
    </row>
    <row r="959" spans="46:47" x14ac:dyDescent="0.2">
      <c r="AT959">
        <v>1976</v>
      </c>
      <c r="AU959">
        <v>8.5299999999999994</v>
      </c>
    </row>
    <row r="960" spans="46:47" x14ac:dyDescent="0.2">
      <c r="AT960">
        <v>1998</v>
      </c>
      <c r="AU960">
        <v>8.5299999999999994</v>
      </c>
    </row>
    <row r="961" spans="46:47" x14ac:dyDescent="0.2">
      <c r="AT961">
        <v>1972</v>
      </c>
      <c r="AU961">
        <v>10.44</v>
      </c>
    </row>
    <row r="962" spans="46:47" x14ac:dyDescent="0.2">
      <c r="AT962">
        <v>2016</v>
      </c>
      <c r="AU962">
        <v>8.0299999999999994</v>
      </c>
    </row>
    <row r="963" spans="46:47" x14ac:dyDescent="0.2">
      <c r="AT963">
        <v>2013</v>
      </c>
      <c r="AU963">
        <v>7.04</v>
      </c>
    </row>
    <row r="964" spans="46:47" x14ac:dyDescent="0.2">
      <c r="AT964">
        <v>1967</v>
      </c>
      <c r="AU964">
        <v>8.86</v>
      </c>
    </row>
    <row r="965" spans="46:47" x14ac:dyDescent="0.2">
      <c r="AT965">
        <v>2000</v>
      </c>
      <c r="AU965">
        <v>8.7799999999999994</v>
      </c>
    </row>
    <row r="966" spans="46:47" x14ac:dyDescent="0.2">
      <c r="AT966">
        <v>2002</v>
      </c>
      <c r="AU966">
        <v>8.9700000000000006</v>
      </c>
    </row>
    <row r="967" spans="46:47" x14ac:dyDescent="0.2">
      <c r="AT967">
        <v>1991</v>
      </c>
      <c r="AU967">
        <v>8.8800000000000008</v>
      </c>
    </row>
    <row r="968" spans="46:47" x14ac:dyDescent="0.2">
      <c r="AT968">
        <v>2000</v>
      </c>
      <c r="AU968">
        <v>8.77</v>
      </c>
    </row>
    <row r="969" spans="46:47" x14ac:dyDescent="0.2">
      <c r="AT969">
        <v>1995</v>
      </c>
      <c r="AU969">
        <v>8.67</v>
      </c>
    </row>
    <row r="970" spans="46:47" x14ac:dyDescent="0.2">
      <c r="AT970">
        <v>2025</v>
      </c>
      <c r="AU970">
        <v>2.39</v>
      </c>
    </row>
    <row r="971" spans="46:47" x14ac:dyDescent="0.2">
      <c r="AT971">
        <v>2001</v>
      </c>
      <c r="AU971">
        <v>8.23</v>
      </c>
    </row>
    <row r="972" spans="46:47" x14ac:dyDescent="0.2">
      <c r="AT972">
        <v>1981</v>
      </c>
      <c r="AU972">
        <v>8.82</v>
      </c>
    </row>
    <row r="973" spans="46:47" x14ac:dyDescent="0.2">
      <c r="AT973">
        <v>1997</v>
      </c>
      <c r="AU973">
        <v>8.84</v>
      </c>
    </row>
    <row r="974" spans="46:47" x14ac:dyDescent="0.2">
      <c r="AT974">
        <v>1997</v>
      </c>
      <c r="AU974">
        <v>8.5399999999999991</v>
      </c>
    </row>
    <row r="975" spans="46:47" x14ac:dyDescent="0.2">
      <c r="AT975">
        <v>2000</v>
      </c>
      <c r="AU975">
        <v>8.81</v>
      </c>
    </row>
    <row r="976" spans="46:47" x14ac:dyDescent="0.2">
      <c r="AT976">
        <v>1991</v>
      </c>
      <c r="AU976">
        <v>8.67</v>
      </c>
    </row>
    <row r="977" spans="46:47" x14ac:dyDescent="0.2">
      <c r="AT977">
        <v>1970</v>
      </c>
      <c r="AU977">
        <v>8.4700000000000006</v>
      </c>
    </row>
    <row r="978" spans="46:47" x14ac:dyDescent="0.2">
      <c r="AT978">
        <v>2016</v>
      </c>
      <c r="AU978">
        <v>8.16</v>
      </c>
    </row>
    <row r="979" spans="46:47" x14ac:dyDescent="0.2">
      <c r="AT979">
        <v>1982</v>
      </c>
      <c r="AU979">
        <v>9.02</v>
      </c>
    </row>
    <row r="980" spans="46:47" x14ac:dyDescent="0.2">
      <c r="AT980">
        <v>1977</v>
      </c>
      <c r="AU980">
        <v>8.94</v>
      </c>
    </row>
    <row r="981" spans="46:47" x14ac:dyDescent="0.2">
      <c r="AT981">
        <v>2008</v>
      </c>
      <c r="AU981">
        <v>8.4700000000000006</v>
      </c>
    </row>
    <row r="982" spans="46:47" x14ac:dyDescent="0.2">
      <c r="AT982">
        <v>2007</v>
      </c>
      <c r="AU982">
        <v>8.5399999999999991</v>
      </c>
    </row>
    <row r="983" spans="46:47" x14ac:dyDescent="0.2">
      <c r="AT983">
        <v>2001</v>
      </c>
      <c r="AU983">
        <v>9</v>
      </c>
    </row>
    <row r="984" spans="46:47" x14ac:dyDescent="0.2">
      <c r="AT984">
        <v>2004</v>
      </c>
      <c r="AU984">
        <v>8.6199999999999992</v>
      </c>
    </row>
    <row r="985" spans="46:47" x14ac:dyDescent="0.2">
      <c r="AT985">
        <v>1982</v>
      </c>
      <c r="AU985">
        <v>8.81</v>
      </c>
    </row>
    <row r="986" spans="46:47" x14ac:dyDescent="0.2">
      <c r="AT986">
        <v>2002</v>
      </c>
      <c r="AU986">
        <v>8.84</v>
      </c>
    </row>
    <row r="987" spans="46:47" x14ac:dyDescent="0.2">
      <c r="AT987">
        <v>1998</v>
      </c>
      <c r="AU987">
        <v>9.0399999999999991</v>
      </c>
    </row>
    <row r="988" spans="46:47" x14ac:dyDescent="0.2">
      <c r="AT988">
        <v>1990</v>
      </c>
      <c r="AU988">
        <v>8.3699999999999992</v>
      </c>
    </row>
    <row r="989" spans="46:47" x14ac:dyDescent="0.2">
      <c r="AT989">
        <v>2026</v>
      </c>
      <c r="AU989">
        <v>8.56</v>
      </c>
    </row>
    <row r="990" spans="46:47" x14ac:dyDescent="0.2">
      <c r="AT990">
        <v>1966</v>
      </c>
      <c r="AU990">
        <v>8.39</v>
      </c>
    </row>
    <row r="991" spans="46:47" x14ac:dyDescent="0.2">
      <c r="AT991">
        <v>1979</v>
      </c>
      <c r="AU991">
        <v>8.9700000000000006</v>
      </c>
    </row>
    <row r="992" spans="46:47" x14ac:dyDescent="0.2">
      <c r="AT992">
        <v>2024</v>
      </c>
      <c r="AU992">
        <v>8.18</v>
      </c>
    </row>
    <row r="993" spans="46:47" x14ac:dyDescent="0.2">
      <c r="AT993">
        <v>2022</v>
      </c>
      <c r="AU993">
        <v>8.39</v>
      </c>
    </row>
    <row r="994" spans="46:47" x14ac:dyDescent="0.2">
      <c r="AT994">
        <v>2003</v>
      </c>
      <c r="AU994">
        <v>8.24</v>
      </c>
    </row>
    <row r="995" spans="46:47" x14ac:dyDescent="0.2">
      <c r="AT995">
        <v>2000</v>
      </c>
      <c r="AU995">
        <v>8.92</v>
      </c>
    </row>
    <row r="996" spans="46:47" x14ac:dyDescent="0.2">
      <c r="AT996">
        <v>1981</v>
      </c>
      <c r="AU996">
        <v>8.6</v>
      </c>
    </row>
    <row r="997" spans="46:47" x14ac:dyDescent="0.2">
      <c r="AT997">
        <v>1976</v>
      </c>
      <c r="AU997">
        <v>8.5</v>
      </c>
    </row>
    <row r="998" spans="46:47" x14ac:dyDescent="0.2">
      <c r="AT998">
        <v>2020</v>
      </c>
      <c r="AU998">
        <v>8.7200000000000006</v>
      </c>
    </row>
    <row r="999" spans="46:47" x14ac:dyDescent="0.2">
      <c r="AT999">
        <v>1986</v>
      </c>
      <c r="AU999">
        <v>8.8699999999999992</v>
      </c>
    </row>
    <row r="1000" spans="46:47" x14ac:dyDescent="0.2">
      <c r="AT1000">
        <v>1989</v>
      </c>
      <c r="AU1000">
        <v>8.3000000000000007</v>
      </c>
    </row>
    <row r="1001" spans="46:47" x14ac:dyDescent="0.2">
      <c r="AT1001">
        <v>1986</v>
      </c>
      <c r="AU1001">
        <v>8.34</v>
      </c>
    </row>
    <row r="1002" spans="46:47" x14ac:dyDescent="0.2">
      <c r="AT1002">
        <v>1992</v>
      </c>
      <c r="AU1002">
        <v>7.84</v>
      </c>
    </row>
    <row r="1003" spans="46:47" x14ac:dyDescent="0.2">
      <c r="AT1003">
        <v>2017</v>
      </c>
      <c r="AU1003">
        <v>8.5299999999999994</v>
      </c>
    </row>
    <row r="1004" spans="46:47" x14ac:dyDescent="0.2">
      <c r="AT1004">
        <v>2026</v>
      </c>
      <c r="AU1004">
        <v>8.65</v>
      </c>
    </row>
    <row r="1005" spans="46:47" x14ac:dyDescent="0.2">
      <c r="AT1005">
        <v>1992</v>
      </c>
      <c r="AU1005">
        <v>8.5299999999999994</v>
      </c>
    </row>
    <row r="1006" spans="46:47" x14ac:dyDescent="0.2">
      <c r="AT1006">
        <v>1997</v>
      </c>
      <c r="AU1006">
        <v>8.61</v>
      </c>
    </row>
    <row r="1007" spans="46:47" x14ac:dyDescent="0.2">
      <c r="AT1007">
        <v>2019</v>
      </c>
      <c r="AU1007">
        <v>7.89</v>
      </c>
    </row>
    <row r="1008" spans="46:47" x14ac:dyDescent="0.2">
      <c r="AT1008">
        <v>2012</v>
      </c>
      <c r="AU1008">
        <v>9.23</v>
      </c>
    </row>
    <row r="1009" spans="46:47" x14ac:dyDescent="0.2">
      <c r="AT1009">
        <v>2012</v>
      </c>
      <c r="AU1009">
        <v>8.77</v>
      </c>
    </row>
    <row r="1010" spans="46:47" x14ac:dyDescent="0.2">
      <c r="AT1010">
        <v>1997</v>
      </c>
      <c r="AU1010">
        <v>8.51</v>
      </c>
    </row>
    <row r="1011" spans="46:47" x14ac:dyDescent="0.2">
      <c r="AT1011">
        <v>2016</v>
      </c>
      <c r="AU1011">
        <v>8.67</v>
      </c>
    </row>
    <row r="1012" spans="46:47" x14ac:dyDescent="0.2">
      <c r="AT1012">
        <v>1995</v>
      </c>
      <c r="AU1012">
        <v>7.94</v>
      </c>
    </row>
    <row r="1013" spans="46:47" x14ac:dyDescent="0.2">
      <c r="AT1013">
        <v>2009</v>
      </c>
      <c r="AU1013">
        <v>8.59</v>
      </c>
    </row>
    <row r="1014" spans="46:47" x14ac:dyDescent="0.2">
      <c r="AT1014">
        <v>2025</v>
      </c>
      <c r="AU1014">
        <v>4.62</v>
      </c>
    </row>
    <row r="1015" spans="46:47" x14ac:dyDescent="0.2">
      <c r="AT1015">
        <v>1971</v>
      </c>
      <c r="AU1015">
        <v>8.48</v>
      </c>
    </row>
    <row r="1016" spans="46:47" x14ac:dyDescent="0.2">
      <c r="AT1016">
        <v>2008</v>
      </c>
      <c r="AU1016">
        <v>8.68</v>
      </c>
    </row>
    <row r="1017" spans="46:47" x14ac:dyDescent="0.2">
      <c r="AT1017">
        <v>2018</v>
      </c>
      <c r="AU1017">
        <v>8.5299999999999994</v>
      </c>
    </row>
    <row r="1018" spans="46:47" x14ac:dyDescent="0.2">
      <c r="AT1018">
        <v>1989</v>
      </c>
      <c r="AU1018">
        <v>8.83</v>
      </c>
    </row>
    <row r="1019" spans="46:47" x14ac:dyDescent="0.2">
      <c r="AT1019">
        <v>1995</v>
      </c>
      <c r="AU1019">
        <v>8.3000000000000007</v>
      </c>
    </row>
    <row r="1020" spans="46:47" x14ac:dyDescent="0.2">
      <c r="AT1020">
        <v>2002</v>
      </c>
      <c r="AU1020">
        <v>8.2100000000000009</v>
      </c>
    </row>
    <row r="1021" spans="46:47" x14ac:dyDescent="0.2">
      <c r="AT1021">
        <v>1996</v>
      </c>
      <c r="AU1021">
        <v>8.6999999999999993</v>
      </c>
    </row>
    <row r="1022" spans="46:47" x14ac:dyDescent="0.2">
      <c r="AT1022">
        <v>2024</v>
      </c>
      <c r="AU1022">
        <v>8.2799999999999994</v>
      </c>
    </row>
    <row r="1023" spans="46:47" x14ac:dyDescent="0.2">
      <c r="AT1023">
        <v>1994</v>
      </c>
      <c r="AU1023">
        <v>8.66</v>
      </c>
    </row>
    <row r="1024" spans="46:47" x14ac:dyDescent="0.2">
      <c r="AT1024">
        <v>2005</v>
      </c>
      <c r="AU1024">
        <v>8.56</v>
      </c>
    </row>
    <row r="1025" spans="46:47" x14ac:dyDescent="0.2">
      <c r="AT1025">
        <v>1999</v>
      </c>
      <c r="AU1025">
        <v>7.66</v>
      </c>
    </row>
    <row r="1026" spans="46:47" x14ac:dyDescent="0.2">
      <c r="AT1026">
        <v>1988</v>
      </c>
      <c r="AU1026">
        <v>8.92</v>
      </c>
    </row>
    <row r="1027" spans="46:47" x14ac:dyDescent="0.2">
      <c r="AT1027">
        <v>2002</v>
      </c>
      <c r="AU1027">
        <v>8.9600000000000009</v>
      </c>
    </row>
    <row r="1028" spans="46:47" x14ac:dyDescent="0.2">
      <c r="AT1028">
        <v>1996</v>
      </c>
      <c r="AU1028">
        <v>8.52</v>
      </c>
    </row>
    <row r="1029" spans="46:47" x14ac:dyDescent="0.2">
      <c r="AT1029">
        <v>1973</v>
      </c>
      <c r="AU1029">
        <v>8.83</v>
      </c>
    </row>
    <row r="1030" spans="46:47" x14ac:dyDescent="0.2">
      <c r="AT1030">
        <v>2000</v>
      </c>
      <c r="AU1030">
        <v>8.24</v>
      </c>
    </row>
    <row r="1031" spans="46:47" x14ac:dyDescent="0.2">
      <c r="AT1031">
        <v>2011</v>
      </c>
      <c r="AU1031">
        <v>7.66</v>
      </c>
    </row>
    <row r="1032" spans="46:47" x14ac:dyDescent="0.2">
      <c r="AT1032">
        <v>2005</v>
      </c>
      <c r="AU1032">
        <v>8.34</v>
      </c>
    </row>
    <row r="1033" spans="46:47" x14ac:dyDescent="0.2">
      <c r="AT1033">
        <v>2007</v>
      </c>
      <c r="AU1033">
        <v>8.69</v>
      </c>
    </row>
    <row r="1034" spans="46:47" x14ac:dyDescent="0.2">
      <c r="AT1034">
        <v>1995</v>
      </c>
      <c r="AU1034">
        <v>8.6300000000000008</v>
      </c>
    </row>
    <row r="1035" spans="46:47" x14ac:dyDescent="0.2">
      <c r="AT1035">
        <v>1996</v>
      </c>
      <c r="AU1035">
        <v>7.96</v>
      </c>
    </row>
    <row r="1036" spans="46:47" x14ac:dyDescent="0.2">
      <c r="AT1036">
        <v>2021</v>
      </c>
      <c r="AU1036">
        <v>8.43</v>
      </c>
    </row>
    <row r="1037" spans="46:47" x14ac:dyDescent="0.2">
      <c r="AT1037">
        <v>1981</v>
      </c>
      <c r="AU1037">
        <v>8.67</v>
      </c>
    </row>
    <row r="1038" spans="46:47" x14ac:dyDescent="0.2">
      <c r="AT1038">
        <v>2025</v>
      </c>
      <c r="AU1038">
        <v>8.27</v>
      </c>
    </row>
    <row r="1039" spans="46:47" x14ac:dyDescent="0.2">
      <c r="AT1039">
        <v>1999</v>
      </c>
      <c r="AU1039">
        <v>8.9499999999999993</v>
      </c>
    </row>
    <row r="1040" spans="46:47" x14ac:dyDescent="0.2">
      <c r="AT1040">
        <v>1969</v>
      </c>
      <c r="AU1040">
        <v>8.7799999999999994</v>
      </c>
    </row>
    <row r="1041" spans="46:47" x14ac:dyDescent="0.2">
      <c r="AT1041">
        <v>1999</v>
      </c>
      <c r="AU1041">
        <v>8.36</v>
      </c>
    </row>
    <row r="1042" spans="46:47" x14ac:dyDescent="0.2">
      <c r="AT1042">
        <v>2018</v>
      </c>
      <c r="AU1042">
        <v>8.01</v>
      </c>
    </row>
    <row r="1043" spans="46:47" x14ac:dyDescent="0.2">
      <c r="AT1043">
        <v>1981</v>
      </c>
      <c r="AU1043">
        <v>8.57</v>
      </c>
    </row>
    <row r="1044" spans="46:47" x14ac:dyDescent="0.2">
      <c r="AT1044">
        <v>2001</v>
      </c>
      <c r="AU1044">
        <v>8.7100000000000009</v>
      </c>
    </row>
    <row r="1045" spans="46:47" x14ac:dyDescent="0.2">
      <c r="AT1045">
        <v>1995</v>
      </c>
      <c r="AU1045">
        <v>8.1300000000000008</v>
      </c>
    </row>
    <row r="1046" spans="46:47" x14ac:dyDescent="0.2">
      <c r="AT1046">
        <v>1995</v>
      </c>
      <c r="AU1046">
        <v>8.5299999999999994</v>
      </c>
    </row>
    <row r="1047" spans="46:47" x14ac:dyDescent="0.2">
      <c r="AT1047">
        <v>2005</v>
      </c>
      <c r="AU1047">
        <v>8.7100000000000009</v>
      </c>
    </row>
    <row r="1048" spans="46:47" x14ac:dyDescent="0.2">
      <c r="AT1048">
        <v>1998</v>
      </c>
      <c r="AU1048">
        <v>8.4</v>
      </c>
    </row>
    <row r="1049" spans="46:47" x14ac:dyDescent="0.2">
      <c r="AT1049">
        <v>1998</v>
      </c>
      <c r="AU1049">
        <v>8.4499999999999993</v>
      </c>
    </row>
    <row r="1050" spans="46:47" x14ac:dyDescent="0.2">
      <c r="AT1050">
        <v>1969</v>
      </c>
      <c r="AU1050">
        <v>8.85</v>
      </c>
    </row>
    <row r="1051" spans="46:47" x14ac:dyDescent="0.2">
      <c r="AT1051">
        <v>2009</v>
      </c>
      <c r="AU1051">
        <v>8.43</v>
      </c>
    </row>
    <row r="1052" spans="46:47" x14ac:dyDescent="0.2">
      <c r="AT1052">
        <v>2003</v>
      </c>
      <c r="AU1052">
        <v>8.7200000000000006</v>
      </c>
    </row>
    <row r="1053" spans="46:47" x14ac:dyDescent="0.2">
      <c r="AT1053">
        <v>1997</v>
      </c>
      <c r="AU1053">
        <v>8.56</v>
      </c>
    </row>
    <row r="1054" spans="46:47" x14ac:dyDescent="0.2">
      <c r="AT1054">
        <v>2026</v>
      </c>
      <c r="AU1054">
        <v>7.69</v>
      </c>
    </row>
    <row r="1055" spans="46:47" x14ac:dyDescent="0.2">
      <c r="AT1055">
        <v>1989</v>
      </c>
      <c r="AU1055">
        <v>8.7899999999999991</v>
      </c>
    </row>
    <row r="1056" spans="46:47" x14ac:dyDescent="0.2">
      <c r="AT1056">
        <v>1973</v>
      </c>
      <c r="AU1056">
        <v>9.1</v>
      </c>
    </row>
    <row r="1057" spans="46:47" x14ac:dyDescent="0.2">
      <c r="AT1057">
        <v>2014</v>
      </c>
      <c r="AU1057">
        <v>8.5500000000000007</v>
      </c>
    </row>
    <row r="1058" spans="46:47" x14ac:dyDescent="0.2">
      <c r="AT1058">
        <v>1992</v>
      </c>
      <c r="AU1058">
        <v>8.07</v>
      </c>
    </row>
    <row r="1059" spans="46:47" x14ac:dyDescent="0.2">
      <c r="AT1059">
        <v>1991</v>
      </c>
      <c r="AU1059">
        <v>8.92</v>
      </c>
    </row>
    <row r="1060" spans="46:47" x14ac:dyDescent="0.2">
      <c r="AT1060">
        <v>2004</v>
      </c>
      <c r="AU1060">
        <v>8.84</v>
      </c>
    </row>
    <row r="1061" spans="46:47" x14ac:dyDescent="0.2">
      <c r="AT1061">
        <v>2015</v>
      </c>
      <c r="AU1061">
        <v>8.6999999999999993</v>
      </c>
    </row>
    <row r="1062" spans="46:47" x14ac:dyDescent="0.2">
      <c r="AT1062">
        <v>1994</v>
      </c>
      <c r="AU1062">
        <v>8.51</v>
      </c>
    </row>
    <row r="1063" spans="46:47" x14ac:dyDescent="0.2">
      <c r="AT1063">
        <v>1992</v>
      </c>
      <c r="AU1063">
        <v>8.35</v>
      </c>
    </row>
    <row r="1064" spans="46:47" x14ac:dyDescent="0.2">
      <c r="AT1064">
        <v>2026</v>
      </c>
      <c r="AU1064">
        <v>7.87</v>
      </c>
    </row>
    <row r="1065" spans="46:47" x14ac:dyDescent="0.2">
      <c r="AT1065">
        <v>2021</v>
      </c>
      <c r="AU1065">
        <v>0.76</v>
      </c>
    </row>
    <row r="1066" spans="46:47" x14ac:dyDescent="0.2">
      <c r="AT1066">
        <v>2007</v>
      </c>
      <c r="AU1066">
        <v>8.48</v>
      </c>
    </row>
    <row r="1067" spans="46:47" x14ac:dyDescent="0.2">
      <c r="AT1067">
        <v>2006</v>
      </c>
      <c r="AU1067">
        <v>8.6999999999999993</v>
      </c>
    </row>
    <row r="1068" spans="46:47" x14ac:dyDescent="0.2">
      <c r="AT1068">
        <v>2002</v>
      </c>
      <c r="AU1068">
        <v>8.6</v>
      </c>
    </row>
    <row r="1069" spans="46:47" x14ac:dyDescent="0.2">
      <c r="AT1069">
        <v>1999</v>
      </c>
      <c r="AU1069">
        <v>8.41</v>
      </c>
    </row>
    <row r="1070" spans="46:47" x14ac:dyDescent="0.2">
      <c r="AT1070">
        <v>1997</v>
      </c>
      <c r="AU1070">
        <v>8.74</v>
      </c>
    </row>
    <row r="1071" spans="46:47" x14ac:dyDescent="0.2">
      <c r="AT1071">
        <v>1972</v>
      </c>
      <c r="AU1071">
        <v>8.66</v>
      </c>
    </row>
    <row r="1072" spans="46:47" x14ac:dyDescent="0.2">
      <c r="AT1072">
        <v>1972</v>
      </c>
      <c r="AU1072">
        <v>8.2200000000000006</v>
      </c>
    </row>
    <row r="1073" spans="46:47" x14ac:dyDescent="0.2">
      <c r="AT1073">
        <v>2001</v>
      </c>
      <c r="AU1073">
        <v>8.32</v>
      </c>
    </row>
    <row r="1074" spans="46:47" x14ac:dyDescent="0.2">
      <c r="AT1074">
        <v>2007</v>
      </c>
      <c r="AU1074">
        <v>8.92</v>
      </c>
    </row>
    <row r="1075" spans="46:47" x14ac:dyDescent="0.2">
      <c r="AT1075">
        <v>1985</v>
      </c>
      <c r="AU1075">
        <v>8.8699999999999992</v>
      </c>
    </row>
    <row r="1076" spans="46:47" x14ac:dyDescent="0.2">
      <c r="AT1076">
        <v>2003</v>
      </c>
      <c r="AU1076">
        <v>8.7200000000000006</v>
      </c>
    </row>
    <row r="1077" spans="46:47" x14ac:dyDescent="0.2">
      <c r="AT1077">
        <v>2016</v>
      </c>
      <c r="AU1077">
        <v>7.94</v>
      </c>
    </row>
    <row r="1078" spans="46:47" x14ac:dyDescent="0.2">
      <c r="AT1078">
        <v>1997</v>
      </c>
      <c r="AU1078">
        <v>8.91</v>
      </c>
    </row>
    <row r="1079" spans="46:47" x14ac:dyDescent="0.2">
      <c r="AT1079">
        <v>2026</v>
      </c>
      <c r="AU1079">
        <v>7.84</v>
      </c>
    </row>
    <row r="1080" spans="46:47" x14ac:dyDescent="0.2">
      <c r="AT1080">
        <v>1997</v>
      </c>
      <c r="AU1080">
        <v>8.73</v>
      </c>
    </row>
    <row r="1081" spans="46:47" x14ac:dyDescent="0.2">
      <c r="AT1081">
        <v>2005</v>
      </c>
      <c r="AU1081">
        <v>8.68</v>
      </c>
    </row>
    <row r="1082" spans="46:47" x14ac:dyDescent="0.2">
      <c r="AT1082">
        <v>1984</v>
      </c>
      <c r="AU1082">
        <v>8</v>
      </c>
    </row>
    <row r="1083" spans="46:47" x14ac:dyDescent="0.2">
      <c r="AT1083">
        <v>2026</v>
      </c>
      <c r="AU1083">
        <v>5.9</v>
      </c>
    </row>
    <row r="1084" spans="46:47" x14ac:dyDescent="0.2">
      <c r="AT1084">
        <v>2008</v>
      </c>
      <c r="AU1084">
        <v>9.77</v>
      </c>
    </row>
    <row r="1085" spans="46:47" x14ac:dyDescent="0.2">
      <c r="AT1085">
        <v>1974</v>
      </c>
      <c r="AU1085">
        <v>8.06</v>
      </c>
    </row>
    <row r="1086" spans="46:47" x14ac:dyDescent="0.2">
      <c r="AT1086">
        <v>2020</v>
      </c>
      <c r="AU1086">
        <v>8.83</v>
      </c>
    </row>
    <row r="1087" spans="46:47" x14ac:dyDescent="0.2">
      <c r="AT1087">
        <v>2024</v>
      </c>
      <c r="AU1087">
        <v>8.5299999999999994</v>
      </c>
    </row>
    <row r="1088" spans="46:47" x14ac:dyDescent="0.2">
      <c r="AT1088">
        <v>2024</v>
      </c>
      <c r="AU1088">
        <v>8.5</v>
      </c>
    </row>
    <row r="1089" spans="46:47" x14ac:dyDescent="0.2">
      <c r="AT1089">
        <v>1984</v>
      </c>
      <c r="AU1089">
        <v>8.59</v>
      </c>
    </row>
    <row r="1090" spans="46:47" x14ac:dyDescent="0.2">
      <c r="AT1090">
        <v>1991</v>
      </c>
      <c r="AU1090">
        <v>8.83</v>
      </c>
    </row>
    <row r="1091" spans="46:47" x14ac:dyDescent="0.2">
      <c r="AT1091">
        <v>1994</v>
      </c>
      <c r="AU1091">
        <v>8.19</v>
      </c>
    </row>
    <row r="1092" spans="46:47" x14ac:dyDescent="0.2">
      <c r="AT1092">
        <v>2010</v>
      </c>
      <c r="AU1092">
        <v>8.7100000000000009</v>
      </c>
    </row>
    <row r="1093" spans="46:47" x14ac:dyDescent="0.2">
      <c r="AT1093">
        <v>2021</v>
      </c>
      <c r="AU1093">
        <v>9.0299999999999994</v>
      </c>
    </row>
    <row r="1094" spans="46:47" x14ac:dyDescent="0.2">
      <c r="AT1094">
        <v>1997</v>
      </c>
      <c r="AU1094">
        <v>8.2200000000000006</v>
      </c>
    </row>
    <row r="1095" spans="46:47" x14ac:dyDescent="0.2">
      <c r="AT1095">
        <v>2020</v>
      </c>
      <c r="AU1095">
        <v>8.7899999999999991</v>
      </c>
    </row>
    <row r="1096" spans="46:47" x14ac:dyDescent="0.2">
      <c r="AT1096">
        <v>1971</v>
      </c>
      <c r="AU1096">
        <v>8.69</v>
      </c>
    </row>
    <row r="1097" spans="46:47" x14ac:dyDescent="0.2">
      <c r="AT1097">
        <v>2012</v>
      </c>
      <c r="AU1097">
        <v>8.52</v>
      </c>
    </row>
    <row r="1098" spans="46:47" x14ac:dyDescent="0.2">
      <c r="AT1098">
        <v>2004</v>
      </c>
      <c r="AU1098">
        <v>7.94</v>
      </c>
    </row>
    <row r="1099" spans="46:47" x14ac:dyDescent="0.2">
      <c r="AT1099">
        <v>1984</v>
      </c>
      <c r="AU1099">
        <v>8.7100000000000009</v>
      </c>
    </row>
    <row r="1100" spans="46:47" x14ac:dyDescent="0.2">
      <c r="AT1100">
        <v>1996</v>
      </c>
      <c r="AU1100">
        <v>8.31</v>
      </c>
    </row>
    <row r="1101" spans="46:47" x14ac:dyDescent="0.2">
      <c r="AT1101">
        <v>2002</v>
      </c>
      <c r="AU1101">
        <v>9.01</v>
      </c>
    </row>
    <row r="1102" spans="46:47" x14ac:dyDescent="0.2">
      <c r="AT1102">
        <v>1980</v>
      </c>
      <c r="AU1102">
        <v>8.69</v>
      </c>
    </row>
    <row r="1103" spans="46:47" x14ac:dyDescent="0.2">
      <c r="AT1103">
        <v>2026</v>
      </c>
      <c r="AU1103">
        <v>8.18</v>
      </c>
    </row>
    <row r="1104" spans="46:47" x14ac:dyDescent="0.2">
      <c r="AT1104">
        <v>1975</v>
      </c>
      <c r="AU1104">
        <v>8.9700000000000006</v>
      </c>
    </row>
    <row r="1105" spans="46:47" x14ac:dyDescent="0.2">
      <c r="AT1105">
        <v>2007</v>
      </c>
      <c r="AU1105">
        <v>6.98</v>
      </c>
    </row>
    <row r="1106" spans="46:47" x14ac:dyDescent="0.2">
      <c r="AT1106">
        <v>1999</v>
      </c>
      <c r="AU1106">
        <v>8.5</v>
      </c>
    </row>
    <row r="1107" spans="46:47" x14ac:dyDescent="0.2">
      <c r="AT1107">
        <v>2010</v>
      </c>
      <c r="AU1107">
        <v>8.1</v>
      </c>
    </row>
    <row r="1108" spans="46:47" x14ac:dyDescent="0.2">
      <c r="AT1108">
        <v>2011</v>
      </c>
      <c r="AU1108">
        <v>8.9700000000000006</v>
      </c>
    </row>
    <row r="1109" spans="46:47" x14ac:dyDescent="0.2">
      <c r="AT1109">
        <v>1990</v>
      </c>
      <c r="AU1109">
        <v>8.56</v>
      </c>
    </row>
    <row r="1110" spans="46:47" x14ac:dyDescent="0.2">
      <c r="AT1110">
        <v>2026</v>
      </c>
      <c r="AU1110">
        <v>8.51</v>
      </c>
    </row>
    <row r="1111" spans="46:47" x14ac:dyDescent="0.2">
      <c r="AT1111">
        <v>1998</v>
      </c>
      <c r="AU1111">
        <v>8.69</v>
      </c>
    </row>
    <row r="1112" spans="46:47" x14ac:dyDescent="0.2">
      <c r="AT1112">
        <v>1976</v>
      </c>
      <c r="AU1112">
        <v>8.64</v>
      </c>
    </row>
    <row r="1113" spans="46:47" x14ac:dyDescent="0.2">
      <c r="AT1113">
        <v>1973</v>
      </c>
      <c r="AU1113">
        <v>9.0299999999999994</v>
      </c>
    </row>
    <row r="1114" spans="46:47" x14ac:dyDescent="0.2">
      <c r="AT1114">
        <v>2003</v>
      </c>
      <c r="AU1114">
        <v>9.33</v>
      </c>
    </row>
    <row r="1115" spans="46:47" x14ac:dyDescent="0.2">
      <c r="AT1115">
        <v>2026</v>
      </c>
      <c r="AU1115">
        <v>8.31</v>
      </c>
    </row>
    <row r="1116" spans="46:47" x14ac:dyDescent="0.2">
      <c r="AT1116">
        <v>2003</v>
      </c>
      <c r="AU1116">
        <v>8.8800000000000008</v>
      </c>
    </row>
    <row r="1117" spans="46:47" x14ac:dyDescent="0.2">
      <c r="AT1117">
        <v>1985</v>
      </c>
      <c r="AU1117">
        <v>8.48</v>
      </c>
    </row>
    <row r="1118" spans="46:47" x14ac:dyDescent="0.2">
      <c r="AT1118">
        <v>2013</v>
      </c>
      <c r="AU1118">
        <v>8.34</v>
      </c>
    </row>
    <row r="1119" spans="46:47" x14ac:dyDescent="0.2">
      <c r="AT1119">
        <v>2017</v>
      </c>
      <c r="AU1119">
        <v>3.65</v>
      </c>
    </row>
    <row r="1120" spans="46:47" x14ac:dyDescent="0.2">
      <c r="AT1120">
        <v>1998</v>
      </c>
      <c r="AU1120">
        <v>9.09</v>
      </c>
    </row>
    <row r="1121" spans="46:47" x14ac:dyDescent="0.2">
      <c r="AT1121">
        <v>1987</v>
      </c>
      <c r="AU1121">
        <v>6.97</v>
      </c>
    </row>
    <row r="1122" spans="46:47" x14ac:dyDescent="0.2">
      <c r="AT1122">
        <v>2016</v>
      </c>
      <c r="AU1122">
        <v>8.0500000000000007</v>
      </c>
    </row>
    <row r="1123" spans="46:47" x14ac:dyDescent="0.2">
      <c r="AT1123">
        <v>2016</v>
      </c>
      <c r="AU1123">
        <v>8.2100000000000009</v>
      </c>
    </row>
    <row r="1124" spans="46:47" x14ac:dyDescent="0.2">
      <c r="AT1124">
        <v>2025</v>
      </c>
      <c r="AU1124">
        <v>8.08</v>
      </c>
    </row>
    <row r="1125" spans="46:47" x14ac:dyDescent="0.2">
      <c r="AT1125">
        <v>2017</v>
      </c>
      <c r="AU1125">
        <v>8.3699999999999992</v>
      </c>
    </row>
    <row r="1126" spans="46:47" x14ac:dyDescent="0.2">
      <c r="AT1126">
        <v>2013</v>
      </c>
      <c r="AU1126">
        <v>8.92</v>
      </c>
    </row>
    <row r="1127" spans="46:47" x14ac:dyDescent="0.2">
      <c r="AT1127">
        <v>1979</v>
      </c>
      <c r="AU1127">
        <v>8.61</v>
      </c>
    </row>
    <row r="1128" spans="46:47" x14ac:dyDescent="0.2">
      <c r="AT1128">
        <v>1984</v>
      </c>
      <c r="AU1128">
        <v>8.4700000000000006</v>
      </c>
    </row>
    <row r="1129" spans="46:47" x14ac:dyDescent="0.2">
      <c r="AT1129">
        <v>2017</v>
      </c>
      <c r="AU1129">
        <v>8</v>
      </c>
    </row>
    <row r="1130" spans="46:47" x14ac:dyDescent="0.2">
      <c r="AT1130">
        <v>1984</v>
      </c>
      <c r="AU1130">
        <v>8.9499999999999993</v>
      </c>
    </row>
    <row r="1131" spans="46:47" x14ac:dyDescent="0.2">
      <c r="AT1131">
        <v>2018</v>
      </c>
      <c r="AU1131">
        <v>7.96</v>
      </c>
    </row>
    <row r="1132" spans="46:47" x14ac:dyDescent="0.2">
      <c r="AT1132">
        <v>2018</v>
      </c>
      <c r="AU1132">
        <v>7.8</v>
      </c>
    </row>
    <row r="1133" spans="46:47" x14ac:dyDescent="0.2">
      <c r="AT1133">
        <v>2019</v>
      </c>
      <c r="AU1133">
        <v>8.5</v>
      </c>
    </row>
    <row r="1136" spans="46:47" x14ac:dyDescent="0.2">
      <c r="AT1136" t="s">
        <v>3763</v>
      </c>
      <c r="AU1136" t="s">
        <v>957</v>
      </c>
    </row>
    <row r="1137" spans="46:47" x14ac:dyDescent="0.2">
      <c r="AT1137">
        <v>76</v>
      </c>
      <c r="AU1137">
        <v>10.99</v>
      </c>
    </row>
    <row r="1138" spans="46:47" x14ac:dyDescent="0.2">
      <c r="AT1138">
        <v>42</v>
      </c>
      <c r="AU1138">
        <v>10.37</v>
      </c>
    </row>
    <row r="1139" spans="46:47" x14ac:dyDescent="0.2">
      <c r="AT1139">
        <v>57</v>
      </c>
      <c r="AU1139">
        <v>9.14</v>
      </c>
    </row>
    <row r="1140" spans="46:47" x14ac:dyDescent="0.2">
      <c r="AT1140">
        <v>42</v>
      </c>
      <c r="AU1140">
        <v>9.23</v>
      </c>
    </row>
    <row r="1141" spans="46:47" x14ac:dyDescent="0.2">
      <c r="AT1141">
        <v>42</v>
      </c>
      <c r="AU1141">
        <v>10</v>
      </c>
    </row>
    <row r="1142" spans="46:47" x14ac:dyDescent="0.2">
      <c r="AT1142">
        <v>61</v>
      </c>
      <c r="AU1142">
        <v>9.09</v>
      </c>
    </row>
    <row r="1143" spans="46:47" x14ac:dyDescent="0.2">
      <c r="AT1143">
        <v>54</v>
      </c>
      <c r="AU1143">
        <v>9.0299999999999994</v>
      </c>
    </row>
    <row r="1144" spans="46:47" x14ac:dyDescent="0.2">
      <c r="AT1144">
        <v>39</v>
      </c>
      <c r="AU1144">
        <v>8.65</v>
      </c>
    </row>
    <row r="1145" spans="46:47" x14ac:dyDescent="0.2">
      <c r="AT1145">
        <v>54</v>
      </c>
      <c r="AU1145">
        <v>9.3699999999999992</v>
      </c>
    </row>
    <row r="1146" spans="46:47" x14ac:dyDescent="0.2">
      <c r="AT1146">
        <v>63</v>
      </c>
      <c r="AU1146">
        <v>8.66</v>
      </c>
    </row>
    <row r="1147" spans="46:47" x14ac:dyDescent="0.2">
      <c r="AT1147">
        <v>37</v>
      </c>
      <c r="AU1147">
        <v>8.34</v>
      </c>
    </row>
    <row r="1148" spans="46:47" x14ac:dyDescent="0.2">
      <c r="AT1148">
        <v>67</v>
      </c>
      <c r="AU1148">
        <v>9.4600000000000009</v>
      </c>
    </row>
    <row r="1149" spans="46:47" x14ac:dyDescent="0.2">
      <c r="AT1149">
        <v>45</v>
      </c>
      <c r="AU1149">
        <v>8.8699999999999992</v>
      </c>
    </row>
    <row r="1150" spans="46:47" x14ac:dyDescent="0.2">
      <c r="AT1150">
        <v>76</v>
      </c>
      <c r="AU1150">
        <v>9.44</v>
      </c>
    </row>
    <row r="1151" spans="46:47" x14ac:dyDescent="0.2">
      <c r="AT1151">
        <v>77</v>
      </c>
      <c r="AU1151">
        <v>9.9600000000000009</v>
      </c>
    </row>
    <row r="1152" spans="46:47" x14ac:dyDescent="0.2">
      <c r="AT1152">
        <v>53</v>
      </c>
      <c r="AU1152">
        <v>10.07</v>
      </c>
    </row>
    <row r="1153" spans="46:47" x14ac:dyDescent="0.2">
      <c r="AT1153">
        <v>62</v>
      </c>
      <c r="AU1153">
        <v>8.56</v>
      </c>
    </row>
    <row r="1154" spans="46:47" x14ac:dyDescent="0.2">
      <c r="AT1154">
        <v>84</v>
      </c>
      <c r="AU1154">
        <v>9.34</v>
      </c>
    </row>
    <row r="1155" spans="46:47" x14ac:dyDescent="0.2">
      <c r="AT1155">
        <v>57</v>
      </c>
      <c r="AU1155">
        <v>8.25</v>
      </c>
    </row>
    <row r="1156" spans="46:47" x14ac:dyDescent="0.2">
      <c r="AT1156">
        <v>39</v>
      </c>
      <c r="AU1156">
        <v>8.76</v>
      </c>
    </row>
    <row r="1157" spans="46:47" x14ac:dyDescent="0.2">
      <c r="AT1157">
        <v>42</v>
      </c>
      <c r="AU1157">
        <v>9.5299999999999994</v>
      </c>
    </row>
    <row r="1158" spans="46:47" x14ac:dyDescent="0.2">
      <c r="AT1158">
        <v>40</v>
      </c>
      <c r="AU1158">
        <v>9.09</v>
      </c>
    </row>
    <row r="1159" spans="46:47" x14ac:dyDescent="0.2">
      <c r="AT1159">
        <v>39</v>
      </c>
      <c r="AU1159">
        <v>8.1999999999999993</v>
      </c>
    </row>
    <row r="1160" spans="46:47" x14ac:dyDescent="0.2">
      <c r="AT1160">
        <v>47</v>
      </c>
      <c r="AU1160">
        <v>9.3699999999999992</v>
      </c>
    </row>
    <row r="1161" spans="46:47" x14ac:dyDescent="0.2">
      <c r="AT1161">
        <v>68</v>
      </c>
      <c r="AU1161">
        <v>8.2200000000000006</v>
      </c>
    </row>
    <row r="1162" spans="46:47" x14ac:dyDescent="0.2">
      <c r="AT1162">
        <v>36</v>
      </c>
      <c r="AU1162">
        <v>8.17</v>
      </c>
    </row>
    <row r="1163" spans="46:47" x14ac:dyDescent="0.2">
      <c r="AT1163">
        <v>58</v>
      </c>
      <c r="AU1163">
        <v>8.39</v>
      </c>
    </row>
    <row r="1164" spans="46:47" x14ac:dyDescent="0.2">
      <c r="AT1164">
        <v>63</v>
      </c>
      <c r="AU1164">
        <v>7.98</v>
      </c>
    </row>
    <row r="1165" spans="46:47" x14ac:dyDescent="0.2">
      <c r="AT1165">
        <v>37</v>
      </c>
      <c r="AU1165">
        <v>9.14</v>
      </c>
    </row>
    <row r="1166" spans="46:47" x14ac:dyDescent="0.2">
      <c r="AT1166">
        <v>72</v>
      </c>
      <c r="AU1166">
        <v>8.7100000000000009</v>
      </c>
    </row>
    <row r="1167" spans="46:47" x14ac:dyDescent="0.2">
      <c r="AT1167">
        <v>29</v>
      </c>
      <c r="AU1167">
        <v>7.16</v>
      </c>
    </row>
    <row r="1168" spans="46:47" x14ac:dyDescent="0.2">
      <c r="AT1168">
        <v>47</v>
      </c>
      <c r="AU1168">
        <v>7.64</v>
      </c>
    </row>
    <row r="1169" spans="46:47" x14ac:dyDescent="0.2">
      <c r="AT1169">
        <v>48</v>
      </c>
      <c r="AU1169">
        <v>9.14</v>
      </c>
    </row>
    <row r="1170" spans="46:47" x14ac:dyDescent="0.2">
      <c r="AT1170">
        <v>68</v>
      </c>
      <c r="AU1170">
        <v>8.81</v>
      </c>
    </row>
    <row r="1171" spans="46:47" x14ac:dyDescent="0.2">
      <c r="AT1171">
        <v>73</v>
      </c>
      <c r="AU1171">
        <v>8.06</v>
      </c>
    </row>
    <row r="1172" spans="46:47" x14ac:dyDescent="0.2">
      <c r="AT1172">
        <v>60</v>
      </c>
      <c r="AU1172">
        <v>7.66</v>
      </c>
    </row>
    <row r="1173" spans="46:47" x14ac:dyDescent="0.2">
      <c r="AT1173">
        <v>51</v>
      </c>
      <c r="AU1173">
        <v>9.23</v>
      </c>
    </row>
    <row r="1174" spans="46:47" x14ac:dyDescent="0.2">
      <c r="AT1174">
        <v>43</v>
      </c>
      <c r="AU1174">
        <v>8.73</v>
      </c>
    </row>
    <row r="1175" spans="46:47" x14ac:dyDescent="0.2">
      <c r="AT1175">
        <v>60</v>
      </c>
      <c r="AU1175">
        <v>8.43</v>
      </c>
    </row>
    <row r="1176" spans="46:47" x14ac:dyDescent="0.2">
      <c r="AT1176">
        <v>52</v>
      </c>
      <c r="AU1176">
        <v>8.75</v>
      </c>
    </row>
    <row r="1177" spans="46:47" x14ac:dyDescent="0.2">
      <c r="AT1177">
        <v>75</v>
      </c>
      <c r="AU1177">
        <v>9.99</v>
      </c>
    </row>
    <row r="1178" spans="46:47" x14ac:dyDescent="0.2">
      <c r="AT1178">
        <v>58</v>
      </c>
      <c r="AU1178">
        <v>8.16</v>
      </c>
    </row>
    <row r="1179" spans="46:47" x14ac:dyDescent="0.2">
      <c r="AT1179">
        <v>47</v>
      </c>
      <c r="AU1179">
        <v>8.7899999999999991</v>
      </c>
    </row>
    <row r="1180" spans="46:47" x14ac:dyDescent="0.2">
      <c r="AT1180">
        <v>51</v>
      </c>
      <c r="AU1180">
        <v>8.6199999999999992</v>
      </c>
    </row>
    <row r="1181" spans="46:47" x14ac:dyDescent="0.2">
      <c r="AT1181">
        <v>43</v>
      </c>
      <c r="AU1181">
        <v>8.11</v>
      </c>
    </row>
    <row r="1182" spans="46:47" x14ac:dyDescent="0.2">
      <c r="AT1182">
        <v>74</v>
      </c>
      <c r="AU1182">
        <v>8.7899999999999991</v>
      </c>
    </row>
    <row r="1183" spans="46:47" x14ac:dyDescent="0.2">
      <c r="AT1183">
        <v>49</v>
      </c>
      <c r="AU1183">
        <v>7.7</v>
      </c>
    </row>
    <row r="1184" spans="46:47" x14ac:dyDescent="0.2">
      <c r="AT1184">
        <v>59</v>
      </c>
      <c r="AU1184">
        <v>9.0399999999999991</v>
      </c>
    </row>
    <row r="1185" spans="46:47" x14ac:dyDescent="0.2">
      <c r="AT1185">
        <v>50</v>
      </c>
      <c r="AU1185">
        <v>6.99</v>
      </c>
    </row>
    <row r="1186" spans="46:47" x14ac:dyDescent="0.2">
      <c r="AT1186">
        <v>87</v>
      </c>
      <c r="AU1186">
        <v>10.050000000000001</v>
      </c>
    </row>
    <row r="1187" spans="46:47" x14ac:dyDescent="0.2">
      <c r="AT1187">
        <v>47</v>
      </c>
      <c r="AU1187">
        <v>9.2100000000000009</v>
      </c>
    </row>
    <row r="1188" spans="46:47" x14ac:dyDescent="0.2">
      <c r="AT1188">
        <v>74</v>
      </c>
      <c r="AU1188">
        <v>7.95</v>
      </c>
    </row>
    <row r="1189" spans="46:47" x14ac:dyDescent="0.2">
      <c r="AT1189">
        <v>56</v>
      </c>
      <c r="AU1189">
        <v>8.75</v>
      </c>
    </row>
    <row r="1190" spans="46:47" x14ac:dyDescent="0.2">
      <c r="AT1190">
        <v>45</v>
      </c>
      <c r="AU1190">
        <v>8.58</v>
      </c>
    </row>
    <row r="1191" spans="46:47" x14ac:dyDescent="0.2">
      <c r="AT1191">
        <v>49</v>
      </c>
      <c r="AU1191">
        <v>8.93</v>
      </c>
    </row>
    <row r="1192" spans="46:47" x14ac:dyDescent="0.2">
      <c r="AT1192">
        <v>41</v>
      </c>
      <c r="AU1192">
        <v>9.5500000000000007</v>
      </c>
    </row>
    <row r="1193" spans="46:47" x14ac:dyDescent="0.2">
      <c r="AT1193">
        <v>43</v>
      </c>
      <c r="AU1193">
        <v>8.57</v>
      </c>
    </row>
    <row r="1194" spans="46:47" x14ac:dyDescent="0.2">
      <c r="AT1194">
        <v>55</v>
      </c>
      <c r="AU1194">
        <v>8.48</v>
      </c>
    </row>
    <row r="1195" spans="46:47" x14ac:dyDescent="0.2">
      <c r="AT1195">
        <v>68</v>
      </c>
      <c r="AU1195">
        <v>8.7899999999999991</v>
      </c>
    </row>
    <row r="1196" spans="46:47" x14ac:dyDescent="0.2">
      <c r="AT1196">
        <v>63</v>
      </c>
      <c r="AU1196">
        <v>8.76</v>
      </c>
    </row>
    <row r="1197" spans="46:47" x14ac:dyDescent="0.2">
      <c r="AT1197">
        <v>56</v>
      </c>
      <c r="AU1197">
        <v>8.56</v>
      </c>
    </row>
    <row r="1198" spans="46:47" x14ac:dyDescent="0.2">
      <c r="AT1198">
        <v>62</v>
      </c>
      <c r="AU1198">
        <v>8.85</v>
      </c>
    </row>
    <row r="1199" spans="46:47" x14ac:dyDescent="0.2">
      <c r="AT1199">
        <v>35</v>
      </c>
      <c r="AU1199">
        <v>9.1</v>
      </c>
    </row>
    <row r="1200" spans="46:47" x14ac:dyDescent="0.2">
      <c r="AT1200">
        <v>65</v>
      </c>
      <c r="AU1200">
        <v>8.6</v>
      </c>
    </row>
    <row r="1201" spans="46:47" x14ac:dyDescent="0.2">
      <c r="AT1201">
        <v>37</v>
      </c>
      <c r="AU1201">
        <v>7.74</v>
      </c>
    </row>
    <row r="1202" spans="46:47" x14ac:dyDescent="0.2">
      <c r="AT1202">
        <v>71</v>
      </c>
      <c r="AU1202">
        <v>8.56</v>
      </c>
    </row>
    <row r="1203" spans="46:47" x14ac:dyDescent="0.2">
      <c r="AT1203">
        <v>66</v>
      </c>
      <c r="AU1203">
        <v>9.24</v>
      </c>
    </row>
    <row r="1204" spans="46:47" x14ac:dyDescent="0.2">
      <c r="AT1204">
        <v>54</v>
      </c>
      <c r="AU1204">
        <v>8.93</v>
      </c>
    </row>
    <row r="1205" spans="46:47" x14ac:dyDescent="0.2">
      <c r="AT1205">
        <v>42</v>
      </c>
      <c r="AU1205">
        <v>7.4</v>
      </c>
    </row>
    <row r="1206" spans="46:47" x14ac:dyDescent="0.2">
      <c r="AT1206">
        <v>38</v>
      </c>
      <c r="AU1206">
        <v>9.36</v>
      </c>
    </row>
    <row r="1207" spans="46:47" x14ac:dyDescent="0.2">
      <c r="AT1207">
        <v>77</v>
      </c>
      <c r="AU1207">
        <v>8.4700000000000006</v>
      </c>
    </row>
    <row r="1208" spans="46:47" x14ac:dyDescent="0.2">
      <c r="AT1208">
        <v>44</v>
      </c>
      <c r="AU1208">
        <v>10.39</v>
      </c>
    </row>
    <row r="1209" spans="46:47" x14ac:dyDescent="0.2">
      <c r="AT1209">
        <v>35</v>
      </c>
      <c r="AU1209">
        <v>10.85</v>
      </c>
    </row>
    <row r="1210" spans="46:47" x14ac:dyDescent="0.2">
      <c r="AT1210">
        <v>65</v>
      </c>
      <c r="AU1210">
        <v>9.08</v>
      </c>
    </row>
    <row r="1211" spans="46:47" x14ac:dyDescent="0.2">
      <c r="AT1211">
        <v>62</v>
      </c>
      <c r="AU1211">
        <v>8.27</v>
      </c>
    </row>
    <row r="1212" spans="46:47" x14ac:dyDescent="0.2">
      <c r="AT1212">
        <v>24</v>
      </c>
      <c r="AU1212">
        <v>7.61</v>
      </c>
    </row>
    <row r="1213" spans="46:47" x14ac:dyDescent="0.2">
      <c r="AT1213">
        <v>41</v>
      </c>
      <c r="AU1213">
        <v>8.86</v>
      </c>
    </row>
    <row r="1214" spans="46:47" x14ac:dyDescent="0.2">
      <c r="AT1214">
        <v>41</v>
      </c>
      <c r="AU1214">
        <v>8.4499999999999993</v>
      </c>
    </row>
    <row r="1215" spans="46:47" x14ac:dyDescent="0.2">
      <c r="AT1215">
        <v>59</v>
      </c>
      <c r="AU1215">
        <v>8.6300000000000008</v>
      </c>
    </row>
    <row r="1216" spans="46:47" x14ac:dyDescent="0.2">
      <c r="AT1216">
        <v>86</v>
      </c>
      <c r="AU1216">
        <v>9.42</v>
      </c>
    </row>
    <row r="1217" spans="46:47" x14ac:dyDescent="0.2">
      <c r="AT1217">
        <v>34</v>
      </c>
      <c r="AU1217">
        <v>8.3800000000000008</v>
      </c>
    </row>
    <row r="1218" spans="46:47" x14ac:dyDescent="0.2">
      <c r="AT1218">
        <v>52</v>
      </c>
      <c r="AU1218">
        <v>8.84</v>
      </c>
    </row>
    <row r="1219" spans="46:47" x14ac:dyDescent="0.2">
      <c r="AT1219">
        <v>66</v>
      </c>
      <c r="AU1219">
        <v>8</v>
      </c>
    </row>
    <row r="1220" spans="46:47" x14ac:dyDescent="0.2">
      <c r="AT1220">
        <v>45</v>
      </c>
      <c r="AU1220">
        <v>8.9600000000000009</v>
      </c>
    </row>
    <row r="1221" spans="46:47" x14ac:dyDescent="0.2">
      <c r="AT1221">
        <v>65</v>
      </c>
      <c r="AU1221">
        <v>8.65</v>
      </c>
    </row>
    <row r="1222" spans="46:47" x14ac:dyDescent="0.2">
      <c r="AT1222">
        <v>62</v>
      </c>
      <c r="AU1222">
        <v>8.65</v>
      </c>
    </row>
    <row r="1223" spans="46:47" x14ac:dyDescent="0.2">
      <c r="AT1223">
        <v>79</v>
      </c>
      <c r="AU1223">
        <v>8.7100000000000009</v>
      </c>
    </row>
    <row r="1224" spans="46:47" x14ac:dyDescent="0.2">
      <c r="AT1224">
        <v>36</v>
      </c>
      <c r="AU1224">
        <v>8.83</v>
      </c>
    </row>
    <row r="1225" spans="46:47" x14ac:dyDescent="0.2">
      <c r="AT1225">
        <v>63</v>
      </c>
      <c r="AU1225">
        <v>7.95</v>
      </c>
    </row>
    <row r="1226" spans="46:47" x14ac:dyDescent="0.2">
      <c r="AT1226">
        <v>39</v>
      </c>
      <c r="AU1226">
        <v>8.77</v>
      </c>
    </row>
    <row r="1227" spans="46:47" x14ac:dyDescent="0.2">
      <c r="AT1227">
        <v>51</v>
      </c>
      <c r="AU1227">
        <v>8.89</v>
      </c>
    </row>
    <row r="1228" spans="46:47" x14ac:dyDescent="0.2">
      <c r="AT1228">
        <v>68</v>
      </c>
      <c r="AU1228">
        <v>8.7200000000000006</v>
      </c>
    </row>
    <row r="1229" spans="46:47" x14ac:dyDescent="0.2">
      <c r="AT1229">
        <v>61</v>
      </c>
      <c r="AU1229">
        <v>8.68</v>
      </c>
    </row>
    <row r="1230" spans="46:47" x14ac:dyDescent="0.2">
      <c r="AT1230">
        <v>74</v>
      </c>
      <c r="AU1230">
        <v>8.76</v>
      </c>
    </row>
    <row r="1231" spans="46:47" x14ac:dyDescent="0.2">
      <c r="AT1231">
        <v>48</v>
      </c>
      <c r="AU1231">
        <v>8.8800000000000008</v>
      </c>
    </row>
    <row r="1232" spans="46:47" x14ac:dyDescent="0.2">
      <c r="AT1232">
        <v>66</v>
      </c>
      <c r="AU1232">
        <v>8.84</v>
      </c>
    </row>
    <row r="1233" spans="46:47" x14ac:dyDescent="0.2">
      <c r="AT1233">
        <v>43</v>
      </c>
      <c r="AU1233">
        <v>8.6999999999999993</v>
      </c>
    </row>
    <row r="1234" spans="46:47" x14ac:dyDescent="0.2">
      <c r="AT1234">
        <v>45</v>
      </c>
      <c r="AU1234">
        <v>7.79</v>
      </c>
    </row>
    <row r="1235" spans="46:47" x14ac:dyDescent="0.2">
      <c r="AT1235">
        <v>43</v>
      </c>
      <c r="AU1235">
        <v>8.34</v>
      </c>
    </row>
    <row r="1236" spans="46:47" x14ac:dyDescent="0.2">
      <c r="AT1236">
        <v>67</v>
      </c>
      <c r="AU1236">
        <v>9.06</v>
      </c>
    </row>
    <row r="1237" spans="46:47" x14ac:dyDescent="0.2">
      <c r="AT1237">
        <v>46</v>
      </c>
      <c r="AU1237">
        <v>8.6300000000000008</v>
      </c>
    </row>
    <row r="1238" spans="46:47" x14ac:dyDescent="0.2">
      <c r="AT1238">
        <v>41</v>
      </c>
      <c r="AU1238">
        <v>8.9499999999999993</v>
      </c>
    </row>
    <row r="1239" spans="46:47" x14ac:dyDescent="0.2">
      <c r="AT1239">
        <v>75</v>
      </c>
      <c r="AU1239">
        <v>8.65</v>
      </c>
    </row>
    <row r="1240" spans="46:47" x14ac:dyDescent="0.2">
      <c r="AT1240">
        <v>40</v>
      </c>
      <c r="AU1240">
        <v>8.5</v>
      </c>
    </row>
    <row r="1241" spans="46:47" x14ac:dyDescent="0.2">
      <c r="AT1241">
        <v>51</v>
      </c>
      <c r="AU1241">
        <v>8.3699999999999992</v>
      </c>
    </row>
    <row r="1242" spans="46:47" x14ac:dyDescent="0.2">
      <c r="AT1242">
        <v>121</v>
      </c>
      <c r="AU1242">
        <v>8.7799999999999994</v>
      </c>
    </row>
    <row r="1243" spans="46:47" x14ac:dyDescent="0.2">
      <c r="AT1243">
        <v>60</v>
      </c>
      <c r="AU1243">
        <v>8.93</v>
      </c>
    </row>
    <row r="1244" spans="46:47" x14ac:dyDescent="0.2">
      <c r="AT1244">
        <v>74</v>
      </c>
      <c r="AU1244">
        <v>8.25</v>
      </c>
    </row>
    <row r="1245" spans="46:47" x14ac:dyDescent="0.2">
      <c r="AT1245">
        <v>40</v>
      </c>
      <c r="AU1245">
        <v>8.6999999999999993</v>
      </c>
    </row>
    <row r="1246" spans="46:47" x14ac:dyDescent="0.2">
      <c r="AT1246">
        <v>121</v>
      </c>
      <c r="AU1246">
        <v>8.6300000000000008</v>
      </c>
    </row>
    <row r="1247" spans="46:47" x14ac:dyDescent="0.2">
      <c r="AT1247">
        <v>49</v>
      </c>
      <c r="AU1247">
        <v>8.8800000000000008</v>
      </c>
    </row>
    <row r="1248" spans="46:47" x14ac:dyDescent="0.2">
      <c r="AT1248">
        <v>55</v>
      </c>
      <c r="AU1248">
        <v>8.1300000000000008</v>
      </c>
    </row>
    <row r="1249" spans="46:47" x14ac:dyDescent="0.2">
      <c r="AT1249">
        <v>34</v>
      </c>
      <c r="AU1249">
        <v>8.4499999999999993</v>
      </c>
    </row>
    <row r="1250" spans="46:47" x14ac:dyDescent="0.2">
      <c r="AT1250">
        <v>39</v>
      </c>
      <c r="AU1250">
        <v>8.83</v>
      </c>
    </row>
    <row r="1251" spans="46:47" x14ac:dyDescent="0.2">
      <c r="AT1251">
        <v>75</v>
      </c>
      <c r="AU1251">
        <v>3.37</v>
      </c>
    </row>
    <row r="1252" spans="46:47" x14ac:dyDescent="0.2">
      <c r="AT1252">
        <v>46</v>
      </c>
      <c r="AU1252">
        <v>8.9700000000000006</v>
      </c>
    </row>
    <row r="1253" spans="46:47" x14ac:dyDescent="0.2">
      <c r="AT1253">
        <v>23</v>
      </c>
      <c r="AU1253">
        <v>8.16</v>
      </c>
    </row>
    <row r="1254" spans="46:47" x14ac:dyDescent="0.2">
      <c r="AT1254">
        <v>62</v>
      </c>
      <c r="AU1254">
        <v>8.27</v>
      </c>
    </row>
    <row r="1255" spans="46:47" x14ac:dyDescent="0.2">
      <c r="AT1255">
        <v>73</v>
      </c>
      <c r="AU1255">
        <v>8.9600000000000009</v>
      </c>
    </row>
    <row r="1256" spans="46:47" x14ac:dyDescent="0.2">
      <c r="AT1256">
        <v>43</v>
      </c>
      <c r="AU1256">
        <v>8.52</v>
      </c>
    </row>
    <row r="1257" spans="46:47" x14ac:dyDescent="0.2">
      <c r="AT1257">
        <v>35</v>
      </c>
      <c r="AU1257">
        <v>8.06</v>
      </c>
    </row>
    <row r="1258" spans="46:47" x14ac:dyDescent="0.2">
      <c r="AT1258">
        <v>42</v>
      </c>
      <c r="AU1258">
        <v>7.2</v>
      </c>
    </row>
    <row r="1259" spans="46:47" x14ac:dyDescent="0.2">
      <c r="AT1259">
        <v>50</v>
      </c>
      <c r="AU1259">
        <v>8.4600000000000009</v>
      </c>
    </row>
    <row r="1260" spans="46:47" x14ac:dyDescent="0.2">
      <c r="AT1260">
        <v>63</v>
      </c>
      <c r="AU1260">
        <v>8.3800000000000008</v>
      </c>
    </row>
    <row r="1261" spans="46:47" x14ac:dyDescent="0.2">
      <c r="AT1261">
        <v>41</v>
      </c>
      <c r="AU1261">
        <v>9.43</v>
      </c>
    </row>
    <row r="1262" spans="46:47" x14ac:dyDescent="0.2">
      <c r="AT1262">
        <v>54</v>
      </c>
      <c r="AU1262">
        <v>8.61</v>
      </c>
    </row>
    <row r="1263" spans="46:47" x14ac:dyDescent="0.2">
      <c r="AT1263">
        <v>76</v>
      </c>
      <c r="AU1263">
        <v>8.33</v>
      </c>
    </row>
    <row r="1264" spans="46:47" x14ac:dyDescent="0.2">
      <c r="AT1264">
        <v>43</v>
      </c>
      <c r="AU1264">
        <v>8.5399999999999991</v>
      </c>
    </row>
    <row r="1265" spans="46:47" x14ac:dyDescent="0.2">
      <c r="AT1265">
        <v>44</v>
      </c>
      <c r="AU1265">
        <v>8.83</v>
      </c>
    </row>
    <row r="1266" spans="46:47" x14ac:dyDescent="0.2">
      <c r="AT1266">
        <v>40</v>
      </c>
      <c r="AU1266">
        <v>8.64</v>
      </c>
    </row>
    <row r="1267" spans="46:47" x14ac:dyDescent="0.2">
      <c r="AT1267">
        <v>53</v>
      </c>
      <c r="AU1267">
        <v>8.6300000000000008</v>
      </c>
    </row>
    <row r="1268" spans="46:47" x14ac:dyDescent="0.2">
      <c r="AT1268">
        <v>56</v>
      </c>
      <c r="AU1268">
        <v>8.5</v>
      </c>
    </row>
    <row r="1269" spans="46:47" x14ac:dyDescent="0.2">
      <c r="AT1269">
        <v>48</v>
      </c>
      <c r="AU1269">
        <v>8.41</v>
      </c>
    </row>
    <row r="1270" spans="46:47" x14ac:dyDescent="0.2">
      <c r="AT1270">
        <v>62</v>
      </c>
      <c r="AU1270">
        <v>8.49</v>
      </c>
    </row>
    <row r="1271" spans="46:47" x14ac:dyDescent="0.2">
      <c r="AT1271">
        <v>51</v>
      </c>
      <c r="AU1271">
        <v>8.61</v>
      </c>
    </row>
    <row r="1272" spans="46:47" x14ac:dyDescent="0.2">
      <c r="AT1272">
        <v>37</v>
      </c>
      <c r="AU1272">
        <v>7.94</v>
      </c>
    </row>
    <row r="1273" spans="46:47" x14ac:dyDescent="0.2">
      <c r="AT1273">
        <v>55</v>
      </c>
      <c r="AU1273">
        <v>8.5500000000000007</v>
      </c>
    </row>
    <row r="1274" spans="46:47" x14ac:dyDescent="0.2">
      <c r="AT1274">
        <v>47</v>
      </c>
      <c r="AU1274">
        <v>8.83</v>
      </c>
    </row>
    <row r="1275" spans="46:47" x14ac:dyDescent="0.2">
      <c r="AT1275">
        <v>56</v>
      </c>
      <c r="AU1275">
        <v>8.57</v>
      </c>
    </row>
    <row r="1276" spans="46:47" x14ac:dyDescent="0.2">
      <c r="AT1276">
        <v>43</v>
      </c>
      <c r="AU1276">
        <v>9.02</v>
      </c>
    </row>
    <row r="1277" spans="46:47" x14ac:dyDescent="0.2">
      <c r="AT1277">
        <v>36</v>
      </c>
      <c r="AU1277">
        <v>9</v>
      </c>
    </row>
    <row r="1278" spans="46:47" x14ac:dyDescent="0.2">
      <c r="AT1278">
        <v>24</v>
      </c>
      <c r="AU1278">
        <v>8.1300000000000008</v>
      </c>
    </row>
    <row r="1279" spans="46:47" x14ac:dyDescent="0.2">
      <c r="AT1279">
        <v>47</v>
      </c>
      <c r="AU1279">
        <v>8.5500000000000007</v>
      </c>
    </row>
    <row r="1280" spans="46:47" x14ac:dyDescent="0.2">
      <c r="AT1280">
        <v>51</v>
      </c>
      <c r="AU1280">
        <v>8.74</v>
      </c>
    </row>
    <row r="1281" spans="46:47" x14ac:dyDescent="0.2">
      <c r="AT1281">
        <v>40</v>
      </c>
      <c r="AU1281">
        <v>8.5299999999999994</v>
      </c>
    </row>
    <row r="1282" spans="46:47" x14ac:dyDescent="0.2">
      <c r="AT1282">
        <v>56</v>
      </c>
      <c r="AU1282">
        <v>8.5299999999999994</v>
      </c>
    </row>
    <row r="1283" spans="46:47" x14ac:dyDescent="0.2">
      <c r="AT1283">
        <v>38</v>
      </c>
      <c r="AU1283">
        <v>10.44</v>
      </c>
    </row>
    <row r="1284" spans="46:47" x14ac:dyDescent="0.2">
      <c r="AT1284">
        <v>56</v>
      </c>
      <c r="AU1284">
        <v>8.0299999999999994</v>
      </c>
    </row>
    <row r="1285" spans="46:47" x14ac:dyDescent="0.2">
      <c r="AT1285">
        <v>41</v>
      </c>
      <c r="AU1285">
        <v>7.04</v>
      </c>
    </row>
    <row r="1286" spans="46:47" x14ac:dyDescent="0.2">
      <c r="AT1286">
        <v>39</v>
      </c>
      <c r="AU1286">
        <v>8.86</v>
      </c>
    </row>
    <row r="1287" spans="46:47" x14ac:dyDescent="0.2">
      <c r="AT1287">
        <v>56</v>
      </c>
      <c r="AU1287">
        <v>8.7799999999999994</v>
      </c>
    </row>
    <row r="1288" spans="46:47" x14ac:dyDescent="0.2">
      <c r="AT1288">
        <v>61</v>
      </c>
      <c r="AU1288">
        <v>8.9700000000000006</v>
      </c>
    </row>
    <row r="1289" spans="46:47" x14ac:dyDescent="0.2">
      <c r="AT1289">
        <v>54</v>
      </c>
      <c r="AU1289">
        <v>8.8800000000000008</v>
      </c>
    </row>
    <row r="1290" spans="46:47" x14ac:dyDescent="0.2">
      <c r="AT1290">
        <v>33</v>
      </c>
      <c r="AU1290">
        <v>8.77</v>
      </c>
    </row>
    <row r="1291" spans="46:47" x14ac:dyDescent="0.2">
      <c r="AT1291">
        <v>63</v>
      </c>
      <c r="AU1291">
        <v>8.67</v>
      </c>
    </row>
    <row r="1292" spans="46:47" x14ac:dyDescent="0.2">
      <c r="AT1292">
        <v>30</v>
      </c>
      <c r="AU1292">
        <v>2.39</v>
      </c>
    </row>
    <row r="1293" spans="46:47" x14ac:dyDescent="0.2">
      <c r="AT1293">
        <v>64</v>
      </c>
      <c r="AU1293">
        <v>8.23</v>
      </c>
    </row>
    <row r="1294" spans="46:47" x14ac:dyDescent="0.2">
      <c r="AT1294">
        <v>37</v>
      </c>
      <c r="AU1294">
        <v>8.82</v>
      </c>
    </row>
    <row r="1295" spans="46:47" x14ac:dyDescent="0.2">
      <c r="AT1295">
        <v>63</v>
      </c>
      <c r="AU1295">
        <v>8.84</v>
      </c>
    </row>
    <row r="1296" spans="46:47" x14ac:dyDescent="0.2">
      <c r="AT1296">
        <v>33</v>
      </c>
      <c r="AU1296">
        <v>8.5399999999999991</v>
      </c>
    </row>
    <row r="1297" spans="46:47" x14ac:dyDescent="0.2">
      <c r="AT1297">
        <v>70</v>
      </c>
      <c r="AU1297">
        <v>8.81</v>
      </c>
    </row>
    <row r="1298" spans="46:47" x14ac:dyDescent="0.2">
      <c r="AT1298">
        <v>48</v>
      </c>
      <c r="AU1298">
        <v>8.67</v>
      </c>
    </row>
    <row r="1299" spans="46:47" x14ac:dyDescent="0.2">
      <c r="AT1299">
        <v>36</v>
      </c>
      <c r="AU1299">
        <v>8.4700000000000006</v>
      </c>
    </row>
    <row r="1300" spans="46:47" x14ac:dyDescent="0.2">
      <c r="AT1300">
        <v>41</v>
      </c>
      <c r="AU1300">
        <v>8.16</v>
      </c>
    </row>
    <row r="1301" spans="46:47" x14ac:dyDescent="0.2">
      <c r="AT1301">
        <v>42</v>
      </c>
      <c r="AU1301">
        <v>9.02</v>
      </c>
    </row>
    <row r="1302" spans="46:47" x14ac:dyDescent="0.2">
      <c r="AT1302">
        <v>39</v>
      </c>
      <c r="AU1302">
        <v>8.94</v>
      </c>
    </row>
    <row r="1303" spans="46:47" x14ac:dyDescent="0.2">
      <c r="AT1303">
        <v>49</v>
      </c>
      <c r="AU1303">
        <v>8.4700000000000006</v>
      </c>
    </row>
    <row r="1304" spans="46:47" x14ac:dyDescent="0.2">
      <c r="AT1304">
        <v>48</v>
      </c>
      <c r="AU1304">
        <v>8.5399999999999991</v>
      </c>
    </row>
    <row r="1305" spans="46:47" x14ac:dyDescent="0.2">
      <c r="AT1305">
        <v>44</v>
      </c>
      <c r="AU1305">
        <v>9</v>
      </c>
    </row>
    <row r="1306" spans="46:47" x14ac:dyDescent="0.2">
      <c r="AT1306">
        <v>76</v>
      </c>
      <c r="AU1306">
        <v>8.6199999999999992</v>
      </c>
    </row>
    <row r="1307" spans="46:47" x14ac:dyDescent="0.2">
      <c r="AT1307">
        <v>41</v>
      </c>
      <c r="AU1307">
        <v>8.81</v>
      </c>
    </row>
    <row r="1308" spans="46:47" x14ac:dyDescent="0.2">
      <c r="AT1308">
        <v>66</v>
      </c>
      <c r="AU1308">
        <v>8.84</v>
      </c>
    </row>
    <row r="1309" spans="46:47" x14ac:dyDescent="0.2">
      <c r="AT1309">
        <v>63</v>
      </c>
      <c r="AU1309">
        <v>9.0399999999999991</v>
      </c>
    </row>
    <row r="1310" spans="46:47" x14ac:dyDescent="0.2">
      <c r="AT1310">
        <v>40</v>
      </c>
      <c r="AU1310">
        <v>8.3699999999999992</v>
      </c>
    </row>
    <row r="1311" spans="46:47" x14ac:dyDescent="0.2">
      <c r="AT1311">
        <v>42</v>
      </c>
      <c r="AU1311">
        <v>8.56</v>
      </c>
    </row>
    <row r="1312" spans="46:47" x14ac:dyDescent="0.2">
      <c r="AT1312">
        <v>34</v>
      </c>
      <c r="AU1312">
        <v>8.39</v>
      </c>
    </row>
    <row r="1313" spans="46:47" x14ac:dyDescent="0.2">
      <c r="AT1313">
        <v>81</v>
      </c>
      <c r="AU1313">
        <v>8.9700000000000006</v>
      </c>
    </row>
    <row r="1314" spans="46:47" x14ac:dyDescent="0.2">
      <c r="AT1314">
        <v>34</v>
      </c>
      <c r="AU1314">
        <v>8.18</v>
      </c>
    </row>
    <row r="1315" spans="46:47" x14ac:dyDescent="0.2">
      <c r="AT1315">
        <v>38</v>
      </c>
      <c r="AU1315">
        <v>8.39</v>
      </c>
    </row>
    <row r="1316" spans="46:47" x14ac:dyDescent="0.2">
      <c r="AT1316">
        <v>50</v>
      </c>
      <c r="AU1316">
        <v>8.24</v>
      </c>
    </row>
    <row r="1317" spans="46:47" x14ac:dyDescent="0.2">
      <c r="AT1317">
        <v>52</v>
      </c>
      <c r="AU1317">
        <v>8.92</v>
      </c>
    </row>
    <row r="1318" spans="46:47" x14ac:dyDescent="0.2">
      <c r="AT1318">
        <v>41</v>
      </c>
      <c r="AU1318">
        <v>8.6</v>
      </c>
    </row>
    <row r="1319" spans="46:47" x14ac:dyDescent="0.2">
      <c r="AT1319">
        <v>33</v>
      </c>
      <c r="AU1319">
        <v>8.5</v>
      </c>
    </row>
    <row r="1320" spans="46:47" x14ac:dyDescent="0.2">
      <c r="AT1320">
        <v>50</v>
      </c>
      <c r="AU1320">
        <v>8.7200000000000006</v>
      </c>
    </row>
    <row r="1321" spans="46:47" x14ac:dyDescent="0.2">
      <c r="AT1321">
        <v>37</v>
      </c>
      <c r="AU1321">
        <v>8.8699999999999992</v>
      </c>
    </row>
    <row r="1322" spans="46:47" x14ac:dyDescent="0.2">
      <c r="AT1322">
        <v>46</v>
      </c>
      <c r="AU1322">
        <v>8.3000000000000007</v>
      </c>
    </row>
    <row r="1323" spans="46:47" x14ac:dyDescent="0.2">
      <c r="AT1323">
        <v>28</v>
      </c>
      <c r="AU1323">
        <v>8.34</v>
      </c>
    </row>
    <row r="1324" spans="46:47" x14ac:dyDescent="0.2">
      <c r="AT1324">
        <v>26</v>
      </c>
      <c r="AU1324">
        <v>7.84</v>
      </c>
    </row>
    <row r="1325" spans="46:47" x14ac:dyDescent="0.2">
      <c r="AT1325">
        <v>42</v>
      </c>
      <c r="AU1325">
        <v>8.5299999999999994</v>
      </c>
    </row>
    <row r="1326" spans="46:47" x14ac:dyDescent="0.2">
      <c r="AT1326">
        <v>69</v>
      </c>
      <c r="AU1326">
        <v>8.65</v>
      </c>
    </row>
    <row r="1327" spans="46:47" x14ac:dyDescent="0.2">
      <c r="AT1327">
        <v>36</v>
      </c>
      <c r="AU1327">
        <v>8.5299999999999994</v>
      </c>
    </row>
    <row r="1328" spans="46:47" x14ac:dyDescent="0.2">
      <c r="AT1328">
        <v>56</v>
      </c>
      <c r="AU1328">
        <v>8.61</v>
      </c>
    </row>
    <row r="1329" spans="46:47" x14ac:dyDescent="0.2">
      <c r="AT1329">
        <v>68</v>
      </c>
      <c r="AU1329">
        <v>7.89</v>
      </c>
    </row>
    <row r="1330" spans="46:47" x14ac:dyDescent="0.2">
      <c r="AT1330">
        <v>71</v>
      </c>
      <c r="AU1330">
        <v>9.23</v>
      </c>
    </row>
    <row r="1331" spans="46:47" x14ac:dyDescent="0.2">
      <c r="AT1331">
        <v>51</v>
      </c>
      <c r="AU1331">
        <v>8.77</v>
      </c>
    </row>
    <row r="1332" spans="46:47" x14ac:dyDescent="0.2">
      <c r="AT1332">
        <v>37</v>
      </c>
      <c r="AU1332">
        <v>8.51</v>
      </c>
    </row>
    <row r="1333" spans="46:47" x14ac:dyDescent="0.2">
      <c r="AT1333">
        <v>41</v>
      </c>
      <c r="AU1333">
        <v>8.67</v>
      </c>
    </row>
    <row r="1334" spans="46:47" x14ac:dyDescent="0.2">
      <c r="AT1334">
        <v>71</v>
      </c>
      <c r="AU1334">
        <v>7.94</v>
      </c>
    </row>
    <row r="1335" spans="46:47" x14ac:dyDescent="0.2">
      <c r="AT1335">
        <v>50</v>
      </c>
      <c r="AU1335">
        <v>8.59</v>
      </c>
    </row>
    <row r="1336" spans="46:47" x14ac:dyDescent="0.2">
      <c r="AT1336">
        <v>62</v>
      </c>
      <c r="AU1336">
        <v>4.62</v>
      </c>
    </row>
    <row r="1337" spans="46:47" x14ac:dyDescent="0.2">
      <c r="AT1337">
        <v>41</v>
      </c>
      <c r="AU1337">
        <v>8.48</v>
      </c>
    </row>
    <row r="1338" spans="46:47" x14ac:dyDescent="0.2">
      <c r="AT1338">
        <v>75</v>
      </c>
      <c r="AU1338">
        <v>8.68</v>
      </c>
    </row>
    <row r="1339" spans="46:47" x14ac:dyDescent="0.2">
      <c r="AT1339">
        <v>84</v>
      </c>
      <c r="AU1339">
        <v>8.5299999999999994</v>
      </c>
    </row>
    <row r="1340" spans="46:47" x14ac:dyDescent="0.2">
      <c r="AT1340">
        <v>58</v>
      </c>
      <c r="AU1340">
        <v>8.83</v>
      </c>
    </row>
    <row r="1341" spans="46:47" x14ac:dyDescent="0.2">
      <c r="AT1341">
        <v>43</v>
      </c>
      <c r="AU1341">
        <v>8.3000000000000007</v>
      </c>
    </row>
    <row r="1342" spans="46:47" x14ac:dyDescent="0.2">
      <c r="AT1342">
        <v>53</v>
      </c>
      <c r="AU1342">
        <v>8.2100000000000009</v>
      </c>
    </row>
    <row r="1343" spans="46:47" x14ac:dyDescent="0.2">
      <c r="AT1343">
        <v>32</v>
      </c>
      <c r="AU1343">
        <v>8.6999999999999993</v>
      </c>
    </row>
    <row r="1344" spans="46:47" x14ac:dyDescent="0.2">
      <c r="AT1344">
        <v>51</v>
      </c>
      <c r="AU1344">
        <v>8.2799999999999994</v>
      </c>
    </row>
    <row r="1345" spans="46:47" x14ac:dyDescent="0.2">
      <c r="AT1345">
        <v>156</v>
      </c>
      <c r="AU1345">
        <v>8.66</v>
      </c>
    </row>
    <row r="1346" spans="46:47" x14ac:dyDescent="0.2">
      <c r="AT1346">
        <v>47</v>
      </c>
      <c r="AU1346">
        <v>8.56</v>
      </c>
    </row>
    <row r="1347" spans="46:47" x14ac:dyDescent="0.2">
      <c r="AT1347">
        <v>50</v>
      </c>
      <c r="AU1347">
        <v>7.66</v>
      </c>
    </row>
    <row r="1348" spans="46:47" x14ac:dyDescent="0.2">
      <c r="AT1348">
        <v>40</v>
      </c>
      <c r="AU1348">
        <v>8.92</v>
      </c>
    </row>
    <row r="1349" spans="46:47" x14ac:dyDescent="0.2">
      <c r="AT1349">
        <v>74</v>
      </c>
      <c r="AU1349">
        <v>8.9600000000000009</v>
      </c>
    </row>
    <row r="1350" spans="46:47" x14ac:dyDescent="0.2">
      <c r="AT1350">
        <v>141</v>
      </c>
      <c r="AU1350">
        <v>8.52</v>
      </c>
    </row>
    <row r="1351" spans="46:47" x14ac:dyDescent="0.2">
      <c r="AT1351">
        <v>53</v>
      </c>
      <c r="AU1351">
        <v>8.83</v>
      </c>
    </row>
    <row r="1352" spans="46:47" x14ac:dyDescent="0.2">
      <c r="AT1352">
        <v>44</v>
      </c>
      <c r="AU1352">
        <v>8.24</v>
      </c>
    </row>
    <row r="1353" spans="46:47" x14ac:dyDescent="0.2">
      <c r="AT1353">
        <v>57</v>
      </c>
      <c r="AU1353">
        <v>7.66</v>
      </c>
    </row>
    <row r="1354" spans="46:47" x14ac:dyDescent="0.2">
      <c r="AT1354">
        <v>48</v>
      </c>
      <c r="AU1354">
        <v>8.34</v>
      </c>
    </row>
    <row r="1355" spans="46:47" x14ac:dyDescent="0.2">
      <c r="AT1355">
        <v>50</v>
      </c>
      <c r="AU1355">
        <v>8.69</v>
      </c>
    </row>
    <row r="1356" spans="46:47" x14ac:dyDescent="0.2">
      <c r="AT1356">
        <v>50</v>
      </c>
      <c r="AU1356">
        <v>8.6300000000000008</v>
      </c>
    </row>
    <row r="1357" spans="46:47" x14ac:dyDescent="0.2">
      <c r="AT1357">
        <v>78</v>
      </c>
      <c r="AU1357">
        <v>7.96</v>
      </c>
    </row>
    <row r="1358" spans="46:47" x14ac:dyDescent="0.2">
      <c r="AT1358">
        <v>61</v>
      </c>
      <c r="AU1358">
        <v>8.43</v>
      </c>
    </row>
    <row r="1359" spans="46:47" x14ac:dyDescent="0.2">
      <c r="AT1359">
        <v>40</v>
      </c>
      <c r="AU1359">
        <v>8.67</v>
      </c>
    </row>
    <row r="1360" spans="46:47" x14ac:dyDescent="0.2">
      <c r="AT1360">
        <v>58</v>
      </c>
      <c r="AU1360">
        <v>8.27</v>
      </c>
    </row>
    <row r="1361" spans="46:47" x14ac:dyDescent="0.2">
      <c r="AT1361">
        <v>40</v>
      </c>
      <c r="AU1361">
        <v>8.9499999999999993</v>
      </c>
    </row>
    <row r="1362" spans="46:47" x14ac:dyDescent="0.2">
      <c r="AT1362">
        <v>43</v>
      </c>
      <c r="AU1362">
        <v>8.7799999999999994</v>
      </c>
    </row>
    <row r="1363" spans="46:47" x14ac:dyDescent="0.2">
      <c r="AT1363">
        <v>40</v>
      </c>
      <c r="AU1363">
        <v>8.36</v>
      </c>
    </row>
    <row r="1364" spans="46:47" x14ac:dyDescent="0.2">
      <c r="AT1364">
        <v>71</v>
      </c>
      <c r="AU1364">
        <v>8.01</v>
      </c>
    </row>
    <row r="1365" spans="46:47" x14ac:dyDescent="0.2">
      <c r="AT1365">
        <v>39</v>
      </c>
      <c r="AU1365">
        <v>8.57</v>
      </c>
    </row>
    <row r="1366" spans="46:47" x14ac:dyDescent="0.2">
      <c r="AT1366">
        <v>100</v>
      </c>
      <c r="AU1366">
        <v>8.7100000000000009</v>
      </c>
    </row>
    <row r="1367" spans="46:47" x14ac:dyDescent="0.2">
      <c r="AT1367">
        <v>47</v>
      </c>
      <c r="AU1367">
        <v>8.1300000000000008</v>
      </c>
    </row>
    <row r="1368" spans="46:47" x14ac:dyDescent="0.2">
      <c r="AT1368">
        <v>34</v>
      </c>
      <c r="AU1368">
        <v>8.5299999999999994</v>
      </c>
    </row>
    <row r="1369" spans="46:47" x14ac:dyDescent="0.2">
      <c r="AT1369">
        <v>62</v>
      </c>
      <c r="AU1369">
        <v>8.7100000000000009</v>
      </c>
    </row>
    <row r="1370" spans="46:47" x14ac:dyDescent="0.2">
      <c r="AT1370">
        <v>47</v>
      </c>
      <c r="AU1370">
        <v>8.4</v>
      </c>
    </row>
    <row r="1371" spans="46:47" x14ac:dyDescent="0.2">
      <c r="AT1371">
        <v>45</v>
      </c>
      <c r="AU1371">
        <v>8.4499999999999993</v>
      </c>
    </row>
    <row r="1372" spans="46:47" x14ac:dyDescent="0.2">
      <c r="AT1372">
        <v>42</v>
      </c>
      <c r="AU1372">
        <v>8.85</v>
      </c>
    </row>
    <row r="1373" spans="46:47" x14ac:dyDescent="0.2">
      <c r="AT1373">
        <v>72</v>
      </c>
      <c r="AU1373">
        <v>8.43</v>
      </c>
    </row>
    <row r="1374" spans="46:47" x14ac:dyDescent="0.2">
      <c r="AT1374">
        <v>71</v>
      </c>
      <c r="AU1374">
        <v>8.7200000000000006</v>
      </c>
    </row>
    <row r="1375" spans="46:47" x14ac:dyDescent="0.2">
      <c r="AT1375">
        <v>73</v>
      </c>
      <c r="AU1375">
        <v>8.56</v>
      </c>
    </row>
    <row r="1376" spans="46:47" x14ac:dyDescent="0.2">
      <c r="AT1376">
        <v>33</v>
      </c>
      <c r="AU1376">
        <v>7.69</v>
      </c>
    </row>
    <row r="1377" spans="46:47" x14ac:dyDescent="0.2">
      <c r="AT1377">
        <v>38</v>
      </c>
      <c r="AU1377">
        <v>8.7899999999999991</v>
      </c>
    </row>
    <row r="1378" spans="46:47" x14ac:dyDescent="0.2">
      <c r="AT1378">
        <v>40</v>
      </c>
      <c r="AU1378">
        <v>9.1</v>
      </c>
    </row>
    <row r="1379" spans="46:47" x14ac:dyDescent="0.2">
      <c r="AT1379">
        <v>64</v>
      </c>
      <c r="AU1379">
        <v>8.5500000000000007</v>
      </c>
    </row>
    <row r="1380" spans="46:47" x14ac:dyDescent="0.2">
      <c r="AT1380">
        <v>39</v>
      </c>
      <c r="AU1380">
        <v>8.07</v>
      </c>
    </row>
    <row r="1381" spans="46:47" x14ac:dyDescent="0.2">
      <c r="AT1381">
        <v>42</v>
      </c>
      <c r="AU1381">
        <v>8.92</v>
      </c>
    </row>
    <row r="1382" spans="46:47" x14ac:dyDescent="0.2">
      <c r="AT1382">
        <v>59</v>
      </c>
      <c r="AU1382">
        <v>8.84</v>
      </c>
    </row>
    <row r="1383" spans="46:47" x14ac:dyDescent="0.2">
      <c r="AT1383">
        <v>42</v>
      </c>
      <c r="AU1383">
        <v>8.6999999999999993</v>
      </c>
    </row>
    <row r="1384" spans="46:47" x14ac:dyDescent="0.2">
      <c r="AT1384">
        <v>51</v>
      </c>
      <c r="AU1384">
        <v>8.51</v>
      </c>
    </row>
    <row r="1385" spans="46:47" x14ac:dyDescent="0.2">
      <c r="AT1385">
        <v>58</v>
      </c>
      <c r="AU1385">
        <v>8.35</v>
      </c>
    </row>
    <row r="1386" spans="46:47" x14ac:dyDescent="0.2">
      <c r="AT1386">
        <v>51</v>
      </c>
      <c r="AU1386">
        <v>7.87</v>
      </c>
    </row>
    <row r="1387" spans="46:47" x14ac:dyDescent="0.2">
      <c r="AT1387">
        <v>22</v>
      </c>
      <c r="AU1387">
        <v>0.76</v>
      </c>
    </row>
    <row r="1388" spans="46:47" x14ac:dyDescent="0.2">
      <c r="AT1388">
        <v>55</v>
      </c>
      <c r="AU1388">
        <v>8.48</v>
      </c>
    </row>
    <row r="1389" spans="46:47" x14ac:dyDescent="0.2">
      <c r="AT1389">
        <v>41</v>
      </c>
      <c r="AU1389">
        <v>8.6999999999999993</v>
      </c>
    </row>
    <row r="1390" spans="46:47" x14ac:dyDescent="0.2">
      <c r="AT1390">
        <v>63</v>
      </c>
      <c r="AU1390">
        <v>8.6</v>
      </c>
    </row>
    <row r="1391" spans="46:47" x14ac:dyDescent="0.2">
      <c r="AT1391">
        <v>48</v>
      </c>
      <c r="AU1391">
        <v>8.41</v>
      </c>
    </row>
    <row r="1392" spans="46:47" x14ac:dyDescent="0.2">
      <c r="AT1392">
        <v>74</v>
      </c>
      <c r="AU1392">
        <v>8.74</v>
      </c>
    </row>
    <row r="1393" spans="46:47" x14ac:dyDescent="0.2">
      <c r="AT1393">
        <v>43</v>
      </c>
      <c r="AU1393">
        <v>8.66</v>
      </c>
    </row>
    <row r="1394" spans="46:47" x14ac:dyDescent="0.2">
      <c r="AT1394">
        <v>42</v>
      </c>
      <c r="AU1394">
        <v>8.2200000000000006</v>
      </c>
    </row>
    <row r="1395" spans="46:47" x14ac:dyDescent="0.2">
      <c r="AT1395">
        <v>55</v>
      </c>
      <c r="AU1395">
        <v>8.32</v>
      </c>
    </row>
    <row r="1396" spans="46:47" x14ac:dyDescent="0.2">
      <c r="AT1396">
        <v>54</v>
      </c>
      <c r="AU1396">
        <v>8.92</v>
      </c>
    </row>
    <row r="1397" spans="46:47" x14ac:dyDescent="0.2">
      <c r="AT1397">
        <v>47</v>
      </c>
      <c r="AU1397">
        <v>8.8699999999999992</v>
      </c>
    </row>
    <row r="1398" spans="46:47" x14ac:dyDescent="0.2">
      <c r="AT1398">
        <v>67</v>
      </c>
      <c r="AU1398">
        <v>8.7200000000000006</v>
      </c>
    </row>
    <row r="1399" spans="46:47" x14ac:dyDescent="0.2">
      <c r="AT1399">
        <v>54</v>
      </c>
      <c r="AU1399">
        <v>7.94</v>
      </c>
    </row>
    <row r="1400" spans="46:47" x14ac:dyDescent="0.2">
      <c r="AT1400">
        <v>58</v>
      </c>
      <c r="AU1400">
        <v>8.91</v>
      </c>
    </row>
    <row r="1401" spans="46:47" x14ac:dyDescent="0.2">
      <c r="AT1401">
        <v>37</v>
      </c>
      <c r="AU1401">
        <v>7.84</v>
      </c>
    </row>
    <row r="1402" spans="46:47" x14ac:dyDescent="0.2">
      <c r="AT1402">
        <v>43</v>
      </c>
      <c r="AU1402">
        <v>8.73</v>
      </c>
    </row>
    <row r="1403" spans="46:47" x14ac:dyDescent="0.2">
      <c r="AT1403">
        <v>38</v>
      </c>
      <c r="AU1403">
        <v>8.68</v>
      </c>
    </row>
    <row r="1404" spans="46:47" x14ac:dyDescent="0.2">
      <c r="AT1404">
        <v>41</v>
      </c>
      <c r="AU1404">
        <v>8</v>
      </c>
    </row>
    <row r="1405" spans="46:47" x14ac:dyDescent="0.2">
      <c r="AT1405">
        <v>42</v>
      </c>
      <c r="AU1405">
        <v>5.9</v>
      </c>
    </row>
    <row r="1406" spans="46:47" x14ac:dyDescent="0.2">
      <c r="AT1406">
        <v>45</v>
      </c>
      <c r="AU1406">
        <v>9.77</v>
      </c>
    </row>
    <row r="1407" spans="46:47" x14ac:dyDescent="0.2">
      <c r="AT1407">
        <v>40</v>
      </c>
      <c r="AU1407">
        <v>8.06</v>
      </c>
    </row>
    <row r="1408" spans="46:47" x14ac:dyDescent="0.2">
      <c r="AT1408">
        <v>49</v>
      </c>
      <c r="AU1408">
        <v>8.83</v>
      </c>
    </row>
    <row r="1409" spans="46:47" x14ac:dyDescent="0.2">
      <c r="AT1409">
        <v>45</v>
      </c>
      <c r="AU1409">
        <v>8.5299999999999994</v>
      </c>
    </row>
    <row r="1410" spans="46:47" x14ac:dyDescent="0.2">
      <c r="AT1410">
        <v>31</v>
      </c>
      <c r="AU1410">
        <v>8.5</v>
      </c>
    </row>
    <row r="1411" spans="46:47" x14ac:dyDescent="0.2">
      <c r="AT1411">
        <v>45</v>
      </c>
      <c r="AU1411">
        <v>8.59</v>
      </c>
    </row>
    <row r="1412" spans="46:47" x14ac:dyDescent="0.2">
      <c r="AT1412">
        <v>42</v>
      </c>
      <c r="AU1412">
        <v>8.83</v>
      </c>
    </row>
    <row r="1413" spans="46:47" x14ac:dyDescent="0.2">
      <c r="AT1413">
        <v>41</v>
      </c>
      <c r="AU1413">
        <v>8.19</v>
      </c>
    </row>
    <row r="1414" spans="46:47" x14ac:dyDescent="0.2">
      <c r="AT1414">
        <v>41</v>
      </c>
      <c r="AU1414">
        <v>8.7100000000000009</v>
      </c>
    </row>
    <row r="1415" spans="46:47" x14ac:dyDescent="0.2">
      <c r="AT1415">
        <v>43</v>
      </c>
      <c r="AU1415">
        <v>9.0299999999999994</v>
      </c>
    </row>
    <row r="1416" spans="46:47" x14ac:dyDescent="0.2">
      <c r="AT1416">
        <v>65</v>
      </c>
      <c r="AU1416">
        <v>8.2200000000000006</v>
      </c>
    </row>
    <row r="1417" spans="46:47" x14ac:dyDescent="0.2">
      <c r="AT1417">
        <v>39</v>
      </c>
      <c r="AU1417">
        <v>8.7899999999999991</v>
      </c>
    </row>
    <row r="1418" spans="46:47" x14ac:dyDescent="0.2">
      <c r="AT1418">
        <v>48</v>
      </c>
      <c r="AU1418">
        <v>8.69</v>
      </c>
    </row>
    <row r="1419" spans="46:47" x14ac:dyDescent="0.2">
      <c r="AT1419">
        <v>60</v>
      </c>
      <c r="AU1419">
        <v>8.52</v>
      </c>
    </row>
    <row r="1420" spans="46:47" x14ac:dyDescent="0.2">
      <c r="AT1420">
        <v>68</v>
      </c>
      <c r="AU1420">
        <v>7.94</v>
      </c>
    </row>
    <row r="1421" spans="46:47" x14ac:dyDescent="0.2">
      <c r="AT1421">
        <v>58</v>
      </c>
      <c r="AU1421">
        <v>8.7100000000000009</v>
      </c>
    </row>
    <row r="1422" spans="46:47" x14ac:dyDescent="0.2">
      <c r="AT1422">
        <v>64</v>
      </c>
      <c r="AU1422">
        <v>8.31</v>
      </c>
    </row>
    <row r="1423" spans="46:47" x14ac:dyDescent="0.2">
      <c r="AT1423">
        <v>44</v>
      </c>
      <c r="AU1423">
        <v>9.01</v>
      </c>
    </row>
    <row r="1424" spans="46:47" x14ac:dyDescent="0.2">
      <c r="AT1424">
        <v>39</v>
      </c>
      <c r="AU1424">
        <v>8.69</v>
      </c>
    </row>
    <row r="1425" spans="46:47" x14ac:dyDescent="0.2">
      <c r="AT1425">
        <v>53</v>
      </c>
      <c r="AU1425">
        <v>8.18</v>
      </c>
    </row>
    <row r="1426" spans="46:47" x14ac:dyDescent="0.2">
      <c r="AT1426">
        <v>42</v>
      </c>
      <c r="AU1426">
        <v>8.9700000000000006</v>
      </c>
    </row>
    <row r="1427" spans="46:47" x14ac:dyDescent="0.2">
      <c r="AT1427">
        <v>43</v>
      </c>
      <c r="AU1427">
        <v>6.98</v>
      </c>
    </row>
    <row r="1428" spans="46:47" x14ac:dyDescent="0.2">
      <c r="AT1428">
        <v>62</v>
      </c>
      <c r="AU1428">
        <v>8.5</v>
      </c>
    </row>
    <row r="1429" spans="46:47" x14ac:dyDescent="0.2">
      <c r="AT1429">
        <v>44</v>
      </c>
      <c r="AU1429">
        <v>8.1</v>
      </c>
    </row>
    <row r="1430" spans="46:47" x14ac:dyDescent="0.2">
      <c r="AT1430">
        <v>43</v>
      </c>
      <c r="AU1430">
        <v>8.9700000000000006</v>
      </c>
    </row>
    <row r="1431" spans="46:47" x14ac:dyDescent="0.2">
      <c r="AT1431">
        <v>51</v>
      </c>
      <c r="AU1431">
        <v>8.56</v>
      </c>
    </row>
    <row r="1432" spans="46:47" x14ac:dyDescent="0.2">
      <c r="AT1432">
        <v>48</v>
      </c>
      <c r="AU1432">
        <v>8.51</v>
      </c>
    </row>
    <row r="1433" spans="46:47" x14ac:dyDescent="0.2">
      <c r="AT1433">
        <v>77</v>
      </c>
      <c r="AU1433">
        <v>8.69</v>
      </c>
    </row>
    <row r="1434" spans="46:47" x14ac:dyDescent="0.2">
      <c r="AT1434">
        <v>30</v>
      </c>
      <c r="AU1434">
        <v>8.64</v>
      </c>
    </row>
    <row r="1435" spans="46:47" x14ac:dyDescent="0.2">
      <c r="AT1435">
        <v>41</v>
      </c>
      <c r="AU1435">
        <v>9.0299999999999994</v>
      </c>
    </row>
    <row r="1436" spans="46:47" x14ac:dyDescent="0.2">
      <c r="AT1436">
        <v>45</v>
      </c>
      <c r="AU1436">
        <v>9.33</v>
      </c>
    </row>
    <row r="1437" spans="46:47" x14ac:dyDescent="0.2">
      <c r="AT1437">
        <v>55</v>
      </c>
      <c r="AU1437">
        <v>8.31</v>
      </c>
    </row>
    <row r="1438" spans="46:47" x14ac:dyDescent="0.2">
      <c r="AT1438">
        <v>45</v>
      </c>
      <c r="AU1438">
        <v>8.8800000000000008</v>
      </c>
    </row>
    <row r="1439" spans="46:47" x14ac:dyDescent="0.2">
      <c r="AT1439">
        <v>39</v>
      </c>
      <c r="AU1439">
        <v>8.48</v>
      </c>
    </row>
    <row r="1440" spans="46:47" x14ac:dyDescent="0.2">
      <c r="AT1440">
        <v>62</v>
      </c>
      <c r="AU1440">
        <v>8.34</v>
      </c>
    </row>
    <row r="1441" spans="46:47" x14ac:dyDescent="0.2">
      <c r="AT1441">
        <v>43</v>
      </c>
      <c r="AU1441">
        <v>3.65</v>
      </c>
    </row>
    <row r="1442" spans="46:47" x14ac:dyDescent="0.2">
      <c r="AT1442">
        <v>53</v>
      </c>
      <c r="AU1442">
        <v>9.09</v>
      </c>
    </row>
    <row r="1443" spans="46:47" x14ac:dyDescent="0.2">
      <c r="AT1443">
        <v>33</v>
      </c>
      <c r="AU1443">
        <v>6.97</v>
      </c>
    </row>
    <row r="1444" spans="46:47" x14ac:dyDescent="0.2">
      <c r="AT1444">
        <v>41</v>
      </c>
      <c r="AU1444">
        <v>8.0500000000000007</v>
      </c>
    </row>
    <row r="1445" spans="46:47" x14ac:dyDescent="0.2">
      <c r="AT1445">
        <v>49</v>
      </c>
      <c r="AU1445">
        <v>8.2100000000000009</v>
      </c>
    </row>
    <row r="1446" spans="46:47" x14ac:dyDescent="0.2">
      <c r="AT1446">
        <v>48</v>
      </c>
      <c r="AU1446">
        <v>8.08</v>
      </c>
    </row>
    <row r="1447" spans="46:47" x14ac:dyDescent="0.2">
      <c r="AT1447">
        <v>41</v>
      </c>
      <c r="AU1447">
        <v>8.3699999999999992</v>
      </c>
    </row>
    <row r="1448" spans="46:47" x14ac:dyDescent="0.2">
      <c r="AT1448">
        <v>46</v>
      </c>
      <c r="AU1448">
        <v>8.92</v>
      </c>
    </row>
    <row r="1449" spans="46:47" x14ac:dyDescent="0.2">
      <c r="AT1449">
        <v>38</v>
      </c>
      <c r="AU1449">
        <v>8.61</v>
      </c>
    </row>
    <row r="1450" spans="46:47" x14ac:dyDescent="0.2">
      <c r="AT1450">
        <v>41</v>
      </c>
      <c r="AU1450">
        <v>8.4700000000000006</v>
      </c>
    </row>
    <row r="1451" spans="46:47" x14ac:dyDescent="0.2">
      <c r="AT1451">
        <v>45</v>
      </c>
      <c r="AU1451">
        <v>8</v>
      </c>
    </row>
    <row r="1452" spans="46:47" x14ac:dyDescent="0.2">
      <c r="AT1452">
        <v>43</v>
      </c>
      <c r="AU1452">
        <v>8.9499999999999993</v>
      </c>
    </row>
    <row r="1453" spans="46:47" x14ac:dyDescent="0.2">
      <c r="AT1453">
        <v>87</v>
      </c>
      <c r="AU1453">
        <v>7.96</v>
      </c>
    </row>
    <row r="1454" spans="46:47" x14ac:dyDescent="0.2">
      <c r="AT1454">
        <v>88</v>
      </c>
      <c r="AU1454">
        <v>7.8</v>
      </c>
    </row>
    <row r="1455" spans="46:47" x14ac:dyDescent="0.2">
      <c r="AT1455">
        <v>85</v>
      </c>
      <c r="AU1455">
        <v>8.5</v>
      </c>
    </row>
    <row r="1458" spans="46:47" x14ac:dyDescent="0.2">
      <c r="AT1458" t="s">
        <v>3764</v>
      </c>
      <c r="AU1458" t="s">
        <v>957</v>
      </c>
    </row>
    <row r="1459" spans="46:47" x14ac:dyDescent="0.2">
      <c r="AT1459">
        <v>12</v>
      </c>
      <c r="AU1459">
        <v>10.99</v>
      </c>
    </row>
    <row r="1460" spans="46:47" x14ac:dyDescent="0.2">
      <c r="AT1460">
        <v>10</v>
      </c>
      <c r="AU1460">
        <v>10.37</v>
      </c>
    </row>
    <row r="1461" spans="46:47" x14ac:dyDescent="0.2">
      <c r="AT1461">
        <v>13</v>
      </c>
      <c r="AU1461">
        <v>9.14</v>
      </c>
    </row>
    <row r="1462" spans="46:47" x14ac:dyDescent="0.2">
      <c r="AT1462">
        <v>10</v>
      </c>
      <c r="AU1462">
        <v>9.23</v>
      </c>
    </row>
    <row r="1463" spans="46:47" x14ac:dyDescent="0.2">
      <c r="AT1463">
        <v>10</v>
      </c>
      <c r="AU1463">
        <v>10</v>
      </c>
    </row>
    <row r="1464" spans="46:47" x14ac:dyDescent="0.2">
      <c r="AT1464">
        <v>14</v>
      </c>
      <c r="AU1464">
        <v>9.09</v>
      </c>
    </row>
    <row r="1465" spans="46:47" x14ac:dyDescent="0.2">
      <c r="AT1465">
        <v>9</v>
      </c>
      <c r="AU1465">
        <v>9.0299999999999994</v>
      </c>
    </row>
    <row r="1466" spans="46:47" x14ac:dyDescent="0.2">
      <c r="AT1466">
        <v>12</v>
      </c>
      <c r="AU1466">
        <v>8.65</v>
      </c>
    </row>
    <row r="1467" spans="46:47" x14ac:dyDescent="0.2">
      <c r="AT1467">
        <v>8</v>
      </c>
      <c r="AU1467">
        <v>9.3699999999999992</v>
      </c>
    </row>
    <row r="1468" spans="46:47" x14ac:dyDescent="0.2">
      <c r="AT1468">
        <v>11</v>
      </c>
      <c r="AU1468">
        <v>8.66</v>
      </c>
    </row>
    <row r="1469" spans="46:47" x14ac:dyDescent="0.2">
      <c r="AT1469">
        <v>13</v>
      </c>
      <c r="AU1469">
        <v>8.34</v>
      </c>
    </row>
    <row r="1470" spans="46:47" x14ac:dyDescent="0.2">
      <c r="AT1470">
        <v>5</v>
      </c>
      <c r="AU1470">
        <v>9.4600000000000009</v>
      </c>
    </row>
    <row r="1471" spans="46:47" x14ac:dyDescent="0.2">
      <c r="AT1471">
        <v>9</v>
      </c>
      <c r="AU1471">
        <v>8.8699999999999992</v>
      </c>
    </row>
    <row r="1472" spans="46:47" x14ac:dyDescent="0.2">
      <c r="AT1472">
        <v>7</v>
      </c>
      <c r="AU1472">
        <v>9.44</v>
      </c>
    </row>
    <row r="1473" spans="46:47" x14ac:dyDescent="0.2">
      <c r="AT1473">
        <v>15</v>
      </c>
      <c r="AU1473">
        <v>9.9600000000000009</v>
      </c>
    </row>
    <row r="1474" spans="46:47" x14ac:dyDescent="0.2">
      <c r="AT1474">
        <v>12</v>
      </c>
      <c r="AU1474">
        <v>10.07</v>
      </c>
    </row>
    <row r="1475" spans="46:47" x14ac:dyDescent="0.2">
      <c r="AT1475">
        <v>13</v>
      </c>
      <c r="AU1475">
        <v>8.56</v>
      </c>
    </row>
    <row r="1476" spans="46:47" x14ac:dyDescent="0.2">
      <c r="AT1476">
        <v>13</v>
      </c>
      <c r="AU1476">
        <v>9.34</v>
      </c>
    </row>
    <row r="1477" spans="46:47" x14ac:dyDescent="0.2">
      <c r="AT1477">
        <v>12</v>
      </c>
      <c r="AU1477">
        <v>8.25</v>
      </c>
    </row>
    <row r="1478" spans="46:47" x14ac:dyDescent="0.2">
      <c r="AT1478">
        <v>10</v>
      </c>
      <c r="AU1478">
        <v>8.76</v>
      </c>
    </row>
    <row r="1479" spans="46:47" x14ac:dyDescent="0.2">
      <c r="AT1479">
        <v>8</v>
      </c>
      <c r="AU1479">
        <v>9.5299999999999994</v>
      </c>
    </row>
    <row r="1480" spans="46:47" x14ac:dyDescent="0.2">
      <c r="AT1480">
        <v>9</v>
      </c>
      <c r="AU1480">
        <v>9.09</v>
      </c>
    </row>
    <row r="1481" spans="46:47" x14ac:dyDescent="0.2">
      <c r="AT1481">
        <v>10</v>
      </c>
      <c r="AU1481">
        <v>8.1999999999999993</v>
      </c>
    </row>
    <row r="1482" spans="46:47" x14ac:dyDescent="0.2">
      <c r="AT1482">
        <v>11</v>
      </c>
      <c r="AU1482">
        <v>9.3699999999999992</v>
      </c>
    </row>
    <row r="1483" spans="46:47" x14ac:dyDescent="0.2">
      <c r="AT1483">
        <v>10</v>
      </c>
      <c r="AU1483">
        <v>8.2200000000000006</v>
      </c>
    </row>
    <row r="1484" spans="46:47" x14ac:dyDescent="0.2">
      <c r="AT1484">
        <v>9</v>
      </c>
      <c r="AU1484">
        <v>8.17</v>
      </c>
    </row>
    <row r="1485" spans="46:47" x14ac:dyDescent="0.2">
      <c r="AT1485">
        <v>13</v>
      </c>
      <c r="AU1485">
        <v>8.39</v>
      </c>
    </row>
    <row r="1486" spans="46:47" x14ac:dyDescent="0.2">
      <c r="AT1486">
        <v>9</v>
      </c>
      <c r="AU1486">
        <v>7.98</v>
      </c>
    </row>
    <row r="1487" spans="46:47" x14ac:dyDescent="0.2">
      <c r="AT1487">
        <v>10</v>
      </c>
      <c r="AU1487">
        <v>9.14</v>
      </c>
    </row>
    <row r="1488" spans="46:47" x14ac:dyDescent="0.2">
      <c r="AT1488">
        <v>12</v>
      </c>
      <c r="AU1488">
        <v>8.7100000000000009</v>
      </c>
    </row>
    <row r="1489" spans="46:47" x14ac:dyDescent="0.2">
      <c r="AT1489">
        <v>7</v>
      </c>
      <c r="AU1489">
        <v>7.16</v>
      </c>
    </row>
    <row r="1490" spans="46:47" x14ac:dyDescent="0.2">
      <c r="AT1490">
        <v>11</v>
      </c>
      <c r="AU1490">
        <v>7.64</v>
      </c>
    </row>
    <row r="1491" spans="46:47" x14ac:dyDescent="0.2">
      <c r="AT1491">
        <v>12</v>
      </c>
      <c r="AU1491">
        <v>9.14</v>
      </c>
    </row>
    <row r="1492" spans="46:47" x14ac:dyDescent="0.2">
      <c r="AT1492">
        <v>12</v>
      </c>
      <c r="AU1492">
        <v>8.81</v>
      </c>
    </row>
    <row r="1493" spans="46:47" x14ac:dyDescent="0.2">
      <c r="AT1493">
        <v>19</v>
      </c>
      <c r="AU1493">
        <v>8.06</v>
      </c>
    </row>
    <row r="1494" spans="46:47" x14ac:dyDescent="0.2">
      <c r="AT1494">
        <v>12</v>
      </c>
      <c r="AU1494">
        <v>7.66</v>
      </c>
    </row>
    <row r="1495" spans="46:47" x14ac:dyDescent="0.2">
      <c r="AT1495">
        <v>6</v>
      </c>
      <c r="AU1495">
        <v>9.23</v>
      </c>
    </row>
    <row r="1496" spans="46:47" x14ac:dyDescent="0.2">
      <c r="AT1496">
        <v>8</v>
      </c>
      <c r="AU1496">
        <v>8.73</v>
      </c>
    </row>
    <row r="1497" spans="46:47" x14ac:dyDescent="0.2">
      <c r="AT1497">
        <v>17</v>
      </c>
      <c r="AU1497">
        <v>8.43</v>
      </c>
    </row>
    <row r="1498" spans="46:47" x14ac:dyDescent="0.2">
      <c r="AT1498">
        <v>11</v>
      </c>
      <c r="AU1498">
        <v>8.75</v>
      </c>
    </row>
    <row r="1499" spans="46:47" x14ac:dyDescent="0.2">
      <c r="AT1499">
        <v>11</v>
      </c>
      <c r="AU1499">
        <v>9.99</v>
      </c>
    </row>
    <row r="1500" spans="46:47" x14ac:dyDescent="0.2">
      <c r="AT1500">
        <v>14</v>
      </c>
      <c r="AU1500">
        <v>8.16</v>
      </c>
    </row>
    <row r="1501" spans="46:47" x14ac:dyDescent="0.2">
      <c r="AT1501">
        <v>9</v>
      </c>
      <c r="AU1501">
        <v>8.7899999999999991</v>
      </c>
    </row>
    <row r="1502" spans="46:47" x14ac:dyDescent="0.2">
      <c r="AT1502">
        <v>13</v>
      </c>
      <c r="AU1502">
        <v>8.6199999999999992</v>
      </c>
    </row>
    <row r="1503" spans="46:47" x14ac:dyDescent="0.2">
      <c r="AT1503">
        <v>11</v>
      </c>
      <c r="AU1503">
        <v>8.11</v>
      </c>
    </row>
    <row r="1504" spans="46:47" x14ac:dyDescent="0.2">
      <c r="AT1504">
        <v>13</v>
      </c>
      <c r="AU1504">
        <v>8.7899999999999991</v>
      </c>
    </row>
    <row r="1505" spans="46:47" x14ac:dyDescent="0.2">
      <c r="AT1505">
        <v>18</v>
      </c>
      <c r="AU1505">
        <v>7.7</v>
      </c>
    </row>
    <row r="1506" spans="46:47" x14ac:dyDescent="0.2">
      <c r="AT1506">
        <v>9</v>
      </c>
      <c r="AU1506">
        <v>9.0399999999999991</v>
      </c>
    </row>
    <row r="1507" spans="46:47" x14ac:dyDescent="0.2">
      <c r="AT1507">
        <v>10</v>
      </c>
      <c r="AU1507">
        <v>6.99</v>
      </c>
    </row>
    <row r="1508" spans="46:47" x14ac:dyDescent="0.2">
      <c r="AT1508">
        <v>4</v>
      </c>
      <c r="AU1508">
        <v>10.050000000000001</v>
      </c>
    </row>
    <row r="1509" spans="46:47" x14ac:dyDescent="0.2">
      <c r="AT1509">
        <v>8</v>
      </c>
      <c r="AU1509">
        <v>9.2100000000000009</v>
      </c>
    </row>
    <row r="1510" spans="46:47" x14ac:dyDescent="0.2">
      <c r="AT1510">
        <v>16</v>
      </c>
      <c r="AU1510">
        <v>7.95</v>
      </c>
    </row>
    <row r="1511" spans="46:47" x14ac:dyDescent="0.2">
      <c r="AT1511">
        <v>16</v>
      </c>
      <c r="AU1511">
        <v>8.75</v>
      </c>
    </row>
    <row r="1512" spans="46:47" x14ac:dyDescent="0.2">
      <c r="AT1512">
        <v>9</v>
      </c>
      <c r="AU1512">
        <v>8.58</v>
      </c>
    </row>
    <row r="1513" spans="46:47" x14ac:dyDescent="0.2">
      <c r="AT1513">
        <v>11</v>
      </c>
      <c r="AU1513">
        <v>8.93</v>
      </c>
    </row>
    <row r="1514" spans="46:47" x14ac:dyDescent="0.2">
      <c r="AT1514">
        <v>5</v>
      </c>
      <c r="AU1514">
        <v>9.5500000000000007</v>
      </c>
    </row>
    <row r="1515" spans="46:47" x14ac:dyDescent="0.2">
      <c r="AT1515">
        <v>6</v>
      </c>
      <c r="AU1515">
        <v>8.57</v>
      </c>
    </row>
    <row r="1516" spans="46:47" x14ac:dyDescent="0.2">
      <c r="AT1516">
        <v>15</v>
      </c>
      <c r="AU1516">
        <v>8.48</v>
      </c>
    </row>
    <row r="1517" spans="46:47" x14ac:dyDescent="0.2">
      <c r="AT1517">
        <v>13</v>
      </c>
      <c r="AU1517">
        <v>8.7899999999999991</v>
      </c>
    </row>
    <row r="1518" spans="46:47" x14ac:dyDescent="0.2">
      <c r="AT1518">
        <v>14</v>
      </c>
      <c r="AU1518">
        <v>8.76</v>
      </c>
    </row>
    <row r="1519" spans="46:47" x14ac:dyDescent="0.2">
      <c r="AT1519">
        <v>14</v>
      </c>
      <c r="AU1519">
        <v>8.56</v>
      </c>
    </row>
    <row r="1520" spans="46:47" x14ac:dyDescent="0.2">
      <c r="AT1520">
        <v>7</v>
      </c>
      <c r="AU1520">
        <v>8.85</v>
      </c>
    </row>
    <row r="1521" spans="46:47" x14ac:dyDescent="0.2">
      <c r="AT1521">
        <v>9</v>
      </c>
      <c r="AU1521">
        <v>9.1</v>
      </c>
    </row>
    <row r="1522" spans="46:47" x14ac:dyDescent="0.2">
      <c r="AT1522">
        <v>19</v>
      </c>
      <c r="AU1522">
        <v>8.6</v>
      </c>
    </row>
    <row r="1523" spans="46:47" x14ac:dyDescent="0.2">
      <c r="AT1523">
        <v>8</v>
      </c>
      <c r="AU1523">
        <v>7.74</v>
      </c>
    </row>
    <row r="1524" spans="46:47" x14ac:dyDescent="0.2">
      <c r="AT1524">
        <v>10</v>
      </c>
      <c r="AU1524">
        <v>8.56</v>
      </c>
    </row>
    <row r="1525" spans="46:47" x14ac:dyDescent="0.2">
      <c r="AT1525">
        <v>8</v>
      </c>
      <c r="AU1525">
        <v>9.24</v>
      </c>
    </row>
    <row r="1526" spans="46:47" x14ac:dyDescent="0.2">
      <c r="AT1526">
        <v>11</v>
      </c>
      <c r="AU1526">
        <v>8.93</v>
      </c>
    </row>
    <row r="1527" spans="46:47" x14ac:dyDescent="0.2">
      <c r="AT1527">
        <v>12</v>
      </c>
      <c r="AU1527">
        <v>7.4</v>
      </c>
    </row>
    <row r="1528" spans="46:47" x14ac:dyDescent="0.2">
      <c r="AT1528">
        <v>5</v>
      </c>
      <c r="AU1528">
        <v>9.36</v>
      </c>
    </row>
    <row r="1529" spans="46:47" x14ac:dyDescent="0.2">
      <c r="AT1529">
        <v>12</v>
      </c>
      <c r="AU1529">
        <v>8.4700000000000006</v>
      </c>
    </row>
    <row r="1530" spans="46:47" x14ac:dyDescent="0.2">
      <c r="AT1530">
        <v>5</v>
      </c>
      <c r="AU1530">
        <v>10.39</v>
      </c>
    </row>
    <row r="1531" spans="46:47" x14ac:dyDescent="0.2">
      <c r="AT1531">
        <v>1</v>
      </c>
      <c r="AU1531">
        <v>10.85</v>
      </c>
    </row>
    <row r="1532" spans="46:47" x14ac:dyDescent="0.2">
      <c r="AT1532">
        <v>9</v>
      </c>
      <c r="AU1532">
        <v>9.08</v>
      </c>
    </row>
    <row r="1533" spans="46:47" x14ac:dyDescent="0.2">
      <c r="AT1533">
        <v>13</v>
      </c>
      <c r="AU1533">
        <v>8.27</v>
      </c>
    </row>
    <row r="1534" spans="46:47" x14ac:dyDescent="0.2">
      <c r="AT1534">
        <v>8</v>
      </c>
      <c r="AU1534">
        <v>7.61</v>
      </c>
    </row>
    <row r="1535" spans="46:47" x14ac:dyDescent="0.2">
      <c r="AT1535">
        <v>9</v>
      </c>
      <c r="AU1535">
        <v>8.86</v>
      </c>
    </row>
    <row r="1536" spans="46:47" x14ac:dyDescent="0.2">
      <c r="AT1536">
        <v>15</v>
      </c>
      <c r="AU1536">
        <v>8.4499999999999993</v>
      </c>
    </row>
    <row r="1537" spans="46:47" x14ac:dyDescent="0.2">
      <c r="AT1537">
        <v>7</v>
      </c>
      <c r="AU1537">
        <v>8.6300000000000008</v>
      </c>
    </row>
    <row r="1538" spans="46:47" x14ac:dyDescent="0.2">
      <c r="AT1538">
        <v>10</v>
      </c>
      <c r="AU1538">
        <v>9.42</v>
      </c>
    </row>
    <row r="1539" spans="46:47" x14ac:dyDescent="0.2">
      <c r="AT1539">
        <v>11</v>
      </c>
      <c r="AU1539">
        <v>8.3800000000000008</v>
      </c>
    </row>
    <row r="1540" spans="46:47" x14ac:dyDescent="0.2">
      <c r="AT1540">
        <v>9</v>
      </c>
      <c r="AU1540">
        <v>8.84</v>
      </c>
    </row>
    <row r="1541" spans="46:47" x14ac:dyDescent="0.2">
      <c r="AT1541">
        <v>15</v>
      </c>
      <c r="AU1541">
        <v>8</v>
      </c>
    </row>
    <row r="1542" spans="46:47" x14ac:dyDescent="0.2">
      <c r="AT1542">
        <v>11</v>
      </c>
      <c r="AU1542">
        <v>8.9600000000000009</v>
      </c>
    </row>
    <row r="1543" spans="46:47" x14ac:dyDescent="0.2">
      <c r="AT1543">
        <v>14</v>
      </c>
      <c r="AU1543">
        <v>8.65</v>
      </c>
    </row>
    <row r="1544" spans="46:47" x14ac:dyDescent="0.2">
      <c r="AT1544">
        <v>12</v>
      </c>
      <c r="AU1544">
        <v>8.65</v>
      </c>
    </row>
    <row r="1545" spans="46:47" x14ac:dyDescent="0.2">
      <c r="AT1545">
        <v>16</v>
      </c>
      <c r="AU1545">
        <v>8.7100000000000009</v>
      </c>
    </row>
    <row r="1546" spans="46:47" x14ac:dyDescent="0.2">
      <c r="AT1546">
        <v>7</v>
      </c>
      <c r="AU1546">
        <v>8.83</v>
      </c>
    </row>
    <row r="1547" spans="46:47" x14ac:dyDescent="0.2">
      <c r="AT1547">
        <v>10</v>
      </c>
      <c r="AU1547">
        <v>7.95</v>
      </c>
    </row>
    <row r="1548" spans="46:47" x14ac:dyDescent="0.2">
      <c r="AT1548">
        <v>6</v>
      </c>
      <c r="AU1548">
        <v>8.77</v>
      </c>
    </row>
    <row r="1549" spans="46:47" x14ac:dyDescent="0.2">
      <c r="AT1549">
        <v>15</v>
      </c>
      <c r="AU1549">
        <v>8.89</v>
      </c>
    </row>
    <row r="1550" spans="46:47" x14ac:dyDescent="0.2">
      <c r="AT1550">
        <v>9</v>
      </c>
      <c r="AU1550">
        <v>8.7200000000000006</v>
      </c>
    </row>
    <row r="1551" spans="46:47" x14ac:dyDescent="0.2">
      <c r="AT1551">
        <v>15</v>
      </c>
      <c r="AU1551">
        <v>8.68</v>
      </c>
    </row>
    <row r="1552" spans="46:47" x14ac:dyDescent="0.2">
      <c r="AT1552">
        <v>13</v>
      </c>
      <c r="AU1552">
        <v>8.76</v>
      </c>
    </row>
    <row r="1553" spans="46:47" x14ac:dyDescent="0.2">
      <c r="AT1553">
        <v>7</v>
      </c>
      <c r="AU1553">
        <v>8.8800000000000008</v>
      </c>
    </row>
    <row r="1554" spans="46:47" x14ac:dyDescent="0.2">
      <c r="AT1554">
        <v>12</v>
      </c>
      <c r="AU1554">
        <v>8.84</v>
      </c>
    </row>
    <row r="1555" spans="46:47" x14ac:dyDescent="0.2">
      <c r="AT1555">
        <v>10</v>
      </c>
      <c r="AU1555">
        <v>8.6999999999999993</v>
      </c>
    </row>
    <row r="1556" spans="46:47" x14ac:dyDescent="0.2">
      <c r="AT1556">
        <v>10</v>
      </c>
      <c r="AU1556">
        <v>7.79</v>
      </c>
    </row>
    <row r="1557" spans="46:47" x14ac:dyDescent="0.2">
      <c r="AT1557">
        <v>10</v>
      </c>
      <c r="AU1557">
        <v>8.34</v>
      </c>
    </row>
    <row r="1558" spans="46:47" x14ac:dyDescent="0.2">
      <c r="AT1558">
        <v>5</v>
      </c>
      <c r="AU1558">
        <v>9.06</v>
      </c>
    </row>
    <row r="1559" spans="46:47" x14ac:dyDescent="0.2">
      <c r="AT1559">
        <v>10</v>
      </c>
      <c r="AU1559">
        <v>8.6300000000000008</v>
      </c>
    </row>
    <row r="1560" spans="46:47" x14ac:dyDescent="0.2">
      <c r="AT1560">
        <v>10</v>
      </c>
      <c r="AU1560">
        <v>8.9499999999999993</v>
      </c>
    </row>
    <row r="1561" spans="46:47" x14ac:dyDescent="0.2">
      <c r="AT1561">
        <v>9</v>
      </c>
      <c r="AU1561">
        <v>8.65</v>
      </c>
    </row>
    <row r="1562" spans="46:47" x14ac:dyDescent="0.2">
      <c r="AT1562">
        <v>10</v>
      </c>
      <c r="AU1562">
        <v>8.5</v>
      </c>
    </row>
    <row r="1563" spans="46:47" x14ac:dyDescent="0.2">
      <c r="AT1563">
        <v>5</v>
      </c>
      <c r="AU1563">
        <v>8.3699999999999992</v>
      </c>
    </row>
    <row r="1564" spans="46:47" x14ac:dyDescent="0.2">
      <c r="AT1564">
        <v>10</v>
      </c>
      <c r="AU1564">
        <v>8.7799999999999994</v>
      </c>
    </row>
    <row r="1565" spans="46:47" x14ac:dyDescent="0.2">
      <c r="AT1565">
        <v>8</v>
      </c>
      <c r="AU1565">
        <v>8.93</v>
      </c>
    </row>
    <row r="1566" spans="46:47" x14ac:dyDescent="0.2">
      <c r="AT1566">
        <v>5</v>
      </c>
      <c r="AU1566">
        <v>8.25</v>
      </c>
    </row>
    <row r="1567" spans="46:47" x14ac:dyDescent="0.2">
      <c r="AT1567">
        <v>8</v>
      </c>
      <c r="AU1567">
        <v>8.6999999999999993</v>
      </c>
    </row>
    <row r="1568" spans="46:47" x14ac:dyDescent="0.2">
      <c r="AT1568">
        <v>28</v>
      </c>
      <c r="AU1568">
        <v>8.6300000000000008</v>
      </c>
    </row>
    <row r="1569" spans="46:47" x14ac:dyDescent="0.2">
      <c r="AT1569">
        <v>11</v>
      </c>
      <c r="AU1569">
        <v>8.8800000000000008</v>
      </c>
    </row>
    <row r="1570" spans="46:47" x14ac:dyDescent="0.2">
      <c r="AT1570">
        <v>8</v>
      </c>
      <c r="AU1570">
        <v>8.1300000000000008</v>
      </c>
    </row>
    <row r="1571" spans="46:47" x14ac:dyDescent="0.2">
      <c r="AT1571">
        <v>9</v>
      </c>
      <c r="AU1571">
        <v>8.4499999999999993</v>
      </c>
    </row>
    <row r="1572" spans="46:47" x14ac:dyDescent="0.2">
      <c r="AT1572">
        <v>6</v>
      </c>
      <c r="AU1572">
        <v>8.83</v>
      </c>
    </row>
    <row r="1573" spans="46:47" x14ac:dyDescent="0.2">
      <c r="AT1573">
        <v>11</v>
      </c>
      <c r="AU1573">
        <v>3.37</v>
      </c>
    </row>
    <row r="1574" spans="46:47" x14ac:dyDescent="0.2">
      <c r="AT1574">
        <v>6</v>
      </c>
      <c r="AU1574">
        <v>8.9700000000000006</v>
      </c>
    </row>
    <row r="1575" spans="46:47" x14ac:dyDescent="0.2">
      <c r="AT1575">
        <v>7</v>
      </c>
      <c r="AU1575">
        <v>8.16</v>
      </c>
    </row>
    <row r="1576" spans="46:47" x14ac:dyDescent="0.2">
      <c r="AT1576">
        <v>9</v>
      </c>
      <c r="AU1576">
        <v>8.27</v>
      </c>
    </row>
    <row r="1577" spans="46:47" x14ac:dyDescent="0.2">
      <c r="AT1577">
        <v>12</v>
      </c>
      <c r="AU1577">
        <v>8.9600000000000009</v>
      </c>
    </row>
    <row r="1578" spans="46:47" x14ac:dyDescent="0.2">
      <c r="AT1578">
        <v>10</v>
      </c>
      <c r="AU1578">
        <v>8.52</v>
      </c>
    </row>
    <row r="1579" spans="46:47" x14ac:dyDescent="0.2">
      <c r="AT1579">
        <v>11</v>
      </c>
      <c r="AU1579">
        <v>8.06</v>
      </c>
    </row>
    <row r="1580" spans="46:47" x14ac:dyDescent="0.2">
      <c r="AT1580">
        <v>18</v>
      </c>
      <c r="AU1580">
        <v>7.2</v>
      </c>
    </row>
    <row r="1581" spans="46:47" x14ac:dyDescent="0.2">
      <c r="AT1581">
        <v>8</v>
      </c>
      <c r="AU1581">
        <v>8.4600000000000009</v>
      </c>
    </row>
    <row r="1582" spans="46:47" x14ac:dyDescent="0.2">
      <c r="AT1582">
        <v>8</v>
      </c>
      <c r="AU1582">
        <v>8.3800000000000008</v>
      </c>
    </row>
    <row r="1583" spans="46:47" x14ac:dyDescent="0.2">
      <c r="AT1583">
        <v>8</v>
      </c>
      <c r="AU1583">
        <v>9.43</v>
      </c>
    </row>
    <row r="1584" spans="46:47" x14ac:dyDescent="0.2">
      <c r="AT1584">
        <v>6</v>
      </c>
      <c r="AU1584">
        <v>8.61</v>
      </c>
    </row>
    <row r="1585" spans="46:47" x14ac:dyDescent="0.2">
      <c r="AT1585">
        <v>19</v>
      </c>
      <c r="AU1585">
        <v>8.33</v>
      </c>
    </row>
    <row r="1586" spans="46:47" x14ac:dyDescent="0.2">
      <c r="AT1586">
        <v>10</v>
      </c>
      <c r="AU1586">
        <v>8.5399999999999991</v>
      </c>
    </row>
    <row r="1587" spans="46:47" x14ac:dyDescent="0.2">
      <c r="AT1587">
        <v>8</v>
      </c>
      <c r="AU1587">
        <v>8.83</v>
      </c>
    </row>
    <row r="1588" spans="46:47" x14ac:dyDescent="0.2">
      <c r="AT1588">
        <v>8</v>
      </c>
      <c r="AU1588">
        <v>8.64</v>
      </c>
    </row>
    <row r="1589" spans="46:47" x14ac:dyDescent="0.2">
      <c r="AT1589">
        <v>15</v>
      </c>
      <c r="AU1589">
        <v>8.6300000000000008</v>
      </c>
    </row>
    <row r="1590" spans="46:47" x14ac:dyDescent="0.2">
      <c r="AT1590">
        <v>12</v>
      </c>
      <c r="AU1590">
        <v>8.5</v>
      </c>
    </row>
    <row r="1591" spans="46:47" x14ac:dyDescent="0.2">
      <c r="AT1591">
        <v>14</v>
      </c>
      <c r="AU1591">
        <v>8.41</v>
      </c>
    </row>
    <row r="1592" spans="46:47" x14ac:dyDescent="0.2">
      <c r="AT1592">
        <v>15</v>
      </c>
      <c r="AU1592">
        <v>8.49</v>
      </c>
    </row>
    <row r="1593" spans="46:47" x14ac:dyDescent="0.2">
      <c r="AT1593">
        <v>10</v>
      </c>
      <c r="AU1593">
        <v>8.61</v>
      </c>
    </row>
    <row r="1594" spans="46:47" x14ac:dyDescent="0.2">
      <c r="AT1594">
        <v>10</v>
      </c>
      <c r="AU1594">
        <v>7.94</v>
      </c>
    </row>
    <row r="1595" spans="46:47" x14ac:dyDescent="0.2">
      <c r="AT1595">
        <v>7</v>
      </c>
      <c r="AU1595">
        <v>8.5500000000000007</v>
      </c>
    </row>
    <row r="1596" spans="46:47" x14ac:dyDescent="0.2">
      <c r="AT1596">
        <v>17</v>
      </c>
      <c r="AU1596">
        <v>8.83</v>
      </c>
    </row>
    <row r="1597" spans="46:47" x14ac:dyDescent="0.2">
      <c r="AT1597">
        <v>10</v>
      </c>
      <c r="AU1597">
        <v>8.57</v>
      </c>
    </row>
    <row r="1598" spans="46:47" x14ac:dyDescent="0.2">
      <c r="AT1598">
        <v>7</v>
      </c>
      <c r="AU1598">
        <v>9.02</v>
      </c>
    </row>
    <row r="1599" spans="46:47" x14ac:dyDescent="0.2">
      <c r="AT1599">
        <v>13</v>
      </c>
      <c r="AU1599">
        <v>9</v>
      </c>
    </row>
    <row r="1600" spans="46:47" x14ac:dyDescent="0.2">
      <c r="AT1600">
        <v>5</v>
      </c>
      <c r="AU1600">
        <v>8.1300000000000008</v>
      </c>
    </row>
    <row r="1601" spans="46:47" x14ac:dyDescent="0.2">
      <c r="AT1601">
        <v>9</v>
      </c>
      <c r="AU1601">
        <v>8.5500000000000007</v>
      </c>
    </row>
    <row r="1602" spans="46:47" x14ac:dyDescent="0.2">
      <c r="AT1602">
        <v>11</v>
      </c>
      <c r="AU1602">
        <v>8.74</v>
      </c>
    </row>
    <row r="1603" spans="46:47" x14ac:dyDescent="0.2">
      <c r="AT1603">
        <v>8</v>
      </c>
      <c r="AU1603">
        <v>8.5299999999999994</v>
      </c>
    </row>
    <row r="1604" spans="46:47" x14ac:dyDescent="0.2">
      <c r="AT1604">
        <v>9</v>
      </c>
      <c r="AU1604">
        <v>8.5299999999999994</v>
      </c>
    </row>
    <row r="1605" spans="46:47" x14ac:dyDescent="0.2">
      <c r="AT1605">
        <v>3</v>
      </c>
      <c r="AU1605">
        <v>10.44</v>
      </c>
    </row>
    <row r="1606" spans="46:47" x14ac:dyDescent="0.2">
      <c r="AT1606">
        <v>11</v>
      </c>
      <c r="AU1606">
        <v>8.0299999999999994</v>
      </c>
    </row>
    <row r="1607" spans="46:47" x14ac:dyDescent="0.2">
      <c r="AT1607">
        <v>12</v>
      </c>
      <c r="AU1607">
        <v>7.04</v>
      </c>
    </row>
    <row r="1608" spans="46:47" x14ac:dyDescent="0.2">
      <c r="AT1608">
        <v>13</v>
      </c>
      <c r="AU1608">
        <v>8.86</v>
      </c>
    </row>
    <row r="1609" spans="46:47" x14ac:dyDescent="0.2">
      <c r="AT1609">
        <v>10</v>
      </c>
      <c r="AU1609">
        <v>8.7799999999999994</v>
      </c>
    </row>
    <row r="1610" spans="46:47" x14ac:dyDescent="0.2">
      <c r="AT1610">
        <v>6</v>
      </c>
      <c r="AU1610">
        <v>8.9700000000000006</v>
      </c>
    </row>
    <row r="1611" spans="46:47" x14ac:dyDescent="0.2">
      <c r="AT1611">
        <v>11</v>
      </c>
      <c r="AU1611">
        <v>8.8800000000000008</v>
      </c>
    </row>
    <row r="1612" spans="46:47" x14ac:dyDescent="0.2">
      <c r="AT1612">
        <v>6</v>
      </c>
      <c r="AU1612">
        <v>8.77</v>
      </c>
    </row>
    <row r="1613" spans="46:47" x14ac:dyDescent="0.2">
      <c r="AT1613">
        <v>12</v>
      </c>
      <c r="AU1613">
        <v>8.67</v>
      </c>
    </row>
    <row r="1614" spans="46:47" x14ac:dyDescent="0.2">
      <c r="AT1614">
        <v>10</v>
      </c>
      <c r="AU1614">
        <v>2.39</v>
      </c>
    </row>
    <row r="1615" spans="46:47" x14ac:dyDescent="0.2">
      <c r="AT1615">
        <v>17</v>
      </c>
      <c r="AU1615">
        <v>8.23</v>
      </c>
    </row>
    <row r="1616" spans="46:47" x14ac:dyDescent="0.2">
      <c r="AT1616">
        <v>7</v>
      </c>
      <c r="AU1616">
        <v>8.82</v>
      </c>
    </row>
    <row r="1617" spans="46:47" x14ac:dyDescent="0.2">
      <c r="AT1617">
        <v>3</v>
      </c>
      <c r="AU1617">
        <v>8.84</v>
      </c>
    </row>
    <row r="1618" spans="46:47" x14ac:dyDescent="0.2">
      <c r="AT1618">
        <v>8</v>
      </c>
      <c r="AU1618">
        <v>8.5399999999999991</v>
      </c>
    </row>
    <row r="1619" spans="46:47" x14ac:dyDescent="0.2">
      <c r="AT1619">
        <v>4</v>
      </c>
      <c r="AU1619">
        <v>8.81</v>
      </c>
    </row>
    <row r="1620" spans="46:47" x14ac:dyDescent="0.2">
      <c r="AT1620">
        <v>11</v>
      </c>
      <c r="AU1620">
        <v>8.67</v>
      </c>
    </row>
    <row r="1621" spans="46:47" x14ac:dyDescent="0.2">
      <c r="AT1621">
        <v>11</v>
      </c>
      <c r="AU1621">
        <v>8.4700000000000006</v>
      </c>
    </row>
    <row r="1622" spans="46:47" x14ac:dyDescent="0.2">
      <c r="AT1622">
        <v>8</v>
      </c>
      <c r="AU1622">
        <v>8.16</v>
      </c>
    </row>
    <row r="1623" spans="46:47" x14ac:dyDescent="0.2">
      <c r="AT1623">
        <v>9</v>
      </c>
      <c r="AU1623">
        <v>9.02</v>
      </c>
    </row>
    <row r="1624" spans="46:47" x14ac:dyDescent="0.2">
      <c r="AT1624">
        <v>11</v>
      </c>
      <c r="AU1624">
        <v>8.94</v>
      </c>
    </row>
    <row r="1625" spans="46:47" x14ac:dyDescent="0.2">
      <c r="AT1625">
        <v>11</v>
      </c>
      <c r="AU1625">
        <v>8.4700000000000006</v>
      </c>
    </row>
    <row r="1626" spans="46:47" x14ac:dyDescent="0.2">
      <c r="AT1626">
        <v>12</v>
      </c>
      <c r="AU1626">
        <v>8.5399999999999991</v>
      </c>
    </row>
    <row r="1627" spans="46:47" x14ac:dyDescent="0.2">
      <c r="AT1627">
        <v>15</v>
      </c>
      <c r="AU1627">
        <v>9</v>
      </c>
    </row>
    <row r="1628" spans="46:47" x14ac:dyDescent="0.2">
      <c r="AT1628">
        <v>21</v>
      </c>
      <c r="AU1628">
        <v>8.6199999999999992</v>
      </c>
    </row>
    <row r="1629" spans="46:47" x14ac:dyDescent="0.2">
      <c r="AT1629">
        <v>5</v>
      </c>
      <c r="AU1629">
        <v>8.81</v>
      </c>
    </row>
    <row r="1630" spans="46:47" x14ac:dyDescent="0.2">
      <c r="AT1630">
        <v>23</v>
      </c>
      <c r="AU1630">
        <v>8.84</v>
      </c>
    </row>
    <row r="1631" spans="46:47" x14ac:dyDescent="0.2">
      <c r="AT1631">
        <v>18</v>
      </c>
      <c r="AU1631">
        <v>9.0399999999999991</v>
      </c>
    </row>
    <row r="1632" spans="46:47" x14ac:dyDescent="0.2">
      <c r="AT1632">
        <v>7</v>
      </c>
      <c r="AU1632">
        <v>8.3699999999999992</v>
      </c>
    </row>
    <row r="1633" spans="46:47" x14ac:dyDescent="0.2">
      <c r="AT1633">
        <v>14</v>
      </c>
      <c r="AU1633">
        <v>8.56</v>
      </c>
    </row>
    <row r="1634" spans="46:47" x14ac:dyDescent="0.2">
      <c r="AT1634">
        <v>14</v>
      </c>
      <c r="AU1634">
        <v>8.39</v>
      </c>
    </row>
    <row r="1635" spans="46:47" x14ac:dyDescent="0.2">
      <c r="AT1635">
        <v>26</v>
      </c>
      <c r="AU1635">
        <v>8.9700000000000006</v>
      </c>
    </row>
    <row r="1636" spans="46:47" x14ac:dyDescent="0.2">
      <c r="AT1636">
        <v>12</v>
      </c>
      <c r="AU1636">
        <v>8.18</v>
      </c>
    </row>
    <row r="1637" spans="46:47" x14ac:dyDescent="0.2">
      <c r="AT1637">
        <v>10</v>
      </c>
      <c r="AU1637">
        <v>8.39</v>
      </c>
    </row>
    <row r="1638" spans="46:47" x14ac:dyDescent="0.2">
      <c r="AT1638">
        <v>12</v>
      </c>
      <c r="AU1638">
        <v>8.24</v>
      </c>
    </row>
    <row r="1639" spans="46:47" x14ac:dyDescent="0.2">
      <c r="AT1639">
        <v>12</v>
      </c>
      <c r="AU1639">
        <v>8.92</v>
      </c>
    </row>
    <row r="1640" spans="46:47" x14ac:dyDescent="0.2">
      <c r="AT1640">
        <v>10</v>
      </c>
      <c r="AU1640">
        <v>8.6</v>
      </c>
    </row>
    <row r="1641" spans="46:47" x14ac:dyDescent="0.2">
      <c r="AT1641">
        <v>6</v>
      </c>
      <c r="AU1641">
        <v>8.5</v>
      </c>
    </row>
    <row r="1642" spans="46:47" x14ac:dyDescent="0.2">
      <c r="AT1642">
        <v>14</v>
      </c>
      <c r="AU1642">
        <v>8.7200000000000006</v>
      </c>
    </row>
    <row r="1643" spans="46:47" x14ac:dyDescent="0.2">
      <c r="AT1643">
        <v>10</v>
      </c>
      <c r="AU1643">
        <v>8.8699999999999992</v>
      </c>
    </row>
    <row r="1644" spans="46:47" x14ac:dyDescent="0.2">
      <c r="AT1644">
        <v>10</v>
      </c>
      <c r="AU1644">
        <v>8.3000000000000007</v>
      </c>
    </row>
    <row r="1645" spans="46:47" x14ac:dyDescent="0.2">
      <c r="AT1645">
        <v>10</v>
      </c>
      <c r="AU1645">
        <v>8.34</v>
      </c>
    </row>
    <row r="1646" spans="46:47" x14ac:dyDescent="0.2">
      <c r="AT1646">
        <v>6</v>
      </c>
      <c r="AU1646">
        <v>7.84</v>
      </c>
    </row>
    <row r="1647" spans="46:47" x14ac:dyDescent="0.2">
      <c r="AT1647">
        <v>13</v>
      </c>
      <c r="AU1647">
        <v>8.5299999999999994</v>
      </c>
    </row>
    <row r="1648" spans="46:47" x14ac:dyDescent="0.2">
      <c r="AT1648">
        <v>18</v>
      </c>
      <c r="AU1648">
        <v>8.65</v>
      </c>
    </row>
    <row r="1649" spans="46:47" x14ac:dyDescent="0.2">
      <c r="AT1649">
        <v>10</v>
      </c>
      <c r="AU1649">
        <v>8.5299999999999994</v>
      </c>
    </row>
    <row r="1650" spans="46:47" x14ac:dyDescent="0.2">
      <c r="AT1650">
        <v>10</v>
      </c>
      <c r="AU1650">
        <v>8.61</v>
      </c>
    </row>
    <row r="1651" spans="46:47" x14ac:dyDescent="0.2">
      <c r="AT1651">
        <v>10</v>
      </c>
      <c r="AU1651">
        <v>7.89</v>
      </c>
    </row>
    <row r="1652" spans="46:47" x14ac:dyDescent="0.2">
      <c r="AT1652">
        <v>7</v>
      </c>
      <c r="AU1652">
        <v>9.23</v>
      </c>
    </row>
    <row r="1653" spans="46:47" x14ac:dyDescent="0.2">
      <c r="AT1653">
        <v>11</v>
      </c>
      <c r="AU1653">
        <v>8.77</v>
      </c>
    </row>
    <row r="1654" spans="46:47" x14ac:dyDescent="0.2">
      <c r="AT1654">
        <v>12</v>
      </c>
      <c r="AU1654">
        <v>8.51</v>
      </c>
    </row>
    <row r="1655" spans="46:47" x14ac:dyDescent="0.2">
      <c r="AT1655">
        <v>7</v>
      </c>
      <c r="AU1655">
        <v>8.67</v>
      </c>
    </row>
    <row r="1656" spans="46:47" x14ac:dyDescent="0.2">
      <c r="AT1656">
        <v>7</v>
      </c>
      <c r="AU1656">
        <v>7.94</v>
      </c>
    </row>
    <row r="1657" spans="46:47" x14ac:dyDescent="0.2">
      <c r="AT1657">
        <v>7</v>
      </c>
      <c r="AU1657">
        <v>8.59</v>
      </c>
    </row>
    <row r="1658" spans="46:47" x14ac:dyDescent="0.2">
      <c r="AT1658">
        <v>17</v>
      </c>
      <c r="AU1658">
        <v>4.62</v>
      </c>
    </row>
    <row r="1659" spans="46:47" x14ac:dyDescent="0.2">
      <c r="AT1659">
        <v>9</v>
      </c>
      <c r="AU1659">
        <v>8.48</v>
      </c>
    </row>
    <row r="1660" spans="46:47" x14ac:dyDescent="0.2">
      <c r="AT1660">
        <v>12</v>
      </c>
      <c r="AU1660">
        <v>8.68</v>
      </c>
    </row>
    <row r="1661" spans="46:47" x14ac:dyDescent="0.2">
      <c r="AT1661">
        <v>15</v>
      </c>
      <c r="AU1661">
        <v>8.5299999999999994</v>
      </c>
    </row>
    <row r="1662" spans="46:47" x14ac:dyDescent="0.2">
      <c r="AT1662">
        <v>12</v>
      </c>
      <c r="AU1662">
        <v>8.83</v>
      </c>
    </row>
    <row r="1663" spans="46:47" x14ac:dyDescent="0.2">
      <c r="AT1663">
        <v>8</v>
      </c>
      <c r="AU1663">
        <v>8.3000000000000007</v>
      </c>
    </row>
    <row r="1664" spans="46:47" x14ac:dyDescent="0.2">
      <c r="AT1664">
        <v>10</v>
      </c>
      <c r="AU1664">
        <v>8.2100000000000009</v>
      </c>
    </row>
    <row r="1665" spans="46:47" x14ac:dyDescent="0.2">
      <c r="AT1665">
        <v>10</v>
      </c>
      <c r="AU1665">
        <v>8.6999999999999993</v>
      </c>
    </row>
    <row r="1666" spans="46:47" x14ac:dyDescent="0.2">
      <c r="AT1666">
        <v>16</v>
      </c>
      <c r="AU1666">
        <v>8.2799999999999994</v>
      </c>
    </row>
    <row r="1667" spans="46:47" x14ac:dyDescent="0.2">
      <c r="AT1667">
        <v>24</v>
      </c>
      <c r="AU1667">
        <v>8.66</v>
      </c>
    </row>
    <row r="1668" spans="46:47" x14ac:dyDescent="0.2">
      <c r="AT1668">
        <v>11</v>
      </c>
      <c r="AU1668">
        <v>8.56</v>
      </c>
    </row>
    <row r="1669" spans="46:47" x14ac:dyDescent="0.2">
      <c r="AT1669">
        <v>15</v>
      </c>
      <c r="AU1669">
        <v>7.66</v>
      </c>
    </row>
    <row r="1670" spans="46:47" x14ac:dyDescent="0.2">
      <c r="AT1670">
        <v>4</v>
      </c>
      <c r="AU1670">
        <v>8.92</v>
      </c>
    </row>
    <row r="1671" spans="46:47" x14ac:dyDescent="0.2">
      <c r="AT1671">
        <v>5</v>
      </c>
      <c r="AU1671">
        <v>8.9600000000000009</v>
      </c>
    </row>
    <row r="1672" spans="46:47" x14ac:dyDescent="0.2">
      <c r="AT1672">
        <v>26</v>
      </c>
      <c r="AU1672">
        <v>8.52</v>
      </c>
    </row>
    <row r="1673" spans="46:47" x14ac:dyDescent="0.2">
      <c r="AT1673">
        <v>8</v>
      </c>
      <c r="AU1673">
        <v>8.83</v>
      </c>
    </row>
    <row r="1674" spans="46:47" x14ac:dyDescent="0.2">
      <c r="AT1674">
        <v>12</v>
      </c>
      <c r="AU1674">
        <v>8.24</v>
      </c>
    </row>
    <row r="1675" spans="46:47" x14ac:dyDescent="0.2">
      <c r="AT1675">
        <v>10</v>
      </c>
      <c r="AU1675">
        <v>7.66</v>
      </c>
    </row>
    <row r="1676" spans="46:47" x14ac:dyDescent="0.2">
      <c r="AT1676">
        <v>12</v>
      </c>
      <c r="AU1676">
        <v>8.34</v>
      </c>
    </row>
    <row r="1677" spans="46:47" x14ac:dyDescent="0.2">
      <c r="AT1677">
        <v>13</v>
      </c>
      <c r="AU1677">
        <v>8.69</v>
      </c>
    </row>
    <row r="1678" spans="46:47" x14ac:dyDescent="0.2">
      <c r="AT1678">
        <v>9</v>
      </c>
      <c r="AU1678">
        <v>8.6300000000000008</v>
      </c>
    </row>
    <row r="1679" spans="46:47" x14ac:dyDescent="0.2">
      <c r="AT1679">
        <v>14</v>
      </c>
      <c r="AU1679">
        <v>7.96</v>
      </c>
    </row>
    <row r="1680" spans="46:47" x14ac:dyDescent="0.2">
      <c r="AT1680">
        <v>10</v>
      </c>
      <c r="AU1680">
        <v>8.43</v>
      </c>
    </row>
    <row r="1681" spans="46:47" x14ac:dyDescent="0.2">
      <c r="AT1681">
        <v>7</v>
      </c>
      <c r="AU1681">
        <v>8.67</v>
      </c>
    </row>
    <row r="1682" spans="46:47" x14ac:dyDescent="0.2">
      <c r="AT1682">
        <v>10</v>
      </c>
      <c r="AU1682">
        <v>8.27</v>
      </c>
    </row>
    <row r="1683" spans="46:47" x14ac:dyDescent="0.2">
      <c r="AT1683">
        <v>10</v>
      </c>
      <c r="AU1683">
        <v>8.9499999999999993</v>
      </c>
    </row>
    <row r="1684" spans="46:47" x14ac:dyDescent="0.2">
      <c r="AT1684">
        <v>6</v>
      </c>
      <c r="AU1684">
        <v>8.7799999999999994</v>
      </c>
    </row>
    <row r="1685" spans="46:47" x14ac:dyDescent="0.2">
      <c r="AT1685">
        <v>9</v>
      </c>
      <c r="AU1685">
        <v>8.36</v>
      </c>
    </row>
    <row r="1686" spans="46:47" x14ac:dyDescent="0.2">
      <c r="AT1686">
        <v>10</v>
      </c>
      <c r="AU1686">
        <v>8.01</v>
      </c>
    </row>
    <row r="1687" spans="46:47" x14ac:dyDescent="0.2">
      <c r="AT1687">
        <v>9</v>
      </c>
      <c r="AU1687">
        <v>8.57</v>
      </c>
    </row>
    <row r="1688" spans="46:47" x14ac:dyDescent="0.2">
      <c r="AT1688">
        <v>30</v>
      </c>
      <c r="AU1688">
        <v>8.7100000000000009</v>
      </c>
    </row>
    <row r="1689" spans="46:47" x14ac:dyDescent="0.2">
      <c r="AT1689">
        <v>11</v>
      </c>
      <c r="AU1689">
        <v>8.1300000000000008</v>
      </c>
    </row>
    <row r="1690" spans="46:47" x14ac:dyDescent="0.2">
      <c r="AT1690">
        <v>11</v>
      </c>
      <c r="AU1690">
        <v>8.5299999999999994</v>
      </c>
    </row>
    <row r="1691" spans="46:47" x14ac:dyDescent="0.2">
      <c r="AT1691">
        <v>15</v>
      </c>
      <c r="AU1691">
        <v>8.7100000000000009</v>
      </c>
    </row>
    <row r="1692" spans="46:47" x14ac:dyDescent="0.2">
      <c r="AT1692">
        <v>8</v>
      </c>
      <c r="AU1692">
        <v>8.4</v>
      </c>
    </row>
    <row r="1693" spans="46:47" x14ac:dyDescent="0.2">
      <c r="AT1693">
        <v>10</v>
      </c>
      <c r="AU1693">
        <v>8.4499999999999993</v>
      </c>
    </row>
    <row r="1694" spans="46:47" x14ac:dyDescent="0.2">
      <c r="AT1694">
        <v>9</v>
      </c>
      <c r="AU1694">
        <v>8.85</v>
      </c>
    </row>
    <row r="1695" spans="46:47" x14ac:dyDescent="0.2">
      <c r="AT1695">
        <v>11</v>
      </c>
      <c r="AU1695">
        <v>8.43</v>
      </c>
    </row>
    <row r="1696" spans="46:47" x14ac:dyDescent="0.2">
      <c r="AT1696">
        <v>2</v>
      </c>
      <c r="AU1696">
        <v>8.7200000000000006</v>
      </c>
    </row>
    <row r="1697" spans="46:47" x14ac:dyDescent="0.2">
      <c r="AT1697">
        <v>13</v>
      </c>
      <c r="AU1697">
        <v>8.56</v>
      </c>
    </row>
    <row r="1698" spans="46:47" x14ac:dyDescent="0.2">
      <c r="AT1698">
        <v>10</v>
      </c>
      <c r="AU1698">
        <v>7.69</v>
      </c>
    </row>
    <row r="1699" spans="46:47" x14ac:dyDescent="0.2">
      <c r="AT1699">
        <v>15</v>
      </c>
      <c r="AU1699">
        <v>8.7899999999999991</v>
      </c>
    </row>
    <row r="1700" spans="46:47" x14ac:dyDescent="0.2">
      <c r="AT1700">
        <v>8</v>
      </c>
      <c r="AU1700">
        <v>9.1</v>
      </c>
    </row>
    <row r="1701" spans="46:47" x14ac:dyDescent="0.2">
      <c r="AT1701">
        <v>12</v>
      </c>
      <c r="AU1701">
        <v>8.5500000000000007</v>
      </c>
    </row>
    <row r="1702" spans="46:47" x14ac:dyDescent="0.2">
      <c r="AT1702">
        <v>9</v>
      </c>
      <c r="AU1702">
        <v>8.07</v>
      </c>
    </row>
    <row r="1703" spans="46:47" x14ac:dyDescent="0.2">
      <c r="AT1703">
        <v>12</v>
      </c>
      <c r="AU1703">
        <v>8.92</v>
      </c>
    </row>
    <row r="1704" spans="46:47" x14ac:dyDescent="0.2">
      <c r="AT1704">
        <v>7</v>
      </c>
      <c r="AU1704">
        <v>8.84</v>
      </c>
    </row>
    <row r="1705" spans="46:47" x14ac:dyDescent="0.2">
      <c r="AT1705">
        <v>6</v>
      </c>
      <c r="AU1705">
        <v>8.6999999999999993</v>
      </c>
    </row>
    <row r="1706" spans="46:47" x14ac:dyDescent="0.2">
      <c r="AT1706">
        <v>11</v>
      </c>
      <c r="AU1706">
        <v>8.51</v>
      </c>
    </row>
    <row r="1707" spans="46:47" x14ac:dyDescent="0.2">
      <c r="AT1707">
        <v>14</v>
      </c>
      <c r="AU1707">
        <v>8.35</v>
      </c>
    </row>
    <row r="1708" spans="46:47" x14ac:dyDescent="0.2">
      <c r="AT1708">
        <v>13</v>
      </c>
      <c r="AU1708">
        <v>7.87</v>
      </c>
    </row>
    <row r="1709" spans="46:47" x14ac:dyDescent="0.2">
      <c r="AT1709">
        <v>8</v>
      </c>
      <c r="AU1709">
        <v>0.76</v>
      </c>
    </row>
    <row r="1710" spans="46:47" x14ac:dyDescent="0.2">
      <c r="AT1710">
        <v>9</v>
      </c>
      <c r="AU1710">
        <v>8.48</v>
      </c>
    </row>
    <row r="1711" spans="46:47" x14ac:dyDescent="0.2">
      <c r="AT1711">
        <v>13</v>
      </c>
      <c r="AU1711">
        <v>8.6999999999999993</v>
      </c>
    </row>
    <row r="1712" spans="46:47" x14ac:dyDescent="0.2">
      <c r="AT1712">
        <v>9</v>
      </c>
      <c r="AU1712">
        <v>8.6</v>
      </c>
    </row>
    <row r="1713" spans="46:47" x14ac:dyDescent="0.2">
      <c r="AT1713">
        <v>13</v>
      </c>
      <c r="AU1713">
        <v>8.41</v>
      </c>
    </row>
    <row r="1714" spans="46:47" x14ac:dyDescent="0.2">
      <c r="AT1714">
        <v>10</v>
      </c>
      <c r="AU1714">
        <v>8.74</v>
      </c>
    </row>
    <row r="1715" spans="46:47" x14ac:dyDescent="0.2">
      <c r="AT1715">
        <v>2</v>
      </c>
      <c r="AU1715">
        <v>8.66</v>
      </c>
    </row>
    <row r="1716" spans="46:47" x14ac:dyDescent="0.2">
      <c r="AT1716">
        <v>9</v>
      </c>
      <c r="AU1716">
        <v>8.2200000000000006</v>
      </c>
    </row>
    <row r="1717" spans="46:47" x14ac:dyDescent="0.2">
      <c r="AT1717">
        <v>12</v>
      </c>
      <c r="AU1717">
        <v>8.32</v>
      </c>
    </row>
    <row r="1718" spans="46:47" x14ac:dyDescent="0.2">
      <c r="AT1718">
        <v>14</v>
      </c>
      <c r="AU1718">
        <v>8.92</v>
      </c>
    </row>
    <row r="1719" spans="46:47" x14ac:dyDescent="0.2">
      <c r="AT1719">
        <v>12</v>
      </c>
      <c r="AU1719">
        <v>8.8699999999999992</v>
      </c>
    </row>
    <row r="1720" spans="46:47" x14ac:dyDescent="0.2">
      <c r="AT1720">
        <v>10</v>
      </c>
      <c r="AU1720">
        <v>8.7200000000000006</v>
      </c>
    </row>
    <row r="1721" spans="46:47" x14ac:dyDescent="0.2">
      <c r="AT1721">
        <v>9</v>
      </c>
      <c r="AU1721">
        <v>7.94</v>
      </c>
    </row>
    <row r="1722" spans="46:47" x14ac:dyDescent="0.2">
      <c r="AT1722">
        <v>8</v>
      </c>
      <c r="AU1722">
        <v>8.91</v>
      </c>
    </row>
    <row r="1723" spans="46:47" x14ac:dyDescent="0.2">
      <c r="AT1723">
        <v>8</v>
      </c>
      <c r="AU1723">
        <v>7.84</v>
      </c>
    </row>
    <row r="1724" spans="46:47" x14ac:dyDescent="0.2">
      <c r="AT1724">
        <v>14</v>
      </c>
      <c r="AU1724">
        <v>8.73</v>
      </c>
    </row>
    <row r="1725" spans="46:47" x14ac:dyDescent="0.2">
      <c r="AT1725">
        <v>11</v>
      </c>
      <c r="AU1725">
        <v>8.68</v>
      </c>
    </row>
    <row r="1726" spans="46:47" x14ac:dyDescent="0.2">
      <c r="AT1726">
        <v>9</v>
      </c>
      <c r="AU1726">
        <v>8</v>
      </c>
    </row>
    <row r="1727" spans="46:47" x14ac:dyDescent="0.2">
      <c r="AT1727">
        <v>9</v>
      </c>
      <c r="AU1727">
        <v>5.9</v>
      </c>
    </row>
    <row r="1728" spans="46:47" x14ac:dyDescent="0.2">
      <c r="AT1728">
        <v>6</v>
      </c>
      <c r="AU1728">
        <v>9.77</v>
      </c>
    </row>
    <row r="1729" spans="46:47" x14ac:dyDescent="0.2">
      <c r="AT1729">
        <v>3</v>
      </c>
      <c r="AU1729">
        <v>8.06</v>
      </c>
    </row>
    <row r="1730" spans="46:47" x14ac:dyDescent="0.2">
      <c r="AT1730">
        <v>14</v>
      </c>
      <c r="AU1730">
        <v>8.83</v>
      </c>
    </row>
    <row r="1731" spans="46:47" x14ac:dyDescent="0.2">
      <c r="AT1731">
        <v>8</v>
      </c>
      <c r="AU1731">
        <v>8.5299999999999994</v>
      </c>
    </row>
    <row r="1732" spans="46:47" x14ac:dyDescent="0.2">
      <c r="AT1732">
        <v>11</v>
      </c>
      <c r="AU1732">
        <v>8.5</v>
      </c>
    </row>
    <row r="1733" spans="46:47" x14ac:dyDescent="0.2">
      <c r="AT1733">
        <v>11</v>
      </c>
      <c r="AU1733">
        <v>8.59</v>
      </c>
    </row>
    <row r="1734" spans="46:47" x14ac:dyDescent="0.2">
      <c r="AT1734">
        <v>6</v>
      </c>
      <c r="AU1734">
        <v>8.83</v>
      </c>
    </row>
    <row r="1735" spans="46:47" x14ac:dyDescent="0.2">
      <c r="AT1735">
        <v>10</v>
      </c>
      <c r="AU1735">
        <v>8.19</v>
      </c>
    </row>
    <row r="1736" spans="46:47" x14ac:dyDescent="0.2">
      <c r="AT1736">
        <v>11</v>
      </c>
      <c r="AU1736">
        <v>8.7100000000000009</v>
      </c>
    </row>
    <row r="1737" spans="46:47" x14ac:dyDescent="0.2">
      <c r="AT1737">
        <v>6</v>
      </c>
      <c r="AU1737">
        <v>9.0299999999999994</v>
      </c>
    </row>
    <row r="1738" spans="46:47" x14ac:dyDescent="0.2">
      <c r="AT1738">
        <v>10</v>
      </c>
      <c r="AU1738">
        <v>8.2200000000000006</v>
      </c>
    </row>
    <row r="1739" spans="46:47" x14ac:dyDescent="0.2">
      <c r="AT1739">
        <v>11</v>
      </c>
      <c r="AU1739">
        <v>8.7899999999999991</v>
      </c>
    </row>
    <row r="1740" spans="46:47" x14ac:dyDescent="0.2">
      <c r="AT1740">
        <v>10</v>
      </c>
      <c r="AU1740">
        <v>8.69</v>
      </c>
    </row>
    <row r="1741" spans="46:47" x14ac:dyDescent="0.2">
      <c r="AT1741">
        <v>10</v>
      </c>
      <c r="AU1741">
        <v>8.52</v>
      </c>
    </row>
    <row r="1742" spans="46:47" x14ac:dyDescent="0.2">
      <c r="AT1742">
        <v>17</v>
      </c>
      <c r="AU1742">
        <v>7.94</v>
      </c>
    </row>
    <row r="1743" spans="46:47" x14ac:dyDescent="0.2">
      <c r="AT1743">
        <v>3</v>
      </c>
      <c r="AU1743">
        <v>8.7100000000000009</v>
      </c>
    </row>
    <row r="1744" spans="46:47" x14ac:dyDescent="0.2">
      <c r="AT1744">
        <v>6</v>
      </c>
      <c r="AU1744">
        <v>8.31</v>
      </c>
    </row>
    <row r="1745" spans="46:47" x14ac:dyDescent="0.2">
      <c r="AT1745">
        <v>12</v>
      </c>
      <c r="AU1745">
        <v>9.01</v>
      </c>
    </row>
    <row r="1746" spans="46:47" x14ac:dyDescent="0.2">
      <c r="AT1746">
        <v>8</v>
      </c>
      <c r="AU1746">
        <v>8.69</v>
      </c>
    </row>
    <row r="1747" spans="46:47" x14ac:dyDescent="0.2">
      <c r="AT1747">
        <v>12</v>
      </c>
      <c r="AU1747">
        <v>8.18</v>
      </c>
    </row>
    <row r="1748" spans="46:47" x14ac:dyDescent="0.2">
      <c r="AT1748">
        <v>5</v>
      </c>
      <c r="AU1748">
        <v>8.9700000000000006</v>
      </c>
    </row>
    <row r="1749" spans="46:47" x14ac:dyDescent="0.2">
      <c r="AT1749">
        <v>12</v>
      </c>
      <c r="AU1749">
        <v>6.98</v>
      </c>
    </row>
    <row r="1750" spans="46:47" x14ac:dyDescent="0.2">
      <c r="AT1750">
        <v>8</v>
      </c>
      <c r="AU1750">
        <v>8.5</v>
      </c>
    </row>
    <row r="1751" spans="46:47" x14ac:dyDescent="0.2">
      <c r="AT1751">
        <v>11</v>
      </c>
      <c r="AU1751">
        <v>8.1</v>
      </c>
    </row>
    <row r="1752" spans="46:47" x14ac:dyDescent="0.2">
      <c r="AT1752">
        <v>6</v>
      </c>
      <c r="AU1752">
        <v>8.9700000000000006</v>
      </c>
    </row>
    <row r="1753" spans="46:47" x14ac:dyDescent="0.2">
      <c r="AT1753">
        <v>13</v>
      </c>
      <c r="AU1753">
        <v>8.56</v>
      </c>
    </row>
    <row r="1754" spans="46:47" x14ac:dyDescent="0.2">
      <c r="AT1754">
        <v>7</v>
      </c>
      <c r="AU1754">
        <v>8.51</v>
      </c>
    </row>
    <row r="1755" spans="46:47" x14ac:dyDescent="0.2">
      <c r="AT1755">
        <v>16</v>
      </c>
      <c r="AU1755">
        <v>8.69</v>
      </c>
    </row>
    <row r="1756" spans="46:47" x14ac:dyDescent="0.2">
      <c r="AT1756">
        <v>10</v>
      </c>
      <c r="AU1756">
        <v>8.64</v>
      </c>
    </row>
    <row r="1757" spans="46:47" x14ac:dyDescent="0.2">
      <c r="AT1757">
        <v>4</v>
      </c>
      <c r="AU1757">
        <v>9.0299999999999994</v>
      </c>
    </row>
    <row r="1758" spans="46:47" x14ac:dyDescent="0.2">
      <c r="AT1758">
        <v>8</v>
      </c>
      <c r="AU1758">
        <v>9.33</v>
      </c>
    </row>
    <row r="1759" spans="46:47" x14ac:dyDescent="0.2">
      <c r="AT1759">
        <v>14</v>
      </c>
      <c r="AU1759">
        <v>8.31</v>
      </c>
    </row>
    <row r="1760" spans="46:47" x14ac:dyDescent="0.2">
      <c r="AT1760">
        <v>11</v>
      </c>
      <c r="AU1760">
        <v>8.8800000000000008</v>
      </c>
    </row>
    <row r="1761" spans="46:47" x14ac:dyDescent="0.2">
      <c r="AT1761">
        <v>9</v>
      </c>
      <c r="AU1761">
        <v>8.48</v>
      </c>
    </row>
    <row r="1762" spans="46:47" x14ac:dyDescent="0.2">
      <c r="AT1762">
        <v>17</v>
      </c>
      <c r="AU1762">
        <v>8.34</v>
      </c>
    </row>
    <row r="1763" spans="46:47" x14ac:dyDescent="0.2">
      <c r="AT1763">
        <v>12</v>
      </c>
      <c r="AU1763">
        <v>3.65</v>
      </c>
    </row>
    <row r="1764" spans="46:47" x14ac:dyDescent="0.2">
      <c r="AT1764">
        <v>17</v>
      </c>
      <c r="AU1764">
        <v>9.09</v>
      </c>
    </row>
    <row r="1765" spans="46:47" x14ac:dyDescent="0.2">
      <c r="AT1765">
        <v>28</v>
      </c>
      <c r="AU1765">
        <v>6.97</v>
      </c>
    </row>
    <row r="1766" spans="46:47" x14ac:dyDescent="0.2">
      <c r="AT1766">
        <v>12</v>
      </c>
      <c r="AU1766">
        <v>8.0500000000000007</v>
      </c>
    </row>
    <row r="1767" spans="46:47" x14ac:dyDescent="0.2">
      <c r="AT1767">
        <v>11</v>
      </c>
      <c r="AU1767">
        <v>8.2100000000000009</v>
      </c>
    </row>
    <row r="1768" spans="46:47" x14ac:dyDescent="0.2">
      <c r="AT1768">
        <v>15</v>
      </c>
      <c r="AU1768">
        <v>8.08</v>
      </c>
    </row>
    <row r="1769" spans="46:47" x14ac:dyDescent="0.2">
      <c r="AT1769">
        <v>10</v>
      </c>
      <c r="AU1769">
        <v>8.3699999999999992</v>
      </c>
    </row>
    <row r="1770" spans="46:47" x14ac:dyDescent="0.2">
      <c r="AT1770">
        <v>10</v>
      </c>
      <c r="AU1770">
        <v>8.92</v>
      </c>
    </row>
    <row r="1771" spans="46:47" x14ac:dyDescent="0.2">
      <c r="AT1771">
        <v>9</v>
      </c>
      <c r="AU1771">
        <v>8.61</v>
      </c>
    </row>
    <row r="1772" spans="46:47" x14ac:dyDescent="0.2">
      <c r="AT1772">
        <v>10</v>
      </c>
      <c r="AU1772">
        <v>8.4700000000000006</v>
      </c>
    </row>
    <row r="1773" spans="46:47" x14ac:dyDescent="0.2">
      <c r="AT1773">
        <v>16</v>
      </c>
      <c r="AU1773">
        <v>8</v>
      </c>
    </row>
    <row r="1774" spans="46:47" x14ac:dyDescent="0.2">
      <c r="AT1774">
        <v>9</v>
      </c>
      <c r="AU1774">
        <v>8.9499999999999993</v>
      </c>
    </row>
    <row r="1775" spans="46:47" x14ac:dyDescent="0.2">
      <c r="AT1775">
        <v>4</v>
      </c>
      <c r="AU1775">
        <v>7.96</v>
      </c>
    </row>
    <row r="1776" spans="46:47" x14ac:dyDescent="0.2">
      <c r="AT1776">
        <v>4</v>
      </c>
      <c r="AU1776">
        <v>7.8</v>
      </c>
    </row>
    <row r="1777" spans="46:47" x14ac:dyDescent="0.2">
      <c r="AT1777">
        <v>4</v>
      </c>
      <c r="AU1777">
        <v>8.5</v>
      </c>
    </row>
    <row r="1780" spans="46:47" x14ac:dyDescent="0.2">
      <c r="AT1780" t="s">
        <v>3765</v>
      </c>
      <c r="AU1780" t="s">
        <v>957</v>
      </c>
    </row>
    <row r="1781" spans="46:47" x14ac:dyDescent="0.2">
      <c r="AT1781">
        <v>0.52</v>
      </c>
      <c r="AU1781">
        <v>10.99</v>
      </c>
    </row>
    <row r="1782" spans="46:47" x14ac:dyDescent="0.2">
      <c r="AT1782">
        <v>0.87</v>
      </c>
      <c r="AU1782">
        <v>10.37</v>
      </c>
    </row>
    <row r="1783" spans="46:47" x14ac:dyDescent="0.2">
      <c r="AT1783">
        <v>0.92</v>
      </c>
      <c r="AU1783">
        <v>9.14</v>
      </c>
    </row>
    <row r="1784" spans="46:47" x14ac:dyDescent="0.2">
      <c r="AT1784">
        <v>0.78</v>
      </c>
      <c r="AU1784">
        <v>9.23</v>
      </c>
    </row>
    <row r="1785" spans="46:47" x14ac:dyDescent="0.2">
      <c r="AT1785">
        <v>0.91</v>
      </c>
      <c r="AU1785">
        <v>10</v>
      </c>
    </row>
    <row r="1786" spans="46:47" x14ac:dyDescent="0.2">
      <c r="AT1786">
        <v>0.85</v>
      </c>
      <c r="AU1786">
        <v>9.09</v>
      </c>
    </row>
    <row r="1787" spans="46:47" x14ac:dyDescent="0.2">
      <c r="AT1787">
        <v>0.96</v>
      </c>
      <c r="AU1787">
        <v>9.0299999999999994</v>
      </c>
    </row>
    <row r="1788" spans="46:47" x14ac:dyDescent="0.2">
      <c r="AT1788">
        <v>0.78</v>
      </c>
      <c r="AU1788">
        <v>8.65</v>
      </c>
    </row>
    <row r="1789" spans="46:47" x14ac:dyDescent="0.2">
      <c r="AT1789">
        <v>0.83</v>
      </c>
      <c r="AU1789">
        <v>9.3699999999999992</v>
      </c>
    </row>
    <row r="1790" spans="46:47" x14ac:dyDescent="0.2">
      <c r="AT1790">
        <v>0.86</v>
      </c>
      <c r="AU1790">
        <v>8.66</v>
      </c>
    </row>
    <row r="1791" spans="46:47" x14ac:dyDescent="0.2">
      <c r="AT1791">
        <v>0.91</v>
      </c>
      <c r="AU1791">
        <v>8.34</v>
      </c>
    </row>
    <row r="1792" spans="46:47" x14ac:dyDescent="0.2">
      <c r="AT1792">
        <v>0.73</v>
      </c>
      <c r="AU1792">
        <v>9.4600000000000009</v>
      </c>
    </row>
    <row r="1793" spans="46:47" x14ac:dyDescent="0.2">
      <c r="AT1793">
        <v>0.7</v>
      </c>
      <c r="AU1793">
        <v>8.8699999999999992</v>
      </c>
    </row>
    <row r="1794" spans="46:47" x14ac:dyDescent="0.2">
      <c r="AT1794">
        <v>0.8</v>
      </c>
      <c r="AU1794">
        <v>9.44</v>
      </c>
    </row>
    <row r="1795" spans="46:47" x14ac:dyDescent="0.2">
      <c r="AT1795">
        <v>0.74</v>
      </c>
      <c r="AU1795">
        <v>9.9600000000000009</v>
      </c>
    </row>
    <row r="1796" spans="46:47" x14ac:dyDescent="0.2">
      <c r="AT1796">
        <v>0.61</v>
      </c>
      <c r="AU1796">
        <v>10.07</v>
      </c>
    </row>
    <row r="1797" spans="46:47" x14ac:dyDescent="0.2">
      <c r="AT1797">
        <v>0.72</v>
      </c>
      <c r="AU1797">
        <v>8.56</v>
      </c>
    </row>
    <row r="1798" spans="46:47" x14ac:dyDescent="0.2">
      <c r="AT1798">
        <v>0.85</v>
      </c>
      <c r="AU1798">
        <v>9.34</v>
      </c>
    </row>
    <row r="1799" spans="46:47" x14ac:dyDescent="0.2">
      <c r="AT1799">
        <v>1.06</v>
      </c>
      <c r="AU1799">
        <v>8.25</v>
      </c>
    </row>
    <row r="1800" spans="46:47" x14ac:dyDescent="0.2">
      <c r="AT1800">
        <v>0.79</v>
      </c>
      <c r="AU1800">
        <v>8.76</v>
      </c>
    </row>
    <row r="1801" spans="46:47" x14ac:dyDescent="0.2">
      <c r="AT1801">
        <v>0.78</v>
      </c>
      <c r="AU1801">
        <v>9.5299999999999994</v>
      </c>
    </row>
    <row r="1802" spans="46:47" x14ac:dyDescent="0.2">
      <c r="AT1802">
        <v>0.82</v>
      </c>
      <c r="AU1802">
        <v>9.09</v>
      </c>
    </row>
    <row r="1803" spans="46:47" x14ac:dyDescent="0.2">
      <c r="AT1803">
        <v>0.78</v>
      </c>
      <c r="AU1803">
        <v>8.1999999999999993</v>
      </c>
    </row>
    <row r="1804" spans="46:47" x14ac:dyDescent="0.2">
      <c r="AT1804">
        <v>1</v>
      </c>
      <c r="AU1804">
        <v>9.3699999999999992</v>
      </c>
    </row>
    <row r="1805" spans="46:47" x14ac:dyDescent="0.2">
      <c r="AT1805">
        <v>1.32</v>
      </c>
      <c r="AU1805">
        <v>8.2200000000000006</v>
      </c>
    </row>
    <row r="1806" spans="46:47" x14ac:dyDescent="0.2">
      <c r="AT1806">
        <v>0.94</v>
      </c>
      <c r="AU1806">
        <v>8.17</v>
      </c>
    </row>
    <row r="1807" spans="46:47" x14ac:dyDescent="0.2">
      <c r="AT1807">
        <v>0.84</v>
      </c>
      <c r="AU1807">
        <v>8.39</v>
      </c>
    </row>
    <row r="1808" spans="46:47" x14ac:dyDescent="0.2">
      <c r="AT1808">
        <v>0.56000000000000005</v>
      </c>
      <c r="AU1808">
        <v>7.98</v>
      </c>
    </row>
    <row r="1809" spans="46:47" x14ac:dyDescent="0.2">
      <c r="AT1809">
        <v>0.88</v>
      </c>
      <c r="AU1809">
        <v>9.14</v>
      </c>
    </row>
    <row r="1810" spans="46:47" x14ac:dyDescent="0.2">
      <c r="AT1810">
        <v>0.85</v>
      </c>
      <c r="AU1810">
        <v>8.7100000000000009</v>
      </c>
    </row>
    <row r="1811" spans="46:47" x14ac:dyDescent="0.2">
      <c r="AT1811">
        <v>0.52</v>
      </c>
      <c r="AU1811">
        <v>7.16</v>
      </c>
    </row>
    <row r="1812" spans="46:47" x14ac:dyDescent="0.2">
      <c r="AT1812">
        <v>0.62</v>
      </c>
      <c r="AU1812">
        <v>7.64</v>
      </c>
    </row>
    <row r="1813" spans="46:47" x14ac:dyDescent="0.2">
      <c r="AT1813">
        <v>0.78</v>
      </c>
      <c r="AU1813">
        <v>9.14</v>
      </c>
    </row>
    <row r="1814" spans="46:47" x14ac:dyDescent="0.2">
      <c r="AT1814">
        <v>0.99</v>
      </c>
      <c r="AU1814">
        <v>8.81</v>
      </c>
    </row>
    <row r="1815" spans="46:47" x14ac:dyDescent="0.2">
      <c r="AT1815">
        <v>0.89</v>
      </c>
      <c r="AU1815">
        <v>8.06</v>
      </c>
    </row>
    <row r="1816" spans="46:47" x14ac:dyDescent="0.2">
      <c r="AT1816">
        <v>0.59</v>
      </c>
      <c r="AU1816">
        <v>7.66</v>
      </c>
    </row>
    <row r="1817" spans="46:47" x14ac:dyDescent="0.2">
      <c r="AT1817">
        <v>0.69</v>
      </c>
      <c r="AU1817">
        <v>9.23</v>
      </c>
    </row>
    <row r="1818" spans="46:47" x14ac:dyDescent="0.2">
      <c r="AT1818">
        <v>0.79</v>
      </c>
      <c r="AU1818">
        <v>8.73</v>
      </c>
    </row>
    <row r="1819" spans="46:47" x14ac:dyDescent="0.2">
      <c r="AT1819">
        <v>0.59</v>
      </c>
      <c r="AU1819">
        <v>8.43</v>
      </c>
    </row>
    <row r="1820" spans="46:47" x14ac:dyDescent="0.2">
      <c r="AT1820">
        <v>0.72</v>
      </c>
      <c r="AU1820">
        <v>8.75</v>
      </c>
    </row>
    <row r="1821" spans="46:47" x14ac:dyDescent="0.2">
      <c r="AT1821">
        <v>0.74</v>
      </c>
      <c r="AU1821">
        <v>9.99</v>
      </c>
    </row>
    <row r="1822" spans="46:47" x14ac:dyDescent="0.2">
      <c r="AT1822">
        <v>0.89</v>
      </c>
      <c r="AU1822">
        <v>8.16</v>
      </c>
    </row>
    <row r="1823" spans="46:47" x14ac:dyDescent="0.2">
      <c r="AT1823">
        <v>0.97</v>
      </c>
      <c r="AU1823">
        <v>8.7899999999999991</v>
      </c>
    </row>
    <row r="1824" spans="46:47" x14ac:dyDescent="0.2">
      <c r="AT1824">
        <v>0.89</v>
      </c>
      <c r="AU1824">
        <v>8.6199999999999992</v>
      </c>
    </row>
    <row r="1825" spans="46:47" x14ac:dyDescent="0.2">
      <c r="AT1825">
        <v>1.19</v>
      </c>
      <c r="AU1825">
        <v>8.11</v>
      </c>
    </row>
    <row r="1826" spans="46:47" x14ac:dyDescent="0.2">
      <c r="AT1826">
        <v>0.99</v>
      </c>
      <c r="AU1826">
        <v>8.7899999999999991</v>
      </c>
    </row>
    <row r="1827" spans="46:47" x14ac:dyDescent="0.2">
      <c r="AT1827">
        <v>0.57999999999999996</v>
      </c>
      <c r="AU1827">
        <v>7.7</v>
      </c>
    </row>
    <row r="1828" spans="46:47" x14ac:dyDescent="0.2">
      <c r="AT1828">
        <v>0.86</v>
      </c>
      <c r="AU1828">
        <v>9.0399999999999991</v>
      </c>
    </row>
    <row r="1829" spans="46:47" x14ac:dyDescent="0.2">
      <c r="AT1829">
        <v>0.44</v>
      </c>
      <c r="AU1829">
        <v>6.99</v>
      </c>
    </row>
    <row r="1830" spans="46:47" x14ac:dyDescent="0.2">
      <c r="AT1830">
        <v>0.41</v>
      </c>
      <c r="AU1830">
        <v>10.050000000000001</v>
      </c>
    </row>
    <row r="1831" spans="46:47" x14ac:dyDescent="0.2">
      <c r="AT1831">
        <v>0.93</v>
      </c>
      <c r="AU1831">
        <v>9.2100000000000009</v>
      </c>
    </row>
    <row r="1832" spans="46:47" x14ac:dyDescent="0.2">
      <c r="AT1832">
        <v>1.07</v>
      </c>
      <c r="AU1832">
        <v>7.95</v>
      </c>
    </row>
    <row r="1833" spans="46:47" x14ac:dyDescent="0.2">
      <c r="AT1833">
        <v>1.04</v>
      </c>
      <c r="AU1833">
        <v>8.75</v>
      </c>
    </row>
    <row r="1834" spans="46:47" x14ac:dyDescent="0.2">
      <c r="AT1834">
        <v>0.62</v>
      </c>
      <c r="AU1834">
        <v>8.58</v>
      </c>
    </row>
    <row r="1835" spans="46:47" x14ac:dyDescent="0.2">
      <c r="AT1835">
        <v>0.85</v>
      </c>
      <c r="AU1835">
        <v>8.93</v>
      </c>
    </row>
    <row r="1836" spans="46:47" x14ac:dyDescent="0.2">
      <c r="AT1836">
        <v>0.8</v>
      </c>
      <c r="AU1836">
        <v>9.5500000000000007</v>
      </c>
    </row>
    <row r="1837" spans="46:47" x14ac:dyDescent="0.2">
      <c r="AT1837">
        <v>0.75</v>
      </c>
      <c r="AU1837">
        <v>8.57</v>
      </c>
    </row>
    <row r="1838" spans="46:47" x14ac:dyDescent="0.2">
      <c r="AT1838">
        <v>1.22</v>
      </c>
      <c r="AU1838">
        <v>8.48</v>
      </c>
    </row>
    <row r="1839" spans="46:47" x14ac:dyDescent="0.2">
      <c r="AT1839">
        <v>0.86</v>
      </c>
      <c r="AU1839">
        <v>8.7899999999999991</v>
      </c>
    </row>
    <row r="1840" spans="46:47" x14ac:dyDescent="0.2">
      <c r="AT1840">
        <v>0.75</v>
      </c>
      <c r="AU1840">
        <v>8.76</v>
      </c>
    </row>
    <row r="1841" spans="46:47" x14ac:dyDescent="0.2">
      <c r="AT1841">
        <v>0.96</v>
      </c>
      <c r="AU1841">
        <v>8.56</v>
      </c>
    </row>
    <row r="1842" spans="46:47" x14ac:dyDescent="0.2">
      <c r="AT1842">
        <v>0.95</v>
      </c>
      <c r="AU1842">
        <v>8.85</v>
      </c>
    </row>
    <row r="1843" spans="46:47" x14ac:dyDescent="0.2">
      <c r="AT1843">
        <v>0.92</v>
      </c>
      <c r="AU1843">
        <v>9.1</v>
      </c>
    </row>
    <row r="1844" spans="46:47" x14ac:dyDescent="0.2">
      <c r="AT1844">
        <v>0.96</v>
      </c>
      <c r="AU1844">
        <v>8.6</v>
      </c>
    </row>
    <row r="1845" spans="46:47" x14ac:dyDescent="0.2">
      <c r="AT1845">
        <v>0.86</v>
      </c>
      <c r="AU1845">
        <v>7.74</v>
      </c>
    </row>
    <row r="1846" spans="46:47" x14ac:dyDescent="0.2">
      <c r="AT1846">
        <v>0.71</v>
      </c>
      <c r="AU1846">
        <v>8.56</v>
      </c>
    </row>
    <row r="1847" spans="46:47" x14ac:dyDescent="0.2">
      <c r="AT1847">
        <v>0.86</v>
      </c>
      <c r="AU1847">
        <v>9.24</v>
      </c>
    </row>
    <row r="1848" spans="46:47" x14ac:dyDescent="0.2">
      <c r="AT1848">
        <v>0.89</v>
      </c>
      <c r="AU1848">
        <v>8.93</v>
      </c>
    </row>
    <row r="1849" spans="46:47" x14ac:dyDescent="0.2">
      <c r="AT1849">
        <v>0.76</v>
      </c>
      <c r="AU1849">
        <v>7.4</v>
      </c>
    </row>
    <row r="1850" spans="46:47" x14ac:dyDescent="0.2">
      <c r="AT1850">
        <v>0.87</v>
      </c>
      <c r="AU1850">
        <v>9.36</v>
      </c>
    </row>
    <row r="1851" spans="46:47" x14ac:dyDescent="0.2">
      <c r="AT1851">
        <v>0.69</v>
      </c>
      <c r="AU1851">
        <v>8.4700000000000006</v>
      </c>
    </row>
    <row r="1852" spans="46:47" x14ac:dyDescent="0.2">
      <c r="AT1852">
        <v>0.55000000000000004</v>
      </c>
      <c r="AU1852">
        <v>10.39</v>
      </c>
    </row>
    <row r="1853" spans="46:47" x14ac:dyDescent="0.2">
      <c r="AT1853">
        <v>0</v>
      </c>
      <c r="AU1853">
        <v>10.85</v>
      </c>
    </row>
    <row r="1854" spans="46:47" x14ac:dyDescent="0.2">
      <c r="AT1854">
        <v>0.88</v>
      </c>
      <c r="AU1854">
        <v>9.08</v>
      </c>
    </row>
    <row r="1855" spans="46:47" x14ac:dyDescent="0.2">
      <c r="AT1855">
        <v>1.1299999999999999</v>
      </c>
      <c r="AU1855">
        <v>8.27</v>
      </c>
    </row>
    <row r="1856" spans="46:47" x14ac:dyDescent="0.2">
      <c r="AT1856">
        <v>0.45</v>
      </c>
      <c r="AU1856">
        <v>7.61</v>
      </c>
    </row>
    <row r="1857" spans="46:47" x14ac:dyDescent="0.2">
      <c r="AT1857">
        <v>0.82</v>
      </c>
      <c r="AU1857">
        <v>8.86</v>
      </c>
    </row>
    <row r="1858" spans="46:47" x14ac:dyDescent="0.2">
      <c r="AT1858">
        <v>0.96</v>
      </c>
      <c r="AU1858">
        <v>8.4499999999999993</v>
      </c>
    </row>
    <row r="1859" spans="46:47" x14ac:dyDescent="0.2">
      <c r="AT1859">
        <v>0.8</v>
      </c>
      <c r="AU1859">
        <v>8.6300000000000008</v>
      </c>
    </row>
    <row r="1860" spans="46:47" x14ac:dyDescent="0.2">
      <c r="AT1860">
        <v>0.92</v>
      </c>
      <c r="AU1860">
        <v>9.42</v>
      </c>
    </row>
    <row r="1861" spans="46:47" x14ac:dyDescent="0.2">
      <c r="AT1861">
        <v>0.78</v>
      </c>
      <c r="AU1861">
        <v>8.3800000000000008</v>
      </c>
    </row>
    <row r="1862" spans="46:47" x14ac:dyDescent="0.2">
      <c r="AT1862">
        <v>1.06</v>
      </c>
      <c r="AU1862">
        <v>8.84</v>
      </c>
    </row>
    <row r="1863" spans="46:47" x14ac:dyDescent="0.2">
      <c r="AT1863">
        <v>0.71</v>
      </c>
      <c r="AU1863">
        <v>8</v>
      </c>
    </row>
    <row r="1864" spans="46:47" x14ac:dyDescent="0.2">
      <c r="AT1864">
        <v>0.6</v>
      </c>
      <c r="AU1864">
        <v>8.9600000000000009</v>
      </c>
    </row>
    <row r="1865" spans="46:47" x14ac:dyDescent="0.2">
      <c r="AT1865">
        <v>0.75</v>
      </c>
      <c r="AU1865">
        <v>8.65</v>
      </c>
    </row>
    <row r="1866" spans="46:47" x14ac:dyDescent="0.2">
      <c r="AT1866">
        <v>1.33</v>
      </c>
      <c r="AU1866">
        <v>8.65</v>
      </c>
    </row>
    <row r="1867" spans="46:47" x14ac:dyDescent="0.2">
      <c r="AT1867">
        <v>0.86</v>
      </c>
      <c r="AU1867">
        <v>8.7100000000000009</v>
      </c>
    </row>
    <row r="1868" spans="46:47" x14ac:dyDescent="0.2">
      <c r="AT1868">
        <v>0.69</v>
      </c>
      <c r="AU1868">
        <v>8.83</v>
      </c>
    </row>
    <row r="1869" spans="46:47" x14ac:dyDescent="0.2">
      <c r="AT1869">
        <v>0.72</v>
      </c>
      <c r="AU1869">
        <v>7.95</v>
      </c>
    </row>
    <row r="1870" spans="46:47" x14ac:dyDescent="0.2">
      <c r="AT1870">
        <v>0.62</v>
      </c>
      <c r="AU1870">
        <v>8.77</v>
      </c>
    </row>
    <row r="1871" spans="46:47" x14ac:dyDescent="0.2">
      <c r="AT1871">
        <v>0.74</v>
      </c>
      <c r="AU1871">
        <v>8.89</v>
      </c>
    </row>
    <row r="1872" spans="46:47" x14ac:dyDescent="0.2">
      <c r="AT1872">
        <v>0.57999999999999996</v>
      </c>
      <c r="AU1872">
        <v>8.7200000000000006</v>
      </c>
    </row>
    <row r="1873" spans="46:47" x14ac:dyDescent="0.2">
      <c r="AT1873">
        <v>0.7</v>
      </c>
      <c r="AU1873">
        <v>8.68</v>
      </c>
    </row>
    <row r="1874" spans="46:47" x14ac:dyDescent="0.2">
      <c r="AT1874">
        <v>0.75</v>
      </c>
      <c r="AU1874">
        <v>8.76</v>
      </c>
    </row>
    <row r="1875" spans="46:47" x14ac:dyDescent="0.2">
      <c r="AT1875">
        <v>0.73</v>
      </c>
      <c r="AU1875">
        <v>8.8800000000000008</v>
      </c>
    </row>
    <row r="1876" spans="46:47" x14ac:dyDescent="0.2">
      <c r="AT1876">
        <v>0.81</v>
      </c>
      <c r="AU1876">
        <v>8.84</v>
      </c>
    </row>
    <row r="1877" spans="46:47" x14ac:dyDescent="0.2">
      <c r="AT1877">
        <v>0.75</v>
      </c>
      <c r="AU1877">
        <v>8.6999999999999993</v>
      </c>
    </row>
    <row r="1878" spans="46:47" x14ac:dyDescent="0.2">
      <c r="AT1878">
        <v>0.88</v>
      </c>
      <c r="AU1878">
        <v>7.79</v>
      </c>
    </row>
    <row r="1879" spans="46:47" x14ac:dyDescent="0.2">
      <c r="AT1879">
        <v>1.28</v>
      </c>
      <c r="AU1879">
        <v>8.34</v>
      </c>
    </row>
    <row r="1880" spans="46:47" x14ac:dyDescent="0.2">
      <c r="AT1880">
        <v>0.8</v>
      </c>
      <c r="AU1880">
        <v>9.06</v>
      </c>
    </row>
    <row r="1881" spans="46:47" x14ac:dyDescent="0.2">
      <c r="AT1881">
        <v>0.87</v>
      </c>
      <c r="AU1881">
        <v>8.6300000000000008</v>
      </c>
    </row>
    <row r="1882" spans="46:47" x14ac:dyDescent="0.2">
      <c r="AT1882">
        <v>0.76</v>
      </c>
      <c r="AU1882">
        <v>8.9499999999999993</v>
      </c>
    </row>
    <row r="1883" spans="46:47" x14ac:dyDescent="0.2">
      <c r="AT1883">
        <v>0.56000000000000005</v>
      </c>
      <c r="AU1883">
        <v>8.65</v>
      </c>
    </row>
    <row r="1884" spans="46:47" x14ac:dyDescent="0.2">
      <c r="AT1884">
        <v>0.83</v>
      </c>
      <c r="AU1884">
        <v>8.5</v>
      </c>
    </row>
    <row r="1885" spans="46:47" x14ac:dyDescent="0.2">
      <c r="AT1885">
        <v>0.37</v>
      </c>
      <c r="AU1885">
        <v>8.3699999999999992</v>
      </c>
    </row>
    <row r="1886" spans="46:47" x14ac:dyDescent="0.2">
      <c r="AT1886">
        <v>0.55000000000000004</v>
      </c>
      <c r="AU1886">
        <v>8.7799999999999994</v>
      </c>
    </row>
    <row r="1887" spans="46:47" x14ac:dyDescent="0.2">
      <c r="AT1887">
        <v>0.9</v>
      </c>
      <c r="AU1887">
        <v>8.93</v>
      </c>
    </row>
    <row r="1888" spans="46:47" x14ac:dyDescent="0.2">
      <c r="AT1888">
        <v>0.86</v>
      </c>
      <c r="AU1888">
        <v>8.25</v>
      </c>
    </row>
    <row r="1889" spans="46:47" x14ac:dyDescent="0.2">
      <c r="AT1889">
        <v>0.83</v>
      </c>
      <c r="AU1889">
        <v>8.6999999999999993</v>
      </c>
    </row>
    <row r="1890" spans="46:47" x14ac:dyDescent="0.2">
      <c r="AT1890">
        <v>0.78</v>
      </c>
      <c r="AU1890">
        <v>8.6300000000000008</v>
      </c>
    </row>
    <row r="1891" spans="46:47" x14ac:dyDescent="0.2">
      <c r="AT1891">
        <v>0.67</v>
      </c>
      <c r="AU1891">
        <v>8.8800000000000008</v>
      </c>
    </row>
    <row r="1892" spans="46:47" x14ac:dyDescent="0.2">
      <c r="AT1892">
        <v>0.97</v>
      </c>
      <c r="AU1892">
        <v>8.1300000000000008</v>
      </c>
    </row>
    <row r="1893" spans="46:47" x14ac:dyDescent="0.2">
      <c r="AT1893">
        <v>0.41</v>
      </c>
      <c r="AU1893">
        <v>8.4499999999999993</v>
      </c>
    </row>
    <row r="1894" spans="46:47" x14ac:dyDescent="0.2">
      <c r="AT1894">
        <v>0.67</v>
      </c>
      <c r="AU1894">
        <v>8.83</v>
      </c>
    </row>
    <row r="1895" spans="46:47" x14ac:dyDescent="0.2">
      <c r="AT1895">
        <v>1.37</v>
      </c>
      <c r="AU1895">
        <v>3.37</v>
      </c>
    </row>
    <row r="1896" spans="46:47" x14ac:dyDescent="0.2">
      <c r="AT1896">
        <v>0.79</v>
      </c>
      <c r="AU1896">
        <v>8.9700000000000006</v>
      </c>
    </row>
    <row r="1897" spans="46:47" x14ac:dyDescent="0.2">
      <c r="AT1897">
        <v>0.52</v>
      </c>
      <c r="AU1897">
        <v>8.16</v>
      </c>
    </row>
    <row r="1898" spans="46:47" x14ac:dyDescent="0.2">
      <c r="AT1898">
        <v>0.45</v>
      </c>
      <c r="AU1898">
        <v>8.27</v>
      </c>
    </row>
    <row r="1899" spans="46:47" x14ac:dyDescent="0.2">
      <c r="AT1899">
        <v>0.61</v>
      </c>
      <c r="AU1899">
        <v>8.9600000000000009</v>
      </c>
    </row>
    <row r="1900" spans="46:47" x14ac:dyDescent="0.2">
      <c r="AT1900">
        <v>0.66</v>
      </c>
      <c r="AU1900">
        <v>8.52</v>
      </c>
    </row>
    <row r="1901" spans="46:47" x14ac:dyDescent="0.2">
      <c r="AT1901">
        <v>0.86</v>
      </c>
      <c r="AU1901">
        <v>8.06</v>
      </c>
    </row>
    <row r="1902" spans="46:47" x14ac:dyDescent="0.2">
      <c r="AT1902">
        <v>0.73</v>
      </c>
      <c r="AU1902">
        <v>7.2</v>
      </c>
    </row>
    <row r="1903" spans="46:47" x14ac:dyDescent="0.2">
      <c r="AT1903">
        <v>0.35</v>
      </c>
      <c r="AU1903">
        <v>8.4600000000000009</v>
      </c>
    </row>
    <row r="1904" spans="46:47" x14ac:dyDescent="0.2">
      <c r="AT1904">
        <v>0.49</v>
      </c>
      <c r="AU1904">
        <v>8.3800000000000008</v>
      </c>
    </row>
    <row r="1905" spans="46:47" x14ac:dyDescent="0.2">
      <c r="AT1905">
        <v>0.75</v>
      </c>
      <c r="AU1905">
        <v>9.43</v>
      </c>
    </row>
    <row r="1906" spans="46:47" x14ac:dyDescent="0.2">
      <c r="AT1906">
        <v>0.62</v>
      </c>
      <c r="AU1906">
        <v>8.61</v>
      </c>
    </row>
    <row r="1907" spans="46:47" x14ac:dyDescent="0.2">
      <c r="AT1907">
        <v>0.78</v>
      </c>
      <c r="AU1907">
        <v>8.33</v>
      </c>
    </row>
    <row r="1908" spans="46:47" x14ac:dyDescent="0.2">
      <c r="AT1908">
        <v>1.02</v>
      </c>
      <c r="AU1908">
        <v>8.5399999999999991</v>
      </c>
    </row>
    <row r="1909" spans="46:47" x14ac:dyDescent="0.2">
      <c r="AT1909">
        <v>0.79</v>
      </c>
      <c r="AU1909">
        <v>8.83</v>
      </c>
    </row>
    <row r="1910" spans="46:47" x14ac:dyDescent="0.2">
      <c r="AT1910">
        <v>0.66</v>
      </c>
      <c r="AU1910">
        <v>8.64</v>
      </c>
    </row>
    <row r="1911" spans="46:47" x14ac:dyDescent="0.2">
      <c r="AT1911">
        <v>0.67</v>
      </c>
      <c r="AU1911">
        <v>8.6300000000000008</v>
      </c>
    </row>
    <row r="1912" spans="46:47" x14ac:dyDescent="0.2">
      <c r="AT1912">
        <v>0.67</v>
      </c>
      <c r="AU1912">
        <v>8.5</v>
      </c>
    </row>
    <row r="1913" spans="46:47" x14ac:dyDescent="0.2">
      <c r="AT1913">
        <v>0.81</v>
      </c>
      <c r="AU1913">
        <v>8.41</v>
      </c>
    </row>
    <row r="1914" spans="46:47" x14ac:dyDescent="0.2">
      <c r="AT1914">
        <v>0.6</v>
      </c>
      <c r="AU1914">
        <v>8.49</v>
      </c>
    </row>
    <row r="1915" spans="46:47" x14ac:dyDescent="0.2">
      <c r="AT1915">
        <v>0.75</v>
      </c>
      <c r="AU1915">
        <v>8.61</v>
      </c>
    </row>
    <row r="1916" spans="46:47" x14ac:dyDescent="0.2">
      <c r="AT1916">
        <v>0.45</v>
      </c>
      <c r="AU1916">
        <v>7.94</v>
      </c>
    </row>
    <row r="1917" spans="46:47" x14ac:dyDescent="0.2">
      <c r="AT1917">
        <v>0.74</v>
      </c>
      <c r="AU1917">
        <v>8.5500000000000007</v>
      </c>
    </row>
    <row r="1918" spans="46:47" x14ac:dyDescent="0.2">
      <c r="AT1918">
        <v>0.73</v>
      </c>
      <c r="AU1918">
        <v>8.83</v>
      </c>
    </row>
    <row r="1919" spans="46:47" x14ac:dyDescent="0.2">
      <c r="AT1919">
        <v>0.82</v>
      </c>
      <c r="AU1919">
        <v>8.57</v>
      </c>
    </row>
    <row r="1920" spans="46:47" x14ac:dyDescent="0.2">
      <c r="AT1920">
        <v>0.73</v>
      </c>
      <c r="AU1920">
        <v>9.02</v>
      </c>
    </row>
    <row r="1921" spans="46:47" x14ac:dyDescent="0.2">
      <c r="AT1921">
        <v>1.02</v>
      </c>
      <c r="AU1921">
        <v>9</v>
      </c>
    </row>
    <row r="1922" spans="46:47" x14ac:dyDescent="0.2">
      <c r="AT1922">
        <v>0.24</v>
      </c>
      <c r="AU1922">
        <v>8.1300000000000008</v>
      </c>
    </row>
    <row r="1923" spans="46:47" x14ac:dyDescent="0.2">
      <c r="AT1923">
        <v>1.24</v>
      </c>
      <c r="AU1923">
        <v>8.5500000000000007</v>
      </c>
    </row>
    <row r="1924" spans="46:47" x14ac:dyDescent="0.2">
      <c r="AT1924">
        <v>0.86</v>
      </c>
      <c r="AU1924">
        <v>8.74</v>
      </c>
    </row>
    <row r="1925" spans="46:47" x14ac:dyDescent="0.2">
      <c r="AT1925">
        <v>0.79</v>
      </c>
      <c r="AU1925">
        <v>8.5299999999999994</v>
      </c>
    </row>
    <row r="1926" spans="46:47" x14ac:dyDescent="0.2">
      <c r="AT1926">
        <v>0.66</v>
      </c>
      <c r="AU1926">
        <v>8.5299999999999994</v>
      </c>
    </row>
    <row r="1927" spans="46:47" x14ac:dyDescent="0.2">
      <c r="AT1927">
        <v>0.71</v>
      </c>
      <c r="AU1927">
        <v>10.44</v>
      </c>
    </row>
    <row r="1928" spans="46:47" x14ac:dyDescent="0.2">
      <c r="AT1928">
        <v>0.46</v>
      </c>
      <c r="AU1928">
        <v>8.0299999999999994</v>
      </c>
    </row>
    <row r="1929" spans="46:47" x14ac:dyDescent="0.2">
      <c r="AT1929">
        <v>0.72</v>
      </c>
      <c r="AU1929">
        <v>7.04</v>
      </c>
    </row>
    <row r="1930" spans="46:47" x14ac:dyDescent="0.2">
      <c r="AT1930">
        <v>0.75</v>
      </c>
      <c r="AU1930">
        <v>8.86</v>
      </c>
    </row>
    <row r="1931" spans="46:47" x14ac:dyDescent="0.2">
      <c r="AT1931">
        <v>0.68</v>
      </c>
      <c r="AU1931">
        <v>8.7799999999999994</v>
      </c>
    </row>
    <row r="1932" spans="46:47" x14ac:dyDescent="0.2">
      <c r="AT1932">
        <v>0.89</v>
      </c>
      <c r="AU1932">
        <v>8.9700000000000006</v>
      </c>
    </row>
    <row r="1933" spans="46:47" x14ac:dyDescent="0.2">
      <c r="AT1933">
        <v>0.93</v>
      </c>
      <c r="AU1933">
        <v>8.8800000000000008</v>
      </c>
    </row>
    <row r="1934" spans="46:47" x14ac:dyDescent="0.2">
      <c r="AT1934">
        <v>0.89</v>
      </c>
      <c r="AU1934">
        <v>8.77</v>
      </c>
    </row>
    <row r="1935" spans="46:47" x14ac:dyDescent="0.2">
      <c r="AT1935">
        <v>0.89</v>
      </c>
      <c r="AU1935">
        <v>8.67</v>
      </c>
    </row>
    <row r="1936" spans="46:47" x14ac:dyDescent="0.2">
      <c r="AT1936">
        <v>1.3</v>
      </c>
      <c r="AU1936">
        <v>2.39</v>
      </c>
    </row>
    <row r="1937" spans="46:47" x14ac:dyDescent="0.2">
      <c r="AT1937">
        <v>1.1299999999999999</v>
      </c>
      <c r="AU1937">
        <v>8.23</v>
      </c>
    </row>
    <row r="1938" spans="46:47" x14ac:dyDescent="0.2">
      <c r="AT1938">
        <v>0.52</v>
      </c>
      <c r="AU1938">
        <v>8.82</v>
      </c>
    </row>
    <row r="1939" spans="46:47" x14ac:dyDescent="0.2">
      <c r="AT1939">
        <v>0.24</v>
      </c>
      <c r="AU1939">
        <v>8.84</v>
      </c>
    </row>
    <row r="1940" spans="46:47" x14ac:dyDescent="0.2">
      <c r="AT1940">
        <v>1.06</v>
      </c>
      <c r="AU1940">
        <v>8.5399999999999991</v>
      </c>
    </row>
    <row r="1941" spans="46:47" x14ac:dyDescent="0.2">
      <c r="AT1941">
        <v>0.74</v>
      </c>
      <c r="AU1941">
        <v>8.81</v>
      </c>
    </row>
    <row r="1942" spans="46:47" x14ac:dyDescent="0.2">
      <c r="AT1942">
        <v>0.75</v>
      </c>
      <c r="AU1942">
        <v>8.67</v>
      </c>
    </row>
    <row r="1943" spans="46:47" x14ac:dyDescent="0.2">
      <c r="AT1943">
        <v>0.78</v>
      </c>
      <c r="AU1943">
        <v>8.4700000000000006</v>
      </c>
    </row>
    <row r="1944" spans="46:47" x14ac:dyDescent="0.2">
      <c r="AT1944">
        <v>0.93</v>
      </c>
      <c r="AU1944">
        <v>8.16</v>
      </c>
    </row>
    <row r="1945" spans="46:47" x14ac:dyDescent="0.2">
      <c r="AT1945">
        <v>0.72</v>
      </c>
      <c r="AU1945">
        <v>9.02</v>
      </c>
    </row>
    <row r="1946" spans="46:47" x14ac:dyDescent="0.2">
      <c r="AT1946">
        <v>0.74</v>
      </c>
      <c r="AU1946">
        <v>8.94</v>
      </c>
    </row>
    <row r="1947" spans="46:47" x14ac:dyDescent="0.2">
      <c r="AT1947">
        <v>0.8</v>
      </c>
      <c r="AU1947">
        <v>8.4700000000000006</v>
      </c>
    </row>
    <row r="1948" spans="46:47" x14ac:dyDescent="0.2">
      <c r="AT1948">
        <v>0.71</v>
      </c>
      <c r="AU1948">
        <v>8.5399999999999991</v>
      </c>
    </row>
    <row r="1949" spans="46:47" x14ac:dyDescent="0.2">
      <c r="AT1949">
        <v>0.87</v>
      </c>
      <c r="AU1949">
        <v>9</v>
      </c>
    </row>
    <row r="1950" spans="46:47" x14ac:dyDescent="0.2">
      <c r="AT1950">
        <v>0.56999999999999995</v>
      </c>
      <c r="AU1950">
        <v>8.6199999999999992</v>
      </c>
    </row>
    <row r="1951" spans="46:47" x14ac:dyDescent="0.2">
      <c r="AT1951">
        <v>0.93</v>
      </c>
      <c r="AU1951">
        <v>8.81</v>
      </c>
    </row>
    <row r="1952" spans="46:47" x14ac:dyDescent="0.2">
      <c r="AT1952">
        <v>0.79</v>
      </c>
      <c r="AU1952">
        <v>8.84</v>
      </c>
    </row>
    <row r="1953" spans="46:47" x14ac:dyDescent="0.2">
      <c r="AT1953">
        <v>0.87</v>
      </c>
      <c r="AU1953">
        <v>9.0399999999999991</v>
      </c>
    </row>
    <row r="1954" spans="46:47" x14ac:dyDescent="0.2">
      <c r="AT1954">
        <v>0.37</v>
      </c>
      <c r="AU1954">
        <v>8.3699999999999992</v>
      </c>
    </row>
    <row r="1955" spans="46:47" x14ac:dyDescent="0.2">
      <c r="AT1955">
        <v>0.77</v>
      </c>
      <c r="AU1955">
        <v>8.56</v>
      </c>
    </row>
    <row r="1956" spans="46:47" x14ac:dyDescent="0.2">
      <c r="AT1956">
        <v>0.83</v>
      </c>
      <c r="AU1956">
        <v>8.39</v>
      </c>
    </row>
    <row r="1957" spans="46:47" x14ac:dyDescent="0.2">
      <c r="AT1957">
        <v>0.73</v>
      </c>
      <c r="AU1957">
        <v>8.9700000000000006</v>
      </c>
    </row>
    <row r="1958" spans="46:47" x14ac:dyDescent="0.2">
      <c r="AT1958">
        <v>0.6</v>
      </c>
      <c r="AU1958">
        <v>8.18</v>
      </c>
    </row>
    <row r="1959" spans="46:47" x14ac:dyDescent="0.2">
      <c r="AT1959">
        <v>0.55000000000000004</v>
      </c>
      <c r="AU1959">
        <v>8.39</v>
      </c>
    </row>
    <row r="1960" spans="46:47" x14ac:dyDescent="0.2">
      <c r="AT1960">
        <v>0.95</v>
      </c>
      <c r="AU1960">
        <v>8.24</v>
      </c>
    </row>
    <row r="1961" spans="46:47" x14ac:dyDescent="0.2">
      <c r="AT1961">
        <v>0.75</v>
      </c>
      <c r="AU1961">
        <v>8.92</v>
      </c>
    </row>
    <row r="1962" spans="46:47" x14ac:dyDescent="0.2">
      <c r="AT1962">
        <v>0.97</v>
      </c>
      <c r="AU1962">
        <v>8.6</v>
      </c>
    </row>
    <row r="1963" spans="46:47" x14ac:dyDescent="0.2">
      <c r="AT1963">
        <v>0.79</v>
      </c>
      <c r="AU1963">
        <v>8.5</v>
      </c>
    </row>
    <row r="1964" spans="46:47" x14ac:dyDescent="0.2">
      <c r="AT1964">
        <v>0.66</v>
      </c>
      <c r="AU1964">
        <v>8.7200000000000006</v>
      </c>
    </row>
    <row r="1965" spans="46:47" x14ac:dyDescent="0.2">
      <c r="AT1965">
        <v>0.87</v>
      </c>
      <c r="AU1965">
        <v>8.8699999999999992</v>
      </c>
    </row>
    <row r="1966" spans="46:47" x14ac:dyDescent="0.2">
      <c r="AT1966">
        <v>0.73</v>
      </c>
      <c r="AU1966">
        <v>8.3000000000000007</v>
      </c>
    </row>
    <row r="1967" spans="46:47" x14ac:dyDescent="0.2">
      <c r="AT1967">
        <v>0.69</v>
      </c>
      <c r="AU1967">
        <v>8.34</v>
      </c>
    </row>
    <row r="1968" spans="46:47" x14ac:dyDescent="0.2">
      <c r="AT1968">
        <v>0.79</v>
      </c>
      <c r="AU1968">
        <v>7.84</v>
      </c>
    </row>
    <row r="1969" spans="46:47" x14ac:dyDescent="0.2">
      <c r="AT1969">
        <v>0.68</v>
      </c>
      <c r="AU1969">
        <v>8.5299999999999994</v>
      </c>
    </row>
    <row r="1970" spans="46:47" x14ac:dyDescent="0.2">
      <c r="AT1970">
        <v>0.61</v>
      </c>
      <c r="AU1970">
        <v>8.65</v>
      </c>
    </row>
    <row r="1971" spans="46:47" x14ac:dyDescent="0.2">
      <c r="AT1971">
        <v>0.57999999999999996</v>
      </c>
      <c r="AU1971">
        <v>8.5299999999999994</v>
      </c>
    </row>
    <row r="1972" spans="46:47" x14ac:dyDescent="0.2">
      <c r="AT1972">
        <v>0.56000000000000005</v>
      </c>
      <c r="AU1972">
        <v>8.61</v>
      </c>
    </row>
    <row r="1973" spans="46:47" x14ac:dyDescent="0.2">
      <c r="AT1973">
        <v>0.56999999999999995</v>
      </c>
      <c r="AU1973">
        <v>7.89</v>
      </c>
    </row>
    <row r="1974" spans="46:47" x14ac:dyDescent="0.2">
      <c r="AT1974">
        <v>0.74</v>
      </c>
      <c r="AU1974">
        <v>9.23</v>
      </c>
    </row>
    <row r="1975" spans="46:47" x14ac:dyDescent="0.2">
      <c r="AT1975">
        <v>0.96</v>
      </c>
      <c r="AU1975">
        <v>8.77</v>
      </c>
    </row>
    <row r="1976" spans="46:47" x14ac:dyDescent="0.2">
      <c r="AT1976">
        <v>0.76</v>
      </c>
      <c r="AU1976">
        <v>8.51</v>
      </c>
    </row>
    <row r="1977" spans="46:47" x14ac:dyDescent="0.2">
      <c r="AT1977">
        <v>0.7</v>
      </c>
      <c r="AU1977">
        <v>8.67</v>
      </c>
    </row>
    <row r="1978" spans="46:47" x14ac:dyDescent="0.2">
      <c r="AT1978">
        <v>0.5</v>
      </c>
      <c r="AU1978">
        <v>7.94</v>
      </c>
    </row>
    <row r="1979" spans="46:47" x14ac:dyDescent="0.2">
      <c r="AT1979">
        <v>0.56000000000000005</v>
      </c>
      <c r="AU1979">
        <v>8.59</v>
      </c>
    </row>
    <row r="1980" spans="46:47" x14ac:dyDescent="0.2">
      <c r="AT1980">
        <v>1.72</v>
      </c>
      <c r="AU1980">
        <v>4.62</v>
      </c>
    </row>
    <row r="1981" spans="46:47" x14ac:dyDescent="0.2">
      <c r="AT1981">
        <v>0.73</v>
      </c>
      <c r="AU1981">
        <v>8.48</v>
      </c>
    </row>
    <row r="1982" spans="46:47" x14ac:dyDescent="0.2">
      <c r="AT1982">
        <v>0.88</v>
      </c>
      <c r="AU1982">
        <v>8.68</v>
      </c>
    </row>
    <row r="1983" spans="46:47" x14ac:dyDescent="0.2">
      <c r="AT1983">
        <v>0.69</v>
      </c>
      <c r="AU1983">
        <v>8.5299999999999994</v>
      </c>
    </row>
    <row r="1984" spans="46:47" x14ac:dyDescent="0.2">
      <c r="AT1984">
        <v>0.86</v>
      </c>
      <c r="AU1984">
        <v>8.83</v>
      </c>
    </row>
    <row r="1985" spans="46:47" x14ac:dyDescent="0.2">
      <c r="AT1985">
        <v>0.25</v>
      </c>
      <c r="AU1985">
        <v>8.3000000000000007</v>
      </c>
    </row>
    <row r="1986" spans="46:47" x14ac:dyDescent="0.2">
      <c r="AT1986">
        <v>0.95</v>
      </c>
      <c r="AU1986">
        <v>8.2100000000000009</v>
      </c>
    </row>
    <row r="1987" spans="46:47" x14ac:dyDescent="0.2">
      <c r="AT1987">
        <v>0.68</v>
      </c>
      <c r="AU1987">
        <v>8.6999999999999993</v>
      </c>
    </row>
    <row r="1988" spans="46:47" x14ac:dyDescent="0.2">
      <c r="AT1988">
        <v>0.67</v>
      </c>
      <c r="AU1988">
        <v>8.2799999999999994</v>
      </c>
    </row>
    <row r="1989" spans="46:47" x14ac:dyDescent="0.2">
      <c r="AT1989">
        <v>0.89</v>
      </c>
      <c r="AU1989">
        <v>8.66</v>
      </c>
    </row>
    <row r="1990" spans="46:47" x14ac:dyDescent="0.2">
      <c r="AT1990">
        <v>0.5</v>
      </c>
      <c r="AU1990">
        <v>8.56</v>
      </c>
    </row>
    <row r="1991" spans="46:47" x14ac:dyDescent="0.2">
      <c r="AT1991">
        <v>0.73</v>
      </c>
      <c r="AU1991">
        <v>7.66</v>
      </c>
    </row>
    <row r="1992" spans="46:47" x14ac:dyDescent="0.2">
      <c r="AT1992">
        <v>0.61</v>
      </c>
      <c r="AU1992">
        <v>8.92</v>
      </c>
    </row>
    <row r="1993" spans="46:47" x14ac:dyDescent="0.2">
      <c r="AT1993">
        <v>0.32</v>
      </c>
      <c r="AU1993">
        <v>8.9600000000000009</v>
      </c>
    </row>
    <row r="1994" spans="46:47" x14ac:dyDescent="0.2">
      <c r="AT1994">
        <v>0.62</v>
      </c>
      <c r="AU1994">
        <v>8.52</v>
      </c>
    </row>
    <row r="1995" spans="46:47" x14ac:dyDescent="0.2">
      <c r="AT1995">
        <v>0.79</v>
      </c>
      <c r="AU1995">
        <v>8.83</v>
      </c>
    </row>
    <row r="1996" spans="46:47" x14ac:dyDescent="0.2">
      <c r="AT1996">
        <v>0.87</v>
      </c>
      <c r="AU1996">
        <v>8.24</v>
      </c>
    </row>
    <row r="1997" spans="46:47" x14ac:dyDescent="0.2">
      <c r="AT1997">
        <v>0.75</v>
      </c>
      <c r="AU1997">
        <v>7.66</v>
      </c>
    </row>
    <row r="1998" spans="46:47" x14ac:dyDescent="0.2">
      <c r="AT1998">
        <v>0.91</v>
      </c>
      <c r="AU1998">
        <v>8.34</v>
      </c>
    </row>
    <row r="1999" spans="46:47" x14ac:dyDescent="0.2">
      <c r="AT1999">
        <v>0.61</v>
      </c>
      <c r="AU1999">
        <v>8.69</v>
      </c>
    </row>
    <row r="2000" spans="46:47" x14ac:dyDescent="0.2">
      <c r="AT2000">
        <v>0.57999999999999996</v>
      </c>
      <c r="AU2000">
        <v>8.6300000000000008</v>
      </c>
    </row>
    <row r="2001" spans="46:47" x14ac:dyDescent="0.2">
      <c r="AT2001">
        <v>0.57999999999999996</v>
      </c>
      <c r="AU2001">
        <v>7.96</v>
      </c>
    </row>
    <row r="2002" spans="46:47" x14ac:dyDescent="0.2">
      <c r="AT2002">
        <v>0.53</v>
      </c>
      <c r="AU2002">
        <v>8.43</v>
      </c>
    </row>
    <row r="2003" spans="46:47" x14ac:dyDescent="0.2">
      <c r="AT2003">
        <v>0.7</v>
      </c>
      <c r="AU2003">
        <v>8.67</v>
      </c>
    </row>
    <row r="2004" spans="46:47" x14ac:dyDescent="0.2">
      <c r="AT2004">
        <v>0.5</v>
      </c>
      <c r="AU2004">
        <v>8.27</v>
      </c>
    </row>
    <row r="2005" spans="46:47" x14ac:dyDescent="0.2">
      <c r="AT2005">
        <v>0.55000000000000004</v>
      </c>
      <c r="AU2005">
        <v>8.9499999999999993</v>
      </c>
    </row>
    <row r="2006" spans="46:47" x14ac:dyDescent="0.2">
      <c r="AT2006">
        <v>0.85</v>
      </c>
      <c r="AU2006">
        <v>8.7799999999999994</v>
      </c>
    </row>
    <row r="2007" spans="46:47" x14ac:dyDescent="0.2">
      <c r="AT2007">
        <v>0.39</v>
      </c>
      <c r="AU2007">
        <v>8.36</v>
      </c>
    </row>
    <row r="2008" spans="46:47" x14ac:dyDescent="0.2">
      <c r="AT2008">
        <v>0.81</v>
      </c>
      <c r="AU2008">
        <v>8.01</v>
      </c>
    </row>
    <row r="2009" spans="46:47" x14ac:dyDescent="0.2">
      <c r="AT2009">
        <v>0.67</v>
      </c>
      <c r="AU2009">
        <v>8.57</v>
      </c>
    </row>
    <row r="2010" spans="46:47" x14ac:dyDescent="0.2">
      <c r="AT2010">
        <v>0.65</v>
      </c>
      <c r="AU2010">
        <v>8.7100000000000009</v>
      </c>
    </row>
    <row r="2011" spans="46:47" x14ac:dyDescent="0.2">
      <c r="AT2011">
        <v>0.86</v>
      </c>
      <c r="AU2011">
        <v>8.1300000000000008</v>
      </c>
    </row>
    <row r="2012" spans="46:47" x14ac:dyDescent="0.2">
      <c r="AT2012">
        <v>0.61</v>
      </c>
      <c r="AU2012">
        <v>8.5299999999999994</v>
      </c>
    </row>
    <row r="2013" spans="46:47" x14ac:dyDescent="0.2">
      <c r="AT2013">
        <v>0.91</v>
      </c>
      <c r="AU2013">
        <v>8.7100000000000009</v>
      </c>
    </row>
    <row r="2014" spans="46:47" x14ac:dyDescent="0.2">
      <c r="AT2014">
        <v>0.99</v>
      </c>
      <c r="AU2014">
        <v>8.4</v>
      </c>
    </row>
    <row r="2015" spans="46:47" x14ac:dyDescent="0.2">
      <c r="AT2015">
        <v>0.59</v>
      </c>
      <c r="AU2015">
        <v>8.4499999999999993</v>
      </c>
    </row>
    <row r="2016" spans="46:47" x14ac:dyDescent="0.2">
      <c r="AT2016">
        <v>0.85</v>
      </c>
      <c r="AU2016">
        <v>8.85</v>
      </c>
    </row>
    <row r="2017" spans="46:47" x14ac:dyDescent="0.2">
      <c r="AT2017">
        <v>0.67</v>
      </c>
      <c r="AU2017">
        <v>8.43</v>
      </c>
    </row>
    <row r="2018" spans="46:47" x14ac:dyDescent="0.2">
      <c r="AT2018">
        <v>0.25</v>
      </c>
      <c r="AU2018">
        <v>8.7200000000000006</v>
      </c>
    </row>
    <row r="2019" spans="46:47" x14ac:dyDescent="0.2">
      <c r="AT2019">
        <v>0.8</v>
      </c>
      <c r="AU2019">
        <v>8.56</v>
      </c>
    </row>
    <row r="2020" spans="46:47" x14ac:dyDescent="0.2">
      <c r="AT2020">
        <v>0.51</v>
      </c>
      <c r="AU2020">
        <v>7.69</v>
      </c>
    </row>
    <row r="2021" spans="46:47" x14ac:dyDescent="0.2">
      <c r="AT2021">
        <v>0.89</v>
      </c>
      <c r="AU2021">
        <v>8.7899999999999991</v>
      </c>
    </row>
    <row r="2022" spans="46:47" x14ac:dyDescent="0.2">
      <c r="AT2022">
        <v>0.96</v>
      </c>
      <c r="AU2022">
        <v>9.1</v>
      </c>
    </row>
    <row r="2023" spans="46:47" x14ac:dyDescent="0.2">
      <c r="AT2023">
        <v>0.64</v>
      </c>
      <c r="AU2023">
        <v>8.5500000000000007</v>
      </c>
    </row>
    <row r="2024" spans="46:47" x14ac:dyDescent="0.2">
      <c r="AT2024">
        <v>0.47</v>
      </c>
      <c r="AU2024">
        <v>8.07</v>
      </c>
    </row>
    <row r="2025" spans="46:47" x14ac:dyDescent="0.2">
      <c r="AT2025">
        <v>0.89</v>
      </c>
      <c r="AU2025">
        <v>8.92</v>
      </c>
    </row>
    <row r="2026" spans="46:47" x14ac:dyDescent="0.2">
      <c r="AT2026">
        <v>0.57999999999999996</v>
      </c>
      <c r="AU2026">
        <v>8.84</v>
      </c>
    </row>
    <row r="2027" spans="46:47" x14ac:dyDescent="0.2">
      <c r="AT2027">
        <v>0.69</v>
      </c>
      <c r="AU2027">
        <v>8.6999999999999993</v>
      </c>
    </row>
    <row r="2028" spans="46:47" x14ac:dyDescent="0.2">
      <c r="AT2028">
        <v>0.76</v>
      </c>
      <c r="AU2028">
        <v>8.51</v>
      </c>
    </row>
    <row r="2029" spans="46:47" x14ac:dyDescent="0.2">
      <c r="AT2029">
        <v>0.72</v>
      </c>
      <c r="AU2029">
        <v>8.35</v>
      </c>
    </row>
    <row r="2030" spans="46:47" x14ac:dyDescent="0.2">
      <c r="AT2030">
        <v>0.57999999999999996</v>
      </c>
      <c r="AU2030">
        <v>7.87</v>
      </c>
    </row>
    <row r="2031" spans="46:47" x14ac:dyDescent="0.2">
      <c r="AT2031">
        <v>0.7</v>
      </c>
      <c r="AU2031">
        <v>0.76</v>
      </c>
    </row>
    <row r="2032" spans="46:47" x14ac:dyDescent="0.2">
      <c r="AT2032">
        <v>0.68</v>
      </c>
      <c r="AU2032">
        <v>8.48</v>
      </c>
    </row>
    <row r="2033" spans="46:47" x14ac:dyDescent="0.2">
      <c r="AT2033">
        <v>0.86</v>
      </c>
      <c r="AU2033">
        <v>8.6999999999999993</v>
      </c>
    </row>
    <row r="2034" spans="46:47" x14ac:dyDescent="0.2">
      <c r="AT2034">
        <v>0.61</v>
      </c>
      <c r="AU2034">
        <v>8.6</v>
      </c>
    </row>
    <row r="2035" spans="46:47" x14ac:dyDescent="0.2">
      <c r="AT2035">
        <v>0.73</v>
      </c>
      <c r="AU2035">
        <v>8.41</v>
      </c>
    </row>
    <row r="2036" spans="46:47" x14ac:dyDescent="0.2">
      <c r="AT2036">
        <v>0.84</v>
      </c>
      <c r="AU2036">
        <v>8.74</v>
      </c>
    </row>
    <row r="2037" spans="46:47" x14ac:dyDescent="0.2">
      <c r="AT2037">
        <v>0.75</v>
      </c>
      <c r="AU2037">
        <v>8.66</v>
      </c>
    </row>
    <row r="2038" spans="46:47" x14ac:dyDescent="0.2">
      <c r="AT2038">
        <v>0.87</v>
      </c>
      <c r="AU2038">
        <v>8.2200000000000006</v>
      </c>
    </row>
    <row r="2039" spans="46:47" x14ac:dyDescent="0.2">
      <c r="AT2039">
        <v>0.79</v>
      </c>
      <c r="AU2039">
        <v>8.32</v>
      </c>
    </row>
    <row r="2040" spans="46:47" x14ac:dyDescent="0.2">
      <c r="AT2040">
        <v>0.83</v>
      </c>
      <c r="AU2040">
        <v>8.92</v>
      </c>
    </row>
    <row r="2041" spans="46:47" x14ac:dyDescent="0.2">
      <c r="AT2041">
        <v>1.07</v>
      </c>
      <c r="AU2041">
        <v>8.8699999999999992</v>
      </c>
    </row>
    <row r="2042" spans="46:47" x14ac:dyDescent="0.2">
      <c r="AT2042">
        <v>0.83</v>
      </c>
      <c r="AU2042">
        <v>8.7200000000000006</v>
      </c>
    </row>
    <row r="2043" spans="46:47" x14ac:dyDescent="0.2">
      <c r="AT2043">
        <v>0.47</v>
      </c>
      <c r="AU2043">
        <v>7.94</v>
      </c>
    </row>
    <row r="2044" spans="46:47" x14ac:dyDescent="0.2">
      <c r="AT2044">
        <v>0.71</v>
      </c>
      <c r="AU2044">
        <v>8.91</v>
      </c>
    </row>
    <row r="2045" spans="46:47" x14ac:dyDescent="0.2">
      <c r="AT2045">
        <v>0.48</v>
      </c>
      <c r="AU2045">
        <v>7.84</v>
      </c>
    </row>
    <row r="2046" spans="46:47" x14ac:dyDescent="0.2">
      <c r="AT2046">
        <v>0.97</v>
      </c>
      <c r="AU2046">
        <v>8.73</v>
      </c>
    </row>
    <row r="2047" spans="46:47" x14ac:dyDescent="0.2">
      <c r="AT2047">
        <v>0.64</v>
      </c>
      <c r="AU2047">
        <v>8.68</v>
      </c>
    </row>
    <row r="2048" spans="46:47" x14ac:dyDescent="0.2">
      <c r="AT2048">
        <v>0.7</v>
      </c>
      <c r="AU2048">
        <v>8</v>
      </c>
    </row>
    <row r="2049" spans="46:47" x14ac:dyDescent="0.2">
      <c r="AT2049">
        <v>1.19</v>
      </c>
      <c r="AU2049">
        <v>5.9</v>
      </c>
    </row>
    <row r="2050" spans="46:47" x14ac:dyDescent="0.2">
      <c r="AT2050">
        <v>0.91</v>
      </c>
      <c r="AU2050">
        <v>9.77</v>
      </c>
    </row>
    <row r="2051" spans="46:47" x14ac:dyDescent="0.2">
      <c r="AT2051">
        <v>0.62</v>
      </c>
      <c r="AU2051">
        <v>8.06</v>
      </c>
    </row>
    <row r="2052" spans="46:47" x14ac:dyDescent="0.2">
      <c r="AT2052">
        <v>0.71</v>
      </c>
      <c r="AU2052">
        <v>8.83</v>
      </c>
    </row>
    <row r="2053" spans="46:47" x14ac:dyDescent="0.2">
      <c r="AT2053">
        <v>0.78</v>
      </c>
      <c r="AU2053">
        <v>8.5299999999999994</v>
      </c>
    </row>
    <row r="2054" spans="46:47" x14ac:dyDescent="0.2">
      <c r="AT2054">
        <v>0.7</v>
      </c>
      <c r="AU2054">
        <v>8.5</v>
      </c>
    </row>
    <row r="2055" spans="46:47" x14ac:dyDescent="0.2">
      <c r="AT2055">
        <v>0.56999999999999995</v>
      </c>
      <c r="AU2055">
        <v>8.59</v>
      </c>
    </row>
    <row r="2056" spans="46:47" x14ac:dyDescent="0.2">
      <c r="AT2056">
        <v>0.45</v>
      </c>
      <c r="AU2056">
        <v>8.83</v>
      </c>
    </row>
    <row r="2057" spans="46:47" x14ac:dyDescent="0.2">
      <c r="AT2057">
        <v>0.87</v>
      </c>
      <c r="AU2057">
        <v>8.19</v>
      </c>
    </row>
    <row r="2058" spans="46:47" x14ac:dyDescent="0.2">
      <c r="AT2058">
        <v>0.68</v>
      </c>
      <c r="AU2058">
        <v>8.7100000000000009</v>
      </c>
    </row>
    <row r="2059" spans="46:47" x14ac:dyDescent="0.2">
      <c r="AT2059">
        <v>0.84</v>
      </c>
      <c r="AU2059">
        <v>9.0299999999999994</v>
      </c>
    </row>
    <row r="2060" spans="46:47" x14ac:dyDescent="0.2">
      <c r="AT2060">
        <v>0.5</v>
      </c>
      <c r="AU2060">
        <v>8.2200000000000006</v>
      </c>
    </row>
    <row r="2061" spans="46:47" x14ac:dyDescent="0.2">
      <c r="AT2061">
        <v>0.73</v>
      </c>
      <c r="AU2061">
        <v>8.7899999999999991</v>
      </c>
    </row>
    <row r="2062" spans="46:47" x14ac:dyDescent="0.2">
      <c r="AT2062">
        <v>0.98</v>
      </c>
      <c r="AU2062">
        <v>8.69</v>
      </c>
    </row>
    <row r="2063" spans="46:47" x14ac:dyDescent="0.2">
      <c r="AT2063">
        <v>0.62</v>
      </c>
      <c r="AU2063">
        <v>8.52</v>
      </c>
    </row>
    <row r="2064" spans="46:47" x14ac:dyDescent="0.2">
      <c r="AT2064">
        <v>0.78</v>
      </c>
      <c r="AU2064">
        <v>7.94</v>
      </c>
    </row>
    <row r="2065" spans="46:47" x14ac:dyDescent="0.2">
      <c r="AT2065">
        <v>0.47</v>
      </c>
      <c r="AU2065">
        <v>8.7100000000000009</v>
      </c>
    </row>
    <row r="2066" spans="46:47" x14ac:dyDescent="0.2">
      <c r="AT2066">
        <v>0.89</v>
      </c>
      <c r="AU2066">
        <v>8.31</v>
      </c>
    </row>
    <row r="2067" spans="46:47" x14ac:dyDescent="0.2">
      <c r="AT2067">
        <v>0.83</v>
      </c>
      <c r="AU2067">
        <v>9.01</v>
      </c>
    </row>
    <row r="2068" spans="46:47" x14ac:dyDescent="0.2">
      <c r="AT2068">
        <v>0.7</v>
      </c>
      <c r="AU2068">
        <v>8.69</v>
      </c>
    </row>
    <row r="2069" spans="46:47" x14ac:dyDescent="0.2">
      <c r="AT2069">
        <v>0.6</v>
      </c>
      <c r="AU2069">
        <v>8.18</v>
      </c>
    </row>
    <row r="2070" spans="46:47" x14ac:dyDescent="0.2">
      <c r="AT2070">
        <v>0.55000000000000004</v>
      </c>
      <c r="AU2070">
        <v>8.9700000000000006</v>
      </c>
    </row>
    <row r="2071" spans="46:47" x14ac:dyDescent="0.2">
      <c r="AT2071">
        <v>1.07</v>
      </c>
      <c r="AU2071">
        <v>6.98</v>
      </c>
    </row>
    <row r="2072" spans="46:47" x14ac:dyDescent="0.2">
      <c r="AT2072">
        <v>0.63</v>
      </c>
      <c r="AU2072">
        <v>8.5</v>
      </c>
    </row>
    <row r="2073" spans="46:47" x14ac:dyDescent="0.2">
      <c r="AT2073">
        <v>0.84</v>
      </c>
      <c r="AU2073">
        <v>8.1</v>
      </c>
    </row>
    <row r="2074" spans="46:47" x14ac:dyDescent="0.2">
      <c r="AT2074">
        <v>0.79</v>
      </c>
      <c r="AU2074">
        <v>8.9700000000000006</v>
      </c>
    </row>
    <row r="2075" spans="46:47" x14ac:dyDescent="0.2">
      <c r="AT2075">
        <v>0.63</v>
      </c>
      <c r="AU2075">
        <v>8.56</v>
      </c>
    </row>
    <row r="2076" spans="46:47" x14ac:dyDescent="0.2">
      <c r="AT2076">
        <v>0.57999999999999996</v>
      </c>
      <c r="AU2076">
        <v>8.51</v>
      </c>
    </row>
    <row r="2077" spans="46:47" x14ac:dyDescent="0.2">
      <c r="AT2077">
        <v>0.73</v>
      </c>
      <c r="AU2077">
        <v>8.69</v>
      </c>
    </row>
    <row r="2078" spans="46:47" x14ac:dyDescent="0.2">
      <c r="AT2078">
        <v>0.6</v>
      </c>
      <c r="AU2078">
        <v>8.64</v>
      </c>
    </row>
    <row r="2079" spans="46:47" x14ac:dyDescent="0.2">
      <c r="AT2079">
        <v>0.94</v>
      </c>
      <c r="AU2079">
        <v>9.0299999999999994</v>
      </c>
    </row>
    <row r="2080" spans="46:47" x14ac:dyDescent="0.2">
      <c r="AT2080">
        <v>0.75</v>
      </c>
      <c r="AU2080">
        <v>9.33</v>
      </c>
    </row>
    <row r="2081" spans="46:47" x14ac:dyDescent="0.2">
      <c r="AT2081">
        <v>0.74</v>
      </c>
      <c r="AU2081">
        <v>8.31</v>
      </c>
    </row>
    <row r="2082" spans="46:47" x14ac:dyDescent="0.2">
      <c r="AT2082">
        <v>0.56000000000000005</v>
      </c>
      <c r="AU2082">
        <v>8.8800000000000008</v>
      </c>
    </row>
    <row r="2083" spans="46:47" x14ac:dyDescent="0.2">
      <c r="AT2083">
        <v>0.68</v>
      </c>
      <c r="AU2083">
        <v>8.48</v>
      </c>
    </row>
    <row r="2084" spans="46:47" x14ac:dyDescent="0.2">
      <c r="AT2084">
        <v>0.71</v>
      </c>
      <c r="AU2084">
        <v>8.34</v>
      </c>
    </row>
    <row r="2085" spans="46:47" x14ac:dyDescent="0.2">
      <c r="AT2085">
        <v>1.98</v>
      </c>
      <c r="AU2085">
        <v>3.65</v>
      </c>
    </row>
    <row r="2086" spans="46:47" x14ac:dyDescent="0.2">
      <c r="AT2086">
        <v>0.73</v>
      </c>
      <c r="AU2086">
        <v>9.09</v>
      </c>
    </row>
    <row r="2087" spans="46:47" x14ac:dyDescent="0.2">
      <c r="AT2087">
        <v>1.08</v>
      </c>
      <c r="AU2087">
        <v>6.97</v>
      </c>
    </row>
    <row r="2088" spans="46:47" x14ac:dyDescent="0.2">
      <c r="AT2088">
        <v>0.77</v>
      </c>
      <c r="AU2088">
        <v>8.0500000000000007</v>
      </c>
    </row>
    <row r="2089" spans="46:47" x14ac:dyDescent="0.2">
      <c r="AT2089">
        <v>1.23</v>
      </c>
      <c r="AU2089">
        <v>8.2100000000000009</v>
      </c>
    </row>
    <row r="2090" spans="46:47" x14ac:dyDescent="0.2">
      <c r="AT2090">
        <v>0.43</v>
      </c>
      <c r="AU2090">
        <v>8.08</v>
      </c>
    </row>
    <row r="2091" spans="46:47" x14ac:dyDescent="0.2">
      <c r="AT2091">
        <v>0.37</v>
      </c>
      <c r="AU2091">
        <v>8.3699999999999992</v>
      </c>
    </row>
    <row r="2092" spans="46:47" x14ac:dyDescent="0.2">
      <c r="AT2092">
        <v>0.61</v>
      </c>
      <c r="AU2092">
        <v>8.92</v>
      </c>
    </row>
    <row r="2093" spans="46:47" x14ac:dyDescent="0.2">
      <c r="AT2093">
        <v>0.83</v>
      </c>
      <c r="AU2093">
        <v>8.61</v>
      </c>
    </row>
    <row r="2094" spans="46:47" x14ac:dyDescent="0.2">
      <c r="AT2094">
        <v>0.52</v>
      </c>
      <c r="AU2094">
        <v>8.4700000000000006</v>
      </c>
    </row>
    <row r="2095" spans="46:47" x14ac:dyDescent="0.2">
      <c r="AT2095">
        <v>0.56999999999999995</v>
      </c>
      <c r="AU2095">
        <v>8</v>
      </c>
    </row>
    <row r="2096" spans="46:47" x14ac:dyDescent="0.2">
      <c r="AT2096">
        <v>0.96</v>
      </c>
      <c r="AU2096">
        <v>8.9499999999999993</v>
      </c>
    </row>
    <row r="2097" spans="46:47" x14ac:dyDescent="0.2">
      <c r="AT2097">
        <v>0.35</v>
      </c>
      <c r="AU2097">
        <v>7.96</v>
      </c>
    </row>
    <row r="2098" spans="46:47" x14ac:dyDescent="0.2">
      <c r="AT2098">
        <v>0.41</v>
      </c>
      <c r="AU2098">
        <v>7.8</v>
      </c>
    </row>
    <row r="2099" spans="46:47" x14ac:dyDescent="0.2">
      <c r="AT2099">
        <v>0.82</v>
      </c>
      <c r="AU2099">
        <v>8.5</v>
      </c>
    </row>
    <row r="2102" spans="46:47" x14ac:dyDescent="0.2">
      <c r="AT2102" t="s">
        <v>1952</v>
      </c>
      <c r="AU2102" t="s">
        <v>6028</v>
      </c>
    </row>
    <row r="2103" spans="46:47" x14ac:dyDescent="0.2">
      <c r="AT2103">
        <v>2026.4032</v>
      </c>
      <c r="AU2103">
        <v>2001</v>
      </c>
    </row>
    <row r="2104" spans="46:47" x14ac:dyDescent="0.2">
      <c r="AT2104">
        <v>2026.2043000000001</v>
      </c>
      <c r="AU2104">
        <v>2007</v>
      </c>
    </row>
    <row r="2105" spans="46:47" x14ac:dyDescent="0.2">
      <c r="AT2105">
        <v>2026.0429999999999</v>
      </c>
      <c r="AU2105">
        <v>2009</v>
      </c>
    </row>
    <row r="2106" spans="46:47" x14ac:dyDescent="0.2">
      <c r="AT2106">
        <v>2026.0429999999999</v>
      </c>
      <c r="AU2106">
        <v>1982</v>
      </c>
    </row>
    <row r="2107" spans="46:47" x14ac:dyDescent="0.2">
      <c r="AT2107">
        <v>2026.0456999999999</v>
      </c>
      <c r="AU2107">
        <v>1973</v>
      </c>
    </row>
    <row r="2108" spans="46:47" x14ac:dyDescent="0.2">
      <c r="AT2108">
        <v>2026.0429999999999</v>
      </c>
      <c r="AU2108">
        <v>2001</v>
      </c>
    </row>
    <row r="2109" spans="46:47" x14ac:dyDescent="0.2">
      <c r="AT2109">
        <v>2026.0429999999999</v>
      </c>
      <c r="AU2109">
        <v>1985</v>
      </c>
    </row>
    <row r="2110" spans="46:47" x14ac:dyDescent="0.2">
      <c r="AT2110">
        <v>2026.2742000000001</v>
      </c>
      <c r="AU2110">
        <v>1977</v>
      </c>
    </row>
    <row r="2111" spans="46:47" x14ac:dyDescent="0.2">
      <c r="AT2111">
        <v>2026.0456999999999</v>
      </c>
      <c r="AU2111">
        <v>1986</v>
      </c>
    </row>
    <row r="2112" spans="46:47" x14ac:dyDescent="0.2">
      <c r="AT2112">
        <v>2026.0429999999999</v>
      </c>
      <c r="AU2112">
        <v>1998</v>
      </c>
    </row>
    <row r="2113" spans="46:47" x14ac:dyDescent="0.2">
      <c r="AT2113">
        <v>2026.0429999999999</v>
      </c>
      <c r="AU2113">
        <v>2000</v>
      </c>
    </row>
    <row r="2114" spans="46:47" x14ac:dyDescent="0.2">
      <c r="AT2114">
        <v>2026.0456999999999</v>
      </c>
      <c r="AU2114">
        <v>1969</v>
      </c>
    </row>
    <row r="2115" spans="46:47" x14ac:dyDescent="0.2">
      <c r="AT2115">
        <v>2026.0429999999999</v>
      </c>
      <c r="AU2115">
        <v>2020</v>
      </c>
    </row>
    <row r="2116" spans="46:47" x14ac:dyDescent="0.2">
      <c r="AT2116">
        <v>2026.0429999999999</v>
      </c>
      <c r="AU2116">
        <v>2001</v>
      </c>
    </row>
    <row r="2117" spans="46:47" x14ac:dyDescent="0.2">
      <c r="AT2117">
        <v>2026.0941</v>
      </c>
      <c r="AU2117">
        <v>1996</v>
      </c>
    </row>
    <row r="2118" spans="46:47" x14ac:dyDescent="0.2">
      <c r="AT2118">
        <v>2026.0941</v>
      </c>
      <c r="AU2118">
        <v>1997</v>
      </c>
    </row>
    <row r="2119" spans="46:47" x14ac:dyDescent="0.2">
      <c r="AT2119">
        <v>2026.0564999999999</v>
      </c>
      <c r="AU2119">
        <v>2005</v>
      </c>
    </row>
    <row r="2120" spans="46:47" x14ac:dyDescent="0.2">
      <c r="AT2120">
        <v>2026.0456999999999</v>
      </c>
      <c r="AU2120">
        <v>2008</v>
      </c>
    </row>
    <row r="2121" spans="46:47" x14ac:dyDescent="0.2">
      <c r="AT2121">
        <v>2026.2742000000001</v>
      </c>
      <c r="AU2121">
        <v>1992</v>
      </c>
    </row>
    <row r="2122" spans="46:47" x14ac:dyDescent="0.2">
      <c r="AT2122">
        <v>2026.0483999999999</v>
      </c>
      <c r="AU2122">
        <v>1994</v>
      </c>
    </row>
    <row r="2123" spans="46:47" x14ac:dyDescent="0.2">
      <c r="AT2123">
        <v>2026.0483999999999</v>
      </c>
      <c r="AU2123">
        <v>1971</v>
      </c>
    </row>
    <row r="2124" spans="46:47" x14ac:dyDescent="0.2">
      <c r="AT2124">
        <v>2026.0483999999999</v>
      </c>
      <c r="AU2124">
        <v>1990</v>
      </c>
    </row>
    <row r="2125" spans="46:47" x14ac:dyDescent="0.2">
      <c r="AT2125">
        <v>2026.0510999999999</v>
      </c>
      <c r="AU2125">
        <v>1979</v>
      </c>
    </row>
    <row r="2126" spans="46:47" x14ac:dyDescent="0.2">
      <c r="AT2126">
        <v>2026.0590999999999</v>
      </c>
      <c r="AU2126">
        <v>2000</v>
      </c>
    </row>
    <row r="2127" spans="46:47" x14ac:dyDescent="0.2">
      <c r="AT2127">
        <v>2026.0510999999999</v>
      </c>
      <c r="AU2127">
        <v>1993</v>
      </c>
    </row>
    <row r="2128" spans="46:47" x14ac:dyDescent="0.2">
      <c r="AT2128">
        <v>2026.0483999999999</v>
      </c>
      <c r="AU2128">
        <v>1993</v>
      </c>
    </row>
    <row r="2129" spans="46:47" x14ac:dyDescent="0.2">
      <c r="AT2129">
        <v>2026.0510999999999</v>
      </c>
      <c r="AU2129">
        <v>2018</v>
      </c>
    </row>
    <row r="2130" spans="46:47" x14ac:dyDescent="0.2">
      <c r="AT2130">
        <v>2026.0510999999999</v>
      </c>
      <c r="AU2130">
        <v>2005</v>
      </c>
    </row>
    <row r="2131" spans="46:47" x14ac:dyDescent="0.2">
      <c r="AT2131">
        <v>2026.0537999999999</v>
      </c>
      <c r="AU2131">
        <v>1990</v>
      </c>
    </row>
    <row r="2132" spans="46:47" x14ac:dyDescent="0.2">
      <c r="AT2132">
        <v>2026.0537999999999</v>
      </c>
      <c r="AU2132">
        <v>1989</v>
      </c>
    </row>
    <row r="2133" spans="46:47" x14ac:dyDescent="0.2">
      <c r="AT2133">
        <v>2026.0564999999999</v>
      </c>
      <c r="AU2133">
        <v>2021</v>
      </c>
    </row>
    <row r="2134" spans="46:47" x14ac:dyDescent="0.2">
      <c r="AT2134">
        <v>2026.0590999999999</v>
      </c>
      <c r="AU2134">
        <v>2026</v>
      </c>
    </row>
    <row r="2135" spans="46:47" x14ac:dyDescent="0.2">
      <c r="AT2135">
        <v>2026.0617999999999</v>
      </c>
      <c r="AU2135">
        <v>1995</v>
      </c>
    </row>
    <row r="2136" spans="46:47" x14ac:dyDescent="0.2">
      <c r="AT2136">
        <v>2026.0617999999999</v>
      </c>
      <c r="AU2136">
        <v>2002</v>
      </c>
    </row>
    <row r="2137" spans="46:47" x14ac:dyDescent="0.2">
      <c r="AT2137">
        <v>2026.0617999999999</v>
      </c>
      <c r="AU2137">
        <v>2023</v>
      </c>
    </row>
    <row r="2138" spans="46:47" x14ac:dyDescent="0.2">
      <c r="AT2138">
        <v>2026.0645</v>
      </c>
      <c r="AU2138">
        <v>2021</v>
      </c>
    </row>
    <row r="2139" spans="46:47" x14ac:dyDescent="0.2">
      <c r="AT2139">
        <v>2026.0645</v>
      </c>
      <c r="AU2139">
        <v>2007</v>
      </c>
    </row>
    <row r="2140" spans="46:47" x14ac:dyDescent="0.2">
      <c r="AT2140">
        <v>2026.0645</v>
      </c>
      <c r="AU2140">
        <v>2003</v>
      </c>
    </row>
    <row r="2141" spans="46:47" x14ac:dyDescent="0.2">
      <c r="AT2141">
        <v>2026.0672</v>
      </c>
      <c r="AU2141">
        <v>2016</v>
      </c>
    </row>
    <row r="2142" spans="46:47" x14ac:dyDescent="0.2">
      <c r="AT2142">
        <v>2026.0672</v>
      </c>
      <c r="AU2142">
        <v>2016</v>
      </c>
    </row>
    <row r="2143" spans="46:47" x14ac:dyDescent="0.2">
      <c r="AT2143">
        <v>2026.1532</v>
      </c>
      <c r="AU2143">
        <v>2006</v>
      </c>
    </row>
    <row r="2144" spans="46:47" x14ac:dyDescent="0.2">
      <c r="AT2144">
        <v>2026.0726</v>
      </c>
      <c r="AU2144">
        <v>2016</v>
      </c>
    </row>
    <row r="2145" spans="46:47" x14ac:dyDescent="0.2">
      <c r="AT2145">
        <v>2026.0726</v>
      </c>
      <c r="AU2145">
        <v>1983</v>
      </c>
    </row>
    <row r="2146" spans="46:47" x14ac:dyDescent="0.2">
      <c r="AT2146">
        <v>2026.0753</v>
      </c>
      <c r="AU2146">
        <v>2015</v>
      </c>
    </row>
    <row r="2147" spans="46:47" x14ac:dyDescent="0.2">
      <c r="AT2147">
        <v>2026.0753</v>
      </c>
      <c r="AU2147">
        <v>2001</v>
      </c>
    </row>
    <row r="2148" spans="46:47" x14ac:dyDescent="0.2">
      <c r="AT2148">
        <v>2026.078</v>
      </c>
      <c r="AU2148">
        <v>2013</v>
      </c>
    </row>
    <row r="2149" spans="46:47" x14ac:dyDescent="0.2">
      <c r="AT2149">
        <v>2026.0806</v>
      </c>
      <c r="AU2149">
        <v>2026</v>
      </c>
    </row>
    <row r="2150" spans="46:47" x14ac:dyDescent="0.2">
      <c r="AT2150">
        <v>2026.0806</v>
      </c>
      <c r="AU2150">
        <v>2005</v>
      </c>
    </row>
    <row r="2151" spans="46:47" x14ac:dyDescent="0.2">
      <c r="AT2151">
        <v>2026.086</v>
      </c>
      <c r="AU2151">
        <v>2026</v>
      </c>
    </row>
    <row r="2152" spans="46:47" x14ac:dyDescent="0.2">
      <c r="AT2152">
        <v>2026.086</v>
      </c>
      <c r="AU2152">
        <v>2000</v>
      </c>
    </row>
    <row r="2153" spans="46:47" x14ac:dyDescent="0.2">
      <c r="AT2153">
        <v>2026.0914</v>
      </c>
      <c r="AU2153">
        <v>1984</v>
      </c>
    </row>
    <row r="2154" spans="46:47" x14ac:dyDescent="0.2">
      <c r="AT2154">
        <v>2026.0887</v>
      </c>
      <c r="AU2154">
        <v>1997</v>
      </c>
    </row>
    <row r="2155" spans="46:47" x14ac:dyDescent="0.2">
      <c r="AT2155">
        <v>2026.0914</v>
      </c>
      <c r="AU2155">
        <v>2010</v>
      </c>
    </row>
    <row r="2156" spans="46:47" x14ac:dyDescent="0.2">
      <c r="AT2156">
        <v>2026.0968</v>
      </c>
      <c r="AU2156">
        <v>1992</v>
      </c>
    </row>
    <row r="2157" spans="46:47" x14ac:dyDescent="0.2">
      <c r="AT2157">
        <v>2026.1075000000001</v>
      </c>
      <c r="AU2157">
        <v>2002</v>
      </c>
    </row>
    <row r="2158" spans="46:47" x14ac:dyDescent="0.2">
      <c r="AT2158">
        <v>2026.1102000000001</v>
      </c>
      <c r="AU2158">
        <v>1977</v>
      </c>
    </row>
    <row r="2159" spans="46:47" x14ac:dyDescent="0.2">
      <c r="AT2159">
        <v>2026.1102000000001</v>
      </c>
      <c r="AU2159">
        <v>2024</v>
      </c>
    </row>
    <row r="2160" spans="46:47" x14ac:dyDescent="0.2">
      <c r="AT2160">
        <v>2026.1129000000001</v>
      </c>
      <c r="AU2160">
        <v>2003</v>
      </c>
    </row>
    <row r="2161" spans="46:47" x14ac:dyDescent="0.2">
      <c r="AT2161">
        <v>2026.1156000000001</v>
      </c>
      <c r="AU2161">
        <v>2010</v>
      </c>
    </row>
    <row r="2162" spans="46:47" x14ac:dyDescent="0.2">
      <c r="AT2162">
        <v>2026.1210000000001</v>
      </c>
      <c r="AU2162">
        <v>2005</v>
      </c>
    </row>
    <row r="2163" spans="46:47" x14ac:dyDescent="0.2">
      <c r="AT2163">
        <v>2026.1210000000001</v>
      </c>
      <c r="AU2163">
        <v>2003</v>
      </c>
    </row>
    <row r="2164" spans="46:47" x14ac:dyDescent="0.2">
      <c r="AT2164">
        <v>2026.1262999999999</v>
      </c>
      <c r="AU2164">
        <v>1999</v>
      </c>
    </row>
    <row r="2165" spans="46:47" x14ac:dyDescent="0.2">
      <c r="AT2165">
        <v>2026.1237000000001</v>
      </c>
      <c r="AU2165">
        <v>1979</v>
      </c>
    </row>
    <row r="2166" spans="46:47" x14ac:dyDescent="0.2">
      <c r="AT2166">
        <v>2026.1289999999999</v>
      </c>
      <c r="AU2166">
        <v>1979</v>
      </c>
    </row>
    <row r="2167" spans="46:47" x14ac:dyDescent="0.2">
      <c r="AT2167">
        <v>2026.1289999999999</v>
      </c>
      <c r="AU2167">
        <v>2011</v>
      </c>
    </row>
    <row r="2168" spans="46:47" x14ac:dyDescent="0.2">
      <c r="AT2168">
        <v>2026.1316999999999</v>
      </c>
      <c r="AU2168">
        <v>1999</v>
      </c>
    </row>
    <row r="2169" spans="46:47" x14ac:dyDescent="0.2">
      <c r="AT2169">
        <v>2026.1343999999999</v>
      </c>
      <c r="AU2169">
        <v>2005</v>
      </c>
    </row>
    <row r="2170" spans="46:47" x14ac:dyDescent="0.2">
      <c r="AT2170">
        <v>2026.1397999999999</v>
      </c>
      <c r="AU2170">
        <v>2002</v>
      </c>
    </row>
    <row r="2171" spans="46:47" x14ac:dyDescent="0.2">
      <c r="AT2171">
        <v>2026.1343999999999</v>
      </c>
      <c r="AU2171">
        <v>1993</v>
      </c>
    </row>
    <row r="2172" spans="46:47" x14ac:dyDescent="0.2">
      <c r="AT2172">
        <v>2026.1424999999999</v>
      </c>
      <c r="AU2172">
        <v>2024</v>
      </c>
    </row>
    <row r="2173" spans="46:47" x14ac:dyDescent="0.2">
      <c r="AT2173">
        <v>2026.1451999999999</v>
      </c>
      <c r="AU2173">
        <v>1999</v>
      </c>
    </row>
    <row r="2174" spans="46:47" x14ac:dyDescent="0.2">
      <c r="AT2174">
        <v>2026.1451999999999</v>
      </c>
      <c r="AU2174">
        <v>1975</v>
      </c>
    </row>
    <row r="2175" spans="46:47" x14ac:dyDescent="0.2">
      <c r="AT2175">
        <v>2026.0726</v>
      </c>
      <c r="AU2175">
        <v>1996</v>
      </c>
    </row>
    <row r="2176" spans="46:47" x14ac:dyDescent="0.2">
      <c r="AT2176">
        <v>2026.1478</v>
      </c>
      <c r="AU2176">
        <v>1988</v>
      </c>
    </row>
    <row r="2177" spans="46:47" x14ac:dyDescent="0.2">
      <c r="AT2177">
        <v>2026.1505</v>
      </c>
      <c r="AU2177">
        <v>1993</v>
      </c>
    </row>
    <row r="2178" spans="46:47" x14ac:dyDescent="0.2">
      <c r="AT2178">
        <v>2026.1532</v>
      </c>
      <c r="AU2178">
        <v>2020</v>
      </c>
    </row>
    <row r="2179" spans="46:47" x14ac:dyDescent="0.2">
      <c r="AT2179">
        <v>2026.1532</v>
      </c>
      <c r="AU2179">
        <v>1978</v>
      </c>
    </row>
    <row r="2180" spans="46:47" x14ac:dyDescent="0.2">
      <c r="AT2180">
        <v>2026.1532</v>
      </c>
      <c r="AU2180">
        <v>2024</v>
      </c>
    </row>
    <row r="2181" spans="46:47" x14ac:dyDescent="0.2">
      <c r="AT2181">
        <v>2026.1532</v>
      </c>
      <c r="AU2181">
        <v>2013</v>
      </c>
    </row>
    <row r="2182" spans="46:47" x14ac:dyDescent="0.2">
      <c r="AT2182">
        <v>2026.1559</v>
      </c>
      <c r="AU2182">
        <v>2019</v>
      </c>
    </row>
    <row r="2183" spans="46:47" x14ac:dyDescent="0.2">
      <c r="AT2183">
        <v>2026.1559</v>
      </c>
      <c r="AU2183">
        <v>2024</v>
      </c>
    </row>
    <row r="2184" spans="46:47" x14ac:dyDescent="0.2">
      <c r="AT2184">
        <v>2026.1559</v>
      </c>
      <c r="AU2184">
        <v>2008</v>
      </c>
    </row>
    <row r="2185" spans="46:47" x14ac:dyDescent="0.2">
      <c r="AT2185">
        <v>2026.1667</v>
      </c>
      <c r="AU2185">
        <v>2026</v>
      </c>
    </row>
    <row r="2186" spans="46:47" x14ac:dyDescent="0.2">
      <c r="AT2186">
        <v>2026.1694</v>
      </c>
      <c r="AU2186">
        <v>2025</v>
      </c>
    </row>
    <row r="2187" spans="46:47" x14ac:dyDescent="0.2">
      <c r="AT2187">
        <v>2026.1694</v>
      </c>
      <c r="AU2187">
        <v>2002</v>
      </c>
    </row>
    <row r="2188" spans="46:47" x14ac:dyDescent="0.2">
      <c r="AT2188">
        <v>2026.172</v>
      </c>
      <c r="AU2188">
        <v>2021</v>
      </c>
    </row>
    <row r="2189" spans="46:47" x14ac:dyDescent="0.2">
      <c r="AT2189">
        <v>2026.1747</v>
      </c>
      <c r="AU2189">
        <v>2015</v>
      </c>
    </row>
    <row r="2190" spans="46:47" x14ac:dyDescent="0.2">
      <c r="AT2190">
        <v>2026.1774</v>
      </c>
      <c r="AU2190">
        <v>1971</v>
      </c>
    </row>
    <row r="2191" spans="46:47" x14ac:dyDescent="0.2">
      <c r="AT2191">
        <v>2026.1801</v>
      </c>
      <c r="AU2191">
        <v>2026</v>
      </c>
    </row>
    <row r="2192" spans="46:47" x14ac:dyDescent="0.2">
      <c r="AT2192">
        <v>2026.1774</v>
      </c>
      <c r="AU2192">
        <v>2023</v>
      </c>
    </row>
    <row r="2193" spans="46:47" x14ac:dyDescent="0.2">
      <c r="AT2193">
        <v>2026.1801</v>
      </c>
      <c r="AU2193">
        <v>2005</v>
      </c>
    </row>
    <row r="2194" spans="46:47" x14ac:dyDescent="0.2">
      <c r="AT2194">
        <v>2026.1828</v>
      </c>
      <c r="AU2194">
        <v>2002</v>
      </c>
    </row>
    <row r="2195" spans="46:47" x14ac:dyDescent="0.2">
      <c r="AT2195">
        <v>2026.1882000000001</v>
      </c>
      <c r="AU2195">
        <v>2012</v>
      </c>
    </row>
    <row r="2196" spans="46:47" x14ac:dyDescent="0.2">
      <c r="AT2196">
        <v>2026.1909000000001</v>
      </c>
      <c r="AU2196">
        <v>1992</v>
      </c>
    </row>
    <row r="2197" spans="46:47" x14ac:dyDescent="0.2">
      <c r="AT2197">
        <v>2026.1935000000001</v>
      </c>
      <c r="AU2197">
        <v>2000</v>
      </c>
    </row>
    <row r="2198" spans="46:47" x14ac:dyDescent="0.2">
      <c r="AT2198">
        <v>2026.1962000000001</v>
      </c>
      <c r="AU2198">
        <v>2005</v>
      </c>
    </row>
    <row r="2199" spans="46:47" x14ac:dyDescent="0.2">
      <c r="AT2199">
        <v>2026.1962000000001</v>
      </c>
      <c r="AU2199">
        <v>1998</v>
      </c>
    </row>
    <row r="2200" spans="46:47" x14ac:dyDescent="0.2">
      <c r="AT2200">
        <v>2026.1989000000001</v>
      </c>
      <c r="AU2200">
        <v>2005</v>
      </c>
    </row>
    <row r="2201" spans="46:47" x14ac:dyDescent="0.2">
      <c r="AT2201">
        <v>2026.2043000000001</v>
      </c>
      <c r="AU2201">
        <v>2016</v>
      </c>
    </row>
    <row r="2202" spans="46:47" x14ac:dyDescent="0.2">
      <c r="AT2202">
        <v>2026.2043000000001</v>
      </c>
      <c r="AU2202">
        <v>1974</v>
      </c>
    </row>
    <row r="2203" spans="46:47" x14ac:dyDescent="0.2">
      <c r="AT2203">
        <v>2026.2043000000001</v>
      </c>
      <c r="AU2203">
        <v>1979</v>
      </c>
    </row>
    <row r="2204" spans="46:47" x14ac:dyDescent="0.2">
      <c r="AT2204">
        <v>2026.2070000000001</v>
      </c>
      <c r="AU2204">
        <v>2000</v>
      </c>
    </row>
    <row r="2205" spans="46:47" x14ac:dyDescent="0.2">
      <c r="AT2205">
        <v>2026.2097000000001</v>
      </c>
      <c r="AU2205">
        <v>2000</v>
      </c>
    </row>
    <row r="2206" spans="46:47" x14ac:dyDescent="0.2">
      <c r="AT2206">
        <v>2026.2070000000001</v>
      </c>
      <c r="AU2206">
        <v>1993</v>
      </c>
    </row>
    <row r="2207" spans="46:47" x14ac:dyDescent="0.2">
      <c r="AT2207">
        <v>2026.2123999999999</v>
      </c>
      <c r="AU2207">
        <v>2026</v>
      </c>
    </row>
    <row r="2208" spans="46:47" x14ac:dyDescent="0.2">
      <c r="AT2208">
        <v>2026.2150999999999</v>
      </c>
      <c r="AU2208">
        <v>2014</v>
      </c>
    </row>
    <row r="2209" spans="46:47" x14ac:dyDescent="0.2">
      <c r="AT2209">
        <v>2026.2176999999999</v>
      </c>
      <c r="AU2209">
        <v>2006</v>
      </c>
    </row>
    <row r="2210" spans="46:47" x14ac:dyDescent="0.2">
      <c r="AT2210">
        <v>2026.2230999999999</v>
      </c>
      <c r="AU2210">
        <v>1996</v>
      </c>
    </row>
    <row r="2211" spans="46:47" x14ac:dyDescent="0.2">
      <c r="AT2211">
        <v>2026.2176999999999</v>
      </c>
      <c r="AU2211">
        <v>1982</v>
      </c>
    </row>
    <row r="2212" spans="46:47" x14ac:dyDescent="0.2">
      <c r="AT2212">
        <v>2026.2257999999999</v>
      </c>
      <c r="AU2212">
        <v>1995</v>
      </c>
    </row>
    <row r="2213" spans="46:47" x14ac:dyDescent="0.2">
      <c r="AT2213">
        <v>2026.2311999999999</v>
      </c>
      <c r="AU2213">
        <v>1994</v>
      </c>
    </row>
    <row r="2214" spans="46:47" x14ac:dyDescent="0.2">
      <c r="AT2214">
        <v>2026.2311999999999</v>
      </c>
      <c r="AU2214">
        <v>2014</v>
      </c>
    </row>
    <row r="2215" spans="46:47" x14ac:dyDescent="0.2">
      <c r="AT2215">
        <v>2026.2311999999999</v>
      </c>
      <c r="AU2215">
        <v>2026</v>
      </c>
    </row>
    <row r="2216" spans="46:47" x14ac:dyDescent="0.2">
      <c r="AT2216">
        <v>2026.2338999999999</v>
      </c>
      <c r="AU2216">
        <v>1991</v>
      </c>
    </row>
    <row r="2217" spans="46:47" x14ac:dyDescent="0.2">
      <c r="AT2217">
        <v>2026.2338999999999</v>
      </c>
      <c r="AU2217">
        <v>2003</v>
      </c>
    </row>
    <row r="2218" spans="46:47" x14ac:dyDescent="0.2">
      <c r="AT2218">
        <v>2026.2366</v>
      </c>
      <c r="AU2218">
        <v>1971</v>
      </c>
    </row>
    <row r="2219" spans="46:47" x14ac:dyDescent="0.2">
      <c r="AT2219">
        <v>2026.2366</v>
      </c>
      <c r="AU2219">
        <v>2018</v>
      </c>
    </row>
    <row r="2220" spans="46:47" x14ac:dyDescent="0.2">
      <c r="AT2220">
        <v>2026.2419</v>
      </c>
      <c r="AU2220">
        <v>1998</v>
      </c>
    </row>
    <row r="2221" spans="46:47" x14ac:dyDescent="0.2">
      <c r="AT2221">
        <v>2026.2446</v>
      </c>
      <c r="AU2221">
        <v>2003</v>
      </c>
    </row>
    <row r="2222" spans="46:47" x14ac:dyDescent="0.2">
      <c r="AT2222">
        <v>2026.2446</v>
      </c>
      <c r="AU2222">
        <v>2024</v>
      </c>
    </row>
    <row r="2223" spans="46:47" x14ac:dyDescent="0.2">
      <c r="AT2223">
        <v>2026.2473</v>
      </c>
      <c r="AU2223">
        <v>2001</v>
      </c>
    </row>
    <row r="2224" spans="46:47" x14ac:dyDescent="0.2">
      <c r="AT2224">
        <v>2026.2473</v>
      </c>
      <c r="AU2224">
        <v>2026</v>
      </c>
    </row>
    <row r="2225" spans="46:47" x14ac:dyDescent="0.2">
      <c r="AT2225">
        <v>2026.25</v>
      </c>
      <c r="AU2225">
        <v>2024</v>
      </c>
    </row>
    <row r="2226" spans="46:47" x14ac:dyDescent="0.2">
      <c r="AT2226">
        <v>2026.2634</v>
      </c>
      <c r="AU2226">
        <v>2026</v>
      </c>
    </row>
    <row r="2227" spans="46:47" x14ac:dyDescent="0.2">
      <c r="AT2227">
        <v>2026.2634</v>
      </c>
      <c r="AU2227">
        <v>1970</v>
      </c>
    </row>
    <row r="2228" spans="46:47" x14ac:dyDescent="0.2">
      <c r="AT2228">
        <v>2026.2634</v>
      </c>
      <c r="AU2228">
        <v>2013</v>
      </c>
    </row>
    <row r="2229" spans="46:47" x14ac:dyDescent="0.2">
      <c r="AT2229">
        <v>2026.2661000000001</v>
      </c>
      <c r="AU2229">
        <v>1994</v>
      </c>
    </row>
    <row r="2230" spans="46:47" x14ac:dyDescent="0.2">
      <c r="AT2230">
        <v>2026.2688000000001</v>
      </c>
      <c r="AU2230">
        <v>1970</v>
      </c>
    </row>
    <row r="2231" spans="46:47" x14ac:dyDescent="0.2">
      <c r="AT2231">
        <v>2026.2715000000001</v>
      </c>
      <c r="AU2231">
        <v>1988</v>
      </c>
    </row>
    <row r="2232" spans="46:47" x14ac:dyDescent="0.2">
      <c r="AT2232">
        <v>2026.2742000000001</v>
      </c>
      <c r="AU2232">
        <v>1996</v>
      </c>
    </row>
    <row r="2233" spans="46:47" x14ac:dyDescent="0.2">
      <c r="AT2233">
        <v>2026.2823000000001</v>
      </c>
      <c r="AU2233">
        <v>2024</v>
      </c>
    </row>
    <row r="2234" spans="46:47" x14ac:dyDescent="0.2">
      <c r="AT2234">
        <v>2026.2823000000001</v>
      </c>
      <c r="AU2234">
        <v>1992</v>
      </c>
    </row>
    <row r="2235" spans="46:47" x14ac:dyDescent="0.2">
      <c r="AT2235">
        <v>2026.2849000000001</v>
      </c>
      <c r="AU2235">
        <v>1991</v>
      </c>
    </row>
    <row r="2236" spans="46:47" x14ac:dyDescent="0.2">
      <c r="AT2236">
        <v>2026.2876000000001</v>
      </c>
      <c r="AU2236">
        <v>2003</v>
      </c>
    </row>
    <row r="2237" spans="46:47" x14ac:dyDescent="0.2">
      <c r="AT2237">
        <v>2026.2876000000001</v>
      </c>
      <c r="AU2237">
        <v>1983</v>
      </c>
    </row>
    <row r="2238" spans="46:47" x14ac:dyDescent="0.2">
      <c r="AT2238">
        <v>2026.2876000000001</v>
      </c>
      <c r="AU2238">
        <v>2025</v>
      </c>
    </row>
    <row r="2239" spans="46:47" x14ac:dyDescent="0.2">
      <c r="AT2239">
        <v>2026.2902999999999</v>
      </c>
      <c r="AU2239">
        <v>2008</v>
      </c>
    </row>
    <row r="2240" spans="46:47" x14ac:dyDescent="0.2">
      <c r="AT2240">
        <v>2026.2902999999999</v>
      </c>
      <c r="AU2240">
        <v>1969</v>
      </c>
    </row>
    <row r="2241" spans="46:47" x14ac:dyDescent="0.2">
      <c r="AT2241">
        <v>2026.2929999999999</v>
      </c>
      <c r="AU2241">
        <v>2015</v>
      </c>
    </row>
    <row r="2242" spans="46:47" x14ac:dyDescent="0.2">
      <c r="AT2242">
        <v>2026.3010999999999</v>
      </c>
      <c r="AU2242">
        <v>1977</v>
      </c>
    </row>
    <row r="2243" spans="46:47" x14ac:dyDescent="0.2">
      <c r="AT2243">
        <v>2026.3064999999999</v>
      </c>
      <c r="AU2243">
        <v>2003</v>
      </c>
    </row>
    <row r="2244" spans="46:47" x14ac:dyDescent="0.2">
      <c r="AT2244">
        <v>2026.3064999999999</v>
      </c>
      <c r="AU2244">
        <v>2026</v>
      </c>
    </row>
    <row r="2245" spans="46:47" x14ac:dyDescent="0.2">
      <c r="AT2245">
        <v>2026.3064999999999</v>
      </c>
      <c r="AU2245">
        <v>1990</v>
      </c>
    </row>
    <row r="2246" spans="46:47" x14ac:dyDescent="0.2">
      <c r="AT2246">
        <v>2026.3090999999999</v>
      </c>
      <c r="AU2246">
        <v>1994</v>
      </c>
    </row>
    <row r="2247" spans="46:47" x14ac:dyDescent="0.2">
      <c r="AT2247">
        <v>2026.3117999999999</v>
      </c>
      <c r="AU2247">
        <v>1976</v>
      </c>
    </row>
    <row r="2248" spans="46:47" x14ac:dyDescent="0.2">
      <c r="AT2248">
        <v>2026.3145</v>
      </c>
      <c r="AU2248">
        <v>1998</v>
      </c>
    </row>
    <row r="2249" spans="46:47" x14ac:dyDescent="0.2">
      <c r="AT2249">
        <v>2026.3172</v>
      </c>
      <c r="AU2249">
        <v>1972</v>
      </c>
    </row>
    <row r="2250" spans="46:47" x14ac:dyDescent="0.2">
      <c r="AT2250">
        <v>2026.3199</v>
      </c>
      <c r="AU2250">
        <v>2016</v>
      </c>
    </row>
    <row r="2251" spans="46:47" x14ac:dyDescent="0.2">
      <c r="AT2251">
        <v>2026.3199</v>
      </c>
      <c r="AU2251">
        <v>2013</v>
      </c>
    </row>
    <row r="2252" spans="46:47" x14ac:dyDescent="0.2">
      <c r="AT2252">
        <v>2026.3226</v>
      </c>
      <c r="AU2252">
        <v>1967</v>
      </c>
    </row>
    <row r="2253" spans="46:47" x14ac:dyDescent="0.2">
      <c r="AT2253">
        <v>2026.3226</v>
      </c>
      <c r="AU2253">
        <v>2000</v>
      </c>
    </row>
    <row r="2254" spans="46:47" x14ac:dyDescent="0.2">
      <c r="AT2254">
        <v>2026.3253</v>
      </c>
      <c r="AU2254">
        <v>2002</v>
      </c>
    </row>
    <row r="2255" spans="46:47" x14ac:dyDescent="0.2">
      <c r="AT2255">
        <v>2026.328</v>
      </c>
      <c r="AU2255">
        <v>1991</v>
      </c>
    </row>
    <row r="2256" spans="46:47" x14ac:dyDescent="0.2">
      <c r="AT2256">
        <v>2026.3414</v>
      </c>
      <c r="AU2256">
        <v>2000</v>
      </c>
    </row>
    <row r="2257" spans="46:47" x14ac:dyDescent="0.2">
      <c r="AT2257">
        <v>2026.3441</v>
      </c>
      <c r="AU2257">
        <v>1995</v>
      </c>
    </row>
    <row r="2258" spans="46:47" x14ac:dyDescent="0.2">
      <c r="AT2258">
        <v>2026.3441</v>
      </c>
      <c r="AU2258">
        <v>2025</v>
      </c>
    </row>
    <row r="2259" spans="46:47" x14ac:dyDescent="0.2">
      <c r="AT2259">
        <v>2026.3468</v>
      </c>
      <c r="AU2259">
        <v>2001</v>
      </c>
    </row>
    <row r="2260" spans="46:47" x14ac:dyDescent="0.2">
      <c r="AT2260">
        <v>2026.3495</v>
      </c>
      <c r="AU2260">
        <v>1981</v>
      </c>
    </row>
    <row r="2261" spans="46:47" x14ac:dyDescent="0.2">
      <c r="AT2261">
        <v>2026.3522</v>
      </c>
      <c r="AU2261">
        <v>1997</v>
      </c>
    </row>
    <row r="2262" spans="46:47" x14ac:dyDescent="0.2">
      <c r="AT2262">
        <v>2026.3548000000001</v>
      </c>
      <c r="AU2262">
        <v>1997</v>
      </c>
    </row>
    <row r="2263" spans="46:47" x14ac:dyDescent="0.2">
      <c r="AT2263">
        <v>2026.3602000000001</v>
      </c>
      <c r="AU2263">
        <v>2000</v>
      </c>
    </row>
    <row r="2264" spans="46:47" x14ac:dyDescent="0.2">
      <c r="AT2264">
        <v>2026.3629000000001</v>
      </c>
      <c r="AU2264">
        <v>1991</v>
      </c>
    </row>
    <row r="2265" spans="46:47" x14ac:dyDescent="0.2">
      <c r="AT2265">
        <v>2026.3629000000001</v>
      </c>
      <c r="AU2265">
        <v>1970</v>
      </c>
    </row>
    <row r="2266" spans="46:47" x14ac:dyDescent="0.2">
      <c r="AT2266">
        <v>2026.3656000000001</v>
      </c>
      <c r="AU2266">
        <v>2016</v>
      </c>
    </row>
    <row r="2267" spans="46:47" x14ac:dyDescent="0.2">
      <c r="AT2267">
        <v>2026.3683000000001</v>
      </c>
      <c r="AU2267">
        <v>1982</v>
      </c>
    </row>
    <row r="2268" spans="46:47" x14ac:dyDescent="0.2">
      <c r="AT2268">
        <v>2026.3710000000001</v>
      </c>
      <c r="AU2268">
        <v>1977</v>
      </c>
    </row>
    <row r="2269" spans="46:47" x14ac:dyDescent="0.2">
      <c r="AT2269">
        <v>2026.3737000000001</v>
      </c>
      <c r="AU2269">
        <v>2008</v>
      </c>
    </row>
    <row r="2270" spans="46:47" x14ac:dyDescent="0.2">
      <c r="AT2270">
        <v>2026.3789999999999</v>
      </c>
      <c r="AU2270">
        <v>2007</v>
      </c>
    </row>
    <row r="2271" spans="46:47" x14ac:dyDescent="0.2">
      <c r="AT2271">
        <v>2026.3789999999999</v>
      </c>
      <c r="AU2271">
        <v>2001</v>
      </c>
    </row>
    <row r="2272" spans="46:47" x14ac:dyDescent="0.2">
      <c r="AT2272">
        <v>2026.3789999999999</v>
      </c>
      <c r="AU2272">
        <v>2004</v>
      </c>
    </row>
    <row r="2273" spans="46:47" x14ac:dyDescent="0.2">
      <c r="AT2273">
        <v>2026.3816999999999</v>
      </c>
      <c r="AU2273">
        <v>1982</v>
      </c>
    </row>
    <row r="2274" spans="46:47" x14ac:dyDescent="0.2">
      <c r="AT2274">
        <v>2026.3789999999999</v>
      </c>
      <c r="AU2274">
        <v>2002</v>
      </c>
    </row>
    <row r="2275" spans="46:47" x14ac:dyDescent="0.2">
      <c r="AT2275">
        <v>2026.3575000000001</v>
      </c>
      <c r="AU2275">
        <v>1998</v>
      </c>
    </row>
    <row r="2276" spans="46:47" x14ac:dyDescent="0.2">
      <c r="AT2276">
        <v>2026.3710000000001</v>
      </c>
      <c r="AU2276">
        <v>1990</v>
      </c>
    </row>
    <row r="2277" spans="46:47" x14ac:dyDescent="0.2">
      <c r="AT2277">
        <v>2026.3843999999999</v>
      </c>
      <c r="AU2277">
        <v>2026</v>
      </c>
    </row>
    <row r="2278" spans="46:47" x14ac:dyDescent="0.2">
      <c r="AT2278">
        <v>2026.3870999999999</v>
      </c>
      <c r="AU2278">
        <v>1966</v>
      </c>
    </row>
    <row r="2279" spans="46:47" x14ac:dyDescent="0.2">
      <c r="AT2279">
        <v>2026.3870999999999</v>
      </c>
      <c r="AU2279">
        <v>1979</v>
      </c>
    </row>
    <row r="2280" spans="46:47" x14ac:dyDescent="0.2">
      <c r="AT2280">
        <v>2026.3897999999999</v>
      </c>
      <c r="AU2280">
        <v>2024</v>
      </c>
    </row>
    <row r="2281" spans="46:47" x14ac:dyDescent="0.2">
      <c r="AT2281">
        <v>2026.3897999999999</v>
      </c>
      <c r="AU2281">
        <v>2022</v>
      </c>
    </row>
    <row r="2282" spans="46:47" x14ac:dyDescent="0.2">
      <c r="AT2282">
        <v>2026.3951999999999</v>
      </c>
      <c r="AU2282">
        <v>2003</v>
      </c>
    </row>
    <row r="2283" spans="46:47" x14ac:dyDescent="0.2">
      <c r="AT2283">
        <v>2026.3951999999999</v>
      </c>
      <c r="AU2283">
        <v>2000</v>
      </c>
    </row>
    <row r="2284" spans="46:47" x14ac:dyDescent="0.2">
      <c r="AT2284">
        <v>2026.3978</v>
      </c>
      <c r="AU2284">
        <v>1981</v>
      </c>
    </row>
    <row r="2285" spans="46:47" x14ac:dyDescent="0.2">
      <c r="AT2285">
        <v>2026.3978</v>
      </c>
      <c r="AU2285">
        <v>1976</v>
      </c>
    </row>
    <row r="2286" spans="46:47" x14ac:dyDescent="0.2">
      <c r="AT2286">
        <v>2026.4005</v>
      </c>
      <c r="AU2286">
        <v>2020</v>
      </c>
    </row>
    <row r="2287" spans="46:47" x14ac:dyDescent="0.2">
      <c r="AT2287">
        <v>2026.4005</v>
      </c>
      <c r="AU2287">
        <v>1986</v>
      </c>
    </row>
    <row r="2288" spans="46:47" x14ac:dyDescent="0.2">
      <c r="AT2288">
        <v>2026.4005</v>
      </c>
      <c r="AU2288">
        <v>1989</v>
      </c>
    </row>
    <row r="2289" spans="46:47" x14ac:dyDescent="0.2">
      <c r="AT2289">
        <v>2026.4059</v>
      </c>
      <c r="AU2289">
        <v>1986</v>
      </c>
    </row>
    <row r="2290" spans="46:47" x14ac:dyDescent="0.2">
      <c r="AT2290">
        <v>2026.4059</v>
      </c>
      <c r="AU2290">
        <v>1992</v>
      </c>
    </row>
    <row r="2291" spans="46:47" x14ac:dyDescent="0.2">
      <c r="AT2291">
        <v>2026.4059</v>
      </c>
      <c r="AU2291">
        <v>2017</v>
      </c>
    </row>
    <row r="2292" spans="46:47" x14ac:dyDescent="0.2">
      <c r="AT2292">
        <v>2026.4086</v>
      </c>
      <c r="AU2292">
        <v>2026</v>
      </c>
    </row>
    <row r="2293" spans="46:47" x14ac:dyDescent="0.2">
      <c r="AT2293">
        <v>2026.4113</v>
      </c>
      <c r="AU2293">
        <v>1992</v>
      </c>
    </row>
    <row r="2294" spans="46:47" x14ac:dyDescent="0.2">
      <c r="AT2294">
        <v>2026.414</v>
      </c>
      <c r="AU2294">
        <v>1997</v>
      </c>
    </row>
    <row r="2295" spans="46:47" x14ac:dyDescent="0.2">
      <c r="AT2295">
        <v>2026.4167</v>
      </c>
      <c r="AU2295">
        <v>2019</v>
      </c>
    </row>
    <row r="2296" spans="46:47" x14ac:dyDescent="0.2">
      <c r="AT2296">
        <v>2026.4167</v>
      </c>
      <c r="AU2296">
        <v>2012</v>
      </c>
    </row>
    <row r="2297" spans="46:47" x14ac:dyDescent="0.2">
      <c r="AT2297">
        <v>2026.4194</v>
      </c>
      <c r="AU2297">
        <v>2012</v>
      </c>
    </row>
    <row r="2298" spans="46:47" x14ac:dyDescent="0.2">
      <c r="AT2298">
        <v>2026.4194</v>
      </c>
      <c r="AU2298">
        <v>1997</v>
      </c>
    </row>
    <row r="2299" spans="46:47" x14ac:dyDescent="0.2">
      <c r="AT2299">
        <v>2026.422</v>
      </c>
      <c r="AU2299">
        <v>2016</v>
      </c>
    </row>
    <row r="2300" spans="46:47" x14ac:dyDescent="0.2">
      <c r="AT2300">
        <v>2026.4247</v>
      </c>
      <c r="AU2300">
        <v>1995</v>
      </c>
    </row>
    <row r="2301" spans="46:47" x14ac:dyDescent="0.2">
      <c r="AT2301">
        <v>2026.4274</v>
      </c>
      <c r="AU2301">
        <v>2009</v>
      </c>
    </row>
    <row r="2302" spans="46:47" x14ac:dyDescent="0.2">
      <c r="AT2302">
        <v>2026.4274</v>
      </c>
      <c r="AU2302">
        <v>2025</v>
      </c>
    </row>
    <row r="2303" spans="46:47" x14ac:dyDescent="0.2">
      <c r="AT2303">
        <v>2026.4301</v>
      </c>
      <c r="AU2303">
        <v>1971</v>
      </c>
    </row>
    <row r="2304" spans="46:47" x14ac:dyDescent="0.2">
      <c r="AT2304">
        <v>2026.4328</v>
      </c>
      <c r="AU2304">
        <v>2008</v>
      </c>
    </row>
    <row r="2305" spans="46:47" x14ac:dyDescent="0.2">
      <c r="AT2305">
        <v>2026.4355</v>
      </c>
      <c r="AU2305">
        <v>2018</v>
      </c>
    </row>
    <row r="2306" spans="46:47" x14ac:dyDescent="0.2">
      <c r="AT2306">
        <v>2026.4382000000001</v>
      </c>
      <c r="AU2306">
        <v>1989</v>
      </c>
    </row>
    <row r="2307" spans="46:47" x14ac:dyDescent="0.2">
      <c r="AT2307">
        <v>2026.4382000000001</v>
      </c>
      <c r="AU2307">
        <v>1995</v>
      </c>
    </row>
    <row r="2308" spans="46:47" x14ac:dyDescent="0.2">
      <c r="AT2308">
        <v>2026.4409000000001</v>
      </c>
      <c r="AU2308">
        <v>2002</v>
      </c>
    </row>
    <row r="2309" spans="46:47" x14ac:dyDescent="0.2">
      <c r="AT2309">
        <v>2026.4409000000001</v>
      </c>
      <c r="AU2309">
        <v>1996</v>
      </c>
    </row>
    <row r="2310" spans="46:47" x14ac:dyDescent="0.2">
      <c r="AT2310">
        <v>2026.4435000000001</v>
      </c>
      <c r="AU2310">
        <v>2024</v>
      </c>
    </row>
    <row r="2311" spans="46:47" x14ac:dyDescent="0.2">
      <c r="AT2311">
        <v>2026.4462000000001</v>
      </c>
      <c r="AU2311">
        <v>1994</v>
      </c>
    </row>
    <row r="2312" spans="46:47" x14ac:dyDescent="0.2">
      <c r="AT2312">
        <v>2026.4462000000001</v>
      </c>
      <c r="AU2312">
        <v>2005</v>
      </c>
    </row>
    <row r="2313" spans="46:47" x14ac:dyDescent="0.2">
      <c r="AT2313">
        <v>2026.4489000000001</v>
      </c>
      <c r="AU2313">
        <v>1999</v>
      </c>
    </row>
    <row r="2314" spans="46:47" x14ac:dyDescent="0.2">
      <c r="AT2314">
        <v>2026.4516000000001</v>
      </c>
      <c r="AU2314">
        <v>1988</v>
      </c>
    </row>
    <row r="2315" spans="46:47" x14ac:dyDescent="0.2">
      <c r="AT2315">
        <v>2026.4543000000001</v>
      </c>
      <c r="AU2315">
        <v>2002</v>
      </c>
    </row>
    <row r="2316" spans="46:47" x14ac:dyDescent="0.2">
      <c r="AT2316">
        <v>2026.4516000000001</v>
      </c>
      <c r="AU2316">
        <v>1996</v>
      </c>
    </row>
    <row r="2317" spans="46:47" x14ac:dyDescent="0.2">
      <c r="AT2317">
        <v>2026.4570000000001</v>
      </c>
      <c r="AU2317">
        <v>1973</v>
      </c>
    </row>
    <row r="2318" spans="46:47" x14ac:dyDescent="0.2">
      <c r="AT2318">
        <v>2026.4597000000001</v>
      </c>
      <c r="AU2318">
        <v>2000</v>
      </c>
    </row>
    <row r="2319" spans="46:47" x14ac:dyDescent="0.2">
      <c r="AT2319">
        <v>2026.4597000000001</v>
      </c>
      <c r="AU2319">
        <v>2011</v>
      </c>
    </row>
    <row r="2320" spans="46:47" x14ac:dyDescent="0.2">
      <c r="AT2320">
        <v>2026.4623999999999</v>
      </c>
      <c r="AU2320">
        <v>2005</v>
      </c>
    </row>
    <row r="2321" spans="46:47" x14ac:dyDescent="0.2">
      <c r="AT2321">
        <v>2026.4623999999999</v>
      </c>
      <c r="AU2321">
        <v>2007</v>
      </c>
    </row>
    <row r="2322" spans="46:47" x14ac:dyDescent="0.2">
      <c r="AT2322">
        <v>2026.4650999999999</v>
      </c>
      <c r="AU2322">
        <v>1995</v>
      </c>
    </row>
    <row r="2323" spans="46:47" x14ac:dyDescent="0.2">
      <c r="AT2323">
        <v>2026.4730999999999</v>
      </c>
      <c r="AU2323">
        <v>1996</v>
      </c>
    </row>
    <row r="2324" spans="46:47" x14ac:dyDescent="0.2">
      <c r="AT2324">
        <v>2026.4730999999999</v>
      </c>
      <c r="AU2324">
        <v>2021</v>
      </c>
    </row>
    <row r="2325" spans="46:47" x14ac:dyDescent="0.2">
      <c r="AT2325">
        <v>2026.4730999999999</v>
      </c>
      <c r="AU2325">
        <v>1981</v>
      </c>
    </row>
    <row r="2326" spans="46:47" x14ac:dyDescent="0.2">
      <c r="AT2326">
        <v>2026.4757999999999</v>
      </c>
      <c r="AU2326">
        <v>2025</v>
      </c>
    </row>
    <row r="2327" spans="46:47" x14ac:dyDescent="0.2">
      <c r="AT2327">
        <v>2026.4784999999999</v>
      </c>
      <c r="AU2327">
        <v>1999</v>
      </c>
    </row>
    <row r="2328" spans="46:47" x14ac:dyDescent="0.2">
      <c r="AT2328">
        <v>2026.4784999999999</v>
      </c>
      <c r="AU2328">
        <v>1969</v>
      </c>
    </row>
    <row r="2329" spans="46:47" x14ac:dyDescent="0.2">
      <c r="AT2329">
        <v>2026.4811999999999</v>
      </c>
      <c r="AU2329">
        <v>1999</v>
      </c>
    </row>
    <row r="2330" spans="46:47" x14ac:dyDescent="0.2">
      <c r="AT2330">
        <v>2026.4919</v>
      </c>
      <c r="AU2330">
        <v>2018</v>
      </c>
    </row>
    <row r="2331" spans="46:47" x14ac:dyDescent="0.2">
      <c r="AT2331">
        <v>2026.4838999999999</v>
      </c>
      <c r="AU2331">
        <v>1981</v>
      </c>
    </row>
    <row r="2332" spans="46:47" x14ac:dyDescent="0.2">
      <c r="AT2332">
        <v>2026.4946</v>
      </c>
      <c r="AU2332">
        <v>2001</v>
      </c>
    </row>
    <row r="2333" spans="46:47" x14ac:dyDescent="0.2">
      <c r="AT2333">
        <v>2026.4946</v>
      </c>
      <c r="AU2333">
        <v>1995</v>
      </c>
    </row>
    <row r="2334" spans="46:47" x14ac:dyDescent="0.2">
      <c r="AT2334">
        <v>2026.4946</v>
      </c>
      <c r="AU2334">
        <v>1995</v>
      </c>
    </row>
    <row r="2335" spans="46:47" x14ac:dyDescent="0.2">
      <c r="AT2335">
        <v>2026.5</v>
      </c>
      <c r="AU2335">
        <v>2005</v>
      </c>
    </row>
    <row r="2336" spans="46:47" x14ac:dyDescent="0.2">
      <c r="AT2336">
        <v>2026.5</v>
      </c>
      <c r="AU2336">
        <v>1998</v>
      </c>
    </row>
    <row r="2337" spans="46:47" x14ac:dyDescent="0.2">
      <c r="AT2337">
        <v>2026.5</v>
      </c>
      <c r="AU2337">
        <v>1998</v>
      </c>
    </row>
    <row r="2338" spans="46:47" x14ac:dyDescent="0.2">
      <c r="AT2338">
        <v>2026.5027</v>
      </c>
      <c r="AU2338">
        <v>1969</v>
      </c>
    </row>
    <row r="2339" spans="46:47" x14ac:dyDescent="0.2">
      <c r="AT2339">
        <v>2026.5027</v>
      </c>
      <c r="AU2339">
        <v>2009</v>
      </c>
    </row>
    <row r="2340" spans="46:47" x14ac:dyDescent="0.2">
      <c r="AT2340">
        <v>2026.5054</v>
      </c>
      <c r="AU2340">
        <v>2003</v>
      </c>
    </row>
    <row r="2341" spans="46:47" x14ac:dyDescent="0.2">
      <c r="AT2341">
        <v>2026.5108</v>
      </c>
      <c r="AU2341">
        <v>1997</v>
      </c>
    </row>
    <row r="2342" spans="46:47" x14ac:dyDescent="0.2">
      <c r="AT2342">
        <v>2026.5134</v>
      </c>
      <c r="AU2342">
        <v>2026</v>
      </c>
    </row>
    <row r="2343" spans="46:47" x14ac:dyDescent="0.2">
      <c r="AT2343">
        <v>2026.5134</v>
      </c>
      <c r="AU2343">
        <v>1989</v>
      </c>
    </row>
    <row r="2344" spans="46:47" x14ac:dyDescent="0.2">
      <c r="AT2344">
        <v>2026.5134</v>
      </c>
      <c r="AU2344">
        <v>1973</v>
      </c>
    </row>
    <row r="2345" spans="46:47" x14ac:dyDescent="0.2">
      <c r="AT2345">
        <v>2026.5161000000001</v>
      </c>
      <c r="AU2345">
        <v>2014</v>
      </c>
    </row>
    <row r="2346" spans="46:47" x14ac:dyDescent="0.2">
      <c r="AT2346">
        <v>2026.5188000000001</v>
      </c>
      <c r="AU2346">
        <v>1992</v>
      </c>
    </row>
    <row r="2347" spans="46:47" x14ac:dyDescent="0.2">
      <c r="AT2347">
        <v>2026.5215000000001</v>
      </c>
      <c r="AU2347">
        <v>1991</v>
      </c>
    </row>
    <row r="2348" spans="46:47" x14ac:dyDescent="0.2">
      <c r="AT2348">
        <v>2026.5296000000001</v>
      </c>
      <c r="AU2348">
        <v>2004</v>
      </c>
    </row>
    <row r="2349" spans="46:47" x14ac:dyDescent="0.2">
      <c r="AT2349">
        <v>2026.5376000000001</v>
      </c>
      <c r="AU2349">
        <v>2015</v>
      </c>
    </row>
    <row r="2350" spans="46:47" x14ac:dyDescent="0.2">
      <c r="AT2350">
        <v>2026.5296000000001</v>
      </c>
      <c r="AU2350">
        <v>1994</v>
      </c>
    </row>
    <row r="2351" spans="46:47" x14ac:dyDescent="0.2">
      <c r="AT2351">
        <v>2026.5376000000001</v>
      </c>
      <c r="AU2351">
        <v>1992</v>
      </c>
    </row>
    <row r="2352" spans="46:47" x14ac:dyDescent="0.2">
      <c r="AT2352">
        <v>2026.5402999999999</v>
      </c>
      <c r="AU2352">
        <v>2026</v>
      </c>
    </row>
    <row r="2353" spans="46:47" x14ac:dyDescent="0.2">
      <c r="AT2353">
        <v>2026.5429999999999</v>
      </c>
      <c r="AU2353">
        <v>2021</v>
      </c>
    </row>
    <row r="2354" spans="46:47" x14ac:dyDescent="0.2">
      <c r="AT2354">
        <v>2026.5429999999999</v>
      </c>
      <c r="AU2354">
        <v>2007</v>
      </c>
    </row>
    <row r="2355" spans="46:47" x14ac:dyDescent="0.2">
      <c r="AT2355">
        <v>2026.5429999999999</v>
      </c>
      <c r="AU2355">
        <v>2006</v>
      </c>
    </row>
    <row r="2356" spans="46:47" x14ac:dyDescent="0.2">
      <c r="AT2356">
        <v>2026.5456999999999</v>
      </c>
      <c r="AU2356">
        <v>2002</v>
      </c>
    </row>
    <row r="2357" spans="46:47" x14ac:dyDescent="0.2">
      <c r="AT2357">
        <v>2026.5456999999999</v>
      </c>
      <c r="AU2357">
        <v>1999</v>
      </c>
    </row>
    <row r="2358" spans="46:47" x14ac:dyDescent="0.2">
      <c r="AT2358">
        <v>2026.5510999999999</v>
      </c>
      <c r="AU2358">
        <v>1997</v>
      </c>
    </row>
    <row r="2359" spans="46:47" x14ac:dyDescent="0.2">
      <c r="AT2359">
        <v>2026.5510999999999</v>
      </c>
      <c r="AU2359">
        <v>1972</v>
      </c>
    </row>
    <row r="2360" spans="46:47" x14ac:dyDescent="0.2">
      <c r="AT2360">
        <v>2026.5537999999999</v>
      </c>
      <c r="AU2360">
        <v>1972</v>
      </c>
    </row>
    <row r="2361" spans="46:47" x14ac:dyDescent="0.2">
      <c r="AT2361">
        <v>2026.5564999999999</v>
      </c>
      <c r="AU2361">
        <v>2001</v>
      </c>
    </row>
    <row r="2362" spans="46:47" x14ac:dyDescent="0.2">
      <c r="AT2362">
        <v>2026.5564999999999</v>
      </c>
      <c r="AU2362">
        <v>2007</v>
      </c>
    </row>
    <row r="2363" spans="46:47" x14ac:dyDescent="0.2">
      <c r="AT2363">
        <v>2026.5590999999999</v>
      </c>
      <c r="AU2363">
        <v>1985</v>
      </c>
    </row>
    <row r="2364" spans="46:47" x14ac:dyDescent="0.2">
      <c r="AT2364">
        <v>2026.5590999999999</v>
      </c>
      <c r="AU2364">
        <v>2003</v>
      </c>
    </row>
    <row r="2365" spans="46:47" x14ac:dyDescent="0.2">
      <c r="AT2365">
        <v>2026.5617999999999</v>
      </c>
      <c r="AU2365">
        <v>2016</v>
      </c>
    </row>
    <row r="2366" spans="46:47" x14ac:dyDescent="0.2">
      <c r="AT2366">
        <v>2026.5645</v>
      </c>
      <c r="AU2366">
        <v>1997</v>
      </c>
    </row>
    <row r="2367" spans="46:47" x14ac:dyDescent="0.2">
      <c r="AT2367">
        <v>2026.5672</v>
      </c>
      <c r="AU2367">
        <v>2026</v>
      </c>
    </row>
    <row r="2368" spans="46:47" x14ac:dyDescent="0.2">
      <c r="AT2368">
        <v>2026.5672</v>
      </c>
      <c r="AU2368">
        <v>1997</v>
      </c>
    </row>
    <row r="2369" spans="46:47" x14ac:dyDescent="0.2">
      <c r="AT2369">
        <v>2026.5699</v>
      </c>
      <c r="AU2369">
        <v>2005</v>
      </c>
    </row>
    <row r="2370" spans="46:47" x14ac:dyDescent="0.2">
      <c r="AT2370">
        <v>2026.5726</v>
      </c>
      <c r="AU2370">
        <v>1984</v>
      </c>
    </row>
    <row r="2371" spans="46:47" x14ac:dyDescent="0.2">
      <c r="AT2371">
        <v>2026.5726</v>
      </c>
      <c r="AU2371">
        <v>2026</v>
      </c>
    </row>
    <row r="2372" spans="46:47" x14ac:dyDescent="0.2">
      <c r="AT2372">
        <v>2026.5806</v>
      </c>
      <c r="AU2372">
        <v>2008</v>
      </c>
    </row>
    <row r="2373" spans="46:47" x14ac:dyDescent="0.2">
      <c r="AT2373">
        <v>2026.578</v>
      </c>
      <c r="AU2373">
        <v>1974</v>
      </c>
    </row>
    <row r="2374" spans="46:47" x14ac:dyDescent="0.2">
      <c r="AT2374">
        <v>2026.6048000000001</v>
      </c>
      <c r="AU2374">
        <v>2020</v>
      </c>
    </row>
    <row r="2375" spans="46:47" x14ac:dyDescent="0.2">
      <c r="AT2375">
        <v>2026.6048000000001</v>
      </c>
      <c r="AU2375">
        <v>2024</v>
      </c>
    </row>
    <row r="2376" spans="46:47" x14ac:dyDescent="0.2">
      <c r="AT2376">
        <v>2026.6048000000001</v>
      </c>
      <c r="AU2376">
        <v>2024</v>
      </c>
    </row>
    <row r="2377" spans="46:47" x14ac:dyDescent="0.2">
      <c r="AT2377">
        <v>2026.6129000000001</v>
      </c>
      <c r="AU2377">
        <v>1984</v>
      </c>
    </row>
    <row r="2378" spans="46:47" x14ac:dyDescent="0.2">
      <c r="AT2378">
        <v>2026.6210000000001</v>
      </c>
      <c r="AU2378">
        <v>1991</v>
      </c>
    </row>
    <row r="2379" spans="46:47" x14ac:dyDescent="0.2">
      <c r="AT2379">
        <v>2026.6210000000001</v>
      </c>
      <c r="AU2379">
        <v>1994</v>
      </c>
    </row>
    <row r="2380" spans="46:47" x14ac:dyDescent="0.2">
      <c r="AT2380">
        <v>2026.6316999999999</v>
      </c>
      <c r="AU2380">
        <v>2010</v>
      </c>
    </row>
    <row r="2381" spans="46:47" x14ac:dyDescent="0.2">
      <c r="AT2381">
        <v>2026.6316999999999</v>
      </c>
      <c r="AU2381">
        <v>2021</v>
      </c>
    </row>
    <row r="2382" spans="46:47" x14ac:dyDescent="0.2">
      <c r="AT2382">
        <v>2026.6397999999999</v>
      </c>
      <c r="AU2382">
        <v>1997</v>
      </c>
    </row>
    <row r="2383" spans="46:47" x14ac:dyDescent="0.2">
      <c r="AT2383">
        <v>2026.6451999999999</v>
      </c>
      <c r="AU2383">
        <v>2020</v>
      </c>
    </row>
    <row r="2384" spans="46:47" x14ac:dyDescent="0.2">
      <c r="AT2384">
        <v>2026.6370999999999</v>
      </c>
      <c r="AU2384">
        <v>1971</v>
      </c>
    </row>
    <row r="2385" spans="46:47" x14ac:dyDescent="0.2">
      <c r="AT2385">
        <v>2026.6343999999999</v>
      </c>
      <c r="AU2385">
        <v>2012</v>
      </c>
    </row>
    <row r="2386" spans="46:47" x14ac:dyDescent="0.2">
      <c r="AT2386">
        <v>2026.6505</v>
      </c>
      <c r="AU2386">
        <v>2004</v>
      </c>
    </row>
    <row r="2387" spans="46:47" x14ac:dyDescent="0.2">
      <c r="AT2387">
        <v>2026.6505</v>
      </c>
      <c r="AU2387">
        <v>1984</v>
      </c>
    </row>
    <row r="2388" spans="46:47" x14ac:dyDescent="0.2">
      <c r="AT2388">
        <v>2026.6505</v>
      </c>
      <c r="AU2388">
        <v>1996</v>
      </c>
    </row>
    <row r="2389" spans="46:47" x14ac:dyDescent="0.2">
      <c r="AT2389">
        <v>2026.6559</v>
      </c>
      <c r="AU2389">
        <v>2002</v>
      </c>
    </row>
    <row r="2390" spans="46:47" x14ac:dyDescent="0.2">
      <c r="AT2390">
        <v>2026.6586</v>
      </c>
      <c r="AU2390">
        <v>1980</v>
      </c>
    </row>
    <row r="2391" spans="46:47" x14ac:dyDescent="0.2">
      <c r="AT2391">
        <v>2026.6613</v>
      </c>
      <c r="AU2391">
        <v>2026</v>
      </c>
    </row>
    <row r="2392" spans="46:47" x14ac:dyDescent="0.2">
      <c r="AT2392">
        <v>2026.6667</v>
      </c>
      <c r="AU2392">
        <v>1975</v>
      </c>
    </row>
    <row r="2393" spans="46:47" x14ac:dyDescent="0.2">
      <c r="AT2393">
        <v>2026.6694</v>
      </c>
      <c r="AU2393">
        <v>2007</v>
      </c>
    </row>
    <row r="2394" spans="46:47" x14ac:dyDescent="0.2">
      <c r="AT2394">
        <v>2026.6694</v>
      </c>
      <c r="AU2394">
        <v>1999</v>
      </c>
    </row>
    <row r="2395" spans="46:47" x14ac:dyDescent="0.2">
      <c r="AT2395">
        <v>2026.6747</v>
      </c>
      <c r="AU2395">
        <v>2010</v>
      </c>
    </row>
    <row r="2396" spans="46:47" x14ac:dyDescent="0.2">
      <c r="AT2396">
        <v>2026.6801</v>
      </c>
      <c r="AU2396">
        <v>2011</v>
      </c>
    </row>
    <row r="2397" spans="46:47" x14ac:dyDescent="0.2">
      <c r="AT2397">
        <v>2026.6882000000001</v>
      </c>
      <c r="AU2397">
        <v>1990</v>
      </c>
    </row>
    <row r="2398" spans="46:47" x14ac:dyDescent="0.2">
      <c r="AT2398">
        <v>2026.6935000000001</v>
      </c>
      <c r="AU2398">
        <v>2026</v>
      </c>
    </row>
    <row r="2399" spans="46:47" x14ac:dyDescent="0.2">
      <c r="AT2399">
        <v>2026.7016000000001</v>
      </c>
      <c r="AU2399">
        <v>1998</v>
      </c>
    </row>
    <row r="2400" spans="46:47" x14ac:dyDescent="0.2">
      <c r="AT2400">
        <v>2026.7070000000001</v>
      </c>
      <c r="AU2400">
        <v>1976</v>
      </c>
    </row>
    <row r="2401" spans="46:47" x14ac:dyDescent="0.2">
      <c r="AT2401">
        <v>2026.7070000000001</v>
      </c>
      <c r="AU2401">
        <v>1973</v>
      </c>
    </row>
    <row r="2402" spans="46:47" x14ac:dyDescent="0.2">
      <c r="AT2402">
        <v>2026.7150999999999</v>
      </c>
      <c r="AU2402">
        <v>2003</v>
      </c>
    </row>
    <row r="2403" spans="46:47" x14ac:dyDescent="0.2">
      <c r="AT2403">
        <v>2026.7176999999999</v>
      </c>
      <c r="AU2403">
        <v>2026</v>
      </c>
    </row>
    <row r="2404" spans="46:47" x14ac:dyDescent="0.2">
      <c r="AT2404">
        <v>2026.7203999999999</v>
      </c>
      <c r="AU2404">
        <v>2003</v>
      </c>
    </row>
    <row r="2405" spans="46:47" x14ac:dyDescent="0.2">
      <c r="AT2405">
        <v>2026.7257999999999</v>
      </c>
      <c r="AU2405">
        <v>1985</v>
      </c>
    </row>
    <row r="2406" spans="46:47" x14ac:dyDescent="0.2">
      <c r="AT2406">
        <v>2026.7257999999999</v>
      </c>
      <c r="AU2406">
        <v>2013</v>
      </c>
    </row>
    <row r="2407" spans="46:47" x14ac:dyDescent="0.2">
      <c r="AT2407">
        <v>2026.7284999999999</v>
      </c>
      <c r="AU2407">
        <v>2017</v>
      </c>
    </row>
    <row r="2408" spans="46:47" x14ac:dyDescent="0.2">
      <c r="AT2408">
        <v>2026.7311999999999</v>
      </c>
      <c r="AU2408">
        <v>1998</v>
      </c>
    </row>
    <row r="2409" spans="46:47" x14ac:dyDescent="0.2">
      <c r="AT2409">
        <v>2026.7338999999999</v>
      </c>
      <c r="AU2409">
        <v>1987</v>
      </c>
    </row>
    <row r="2410" spans="46:47" x14ac:dyDescent="0.2">
      <c r="AT2410">
        <v>2026.7338999999999</v>
      </c>
      <c r="AU2410">
        <v>2016</v>
      </c>
    </row>
    <row r="2411" spans="46:47" x14ac:dyDescent="0.2">
      <c r="AT2411">
        <v>2026.7366</v>
      </c>
      <c r="AU2411">
        <v>2016</v>
      </c>
    </row>
    <row r="2412" spans="46:47" x14ac:dyDescent="0.2">
      <c r="AT2412">
        <v>2026.7419</v>
      </c>
      <c r="AU2412">
        <v>2025</v>
      </c>
    </row>
    <row r="2413" spans="46:47" x14ac:dyDescent="0.2">
      <c r="AT2413">
        <v>2026.7338999999999</v>
      </c>
      <c r="AU2413">
        <v>2017</v>
      </c>
    </row>
    <row r="2414" spans="46:47" x14ac:dyDescent="0.2">
      <c r="AT2414">
        <v>2026.7446</v>
      </c>
      <c r="AU2414">
        <v>2013</v>
      </c>
    </row>
    <row r="2415" spans="46:47" x14ac:dyDescent="0.2">
      <c r="AT2415">
        <v>2026.7527</v>
      </c>
      <c r="AU2415">
        <v>1979</v>
      </c>
    </row>
    <row r="2416" spans="46:47" x14ac:dyDescent="0.2">
      <c r="AT2416">
        <v>2026.7581</v>
      </c>
      <c r="AU2416">
        <v>1984</v>
      </c>
    </row>
    <row r="2417" spans="46:47" x14ac:dyDescent="0.2">
      <c r="AT2417">
        <v>2026.7366</v>
      </c>
      <c r="AU2417">
        <v>2017</v>
      </c>
    </row>
    <row r="2418" spans="46:47" x14ac:dyDescent="0.2">
      <c r="AT2418">
        <v>2026.7608</v>
      </c>
      <c r="AU2418">
        <v>1984</v>
      </c>
    </row>
    <row r="2419" spans="46:47" x14ac:dyDescent="0.2">
      <c r="AT2419">
        <v>2026.7366</v>
      </c>
      <c r="AU2419">
        <v>2018</v>
      </c>
    </row>
    <row r="2420" spans="46:47" x14ac:dyDescent="0.2">
      <c r="AT2420">
        <v>2026.7366</v>
      </c>
      <c r="AU2420">
        <v>2018</v>
      </c>
    </row>
    <row r="2421" spans="46:47" x14ac:dyDescent="0.2">
      <c r="AT2421">
        <v>2026.7366</v>
      </c>
      <c r="AU2421">
        <v>2019</v>
      </c>
    </row>
    <row r="2424" spans="46:47" x14ac:dyDescent="0.2">
      <c r="AT2424" s="418" t="s">
        <v>6029</v>
      </c>
      <c r="AU2424" t="s">
        <v>6030</v>
      </c>
    </row>
    <row r="2425" spans="46:47" x14ac:dyDescent="0.2">
      <c r="AT2425" s="418" t="s">
        <v>1811</v>
      </c>
      <c r="AU2425">
        <v>-0.309</v>
      </c>
    </row>
    <row r="2426" spans="46:47" x14ac:dyDescent="0.2">
      <c r="AT2426" s="418" t="s">
        <v>3765</v>
      </c>
      <c r="AU2426">
        <v>-0.25700000000000001</v>
      </c>
    </row>
    <row r="2427" spans="46:47" x14ac:dyDescent="0.2">
      <c r="AT2427" s="418" t="s">
        <v>3764</v>
      </c>
      <c r="AU2427">
        <v>-0.12</v>
      </c>
    </row>
    <row r="2428" spans="46:47" x14ac:dyDescent="0.2">
      <c r="AT2428" s="418" t="s">
        <v>291</v>
      </c>
      <c r="AU2428">
        <v>9.8000000000000004E-2</v>
      </c>
    </row>
    <row r="2429" spans="46:47" x14ac:dyDescent="0.2">
      <c r="AT2429" s="418" t="s">
        <v>6031</v>
      </c>
      <c r="AU2429">
        <v>0.10299999999999999</v>
      </c>
    </row>
    <row r="2430" spans="46:47" x14ac:dyDescent="0.2">
      <c r="AT2430" s="418" t="s">
        <v>1812</v>
      </c>
      <c r="AU2430">
        <v>0.113</v>
      </c>
    </row>
    <row r="2431" spans="46:47" x14ac:dyDescent="0.2">
      <c r="AT2431" s="418" t="s">
        <v>289</v>
      </c>
      <c r="AU2431">
        <v>0.51200000000000001</v>
      </c>
    </row>
    <row r="2434" spans="46:47" x14ac:dyDescent="0.2">
      <c r="AT2434" s="418" t="s">
        <v>286</v>
      </c>
      <c r="AU2434" t="s">
        <v>957</v>
      </c>
    </row>
    <row r="2435" spans="46:47" x14ac:dyDescent="0.2">
      <c r="AT2435" s="418" t="s">
        <v>3766</v>
      </c>
      <c r="AU2435">
        <v>9.44</v>
      </c>
    </row>
    <row r="2436" spans="46:47" x14ac:dyDescent="0.2">
      <c r="AT2436" s="418" t="s">
        <v>3767</v>
      </c>
      <c r="AU2436">
        <v>9.4600000000000009</v>
      </c>
    </row>
    <row r="2437" spans="46:47" x14ac:dyDescent="0.2">
      <c r="AT2437" s="418" t="s">
        <v>3768</v>
      </c>
      <c r="AU2437">
        <v>9.5299999999999994</v>
      </c>
    </row>
    <row r="2438" spans="46:47" x14ac:dyDescent="0.2">
      <c r="AT2438" s="418" t="s">
        <v>3769</v>
      </c>
      <c r="AU2438">
        <v>9.5500000000000007</v>
      </c>
    </row>
    <row r="2439" spans="46:47" x14ac:dyDescent="0.2">
      <c r="AT2439" s="418" t="s">
        <v>4623</v>
      </c>
      <c r="AU2439">
        <v>9.77</v>
      </c>
    </row>
    <row r="2440" spans="46:47" x14ac:dyDescent="0.2">
      <c r="AT2440" s="418" t="s">
        <v>3770</v>
      </c>
      <c r="AU2440">
        <v>9.9600000000000009</v>
      </c>
    </row>
    <row r="2441" spans="46:47" x14ac:dyDescent="0.2">
      <c r="AT2441" s="418" t="s">
        <v>3771</v>
      </c>
      <c r="AU2441">
        <v>9.99</v>
      </c>
    </row>
    <row r="2442" spans="46:47" x14ac:dyDescent="0.2">
      <c r="AT2442" s="418" t="s">
        <v>3772</v>
      </c>
      <c r="AU2442">
        <v>10</v>
      </c>
    </row>
    <row r="2443" spans="46:47" x14ac:dyDescent="0.2">
      <c r="AT2443" s="418" t="s">
        <v>3774</v>
      </c>
      <c r="AU2443">
        <v>10.050000000000001</v>
      </c>
    </row>
    <row r="2444" spans="46:47" x14ac:dyDescent="0.2">
      <c r="AT2444" s="418" t="s">
        <v>3773</v>
      </c>
      <c r="AU2444">
        <v>10.07</v>
      </c>
    </row>
    <row r="2445" spans="46:47" x14ac:dyDescent="0.2">
      <c r="AT2445" s="418" t="s">
        <v>3775</v>
      </c>
      <c r="AU2445">
        <v>10.37</v>
      </c>
    </row>
    <row r="2446" spans="46:47" x14ac:dyDescent="0.2">
      <c r="AT2446" s="418" t="s">
        <v>3776</v>
      </c>
      <c r="AU2446">
        <v>10.39</v>
      </c>
    </row>
    <row r="2447" spans="46:47" x14ac:dyDescent="0.2">
      <c r="AT2447" s="418" t="s">
        <v>3777</v>
      </c>
      <c r="AU2447">
        <v>10.44</v>
      </c>
    </row>
    <row r="2448" spans="46:47" x14ac:dyDescent="0.2">
      <c r="AT2448" s="418" t="s">
        <v>3778</v>
      </c>
      <c r="AU2448">
        <v>10.85</v>
      </c>
    </row>
    <row r="2449" spans="46:47" x14ac:dyDescent="0.2">
      <c r="AT2449" s="418" t="s">
        <v>3779</v>
      </c>
      <c r="AU2449">
        <v>10.99</v>
      </c>
    </row>
    <row r="2452" spans="46:47" x14ac:dyDescent="0.2">
      <c r="AT2452" s="418" t="s">
        <v>286</v>
      </c>
      <c r="AU2452" t="s">
        <v>3763</v>
      </c>
    </row>
    <row r="2453" spans="46:47" x14ac:dyDescent="0.2">
      <c r="AT2453" s="418" t="s">
        <v>4253</v>
      </c>
      <c r="AU2453">
        <v>78</v>
      </c>
    </row>
    <row r="2454" spans="46:47" x14ac:dyDescent="0.2">
      <c r="AT2454" s="418" t="s">
        <v>4254</v>
      </c>
      <c r="AU2454">
        <v>79</v>
      </c>
    </row>
    <row r="2455" spans="46:47" x14ac:dyDescent="0.2">
      <c r="AT2455" s="418" t="s">
        <v>4255</v>
      </c>
      <c r="AU2455">
        <v>81</v>
      </c>
    </row>
    <row r="2456" spans="46:47" x14ac:dyDescent="0.2">
      <c r="AT2456" s="418" t="s">
        <v>4256</v>
      </c>
      <c r="AU2456">
        <v>84</v>
      </c>
    </row>
    <row r="2457" spans="46:47" x14ac:dyDescent="0.2">
      <c r="AT2457" s="418" t="s">
        <v>4257</v>
      </c>
      <c r="AU2457">
        <v>84</v>
      </c>
    </row>
    <row r="2458" spans="46:47" x14ac:dyDescent="0.2">
      <c r="AT2458" s="418" t="s">
        <v>5732</v>
      </c>
      <c r="AU2458">
        <v>85</v>
      </c>
    </row>
    <row r="2459" spans="46:47" x14ac:dyDescent="0.2">
      <c r="AT2459" s="418" t="s">
        <v>4258</v>
      </c>
      <c r="AU2459">
        <v>86</v>
      </c>
    </row>
    <row r="2460" spans="46:47" x14ac:dyDescent="0.2">
      <c r="AT2460" s="418" t="s">
        <v>5733</v>
      </c>
      <c r="AU2460">
        <v>87</v>
      </c>
    </row>
    <row r="2461" spans="46:47" x14ac:dyDescent="0.2">
      <c r="AT2461" s="418" t="s">
        <v>4259</v>
      </c>
      <c r="AU2461">
        <v>87</v>
      </c>
    </row>
    <row r="2462" spans="46:47" x14ac:dyDescent="0.2">
      <c r="AT2462" s="418" t="s">
        <v>5734</v>
      </c>
      <c r="AU2462">
        <v>88</v>
      </c>
    </row>
    <row r="2463" spans="46:47" x14ac:dyDescent="0.2">
      <c r="AT2463" s="418" t="s">
        <v>4260</v>
      </c>
      <c r="AU2463">
        <v>100</v>
      </c>
    </row>
    <row r="2464" spans="46:47" x14ac:dyDescent="0.2">
      <c r="AT2464" s="418" t="s">
        <v>4261</v>
      </c>
      <c r="AU2464">
        <v>121</v>
      </c>
    </row>
    <row r="2465" spans="46:47" x14ac:dyDescent="0.2">
      <c r="AT2465" s="418" t="s">
        <v>4262</v>
      </c>
      <c r="AU2465">
        <v>121</v>
      </c>
    </row>
    <row r="2466" spans="46:47" x14ac:dyDescent="0.2">
      <c r="AT2466" s="418" t="s">
        <v>4263</v>
      </c>
      <c r="AU2466">
        <v>141</v>
      </c>
    </row>
    <row r="2467" spans="46:47" x14ac:dyDescent="0.2">
      <c r="AT2467" s="418" t="s">
        <v>3355</v>
      </c>
      <c r="AU2467">
        <v>156</v>
      </c>
    </row>
    <row r="2470" spans="46:47" x14ac:dyDescent="0.2">
      <c r="AT2470" s="418" t="s">
        <v>285</v>
      </c>
      <c r="AU2470" t="s">
        <v>287</v>
      </c>
    </row>
    <row r="2471" spans="46:47" x14ac:dyDescent="0.2">
      <c r="AT2471" s="418" t="s">
        <v>5820</v>
      </c>
      <c r="AU2471">
        <v>8.86</v>
      </c>
    </row>
    <row r="2472" spans="46:47" x14ac:dyDescent="0.2">
      <c r="AT2472" s="418" t="s">
        <v>3780</v>
      </c>
      <c r="AU2472">
        <v>8.86</v>
      </c>
    </row>
    <row r="2473" spans="46:47" x14ac:dyDescent="0.2">
      <c r="AT2473" s="418" t="s">
        <v>3782</v>
      </c>
      <c r="AU2473">
        <v>8.9</v>
      </c>
    </row>
    <row r="2474" spans="46:47" x14ac:dyDescent="0.2">
      <c r="AT2474" s="418" t="s">
        <v>4483</v>
      </c>
      <c r="AU2474">
        <v>8.9</v>
      </c>
    </row>
    <row r="2475" spans="46:47" x14ac:dyDescent="0.2">
      <c r="AT2475" s="418" t="s">
        <v>4534</v>
      </c>
      <c r="AU2475">
        <v>8.91</v>
      </c>
    </row>
    <row r="2476" spans="46:47" x14ac:dyDescent="0.2">
      <c r="AT2476" s="418" t="s">
        <v>3783</v>
      </c>
      <c r="AU2476">
        <v>8.91</v>
      </c>
    </row>
    <row r="2477" spans="46:47" x14ac:dyDescent="0.2">
      <c r="AT2477" s="418" t="s">
        <v>3784</v>
      </c>
      <c r="AU2477">
        <v>8.91</v>
      </c>
    </row>
    <row r="2478" spans="46:47" x14ac:dyDescent="0.2">
      <c r="AT2478" s="418" t="s">
        <v>3781</v>
      </c>
      <c r="AU2478">
        <v>8.94</v>
      </c>
    </row>
    <row r="2479" spans="46:47" x14ac:dyDescent="0.2">
      <c r="AT2479" s="418" t="s">
        <v>4643</v>
      </c>
      <c r="AU2479">
        <v>8.9600000000000009</v>
      </c>
    </row>
    <row r="2480" spans="46:47" x14ac:dyDescent="0.2">
      <c r="AT2480" s="418" t="s">
        <v>4048</v>
      </c>
      <c r="AU2480">
        <v>9.0399999999999991</v>
      </c>
    </row>
    <row r="2481" spans="46:47" x14ac:dyDescent="0.2">
      <c r="AT2481" s="418" t="s">
        <v>4052</v>
      </c>
      <c r="AU2481">
        <v>9.15</v>
      </c>
    </row>
    <row r="2482" spans="46:47" x14ac:dyDescent="0.2">
      <c r="AT2482" s="418" t="s">
        <v>5301</v>
      </c>
      <c r="AU2482">
        <v>9.2100000000000009</v>
      </c>
    </row>
    <row r="2483" spans="46:47" x14ac:dyDescent="0.2">
      <c r="AT2483" s="418" t="s">
        <v>3785</v>
      </c>
      <c r="AU2483">
        <v>9.24</v>
      </c>
    </row>
    <row r="2484" spans="46:47" x14ac:dyDescent="0.2">
      <c r="AT2484" s="418" t="s">
        <v>3786</v>
      </c>
      <c r="AU2484">
        <v>9.35</v>
      </c>
    </row>
    <row r="2485" spans="46:47" x14ac:dyDescent="0.2">
      <c r="AT2485" s="418" t="s">
        <v>4418</v>
      </c>
      <c r="AU2485">
        <v>9.75</v>
      </c>
    </row>
    <row r="2488" spans="46:47" x14ac:dyDescent="0.2">
      <c r="AT2488" s="418" t="s">
        <v>285</v>
      </c>
      <c r="AU2488" t="s">
        <v>957</v>
      </c>
    </row>
    <row r="2489" spans="46:47" x14ac:dyDescent="0.2">
      <c r="AT2489" s="418" t="s">
        <v>6032</v>
      </c>
      <c r="AU2489">
        <v>8.81</v>
      </c>
    </row>
    <row r="2490" spans="46:47" x14ac:dyDescent="0.2">
      <c r="AT2490" s="418" t="s">
        <v>3783</v>
      </c>
      <c r="AU2490">
        <v>8.82</v>
      </c>
    </row>
    <row r="2491" spans="46:47" x14ac:dyDescent="0.2">
      <c r="AT2491" s="418" t="s">
        <v>6033</v>
      </c>
      <c r="AU2491">
        <v>8.83</v>
      </c>
    </row>
    <row r="2492" spans="46:47" x14ac:dyDescent="0.2">
      <c r="AT2492" s="418" t="s">
        <v>4643</v>
      </c>
      <c r="AU2492">
        <v>8.8800000000000008</v>
      </c>
    </row>
    <row r="2493" spans="46:47" x14ac:dyDescent="0.2">
      <c r="AT2493" s="418" t="s">
        <v>4483</v>
      </c>
      <c r="AU2493">
        <v>8.8800000000000008</v>
      </c>
    </row>
    <row r="2494" spans="46:47" x14ac:dyDescent="0.2">
      <c r="AT2494" s="418" t="s">
        <v>3780</v>
      </c>
      <c r="AU2494">
        <v>8.9</v>
      </c>
    </row>
    <row r="2495" spans="46:47" x14ac:dyDescent="0.2">
      <c r="AT2495" s="418" t="s">
        <v>3784</v>
      </c>
      <c r="AU2495">
        <v>8.9700000000000006</v>
      </c>
    </row>
    <row r="2496" spans="46:47" x14ac:dyDescent="0.2">
      <c r="AT2496" s="418" t="s">
        <v>4534</v>
      </c>
      <c r="AU2496">
        <v>8.99</v>
      </c>
    </row>
    <row r="2497" spans="46:47" x14ac:dyDescent="0.2">
      <c r="AT2497" s="418" t="s">
        <v>3781</v>
      </c>
      <c r="AU2497">
        <v>9.0500000000000007</v>
      </c>
    </row>
    <row r="2498" spans="46:47" x14ac:dyDescent="0.2">
      <c r="AT2498" s="418" t="s">
        <v>4048</v>
      </c>
      <c r="AU2498">
        <v>9.06</v>
      </c>
    </row>
    <row r="2499" spans="46:47" x14ac:dyDescent="0.2">
      <c r="AT2499" s="418" t="s">
        <v>3785</v>
      </c>
      <c r="AU2499">
        <v>9.2799999999999994</v>
      </c>
    </row>
    <row r="2500" spans="46:47" x14ac:dyDescent="0.2">
      <c r="AT2500" s="418" t="s">
        <v>5301</v>
      </c>
      <c r="AU2500">
        <v>9.3699999999999992</v>
      </c>
    </row>
    <row r="2501" spans="46:47" x14ac:dyDescent="0.2">
      <c r="AT2501" s="418" t="s">
        <v>4052</v>
      </c>
      <c r="AU2501">
        <v>9.4</v>
      </c>
    </row>
    <row r="2502" spans="46:47" x14ac:dyDescent="0.2">
      <c r="AT2502" s="418" t="s">
        <v>3786</v>
      </c>
      <c r="AU2502">
        <v>9.58</v>
      </c>
    </row>
    <row r="2503" spans="46:47" x14ac:dyDescent="0.2">
      <c r="AT2503" s="418" t="s">
        <v>4418</v>
      </c>
      <c r="AU2503">
        <v>9.8800000000000008</v>
      </c>
    </row>
    <row r="2506" spans="46:47" x14ac:dyDescent="0.2">
      <c r="AT2506" s="418" t="s">
        <v>285</v>
      </c>
      <c r="AU2506" t="s">
        <v>475</v>
      </c>
    </row>
    <row r="2507" spans="46:47" x14ac:dyDescent="0.2">
      <c r="AT2507" s="418" t="s">
        <v>307</v>
      </c>
      <c r="AU2507">
        <v>3</v>
      </c>
    </row>
    <row r="2508" spans="46:47" x14ac:dyDescent="0.2">
      <c r="AT2508" s="418" t="s">
        <v>774</v>
      </c>
      <c r="AU2508">
        <v>4</v>
      </c>
    </row>
    <row r="2509" spans="46:47" x14ac:dyDescent="0.2">
      <c r="AT2509" s="418" t="s">
        <v>677</v>
      </c>
      <c r="AU2509">
        <v>4</v>
      </c>
    </row>
    <row r="2510" spans="46:47" x14ac:dyDescent="0.2">
      <c r="AT2510" s="418" t="s">
        <v>441</v>
      </c>
      <c r="AU2510">
        <v>4</v>
      </c>
    </row>
    <row r="2511" spans="46:47" x14ac:dyDescent="0.2">
      <c r="AT2511" s="418" t="s">
        <v>303</v>
      </c>
      <c r="AU2511">
        <v>4</v>
      </c>
    </row>
    <row r="2512" spans="46:47" x14ac:dyDescent="0.2">
      <c r="AT2512" s="418" t="s">
        <v>2841</v>
      </c>
      <c r="AU2512">
        <v>5</v>
      </c>
    </row>
    <row r="2513" spans="46:47" x14ac:dyDescent="0.2">
      <c r="AT2513" s="418" t="s">
        <v>2697</v>
      </c>
      <c r="AU2513">
        <v>5</v>
      </c>
    </row>
    <row r="2514" spans="46:47" x14ac:dyDescent="0.2">
      <c r="AT2514" s="418" t="s">
        <v>297</v>
      </c>
      <c r="AU2514">
        <v>5</v>
      </c>
    </row>
    <row r="2515" spans="46:47" x14ac:dyDescent="0.2">
      <c r="AT2515" s="418" t="s">
        <v>298</v>
      </c>
      <c r="AU2515">
        <v>5</v>
      </c>
    </row>
    <row r="2516" spans="46:47" x14ac:dyDescent="0.2">
      <c r="AT2516" s="418" t="s">
        <v>5676</v>
      </c>
      <c r="AU2516">
        <v>6</v>
      </c>
    </row>
    <row r="2517" spans="46:47" x14ac:dyDescent="0.2">
      <c r="AT2517" s="418" t="s">
        <v>292</v>
      </c>
      <c r="AU2517">
        <v>6</v>
      </c>
    </row>
    <row r="2518" spans="46:47" x14ac:dyDescent="0.2">
      <c r="AT2518" s="418" t="s">
        <v>1368</v>
      </c>
      <c r="AU2518">
        <v>7</v>
      </c>
    </row>
    <row r="2519" spans="46:47" x14ac:dyDescent="0.2">
      <c r="AT2519" s="418" t="s">
        <v>301</v>
      </c>
      <c r="AU2519">
        <v>7</v>
      </c>
    </row>
    <row r="2520" spans="46:47" x14ac:dyDescent="0.2">
      <c r="AT2520" s="418" t="s">
        <v>293</v>
      </c>
      <c r="AU2520">
        <v>9</v>
      </c>
    </row>
    <row r="2521" spans="46:47" x14ac:dyDescent="0.2">
      <c r="AT2521" s="418" t="s">
        <v>300</v>
      </c>
      <c r="AU2521">
        <v>14</v>
      </c>
    </row>
    <row r="2524" spans="46:47" x14ac:dyDescent="0.2">
      <c r="AT2524" s="418" t="s">
        <v>285</v>
      </c>
      <c r="AU2524" t="s">
        <v>4223</v>
      </c>
    </row>
    <row r="2525" spans="46:47" x14ac:dyDescent="0.2">
      <c r="AT2525" s="418" t="s">
        <v>5797</v>
      </c>
      <c r="AU2525">
        <v>61</v>
      </c>
    </row>
    <row r="2526" spans="46:47" x14ac:dyDescent="0.2">
      <c r="AT2526" s="418" t="s">
        <v>5908</v>
      </c>
      <c r="AU2526">
        <v>61</v>
      </c>
    </row>
    <row r="2527" spans="46:47" x14ac:dyDescent="0.2">
      <c r="AT2527" s="418" t="s">
        <v>4264</v>
      </c>
      <c r="AU2527">
        <v>62</v>
      </c>
    </row>
    <row r="2528" spans="46:47" x14ac:dyDescent="0.2">
      <c r="AT2528" s="418" t="s">
        <v>5248</v>
      </c>
      <c r="AU2528">
        <v>63</v>
      </c>
    </row>
    <row r="2529" spans="46:47" x14ac:dyDescent="0.2">
      <c r="AT2529" s="418" t="s">
        <v>5559</v>
      </c>
      <c r="AU2529">
        <v>64</v>
      </c>
    </row>
    <row r="2530" spans="46:47" x14ac:dyDescent="0.2">
      <c r="AT2530" s="418" t="s">
        <v>4804</v>
      </c>
      <c r="AU2530">
        <v>64</v>
      </c>
    </row>
    <row r="2531" spans="46:47" x14ac:dyDescent="0.2">
      <c r="AT2531" s="418" t="s">
        <v>4265</v>
      </c>
      <c r="AU2531">
        <v>64</v>
      </c>
    </row>
    <row r="2532" spans="46:47" x14ac:dyDescent="0.2">
      <c r="AT2532" s="418" t="s">
        <v>5735</v>
      </c>
      <c r="AU2532">
        <v>65</v>
      </c>
    </row>
    <row r="2533" spans="46:47" x14ac:dyDescent="0.2">
      <c r="AT2533" s="418" t="s">
        <v>4266</v>
      </c>
      <c r="AU2533">
        <v>65</v>
      </c>
    </row>
    <row r="2534" spans="46:47" x14ac:dyDescent="0.2">
      <c r="AT2534" s="418" t="s">
        <v>4267</v>
      </c>
      <c r="AU2534">
        <v>66</v>
      </c>
    </row>
    <row r="2535" spans="46:47" x14ac:dyDescent="0.2">
      <c r="AT2535" s="418" t="s">
        <v>4268</v>
      </c>
      <c r="AU2535">
        <v>68</v>
      </c>
    </row>
    <row r="2536" spans="46:47" x14ac:dyDescent="0.2">
      <c r="AT2536" s="418" t="s">
        <v>4269</v>
      </c>
      <c r="AU2536">
        <v>75</v>
      </c>
    </row>
    <row r="2537" spans="46:47" x14ac:dyDescent="0.2">
      <c r="AT2537" s="418" t="s">
        <v>4270</v>
      </c>
      <c r="AU2537">
        <v>75</v>
      </c>
    </row>
    <row r="2538" spans="46:47" x14ac:dyDescent="0.2">
      <c r="AT2538" s="418" t="s">
        <v>4271</v>
      </c>
      <c r="AU2538">
        <v>92</v>
      </c>
    </row>
    <row r="2539" spans="46:47" x14ac:dyDescent="0.2">
      <c r="AT2539" s="418" t="s">
        <v>4272</v>
      </c>
      <c r="AU2539">
        <v>131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BF62-93D0-4B29-8E67-A52714E58CAE}">
  <dimension ref="A1:B316"/>
  <sheetViews>
    <sheetView topLeftCell="A10" zoomScale="110" zoomScaleNormal="110" workbookViewId="0">
      <selection activeCell="G871" sqref="G871"/>
    </sheetView>
  </sheetViews>
  <sheetFormatPr baseColWidth="10" defaultColWidth="8.83203125" defaultRowHeight="16" x14ac:dyDescent="0.2"/>
  <cols>
    <col min="1" max="1" width="35.5" bestFit="1" customWidth="1"/>
    <col min="2" max="2" width="50.33203125" bestFit="1" customWidth="1"/>
  </cols>
  <sheetData>
    <row r="1" spans="1:2" ht="18" x14ac:dyDescent="0.25">
      <c r="A1" s="567" t="s">
        <v>4933</v>
      </c>
      <c r="B1" s="567"/>
    </row>
    <row r="2" spans="1:2" x14ac:dyDescent="0.2">
      <c r="A2" s="342" t="s">
        <v>4934</v>
      </c>
      <c r="B2" s="342"/>
    </row>
    <row r="3" spans="1:2" x14ac:dyDescent="0.2">
      <c r="A3" s="229" t="s">
        <v>4935</v>
      </c>
      <c r="B3" s="518">
        <v>319</v>
      </c>
    </row>
    <row r="4" spans="1:2" x14ac:dyDescent="0.2">
      <c r="A4" s="226" t="s">
        <v>4936</v>
      </c>
      <c r="B4" s="519">
        <v>196</v>
      </c>
    </row>
    <row r="5" spans="1:2" x14ac:dyDescent="0.2">
      <c r="A5" s="229" t="s">
        <v>4937</v>
      </c>
      <c r="B5" s="518">
        <v>3385</v>
      </c>
    </row>
    <row r="6" spans="1:2" x14ac:dyDescent="0.2">
      <c r="A6" s="226" t="s">
        <v>4938</v>
      </c>
      <c r="B6" s="519">
        <v>3230</v>
      </c>
    </row>
    <row r="7" spans="1:2" x14ac:dyDescent="0.2">
      <c r="A7" s="229" t="s">
        <v>291</v>
      </c>
      <c r="B7" s="518">
        <v>155</v>
      </c>
    </row>
    <row r="8" spans="1:2" x14ac:dyDescent="0.2">
      <c r="A8" s="226" t="s">
        <v>4939</v>
      </c>
      <c r="B8" s="519">
        <v>10.61</v>
      </c>
    </row>
    <row r="9" spans="1:2" x14ac:dyDescent="0.2">
      <c r="A9" s="229" t="s">
        <v>4940</v>
      </c>
      <c r="B9" s="520">
        <v>4.58E-2</v>
      </c>
    </row>
    <row r="11" spans="1:2" x14ac:dyDescent="0.2">
      <c r="A11" s="342" t="s">
        <v>4941</v>
      </c>
      <c r="B11" s="342"/>
    </row>
    <row r="12" spans="1:2" x14ac:dyDescent="0.2">
      <c r="A12" s="226" t="s">
        <v>4942</v>
      </c>
      <c r="B12" s="519">
        <v>8.5</v>
      </c>
    </row>
    <row r="13" spans="1:2" x14ac:dyDescent="0.2">
      <c r="A13" s="229" t="s">
        <v>4943</v>
      </c>
      <c r="B13" s="518">
        <v>8.5</v>
      </c>
    </row>
    <row r="14" spans="1:2" x14ac:dyDescent="0.2">
      <c r="A14" s="226" t="s">
        <v>4944</v>
      </c>
      <c r="B14" s="519" t="s">
        <v>5928</v>
      </c>
    </row>
    <row r="16" spans="1:2" x14ac:dyDescent="0.2">
      <c r="A16" s="342" t="s">
        <v>4945</v>
      </c>
      <c r="B16" s="342"/>
    </row>
    <row r="17" spans="1:2" x14ac:dyDescent="0.2">
      <c r="A17" s="229" t="s">
        <v>4946</v>
      </c>
      <c r="B17" s="518">
        <v>1.1599999999999999</v>
      </c>
    </row>
    <row r="18" spans="1:2" x14ac:dyDescent="0.2">
      <c r="A18" s="226" t="s">
        <v>4947</v>
      </c>
      <c r="B18" s="521">
        <v>0.1368</v>
      </c>
    </row>
    <row r="19" spans="1:2" x14ac:dyDescent="0.2">
      <c r="A19" s="229" t="s">
        <v>4948</v>
      </c>
      <c r="B19" s="518" t="s">
        <v>4949</v>
      </c>
    </row>
    <row r="20" spans="1:2" x14ac:dyDescent="0.2">
      <c r="A20" s="226" t="s">
        <v>4950</v>
      </c>
      <c r="B20" s="519" t="s">
        <v>4951</v>
      </c>
    </row>
    <row r="22" spans="1:2" x14ac:dyDescent="0.2">
      <c r="A22" s="342" t="s">
        <v>4952</v>
      </c>
      <c r="B22" s="342"/>
    </row>
    <row r="23" spans="1:2" x14ac:dyDescent="0.2">
      <c r="A23" s="229" t="s">
        <v>4953</v>
      </c>
      <c r="B23" s="518" t="s">
        <v>5838</v>
      </c>
    </row>
    <row r="24" spans="1:2" x14ac:dyDescent="0.2">
      <c r="A24" s="226" t="s">
        <v>4954</v>
      </c>
      <c r="B24" s="519" t="s">
        <v>5929</v>
      </c>
    </row>
    <row r="26" spans="1:2" x14ac:dyDescent="0.2">
      <c r="A26" s="342" t="s">
        <v>4955</v>
      </c>
      <c r="B26" s="342"/>
    </row>
    <row r="27" spans="1:2" x14ac:dyDescent="0.2">
      <c r="A27" s="229" t="s">
        <v>4956</v>
      </c>
      <c r="B27" s="518" t="s">
        <v>5862</v>
      </c>
    </row>
    <row r="28" spans="1:2" x14ac:dyDescent="0.2">
      <c r="A28" s="226" t="s">
        <v>4957</v>
      </c>
      <c r="B28" s="519" t="s">
        <v>5930</v>
      </c>
    </row>
    <row r="29" spans="1:2" x14ac:dyDescent="0.2">
      <c r="A29" s="229" t="s">
        <v>4958</v>
      </c>
      <c r="B29" s="518" t="s">
        <v>5931</v>
      </c>
    </row>
    <row r="30" spans="1:2" x14ac:dyDescent="0.2">
      <c r="A30" s="226" t="s">
        <v>4959</v>
      </c>
      <c r="B30" s="519" t="s">
        <v>5932</v>
      </c>
    </row>
    <row r="31" spans="1:2" x14ac:dyDescent="0.2">
      <c r="A31" s="229" t="s">
        <v>4960</v>
      </c>
      <c r="B31" s="518" t="s">
        <v>5933</v>
      </c>
    </row>
    <row r="32" spans="1:2" x14ac:dyDescent="0.2">
      <c r="A32" s="226" t="s">
        <v>4961</v>
      </c>
      <c r="B32" s="519" t="s">
        <v>5934</v>
      </c>
    </row>
    <row r="34" spans="1:2" x14ac:dyDescent="0.2">
      <c r="A34" s="342" t="s">
        <v>4962</v>
      </c>
      <c r="B34" s="342"/>
    </row>
    <row r="35" spans="1:2" x14ac:dyDescent="0.2">
      <c r="A35" s="229" t="s">
        <v>4963</v>
      </c>
      <c r="B35" s="518" t="s">
        <v>4964</v>
      </c>
    </row>
    <row r="36" spans="1:2" x14ac:dyDescent="0.2">
      <c r="A36" s="226" t="s">
        <v>4965</v>
      </c>
      <c r="B36" s="519" t="s">
        <v>4966</v>
      </c>
    </row>
    <row r="37" spans="1:2" x14ac:dyDescent="0.2">
      <c r="A37" s="229" t="s">
        <v>4967</v>
      </c>
      <c r="B37" s="518" t="s">
        <v>5906</v>
      </c>
    </row>
    <row r="38" spans="1:2" x14ac:dyDescent="0.2">
      <c r="A38" s="226" t="s">
        <v>4968</v>
      </c>
      <c r="B38" s="519" t="s">
        <v>5556</v>
      </c>
    </row>
    <row r="40" spans="1:2" x14ac:dyDescent="0.2">
      <c r="A40" s="342" t="s">
        <v>4969</v>
      </c>
      <c r="B40" s="342"/>
    </row>
    <row r="41" spans="1:2" x14ac:dyDescent="0.2">
      <c r="A41" s="229" t="s">
        <v>4970</v>
      </c>
      <c r="B41" s="518" t="s">
        <v>5957</v>
      </c>
    </row>
    <row r="42" spans="1:2" x14ac:dyDescent="0.2">
      <c r="A42" s="226" t="s">
        <v>4971</v>
      </c>
      <c r="B42" s="519">
        <v>157</v>
      </c>
    </row>
    <row r="43" spans="1:2" x14ac:dyDescent="0.2">
      <c r="A43" s="229" t="s">
        <v>4972</v>
      </c>
      <c r="B43" s="518" t="s">
        <v>5760</v>
      </c>
    </row>
    <row r="44" spans="1:2" x14ac:dyDescent="0.2">
      <c r="A44" s="226" t="s">
        <v>4973</v>
      </c>
      <c r="B44" s="519" t="s">
        <v>5911</v>
      </c>
    </row>
    <row r="45" spans="1:2" x14ac:dyDescent="0.2">
      <c r="A45" s="229" t="s">
        <v>4974</v>
      </c>
      <c r="B45" s="518" t="s">
        <v>4975</v>
      </c>
    </row>
    <row r="47" spans="1:2" x14ac:dyDescent="0.2">
      <c r="A47" s="342" t="s">
        <v>4976</v>
      </c>
      <c r="B47" s="342"/>
    </row>
    <row r="48" spans="1:2" x14ac:dyDescent="0.2">
      <c r="A48" s="226" t="s">
        <v>5462</v>
      </c>
      <c r="B48" s="519" t="s">
        <v>5912</v>
      </c>
    </row>
    <row r="49" spans="1:2" x14ac:dyDescent="0.2">
      <c r="A49" s="229" t="s">
        <v>720</v>
      </c>
      <c r="B49" s="518" t="s">
        <v>4977</v>
      </c>
    </row>
    <row r="50" spans="1:2" x14ac:dyDescent="0.2">
      <c r="A50" s="226" t="s">
        <v>984</v>
      </c>
      <c r="B50" s="519" t="s">
        <v>4978</v>
      </c>
    </row>
    <row r="51" spans="1:2" x14ac:dyDescent="0.2">
      <c r="A51" s="229" t="s">
        <v>989</v>
      </c>
      <c r="B51" s="518" t="s">
        <v>5788</v>
      </c>
    </row>
    <row r="52" spans="1:2" x14ac:dyDescent="0.2">
      <c r="A52" s="226" t="s">
        <v>990</v>
      </c>
      <c r="B52" s="519" t="s">
        <v>4980</v>
      </c>
    </row>
    <row r="53" spans="1:2" x14ac:dyDescent="0.2">
      <c r="A53" s="229" t="s">
        <v>991</v>
      </c>
      <c r="B53" s="518" t="s">
        <v>4980</v>
      </c>
    </row>
    <row r="54" spans="1:2" x14ac:dyDescent="0.2">
      <c r="A54" s="226" t="s">
        <v>2556</v>
      </c>
      <c r="B54" s="519" t="s">
        <v>4979</v>
      </c>
    </row>
    <row r="55" spans="1:2" x14ac:dyDescent="0.2">
      <c r="A55" s="229" t="s">
        <v>2557</v>
      </c>
      <c r="B55" s="518" t="s">
        <v>4979</v>
      </c>
    </row>
    <row r="56" spans="1:2" x14ac:dyDescent="0.2">
      <c r="A56" s="226" t="s">
        <v>986</v>
      </c>
      <c r="B56" s="519" t="s">
        <v>4981</v>
      </c>
    </row>
    <row r="57" spans="1:2" x14ac:dyDescent="0.2">
      <c r="A57" s="229" t="s">
        <v>3932</v>
      </c>
      <c r="B57" s="518" t="s">
        <v>5913</v>
      </c>
    </row>
    <row r="58" spans="1:2" x14ac:dyDescent="0.2">
      <c r="A58" s="226" t="s">
        <v>3802</v>
      </c>
      <c r="B58" s="519" t="s">
        <v>4983</v>
      </c>
    </row>
    <row r="59" spans="1:2" x14ac:dyDescent="0.2">
      <c r="A59" s="229" t="s">
        <v>4424</v>
      </c>
      <c r="B59" s="518" t="s">
        <v>4982</v>
      </c>
    </row>
    <row r="60" spans="1:2" x14ac:dyDescent="0.2">
      <c r="A60" s="226" t="s">
        <v>5454</v>
      </c>
      <c r="B60" s="519" t="s">
        <v>5456</v>
      </c>
    </row>
    <row r="61" spans="1:2" x14ac:dyDescent="0.2">
      <c r="A61" s="229" t="s">
        <v>5616</v>
      </c>
      <c r="B61" s="518" t="s">
        <v>5789</v>
      </c>
    </row>
    <row r="62" spans="1:2" x14ac:dyDescent="0.2">
      <c r="A62" s="226" t="s">
        <v>985</v>
      </c>
      <c r="B62" s="519" t="s">
        <v>5863</v>
      </c>
    </row>
    <row r="63" spans="1:2" x14ac:dyDescent="0.2">
      <c r="A63" s="229" t="s">
        <v>4731</v>
      </c>
      <c r="B63" s="518" t="s">
        <v>5815</v>
      </c>
    </row>
    <row r="64" spans="1:2" x14ac:dyDescent="0.2">
      <c r="A64" s="226" t="s">
        <v>5508</v>
      </c>
      <c r="B64" s="519" t="s">
        <v>5509</v>
      </c>
    </row>
    <row r="65" spans="1:2" x14ac:dyDescent="0.2">
      <c r="A65" s="229" t="s">
        <v>988</v>
      </c>
      <c r="B65" s="518" t="s">
        <v>5329</v>
      </c>
    </row>
    <row r="66" spans="1:2" x14ac:dyDescent="0.2">
      <c r="A66" s="226" t="s">
        <v>1494</v>
      </c>
      <c r="B66" s="519" t="s">
        <v>4984</v>
      </c>
    </row>
    <row r="67" spans="1:2" x14ac:dyDescent="0.2">
      <c r="A67" s="229" t="s">
        <v>993</v>
      </c>
      <c r="B67" s="518" t="s">
        <v>4985</v>
      </c>
    </row>
    <row r="68" spans="1:2" x14ac:dyDescent="0.2">
      <c r="A68" s="226" t="s">
        <v>2426</v>
      </c>
      <c r="B68" s="519" t="s">
        <v>4986</v>
      </c>
    </row>
    <row r="69" spans="1:2" x14ac:dyDescent="0.2">
      <c r="A69" s="229" t="s">
        <v>1005</v>
      </c>
      <c r="B69" s="518" t="s">
        <v>4987</v>
      </c>
    </row>
    <row r="70" spans="1:2" x14ac:dyDescent="0.2">
      <c r="A70" s="226" t="s">
        <v>1287</v>
      </c>
      <c r="B70" s="519" t="s">
        <v>4988</v>
      </c>
    </row>
    <row r="71" spans="1:2" x14ac:dyDescent="0.2">
      <c r="A71" s="229" t="s">
        <v>2899</v>
      </c>
      <c r="B71" s="518" t="s">
        <v>4989</v>
      </c>
    </row>
    <row r="72" spans="1:2" x14ac:dyDescent="0.2">
      <c r="A72" s="226" t="s">
        <v>998</v>
      </c>
      <c r="B72" s="519" t="s">
        <v>4990</v>
      </c>
    </row>
    <row r="73" spans="1:2" x14ac:dyDescent="0.2">
      <c r="A73" s="229" t="s">
        <v>1002</v>
      </c>
      <c r="B73" s="518" t="s">
        <v>4991</v>
      </c>
    </row>
    <row r="74" spans="1:2" x14ac:dyDescent="0.2">
      <c r="A74" s="226" t="s">
        <v>1123</v>
      </c>
      <c r="B74" s="519" t="s">
        <v>4993</v>
      </c>
    </row>
    <row r="75" spans="1:2" x14ac:dyDescent="0.2">
      <c r="A75" s="229" t="s">
        <v>4758</v>
      </c>
      <c r="B75" s="518" t="s">
        <v>4992</v>
      </c>
    </row>
    <row r="76" spans="1:2" x14ac:dyDescent="0.2">
      <c r="A76" s="226" t="s">
        <v>3254</v>
      </c>
      <c r="B76" s="519" t="s">
        <v>4995</v>
      </c>
    </row>
    <row r="77" spans="1:2" x14ac:dyDescent="0.2">
      <c r="A77" s="229" t="s">
        <v>3496</v>
      </c>
      <c r="B77" s="518" t="s">
        <v>4994</v>
      </c>
    </row>
    <row r="78" spans="1:2" x14ac:dyDescent="0.2">
      <c r="A78" s="226" t="s">
        <v>3495</v>
      </c>
      <c r="B78" s="519" t="s">
        <v>4994</v>
      </c>
    </row>
    <row r="79" spans="1:2" x14ac:dyDescent="0.2">
      <c r="A79" s="229" t="s">
        <v>2264</v>
      </c>
      <c r="B79" s="518" t="s">
        <v>5457</v>
      </c>
    </row>
    <row r="80" spans="1:2" x14ac:dyDescent="0.2">
      <c r="A80" s="226" t="s">
        <v>1893</v>
      </c>
      <c r="B80" s="519" t="s">
        <v>4996</v>
      </c>
    </row>
    <row r="81" spans="1:2" x14ac:dyDescent="0.2">
      <c r="A81" s="229" t="s">
        <v>1137</v>
      </c>
      <c r="B81" s="518" t="s">
        <v>4997</v>
      </c>
    </row>
    <row r="82" spans="1:2" x14ac:dyDescent="0.2">
      <c r="A82" s="226" t="s">
        <v>1532</v>
      </c>
      <c r="B82" s="519" t="s">
        <v>5510</v>
      </c>
    </row>
    <row r="83" spans="1:2" x14ac:dyDescent="0.2">
      <c r="A83" s="229" t="s">
        <v>2776</v>
      </c>
      <c r="B83" s="518" t="s">
        <v>4999</v>
      </c>
    </row>
    <row r="84" spans="1:2" x14ac:dyDescent="0.2">
      <c r="A84" s="226" t="s">
        <v>4499</v>
      </c>
      <c r="B84" s="519" t="s">
        <v>4998</v>
      </c>
    </row>
    <row r="85" spans="1:2" x14ac:dyDescent="0.2">
      <c r="A85" s="229" t="s">
        <v>5391</v>
      </c>
      <c r="B85" s="518" t="s">
        <v>5393</v>
      </c>
    </row>
    <row r="86" spans="1:2" x14ac:dyDescent="0.2">
      <c r="A86" s="226" t="s">
        <v>987</v>
      </c>
      <c r="B86" s="519" t="s">
        <v>5761</v>
      </c>
    </row>
    <row r="87" spans="1:2" x14ac:dyDescent="0.2">
      <c r="A87" s="229" t="s">
        <v>1124</v>
      </c>
      <c r="B87" s="518" t="s">
        <v>5000</v>
      </c>
    </row>
    <row r="88" spans="1:2" x14ac:dyDescent="0.2">
      <c r="A88" s="226" t="s">
        <v>1232</v>
      </c>
      <c r="B88" s="519" t="s">
        <v>5001</v>
      </c>
    </row>
    <row r="89" spans="1:2" x14ac:dyDescent="0.2">
      <c r="A89" s="229" t="s">
        <v>734</v>
      </c>
      <c r="B89" s="518" t="s">
        <v>5002</v>
      </c>
    </row>
    <row r="90" spans="1:2" x14ac:dyDescent="0.2">
      <c r="A90" s="226" t="s">
        <v>2516</v>
      </c>
      <c r="B90" s="519" t="s">
        <v>5729</v>
      </c>
    </row>
    <row r="91" spans="1:2" x14ac:dyDescent="0.2">
      <c r="A91" s="229" t="s">
        <v>992</v>
      </c>
      <c r="B91" s="518" t="s">
        <v>5003</v>
      </c>
    </row>
    <row r="92" spans="1:2" x14ac:dyDescent="0.2">
      <c r="A92" s="226" t="s">
        <v>1016</v>
      </c>
      <c r="B92" s="519" t="s">
        <v>5004</v>
      </c>
    </row>
    <row r="93" spans="1:2" x14ac:dyDescent="0.2">
      <c r="A93" s="229" t="s">
        <v>1136</v>
      </c>
      <c r="B93" s="518" t="s">
        <v>5008</v>
      </c>
    </row>
    <row r="94" spans="1:2" x14ac:dyDescent="0.2">
      <c r="A94" s="226" t="s">
        <v>1396</v>
      </c>
      <c r="B94" s="519" t="s">
        <v>5005</v>
      </c>
    </row>
    <row r="95" spans="1:2" x14ac:dyDescent="0.2">
      <c r="A95" s="229" t="s">
        <v>2558</v>
      </c>
      <c r="B95" s="518" t="s">
        <v>5007</v>
      </c>
    </row>
    <row r="96" spans="1:2" x14ac:dyDescent="0.2">
      <c r="A96" s="226" t="s">
        <v>3635</v>
      </c>
      <c r="B96" s="519" t="s">
        <v>5006</v>
      </c>
    </row>
    <row r="97" spans="1:2" x14ac:dyDescent="0.2">
      <c r="A97" s="229" t="s">
        <v>4159</v>
      </c>
      <c r="B97" s="518" t="s">
        <v>5005</v>
      </c>
    </row>
    <row r="98" spans="1:2" x14ac:dyDescent="0.2">
      <c r="A98" s="226" t="s">
        <v>5438</v>
      </c>
      <c r="B98" s="519" t="s">
        <v>5439</v>
      </c>
    </row>
    <row r="99" spans="1:2" x14ac:dyDescent="0.2">
      <c r="A99" s="229" t="s">
        <v>733</v>
      </c>
      <c r="B99" s="518" t="s">
        <v>5686</v>
      </c>
    </row>
    <row r="100" spans="1:2" x14ac:dyDescent="0.2">
      <c r="A100" s="226" t="s">
        <v>1003</v>
      </c>
      <c r="B100" s="519" t="s">
        <v>5009</v>
      </c>
    </row>
    <row r="101" spans="1:2" x14ac:dyDescent="0.2">
      <c r="A101" s="229" t="s">
        <v>999</v>
      </c>
      <c r="B101" s="518" t="s">
        <v>5010</v>
      </c>
    </row>
    <row r="102" spans="1:2" x14ac:dyDescent="0.2">
      <c r="A102" s="226" t="s">
        <v>1380</v>
      </c>
      <c r="B102" s="519" t="s">
        <v>5011</v>
      </c>
    </row>
    <row r="103" spans="1:2" x14ac:dyDescent="0.2">
      <c r="A103" s="229" t="s">
        <v>2645</v>
      </c>
      <c r="B103" s="518" t="s">
        <v>5010</v>
      </c>
    </row>
    <row r="104" spans="1:2" x14ac:dyDescent="0.2">
      <c r="A104" s="226" t="s">
        <v>2913</v>
      </c>
      <c r="B104" s="519" t="s">
        <v>5537</v>
      </c>
    </row>
    <row r="105" spans="1:2" x14ac:dyDescent="0.2">
      <c r="A105" s="229" t="s">
        <v>1533</v>
      </c>
      <c r="B105" s="518" t="s">
        <v>5012</v>
      </c>
    </row>
    <row r="106" spans="1:2" x14ac:dyDescent="0.2">
      <c r="A106" s="226" t="s">
        <v>997</v>
      </c>
      <c r="B106" s="519" t="s">
        <v>5013</v>
      </c>
    </row>
    <row r="107" spans="1:2" x14ac:dyDescent="0.2">
      <c r="A107" s="229" t="s">
        <v>3289</v>
      </c>
      <c r="B107" s="518" t="s">
        <v>5014</v>
      </c>
    </row>
    <row r="108" spans="1:2" x14ac:dyDescent="0.2">
      <c r="A108" s="226" t="s">
        <v>2581</v>
      </c>
      <c r="B108" s="519" t="s">
        <v>5015</v>
      </c>
    </row>
    <row r="109" spans="1:2" x14ac:dyDescent="0.2">
      <c r="A109" s="229" t="s">
        <v>1008</v>
      </c>
      <c r="B109" s="518" t="s">
        <v>5016</v>
      </c>
    </row>
    <row r="110" spans="1:2" x14ac:dyDescent="0.2">
      <c r="A110" s="226" t="s">
        <v>3005</v>
      </c>
      <c r="B110" s="519" t="s">
        <v>5017</v>
      </c>
    </row>
    <row r="111" spans="1:2" x14ac:dyDescent="0.2">
      <c r="A111" s="229" t="s">
        <v>1094</v>
      </c>
      <c r="B111" s="518" t="s">
        <v>5864</v>
      </c>
    </row>
    <row r="112" spans="1:2" x14ac:dyDescent="0.2">
      <c r="A112" s="226" t="s">
        <v>2265</v>
      </c>
      <c r="B112" s="519" t="s">
        <v>5018</v>
      </c>
    </row>
    <row r="113" spans="1:2" x14ac:dyDescent="0.2">
      <c r="A113" s="229" t="s">
        <v>1000</v>
      </c>
      <c r="B113" s="518" t="s">
        <v>5019</v>
      </c>
    </row>
    <row r="114" spans="1:2" x14ac:dyDescent="0.2">
      <c r="A114" s="226" t="s">
        <v>994</v>
      </c>
      <c r="B114" s="519" t="s">
        <v>5020</v>
      </c>
    </row>
    <row r="115" spans="1:2" x14ac:dyDescent="0.2">
      <c r="A115" s="229" t="s">
        <v>3902</v>
      </c>
      <c r="B115" s="518" t="s">
        <v>5021</v>
      </c>
    </row>
    <row r="116" spans="1:2" x14ac:dyDescent="0.2">
      <c r="A116" s="226" t="s">
        <v>1247</v>
      </c>
      <c r="B116" s="519" t="s">
        <v>5022</v>
      </c>
    </row>
    <row r="117" spans="1:2" x14ac:dyDescent="0.2">
      <c r="A117" s="229" t="s">
        <v>1019</v>
      </c>
      <c r="B117" s="518" t="s">
        <v>5023</v>
      </c>
    </row>
    <row r="118" spans="1:2" x14ac:dyDescent="0.2">
      <c r="A118" s="226" t="s">
        <v>2071</v>
      </c>
      <c r="B118" s="519" t="s">
        <v>5024</v>
      </c>
    </row>
    <row r="119" spans="1:2" x14ac:dyDescent="0.2">
      <c r="A119" s="229" t="s">
        <v>737</v>
      </c>
      <c r="B119" s="518" t="s">
        <v>5026</v>
      </c>
    </row>
    <row r="120" spans="1:2" x14ac:dyDescent="0.2">
      <c r="A120" s="226" t="s">
        <v>3640</v>
      </c>
      <c r="B120" s="519" t="s">
        <v>5025</v>
      </c>
    </row>
    <row r="121" spans="1:2" x14ac:dyDescent="0.2">
      <c r="A121" s="229" t="s">
        <v>1715</v>
      </c>
      <c r="B121" s="518" t="s">
        <v>5557</v>
      </c>
    </row>
    <row r="122" spans="1:2" x14ac:dyDescent="0.2">
      <c r="A122" s="226" t="s">
        <v>2242</v>
      </c>
      <c r="B122" s="519" t="s">
        <v>5027</v>
      </c>
    </row>
    <row r="123" spans="1:2" x14ac:dyDescent="0.2">
      <c r="A123" s="229" t="s">
        <v>1349</v>
      </c>
      <c r="B123" s="518" t="s">
        <v>5369</v>
      </c>
    </row>
    <row r="124" spans="1:2" x14ac:dyDescent="0.2">
      <c r="A124" s="226" t="s">
        <v>1861</v>
      </c>
      <c r="B124" s="519" t="s">
        <v>5028</v>
      </c>
    </row>
    <row r="125" spans="1:2" x14ac:dyDescent="0.2">
      <c r="A125" s="229" t="s">
        <v>1277</v>
      </c>
      <c r="B125" s="518" t="s">
        <v>5029</v>
      </c>
    </row>
    <row r="126" spans="1:2" x14ac:dyDescent="0.2">
      <c r="A126" s="226" t="s">
        <v>3354</v>
      </c>
      <c r="B126" s="519" t="s">
        <v>5030</v>
      </c>
    </row>
    <row r="127" spans="1:2" x14ac:dyDescent="0.2">
      <c r="A127" s="229" t="s">
        <v>5390</v>
      </c>
      <c r="B127" s="518" t="s">
        <v>5030</v>
      </c>
    </row>
    <row r="128" spans="1:2" x14ac:dyDescent="0.2">
      <c r="A128" s="226" t="s">
        <v>1289</v>
      </c>
      <c r="B128" s="519" t="s">
        <v>5031</v>
      </c>
    </row>
    <row r="129" spans="1:2" x14ac:dyDescent="0.2">
      <c r="A129" s="229" t="s">
        <v>3887</v>
      </c>
      <c r="B129" s="518" t="s">
        <v>5032</v>
      </c>
    </row>
    <row r="130" spans="1:2" x14ac:dyDescent="0.2">
      <c r="A130" s="226" t="s">
        <v>1010</v>
      </c>
      <c r="B130" s="519" t="s">
        <v>5033</v>
      </c>
    </row>
    <row r="131" spans="1:2" x14ac:dyDescent="0.2">
      <c r="A131" s="229" t="s">
        <v>2597</v>
      </c>
      <c r="B131" s="518" t="s">
        <v>5034</v>
      </c>
    </row>
    <row r="132" spans="1:2" x14ac:dyDescent="0.2">
      <c r="A132" s="226" t="s">
        <v>2382</v>
      </c>
      <c r="B132" s="519" t="s">
        <v>5035</v>
      </c>
    </row>
    <row r="133" spans="1:2" x14ac:dyDescent="0.2">
      <c r="A133" s="229" t="s">
        <v>1492</v>
      </c>
      <c r="B133" s="518" t="s">
        <v>5036</v>
      </c>
    </row>
    <row r="134" spans="1:2" x14ac:dyDescent="0.2">
      <c r="A134" s="226" t="s">
        <v>995</v>
      </c>
      <c r="B134" s="519" t="s">
        <v>5394</v>
      </c>
    </row>
    <row r="135" spans="1:2" x14ac:dyDescent="0.2">
      <c r="A135" s="229" t="s">
        <v>1009</v>
      </c>
      <c r="B135" s="518" t="s">
        <v>5037</v>
      </c>
    </row>
    <row r="136" spans="1:2" x14ac:dyDescent="0.2">
      <c r="A136" s="226" t="s">
        <v>732</v>
      </c>
      <c r="B136" s="519" t="s">
        <v>5824</v>
      </c>
    </row>
    <row r="137" spans="1:2" x14ac:dyDescent="0.2">
      <c r="A137" s="229" t="s">
        <v>1943</v>
      </c>
      <c r="B137" s="518" t="s">
        <v>5039</v>
      </c>
    </row>
    <row r="138" spans="1:2" x14ac:dyDescent="0.2">
      <c r="A138" s="226" t="s">
        <v>2866</v>
      </c>
      <c r="B138" s="519" t="s">
        <v>5038</v>
      </c>
    </row>
    <row r="139" spans="1:2" x14ac:dyDescent="0.2">
      <c r="A139" s="229" t="s">
        <v>5368</v>
      </c>
      <c r="B139" s="518" t="s">
        <v>5370</v>
      </c>
    </row>
    <row r="140" spans="1:2" x14ac:dyDescent="0.2">
      <c r="A140" s="226" t="s">
        <v>1004</v>
      </c>
      <c r="B140" s="519" t="s">
        <v>5040</v>
      </c>
    </row>
    <row r="141" spans="1:2" x14ac:dyDescent="0.2">
      <c r="A141" s="229" t="s">
        <v>1351</v>
      </c>
      <c r="B141" s="518" t="s">
        <v>5042</v>
      </c>
    </row>
    <row r="142" spans="1:2" x14ac:dyDescent="0.2">
      <c r="A142" s="226" t="s">
        <v>2328</v>
      </c>
      <c r="B142" s="519" t="s">
        <v>5041</v>
      </c>
    </row>
    <row r="143" spans="1:2" x14ac:dyDescent="0.2">
      <c r="A143" s="229" t="s">
        <v>4111</v>
      </c>
      <c r="B143" s="518" t="s">
        <v>5043</v>
      </c>
    </row>
    <row r="144" spans="1:2" x14ac:dyDescent="0.2">
      <c r="A144" s="226" t="s">
        <v>1543</v>
      </c>
      <c r="B144" s="519" t="s">
        <v>5247</v>
      </c>
    </row>
    <row r="145" spans="1:2" x14ac:dyDescent="0.2">
      <c r="A145" s="229" t="s">
        <v>3080</v>
      </c>
      <c r="B145" s="518" t="s">
        <v>5044</v>
      </c>
    </row>
    <row r="146" spans="1:2" x14ac:dyDescent="0.2">
      <c r="A146" s="226" t="s">
        <v>1011</v>
      </c>
      <c r="B146" s="519" t="s">
        <v>5045</v>
      </c>
    </row>
    <row r="147" spans="1:2" x14ac:dyDescent="0.2">
      <c r="A147" s="229" t="s">
        <v>3116</v>
      </c>
      <c r="B147" s="518" t="s">
        <v>5046</v>
      </c>
    </row>
    <row r="148" spans="1:2" x14ac:dyDescent="0.2">
      <c r="A148" s="226" t="s">
        <v>1012</v>
      </c>
      <c r="B148" s="519" t="s">
        <v>5047</v>
      </c>
    </row>
    <row r="149" spans="1:2" x14ac:dyDescent="0.2">
      <c r="A149" s="229" t="s">
        <v>1013</v>
      </c>
      <c r="B149" s="518" t="s">
        <v>5047</v>
      </c>
    </row>
    <row r="150" spans="1:2" x14ac:dyDescent="0.2">
      <c r="A150" s="226" t="s">
        <v>4204</v>
      </c>
      <c r="B150" s="519" t="s">
        <v>5048</v>
      </c>
    </row>
    <row r="151" spans="1:2" x14ac:dyDescent="0.2">
      <c r="A151" s="229" t="s">
        <v>3568</v>
      </c>
      <c r="B151" s="518" t="s">
        <v>5440</v>
      </c>
    </row>
    <row r="152" spans="1:2" x14ac:dyDescent="0.2">
      <c r="A152" s="226" t="s">
        <v>1014</v>
      </c>
      <c r="B152" s="519" t="s">
        <v>5050</v>
      </c>
    </row>
    <row r="153" spans="1:2" x14ac:dyDescent="0.2">
      <c r="A153" s="229" t="s">
        <v>2512</v>
      </c>
      <c r="B153" s="518" t="s">
        <v>5049</v>
      </c>
    </row>
    <row r="154" spans="1:2" x14ac:dyDescent="0.2">
      <c r="A154" s="226" t="s">
        <v>5861</v>
      </c>
      <c r="B154" s="519" t="s">
        <v>5049</v>
      </c>
    </row>
    <row r="155" spans="1:2" x14ac:dyDescent="0.2">
      <c r="A155" s="229" t="s">
        <v>1006</v>
      </c>
      <c r="B155" s="518" t="s">
        <v>5808</v>
      </c>
    </row>
    <row r="156" spans="1:2" x14ac:dyDescent="0.2">
      <c r="A156" s="226" t="s">
        <v>3262</v>
      </c>
      <c r="B156" s="519" t="s">
        <v>5051</v>
      </c>
    </row>
    <row r="157" spans="1:2" x14ac:dyDescent="0.2">
      <c r="A157" s="229" t="s">
        <v>1015</v>
      </c>
      <c r="B157" s="518" t="s">
        <v>5052</v>
      </c>
    </row>
    <row r="158" spans="1:2" x14ac:dyDescent="0.2">
      <c r="A158" s="226" t="s">
        <v>3540</v>
      </c>
      <c r="B158" s="519" t="s">
        <v>5052</v>
      </c>
    </row>
    <row r="159" spans="1:2" x14ac:dyDescent="0.2">
      <c r="A159" s="229" t="s">
        <v>1658</v>
      </c>
      <c r="B159" s="518" t="s">
        <v>5053</v>
      </c>
    </row>
    <row r="160" spans="1:2" x14ac:dyDescent="0.2">
      <c r="A160" s="226" t="s">
        <v>2035</v>
      </c>
      <c r="B160" s="519" t="s">
        <v>5054</v>
      </c>
    </row>
    <row r="161" spans="1:2" x14ac:dyDescent="0.2">
      <c r="A161" s="229" t="s">
        <v>731</v>
      </c>
      <c r="B161" s="518" t="s">
        <v>5497</v>
      </c>
    </row>
    <row r="162" spans="1:2" x14ac:dyDescent="0.2">
      <c r="A162" s="226" t="s">
        <v>1021</v>
      </c>
      <c r="B162" s="519" t="s">
        <v>5055</v>
      </c>
    </row>
    <row r="163" spans="1:2" x14ac:dyDescent="0.2">
      <c r="A163" s="229" t="s">
        <v>724</v>
      </c>
      <c r="B163" s="518" t="s">
        <v>5056</v>
      </c>
    </row>
    <row r="164" spans="1:2" x14ac:dyDescent="0.2">
      <c r="A164" s="226" t="s">
        <v>3636</v>
      </c>
      <c r="B164" s="519" t="s">
        <v>5057</v>
      </c>
    </row>
    <row r="165" spans="1:2" x14ac:dyDescent="0.2">
      <c r="A165" s="229" t="s">
        <v>1176</v>
      </c>
      <c r="B165" s="518" t="s">
        <v>5058</v>
      </c>
    </row>
    <row r="166" spans="1:2" x14ac:dyDescent="0.2">
      <c r="A166" s="226" t="s">
        <v>1177</v>
      </c>
      <c r="B166" s="519" t="s">
        <v>5058</v>
      </c>
    </row>
    <row r="167" spans="1:2" x14ac:dyDescent="0.2">
      <c r="A167" s="229" t="s">
        <v>1001</v>
      </c>
      <c r="B167" s="518" t="s">
        <v>5059</v>
      </c>
    </row>
    <row r="168" spans="1:2" x14ac:dyDescent="0.2">
      <c r="A168" s="226" t="s">
        <v>2825</v>
      </c>
      <c r="B168" s="519" t="s">
        <v>5060</v>
      </c>
    </row>
    <row r="169" spans="1:2" x14ac:dyDescent="0.2">
      <c r="A169" s="229" t="s">
        <v>1081</v>
      </c>
      <c r="B169" s="518" t="s">
        <v>5694</v>
      </c>
    </row>
    <row r="170" spans="1:2" x14ac:dyDescent="0.2">
      <c r="A170" s="226" t="s">
        <v>4205</v>
      </c>
      <c r="B170" s="519" t="s">
        <v>5907</v>
      </c>
    </row>
    <row r="171" spans="1:2" x14ac:dyDescent="0.2">
      <c r="A171" s="229" t="s">
        <v>1179</v>
      </c>
      <c r="B171" s="518" t="s">
        <v>5458</v>
      </c>
    </row>
    <row r="172" spans="1:2" x14ac:dyDescent="0.2">
      <c r="A172" s="226" t="s">
        <v>1729</v>
      </c>
      <c r="B172" s="519" t="s">
        <v>5061</v>
      </c>
    </row>
    <row r="173" spans="1:2" x14ac:dyDescent="0.2">
      <c r="A173" s="229" t="s">
        <v>1018</v>
      </c>
      <c r="B173" s="518" t="s">
        <v>5062</v>
      </c>
    </row>
    <row r="174" spans="1:2" x14ac:dyDescent="0.2">
      <c r="A174" s="226" t="s">
        <v>1762</v>
      </c>
      <c r="B174" s="519" t="s">
        <v>5063</v>
      </c>
    </row>
    <row r="175" spans="1:2" x14ac:dyDescent="0.2">
      <c r="A175" s="229" t="s">
        <v>2705</v>
      </c>
      <c r="B175" s="518" t="s">
        <v>5064</v>
      </c>
    </row>
    <row r="176" spans="1:2" x14ac:dyDescent="0.2">
      <c r="A176" s="226" t="s">
        <v>1017</v>
      </c>
      <c r="B176" s="519" t="s">
        <v>5066</v>
      </c>
    </row>
    <row r="177" spans="1:2" x14ac:dyDescent="0.2">
      <c r="A177" s="229" t="s">
        <v>1927</v>
      </c>
      <c r="B177" s="518" t="s">
        <v>5067</v>
      </c>
    </row>
    <row r="178" spans="1:2" x14ac:dyDescent="0.2">
      <c r="A178" s="226" t="s">
        <v>3906</v>
      </c>
      <c r="B178" s="519" t="s">
        <v>5065</v>
      </c>
    </row>
    <row r="179" spans="1:2" x14ac:dyDescent="0.2">
      <c r="A179" s="229" t="s">
        <v>4649</v>
      </c>
      <c r="B179" s="518" t="s">
        <v>5068</v>
      </c>
    </row>
    <row r="180" spans="1:2" x14ac:dyDescent="0.2">
      <c r="A180" s="226" t="s">
        <v>1456</v>
      </c>
      <c r="B180" s="519" t="s">
        <v>5070</v>
      </c>
    </row>
    <row r="181" spans="1:2" x14ac:dyDescent="0.2">
      <c r="A181" s="229" t="s">
        <v>1470</v>
      </c>
      <c r="B181" s="518" t="s">
        <v>5069</v>
      </c>
    </row>
    <row r="182" spans="1:2" x14ac:dyDescent="0.2">
      <c r="A182" s="226" t="s">
        <v>3992</v>
      </c>
      <c r="B182" s="519" t="s">
        <v>5071</v>
      </c>
    </row>
    <row r="183" spans="1:2" x14ac:dyDescent="0.2">
      <c r="A183" s="229" t="s">
        <v>996</v>
      </c>
      <c r="B183" s="518" t="s">
        <v>5072</v>
      </c>
    </row>
    <row r="184" spans="1:2" x14ac:dyDescent="0.2">
      <c r="A184" s="226" t="s">
        <v>739</v>
      </c>
      <c r="B184" s="519" t="s">
        <v>5073</v>
      </c>
    </row>
    <row r="185" spans="1:2" x14ac:dyDescent="0.2">
      <c r="A185" s="229" t="s">
        <v>4836</v>
      </c>
      <c r="B185" s="518" t="s">
        <v>5074</v>
      </c>
    </row>
    <row r="186" spans="1:2" x14ac:dyDescent="0.2">
      <c r="A186" s="226" t="s">
        <v>5752</v>
      </c>
      <c r="B186" s="519" t="s">
        <v>5753</v>
      </c>
    </row>
    <row r="187" spans="1:2" x14ac:dyDescent="0.2">
      <c r="A187" s="229" t="s">
        <v>5751</v>
      </c>
      <c r="B187" s="518" t="s">
        <v>5753</v>
      </c>
    </row>
    <row r="188" spans="1:2" x14ac:dyDescent="0.2">
      <c r="A188" s="226" t="s">
        <v>5727</v>
      </c>
      <c r="B188" s="519" t="s">
        <v>5754</v>
      </c>
    </row>
    <row r="189" spans="1:2" x14ac:dyDescent="0.2">
      <c r="A189" s="229" t="s">
        <v>4044</v>
      </c>
      <c r="B189" s="518" t="s">
        <v>5075</v>
      </c>
    </row>
    <row r="190" spans="1:2" x14ac:dyDescent="0.2">
      <c r="A190" s="226" t="s">
        <v>5681</v>
      </c>
      <c r="B190" s="519" t="s">
        <v>5755</v>
      </c>
    </row>
    <row r="191" spans="1:2" x14ac:dyDescent="0.2">
      <c r="A191" s="229" t="s">
        <v>1197</v>
      </c>
      <c r="B191" s="518" t="s">
        <v>5076</v>
      </c>
    </row>
    <row r="192" spans="1:2" x14ac:dyDescent="0.2">
      <c r="A192" s="226" t="s">
        <v>4803</v>
      </c>
      <c r="B192" s="519" t="s">
        <v>5077</v>
      </c>
    </row>
    <row r="193" spans="1:2" x14ac:dyDescent="0.2">
      <c r="A193" s="229" t="s">
        <v>1457</v>
      </c>
      <c r="B193" s="518" t="s">
        <v>5078</v>
      </c>
    </row>
    <row r="194" spans="1:2" x14ac:dyDescent="0.2">
      <c r="A194" s="226" t="s">
        <v>1020</v>
      </c>
      <c r="B194" s="519" t="s">
        <v>5079</v>
      </c>
    </row>
    <row r="195" spans="1:2" x14ac:dyDescent="0.2">
      <c r="A195" s="229" t="s">
        <v>4453</v>
      </c>
      <c r="B195" s="518" t="s">
        <v>5080</v>
      </c>
    </row>
    <row r="196" spans="1:2" x14ac:dyDescent="0.2">
      <c r="A196" s="226" t="s">
        <v>5728</v>
      </c>
      <c r="B196" s="519" t="s">
        <v>5730</v>
      </c>
    </row>
    <row r="197" spans="1:2" x14ac:dyDescent="0.2">
      <c r="A197" s="229" t="s">
        <v>1007</v>
      </c>
      <c r="B197" s="518" t="s">
        <v>5958</v>
      </c>
    </row>
    <row r="198" spans="1:2" x14ac:dyDescent="0.2">
      <c r="A198" s="226" t="s">
        <v>1095</v>
      </c>
      <c r="B198" s="519" t="s">
        <v>5081</v>
      </c>
    </row>
    <row r="199" spans="1:2" x14ac:dyDescent="0.2">
      <c r="A199" s="229" t="s">
        <v>1022</v>
      </c>
      <c r="B199" s="518" t="s">
        <v>5082</v>
      </c>
    </row>
    <row r="200" spans="1:2" x14ac:dyDescent="0.2">
      <c r="A200" s="226" t="s">
        <v>1023</v>
      </c>
      <c r="B200" s="519" t="s">
        <v>5082</v>
      </c>
    </row>
    <row r="201" spans="1:2" x14ac:dyDescent="0.2">
      <c r="A201" s="229" t="s">
        <v>740</v>
      </c>
      <c r="B201" s="518" t="s">
        <v>5083</v>
      </c>
    </row>
    <row r="202" spans="1:2" x14ac:dyDescent="0.2">
      <c r="A202" s="226" t="s">
        <v>5613</v>
      </c>
      <c r="B202" s="519" t="s">
        <v>5617</v>
      </c>
    </row>
    <row r="203" spans="1:2" x14ac:dyDescent="0.2">
      <c r="A203" s="229" t="s">
        <v>3137</v>
      </c>
      <c r="B203" s="518" t="s">
        <v>5084</v>
      </c>
    </row>
    <row r="204" spans="1:2" x14ac:dyDescent="0.2">
      <c r="A204" s="226" t="s">
        <v>4198</v>
      </c>
      <c r="B204" s="519" t="s">
        <v>5085</v>
      </c>
    </row>
    <row r="206" spans="1:2" x14ac:dyDescent="0.2">
      <c r="A206" s="342" t="s">
        <v>5086</v>
      </c>
      <c r="B206" s="342"/>
    </row>
    <row r="207" spans="1:2" x14ac:dyDescent="0.2">
      <c r="A207" s="229" t="s">
        <v>5087</v>
      </c>
      <c r="B207" s="518" t="s">
        <v>5957</v>
      </c>
    </row>
    <row r="208" spans="1:2" x14ac:dyDescent="0.2">
      <c r="A208" s="226" t="s">
        <v>5088</v>
      </c>
      <c r="B208" s="519">
        <v>16</v>
      </c>
    </row>
    <row r="209" spans="1:2" x14ac:dyDescent="0.2">
      <c r="A209" s="229" t="s">
        <v>4972</v>
      </c>
      <c r="B209" s="518" t="s">
        <v>5959</v>
      </c>
    </row>
    <row r="210" spans="1:2" x14ac:dyDescent="0.2">
      <c r="A210" s="226" t="s">
        <v>4973</v>
      </c>
      <c r="B210" s="519" t="s">
        <v>5790</v>
      </c>
    </row>
    <row r="211" spans="1:2" x14ac:dyDescent="0.2">
      <c r="A211" s="229" t="s">
        <v>4974</v>
      </c>
      <c r="B211" s="518" t="s">
        <v>5089</v>
      </c>
    </row>
    <row r="212" spans="1:2" x14ac:dyDescent="0.2">
      <c r="A212" s="226" t="s">
        <v>5090</v>
      </c>
      <c r="B212" s="519" t="s">
        <v>5791</v>
      </c>
    </row>
    <row r="213" spans="1:2" x14ac:dyDescent="0.2">
      <c r="A213" s="229" t="s">
        <v>5091</v>
      </c>
      <c r="B213" s="518" t="s">
        <v>5092</v>
      </c>
    </row>
    <row r="214" spans="1:2" x14ac:dyDescent="0.2">
      <c r="A214" s="226" t="s">
        <v>5093</v>
      </c>
      <c r="B214" s="519" t="s">
        <v>5825</v>
      </c>
    </row>
    <row r="216" spans="1:2" x14ac:dyDescent="0.2">
      <c r="A216" s="342" t="s">
        <v>5094</v>
      </c>
      <c r="B216" s="342"/>
    </row>
    <row r="217" spans="1:2" x14ac:dyDescent="0.2">
      <c r="A217" s="229" t="s">
        <v>3040</v>
      </c>
      <c r="B217" s="518" t="s">
        <v>5463</v>
      </c>
    </row>
    <row r="218" spans="1:2" x14ac:dyDescent="0.2">
      <c r="A218" s="226" t="s">
        <v>3033</v>
      </c>
      <c r="B218" s="519" t="s">
        <v>5792</v>
      </c>
    </row>
    <row r="219" spans="1:2" x14ac:dyDescent="0.2">
      <c r="A219" s="229" t="s">
        <v>3032</v>
      </c>
      <c r="B219" s="518" t="s">
        <v>5960</v>
      </c>
    </row>
    <row r="220" spans="1:2" x14ac:dyDescent="0.2">
      <c r="A220" s="226" t="s">
        <v>3035</v>
      </c>
      <c r="B220" s="519" t="s">
        <v>5816</v>
      </c>
    </row>
    <row r="221" spans="1:2" x14ac:dyDescent="0.2">
      <c r="A221" s="229" t="s">
        <v>3034</v>
      </c>
      <c r="B221" s="518" t="s">
        <v>5865</v>
      </c>
    </row>
    <row r="222" spans="1:2" x14ac:dyDescent="0.2">
      <c r="A222" s="226" t="s">
        <v>3038</v>
      </c>
      <c r="B222" s="519" t="s">
        <v>5095</v>
      </c>
    </row>
    <row r="223" spans="1:2" x14ac:dyDescent="0.2">
      <c r="A223" s="229" t="s">
        <v>3036</v>
      </c>
      <c r="B223" s="518" t="s">
        <v>5687</v>
      </c>
    </row>
    <row r="224" spans="1:2" x14ac:dyDescent="0.2">
      <c r="A224" s="226" t="s">
        <v>1011</v>
      </c>
      <c r="B224" s="519" t="s">
        <v>5558</v>
      </c>
    </row>
    <row r="225" spans="1:2" x14ac:dyDescent="0.2">
      <c r="A225" s="229" t="s">
        <v>3039</v>
      </c>
      <c r="B225" s="518" t="s">
        <v>5096</v>
      </c>
    </row>
    <row r="226" spans="1:2" x14ac:dyDescent="0.2">
      <c r="A226" s="226" t="s">
        <v>1081</v>
      </c>
      <c r="B226" s="519" t="s">
        <v>5793</v>
      </c>
    </row>
    <row r="227" spans="1:2" x14ac:dyDescent="0.2">
      <c r="A227" s="229" t="s">
        <v>2705</v>
      </c>
      <c r="B227" s="518" t="s">
        <v>5097</v>
      </c>
    </row>
    <row r="228" spans="1:2" x14ac:dyDescent="0.2">
      <c r="A228" s="226" t="s">
        <v>3037</v>
      </c>
      <c r="B228" s="519" t="s">
        <v>5098</v>
      </c>
    </row>
    <row r="229" spans="1:2" x14ac:dyDescent="0.2">
      <c r="A229" s="229" t="s">
        <v>995</v>
      </c>
      <c r="B229" s="518" t="s">
        <v>5395</v>
      </c>
    </row>
    <row r="230" spans="1:2" x14ac:dyDescent="0.2">
      <c r="A230" s="226" t="s">
        <v>4805</v>
      </c>
      <c r="B230" s="519" t="s">
        <v>5099</v>
      </c>
    </row>
    <row r="231" spans="1:2" x14ac:dyDescent="0.2">
      <c r="A231" s="229" t="s">
        <v>3041</v>
      </c>
      <c r="B231" s="518" t="s">
        <v>5794</v>
      </c>
    </row>
    <row r="232" spans="1:2" x14ac:dyDescent="0.2">
      <c r="A232" s="226" t="s">
        <v>3150</v>
      </c>
      <c r="B232" s="519" t="s">
        <v>5100</v>
      </c>
    </row>
    <row r="234" spans="1:2" x14ac:dyDescent="0.2">
      <c r="A234" s="342" t="s">
        <v>5101</v>
      </c>
      <c r="B234" s="342"/>
    </row>
    <row r="235" spans="1:2" x14ac:dyDescent="0.2">
      <c r="A235" s="229" t="s">
        <v>3040</v>
      </c>
      <c r="B235" s="518" t="s">
        <v>5459</v>
      </c>
    </row>
    <row r="236" spans="1:2" x14ac:dyDescent="0.2">
      <c r="A236" s="226" t="s">
        <v>3033</v>
      </c>
      <c r="B236" s="519" t="s">
        <v>5102</v>
      </c>
    </row>
    <row r="237" spans="1:2" x14ac:dyDescent="0.2">
      <c r="A237" s="229" t="s">
        <v>3032</v>
      </c>
      <c r="B237" s="518" t="s">
        <v>5103</v>
      </c>
    </row>
    <row r="238" spans="1:2" x14ac:dyDescent="0.2">
      <c r="A238" s="226" t="s">
        <v>3035</v>
      </c>
      <c r="B238" s="519" t="s">
        <v>5817</v>
      </c>
    </row>
    <row r="239" spans="1:2" x14ac:dyDescent="0.2">
      <c r="A239" s="229" t="s">
        <v>3034</v>
      </c>
      <c r="B239" s="518" t="s">
        <v>5866</v>
      </c>
    </row>
    <row r="240" spans="1:2" x14ac:dyDescent="0.2">
      <c r="A240" s="226" t="s">
        <v>3038</v>
      </c>
      <c r="B240" s="519" t="s">
        <v>5105</v>
      </c>
    </row>
    <row r="241" spans="1:2" x14ac:dyDescent="0.2">
      <c r="A241" s="229" t="s">
        <v>3036</v>
      </c>
      <c r="B241" s="518" t="s">
        <v>5106</v>
      </c>
    </row>
    <row r="242" spans="1:2" x14ac:dyDescent="0.2">
      <c r="A242" s="226" t="s">
        <v>1011</v>
      </c>
      <c r="B242" s="519" t="s">
        <v>5107</v>
      </c>
    </row>
    <row r="243" spans="1:2" x14ac:dyDescent="0.2">
      <c r="A243" s="229" t="s">
        <v>3039</v>
      </c>
      <c r="B243" s="518" t="s">
        <v>5108</v>
      </c>
    </row>
    <row r="244" spans="1:2" x14ac:dyDescent="0.2">
      <c r="A244" s="226" t="s">
        <v>1081</v>
      </c>
      <c r="B244" s="519" t="s">
        <v>5104</v>
      </c>
    </row>
    <row r="245" spans="1:2" x14ac:dyDescent="0.2">
      <c r="A245" s="229" t="s">
        <v>2705</v>
      </c>
      <c r="B245" s="518" t="s">
        <v>5109</v>
      </c>
    </row>
    <row r="246" spans="1:2" x14ac:dyDescent="0.2">
      <c r="A246" s="226" t="s">
        <v>3037</v>
      </c>
      <c r="B246" s="519" t="s">
        <v>5110</v>
      </c>
    </row>
    <row r="247" spans="1:2" x14ac:dyDescent="0.2">
      <c r="A247" s="229" t="s">
        <v>995</v>
      </c>
      <c r="B247" s="518" t="s">
        <v>5111</v>
      </c>
    </row>
    <row r="248" spans="1:2" x14ac:dyDescent="0.2">
      <c r="A248" s="226" t="s">
        <v>4805</v>
      </c>
      <c r="B248" s="519" t="s">
        <v>5112</v>
      </c>
    </row>
    <row r="249" spans="1:2" x14ac:dyDescent="0.2">
      <c r="A249" s="229" t="s">
        <v>3041</v>
      </c>
      <c r="B249" s="518" t="s">
        <v>5795</v>
      </c>
    </row>
    <row r="250" spans="1:2" x14ac:dyDescent="0.2">
      <c r="A250" s="226" t="s">
        <v>3150</v>
      </c>
      <c r="B250" s="519" t="s">
        <v>5113</v>
      </c>
    </row>
    <row r="252" spans="1:2" x14ac:dyDescent="0.2">
      <c r="A252" s="342" t="s">
        <v>5114</v>
      </c>
      <c r="B252" s="342"/>
    </row>
    <row r="253" spans="1:2" x14ac:dyDescent="0.2">
      <c r="A253" s="229" t="s">
        <v>5115</v>
      </c>
      <c r="B253" s="518" t="s">
        <v>5957</v>
      </c>
    </row>
    <row r="254" spans="1:2" x14ac:dyDescent="0.2">
      <c r="A254" s="226" t="s">
        <v>5116</v>
      </c>
      <c r="B254" s="519">
        <v>1966</v>
      </c>
    </row>
    <row r="255" spans="1:2" x14ac:dyDescent="0.2">
      <c r="A255" s="229" t="s">
        <v>5117</v>
      </c>
      <c r="B255" s="518">
        <v>2026</v>
      </c>
    </row>
    <row r="256" spans="1:2" x14ac:dyDescent="0.2">
      <c r="A256" s="226" t="s">
        <v>5118</v>
      </c>
      <c r="B256" s="519" t="s">
        <v>5511</v>
      </c>
    </row>
    <row r="257" spans="1:2" x14ac:dyDescent="0.2">
      <c r="A257" s="229" t="s">
        <v>5119</v>
      </c>
      <c r="B257" s="518" t="s">
        <v>5839</v>
      </c>
    </row>
    <row r="259" spans="1:2" x14ac:dyDescent="0.2">
      <c r="A259" s="342" t="s">
        <v>5120</v>
      </c>
      <c r="B259" s="342"/>
    </row>
    <row r="260" spans="1:2" x14ac:dyDescent="0.2">
      <c r="A260" s="226" t="s">
        <v>1824</v>
      </c>
      <c r="B260" s="519" t="s">
        <v>5121</v>
      </c>
    </row>
    <row r="261" spans="1:2" x14ac:dyDescent="0.2">
      <c r="A261" s="229" t="s">
        <v>1825</v>
      </c>
      <c r="B261" s="518" t="s">
        <v>5840</v>
      </c>
    </row>
    <row r="262" spans="1:2" x14ac:dyDescent="0.2">
      <c r="A262" s="226" t="s">
        <v>1826</v>
      </c>
      <c r="B262" s="519" t="s">
        <v>5961</v>
      </c>
    </row>
    <row r="263" spans="1:2" x14ac:dyDescent="0.2">
      <c r="A263" s="229" t="s">
        <v>1827</v>
      </c>
      <c r="B263" s="518" t="s">
        <v>5618</v>
      </c>
    </row>
    <row r="264" spans="1:2" x14ac:dyDescent="0.2">
      <c r="A264" s="226" t="s">
        <v>1828</v>
      </c>
      <c r="B264" s="519" t="s">
        <v>5867</v>
      </c>
    </row>
    <row r="265" spans="1:2" x14ac:dyDescent="0.2">
      <c r="A265" s="229" t="s">
        <v>1829</v>
      </c>
      <c r="B265" s="518" t="s">
        <v>5826</v>
      </c>
    </row>
    <row r="266" spans="1:2" x14ac:dyDescent="0.2">
      <c r="A266" s="226" t="s">
        <v>1830</v>
      </c>
      <c r="B266" s="519" t="s">
        <v>5796</v>
      </c>
    </row>
    <row r="268" spans="1:2" x14ac:dyDescent="0.2">
      <c r="A268" s="342" t="s">
        <v>5122</v>
      </c>
      <c r="B268" s="342"/>
    </row>
    <row r="269" spans="1:2" x14ac:dyDescent="0.2">
      <c r="A269" s="229" t="s">
        <v>5123</v>
      </c>
      <c r="B269" s="518" t="s">
        <v>5957</v>
      </c>
    </row>
    <row r="270" spans="1:2" x14ac:dyDescent="0.2">
      <c r="A270" s="226" t="s">
        <v>5124</v>
      </c>
      <c r="B270" s="519" t="s">
        <v>1793</v>
      </c>
    </row>
    <row r="271" spans="1:2" x14ac:dyDescent="0.2">
      <c r="A271" s="229" t="s">
        <v>5125</v>
      </c>
      <c r="B271" s="518" t="s">
        <v>3355</v>
      </c>
    </row>
    <row r="272" spans="1:2" x14ac:dyDescent="0.2">
      <c r="A272" s="226" t="s">
        <v>5126</v>
      </c>
      <c r="B272" s="519" t="s">
        <v>5127</v>
      </c>
    </row>
    <row r="274" spans="1:2" x14ac:dyDescent="0.2">
      <c r="A274" s="342" t="s">
        <v>5128</v>
      </c>
      <c r="B274" s="342"/>
    </row>
    <row r="275" spans="1:2" x14ac:dyDescent="0.2">
      <c r="A275" s="229" t="s">
        <v>5129</v>
      </c>
      <c r="B275" s="518"/>
    </row>
    <row r="276" spans="1:2" x14ac:dyDescent="0.2">
      <c r="A276" s="226" t="s">
        <v>4937</v>
      </c>
      <c r="B276" s="519" t="s">
        <v>5872</v>
      </c>
    </row>
    <row r="277" spans="1:2" x14ac:dyDescent="0.2">
      <c r="A277" s="229" t="s">
        <v>5130</v>
      </c>
      <c r="B277" s="518" t="s">
        <v>5962</v>
      </c>
    </row>
    <row r="278" spans="1:2" x14ac:dyDescent="0.2">
      <c r="A278" s="226" t="s">
        <v>4940</v>
      </c>
      <c r="B278" s="519" t="s">
        <v>5963</v>
      </c>
    </row>
    <row r="279" spans="1:2" x14ac:dyDescent="0.2">
      <c r="A279" s="229" t="s">
        <v>4946</v>
      </c>
      <c r="B279" s="518" t="s">
        <v>5935</v>
      </c>
    </row>
    <row r="280" spans="1:2" x14ac:dyDescent="0.2">
      <c r="A280" s="226" t="s">
        <v>289</v>
      </c>
      <c r="B280" s="519" t="s">
        <v>5936</v>
      </c>
    </row>
    <row r="281" spans="1:2" x14ac:dyDescent="0.2">
      <c r="A281" s="229" t="s">
        <v>5131</v>
      </c>
      <c r="B281" s="518" t="s">
        <v>5964</v>
      </c>
    </row>
    <row r="282" spans="1:2" x14ac:dyDescent="0.2">
      <c r="A282" s="226" t="s">
        <v>5132</v>
      </c>
      <c r="B282" s="519" t="s">
        <v>5965</v>
      </c>
    </row>
    <row r="284" spans="1:2" x14ac:dyDescent="0.2">
      <c r="A284" s="226" t="s">
        <v>5133</v>
      </c>
      <c r="B284" s="519" t="s">
        <v>5937</v>
      </c>
    </row>
    <row r="285" spans="1:2" x14ac:dyDescent="0.2">
      <c r="A285" s="229" t="s">
        <v>5134</v>
      </c>
      <c r="B285" s="518" t="s">
        <v>5966</v>
      </c>
    </row>
    <row r="287" spans="1:2" x14ac:dyDescent="0.2">
      <c r="A287" s="342" t="s">
        <v>5135</v>
      </c>
      <c r="B287" s="342"/>
    </row>
    <row r="288" spans="1:2" x14ac:dyDescent="0.2">
      <c r="A288" s="226" t="s">
        <v>5938</v>
      </c>
      <c r="B288" s="519" t="s">
        <v>5939</v>
      </c>
    </row>
    <row r="289" spans="1:2" x14ac:dyDescent="0.2">
      <c r="A289" s="229" t="s">
        <v>5940</v>
      </c>
      <c r="B289" s="518" t="s">
        <v>5731</v>
      </c>
    </row>
    <row r="290" spans="1:2" x14ac:dyDescent="0.2">
      <c r="A290" s="226" t="s">
        <v>5941</v>
      </c>
      <c r="B290" s="519" t="s">
        <v>5688</v>
      </c>
    </row>
    <row r="291" spans="1:2" x14ac:dyDescent="0.2">
      <c r="A291" s="229" t="s">
        <v>5942</v>
      </c>
      <c r="B291" s="518" t="s">
        <v>5868</v>
      </c>
    </row>
    <row r="292" spans="1:2" x14ac:dyDescent="0.2">
      <c r="A292" s="226" t="s">
        <v>5943</v>
      </c>
      <c r="B292" s="519" t="s">
        <v>5841</v>
      </c>
    </row>
    <row r="293" spans="1:2" x14ac:dyDescent="0.2">
      <c r="A293" s="229" t="s">
        <v>5944</v>
      </c>
      <c r="B293" s="518" t="s">
        <v>5945</v>
      </c>
    </row>
    <row r="294" spans="1:2" x14ac:dyDescent="0.2">
      <c r="A294" s="226" t="s">
        <v>5946</v>
      </c>
      <c r="B294" s="519" t="s">
        <v>5947</v>
      </c>
    </row>
    <row r="295" spans="1:2" x14ac:dyDescent="0.2">
      <c r="A295" s="229" t="s">
        <v>5948</v>
      </c>
      <c r="B295" s="518" t="s">
        <v>5756</v>
      </c>
    </row>
    <row r="296" spans="1:2" x14ac:dyDescent="0.2">
      <c r="A296" s="226" t="s">
        <v>5949</v>
      </c>
      <c r="B296" s="519" t="s">
        <v>5950</v>
      </c>
    </row>
    <row r="297" spans="1:2" x14ac:dyDescent="0.2">
      <c r="A297" s="229" t="s">
        <v>5869</v>
      </c>
      <c r="B297" s="518" t="s">
        <v>5870</v>
      </c>
    </row>
    <row r="298" spans="1:2" x14ac:dyDescent="0.2">
      <c r="A298" s="226" t="s">
        <v>5809</v>
      </c>
      <c r="B298" s="519" t="s">
        <v>5757</v>
      </c>
    </row>
    <row r="299" spans="1:2" x14ac:dyDescent="0.2">
      <c r="A299" s="229" t="s">
        <v>5810</v>
      </c>
      <c r="B299" s="518" t="s">
        <v>5679</v>
      </c>
    </row>
    <row r="300" spans="1:2" x14ac:dyDescent="0.2">
      <c r="A300" s="226" t="s">
        <v>5811</v>
      </c>
      <c r="B300" s="519" t="s">
        <v>5689</v>
      </c>
    </row>
    <row r="301" spans="1:2" x14ac:dyDescent="0.2">
      <c r="A301" s="229" t="s">
        <v>5812</v>
      </c>
      <c r="B301" s="518" t="s">
        <v>5813</v>
      </c>
    </row>
    <row r="302" spans="1:2" x14ac:dyDescent="0.2">
      <c r="A302" s="226" t="s">
        <v>5814</v>
      </c>
      <c r="B302" s="519" t="s">
        <v>5690</v>
      </c>
    </row>
    <row r="303" spans="1:2" x14ac:dyDescent="0.2">
      <c r="A303" s="229" t="s">
        <v>5691</v>
      </c>
      <c r="B303" s="518" t="s">
        <v>5692</v>
      </c>
    </row>
    <row r="304" spans="1:2" x14ac:dyDescent="0.2">
      <c r="A304" s="226" t="s">
        <v>5610</v>
      </c>
      <c r="B304" s="519" t="s">
        <v>5611</v>
      </c>
    </row>
    <row r="306" spans="1:2" x14ac:dyDescent="0.2">
      <c r="A306" s="342" t="s">
        <v>5136</v>
      </c>
      <c r="B306" s="342"/>
    </row>
    <row r="307" spans="1:2" x14ac:dyDescent="0.2">
      <c r="A307" s="229" t="s">
        <v>5137</v>
      </c>
      <c r="B307" s="518" t="s">
        <v>5758</v>
      </c>
    </row>
    <row r="308" spans="1:2" x14ac:dyDescent="0.2">
      <c r="A308" s="226" t="s">
        <v>5138</v>
      </c>
      <c r="B308" s="519" t="s">
        <v>5842</v>
      </c>
    </row>
    <row r="309" spans="1:2" x14ac:dyDescent="0.2">
      <c r="A309" s="229" t="s">
        <v>5139</v>
      </c>
      <c r="B309" s="518" t="s">
        <v>5843</v>
      </c>
    </row>
    <row r="310" spans="1:2" x14ac:dyDescent="0.2">
      <c r="A310" s="226" t="s">
        <v>5140</v>
      </c>
      <c r="B310" s="519" t="s">
        <v>5843</v>
      </c>
    </row>
    <row r="311" spans="1:2" x14ac:dyDescent="0.2">
      <c r="A311" s="229" t="s">
        <v>5141</v>
      </c>
      <c r="B311" s="518" t="s">
        <v>5844</v>
      </c>
    </row>
    <row r="312" spans="1:2" x14ac:dyDescent="0.2">
      <c r="A312" s="226" t="s">
        <v>5142</v>
      </c>
      <c r="B312" s="519" t="s">
        <v>5951</v>
      </c>
    </row>
    <row r="313" spans="1:2" x14ac:dyDescent="0.2">
      <c r="A313" s="229" t="s">
        <v>5143</v>
      </c>
      <c r="B313" s="518" t="s">
        <v>5871</v>
      </c>
    </row>
    <row r="314" spans="1:2" x14ac:dyDescent="0.2">
      <c r="A314" s="226" t="s">
        <v>5144</v>
      </c>
      <c r="B314" s="519" t="s">
        <v>5873</v>
      </c>
    </row>
    <row r="315" spans="1:2" x14ac:dyDescent="0.2">
      <c r="A315" s="229" t="s">
        <v>5145</v>
      </c>
      <c r="B315" s="518" t="s">
        <v>5952</v>
      </c>
    </row>
    <row r="316" spans="1:2" x14ac:dyDescent="0.2">
      <c r="A316" s="226" t="s">
        <v>5146</v>
      </c>
      <c r="B316" s="519" t="s">
        <v>5967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1192-4070-F44F-AE27-A138C4233AF6}">
  <dimension ref="A1:H132"/>
  <sheetViews>
    <sheetView zoomScale="120" zoomScaleNormal="120" workbookViewId="0">
      <selection activeCell="E74" sqref="E74"/>
    </sheetView>
  </sheetViews>
  <sheetFormatPr baseColWidth="10" defaultRowHeight="16" x14ac:dyDescent="0.2"/>
  <cols>
    <col min="1" max="1" width="5.5" style="528" customWidth="1"/>
    <col min="2" max="2" width="28.33203125" customWidth="1"/>
    <col min="3" max="3" width="67.1640625" customWidth="1"/>
    <col min="4" max="4" width="29" style="514" customWidth="1"/>
    <col min="5" max="5" width="10.5" customWidth="1"/>
    <col min="6" max="6" width="6" customWidth="1"/>
    <col min="7" max="7" width="7.5" customWidth="1"/>
  </cols>
  <sheetData>
    <row r="1" spans="1:8" ht="16" customHeight="1" x14ac:dyDescent="0.2">
      <c r="B1" s="531" t="s">
        <v>5320</v>
      </c>
      <c r="C1" s="531" t="s">
        <v>5325</v>
      </c>
      <c r="D1" s="531" t="s">
        <v>5323</v>
      </c>
      <c r="E1" s="531" t="s">
        <v>5321</v>
      </c>
      <c r="F1" s="531" t="s">
        <v>5322</v>
      </c>
      <c r="G1" s="531" t="s">
        <v>5324</v>
      </c>
    </row>
    <row r="2" spans="1:8" ht="16" customHeight="1" x14ac:dyDescent="0.2">
      <c r="A2" s="528">
        <v>1</v>
      </c>
      <c r="B2" s="528" t="s">
        <v>2277</v>
      </c>
      <c r="C2" t="s">
        <v>5318</v>
      </c>
      <c r="D2" s="506" t="str">
        <f>VLOOKUP(E2,'Tabla Albums'!C:L,9,FALSE)</f>
        <v>progressive rock</v>
      </c>
      <c r="E2" t="s">
        <v>2277</v>
      </c>
      <c r="F2" t="s">
        <v>2292</v>
      </c>
      <c r="G2" s="514">
        <v>1972</v>
      </c>
    </row>
    <row r="3" spans="1:8" ht="16" customHeight="1" x14ac:dyDescent="0.2">
      <c r="A3" s="528">
        <v>2</v>
      </c>
      <c r="B3" s="529" t="s">
        <v>9</v>
      </c>
      <c r="C3" s="506" t="s">
        <v>5317</v>
      </c>
      <c r="D3" s="506" t="str">
        <f>VLOOKUP(E3,'Tabla Albums'!C:L,9,FALSE)</f>
        <v>progressive metal, alternative metal</v>
      </c>
      <c r="E3" s="508" t="s">
        <v>7</v>
      </c>
      <c r="F3" s="506" t="s">
        <v>292</v>
      </c>
      <c r="G3" s="507">
        <f>VLOOKUP(E3,'Tabla Albums'!C:L,10,FALSE)</f>
        <v>2001</v>
      </c>
    </row>
    <row r="4" spans="1:8" ht="16" customHeight="1" x14ac:dyDescent="0.2">
      <c r="A4" s="528">
        <v>3</v>
      </c>
      <c r="B4" s="529" t="s">
        <v>16</v>
      </c>
      <c r="C4" s="506" t="s">
        <v>5315</v>
      </c>
      <c r="D4" s="506" t="str">
        <f>VLOOKUP(E4,'Tabla Albums'!C:L,9,FALSE)</f>
        <v>art rock, alternative rock</v>
      </c>
      <c r="E4" s="508" t="s">
        <v>294</v>
      </c>
      <c r="F4" s="509" t="s">
        <v>293</v>
      </c>
      <c r="G4" s="507">
        <f>VLOOKUP(E4,'Tabla Albums'!C:L,10,FALSE)</f>
        <v>2007</v>
      </c>
    </row>
    <row r="5" spans="1:8" ht="16" customHeight="1" x14ac:dyDescent="0.2">
      <c r="A5" s="528">
        <v>4</v>
      </c>
      <c r="B5" s="530" t="s">
        <v>4527</v>
      </c>
      <c r="C5" s="506" t="s">
        <v>5314</v>
      </c>
      <c r="D5" s="506" t="str">
        <f>VLOOKUP(E5,'Tabla Albums'!C:L,9,FALSE)</f>
        <v>hard rock, progressive rock</v>
      </c>
      <c r="E5" s="510" t="s">
        <v>4531</v>
      </c>
      <c r="F5" s="511" t="s">
        <v>4530</v>
      </c>
      <c r="G5" s="507">
        <f>VLOOKUP(E5,'Tabla Albums'!C:L,10,FALSE)</f>
        <v>2008</v>
      </c>
      <c r="H5" s="506"/>
    </row>
    <row r="6" spans="1:8" ht="16" customHeight="1" x14ac:dyDescent="0.2">
      <c r="A6" s="528">
        <v>5</v>
      </c>
      <c r="B6" s="529" t="s">
        <v>632</v>
      </c>
      <c r="C6" s="506" t="s">
        <v>5313</v>
      </c>
      <c r="D6" s="506" t="str">
        <f>VLOOKUP(E6,'Tabla Albums'!C:L,9,FALSE)</f>
        <v>post rock</v>
      </c>
      <c r="E6" s="508" t="s">
        <v>634</v>
      </c>
      <c r="F6" s="509" t="s">
        <v>2459</v>
      </c>
      <c r="G6" s="507">
        <f>VLOOKUP(E6,'Tabla Albums'!C:L,10,FALSE)</f>
        <v>2000</v>
      </c>
      <c r="H6" s="506"/>
    </row>
    <row r="7" spans="1:8" ht="16" customHeight="1" x14ac:dyDescent="0.2">
      <c r="A7" s="528">
        <v>6</v>
      </c>
      <c r="B7" s="529" t="s">
        <v>2278</v>
      </c>
      <c r="C7" s="506" t="s">
        <v>5312</v>
      </c>
      <c r="D7" s="506" t="str">
        <f>VLOOKUP(E7,'Tabla Albums'!C:L,9,FALSE)</f>
        <v>progressive rock</v>
      </c>
      <c r="E7" s="508" t="s">
        <v>2277</v>
      </c>
      <c r="F7" s="509" t="s">
        <v>2292</v>
      </c>
      <c r="G7" s="507">
        <f>VLOOKUP(E7,'Tabla Albums'!C:L,10,FALSE)</f>
        <v>1972</v>
      </c>
      <c r="H7" s="506"/>
    </row>
    <row r="8" spans="1:8" ht="16" customHeight="1" x14ac:dyDescent="0.2">
      <c r="A8" s="528">
        <v>7</v>
      </c>
      <c r="B8" s="529" t="s">
        <v>915</v>
      </c>
      <c r="C8" s="506" t="s">
        <v>5311</v>
      </c>
      <c r="D8" s="506" t="str">
        <f>VLOOKUP(E8,'Tabla Albums'!C:L,9,FALSE)</f>
        <v>progressive metal, death metal</v>
      </c>
      <c r="E8" s="508" t="s">
        <v>922</v>
      </c>
      <c r="F8" s="509" t="s">
        <v>300</v>
      </c>
      <c r="G8" s="507">
        <f>VLOOKUP(E8,'Tabla Albums'!C:L,10,FALSE)</f>
        <v>2005</v>
      </c>
      <c r="H8" s="506"/>
    </row>
    <row r="9" spans="1:8" ht="16" customHeight="1" x14ac:dyDescent="0.2">
      <c r="A9" s="528">
        <v>8</v>
      </c>
      <c r="B9" s="530" t="s">
        <v>703</v>
      </c>
      <c r="C9" s="506" t="s">
        <v>5310</v>
      </c>
      <c r="D9" s="506" t="str">
        <f>VLOOKUP(E9,'Tabla Albums'!C:L,9,FALSE)</f>
        <v>progressive rock, psychedelic rock</v>
      </c>
      <c r="E9" s="510" t="s">
        <v>727</v>
      </c>
      <c r="F9" s="511" t="s">
        <v>298</v>
      </c>
      <c r="G9" s="507">
        <f>VLOOKUP(E9,'Tabla Albums'!C:L,10,FALSE)</f>
        <v>1977</v>
      </c>
      <c r="H9" s="506"/>
    </row>
    <row r="10" spans="1:8" ht="16" customHeight="1" x14ac:dyDescent="0.2">
      <c r="A10" s="528">
        <v>9</v>
      </c>
      <c r="B10" s="529" t="s">
        <v>184</v>
      </c>
      <c r="C10" s="506" t="s">
        <v>5309</v>
      </c>
      <c r="D10" s="506" t="str">
        <f>VLOOKUP(E10,'Tabla Albums'!C:L,9,FALSE)</f>
        <v>shoegaze, slowcore</v>
      </c>
      <c r="E10" s="508" t="s">
        <v>186</v>
      </c>
      <c r="F10" s="509" t="s">
        <v>302</v>
      </c>
      <c r="G10" s="507">
        <f>VLOOKUP(E10,'Tabla Albums'!C:L,10,FALSE)</f>
        <v>2008</v>
      </c>
      <c r="H10" s="506"/>
    </row>
    <row r="11" spans="1:8" ht="16" customHeight="1" x14ac:dyDescent="0.2">
      <c r="A11" s="528">
        <v>10</v>
      </c>
      <c r="B11" s="530" t="s">
        <v>5307</v>
      </c>
      <c r="C11" s="506" t="s">
        <v>5308</v>
      </c>
      <c r="D11" s="506" t="str">
        <f>VLOOKUP(E11,'Tabla Albums'!C:L,9,FALSE)</f>
        <v>art rock, electronic</v>
      </c>
      <c r="E11" s="510" t="s">
        <v>251</v>
      </c>
      <c r="F11" s="511" t="s">
        <v>293</v>
      </c>
      <c r="G11" s="507">
        <f>VLOOKUP(E11,'Tabla Albums'!C:L,10,FALSE)</f>
        <v>2000</v>
      </c>
      <c r="H11" s="506"/>
    </row>
    <row r="12" spans="1:8" ht="16" customHeight="1" x14ac:dyDescent="0.2">
      <c r="A12" s="528">
        <v>11</v>
      </c>
      <c r="B12" s="530" t="s">
        <v>54</v>
      </c>
      <c r="C12" s="506" t="s">
        <v>5306</v>
      </c>
      <c r="D12" s="506" t="str">
        <f>VLOOKUP(E12,'Tabla Albums'!C:L,9,FALSE)</f>
        <v>progressive rock, psychedelic rock</v>
      </c>
      <c r="E12" s="510" t="s">
        <v>299</v>
      </c>
      <c r="F12" s="511" t="s">
        <v>298</v>
      </c>
      <c r="G12" s="507">
        <f>VLOOKUP(E12,'Tabla Albums'!C:L,10,FALSE)</f>
        <v>1973</v>
      </c>
      <c r="H12" s="506"/>
    </row>
    <row r="13" spans="1:8" ht="16" customHeight="1" x14ac:dyDescent="0.2">
      <c r="A13" s="528">
        <v>12</v>
      </c>
      <c r="B13" s="529" t="s">
        <v>515</v>
      </c>
      <c r="C13" s="506" t="s">
        <v>5305</v>
      </c>
      <c r="D13" s="506" t="str">
        <f>VLOOKUP(E13,'Tabla Albums'!C:L,9,FALSE)</f>
        <v>progressive metal, alternative metal</v>
      </c>
      <c r="E13" s="508" t="s">
        <v>517</v>
      </c>
      <c r="F13" s="509" t="s">
        <v>292</v>
      </c>
      <c r="G13" s="507">
        <f>VLOOKUP(E13,'Tabla Albums'!C:L,10,FALSE)</f>
        <v>2006</v>
      </c>
      <c r="H13" s="506"/>
    </row>
    <row r="14" spans="1:8" ht="16" customHeight="1" x14ac:dyDescent="0.2">
      <c r="A14" s="528">
        <v>13</v>
      </c>
      <c r="B14" s="529" t="s">
        <v>854</v>
      </c>
      <c r="C14" s="506" t="s">
        <v>5292</v>
      </c>
      <c r="D14" s="506" t="str">
        <f>VLOOKUP(E14,'Tabla Albums'!C:L,9,FALSE)</f>
        <v>progressive metal, death metal</v>
      </c>
      <c r="E14" s="508" t="s">
        <v>855</v>
      </c>
      <c r="F14" s="509" t="s">
        <v>300</v>
      </c>
      <c r="G14" s="507">
        <f>VLOOKUP(E14,'Tabla Albums'!C:L,10,FALSE)</f>
        <v>1999</v>
      </c>
      <c r="H14" s="506"/>
    </row>
    <row r="15" spans="1:8" ht="16" customHeight="1" x14ac:dyDescent="0.2">
      <c r="A15" s="528">
        <v>14</v>
      </c>
      <c r="B15" s="530" t="s">
        <v>963</v>
      </c>
      <c r="C15" s="506" t="s">
        <v>5287</v>
      </c>
      <c r="D15" s="506" t="str">
        <f>VLOOKUP(E15,'Tabla Albums'!C:L,9,FALSE)</f>
        <v>progressive rock, art rock</v>
      </c>
      <c r="E15" s="510" t="s">
        <v>959</v>
      </c>
      <c r="F15" s="511" t="s">
        <v>297</v>
      </c>
      <c r="G15" s="507">
        <f>VLOOKUP(E15,'Tabla Albums'!C:L,10,FALSE)</f>
        <v>2024</v>
      </c>
      <c r="H15" s="506"/>
    </row>
    <row r="16" spans="1:8" ht="16" customHeight="1" x14ac:dyDescent="0.2">
      <c r="A16" s="528">
        <v>15</v>
      </c>
      <c r="B16" s="530" t="s">
        <v>39</v>
      </c>
      <c r="C16" s="506" t="s">
        <v>5286</v>
      </c>
      <c r="D16" s="506" t="str">
        <f>VLOOKUP(E16,'Tabla Albums'!C:L,9,FALSE)</f>
        <v>progressive rock, art rock</v>
      </c>
      <c r="E16" s="510" t="s">
        <v>36</v>
      </c>
      <c r="F16" s="511" t="s">
        <v>405</v>
      </c>
      <c r="G16" s="507">
        <f>VLOOKUP(E16,'Tabla Albums'!C:L,10,FALSE)</f>
        <v>1982</v>
      </c>
      <c r="H16" s="506"/>
    </row>
    <row r="17" spans="1:8" ht="16" customHeight="1" x14ac:dyDescent="0.2">
      <c r="A17" s="528">
        <v>16</v>
      </c>
      <c r="B17" s="530" t="s">
        <v>3026</v>
      </c>
      <c r="C17" s="506" t="s">
        <v>5283</v>
      </c>
      <c r="D17" s="506" t="str">
        <f>VLOOKUP(E17,'Tabla Albums'!C:L,9,FALSE)</f>
        <v>progressive metal</v>
      </c>
      <c r="E17" s="510" t="s">
        <v>3031</v>
      </c>
      <c r="F17" s="511" t="s">
        <v>3030</v>
      </c>
      <c r="G17" s="507">
        <f>VLOOKUP(E17,'Tabla Albums'!C:L,10,FALSE)</f>
        <v>2012</v>
      </c>
      <c r="H17" s="506"/>
    </row>
    <row r="18" spans="1:8" ht="16" customHeight="1" x14ac:dyDescent="0.2">
      <c r="A18" s="528">
        <v>17</v>
      </c>
      <c r="B18" s="529" t="s">
        <v>691</v>
      </c>
      <c r="C18" s="506" t="s">
        <v>5260</v>
      </c>
      <c r="D18" s="506" t="str">
        <f>VLOOKUP(E18,'Tabla Albums'!C:L,9,FALSE)</f>
        <v>indie rock, post punk</v>
      </c>
      <c r="E18" s="508" t="s">
        <v>700</v>
      </c>
      <c r="F18" s="509" t="s">
        <v>699</v>
      </c>
      <c r="G18" s="507">
        <f>VLOOKUP(E18,'Tabla Albums'!C:L,10,FALSE)</f>
        <v>2002</v>
      </c>
      <c r="H18" s="506"/>
    </row>
    <row r="19" spans="1:8" ht="16" customHeight="1" x14ac:dyDescent="0.2">
      <c r="A19" s="528">
        <v>18</v>
      </c>
      <c r="B19" s="529" t="s">
        <v>1561</v>
      </c>
      <c r="C19" s="506" t="s">
        <v>5258</v>
      </c>
      <c r="D19" s="506" t="str">
        <f>VLOOKUP(E19,'Tabla Albums'!C:L,9,FALSE)</f>
        <v>post metal, atmospheric black metal</v>
      </c>
      <c r="E19" s="508" t="s">
        <v>1565</v>
      </c>
      <c r="F19" s="509" t="s">
        <v>1330</v>
      </c>
      <c r="G19" s="507">
        <f>VLOOKUP(E19,'Tabla Albums'!C:L,10,FALSE)</f>
        <v>2006</v>
      </c>
      <c r="H19" s="506"/>
    </row>
    <row r="20" spans="1:8" ht="16" customHeight="1" x14ac:dyDescent="0.2">
      <c r="A20" s="528">
        <v>19</v>
      </c>
      <c r="B20" s="530" t="s">
        <v>2354</v>
      </c>
      <c r="C20" s="506" t="s">
        <v>5281</v>
      </c>
      <c r="D20" s="506" t="str">
        <f>VLOOKUP(E20,'Tabla Albums'!C:L,9,FALSE)</f>
        <v>french house, mashup</v>
      </c>
      <c r="E20" s="510" t="s">
        <v>2365</v>
      </c>
      <c r="F20" s="511" t="s">
        <v>303</v>
      </c>
      <c r="G20" s="507">
        <f>VLOOKUP(E20,'Tabla Albums'!C:L,10,FALSE)</f>
        <v>2007</v>
      </c>
      <c r="H20" s="506"/>
    </row>
    <row r="21" spans="1:8" ht="16" customHeight="1" x14ac:dyDescent="0.2">
      <c r="A21" s="528">
        <v>20</v>
      </c>
      <c r="B21" s="529" t="s">
        <v>581</v>
      </c>
      <c r="C21" s="506" t="s">
        <v>5278</v>
      </c>
      <c r="D21" s="506" t="str">
        <f>VLOOKUP(E21,'Tabla Albums'!C:L,9,FALSE)</f>
        <v>french house, electronic</v>
      </c>
      <c r="E21" s="508" t="s">
        <v>588</v>
      </c>
      <c r="F21" s="509" t="s">
        <v>303</v>
      </c>
      <c r="G21" s="507">
        <f>VLOOKUP(E21,'Tabla Albums'!C:L,10,FALSE)</f>
        <v>2013</v>
      </c>
      <c r="H21" s="506"/>
    </row>
    <row r="22" spans="1:8" ht="16" customHeight="1" x14ac:dyDescent="0.2">
      <c r="A22" s="528">
        <v>21</v>
      </c>
      <c r="B22" s="530" t="s">
        <v>4577</v>
      </c>
      <c r="C22" s="506" t="s">
        <v>4895</v>
      </c>
      <c r="D22" s="506" t="str">
        <f>VLOOKUP(E22,'Tabla Albums'!C:L,9,FALSE)</f>
        <v>art rock, post rock</v>
      </c>
      <c r="E22" s="510" t="s">
        <v>4866</v>
      </c>
      <c r="F22" s="511" t="s">
        <v>4584</v>
      </c>
      <c r="G22" s="507">
        <f>VLOOKUP(E22,'Tabla Albums'!C:L,10,FALSE)</f>
        <v>2024</v>
      </c>
      <c r="H22" s="506"/>
    </row>
    <row r="23" spans="1:8" ht="16" customHeight="1" x14ac:dyDescent="0.2">
      <c r="A23" s="528">
        <v>22</v>
      </c>
      <c r="B23" s="529" t="s">
        <v>356</v>
      </c>
      <c r="C23" s="506" t="s">
        <v>5280</v>
      </c>
      <c r="D23" s="506" t="str">
        <f>VLOOKUP(E23,'Tabla Albums'!C:L,9,FALSE)</f>
        <v>dream pop, shoegaze</v>
      </c>
      <c r="E23" s="508" t="s">
        <v>351</v>
      </c>
      <c r="F23" s="509" t="s">
        <v>357</v>
      </c>
      <c r="G23" s="507">
        <f>VLOOKUP(E23,'Tabla Albums'!C:L,10,FALSE)</f>
        <v>1990</v>
      </c>
      <c r="H23" s="506"/>
    </row>
    <row r="24" spans="1:8" ht="16" customHeight="1" x14ac:dyDescent="0.2">
      <c r="A24" s="528">
        <v>23</v>
      </c>
      <c r="B24" s="529" t="s">
        <v>1027</v>
      </c>
      <c r="C24" s="506" t="s">
        <v>5282</v>
      </c>
      <c r="D24" s="506" t="str">
        <f>VLOOKUP(E24,'Tabla Albums'!C:L,9,FALSE)</f>
        <v>thrash metal</v>
      </c>
      <c r="E24" s="508" t="s">
        <v>1026</v>
      </c>
      <c r="F24" s="509" t="s">
        <v>301</v>
      </c>
      <c r="G24" s="507">
        <f>VLOOKUP(E24,'Tabla Albums'!C:L,10,FALSE)</f>
        <v>1988</v>
      </c>
      <c r="H24" s="506"/>
    </row>
    <row r="25" spans="1:8" ht="16" customHeight="1" x14ac:dyDescent="0.2">
      <c r="A25" s="528">
        <v>24</v>
      </c>
      <c r="B25" s="530" t="s">
        <v>2682</v>
      </c>
      <c r="C25" s="506" t="s">
        <v>5272</v>
      </c>
      <c r="D25" s="506" t="str">
        <f>VLOOKUP(E25,'Tabla Albums'!C:L,9,FALSE)</f>
        <v>idm, downtempo</v>
      </c>
      <c r="E25" s="510" t="s">
        <v>2698</v>
      </c>
      <c r="F25" s="511" t="s">
        <v>2697</v>
      </c>
      <c r="G25" s="507">
        <f>VLOOKUP(E25,'Tabla Albums'!C:L,10,FALSE)</f>
        <v>1998</v>
      </c>
      <c r="H25" s="506"/>
    </row>
    <row r="26" spans="1:8" ht="16" customHeight="1" x14ac:dyDescent="0.2">
      <c r="A26" s="528">
        <v>25</v>
      </c>
      <c r="B26" s="529" t="s">
        <v>5273</v>
      </c>
      <c r="C26" s="506" t="s">
        <v>5274</v>
      </c>
      <c r="D26" s="506" t="str">
        <f>VLOOKUP(E26,'Tabla Albums'!C:L,9,FALSE)</f>
        <v>progressive rock, progressive metal</v>
      </c>
      <c r="E26" s="508" t="s">
        <v>459</v>
      </c>
      <c r="F26" s="509" t="s">
        <v>441</v>
      </c>
      <c r="G26" s="507">
        <f>VLOOKUP(E26,'Tabla Albums'!C:L,10,FALSE)</f>
        <v>2007</v>
      </c>
      <c r="H26" s="506"/>
    </row>
    <row r="27" spans="1:8" ht="16" customHeight="1" x14ac:dyDescent="0.2">
      <c r="A27" s="528">
        <v>26</v>
      </c>
      <c r="B27" s="529" t="s">
        <v>5270</v>
      </c>
      <c r="C27" s="506" t="s">
        <v>5271</v>
      </c>
      <c r="D27" s="506" t="s">
        <v>1007</v>
      </c>
      <c r="E27" s="508" t="s">
        <v>5270</v>
      </c>
      <c r="F27" s="509" t="s">
        <v>307</v>
      </c>
      <c r="G27" s="507">
        <v>1980</v>
      </c>
      <c r="H27" s="506"/>
    </row>
    <row r="28" spans="1:8" ht="16" customHeight="1" x14ac:dyDescent="0.2">
      <c r="A28" s="528">
        <v>27</v>
      </c>
      <c r="B28" s="529" t="s">
        <v>5288</v>
      </c>
      <c r="C28" s="506" t="s">
        <v>5289</v>
      </c>
      <c r="D28" s="506" t="str">
        <f>VLOOKUP(E28,'Tabla Albums'!C:L,9,FALSE)</f>
        <v>thrash metal</v>
      </c>
      <c r="E28" s="508" t="s">
        <v>653</v>
      </c>
      <c r="F28" s="509" t="s">
        <v>301</v>
      </c>
      <c r="G28" s="507">
        <f>VLOOKUP(E28,'Tabla Albums'!C:L,10,FALSE)</f>
        <v>1984</v>
      </c>
      <c r="H28" s="506"/>
    </row>
    <row r="29" spans="1:8" ht="16" customHeight="1" x14ac:dyDescent="0.2">
      <c r="A29" s="528">
        <v>28</v>
      </c>
      <c r="B29" s="530" t="s">
        <v>4045</v>
      </c>
      <c r="C29" s="506" t="s">
        <v>5177</v>
      </c>
      <c r="D29" s="506" t="str">
        <f>VLOOKUP(E29,'Tabla Albums'!C:L,9,FALSE)</f>
        <v>idm</v>
      </c>
      <c r="E29" s="510" t="s">
        <v>4051</v>
      </c>
      <c r="F29" s="511" t="s">
        <v>1368</v>
      </c>
      <c r="G29" s="507">
        <f>VLOOKUP(E29,'Tabla Albums'!C:L,10,FALSE)</f>
        <v>1995</v>
      </c>
      <c r="H29" s="506"/>
    </row>
    <row r="30" spans="1:8" ht="16" customHeight="1" x14ac:dyDescent="0.2">
      <c r="A30" s="528">
        <v>29</v>
      </c>
      <c r="B30" s="530" t="s">
        <v>5266</v>
      </c>
      <c r="C30" s="506" t="s">
        <v>5269</v>
      </c>
      <c r="D30" s="506" t="s">
        <v>5199</v>
      </c>
      <c r="E30" s="510" t="s">
        <v>5267</v>
      </c>
      <c r="F30" s="511" t="s">
        <v>5268</v>
      </c>
      <c r="G30" s="507">
        <v>2018</v>
      </c>
      <c r="H30" s="506"/>
    </row>
    <row r="31" spans="1:8" ht="16" customHeight="1" x14ac:dyDescent="0.2">
      <c r="A31" s="528">
        <v>30</v>
      </c>
      <c r="B31" s="530" t="s">
        <v>2451</v>
      </c>
      <c r="C31" s="506" t="s">
        <v>5304</v>
      </c>
      <c r="D31" s="506" t="str">
        <f>VLOOKUP(E31,'Tabla Albums'!C:L,9,FALSE)</f>
        <v>progressive rock, art rock</v>
      </c>
      <c r="E31" s="510" t="s">
        <v>2454</v>
      </c>
      <c r="F31" s="511" t="s">
        <v>297</v>
      </c>
      <c r="G31" s="507">
        <f>VLOOKUP(E31,'Tabla Albums'!C:L,10,FALSE)</f>
        <v>1981</v>
      </c>
      <c r="H31" s="506"/>
    </row>
    <row r="32" spans="1:8" ht="16" customHeight="1" x14ac:dyDescent="0.2">
      <c r="A32" s="528">
        <v>31</v>
      </c>
      <c r="B32" s="529" t="s">
        <v>2195</v>
      </c>
      <c r="C32" s="506" t="s">
        <v>5265</v>
      </c>
      <c r="D32" s="506" t="str">
        <f>VLOOKUP(E32,'Tabla Albums'!C:L,9,FALSE)</f>
        <v>nu metal, rap metal</v>
      </c>
      <c r="E32" s="508" t="s">
        <v>2205</v>
      </c>
      <c r="F32" s="509" t="s">
        <v>315</v>
      </c>
      <c r="G32" s="507">
        <f>VLOOKUP(E32,'Tabla Albums'!C:L,10,FALSE)</f>
        <v>2003</v>
      </c>
    </row>
    <row r="33" spans="1:8" ht="16" customHeight="1" x14ac:dyDescent="0.2">
      <c r="A33" s="528">
        <v>32</v>
      </c>
      <c r="B33" s="530" t="s">
        <v>5296</v>
      </c>
      <c r="C33" t="s">
        <v>5316</v>
      </c>
      <c r="D33" s="506" t="str">
        <f>VLOOKUP(E33,'Tabla Albums'!C:L,9,FALSE)</f>
        <v>art rock</v>
      </c>
      <c r="E33" s="510" t="s">
        <v>5300</v>
      </c>
      <c r="F33" s="511" t="s">
        <v>4530</v>
      </c>
      <c r="G33" s="507">
        <f>VLOOKUP(E33,'Tabla Albums'!C:L,10,FALSE)</f>
        <v>2011</v>
      </c>
      <c r="H33" s="506"/>
    </row>
    <row r="34" spans="1:8" ht="16" customHeight="1" x14ac:dyDescent="0.2">
      <c r="A34" s="528">
        <v>33</v>
      </c>
      <c r="B34" s="529" t="s">
        <v>4793</v>
      </c>
      <c r="C34" s="506" t="s">
        <v>5262</v>
      </c>
      <c r="D34" s="506" t="str">
        <f>VLOOKUP(E34,'Tabla Albums'!C:L,9,FALSE)</f>
        <v>slowcore</v>
      </c>
      <c r="E34" s="508" t="s">
        <v>4800</v>
      </c>
      <c r="F34" s="509" t="s">
        <v>4799</v>
      </c>
      <c r="G34" s="507">
        <f>VLOOKUP(E34,'Tabla Albums'!C:L,10,FALSE)</f>
        <v>2002</v>
      </c>
      <c r="H34" s="506"/>
    </row>
    <row r="35" spans="1:8" ht="16" customHeight="1" x14ac:dyDescent="0.2">
      <c r="A35" s="528">
        <v>34</v>
      </c>
      <c r="B35" s="530" t="s">
        <v>4869</v>
      </c>
      <c r="C35" s="506" t="s">
        <v>5259</v>
      </c>
      <c r="D35" s="506" t="s">
        <v>5199</v>
      </c>
      <c r="E35" s="510" t="s">
        <v>4870</v>
      </c>
      <c r="F35" s="511" t="s">
        <v>1440</v>
      </c>
      <c r="G35" s="507">
        <v>2025</v>
      </c>
      <c r="H35" s="506"/>
    </row>
    <row r="36" spans="1:8" ht="16" customHeight="1" x14ac:dyDescent="0.2">
      <c r="A36" s="528">
        <v>35</v>
      </c>
      <c r="B36" s="530" t="s">
        <v>862</v>
      </c>
      <c r="C36" s="506" t="s">
        <v>5279</v>
      </c>
      <c r="D36" s="506" t="str">
        <f>VLOOKUP(E36,'Tabla Albums'!C:L,9,FALSE)</f>
        <v>soul, progressive soul</v>
      </c>
      <c r="E36" s="510" t="s">
        <v>857</v>
      </c>
      <c r="F36" s="511" t="s">
        <v>866</v>
      </c>
      <c r="G36" s="507">
        <f>VLOOKUP(E36,'Tabla Albums'!C:L,10,FALSE)</f>
        <v>1979</v>
      </c>
      <c r="H36" s="506"/>
    </row>
    <row r="37" spans="1:8" ht="16" customHeight="1" x14ac:dyDescent="0.2">
      <c r="A37" s="528">
        <v>36</v>
      </c>
      <c r="B37" s="529" t="s">
        <v>551</v>
      </c>
      <c r="C37" s="506" t="s">
        <v>5256</v>
      </c>
      <c r="D37" s="506" t="str">
        <f>VLOOKUP(E37,'Tabla Albums'!C:L,9,FALSE)</f>
        <v>neo psychedelic, indie</v>
      </c>
      <c r="E37" s="508" t="s">
        <v>561</v>
      </c>
      <c r="F37" s="509" t="s">
        <v>560</v>
      </c>
      <c r="G37" s="507">
        <f>VLOOKUP(E37,'Tabla Albums'!C:L,10,FALSE)</f>
        <v>2015</v>
      </c>
      <c r="H37" s="506"/>
    </row>
    <row r="38" spans="1:8" ht="16" customHeight="1" x14ac:dyDescent="0.2">
      <c r="A38" s="528">
        <v>37</v>
      </c>
      <c r="B38" s="530" t="s">
        <v>27</v>
      </c>
      <c r="C38" s="506" t="s">
        <v>5255</v>
      </c>
      <c r="D38" s="506" t="str">
        <f>VLOOKUP(E38,'Tabla Albums'!C:L,9,FALSE)</f>
        <v>dream pop, indie pop</v>
      </c>
      <c r="E38" s="510" t="s">
        <v>1080</v>
      </c>
      <c r="F38" s="511" t="s">
        <v>312</v>
      </c>
      <c r="G38" s="507">
        <f>VLOOKUP(E38,'Tabla Albums'!C:L,10,FALSE)</f>
        <v>2009</v>
      </c>
      <c r="H38" s="506"/>
    </row>
    <row r="39" spans="1:8" ht="16" customHeight="1" x14ac:dyDescent="0.2">
      <c r="A39" s="528">
        <v>38</v>
      </c>
      <c r="B39" s="529" t="s">
        <v>1055</v>
      </c>
      <c r="C39" s="506" t="s">
        <v>5254</v>
      </c>
      <c r="D39" s="506" t="str">
        <f>VLOOKUP(E39,'Tabla Albums'!C:L,9,FALSE)</f>
        <v>ambient, video game music</v>
      </c>
      <c r="E39" s="508" t="s">
        <v>1439</v>
      </c>
      <c r="F39" s="509" t="s">
        <v>1075</v>
      </c>
      <c r="G39" s="507">
        <f>VLOOKUP(E39,'Tabla Albums'!C:L,10,FALSE)</f>
        <v>2011</v>
      </c>
      <c r="H39" s="506"/>
    </row>
    <row r="40" spans="1:8" ht="16" customHeight="1" x14ac:dyDescent="0.2">
      <c r="A40" s="528">
        <v>39</v>
      </c>
      <c r="B40" s="530" t="s">
        <v>4871</v>
      </c>
      <c r="C40" s="506" t="s">
        <v>5253</v>
      </c>
      <c r="D40" t="s">
        <v>4873</v>
      </c>
      <c r="E40" s="510" t="s">
        <v>4872</v>
      </c>
      <c r="F40" s="511" t="s">
        <v>2864</v>
      </c>
      <c r="G40" s="507">
        <v>1975</v>
      </c>
      <c r="H40" s="506"/>
    </row>
    <row r="41" spans="1:8" ht="16" customHeight="1" x14ac:dyDescent="0.2">
      <c r="A41" s="528">
        <v>40</v>
      </c>
      <c r="B41" s="529" t="s">
        <v>649</v>
      </c>
      <c r="C41" s="506" t="s">
        <v>5252</v>
      </c>
      <c r="D41" s="506" t="str">
        <f>VLOOKUP(E41,'Tabla Albums'!C:L,9,FALSE)</f>
        <v>grunge, alternative rock</v>
      </c>
      <c r="E41" s="508" t="s">
        <v>2381</v>
      </c>
      <c r="F41" s="509" t="s">
        <v>2380</v>
      </c>
      <c r="G41" s="507">
        <f>VLOOKUP(E41,'Tabla Albums'!C:L,10,FALSE)</f>
        <v>1991</v>
      </c>
      <c r="H41" s="506"/>
    </row>
    <row r="42" spans="1:8" ht="16" customHeight="1" x14ac:dyDescent="0.2">
      <c r="A42" s="528">
        <v>41</v>
      </c>
      <c r="B42" s="529" t="s">
        <v>4368</v>
      </c>
      <c r="C42" s="506" t="s">
        <v>5201</v>
      </c>
      <c r="D42" s="506" t="str">
        <f>VLOOKUP(E42,'Tabla Albums'!C:L,9,FALSE)</f>
        <v>art pop, progressive pop</v>
      </c>
      <c r="E42" s="508" t="s">
        <v>4366</v>
      </c>
      <c r="F42" s="509" t="s">
        <v>4394</v>
      </c>
      <c r="G42" s="507">
        <f>VLOOKUP(E42,'Tabla Albums'!C:L,10,FALSE)</f>
        <v>1985</v>
      </c>
      <c r="H42" s="506"/>
    </row>
    <row r="43" spans="1:8" ht="16" customHeight="1" x14ac:dyDescent="0.2">
      <c r="A43" s="528">
        <v>42</v>
      </c>
      <c r="B43" s="530" t="s">
        <v>754</v>
      </c>
      <c r="C43" s="506" t="s">
        <v>4902</v>
      </c>
      <c r="D43" s="506" t="str">
        <f>VLOOKUP(E43,'Tabla Albums'!C:L,9,FALSE)</f>
        <v>neo psychedelic, art rock</v>
      </c>
      <c r="E43" s="510" t="s">
        <v>760</v>
      </c>
      <c r="F43" s="511" t="s">
        <v>759</v>
      </c>
      <c r="G43" s="507">
        <f>VLOOKUP(E43,'Tabla Albums'!C:L,10,FALSE)</f>
        <v>2003</v>
      </c>
      <c r="H43" s="506"/>
    </row>
    <row r="44" spans="1:8" ht="16" customHeight="1" x14ac:dyDescent="0.2">
      <c r="A44" s="528">
        <v>43</v>
      </c>
      <c r="B44" s="529" t="s">
        <v>3422</v>
      </c>
      <c r="C44" s="506" t="s">
        <v>5186</v>
      </c>
      <c r="D44" s="506" t="str">
        <f>VLOOKUP(E44,'Tabla Albums'!C:L,9,FALSE)</f>
        <v>progressive rock, symphonic prog</v>
      </c>
      <c r="E44" s="508" t="s">
        <v>3429</v>
      </c>
      <c r="F44" s="509" t="s">
        <v>2584</v>
      </c>
      <c r="G44" s="507">
        <f>VLOOKUP(E44,'Tabla Albums'!C:L,10,FALSE)</f>
        <v>1973</v>
      </c>
      <c r="H44" s="506"/>
    </row>
    <row r="45" spans="1:8" ht="16" customHeight="1" x14ac:dyDescent="0.2">
      <c r="A45" s="528">
        <v>44</v>
      </c>
      <c r="B45" s="529" t="s">
        <v>3978</v>
      </c>
      <c r="C45" s="506" t="s">
        <v>5303</v>
      </c>
      <c r="D45" s="506" t="str">
        <f>VLOOKUP(E45,'Tabla Albums'!C:L,9,FALSE)</f>
        <v>hard rock</v>
      </c>
      <c r="E45" s="508" t="s">
        <v>3985</v>
      </c>
      <c r="F45" s="509" t="s">
        <v>296</v>
      </c>
      <c r="G45" s="507">
        <f>VLOOKUP(E45,'Tabla Albums'!C:L,10,FALSE)</f>
        <v>1973</v>
      </c>
      <c r="H45" s="506"/>
    </row>
    <row r="46" spans="1:8" ht="16" customHeight="1" x14ac:dyDescent="0.2">
      <c r="A46" s="528">
        <v>45</v>
      </c>
      <c r="B46" s="529" t="s">
        <v>5194</v>
      </c>
      <c r="C46" s="506" t="s">
        <v>5195</v>
      </c>
      <c r="D46" s="506" t="str">
        <f>VLOOKUP(E46,'Tabla Albums'!C:L,9,FALSE)</f>
        <v>neo psychedelic, synthpop</v>
      </c>
      <c r="E46" s="508" t="s">
        <v>2053</v>
      </c>
      <c r="F46" s="509" t="s">
        <v>2052</v>
      </c>
      <c r="G46" s="507">
        <f>VLOOKUP(E46,'Tabla Albums'!C:L,10,FALSE)</f>
        <v>2024</v>
      </c>
      <c r="H46" s="506"/>
    </row>
    <row r="47" spans="1:8" ht="16" customHeight="1" x14ac:dyDescent="0.2">
      <c r="A47" s="528">
        <v>46</v>
      </c>
      <c r="B47" s="530" t="s">
        <v>3920</v>
      </c>
      <c r="C47" s="506" t="s">
        <v>5193</v>
      </c>
      <c r="D47" s="506" t="str">
        <f>VLOOKUP(E47,'Tabla Albums'!C:L,9,FALSE)</f>
        <v>blues rock, country rock</v>
      </c>
      <c r="E47" s="510" t="s">
        <v>3924</v>
      </c>
      <c r="F47" s="511" t="s">
        <v>3929</v>
      </c>
      <c r="G47" s="507">
        <f>VLOOKUP(E47,'Tabla Albums'!C:L,10,FALSE)</f>
        <v>1969</v>
      </c>
      <c r="H47" s="506"/>
    </row>
    <row r="48" spans="1:8" ht="16" customHeight="1" x14ac:dyDescent="0.2">
      <c r="A48" s="528">
        <v>47</v>
      </c>
      <c r="B48" s="530" t="s">
        <v>4884</v>
      </c>
      <c r="C48" s="506" t="s">
        <v>4885</v>
      </c>
      <c r="D48" s="506" t="str">
        <f>VLOOKUP(E48,'Tabla Albums'!C:L,9,FALSE)</f>
        <v>post rock, art rock</v>
      </c>
      <c r="E48" s="510" t="s">
        <v>3381</v>
      </c>
      <c r="F48" s="511" t="s">
        <v>3380</v>
      </c>
      <c r="G48" s="507">
        <f>VLOOKUP(E48,'Tabla Albums'!C:L,10,FALSE)</f>
        <v>1988</v>
      </c>
      <c r="H48" s="506"/>
    </row>
    <row r="49" spans="1:8" ht="16" customHeight="1" x14ac:dyDescent="0.2">
      <c r="A49" s="528">
        <v>48</v>
      </c>
      <c r="B49" s="529" t="s">
        <v>2524</v>
      </c>
      <c r="C49" s="506" t="s">
        <v>5192</v>
      </c>
      <c r="D49" s="506" t="str">
        <f>VLOOKUP(E49,'Tabla Albums'!C:L,9,FALSE)</f>
        <v>progressive rock</v>
      </c>
      <c r="E49" s="508" t="s">
        <v>2527</v>
      </c>
      <c r="F49" s="509" t="s">
        <v>2526</v>
      </c>
      <c r="G49" s="507">
        <f>VLOOKUP(E49,'Tabla Albums'!C:L,10,FALSE)</f>
        <v>2016</v>
      </c>
      <c r="H49" s="506"/>
    </row>
    <row r="50" spans="1:8" ht="16" customHeight="1" x14ac:dyDescent="0.2">
      <c r="A50" s="528">
        <v>49</v>
      </c>
      <c r="B50" s="530" t="s">
        <v>2536</v>
      </c>
      <c r="C50" s="506" t="s">
        <v>5191</v>
      </c>
      <c r="D50" s="506" t="str">
        <f>VLOOKUP(E50,'Tabla Albums'!C:L,9,FALSE)</f>
        <v>contemporary r&amp;b, dance pop</v>
      </c>
      <c r="E50" s="510" t="s">
        <v>2532</v>
      </c>
      <c r="F50" s="511" t="s">
        <v>2539</v>
      </c>
      <c r="G50" s="507">
        <f>VLOOKUP(E50,'Tabla Albums'!C:L,10,FALSE)</f>
        <v>1982</v>
      </c>
      <c r="H50" s="506"/>
    </row>
    <row r="51" spans="1:8" ht="16" customHeight="1" x14ac:dyDescent="0.2">
      <c r="A51" s="528">
        <v>50</v>
      </c>
      <c r="B51" s="529" t="s">
        <v>2153</v>
      </c>
      <c r="C51" s="506" t="s">
        <v>5190</v>
      </c>
      <c r="D51" s="506" t="s">
        <v>1124</v>
      </c>
      <c r="E51" s="508" t="s">
        <v>2165</v>
      </c>
      <c r="F51" s="509" t="s">
        <v>2164</v>
      </c>
      <c r="G51" s="507">
        <f>VLOOKUP(E51,'Tabla Albums'!C:L,10,FALSE)</f>
        <v>1969</v>
      </c>
      <c r="H51" s="506"/>
    </row>
    <row r="52" spans="1:8" ht="16" customHeight="1" x14ac:dyDescent="0.2">
      <c r="A52" s="528">
        <v>51</v>
      </c>
      <c r="B52" s="530" t="s">
        <v>538</v>
      </c>
      <c r="C52" s="506" t="s">
        <v>5185</v>
      </c>
      <c r="D52" s="506" t="str">
        <f>VLOOKUP(E52,'Tabla Albums'!C:L,9,FALSE)</f>
        <v>new wave, post punk</v>
      </c>
      <c r="E52" s="510" t="s">
        <v>546</v>
      </c>
      <c r="F52" s="511" t="s">
        <v>545</v>
      </c>
      <c r="G52" s="507">
        <f>VLOOKUP(E52,'Tabla Albums'!C:L,10,FALSE)</f>
        <v>1983</v>
      </c>
      <c r="H52" s="506"/>
    </row>
    <row r="53" spans="1:8" ht="16" customHeight="1" x14ac:dyDescent="0.2">
      <c r="A53" s="528">
        <v>52</v>
      </c>
      <c r="B53" s="529" t="s">
        <v>3265</v>
      </c>
      <c r="C53" s="506" t="s">
        <v>5184</v>
      </c>
      <c r="D53" s="506" t="str">
        <f>VLOOKUP(E53,'Tabla Albums'!C:L,9,FALSE)</f>
        <v>djent, groove metal</v>
      </c>
      <c r="E53" s="508" t="s">
        <v>3284</v>
      </c>
      <c r="F53" s="509" t="s">
        <v>1174</v>
      </c>
      <c r="G53" s="507">
        <f>VLOOKUP(E53,'Tabla Albums'!C:L,10,FALSE)</f>
        <v>2002</v>
      </c>
      <c r="H53" s="506"/>
    </row>
    <row r="54" spans="1:8" ht="16" customHeight="1" x14ac:dyDescent="0.2">
      <c r="A54" s="528">
        <v>53</v>
      </c>
      <c r="B54" s="530" t="s">
        <v>2237</v>
      </c>
      <c r="C54" s="506" t="s">
        <v>4856</v>
      </c>
      <c r="D54" s="506" t="str">
        <f>VLOOKUP(E54,'Tabla Albums'!C:L,9,FALSE)</f>
        <v>alternative rock, singer songwriter</v>
      </c>
      <c r="E54" s="510" t="s">
        <v>2228</v>
      </c>
      <c r="F54" s="511" t="s">
        <v>2238</v>
      </c>
      <c r="G54" s="507">
        <f>VLOOKUP(E54,'Tabla Albums'!C:L,10,FALSE)</f>
        <v>1994</v>
      </c>
      <c r="H54" s="506"/>
    </row>
    <row r="55" spans="1:8" ht="16" customHeight="1" x14ac:dyDescent="0.2">
      <c r="A55" s="528">
        <v>54</v>
      </c>
      <c r="B55" s="530" t="s">
        <v>4005</v>
      </c>
      <c r="C55" s="506" t="s">
        <v>5183</v>
      </c>
      <c r="D55" s="506" t="str">
        <f>VLOOKUP(E55,'Tabla Albums'!C:L,9,FALSE)</f>
        <v>alternative rock, indie rock</v>
      </c>
      <c r="E55" s="510" t="s">
        <v>4010</v>
      </c>
      <c r="F55" s="511" t="s">
        <v>4009</v>
      </c>
      <c r="G55" s="507">
        <f>VLOOKUP(E55,'Tabla Albums'!C:L,10,FALSE)</f>
        <v>1989</v>
      </c>
      <c r="H55" s="506"/>
    </row>
    <row r="56" spans="1:8" ht="16" customHeight="1" x14ac:dyDescent="0.2">
      <c r="A56" s="528">
        <v>55</v>
      </c>
      <c r="B56" s="529" t="s">
        <v>3585</v>
      </c>
      <c r="C56" s="506" t="s">
        <v>5182</v>
      </c>
      <c r="D56" s="506" t="str">
        <f>VLOOKUP(E56,'Tabla Albums'!C:L,9,FALSE)</f>
        <v>jazz rock, jazz fusion</v>
      </c>
      <c r="E56" s="508" t="s">
        <v>3616</v>
      </c>
      <c r="F56" s="509" t="s">
        <v>3615</v>
      </c>
      <c r="G56" s="507">
        <f>VLOOKUP(E56,'Tabla Albums'!C:L,10,FALSE)</f>
        <v>1969</v>
      </c>
      <c r="H56" s="506"/>
    </row>
    <row r="57" spans="1:8" ht="16" customHeight="1" x14ac:dyDescent="0.2">
      <c r="A57" s="528">
        <v>56</v>
      </c>
      <c r="B57" s="529" t="s">
        <v>785</v>
      </c>
      <c r="C57" s="506" t="s">
        <v>5180</v>
      </c>
      <c r="D57" s="506" t="str">
        <f>VLOOKUP(E57,'Tabla Albums'!C:L,9,FALSE)</f>
        <v>jazz rap, instrumental hip hop</v>
      </c>
      <c r="E57" s="508" t="s">
        <v>790</v>
      </c>
      <c r="F57" s="509" t="s">
        <v>795</v>
      </c>
      <c r="G57" s="507">
        <f>VLOOKUP(E57,'Tabla Albums'!C:L,10,FALSE)</f>
        <v>2005</v>
      </c>
      <c r="H57" s="506"/>
    </row>
    <row r="58" spans="1:8" ht="16" customHeight="1" x14ac:dyDescent="0.2">
      <c r="A58" s="528">
        <v>57</v>
      </c>
      <c r="B58" s="530" t="s">
        <v>2393</v>
      </c>
      <c r="C58" s="506" t="s">
        <v>5179</v>
      </c>
      <c r="D58" s="506" t="str">
        <f>VLOOKUP(E58,'Tabla Albums'!C:L,9,FALSE)</f>
        <v>idm</v>
      </c>
      <c r="E58" s="510" t="s">
        <v>2416</v>
      </c>
      <c r="F58" s="511" t="s">
        <v>1368</v>
      </c>
      <c r="G58" s="507">
        <f>VLOOKUP(E58,'Tabla Albums'!C:L,10,FALSE)</f>
        <v>1995</v>
      </c>
      <c r="H58" s="506"/>
    </row>
    <row r="59" spans="1:8" ht="16" customHeight="1" x14ac:dyDescent="0.2">
      <c r="A59" s="528">
        <v>58</v>
      </c>
      <c r="B59" s="529" t="s">
        <v>2061</v>
      </c>
      <c r="C59" s="506" t="s">
        <v>5178</v>
      </c>
      <c r="D59" s="506" t="str">
        <f>VLOOKUP(E59,'Tabla Albums'!C:L,9,FALSE)</f>
        <v>shoegaze, alternative rock</v>
      </c>
      <c r="E59" s="508" t="s">
        <v>2069</v>
      </c>
      <c r="F59" s="509" t="s">
        <v>2068</v>
      </c>
      <c r="G59" s="507">
        <f>VLOOKUP(E59,'Tabla Albums'!C:L,10,FALSE)</f>
        <v>1992</v>
      </c>
      <c r="H59" s="506"/>
    </row>
    <row r="60" spans="1:8" ht="16" customHeight="1" x14ac:dyDescent="0.2">
      <c r="A60" s="528">
        <v>59</v>
      </c>
      <c r="B60" s="529" t="s">
        <v>4877</v>
      </c>
      <c r="C60" s="506" t="s">
        <v>5176</v>
      </c>
      <c r="D60" s="506" t="s">
        <v>4878</v>
      </c>
      <c r="E60" s="506" t="s">
        <v>4877</v>
      </c>
      <c r="F60" s="509" t="s">
        <v>1477</v>
      </c>
      <c r="G60" s="507">
        <v>1984</v>
      </c>
      <c r="H60" s="506"/>
    </row>
    <row r="61" spans="1:8" ht="16" customHeight="1" x14ac:dyDescent="0.2">
      <c r="A61" s="528">
        <v>60</v>
      </c>
      <c r="B61" s="530" t="s">
        <v>4438</v>
      </c>
      <c r="C61" s="506" t="s">
        <v>5175</v>
      </c>
      <c r="D61" s="506" t="str">
        <f>VLOOKUP(E61,'Tabla Albums'!C:L,9,FALSE)</f>
        <v>neo psychedelic, art rock</v>
      </c>
      <c r="E61" s="510" t="s">
        <v>4435</v>
      </c>
      <c r="F61" s="511" t="s">
        <v>759</v>
      </c>
      <c r="G61" s="507">
        <f>VLOOKUP(E61,'Tabla Albums'!C:L,10,FALSE)</f>
        <v>1997</v>
      </c>
      <c r="H61" s="506"/>
    </row>
    <row r="62" spans="1:8" ht="16" customHeight="1" x14ac:dyDescent="0.2">
      <c r="A62" s="528">
        <v>61</v>
      </c>
      <c r="B62" s="529" t="s">
        <v>4382</v>
      </c>
      <c r="C62" s="506" t="s">
        <v>5174</v>
      </c>
      <c r="D62" s="506" t="str">
        <f>VLOOKUP(E62,'Tabla Albums'!C:L,9,FALSE)</f>
        <v>progressive rock, post hardcore</v>
      </c>
      <c r="E62" s="508" t="s">
        <v>4388</v>
      </c>
      <c r="F62" s="509" t="s">
        <v>4387</v>
      </c>
      <c r="G62" s="507">
        <f>VLOOKUP(E62,'Tabla Albums'!C:L,10,FALSE)</f>
        <v>2003</v>
      </c>
      <c r="H62" s="506"/>
    </row>
    <row r="63" spans="1:8" ht="16" customHeight="1" x14ac:dyDescent="0.2">
      <c r="A63" s="528">
        <v>62</v>
      </c>
      <c r="B63" s="530" t="s">
        <v>4500</v>
      </c>
      <c r="C63" s="506" t="s">
        <v>5173</v>
      </c>
      <c r="D63" s="506" t="str">
        <f>VLOOKUP(E63,'Tabla Albums'!C:L,9,FALSE)</f>
        <v>grunge, acoustic rock</v>
      </c>
      <c r="E63" s="510" t="s">
        <v>4529</v>
      </c>
      <c r="F63" s="511" t="s">
        <v>313</v>
      </c>
      <c r="G63" s="507">
        <f>VLOOKUP(E63,'Tabla Albums'!C:L,10,FALSE)</f>
        <v>1996</v>
      </c>
      <c r="H63" s="506"/>
    </row>
    <row r="64" spans="1:8" ht="16" customHeight="1" x14ac:dyDescent="0.2">
      <c r="A64" s="528">
        <v>63</v>
      </c>
      <c r="B64" s="529" t="s">
        <v>4666</v>
      </c>
      <c r="C64" s="506" t="s">
        <v>4893</v>
      </c>
      <c r="D64" s="506" t="str">
        <f>VLOOKUP(E64,'Tabla Albums'!C:L,9,FALSE)</f>
        <v>progressive rock</v>
      </c>
      <c r="E64" s="508" t="s">
        <v>4672</v>
      </c>
      <c r="F64" s="509" t="s">
        <v>4671</v>
      </c>
      <c r="G64" s="507">
        <f>VLOOKUP(E64,'Tabla Albums'!C:L,10,FALSE)</f>
        <v>2021</v>
      </c>
      <c r="H64" s="506"/>
    </row>
    <row r="65" spans="1:8" ht="16" customHeight="1" x14ac:dyDescent="0.2">
      <c r="A65" s="528">
        <v>64</v>
      </c>
      <c r="B65" s="529" t="s">
        <v>5171</v>
      </c>
      <c r="C65" s="506" t="s">
        <v>5172</v>
      </c>
      <c r="D65" s="506" t="str">
        <f>VLOOKUP(E65,'Tabla Albums'!C:L,9,FALSE)</f>
        <v>new wave, post punk</v>
      </c>
      <c r="E65" s="508" t="s">
        <v>368</v>
      </c>
      <c r="F65" s="509" t="s">
        <v>370</v>
      </c>
      <c r="G65" s="507">
        <f>VLOOKUP(E65,'Tabla Albums'!C:L,10,FALSE)</f>
        <v>1989</v>
      </c>
      <c r="H65" s="506"/>
    </row>
    <row r="66" spans="1:8" ht="16" customHeight="1" x14ac:dyDescent="0.2">
      <c r="A66" s="528">
        <v>65</v>
      </c>
      <c r="B66" s="530" t="s">
        <v>4554</v>
      </c>
      <c r="C66" s="506" t="s">
        <v>4862</v>
      </c>
      <c r="D66" s="506" t="str">
        <f>VLOOKUP(E66,'Tabla Albums'!C:L,9,FALSE)</f>
        <v>alternative metal, metalcore</v>
      </c>
      <c r="E66" s="510" t="s">
        <v>4568</v>
      </c>
      <c r="F66" s="511" t="s">
        <v>4567</v>
      </c>
      <c r="G66" s="507">
        <f>VLOOKUP(E66,'Tabla Albums'!C:L,10,FALSE)</f>
        <v>2020</v>
      </c>
      <c r="H66" s="506"/>
    </row>
    <row r="67" spans="1:8" ht="16" customHeight="1" x14ac:dyDescent="0.2">
      <c r="A67" s="528">
        <v>66</v>
      </c>
      <c r="B67" s="530" t="s">
        <v>3875</v>
      </c>
      <c r="C67" s="506" t="s">
        <v>5170</v>
      </c>
      <c r="D67" s="506" t="str">
        <f>VLOOKUP(E67,'Tabla Albums'!C:L,9,FALSE)</f>
        <v>downtempo, folktronica</v>
      </c>
      <c r="E67" s="510" t="s">
        <v>3885</v>
      </c>
      <c r="F67" s="511" t="s">
        <v>2697</v>
      </c>
      <c r="G67" s="507">
        <f>VLOOKUP(E67,'Tabla Albums'!C:L,10,FALSE)</f>
        <v>2005</v>
      </c>
      <c r="H67" s="506"/>
    </row>
    <row r="68" spans="1:8" ht="16" customHeight="1" x14ac:dyDescent="0.2">
      <c r="A68" s="528">
        <v>67</v>
      </c>
      <c r="B68" s="529" t="s">
        <v>1478</v>
      </c>
      <c r="C68" s="506" t="s">
        <v>5169</v>
      </c>
      <c r="D68" s="506" t="s">
        <v>2264</v>
      </c>
      <c r="E68" s="508" t="s">
        <v>5168</v>
      </c>
      <c r="F68" s="509" t="s">
        <v>4868</v>
      </c>
      <c r="G68" s="507">
        <v>1978</v>
      </c>
      <c r="H68" s="506"/>
    </row>
    <row r="69" spans="1:8" ht="16" customHeight="1" x14ac:dyDescent="0.2">
      <c r="A69" s="528">
        <v>68</v>
      </c>
      <c r="B69" s="530" t="s">
        <v>5196</v>
      </c>
      <c r="C69" s="506" t="s">
        <v>5200</v>
      </c>
      <c r="D69" s="506" t="s">
        <v>5199</v>
      </c>
      <c r="E69" s="510" t="s">
        <v>5198</v>
      </c>
      <c r="F69" s="511" t="s">
        <v>5197</v>
      </c>
      <c r="G69" s="507">
        <v>2008</v>
      </c>
      <c r="H69" s="506"/>
    </row>
    <row r="70" spans="1:8" ht="16" customHeight="1" x14ac:dyDescent="0.2">
      <c r="A70" s="528">
        <v>69</v>
      </c>
      <c r="B70" s="530" t="s">
        <v>4706</v>
      </c>
      <c r="C70" s="506" t="s">
        <v>5167</v>
      </c>
      <c r="D70" s="506" t="str">
        <f>VLOOKUP(E70,'Tabla Albums'!C:L,9,FALSE)</f>
        <v>blues rock, psychedelic rock</v>
      </c>
      <c r="E70" s="510" t="s">
        <v>4701</v>
      </c>
      <c r="F70" s="511" t="s">
        <v>4720</v>
      </c>
      <c r="G70" s="507">
        <f>VLOOKUP(E70,'Tabla Albums'!C:L,10,FALSE)</f>
        <v>1971</v>
      </c>
      <c r="H70" s="506"/>
    </row>
    <row r="71" spans="1:8" ht="16" customHeight="1" x14ac:dyDescent="0.2">
      <c r="A71" s="528">
        <v>70</v>
      </c>
      <c r="B71" s="529" t="s">
        <v>3164</v>
      </c>
      <c r="C71" s="506" t="s">
        <v>5166</v>
      </c>
      <c r="D71" s="506" t="str">
        <f>VLOOKUP(E71,'Tabla Albums'!C:L,9,FALSE)</f>
        <v>progressive metal, death metal</v>
      </c>
      <c r="E71" s="508" t="s">
        <v>3168</v>
      </c>
      <c r="F71" s="509" t="s">
        <v>1410</v>
      </c>
      <c r="G71" s="507">
        <f>VLOOKUP(E71,'Tabla Albums'!C:L,10,FALSE)</f>
        <v>2008</v>
      </c>
      <c r="H71" s="506"/>
    </row>
    <row r="72" spans="1:8" ht="16" customHeight="1" x14ac:dyDescent="0.2">
      <c r="A72" s="528">
        <v>71</v>
      </c>
      <c r="B72" s="529" t="s">
        <v>706</v>
      </c>
      <c r="C72" s="506" t="s">
        <v>5285</v>
      </c>
      <c r="D72" s="506" t="str">
        <f>VLOOKUP(E72,'Tabla Albums'!C:L,9,FALSE)</f>
        <v>death metal, progressive metal</v>
      </c>
      <c r="E72" s="508" t="s">
        <v>729</v>
      </c>
      <c r="F72" s="509" t="s">
        <v>728</v>
      </c>
      <c r="G72" s="507">
        <f>VLOOKUP(E72,'Tabla Albums'!C:L,10,FALSE)</f>
        <v>2024</v>
      </c>
      <c r="H72" s="506"/>
    </row>
    <row r="73" spans="1:8" ht="16" customHeight="1" x14ac:dyDescent="0.2">
      <c r="A73" s="528">
        <v>72</v>
      </c>
      <c r="B73" s="530" t="s">
        <v>1592</v>
      </c>
      <c r="C73" s="506" t="s">
        <v>5165</v>
      </c>
      <c r="D73" s="506" t="str">
        <f>VLOOKUP(E73,'Tabla Albums'!C:L,9,FALSE)</f>
        <v>alternative rock, art rock</v>
      </c>
      <c r="E73" s="510" t="s">
        <v>1586</v>
      </c>
      <c r="F73" s="511" t="s">
        <v>1048</v>
      </c>
      <c r="G73" s="507">
        <f>VLOOKUP(E73,'Tabla Albums'!C:L,10,FALSE)</f>
        <v>1995</v>
      </c>
      <c r="H73" s="506"/>
    </row>
    <row r="74" spans="1:8" ht="16" customHeight="1" x14ac:dyDescent="0.2">
      <c r="A74" s="528">
        <v>73</v>
      </c>
      <c r="B74" s="529" t="s">
        <v>4101</v>
      </c>
      <c r="C74" s="506" t="s">
        <v>4907</v>
      </c>
      <c r="D74" s="506" t="str">
        <f>VLOOKUP(E74,'Tabla Albums'!C:L,9,FALSE)</f>
        <v>britpop</v>
      </c>
      <c r="E74" s="508" t="s">
        <v>4110</v>
      </c>
      <c r="F74" s="509" t="s">
        <v>888</v>
      </c>
      <c r="G74" s="507">
        <f>VLOOKUP(E74,'Tabla Albums'!C:L,10,FALSE)</f>
        <v>1994</v>
      </c>
      <c r="H74" s="506"/>
    </row>
    <row r="75" spans="1:8" ht="16" customHeight="1" x14ac:dyDescent="0.2">
      <c r="A75" s="528">
        <v>74</v>
      </c>
      <c r="B75" s="530" t="s">
        <v>2813</v>
      </c>
      <c r="C75" s="506" t="s">
        <v>4906</v>
      </c>
      <c r="D75" s="506" t="str">
        <f>VLOOKUP(E75,'Tabla Albums'!C:L,9,FALSE)</f>
        <v>alternative rock, alternative metal</v>
      </c>
      <c r="E75" s="510" t="s">
        <v>2824</v>
      </c>
      <c r="F75" s="511" t="s">
        <v>2823</v>
      </c>
      <c r="G75" s="507">
        <f>VLOOKUP(E75,'Tabla Albums'!C:L,10,FALSE)</f>
        <v>2003</v>
      </c>
      <c r="H75" s="506"/>
    </row>
    <row r="76" spans="1:8" ht="16" customHeight="1" x14ac:dyDescent="0.2">
      <c r="A76" s="528">
        <v>75</v>
      </c>
      <c r="B76" s="530" t="s">
        <v>4658</v>
      </c>
      <c r="C76" s="506" t="s">
        <v>5181</v>
      </c>
      <c r="D76" s="506" t="str">
        <f>VLOOKUP(E76,'Tabla Albums'!C:L,9,FALSE)</f>
        <v>alternative metal</v>
      </c>
      <c r="E76" s="510" t="s">
        <v>4650</v>
      </c>
      <c r="F76" s="511" t="s">
        <v>2841</v>
      </c>
      <c r="G76" s="507">
        <f>VLOOKUP(E76,'Tabla Albums'!C:L,10,FALSE)</f>
        <v>2010</v>
      </c>
      <c r="H76" s="506"/>
    </row>
    <row r="77" spans="1:8" ht="16" customHeight="1" x14ac:dyDescent="0.2">
      <c r="A77" s="528">
        <v>76</v>
      </c>
      <c r="B77" s="529" t="s">
        <v>2218</v>
      </c>
      <c r="C77" s="506" t="s">
        <v>4905</v>
      </c>
      <c r="D77" s="506" t="str">
        <f>VLOOKUP(E77,'Tabla Albums'!C:L,9,FALSE)</f>
        <v>synthpop</v>
      </c>
      <c r="E77" s="508" t="s">
        <v>2222</v>
      </c>
      <c r="F77" s="509" t="s">
        <v>2221</v>
      </c>
      <c r="G77" s="507">
        <f>VLOOKUP(E77,'Tabla Albums'!C:L,10,FALSE)</f>
        <v>1990</v>
      </c>
      <c r="H77" s="506"/>
    </row>
    <row r="78" spans="1:8" ht="16" customHeight="1" x14ac:dyDescent="0.2">
      <c r="A78" s="528">
        <v>77</v>
      </c>
      <c r="B78" s="530" t="s">
        <v>1935</v>
      </c>
      <c r="C78" s="506" t="s">
        <v>4904</v>
      </c>
      <c r="D78" s="506" t="str">
        <f>VLOOKUP(E78,'Tabla Albums'!C:L,9,FALSE)</f>
        <v>folk rock, hard rock</v>
      </c>
      <c r="E78" s="510" t="s">
        <v>1939</v>
      </c>
      <c r="F78" s="511" t="s">
        <v>296</v>
      </c>
      <c r="G78" s="507">
        <f>VLOOKUP(E78,'Tabla Albums'!C:L,10,FALSE)</f>
        <v>1970</v>
      </c>
      <c r="H78" s="506"/>
    </row>
    <row r="79" spans="1:8" ht="16" customHeight="1" x14ac:dyDescent="0.2">
      <c r="A79" s="528">
        <v>78</v>
      </c>
      <c r="B79" s="529" t="s">
        <v>1512</v>
      </c>
      <c r="C79" s="506" t="s">
        <v>4903</v>
      </c>
      <c r="D79" s="506" t="str">
        <f>VLOOKUP(E79,'Tabla Albums'!C:L,9,FALSE)</f>
        <v>dream pop, shoegaze</v>
      </c>
      <c r="E79" s="508" t="s">
        <v>1518</v>
      </c>
      <c r="F79" s="509" t="s">
        <v>1517</v>
      </c>
      <c r="G79" s="507">
        <f>VLOOKUP(E79,'Tabla Albums'!C:L,10,FALSE)</f>
        <v>1993</v>
      </c>
      <c r="H79" s="506"/>
    </row>
    <row r="80" spans="1:8" ht="16" customHeight="1" x14ac:dyDescent="0.2">
      <c r="A80" s="528">
        <v>79</v>
      </c>
      <c r="B80" s="529" t="s">
        <v>2573</v>
      </c>
      <c r="C80" s="506" t="s">
        <v>4901</v>
      </c>
      <c r="D80" s="506" t="s">
        <v>3902</v>
      </c>
      <c r="E80" s="508" t="s">
        <v>2580</v>
      </c>
      <c r="F80" s="509" t="s">
        <v>1625</v>
      </c>
      <c r="G80" s="507">
        <f>VLOOKUP(E80,'Tabla Albums'!C:L,10,FALSE)</f>
        <v>2008</v>
      </c>
      <c r="H80" s="506"/>
    </row>
    <row r="81" spans="1:8" ht="16" customHeight="1" x14ac:dyDescent="0.2">
      <c r="A81" s="528">
        <v>80</v>
      </c>
      <c r="B81" s="529" t="s">
        <v>3891</v>
      </c>
      <c r="C81" s="506" t="s">
        <v>4896</v>
      </c>
      <c r="D81" s="506" t="str">
        <f>VLOOKUP(E81,'Tabla Albums'!C:L,9,FALSE)</f>
        <v>djent, technical thrash metal</v>
      </c>
      <c r="E81" s="508" t="s">
        <v>3899</v>
      </c>
      <c r="F81" s="509" t="s">
        <v>1174</v>
      </c>
      <c r="G81" s="507">
        <f>VLOOKUP(E81,'Tabla Albums'!C:L,10,FALSE)</f>
        <v>1998</v>
      </c>
      <c r="H81" s="506"/>
    </row>
    <row r="82" spans="1:8" ht="16" customHeight="1" x14ac:dyDescent="0.2">
      <c r="A82" s="528">
        <v>81</v>
      </c>
      <c r="B82" s="530" t="s">
        <v>3934</v>
      </c>
      <c r="C82" s="506" t="s">
        <v>4894</v>
      </c>
      <c r="D82" s="506" t="str">
        <f>VLOOKUP(E82,'Tabla Albums'!C:L,9,FALSE)</f>
        <v>progressive rock, alternative metal</v>
      </c>
      <c r="E82" s="510" t="s">
        <v>3945</v>
      </c>
      <c r="F82" s="511" t="s">
        <v>1300</v>
      </c>
      <c r="G82" s="507">
        <f>VLOOKUP(E82,'Tabla Albums'!C:L,10,FALSE)</f>
        <v>2009</v>
      </c>
      <c r="H82" s="506"/>
    </row>
    <row r="83" spans="1:8" ht="16" customHeight="1" x14ac:dyDescent="0.2">
      <c r="A83" s="528">
        <v>82</v>
      </c>
      <c r="B83" s="530" t="s">
        <v>4891</v>
      </c>
      <c r="C83" s="506" t="s">
        <v>4892</v>
      </c>
      <c r="D83" s="506" t="str">
        <f>VLOOKUP(E83,'Tabla Albums'!C:L,9,FALSE)</f>
        <v>progressive pop, pop rock</v>
      </c>
      <c r="E83" s="510" t="s">
        <v>1484</v>
      </c>
      <c r="F83" s="511" t="s">
        <v>1491</v>
      </c>
      <c r="G83" s="507">
        <f>VLOOKUP(E83,'Tabla Albums'!C:L,10,FALSE)</f>
        <v>1979</v>
      </c>
      <c r="H83" s="506"/>
    </row>
    <row r="84" spans="1:8" ht="16" customHeight="1" x14ac:dyDescent="0.2">
      <c r="A84" s="528">
        <v>83</v>
      </c>
      <c r="B84" s="530" t="s">
        <v>5232</v>
      </c>
      <c r="C84" s="506" t="s">
        <v>5251</v>
      </c>
      <c r="D84" s="506" t="str">
        <f>VLOOKUP(E84,'Tabla Albums'!C:L,9,FALSE)</f>
        <v>indietronica</v>
      </c>
      <c r="E84" s="510" t="s">
        <v>5243</v>
      </c>
      <c r="F84" s="511" t="s">
        <v>5242</v>
      </c>
      <c r="G84" s="507">
        <f>VLOOKUP(E84,'Tabla Albums'!C:L,10,FALSE)</f>
        <v>2010</v>
      </c>
      <c r="H84" s="506"/>
    </row>
    <row r="85" spans="1:8" ht="16" customHeight="1" x14ac:dyDescent="0.2">
      <c r="A85" s="528">
        <v>84</v>
      </c>
      <c r="B85" s="529" t="s">
        <v>2170</v>
      </c>
      <c r="C85" s="506" t="s">
        <v>4890</v>
      </c>
      <c r="D85" s="506" t="str">
        <f>VLOOKUP(E85,'Tabla Albums'!C:L,9,FALSE)</f>
        <v>post rock, post metal</v>
      </c>
      <c r="E85" s="508" t="s">
        <v>2177</v>
      </c>
      <c r="F85" s="509" t="s">
        <v>2178</v>
      </c>
      <c r="G85" s="507">
        <f>VLOOKUP(E85,'Tabla Albums'!C:L,10,FALSE)</f>
        <v>2015</v>
      </c>
      <c r="H85" s="506"/>
    </row>
    <row r="86" spans="1:8" ht="16" customHeight="1" x14ac:dyDescent="0.2">
      <c r="A86" s="528">
        <v>85</v>
      </c>
      <c r="B86" s="530" t="s">
        <v>1215</v>
      </c>
      <c r="C86" s="506" t="s">
        <v>4889</v>
      </c>
      <c r="D86" s="506" t="str">
        <f>VLOOKUP(E86,'Tabla Albums'!C:L,9,FALSE)</f>
        <v>art rock, indie rock</v>
      </c>
      <c r="E86" s="510" t="s">
        <v>1217</v>
      </c>
      <c r="F86" s="511" t="s">
        <v>1226</v>
      </c>
      <c r="G86" s="507">
        <f>VLOOKUP(E86,'Tabla Albums'!C:L,10,FALSE)</f>
        <v>2025</v>
      </c>
      <c r="H86" s="506"/>
    </row>
    <row r="87" spans="1:8" ht="16" customHeight="1" x14ac:dyDescent="0.2">
      <c r="A87" s="528">
        <v>86</v>
      </c>
      <c r="B87" s="529" t="s">
        <v>1710</v>
      </c>
      <c r="C87" s="506" t="s">
        <v>4888</v>
      </c>
      <c r="D87" s="506" t="str">
        <f>VLOOKUP(E87,'Tabla Albums'!C:L,9,FALSE)</f>
        <v>idm, glitch pop</v>
      </c>
      <c r="E87" s="508" t="s">
        <v>1714</v>
      </c>
      <c r="F87" s="509" t="s">
        <v>312</v>
      </c>
      <c r="G87" s="507">
        <f>VLOOKUP(E87,'Tabla Albums'!C:L,10,FALSE)</f>
        <v>2003</v>
      </c>
      <c r="H87" s="506"/>
    </row>
    <row r="88" spans="1:8" ht="16" customHeight="1" x14ac:dyDescent="0.2">
      <c r="A88" s="528">
        <v>87</v>
      </c>
      <c r="B88" s="530" t="s">
        <v>3574</v>
      </c>
      <c r="C88" s="506" t="s">
        <v>4887</v>
      </c>
      <c r="D88" s="506" t="str">
        <f>VLOOKUP(E88,'Tabla Albums'!C:L,9,FALSE)</f>
        <v>singer songwriter, alternative rock</v>
      </c>
      <c r="E88" s="510" t="s">
        <v>3581</v>
      </c>
      <c r="F88" s="511" t="s">
        <v>3580</v>
      </c>
      <c r="G88" s="507">
        <f>VLOOKUP(E88,'Tabla Albums'!C:L,10,FALSE)</f>
        <v>1999</v>
      </c>
      <c r="H88" s="506"/>
    </row>
    <row r="89" spans="1:8" ht="16" customHeight="1" x14ac:dyDescent="0.2">
      <c r="A89" s="528">
        <v>88</v>
      </c>
      <c r="B89" s="529" t="s">
        <v>2547</v>
      </c>
      <c r="C89" s="506" t="s">
        <v>4886</v>
      </c>
      <c r="D89" s="506" t="str">
        <f>VLOOKUP(E89,'Tabla Albums'!C:L,9,FALSE)</f>
        <v>art rock, ambient</v>
      </c>
      <c r="E89" s="508" t="s">
        <v>168</v>
      </c>
      <c r="F89" s="509" t="s">
        <v>2555</v>
      </c>
      <c r="G89" s="507">
        <f>VLOOKUP(E89,'Tabla Albums'!C:L,10,FALSE)</f>
        <v>1977</v>
      </c>
      <c r="H89" s="506"/>
    </row>
    <row r="90" spans="1:8" ht="16" customHeight="1" x14ac:dyDescent="0.2">
      <c r="A90" s="528">
        <v>89</v>
      </c>
      <c r="B90" s="530" t="s">
        <v>4874</v>
      </c>
      <c r="C90" s="506" t="s">
        <v>5257</v>
      </c>
      <c r="D90" s="506" t="s">
        <v>1003</v>
      </c>
      <c r="E90" s="510" t="s">
        <v>4875</v>
      </c>
      <c r="F90" s="511" t="s">
        <v>4876</v>
      </c>
      <c r="G90" s="507">
        <v>2017</v>
      </c>
      <c r="H90" s="506"/>
    </row>
    <row r="91" spans="1:8" ht="16" customHeight="1" x14ac:dyDescent="0.2">
      <c r="A91" s="528">
        <v>90</v>
      </c>
      <c r="B91" s="529" t="s">
        <v>3962</v>
      </c>
      <c r="C91" s="506" t="s">
        <v>4883</v>
      </c>
      <c r="D91" s="506" t="str">
        <f>VLOOKUP(E91,'Tabla Albums'!C:L,9,FALSE)</f>
        <v>progressive metal, alternative metal</v>
      </c>
      <c r="E91" s="508" t="s">
        <v>3986</v>
      </c>
      <c r="F91" s="509" t="s">
        <v>3987</v>
      </c>
      <c r="G91" s="507">
        <f>VLOOKUP(E91,'Tabla Albums'!C:L,10,FALSE)</f>
        <v>1997</v>
      </c>
      <c r="H91" s="506"/>
    </row>
    <row r="92" spans="1:8" ht="16" customHeight="1" x14ac:dyDescent="0.2">
      <c r="A92" s="528">
        <v>91</v>
      </c>
      <c r="B92" s="529" t="s">
        <v>4680</v>
      </c>
      <c r="C92" s="506" t="s">
        <v>4855</v>
      </c>
      <c r="D92" s="506" t="str">
        <f>VLOOKUP(E92,'Tabla Albums'!C:L,9,FALSE)</f>
        <v>singer songwriter, contemporary folk</v>
      </c>
      <c r="E92" s="508" t="s">
        <v>4722</v>
      </c>
      <c r="F92" s="509" t="s">
        <v>4723</v>
      </c>
      <c r="G92" s="507">
        <f>VLOOKUP(E92,'Tabla Albums'!C:L,10,FALSE)</f>
        <v>2020</v>
      </c>
      <c r="H92" s="506"/>
    </row>
    <row r="93" spans="1:8" ht="16" customHeight="1" x14ac:dyDescent="0.2">
      <c r="A93" s="528">
        <v>92</v>
      </c>
      <c r="B93" s="530" t="s">
        <v>1322</v>
      </c>
      <c r="C93" s="506" t="s">
        <v>4854</v>
      </c>
      <c r="D93" s="506" t="str">
        <f>VLOOKUP(E93,'Tabla Albums'!C:L,9,FALSE)</f>
        <v>post metal, folk metal</v>
      </c>
      <c r="E93" s="510" t="s">
        <v>1331</v>
      </c>
      <c r="F93" s="511" t="s">
        <v>1330</v>
      </c>
      <c r="G93" s="507">
        <f>VLOOKUP(E93,'Tabla Albums'!C:L,10,FALSE)</f>
        <v>2002</v>
      </c>
      <c r="H93" s="506"/>
    </row>
    <row r="94" spans="1:8" ht="16" customHeight="1" x14ac:dyDescent="0.2">
      <c r="A94" s="528">
        <v>93</v>
      </c>
      <c r="B94" s="530" t="s">
        <v>4409</v>
      </c>
      <c r="C94" s="506" t="s">
        <v>4882</v>
      </c>
      <c r="D94" s="506" t="str">
        <f>VLOOKUP(E94,'Tabla Albums'!C:L,9,FALSE)</f>
        <v>dream pop, dowmtempo</v>
      </c>
      <c r="E94" s="510" t="s">
        <v>4417</v>
      </c>
      <c r="F94" s="511" t="s">
        <v>951</v>
      </c>
      <c r="G94" s="507">
        <f>VLOOKUP(E94,'Tabla Albums'!C:L,10,FALSE)</f>
        <v>1997</v>
      </c>
      <c r="H94" s="506"/>
    </row>
    <row r="95" spans="1:8" ht="16" customHeight="1" x14ac:dyDescent="0.2">
      <c r="A95" s="528">
        <v>94</v>
      </c>
      <c r="B95" s="530" t="s">
        <v>5275</v>
      </c>
      <c r="C95" s="506" t="s">
        <v>5277</v>
      </c>
      <c r="D95" s="506" t="s">
        <v>734</v>
      </c>
      <c r="E95" s="510" t="s">
        <v>5276</v>
      </c>
      <c r="F95" s="511" t="s">
        <v>304</v>
      </c>
      <c r="G95" s="507">
        <v>1988</v>
      </c>
      <c r="H95" s="506"/>
    </row>
    <row r="96" spans="1:8" ht="16" customHeight="1" x14ac:dyDescent="0.2">
      <c r="A96" s="528">
        <v>95</v>
      </c>
      <c r="B96" s="530" t="s">
        <v>3908</v>
      </c>
      <c r="C96" s="506" t="s">
        <v>5264</v>
      </c>
      <c r="D96" s="506" t="str">
        <f>VLOOKUP(E96,'Tabla Albums'!C:L,9,FALSE)</f>
        <v>midwest emo, indie rock</v>
      </c>
      <c r="E96" s="510" t="s">
        <v>5263</v>
      </c>
      <c r="F96" s="511" t="s">
        <v>3918</v>
      </c>
      <c r="G96" s="507">
        <f>VLOOKUP(E96,'Tabla Albums'!C:L,10,FALSE)</f>
        <v>1998</v>
      </c>
      <c r="H96" s="506"/>
    </row>
    <row r="97" spans="1:8" ht="16" customHeight="1" x14ac:dyDescent="0.2">
      <c r="A97" s="528">
        <v>96</v>
      </c>
      <c r="B97" s="529" t="s">
        <v>1373</v>
      </c>
      <c r="C97" s="506" t="s">
        <v>4881</v>
      </c>
      <c r="D97" s="506" t="str">
        <f>VLOOKUP(E97,'Tabla Albums'!C:L,9,FALSE)</f>
        <v>indie rock, dream pop</v>
      </c>
      <c r="E97" s="508" t="s">
        <v>1379</v>
      </c>
      <c r="F97" s="509" t="s">
        <v>1378</v>
      </c>
      <c r="G97" s="507">
        <f>VLOOKUP(E97,'Tabla Albums'!C:L,10,FALSE)</f>
        <v>2000</v>
      </c>
      <c r="H97" s="506"/>
    </row>
    <row r="98" spans="1:8" ht="16" customHeight="1" x14ac:dyDescent="0.2">
      <c r="A98" s="528">
        <v>97</v>
      </c>
      <c r="B98" s="530" t="s">
        <v>1473</v>
      </c>
      <c r="C98" s="506" t="s">
        <v>4880</v>
      </c>
      <c r="D98" s="506" t="str">
        <f>VLOOKUP(E98,'Tabla Albums'!C:L,9,FALSE)</f>
        <v>symphonic prog, progressive rock</v>
      </c>
      <c r="E98" s="510" t="s">
        <v>1478</v>
      </c>
      <c r="F98" s="511" t="s">
        <v>1477</v>
      </c>
      <c r="G98" s="507">
        <f>VLOOKUP(E98,'Tabla Albums'!C:L,10,FALSE)</f>
        <v>1974</v>
      </c>
      <c r="H98" s="506"/>
    </row>
    <row r="99" spans="1:8" ht="16" customHeight="1" x14ac:dyDescent="0.2">
      <c r="A99" s="528">
        <v>98</v>
      </c>
      <c r="B99" s="530" t="s">
        <v>5187</v>
      </c>
      <c r="C99" s="506" t="s">
        <v>5189</v>
      </c>
      <c r="D99" s="506" t="s">
        <v>1007</v>
      </c>
      <c r="E99" s="510" t="s">
        <v>5187</v>
      </c>
      <c r="F99" s="511" t="s">
        <v>5188</v>
      </c>
      <c r="G99" s="507">
        <v>1984</v>
      </c>
      <c r="H99" s="506"/>
    </row>
    <row r="100" spans="1:8" ht="16" customHeight="1" x14ac:dyDescent="0.2">
      <c r="A100" s="528">
        <v>99</v>
      </c>
      <c r="B100" s="529" t="s">
        <v>4150</v>
      </c>
      <c r="C100" s="506" t="s">
        <v>4879</v>
      </c>
      <c r="D100" s="506" t="str">
        <f>VLOOKUP(E100,'Tabla Albums'!C:L,9,FALSE)</f>
        <v>alternative metal</v>
      </c>
      <c r="E100" s="508" t="s">
        <v>4158</v>
      </c>
      <c r="F100" s="509" t="s">
        <v>4157</v>
      </c>
      <c r="G100" s="507">
        <f>VLOOKUP(E100,'Tabla Albums'!C:L,10,FALSE)</f>
        <v>1992</v>
      </c>
      <c r="H100" s="506"/>
    </row>
    <row r="101" spans="1:8" ht="16" customHeight="1" x14ac:dyDescent="0.2">
      <c r="A101" s="528">
        <v>100</v>
      </c>
      <c r="B101" s="529" t="s">
        <v>4118</v>
      </c>
      <c r="C101" s="506" t="s">
        <v>4865</v>
      </c>
      <c r="D101" s="506" t="str">
        <f>VLOOKUP(E101,'Tabla Albums'!C:L,9,FALSE)</f>
        <v>atmospheric sludge metal, post metal</v>
      </c>
      <c r="E101" s="508" t="s">
        <v>4124</v>
      </c>
      <c r="F101" s="509" t="s">
        <v>4123</v>
      </c>
      <c r="G101" s="507">
        <f>VLOOKUP(E101,'Tabla Albums'!C:L,10,FALSE)</f>
        <v>2004</v>
      </c>
      <c r="H101" s="506"/>
    </row>
    <row r="102" spans="1:8" ht="16" customHeight="1" x14ac:dyDescent="0.2">
      <c r="A102" s="528">
        <v>101</v>
      </c>
      <c r="B102" s="530" t="s">
        <v>1269</v>
      </c>
      <c r="C102" s="506" t="s">
        <v>4864</v>
      </c>
      <c r="D102" s="506" t="str">
        <f>VLOOKUP(E102,'Tabla Albums'!C:L,9,FALSE)</f>
        <v>funk rock, psychedelic rock</v>
      </c>
      <c r="E102" s="510" t="s">
        <v>1269</v>
      </c>
      <c r="F102" s="511" t="s">
        <v>1276</v>
      </c>
      <c r="G102" s="507">
        <f>VLOOKUP(E102,'Tabla Albums'!C:L,10,FALSE)</f>
        <v>1971</v>
      </c>
      <c r="H102" s="506"/>
    </row>
    <row r="103" spans="1:8" ht="16" customHeight="1" x14ac:dyDescent="0.2">
      <c r="A103" s="528">
        <v>102</v>
      </c>
      <c r="B103" s="529" t="s">
        <v>1654</v>
      </c>
      <c r="C103" s="506" t="s">
        <v>4863</v>
      </c>
      <c r="D103" s="506" t="str">
        <f>VLOOKUP(E103,'Tabla Albums'!C:L,9,FALSE)</f>
        <v>post rock, post hardcore</v>
      </c>
      <c r="E103" s="508" t="s">
        <v>1656</v>
      </c>
      <c r="F103" s="509" t="s">
        <v>1655</v>
      </c>
      <c r="G103" s="507">
        <f>VLOOKUP(E103,'Tabla Albums'!C:L,10,FALSE)</f>
        <v>1991</v>
      </c>
      <c r="H103" s="506"/>
    </row>
    <row r="104" spans="1:8" ht="16" customHeight="1" x14ac:dyDescent="0.2">
      <c r="A104" s="528">
        <v>103</v>
      </c>
      <c r="B104" s="529" t="s">
        <v>2481</v>
      </c>
      <c r="C104" s="506" t="s">
        <v>4861</v>
      </c>
      <c r="D104" s="506" t="str">
        <f>VLOOKUP(E104,'Tabla Albums'!C:L,9,FALSE)</f>
        <v>post rock, drone</v>
      </c>
      <c r="E104" s="508" t="s">
        <v>2476</v>
      </c>
      <c r="F104" s="509" t="s">
        <v>2477</v>
      </c>
      <c r="G104" s="507">
        <f>VLOOKUP(E104,'Tabla Albums'!C:L,10,FALSE)</f>
        <v>2000</v>
      </c>
      <c r="H104" s="506"/>
    </row>
    <row r="105" spans="1:8" ht="16" customHeight="1" x14ac:dyDescent="0.2">
      <c r="A105" s="528">
        <v>104</v>
      </c>
      <c r="B105" s="530" t="s">
        <v>768</v>
      </c>
      <c r="C105" s="506" t="s">
        <v>4860</v>
      </c>
      <c r="D105" s="506" t="str">
        <f>VLOOKUP(E105,'Tabla Albums'!C:L,9,FALSE)</f>
        <v>pop rap, hip hop</v>
      </c>
      <c r="E105" s="510" t="s">
        <v>775</v>
      </c>
      <c r="F105" s="511" t="s">
        <v>774</v>
      </c>
      <c r="G105" s="507">
        <f>VLOOKUP(E105,'Tabla Albums'!C:L,10,FALSE)</f>
        <v>2010</v>
      </c>
      <c r="H105" s="506"/>
    </row>
    <row r="106" spans="1:8" ht="16" customHeight="1" x14ac:dyDescent="0.2">
      <c r="A106" s="528">
        <v>105</v>
      </c>
      <c r="B106" s="529" t="s">
        <v>1547</v>
      </c>
      <c r="C106" s="506" t="s">
        <v>4859</v>
      </c>
      <c r="D106" s="506" t="str">
        <f>VLOOKUP(E106,'Tabla Albums'!C:L,9,FALSE)</f>
        <v>experimental rock, post rock</v>
      </c>
      <c r="E106" s="508" t="s">
        <v>1554</v>
      </c>
      <c r="F106" s="509" t="s">
        <v>1555</v>
      </c>
      <c r="G106" s="507">
        <f>VLOOKUP(E106,'Tabla Albums'!C:L,10,FALSE)</f>
        <v>2014</v>
      </c>
      <c r="H106" s="506"/>
    </row>
    <row r="107" spans="1:8" ht="16" customHeight="1" x14ac:dyDescent="0.2">
      <c r="A107" s="528">
        <v>106</v>
      </c>
      <c r="B107" s="530" t="s">
        <v>5290</v>
      </c>
      <c r="C107" s="506" t="s">
        <v>5291</v>
      </c>
      <c r="D107" s="506" t="str">
        <f>VLOOKUP(E107,'Tabla Albums'!C:L,9,FALSE)</f>
        <v>hard rock, occult rock</v>
      </c>
      <c r="E107" s="510" t="s">
        <v>3625</v>
      </c>
      <c r="F107" s="511" t="s">
        <v>3637</v>
      </c>
      <c r="G107" s="507">
        <f>VLOOKUP(E107,'Tabla Albums'!C:L,10,FALSE)</f>
        <v>1981</v>
      </c>
      <c r="H107" s="506"/>
    </row>
    <row r="108" spans="1:8" ht="16" customHeight="1" x14ac:dyDescent="0.2">
      <c r="A108" s="528">
        <v>107</v>
      </c>
      <c r="B108" s="530" t="s">
        <v>2388</v>
      </c>
      <c r="C108" s="506" t="s">
        <v>4858</v>
      </c>
      <c r="D108" s="506" t="str">
        <f>VLOOKUP(E108,'Tabla Albums'!C:L,9,FALSE)</f>
        <v>shoegaze, space rock revival</v>
      </c>
      <c r="E108" s="510" t="s">
        <v>2418</v>
      </c>
      <c r="F108" s="511" t="s">
        <v>2417</v>
      </c>
      <c r="G108" s="507">
        <f>VLOOKUP(E108,'Tabla Albums'!C:L,10,FALSE)</f>
        <v>2000</v>
      </c>
      <c r="H108" s="506"/>
    </row>
    <row r="109" spans="1:8" ht="16" customHeight="1" x14ac:dyDescent="0.2">
      <c r="A109" s="528">
        <v>108</v>
      </c>
      <c r="B109" s="529" t="s">
        <v>227</v>
      </c>
      <c r="C109" s="506" t="s">
        <v>4857</v>
      </c>
      <c r="D109" s="506" t="str">
        <f>VLOOKUP(E109,'Tabla Albums'!C:L,9,FALSE)</f>
        <v>old school hip hop, east coast hip hop</v>
      </c>
      <c r="E109" s="508" t="s">
        <v>240</v>
      </c>
      <c r="F109" s="509" t="s">
        <v>308</v>
      </c>
      <c r="G109" s="507">
        <f>VLOOKUP(E109,'Tabla Albums'!C:L,10,FALSE)</f>
        <v>1994</v>
      </c>
      <c r="H109" s="506"/>
    </row>
    <row r="110" spans="1:8" ht="16" customHeight="1" x14ac:dyDescent="0.2">
      <c r="A110" s="528">
        <v>109</v>
      </c>
      <c r="B110" s="529" t="s">
        <v>2877</v>
      </c>
      <c r="C110" s="506" t="s">
        <v>4853</v>
      </c>
      <c r="D110" s="506" t="str">
        <f>VLOOKUP(E110,'Tabla Albums'!C:L,9,FALSE)</f>
        <v>singer songwriter, chamber folk</v>
      </c>
      <c r="E110" s="508" t="s">
        <v>2894</v>
      </c>
      <c r="F110" s="509" t="s">
        <v>2893</v>
      </c>
      <c r="G110" s="507">
        <f>VLOOKUP(E110,'Tabla Albums'!C:L,10,FALSE)</f>
        <v>2020</v>
      </c>
      <c r="H110" s="506"/>
    </row>
    <row r="111" spans="1:8" ht="16" customHeight="1" x14ac:dyDescent="0.2">
      <c r="A111" s="528">
        <v>110</v>
      </c>
      <c r="B111" s="530" t="s">
        <v>4897</v>
      </c>
      <c r="C111" s="506" t="s">
        <v>5326</v>
      </c>
      <c r="D111" s="506" t="s">
        <v>4900</v>
      </c>
      <c r="E111" s="510" t="s">
        <v>4899</v>
      </c>
      <c r="F111" s="511" t="s">
        <v>4898</v>
      </c>
      <c r="G111" s="507">
        <v>2015</v>
      </c>
      <c r="H111" s="506"/>
    </row>
    <row r="112" spans="1:8" ht="16" customHeight="1" x14ac:dyDescent="0.2">
      <c r="A112" s="528">
        <v>111</v>
      </c>
      <c r="B112" s="530" t="s">
        <v>4851</v>
      </c>
      <c r="C112" s="506" t="s">
        <v>4852</v>
      </c>
      <c r="D112" s="506" t="str">
        <f>VLOOKUP(E112,'Tabla Albums'!C:L,9,FALSE)</f>
        <v>conscious hip hop, jazz rap</v>
      </c>
      <c r="E112" s="510" t="s">
        <v>1266</v>
      </c>
      <c r="F112" s="511" t="s">
        <v>1265</v>
      </c>
      <c r="G112" s="507">
        <f>VLOOKUP(E112,'Tabla Albums'!C:L,10,FALSE)</f>
        <v>2015</v>
      </c>
      <c r="H112" s="506"/>
    </row>
    <row r="113" spans="1:8" ht="16" customHeight="1" x14ac:dyDescent="0.2">
      <c r="A113" s="528">
        <v>112</v>
      </c>
      <c r="B113" s="529" t="s">
        <v>1383</v>
      </c>
      <c r="C113" s="506" t="s">
        <v>4850</v>
      </c>
      <c r="D113" s="506" t="str">
        <f>VLOOKUP(E113,'Tabla Albums'!C:L,9,FALSE)</f>
        <v>downtempo, ambient pop</v>
      </c>
      <c r="E113" s="508" t="s">
        <v>1394</v>
      </c>
      <c r="F113" s="509" t="s">
        <v>1393</v>
      </c>
      <c r="G113" s="507">
        <f>VLOOKUP(E113,'Tabla Albums'!C:L,10,FALSE)</f>
        <v>1998</v>
      </c>
      <c r="H113" s="506"/>
    </row>
    <row r="114" spans="1:8" ht="16" customHeight="1" x14ac:dyDescent="0.2">
      <c r="A114" s="528">
        <v>113</v>
      </c>
      <c r="B114" s="530" t="s">
        <v>1576</v>
      </c>
      <c r="C114" s="506" t="s">
        <v>5284</v>
      </c>
      <c r="D114" s="506" t="str">
        <f>VLOOKUP(E114,'Tabla Albums'!C:L,9,FALSE)</f>
        <v>heavy metal</v>
      </c>
      <c r="E114" s="510" t="s">
        <v>1573</v>
      </c>
      <c r="F114" s="511" t="s">
        <v>1577</v>
      </c>
      <c r="G114" s="507">
        <f>VLOOKUP(E114,'Tabla Albums'!C:L,10,FALSE)</f>
        <v>1982</v>
      </c>
      <c r="H114" s="506"/>
    </row>
    <row r="115" spans="1:8" ht="16" customHeight="1" x14ac:dyDescent="0.2">
      <c r="A115" s="528">
        <v>114</v>
      </c>
      <c r="B115" s="529" t="s">
        <v>2794</v>
      </c>
      <c r="C115" s="506" t="s">
        <v>4849</v>
      </c>
      <c r="D115" s="506" t="str">
        <f>VLOOKUP(E115,'Tabla Albums'!C:L,9,FALSE)</f>
        <v>shoegaze, dream pop</v>
      </c>
      <c r="E115" s="508" t="s">
        <v>4590</v>
      </c>
      <c r="F115" s="509" t="s">
        <v>2796</v>
      </c>
      <c r="G115" s="507">
        <f>VLOOKUP(E115,'Tabla Albums'!C:L,10,FALSE)</f>
        <v>2007</v>
      </c>
      <c r="H115" s="506"/>
    </row>
    <row r="116" spans="1:8" ht="16" customHeight="1" x14ac:dyDescent="0.2">
      <c r="A116" s="528">
        <v>115</v>
      </c>
      <c r="B116" s="530" t="s">
        <v>4136</v>
      </c>
      <c r="C116" s="506" t="s">
        <v>4848</v>
      </c>
      <c r="D116" s="506" t="str">
        <f>VLOOKUP(E116,'Tabla Albums'!C:L,9,FALSE)</f>
        <v>black metal, melodic black metal</v>
      </c>
      <c r="E116" s="510" t="s">
        <v>4140</v>
      </c>
      <c r="F116" s="511" t="s">
        <v>4139</v>
      </c>
      <c r="G116" s="507">
        <f>VLOOKUP(E116,'Tabla Albums'!C:L,10,FALSE)</f>
        <v>2015</v>
      </c>
      <c r="H116" s="506"/>
    </row>
    <row r="117" spans="1:8" ht="16" customHeight="1" x14ac:dyDescent="0.2">
      <c r="A117" s="528">
        <v>116</v>
      </c>
      <c r="B117" s="529" t="s">
        <v>3491</v>
      </c>
      <c r="C117" s="506" t="s">
        <v>4847</v>
      </c>
      <c r="D117" s="506" t="str">
        <f>VLOOKUP(E117,'Tabla Albums'!C:L,9,FALSE)</f>
        <v>future garage, dubstep</v>
      </c>
      <c r="E117" s="508" t="s">
        <v>3486</v>
      </c>
      <c r="F117" s="509" t="s">
        <v>3493</v>
      </c>
      <c r="G117" s="507">
        <f>VLOOKUP(E117,'Tabla Albums'!C:L,10,FALSE)</f>
        <v>2007</v>
      </c>
      <c r="H117" s="506"/>
    </row>
    <row r="118" spans="1:8" ht="16" customHeight="1" x14ac:dyDescent="0.2">
      <c r="A118" s="528">
        <v>117</v>
      </c>
      <c r="B118" s="530" t="s">
        <v>1116</v>
      </c>
      <c r="C118" s="506" t="s">
        <v>5261</v>
      </c>
      <c r="D118" s="506" t="str">
        <f>VLOOKUP(E118,'Tabla Albums'!C:L,9,FALSE)</f>
        <v>electropop, edm</v>
      </c>
      <c r="E118" s="510" t="s">
        <v>1122</v>
      </c>
      <c r="F118" s="511" t="s">
        <v>1121</v>
      </c>
      <c r="G118" s="507">
        <f>VLOOKUP(E118,'Tabla Albums'!C:L,10,FALSE)</f>
        <v>2024</v>
      </c>
      <c r="H118" s="506"/>
    </row>
    <row r="119" spans="1:8" ht="16" customHeight="1" x14ac:dyDescent="0.2">
      <c r="A119" s="528">
        <v>118</v>
      </c>
      <c r="B119" s="530" t="s">
        <v>4811</v>
      </c>
      <c r="C119" s="506" t="s">
        <v>4846</v>
      </c>
      <c r="D119" s="506" t="str">
        <f>VLOOKUP(E119,'Tabla Albums'!C:L,9,FALSE)</f>
        <v>new wave, post punk</v>
      </c>
      <c r="E119" s="510" t="s">
        <v>4816</v>
      </c>
      <c r="F119" s="511" t="s">
        <v>545</v>
      </c>
      <c r="G119" s="507">
        <f>VLOOKUP(E119,'Tabla Albums'!C:L,10,FALSE)</f>
        <v>1980</v>
      </c>
      <c r="H119" s="506"/>
    </row>
    <row r="120" spans="1:8" ht="16" customHeight="1" x14ac:dyDescent="0.2">
      <c r="A120" s="528">
        <v>119</v>
      </c>
      <c r="B120" s="529" t="s">
        <v>1343</v>
      </c>
      <c r="C120" s="506" t="s">
        <v>4845</v>
      </c>
      <c r="D120" s="506" t="s">
        <v>1000</v>
      </c>
      <c r="E120" s="508" t="s">
        <v>1353</v>
      </c>
      <c r="F120" s="509" t="s">
        <v>1348</v>
      </c>
      <c r="G120" s="507">
        <f>VLOOKUP(E120,'Tabla Albums'!C:L,10,FALSE)</f>
        <v>2012</v>
      </c>
      <c r="H120" s="506"/>
    </row>
    <row r="121" spans="1:8" ht="16" customHeight="1" x14ac:dyDescent="0.2">
      <c r="A121" s="528">
        <v>120</v>
      </c>
      <c r="B121" s="530" t="s">
        <v>4461</v>
      </c>
      <c r="C121" s="506" t="s">
        <v>4843</v>
      </c>
      <c r="D121" s="506" t="s">
        <v>4499</v>
      </c>
      <c r="E121" s="510" t="s">
        <v>4482</v>
      </c>
      <c r="F121" s="511" t="s">
        <v>4481</v>
      </c>
      <c r="G121" s="507">
        <f>VLOOKUP(E121,'Tabla Albums'!C:L,10,FALSE)</f>
        <v>2005</v>
      </c>
      <c r="H121" s="506"/>
    </row>
    <row r="122" spans="1:8" ht="16" customHeight="1" x14ac:dyDescent="0.2">
      <c r="A122" s="528">
        <v>121</v>
      </c>
      <c r="B122" s="529" t="s">
        <v>2484</v>
      </c>
      <c r="C122" s="506" t="s">
        <v>4844</v>
      </c>
      <c r="D122" s="506" t="s">
        <v>992</v>
      </c>
      <c r="E122" s="508" t="s">
        <v>2508</v>
      </c>
      <c r="F122" s="509" t="s">
        <v>2507</v>
      </c>
      <c r="G122" s="507">
        <f>VLOOKUP(E122,'Tabla Albums'!C:L,10,FALSE)</f>
        <v>1991</v>
      </c>
      <c r="H122" s="506"/>
    </row>
    <row r="123" spans="1:8" ht="16" customHeight="1" x14ac:dyDescent="0.2">
      <c r="A123" s="528">
        <v>122</v>
      </c>
      <c r="B123" s="530" t="s">
        <v>450</v>
      </c>
      <c r="C123" s="506" t="s">
        <v>4842</v>
      </c>
      <c r="D123" s="506" t="str">
        <f>VLOOKUP(E123,'Tabla Albums'!C:L,9,FALSE)</f>
        <v>art rock</v>
      </c>
      <c r="E123" s="510" t="s">
        <v>3088</v>
      </c>
      <c r="F123" s="511" t="s">
        <v>2555</v>
      </c>
      <c r="G123" s="507">
        <f>VLOOKUP(E123,'Tabla Albums'!C:L,10,FALSE)</f>
        <v>2016</v>
      </c>
      <c r="H123" s="506"/>
    </row>
    <row r="124" spans="1:8" ht="16" customHeight="1" x14ac:dyDescent="0.2">
      <c r="A124" s="528">
        <v>123</v>
      </c>
      <c r="B124" s="529" t="s">
        <v>3542</v>
      </c>
      <c r="C124" s="506" t="s">
        <v>4841</v>
      </c>
      <c r="D124" s="506" t="s">
        <v>987</v>
      </c>
      <c r="E124" s="508" t="s">
        <v>3564</v>
      </c>
      <c r="F124" s="509" t="s">
        <v>3563</v>
      </c>
      <c r="G124" s="507">
        <f>VLOOKUP(E124,'Tabla Albums'!C:L,10,FALSE)</f>
        <v>1981</v>
      </c>
      <c r="H124" s="506"/>
    </row>
    <row r="125" spans="1:8" ht="16" customHeight="1" x14ac:dyDescent="0.2">
      <c r="A125" s="528">
        <v>124</v>
      </c>
      <c r="B125" s="530" t="s">
        <v>76</v>
      </c>
      <c r="C125" s="506" t="s">
        <v>4840</v>
      </c>
      <c r="D125" s="506" t="s">
        <v>1002</v>
      </c>
      <c r="E125" s="510" t="s">
        <v>218</v>
      </c>
      <c r="F125" s="511" t="s">
        <v>309</v>
      </c>
      <c r="G125" s="507">
        <f>VLOOKUP(E125,'Tabla Albums'!C:L,10,FALSE)</f>
        <v>1998</v>
      </c>
      <c r="H125" s="506"/>
    </row>
    <row r="126" spans="1:8" ht="16" customHeight="1" x14ac:dyDescent="0.2">
      <c r="A126" s="528">
        <v>125</v>
      </c>
      <c r="B126" s="530" t="s">
        <v>1202</v>
      </c>
      <c r="C126" s="506" t="s">
        <v>5319</v>
      </c>
      <c r="D126" s="506" t="s">
        <v>1232</v>
      </c>
      <c r="E126" s="510" t="s">
        <v>1228</v>
      </c>
      <c r="F126" s="511" t="s">
        <v>1227</v>
      </c>
      <c r="G126" s="507">
        <f>VLOOKUP(E126,'Tabla Albums'!C:L,10,FALSE)</f>
        <v>2002</v>
      </c>
      <c r="H126" s="506"/>
    </row>
    <row r="127" spans="1:8" x14ac:dyDescent="0.2">
      <c r="H127" s="506"/>
    </row>
    <row r="128" spans="1:8" x14ac:dyDescent="0.2">
      <c r="H128" s="506"/>
    </row>
    <row r="129" spans="3:8" x14ac:dyDescent="0.2">
      <c r="C129" s="506"/>
      <c r="G129" s="506"/>
      <c r="H129" s="506"/>
    </row>
    <row r="130" spans="3:8" x14ac:dyDescent="0.2">
      <c r="C130" s="506"/>
      <c r="G130" s="506"/>
      <c r="H130" s="506"/>
    </row>
    <row r="131" spans="3:8" x14ac:dyDescent="0.2">
      <c r="C131" s="506"/>
      <c r="G131" s="506"/>
      <c r="H131" s="506"/>
    </row>
    <row r="132" spans="3:8" x14ac:dyDescent="0.2">
      <c r="C132" s="506"/>
      <c r="G132" s="506"/>
      <c r="H132" s="506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2TPRHG2BFLMP7NV4ARDKU2XQ7O5O6OQF:ms-officescript%3A%2F%2Fonedrive_business_sharinglink%2Fu!aHR0cHM6Ly9hcnRpY2FpbmdlbmllcmlhLW15LnNoYXJlcG9pbnQuY29tLzp1Oi9nL3BlcnNvbmFsL21yb2RyaWd1ZXpfYXJ0aWNhaV9lcy9JUUJCS3RqX3Ryd0VScXBxOFB1Njd6b0ZBVXN3R0tnbkdFYkhLZzc2aGRETk9QVQ"/>
  <scriptId xmlns="" id="ms-officescript%3A%2F%2Fonedrive_business_itemlink%2F01MLL275BDVP2MJTOR45GZ2A3G32POHLEE:ms-officescript%3A%2F%2Fonedrive_business_sharinglink%2Fu!aHR0cHM6Ly91cG0zNjUtbXkuc2hhcmVwb2ludC5jb20vOnU6L2cvcGVyc29uYWwvbWlndWVsX3JvZHJpZ3VlejkxX2FsdW1ub3NfdXBtX2VzL0lRQWpxX1RFemRIblRaMERadDZlNDZ5RUFhRlctV1ZueXRleWF1b05HVHVLMDQw"/>
</scriptIds>
</file>

<file path=customXml/itemProps1.xml><?xml version="1.0" encoding="utf-8"?>
<ds:datastoreItem xmlns:ds="http://schemas.openxmlformats.org/officeDocument/2006/customXml" ds:itemID="{0E199ECA-DC30-48B1-BCD4-1F875D95F05D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GUÍA</vt:lpstr>
      <vt:lpstr>Albums</vt:lpstr>
      <vt:lpstr>Tabla Albums</vt:lpstr>
      <vt:lpstr>Tablas TOP</vt:lpstr>
      <vt:lpstr>TOP Canciones</vt:lpstr>
      <vt:lpstr>TOP Generos</vt:lpstr>
      <vt:lpstr>Mapeo Generos</vt:lpstr>
      <vt:lpstr>Graficos</vt:lpstr>
      <vt:lpstr>Resumen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Rodriguez Andreu</dc:creator>
  <cp:lastModifiedBy>Miguel Rodriguez Rodriguez</cp:lastModifiedBy>
  <cp:lastPrinted>2026-02-04T22:08:03Z</cp:lastPrinted>
  <dcterms:created xsi:type="dcterms:W3CDTF">2025-12-22T12:54:57Z</dcterms:created>
  <dcterms:modified xsi:type="dcterms:W3CDTF">2026-10-05T18:06:50Z</dcterms:modified>
</cp:coreProperties>
</file>