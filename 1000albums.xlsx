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C12C6BA2-30BD-4CB9-8C25-D2541ED51C32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  <sheet name="mayo" sheetId="5" r:id="rId3"/>
  </sheets>
  <definedNames>
    <definedName name="_xlchart.v1.0" hidden="1">Hoja2!$V$3:$V$191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9" i="4" l="1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<sst xmlns="http://schemas.openxmlformats.org/spreadsheetml/2006/main" count="4466" uniqueCount="3278">
  <si>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</si>
  <si>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</si>
  <si>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</si>
  <si>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</si>
  <si>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</si>
  <si>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</si>
  <si>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</si>
  <si>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</si>
  <si>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</si>
  <si>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</si>
  <si>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</si>
  <si>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</si>
  <si>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</si>
  <si>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</si>
  <si>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</si>
  <si>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</si>
  <si>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</si>
  <si>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</si>
  <si>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</si>
  <si>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</si>
  <si>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</si>
  <si>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</si>
  <si>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</si>
  <si>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</si>
  <si>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</si>
  <si>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</si>
  <si>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</si>
  <si>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</si>
  <si>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</si>
  <si>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</si>
  <si>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</si>
  <si>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</si>
  <si>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</si>
  <si>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</si>
  <si>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</si>
  <si>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</si>
  <si>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</si>
  <si>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</si>
  <si>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</si>
  <si>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</si>
  <si>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</si>
  <si>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</si>
  <si>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</si>
  <si>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</si>
  <si>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</si>
  <si>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</si>
  <si>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</si>
  <si>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</si>
  <si>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</si>
  <si>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</si>
  <si>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</si>
  <si>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</si>
  <si>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</si>
  <si>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</si>
  <si>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</si>
  <si>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</si>
  <si>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</si>
  <si>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</si>
  <si>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</si>
  <si>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</si>
  <si>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</si>
  <si>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</si>
  <si>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</si>
  <si>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</si>
  <si>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</si>
  <si>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</si>
  <si>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</si>
  <si>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</si>
  <si>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</si>
  <si>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</si>
  <si>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</si>
  <si>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</si>
  <si>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</si>
  <si>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</si>
  <si>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</si>
  <si>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</si>
  <si>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</si>
  <si>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</si>
  <si>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</si>
  <si>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</si>
  <si>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</si>
  <si>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</si>
  <si>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</si>
  <si>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</si>
  <si>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</si>
  <si>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</si>
  <si>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</si>
  <si>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</si>
  <si>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</si>
  <si>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</si>
  <si>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</si>
  <si>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</si>
  <si>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</si>
  <si>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</si>
  <si>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</si>
  <si>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</si>
  <si>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</si>
  <si>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</si>
  <si>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</si>
  <si>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</si>
  <si>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</si>
  <si>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</si>
  <si>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</si>
  <si>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</si>
  <si>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</si>
  <si>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</si>
  <si>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</si>
  <si>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</si>
  <si>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</si>
  <si>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</si>
  <si>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</si>
  <si>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</si>
  <si>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</si>
  <si>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</si>
  <si>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</si>
  <si>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</si>
  <si>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</si>
  <si>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</si>
  <si>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</si>
  <si>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</si>
  <si>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</si>
  <si>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</si>
  <si>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</si>
  <si>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</si>
  <si>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</si>
  <si>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</si>
  <si>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</si>
  <si>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</si>
  <si>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</si>
  <si>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</si>
  <si>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</si>
  <si>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</si>
  <si>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</si>
  <si>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</si>
  <si>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</si>
  <si>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</si>
  <si>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</si>
  <si>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</si>
  <si>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</si>
  <si>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</si>
  <si>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</si>
  <si>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</si>
  <si>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</si>
  <si>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</si>
  <si>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</si>
  <si>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</si>
  <si>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</si>
  <si>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</si>
  <si>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</si>
  <si>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</si>
  <si>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</si>
  <si>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</si>
  <si>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</si>
  <si>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</si>
  <si>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</si>
  <si>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</si>
  <si>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</si>
  <si>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</si>
  <si>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</si>
  <si>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</si>
  <si>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</si>
  <si>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</si>
  <si>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</si>
  <si>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</si>
  <si>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</si>
  <si>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</si>
  <si>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</si>
  <si>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</si>
  <si>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</si>
  <si>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</si>
  <si>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</si>
  <si>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</si>
  <si>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</si>
  <si>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</si>
  <si>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</si>
  <si>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</si>
  <si>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</si>
  <si>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</si>
  <si>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</si>
  <si>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</si>
  <si>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</si>
  <si>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</si>
  <si>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</si>
  <si>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</si>
  <si>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</si>
  <si>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</si>
  <si>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</si>
  <si>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</si>
  <si>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</si>
  <si>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</si>
  <si>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</si>
  <si>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</si>
  <si>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</si>
  <si>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</si>
  <si>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</si>
  <si>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</si>
  <si>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</si>
  <si>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</si>
  <si>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</si>
  <si>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</si>
  <si>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</si>
  <si>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</si>
  <si>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</si>
  <si>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</si>
  <si>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</si>
  <si>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</si>
  <si>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</si>
  <si>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</si>
  <si>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</si>
  <si>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</si>
  <si>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</si>
  <si>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</si>
  <si>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</si>
  <si>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</si>
  <si>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</si>
  <si>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</si>
  <si>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</si>
  <si>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</si>
  <si>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</si>
  <si>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</si>
  <si>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</si>
  <si>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</si>
  <si>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</si>
  <si>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</si>
  <si>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</si>
  <si>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</si>
  <si>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</si>
  <si>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</si>
  <si>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</si>
  <si>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</si>
  <si>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</si>
  <si>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</si>
  <si>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</si>
  <si>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</si>
  <si>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</si>
  <si>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</si>
  <si>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</si>
  <si>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</si>
  <si>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</si>
  <si>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</si>
  <si>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</si>
  <si>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</si>
  <si>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</si>
  <si>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</si>
  <si>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</si>
  <si>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</si>
  <si>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</si>
  <si>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</si>
  <si>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</si>
  <si>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</si>
  <si>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</si>
  <si>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</si>
  <si>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</si>
  <si>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</si>
  <si>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</si>
  <si>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</si>
  <si>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</si>
  <si>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</si>
  <si>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</si>
  <si>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</si>
  <si>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</si>
  <si>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</si>
  <si>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</si>
  <si>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</si>
  <si>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</si>
  <si>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</si>
  <si>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</si>
  <si>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</si>
  <si>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</si>
  <si>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</si>
  <si>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</si>
  <si>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</si>
  <si>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</si>
  <si>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</si>
  <si>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</si>
  <si>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</si>
  <si>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</si>
  <si>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</si>
  <si>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</si>
  <si>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</si>
  <si>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</si>
  <si>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</si>
  <si>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</si>
  <si>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</si>
  <si>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</si>
  <si>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</si>
  <si>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</si>
  <si>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</si>
  <si>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</si>
  <si>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</si>
  <si>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</si>
  <si>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</si>
  <si>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</si>
  <si>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</si>
  <si>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</si>
  <si>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</si>
  <si>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</si>
  <si>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</si>
  <si>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</si>
  <si>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</si>
  <si>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</si>
  <si>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</si>
  <si>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</si>
  <si>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</si>
  <si>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</si>
  <si>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</si>
  <si>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</si>
  <si>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</si>
  <si>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</si>
  <si>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</si>
  <si>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</si>
  <si>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</si>
  <si>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</si>
  <si>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</si>
  <si>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</si>
  <si>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</si>
  <si>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</si>
  <si>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</si>
  <si>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</si>
  <si>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</si>
  <si>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</si>
  <si>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</si>
  <si>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</si>
  <si>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</si>
  <si>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</si>
  <si>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</si>
  <si>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</si>
  <si>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</si>
  <si>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</si>
  <si>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</si>
  <si>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</si>
  <si>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</si>
  <si>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</si>
  <si>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</si>
  <si>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</si>
  <si>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</si>
  <si>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</si>
  <si>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</si>
  <si>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</si>
  <si>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</si>
  <si>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</si>
  <si>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</si>
  <si>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</si>
  <si>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</si>
  <si>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</si>
  <si>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</si>
  <si>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</si>
  <si>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</si>
  <si>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</si>
  <si>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</si>
  <si>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</si>
  <si>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</si>
  <si>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</si>
  <si>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</si>
  <si>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</si>
  <si>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</si>
  <si>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</si>
  <si>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</si>
  <si>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</si>
  <si>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</si>
  <si>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</si>
  <si>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</si>
  <si>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</si>
  <si>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</si>
  <si>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</si>
  <si>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</si>
  <si>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</si>
  <si>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</si>
  <si>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</si>
  <si>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</si>
  <si>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</si>
  <si>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</si>
  <si>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</si>
  <si>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</si>
  <si>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</si>
  <si>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</si>
  <si>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</si>
  <si>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</si>
  <si>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</si>
  <si>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</si>
  <si>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</si>
  <si>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</si>
  <si>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</si>
  <si>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</si>
  <si>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</si>
  <si>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</si>
  <si>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</si>
  <si>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</si>
  <si>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</si>
  <si>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</si>
  <si>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</si>
  <si>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</si>
  <si>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</si>
  <si>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</si>
  <si>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</si>
  <si>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</si>
  <si>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</si>
  <si>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</si>
  <si>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</si>
  <si>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</si>
  <si>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</si>
  <si>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</si>
  <si>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</si>
  <si>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</si>
  <si>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</si>
  <si>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</si>
  <si>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</si>
  <si>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</si>
  <si>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</si>
  <si>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</si>
  <si>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</si>
  <si>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</si>
  <si>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</si>
  <si>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</si>
  <si>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</si>
  <si>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</si>
  <si>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</si>
  <si>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</si>
  <si>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</si>
  <si>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</si>
  <si>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</si>
  <si>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</si>
  <si>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</si>
  <si>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</si>
  <si>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</si>
  <si>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</si>
  <si>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</si>
  <si>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</si>
  <si>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</si>
  <si>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</si>
  <si>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</si>
  <si>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</si>
  <si>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</si>
  <si>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</si>
  <si>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</si>
  <si>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</si>
  <si>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</si>
  <si>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</si>
  <si>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</si>
  <si>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</si>
  <si>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</si>
  <si>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</si>
  <si>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</si>
  <si>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</si>
  <si>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</si>
  <si>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</si>
  <si>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</si>
  <si>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</si>
  <si>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</si>
  <si>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</si>
  <si>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</si>
  <si>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</si>
  <si>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</si>
  <si>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</si>
  <si>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</si>
  <si>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</si>
  <si>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</si>
  <si>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</si>
  <si>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</si>
  <si>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</si>
  <si>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</si>
  <si>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</si>
  <si>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</si>
  <si>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</si>
  <si>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</si>
  <si>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</si>
  <si>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</si>
  <si>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</si>
  <si>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</si>
  <si>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</si>
  <si>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</si>
  <si>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</si>
  <si>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</si>
  <si>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</si>
  <si>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</si>
  <si>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</si>
  <si>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</si>
  <si>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</si>
  <si>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</si>
  <si>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</si>
  <si>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</si>
  <si>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</si>
  <si>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</si>
  <si>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</si>
  <si>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</si>
  <si>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</si>
  <si>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</si>
  <si>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</si>
  <si>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</si>
  <si>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</si>
  <si>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</si>
  <si>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</si>
  <si>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</si>
  <si>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</si>
  <si>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</si>
  <si>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</si>
  <si>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</si>
  <si>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</si>
  <si>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</si>
  <si>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</si>
  <si>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</si>
  <si>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</si>
  <si>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</si>
  <si>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</si>
  <si>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</si>
  <si>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</si>
  <si>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</si>
  <si>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</si>
  <si>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</si>
  <si>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</si>
  <si>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</si>
  <si>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</si>
  <si>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</si>
  <si>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</si>
  <si>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</si>
  <si>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</si>
  <si>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</si>
  <si>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</si>
  <si>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</si>
  <si>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</si>
  <si>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</si>
  <si>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</si>
  <si>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</si>
  <si>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</si>
  <si>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</si>
  <si>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</si>
  <si>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</si>
  <si>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</si>
  <si>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</si>
  <si>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</si>
  <si>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</si>
  <si>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</si>
  <si>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</si>
  <si>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</si>
  <si>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</si>
  <si>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</si>
  <si>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</si>
  <si>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</si>
  <si>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</si>
  <si>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</si>
  <si>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</si>
  <si>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</si>
  <si>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</si>
  <si>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</si>
  <si>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</si>
  <si>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</si>
  <si>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</si>
  <si>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</si>
  <si>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</si>
  <si>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</si>
  <si>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</si>
  <si>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</si>
  <si>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</si>
  <si>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</si>
  <si>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</si>
  <si>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</si>
  <si>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</si>
  <si>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</si>
  <si>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</si>
  <si>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</si>
  <si>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</si>
  <si>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</si>
  <si>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</si>
  <si>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</si>
  <si>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</si>
  <si>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</si>
  <si>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</si>
  <si>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</si>
  <si>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</si>
  <si>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</si>
  <si>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</si>
  <si>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</si>
  <si>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</si>
  <si>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</si>
  <si>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</si>
  <si>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</si>
  <si>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</si>
  <si>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</si>
  <si>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</si>
  <si>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</si>
  <si>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</si>
  <si>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</si>
  <si>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</si>
  <si>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</si>
  <si>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</si>
  <si>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</si>
  <si>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</si>
  <si>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</si>
  <si>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</si>
  <si>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</si>
  <si>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</si>
  <si>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</si>
  <si>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</si>
  <si>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</si>
  <si>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</si>
  <si>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</si>
  <si>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</si>
  <si>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</si>
  <si>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</si>
  <si>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</si>
  <si>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</si>
  <si>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</si>
  <si>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</si>
  <si>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</si>
  <si>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</si>
  <si>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</si>
  <si>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</si>
  <si>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</si>
  <si>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</si>
  <si>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</si>
  <si>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</si>
  <si>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</si>
  <si>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</si>
  <si>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</si>
  <si>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</si>
  <si>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</si>
  <si>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</si>
  <si>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</si>
  <si>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</si>
  <si>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</si>
  <si>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</si>
  <si>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</si>
  <si>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</si>
  <si>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</si>
  <si>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</si>
  <si>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</si>
  <si>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</si>
  <si>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</si>
  <si>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</si>
  <si>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</si>
  <si>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</si>
  <si>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</si>
  <si>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</si>
  <si>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</si>
  <si>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</si>
  <si>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</si>
  <si>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</si>
  <si>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</si>
  <si>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</si>
  <si>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</si>
  <si>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</si>
  <si>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</si>
  <si>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</si>
  <si>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</si>
  <si>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</si>
  <si>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</si>
  <si>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</si>
  <si>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</si>
  <si>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</si>
  <si>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</si>
  <si>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</si>
  <si>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</si>
  <si>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</si>
  <si>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</si>
  <si>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</si>
  <si>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</si>
  <si>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</si>
  <si>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</si>
  <si>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</si>
  <si>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</si>
  <si>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</si>
  <si>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</si>
  <si>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</si>
  <si>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</si>
  <si>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</si>
  <si>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</si>
  <si>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</si>
  <si>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</si>
  <si>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</si>
  <si>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</si>
  <si>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</si>
  <si>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</si>
  <si>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</si>
  <si>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</si>
  <si>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</si>
  <si>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</si>
  <si>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</si>
  <si>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</si>
  <si>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</si>
  <si>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</si>
  <si>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</si>
  <si>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</si>
  <si>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</si>
  <si>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</si>
  <si>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</si>
  <si>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</si>
  <si>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</si>
  <si>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</si>
  <si>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</si>
  <si>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</si>
  <si>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</si>
  <si>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</si>
  <si>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</si>
  <si>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</si>
  <si>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</si>
  <si>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</si>
  <si>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</si>
  <si>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</si>
  <si>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</si>
  <si>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</si>
  <si>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</si>
  <si>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</si>
  <si>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</si>
  <si>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</si>
  <si>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</si>
  <si>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</si>
  <si>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</si>
  <si>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</si>
  <si>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</si>
  <si>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</si>
  <si>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</si>
  <si>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</si>
  <si>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</si>
  <si>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</si>
  <si>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</si>
  <si>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</si>
  <si>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</si>
  <si>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</si>
  <si>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</si>
  <si>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</si>
  <si>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</si>
  <si>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</si>
  <si>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</si>
  <si>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</si>
  <si>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</si>
  <si>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</si>
  <si>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</si>
  <si>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</si>
  <si>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</si>
  <si>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</si>
  <si>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</si>
  <si>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</si>
  <si>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</si>
  <si>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</si>
  <si>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</si>
  <si>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</si>
  <si>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</si>
  <si>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</si>
  <si>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</si>
  <si>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</si>
  <si>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</si>
  <si>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</si>
  <si>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</si>
  <si>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</si>
  <si>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</si>
  <si>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</si>
  <si>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</si>
  <si>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</si>
  <si>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</si>
  <si>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</si>
  <si>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</si>
  <si>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</si>
  <si>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</si>
  <si>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</si>
  <si>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</si>
  <si>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</si>
  <si>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</si>
  <si>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</si>
  <si>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</si>
  <si>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</si>
  <si>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</si>
  <si>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</si>
  <si>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</si>
  <si>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</si>
  <si>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</si>
  <si>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</si>
  <si>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</si>
  <si>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</si>
  <si>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</si>
  <si>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</si>
  <si>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</si>
  <si>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</si>
  <si>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</si>
  <si>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</si>
  <si>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</si>
  <si>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</si>
  <si>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</si>
  <si>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</si>
  <si>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</si>
  <si>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</si>
  <si>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</si>
  <si>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</si>
  <si>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</si>
  <si>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</si>
  <si>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</si>
  <si>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</si>
  <si>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</si>
  <si>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</si>
  <si>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</si>
  <si>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</si>
  <si>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</si>
  <si>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</si>
  <si>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</si>
  <si>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</si>
  <si>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</si>
  <si>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</si>
  <si>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</si>
  <si>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</si>
  <si>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</si>
  <si>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</si>
  <si>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</si>
  <si>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</si>
  <si>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</si>
  <si>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</si>
  <si>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</si>
  <si>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</si>
  <si>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</si>
  <si>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</si>
  <si>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</si>
  <si>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</si>
  <si>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</si>
  <si>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</si>
  <si>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</si>
  <si>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</si>
  <si>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</si>
  <si>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</si>
  <si>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</si>
  <si>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</si>
  <si>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</si>
  <si>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</si>
  <si>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</si>
  <si>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</si>
  <si>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</si>
  <si>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</si>
  <si>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</si>
  <si>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</si>
  <si>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</si>
  <si>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</si>
  <si>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</si>
  <si>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</si>
  <si>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</si>
  <si>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</si>
  <si>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</si>
  <si>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</si>
  <si>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</si>
  <si>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</si>
  <si>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</si>
  <si>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</si>
  <si>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</si>
  <si>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</si>
  <si>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</si>
  <si>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</si>
  <si>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</si>
  <si>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</si>
  <si>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</si>
  <si>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</si>
  <si>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</si>
  <si>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</si>
  <si>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</si>
  <si>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</si>
  <si>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</si>
  <si>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</si>
  <si>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</si>
  <si>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</si>
  <si>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</si>
  <si>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</si>
  <si>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</si>
  <si>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</si>
  <si>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</si>
  <si>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</si>
  <si>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</si>
  <si>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</si>
  <si>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</si>
  <si>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</si>
  <si>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</si>
  <si>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</si>
  <si>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</si>
  <si>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</si>
  <si>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</si>
  <si>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</si>
  <si>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</si>
  <si>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</si>
  <si>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</si>
  <si>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</si>
  <si>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</si>
  <si>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</si>
  <si>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</si>
  <si>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</si>
  <si>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</si>
  <si>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</si>
  <si>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</si>
  <si>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</si>
  <si>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</si>
  <si>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</si>
  <si>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</si>
  <si>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</si>
  <si>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</si>
  <si>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</si>
  <si>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</si>
  <si>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</si>
  <si>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</si>
  <si>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</si>
  <si>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</si>
  <si>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</si>
  <si>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</si>
  <si>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</si>
  <si>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</si>
  <si>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</si>
  <si>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</si>
  <si>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</si>
  <si>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</si>
  <si>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</si>
  <si>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</si>
  <si>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</si>
  <si>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</si>
  <si>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</si>
  <si>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</si>
  <si>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</si>
  <si>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</si>
  <si>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</si>
  <si>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</si>
  <si>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</si>
  <si>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</si>
  <si>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</si>
  <si>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</si>
  <si>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</si>
  <si>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</si>
  <si>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</si>
  <si>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</si>
  <si>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</si>
  <si>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</si>
  <si>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</si>
  <si>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</si>
  <si>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</si>
  <si>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</si>
  <si>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</si>
  <si>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</si>
  <si>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</si>
  <si>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</si>
  <si>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</si>
  <si>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</si>
  <si>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</si>
  <si>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</si>
  <si>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</si>
  <si>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</si>
  <si>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</si>
  <si>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</si>
  <si>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</si>
  <si>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</si>
  <si>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</si>
  <si>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</si>
  <si>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</si>
  <si>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</si>
  <si>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</si>
  <si>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</si>
  <si>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</si>
  <si>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</si>
  <si>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</si>
  <si>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</si>
  <si>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</si>
  <si>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</si>
  <si>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</si>
  <si>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</si>
  <si>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</si>
  <si>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</si>
  <si>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</si>
  <si>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</si>
  <si>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</si>
  <si>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</si>
  <si>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</si>
  <si>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</si>
  <si>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</si>
  <si>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</si>
  <si>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</si>
  <si>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</si>
  <si>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</si>
  <si>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</si>
  <si>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</si>
  <si>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</si>
  <si>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</si>
  <si>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</si>
  <si>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</si>
  <si>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</si>
  <si>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</si>
  <si>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</si>
  <si>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</si>
  <si>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</si>
  <si>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</si>
  <si>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</si>
  <si>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</si>
  <si>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</si>
  <si>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</si>
  <si>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</si>
  <si>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</si>
  <si>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</si>
  <si>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</si>
  <si>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</si>
  <si>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</si>
  <si>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</si>
  <si>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</si>
  <si>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</si>
  <si>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</si>
  <si>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</si>
  <si>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</si>
  <si>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</si>
  <si>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</si>
  <si>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</si>
  <si>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</si>
  <si>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</si>
  <si>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</si>
  <si>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</si>
  <si>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</si>
  <si>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</si>
  <si>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</si>
  <si>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</si>
  <si>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</si>
  <si>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</si>
  <si>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</si>
  <si>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</si>
  <si>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</si>
  <si>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</si>
  <si>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</si>
  <si>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</si>
  <si>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</si>
  <si>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</si>
  <si>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</si>
  <si>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</si>
  <si>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</si>
  <si>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</si>
  <si>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</si>
  <si>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</si>
  <si>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</si>
  <si>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</si>
  <si>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</si>
  <si>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</si>
  <si>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</si>
  <si>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</si>
  <si>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</si>
  <si>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</si>
  <si>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</si>
  <si>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</si>
  <si>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</si>
  <si>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</si>
  <si>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</si>
  <si>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</si>
  <si>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</si>
  <si>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</si>
  <si>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</si>
  <si>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</si>
  <si>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</si>
  <si>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</si>
  <si>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</si>
  <si>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</si>
  <si>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</si>
  <si>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</si>
  <si>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</si>
  <si>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</si>
  <si>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</si>
  <si>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</si>
  <si>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</si>
  <si>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</si>
  <si>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</si>
  <si>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</si>
  <si>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</si>
  <si>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</si>
  <si>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</si>
  <si>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</si>
  <si>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</si>
  <si>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</si>
  <si>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</si>
  <si>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</si>
  <si>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</si>
  <si>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</si>
  <si>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</si>
  <si>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</si>
  <si>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</si>
  <si>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</si>
  <si>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</si>
  <si>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</si>
  <si>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</si>
  <si>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</si>
  <si>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</si>
  <si>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</si>
  <si>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</si>
  <si>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</si>
  <si>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</si>
  <si>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</si>
  <si>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</si>
  <si>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</si>
  <si>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</si>
  <si>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</si>
  <si>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</si>
  <si>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</si>
  <si>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</si>
  <si>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</si>
  <si>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</si>
  <si>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</si>
  <si>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</si>
  <si>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</si>
  <si>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</si>
  <si>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</si>
  <si>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</si>
  <si>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</si>
  <si>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</si>
  <si>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</si>
  <si>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</si>
  <si>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</si>
  <si>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</si>
  <si>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</si>
  <si>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</si>
  <si>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</si>
  <si>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</si>
  <si>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</si>
  <si>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</si>
  <si>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</si>
  <si>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</si>
  <si>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</si>
  <si>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</si>
  <si>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</si>
  <si>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</si>
  <si>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</si>
  <si>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</si>
  <si>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</si>
  <si>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</si>
  <si>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</si>
  <si>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</si>
  <si>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</si>
  <si>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</si>
  <si>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</si>
  <si>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</si>
  <si>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</si>
  <si>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</si>
  <si>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</si>
  <si>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</si>
  <si>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</si>
  <si>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</si>
  <si>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</si>
  <si>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</si>
  <si>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</si>
  <si>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</si>
  <si>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</si>
  <si>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</si>
  <si>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</si>
  <si>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</si>
  <si>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</si>
  <si>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</si>
  <si>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</si>
  <si>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</si>
  <si>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</si>
  <si>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</si>
  <si>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</si>
  <si>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</si>
  <si>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</si>
  <si>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</si>
  <si>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</si>
  <si>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</si>
  <si>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</si>
  <si>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</si>
  <si>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</si>
  <si>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</si>
  <si>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</si>
  <si>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</si>
  <si>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</si>
  <si>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</si>
  <si>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</si>
  <si>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</si>
  <si>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</si>
  <si>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</si>
  <si>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</si>
  <si>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</si>
  <si>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</si>
  <si>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</si>
  <si>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</si>
  <si>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</si>
  <si>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</si>
  <si>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</si>
  <si>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</si>
  <si>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</si>
  <si>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</si>
  <si>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</si>
  <si>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</si>
  <si>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</si>
  <si>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</si>
  <si>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</si>
  <si>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</si>
  <si>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</si>
  <si>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</si>
  <si>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</si>
  <si>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</si>
  <si>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</si>
  <si>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</si>
  <si>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</si>
  <si>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</si>
  <si>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</si>
  <si>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</si>
  <si>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</si>
  <si>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</si>
  <si>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</si>
  <si>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</si>
  <si>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</si>
  <si>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</si>
  <si>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</si>
  <si>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</si>
  <si>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</si>
  <si>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</si>
  <si>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</si>
  <si>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</si>
  <si>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</si>
  <si>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</si>
  <si>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</si>
  <si>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</si>
  <si>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</si>
  <si>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</si>
  <si>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</si>
  <si>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</si>
  <si>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</si>
  <si>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</si>
  <si>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</si>
  <si>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</si>
  <si>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</si>
  <si>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</si>
  <si>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</si>
  <si>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</si>
  <si>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</si>
  <si>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</si>
  <si>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</si>
  <si>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</si>
  <si>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</si>
  <si>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</si>
  <si>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</si>
  <si>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</si>
  <si>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</si>
  <si>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</si>
  <si>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</si>
  <si>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</si>
  <si>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</si>
  <si>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</si>
  <si>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</si>
  <si>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</si>
  <si>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</si>
  <si>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</si>
  <si>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</si>
  <si>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</si>
  <si>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</si>
  <si>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</si>
  <si>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</si>
  <si>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</si>
  <si>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</si>
  <si>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</si>
  <si>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</si>
  <si>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</si>
  <si>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</si>
  <si>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</si>
  <si>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</si>
  <si>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</si>
  <si>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</si>
  <si>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</si>
  <si>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</si>
  <si>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</si>
  <si>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</si>
  <si>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</si>
  <si>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</si>
  <si>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</si>
  <si>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</si>
  <si>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</si>
  <si>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</si>
  <si>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</si>
  <si>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</si>
  <si>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</si>
  <si>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</si>
  <si>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</si>
  <si>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</si>
  <si>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</si>
  <si>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</si>
  <si>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</si>
  <si>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</si>
  <si>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</si>
  <si>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</si>
  <si>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</si>
  <si>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</si>
  <si>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</si>
  <si>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</si>
  <si>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</si>
  <si>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</si>
  <si>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</si>
  <si>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</si>
  <si>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</si>
  <si>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</si>
  <si>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</si>
  <si>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</si>
  <si>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</si>
  <si>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</si>
  <si>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</si>
  <si>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</si>
  <si>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</si>
  <si>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</si>
  <si>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</si>
  <si>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</si>
  <si>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</si>
  <si>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</si>
  <si>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</si>
  <si>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</si>
  <si>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</si>
  <si>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</si>
  <si>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</si>
  <si>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</si>
  <si>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</si>
  <si>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</si>
  <si>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</si>
  <si>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</si>
  <si>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</si>
  <si>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</si>
  <si>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</si>
  <si>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</si>
  <si>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</si>
  <si>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</si>
  <si>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</si>
  <si>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</si>
  <si>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</si>
  <si>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</si>
  <si>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</si>
  <si>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</si>
  <si>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</si>
  <si>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</si>
  <si>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</si>
  <si>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</si>
  <si>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</si>
  <si>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</si>
  <si>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</si>
  <si>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</si>
  <si>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</si>
  <si>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</si>
  <si>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</si>
  <si>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</si>
  <si>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</si>
  <si>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</si>
  <si>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</si>
  <si>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</si>
  <si>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</si>
  <si>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</si>
  <si>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</si>
  <si>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</si>
  <si>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</si>
  <si>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</si>
  <si>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</si>
  <si>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</si>
  <si>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</si>
  <si>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</si>
  <si>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</si>
  <si>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</si>
  <si>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</si>
  <si>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</si>
  <si>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</si>
  <si>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</si>
  <si>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</si>
  <si>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</si>
  <si>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</si>
  <si>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</si>
  <si>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</si>
  <si>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</si>
  <si>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</si>
  <si>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</si>
  <si>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</si>
  <si>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</si>
  <si>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</si>
  <si>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</si>
  <si>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</si>
  <si>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</si>
  <si>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</si>
  <si>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</si>
  <si>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</si>
  <si>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</si>
  <si>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</si>
  <si>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</si>
  <si>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</si>
  <si>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</si>
  <si>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</si>
  <si>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</si>
  <si>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</si>
  <si>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</si>
  <si>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</si>
  <si>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</si>
  <si>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</si>
  <si>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</si>
  <si>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</si>
  <si>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</si>
  <si>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</si>
  <si>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</si>
  <si>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</si>
  <si>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</si>
  <si>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</si>
  <si>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</si>
  <si>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</si>
  <si>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</si>
  <si>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</si>
  <si>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</si>
  <si>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</si>
  <si>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</si>
  <si>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</si>
  <si>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</si>
  <si>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</si>
  <si>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</si>
  <si>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</si>
  <si>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</si>
  <si>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</si>
  <si>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</si>
  <si>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</si>
  <si>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</si>
  <si>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</si>
  <si>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</si>
  <si>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</si>
  <si>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</si>
  <si>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</si>
  <si>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</si>
  <si>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</si>
  <si>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</si>
  <si>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</si>
  <si>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</si>
  <si>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</si>
  <si>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</si>
  <si>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</si>
  <si>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</si>
  <si>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</si>
  <si>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</si>
  <si>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</si>
  <si>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</si>
  <si>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</si>
  <si>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</si>
  <si>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</si>
  <si>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</si>
  <si>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</si>
  <si>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</si>
  <si>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</si>
  <si>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</si>
  <si>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</si>
  <si>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</si>
  <si>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</si>
  <si>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</si>
  <si>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</si>
  <si>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</si>
  <si>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</si>
  <si>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</si>
  <si>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</si>
  <si>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</si>
  <si>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</si>
  <si>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</si>
  <si>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</si>
  <si>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</si>
  <si>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</si>
  <si>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</si>
  <si>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</si>
  <si>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</si>
  <si>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</si>
  <si>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</si>
  <si>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</si>
  <si>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</si>
  <si>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</si>
  <si>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</si>
  <si>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</si>
  <si>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</si>
  <si>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</si>
  <si>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</si>
  <si>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</si>
  <si>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</si>
  <si>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</si>
  <si>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</si>
  <si>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</si>
  <si>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</si>
  <si>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</si>
  <si>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</si>
  <si>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</si>
  <si>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</si>
  <si>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</si>
  <si>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</si>
  <si>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</si>
  <si>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</si>
  <si>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</si>
  <si>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</si>
  <si>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</si>
  <si>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</si>
  <si>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</si>
  <si>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</si>
  <si>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</si>
  <si>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</si>
  <si>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</si>
  <si>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</si>
  <si>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</si>
  <si>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</si>
  <si>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</si>
  <si>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</si>
  <si>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</si>
  <si>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</si>
  <si>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</si>
  <si>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</si>
  <si>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</si>
  <si>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</si>
  <si>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</si>
  <si>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</si>
  <si>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</si>
  <si>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</si>
  <si>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</si>
  <si>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</si>
  <si>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</si>
  <si>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</si>
  <si>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</si>
  <si>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</si>
  <si>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</si>
  <si>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</si>
  <si>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</si>
  <si>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</si>
  <si>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</si>
  <si>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</si>
  <si>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</si>
  <si>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</si>
  <si>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</si>
  <si>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</si>
  <si>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</si>
  <si>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</si>
  <si>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</si>
  <si>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</si>
  <si>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</si>
  <si>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</si>
  <si>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</si>
  <si>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</si>
  <si>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</si>
  <si>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</si>
  <si>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</si>
  <si>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</si>
  <si>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</si>
  <si>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</si>
  <si>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</si>
  <si>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</si>
  <si>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</si>
  <si>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</si>
  <si>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</si>
  <si>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</si>
  <si>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</si>
  <si>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</si>
  <si>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</si>
  <si>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</si>
  <si>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</si>
  <si>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</si>
  <si>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</si>
  <si>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</si>
  <si>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</si>
  <si>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</si>
  <si>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</si>
  <si>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</si>
  <si>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</si>
  <si>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</si>
  <si>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</si>
  <si>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</si>
  <si>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</si>
  <si>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</si>
  <si>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</si>
  <si>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</si>
  <si>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</si>
  <si>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</si>
  <si>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</si>
  <si>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</si>
  <si>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</si>
  <si>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</si>
  <si>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</si>
  <si>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</si>
  <si>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</si>
  <si>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</si>
  <si>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</si>
  <si>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</si>
  <si>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</si>
  <si>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</si>
  <si>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</si>
  <si>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</si>
  <si>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</si>
  <si>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</si>
  <si>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</si>
  <si>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</si>
  <si>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</si>
  <si>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</si>
  <si>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</si>
  <si>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</si>
  <si>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</si>
  <si>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</si>
  <si>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</si>
  <si>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</si>
  <si>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</si>
  <si>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</si>
  <si>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</si>
  <si>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</si>
  <si>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</si>
  <si>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</si>
  <si>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</si>
  <si>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</si>
  <si>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</si>
  <si>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</si>
  <si>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</si>
  <si>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</si>
  <si>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</si>
  <si>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</si>
  <si>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</si>
  <si>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</si>
  <si>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</si>
  <si>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</si>
  <si>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</si>
  <si>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</si>
  <si>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</si>
  <si>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</si>
  <si>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</si>
  <si>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</si>
  <si>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</si>
  <si>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</si>
  <si>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</si>
  <si>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</si>
  <si>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</si>
  <si>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</si>
  <si>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</si>
  <si>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</si>
  <si>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</si>
  <si>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</si>
  <si>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</si>
  <si>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</si>
  <si>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</si>
  <si>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</si>
  <si>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</si>
  <si>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</si>
  <si>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</si>
  <si>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</si>
  <si>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</si>
  <si>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</si>
  <si>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</si>
  <si>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</si>
  <si>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</si>
  <si>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</si>
  <si>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</si>
  <si>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</si>
  <si>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</si>
  <si>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</si>
  <si>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</si>
  <si>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</si>
  <si>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</si>
  <si>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</si>
  <si>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</si>
  <si>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</si>
  <si>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</si>
  <si>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</si>
  <si>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</si>
  <si>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</si>
  <si>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</si>
  <si>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</si>
  <si>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</si>
  <si>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</si>
  <si>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</si>
  <si>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</si>
  <si>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</si>
  <si>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</si>
  <si>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</si>
  <si>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</si>
  <si>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</si>
  <si>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</si>
  <si>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</si>
  <si>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</si>
  <si>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</si>
  <si>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</si>
  <si>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</si>
  <si>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</si>
  <si>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</si>
  <si>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</si>
  <si>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</si>
  <si>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</si>
  <si>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</si>
  <si>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</si>
  <si>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</si>
  <si>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</si>
  <si>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</si>
  <si>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</si>
  <si>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</si>
  <si>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</si>
  <si>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</si>
  <si>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</si>
  <si>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</si>
  <si>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</si>
  <si>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</si>
  <si>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</si>
  <si>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</si>
  <si>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</si>
  <si>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</si>
  <si>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</si>
  <si>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</si>
  <si>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</si>
  <si>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</si>
  <si>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</si>
  <si>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</si>
  <si>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</si>
  <si>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</si>
  <si>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</si>
  <si>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</si>
  <si>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</si>
  <si>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</si>
  <si>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</si>
  <si>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</si>
  <si>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</si>
  <si>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</si>
  <si>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</si>
  <si>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</si>
  <si>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</si>
  <si>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</si>
  <si>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</si>
  <si>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</si>
  <si>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</si>
  <si>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</si>
  <si>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</si>
  <si>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</si>
  <si>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</si>
  <si>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</si>
  <si>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</si>
  <si>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</si>
  <si>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</si>
  <si>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</si>
  <si>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</si>
  <si>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</si>
  <si>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</si>
  <si>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</si>
  <si>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</si>
  <si>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</si>
  <si>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</si>
  <si>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</si>
  <si>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</si>
  <si>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</si>
  <si>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</si>
  <si>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</si>
  <si>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</si>
  <si>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</si>
  <si>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</si>
  <si>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</si>
  <si>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</si>
  <si>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</si>
  <si>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</si>
  <si>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</si>
  <si>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</si>
  <si>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</si>
  <si>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</si>
  <si>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</si>
  <si>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</si>
  <si>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</si>
  <si>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</si>
  <si>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</si>
  <si>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</si>
  <si>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</si>
  <si>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</si>
  <si>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</si>
  <si>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</si>
  <si>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</si>
  <si>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</si>
  <si>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</si>
  <si>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</si>
  <si>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</si>
  <si>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</si>
  <si>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</si>
  <si>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</si>
  <si>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</si>
  <si>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</si>
  <si>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</si>
  <si>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</si>
  <si>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</si>
  <si>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</si>
  <si>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</si>
  <si>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</si>
  <si>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</si>
  <si>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</si>
  <si>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</si>
  <si>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</si>
  <si>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</si>
  <si>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</si>
  <si>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</si>
  <si>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</si>
  <si>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</si>
  <si>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</si>
  <si>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</si>
  <si>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</si>
  <si>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</si>
  <si>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</si>
  <si>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</si>
  <si>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</si>
  <si>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</si>
  <si>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</si>
  <si>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</si>
  <si>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</si>
  <si>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</si>
  <si>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</si>
  <si>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</si>
  <si>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</si>
  <si>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</si>
  <si>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</si>
  <si>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</si>
  <si>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</si>
  <si>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</si>
  <si>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</si>
  <si>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</si>
  <si>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</si>
  <si>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</si>
  <si>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</si>
  <si>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</si>
  <si>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</si>
  <si>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</si>
  <si>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</si>
  <si>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</si>
  <si>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</si>
  <si>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</si>
  <si>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</si>
  <si>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</si>
  <si>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</si>
  <si>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</si>
  <si>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</si>
  <si>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</si>
  <si>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</si>
  <si>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</si>
  <si>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</si>
  <si>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</si>
  <si>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</si>
  <si>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</si>
  <si>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</si>
  <si>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</si>
  <si>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</si>
  <si>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</si>
  <si>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</si>
  <si>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</si>
  <si>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</si>
  <si>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</si>
  <si>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</si>
  <si>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</si>
  <si>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</si>
  <si>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</si>
  <si>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</si>
  <si>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</si>
  <si>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</si>
  <si>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</si>
  <si>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</si>
  <si>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</si>
  <si>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</si>
  <si>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</si>
  <si>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</si>
  <si>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</si>
  <si>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</si>
  <si>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</si>
  <si>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</si>
  <si>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</si>
  <si>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</si>
  <si>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</si>
  <si>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</si>
  <si>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</si>
  <si>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</si>
  <si>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</si>
  <si>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</si>
  <si>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</si>
  <si>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</si>
  <si>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</si>
  <si>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</si>
  <si>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</si>
  <si>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</si>
  <si>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</si>
  <si>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</si>
  <si>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</si>
  <si>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</si>
  <si>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</si>
  <si>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</si>
  <si>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</si>
  <si>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</si>
  <si>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</si>
  <si>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</si>
  <si>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</si>
  <si>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</si>
  <si>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</si>
  <si>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</si>
  <si>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</si>
  <si>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</si>
  <si>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</si>
  <si>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</si>
  <si>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</si>
  <si>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</si>
  <si>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</si>
  <si>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</si>
  <si>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</si>
  <si>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</si>
  <si>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</si>
  <si>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</si>
  <si>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</si>
  <si>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</si>
  <si>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</si>
  <si>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</si>
  <si>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</si>
  <si>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</si>
  <si>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</si>
  <si>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</si>
  <si>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</si>
  <si>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</si>
  <si>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</si>
  <si>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</si>
  <si>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</si>
  <si>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</si>
  <si>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</si>
  <si>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</si>
  <si>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</si>
  <si>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</si>
  <si>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</si>
  <si>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</si>
  <si>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</si>
  <si>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</si>
  <si>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</si>
  <si>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</si>
  <si>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</si>
  <si>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</si>
  <si>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</si>
  <si>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</si>
  <si>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</si>
  <si>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</si>
  <si>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</si>
  <si>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</si>
  <si>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</si>
  <si>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</si>
  <si>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</si>
  <si>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</si>
  <si>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</si>
  <si>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</si>
  <si>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</si>
  <si>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</si>
  <si>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</si>
  <si>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</si>
  <si>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</si>
  <si>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</si>
  <si>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</si>
  <si>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</si>
  <si>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</si>
  <si>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</si>
  <si>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</si>
  <si>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</si>
  <si>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</si>
  <si>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</si>
  <si>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</si>
  <si>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</si>
  <si>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</si>
  <si>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</si>
  <si>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</si>
  <si>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</si>
  <si>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</si>
  <si>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</si>
  <si>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</si>
  <si>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</si>
  <si>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</si>
  <si>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</si>
  <si>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</si>
  <si>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</si>
  <si>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</si>
  <si>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</si>
  <si>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</si>
  <si>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</si>
  <si>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</si>
  <si>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</si>
  <si>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</si>
  <si>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</si>
  <si>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</si>
  <si>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</si>
  <si>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</si>
  <si>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</si>
  <si>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</si>
  <si>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</si>
  <si>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</si>
  <si>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</si>
  <si>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</si>
  <si>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</si>
  <si>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</si>
  <si>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</si>
  <si>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</si>
  <si>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</si>
  <si>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</si>
  <si>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</si>
  <si>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</si>
  <si>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</si>
  <si>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</si>
  <si>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</si>
  <si>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</si>
  <si>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</si>
  <si>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</si>
  <si>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</si>
  <si>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</si>
  <si>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</si>
  <si>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</si>
  <si>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</si>
  <si>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</si>
  <si>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</si>
  <si>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</si>
  <si>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</si>
  <si>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</si>
  <si>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</si>
  <si>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</si>
  <si>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</si>
  <si>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</si>
  <si>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</si>
  <si>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</si>
  <si>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</si>
  <si>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</si>
  <si>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</si>
  <si>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</si>
  <si>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</si>
  <si>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</si>
  <si>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</si>
  <si>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</si>
  <si>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</si>
  <si>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</si>
  <si>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</si>
  <si>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</si>
  <si>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</si>
  <si>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</si>
  <si>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</si>
  <si>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</si>
  <si>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</si>
  <si>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</si>
  <si>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</si>
  <si>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</si>
  <si>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</si>
  <si>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</si>
  <si>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</si>
  <si>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</si>
  <si>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</si>
  <si>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</si>
  <si>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</si>
  <si>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</si>
  <si>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</si>
  <si>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</si>
  <si>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</si>
  <si>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</si>
  <si>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</si>
  <si>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</si>
  <si>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</si>
  <si>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</si>
  <si>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</si>
  <si>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</si>
  <si>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</si>
  <si>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</si>
  <si>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</si>
  <si>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</si>
  <si>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</si>
  <si>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</si>
  <si>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</si>
  <si>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</si>
  <si>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</si>
  <si>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</si>
  <si>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</si>
  <si>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</si>
  <si>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</si>
  <si>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</si>
  <si>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</si>
  <si>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</si>
  <si>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</si>
  <si>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</si>
  <si>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</si>
  <si>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</si>
  <si>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</si>
  <si>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</si>
  <si>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</si>
  <si>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</si>
  <si>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</si>
  <si>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</si>
  <si>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</si>
  <si>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</si>
  <si>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</si>
  <si>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</si>
  <si>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</si>
  <si>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</si>
  <si>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</si>
  <si>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</si>
  <si>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</si>
  <si>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</si>
  <si>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</si>
  <si>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</si>
  <si>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</si>
  <si>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</si>
  <si>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</si>
  <si>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</si>
  <si>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</si>
  <si>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</si>
  <si>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</si>
  <si>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</si>
  <si>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</si>
  <si>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</si>
  <si>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</si>
  <si>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</si>
  <si>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</si>
  <si>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</si>
  <si>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</si>
  <si>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</si>
  <si>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</si>
  <si>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</si>
  <si>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</si>
  <si>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</si>
  <si>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</si>
  <si>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</si>
  <si>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</si>
  <si>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</si>
  <si>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</si>
  <si>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</si>
  <si>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</si>
  <si>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</si>
  <si>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</si>
  <si>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</si>
  <si>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</si>
  <si>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</si>
  <si>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</si>
  <si>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</si>
  <si>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</si>
  <si>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</si>
  <si>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</si>
  <si>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</si>
  <si>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</si>
  <si>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</si>
  <si>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</si>
  <si>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</si>
  <si>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</si>
  <si>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</si>
  <si>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</si>
  <si>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</si>
  <si>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</si>
  <si>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</si>
  <si>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</si>
  <si>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</si>
  <si>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</si>
  <si>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</si>
  <si>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</si>
  <si>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</si>
  <si>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</si>
  <si>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</si>
  <si>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</si>
  <si>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</si>
  <si>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</si>
  <si>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</si>
  <si>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</si>
  <si>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</si>
  <si>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</si>
  <si>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</si>
  <si>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</si>
  <si>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</si>
  <si>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</si>
  <si>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</si>
  <si>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</si>
  <si>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</si>
  <si>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</si>
  <si>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</si>
  <si>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</si>
  <si>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</si>
  <si>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</si>
  <si>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</si>
  <si>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</si>
  <si>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</si>
  <si>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</si>
  <si>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</si>
  <si>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</si>
  <si>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</si>
  <si>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</si>
  <si>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</si>
  <si>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</si>
  <si>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</si>
  <si>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</si>
  <si>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</si>
  <si>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</si>
  <si>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</si>
  <si>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</si>
  <si>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</si>
  <si>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</si>
  <si>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</si>
  <si>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</si>
  <si>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</si>
  <si>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</si>
  <si>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</si>
  <si>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</si>
  <si>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</si>
  <si>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</si>
  <si>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</si>
  <si>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</si>
  <si>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</si>
  <si>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</si>
  <si>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</si>
  <si>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</si>
  <si>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</si>
  <si>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</si>
  <si>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</si>
  <si>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</si>
  <si>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</si>
  <si>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</si>
  <si>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</si>
  <si>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</si>
  <si>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</si>
  <si>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</si>
  <si>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</si>
  <si>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</si>
  <si>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</si>
  <si>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</si>
  <si>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</si>
  <si>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</si>
  <si>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</si>
  <si>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</si>
  <si>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</si>
  <si>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</si>
  <si>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</si>
  <si>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</si>
  <si>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</si>
  <si>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</si>
  <si>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</si>
  <si>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</si>
  <si>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</si>
  <si>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</si>
  <si>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</si>
  <si>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</si>
  <si>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</si>
  <si>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</si>
  <si>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</si>
  <si>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</si>
  <si>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</si>
  <si>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</si>
  <si>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</si>
  <si>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</si>
  <si>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</si>
  <si>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</si>
  <si>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</si>
  <si>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</si>
  <si>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</si>
  <si>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</si>
  <si>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</si>
  <si>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</si>
  <si>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</si>
  <si>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</si>
  <si>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</si>
  <si>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</si>
  <si>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</si>
  <si>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</si>
  <si>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</si>
  <si>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</si>
  <si>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</si>
  <si>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</si>
  <si>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</si>
  <si>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</si>
  <si>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</si>
  <si>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</si>
  <si>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</si>
  <si>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</si>
  <si>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</si>
  <si>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</si>
  <si>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</si>
  <si>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</si>
  <si>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</si>
  <si>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</si>
  <si>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</si>
  <si>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</si>
  <si>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</si>
  <si>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</si>
  <si>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</si>
  <si>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</si>
  <si>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</si>
  <si>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</si>
  <si>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</si>
  <si>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</si>
  <si>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</si>
  <si>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</si>
  <si>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</si>
  <si>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</si>
  <si>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</si>
  <si>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</si>
  <si>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</si>
  <si>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</si>
  <si>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</si>
  <si>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</si>
  <si>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</si>
  <si>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</si>
  <si>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</si>
  <si>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</si>
  <si>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</si>
  <si>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</si>
  <si>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</si>
  <si>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</si>
  <si>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</si>
  <si>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</si>
  <si>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</si>
  <si>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</si>
  <si>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</si>
  <si>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</si>
  <si>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</si>
  <si>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</si>
  <si>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</si>
  <si>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</si>
  <si>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</si>
  <si>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</si>
  <si>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</si>
  <si>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</si>
  <si>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</si>
  <si>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</si>
  <si>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</si>
  <si>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</si>
  <si>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</si>
  <si>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</si>
  <si>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</si>
  <si>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</si>
  <si>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</si>
  <si>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</si>
  <si>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</si>
  <si>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</si>
  <si>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</si>
  <si>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</si>
  <si>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</si>
  <si>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</si>
  <si>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</si>
  <si>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</si>
  <si>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</si>
  <si>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</si>
  <si>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</si>
  <si>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</si>
  <si>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</si>
  <si>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</si>
  <si>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</si>
  <si>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</si>
  <si>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</si>
  <si>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</si>
  <si>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</si>
  <si>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</si>
  <si>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</si>
  <si>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</si>
  <si>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</si>
  <si>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</si>
  <si>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</si>
  <si>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</si>
  <si>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</si>
  <si>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</si>
  <si>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</si>
  <si>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</si>
  <si>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</si>
  <si>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</si>
  <si>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</si>
  <si>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</si>
  <si>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</si>
  <si>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</si>
  <si>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</si>
  <si>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</si>
  <si>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</si>
  <si>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</si>
  <si>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</si>
  <si>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</si>
  <si>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</si>
  <si>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</si>
  <si>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</si>
  <si>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</si>
  <si>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</si>
  <si>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</si>
  <si>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</si>
  <si>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</si>
  <si>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</si>
  <si>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</si>
  <si>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</si>
  <si>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</si>
  <si>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</si>
  <si>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</si>
  <si>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</si>
  <si>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</si>
  <si>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</si>
  <si>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</si>
  <si>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</si>
  <si>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</si>
  <si>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</si>
  <si>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</si>
  <si>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</si>
  <si>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</si>
  <si>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</si>
  <si>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</si>
  <si>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</si>
  <si>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</si>
  <si>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</si>
  <si>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</si>
  <si>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</si>
  <si>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</si>
  <si>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</si>
  <si>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</si>
  <si>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</si>
  <si>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</si>
  <si>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</si>
  <si>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</si>
  <si>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</si>
  <si>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</si>
  <si>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</si>
  <si>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</si>
  <si>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</si>
  <si>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</si>
  <si>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</si>
  <si>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</si>
  <si>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</si>
  <si>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</si>
  <si>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</si>
  <si>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</si>
  <si>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</si>
  <si>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</si>
  <si>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</si>
  <si>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</si>
  <si>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</si>
  <si>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</si>
  <si>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</si>
  <si>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</si>
  <si>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</si>
  <si>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</si>
  <si>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</si>
  <si>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</si>
  <si>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</si>
  <si>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</si>
  <si>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</si>
  <si>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</si>
  <si>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</si>
  <si>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</si>
  <si>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</si>
  <si>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</si>
  <si>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</si>
  <si>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</si>
  <si>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</si>
  <si>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</si>
  <si>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</si>
  <si>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</si>
  <si>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</si>
  <si>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</si>
  <si>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</si>
  <si>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</si>
  <si>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</si>
  <si>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</si>
  <si>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</si>
  <si>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</si>
  <si>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</si>
  <si>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</si>
  <si>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</si>
  <si>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</si>
  <si>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</si>
  <si>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</si>
  <si>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</si>
  <si>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</si>
  <si>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</si>
  <si>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</si>
  <si>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</si>
  <si>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</si>
  <si>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</si>
  <si>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</si>
  <si>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</si>
  <si>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</si>
  <si>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</si>
  <si>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</si>
  <si>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</si>
  <si>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</si>
  <si>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</si>
  <si>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</si>
  <si>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</si>
  <si>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</si>
  <si>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</si>
  <si>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</si>
  <si>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</si>
  <si>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</si>
  <si>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</si>
  <si>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</si>
  <si>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</si>
  <si>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</si>
  <si>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</si>
  <si>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</si>
  <si>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</si>
  <si>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</si>
  <si>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</si>
  <si>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</si>
  <si>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</si>
  <si>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</si>
  <si>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</si>
  <si>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</si>
  <si>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</si>
  <si>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</si>
  <si>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</si>
  <si>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</si>
  <si>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</si>
  <si>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</si>
  <si>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</si>
  <si>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</si>
  <si>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</si>
  <si>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</si>
  <si>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</si>
  <si>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</si>
  <si>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</si>
  <si>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</si>
  <si>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</si>
  <si>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</si>
  <si>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</si>
  <si>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</si>
  <si>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</si>
  <si>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</si>
  <si>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</si>
  <si>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</si>
  <si>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</si>
  <si>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</si>
  <si>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</si>
  <si>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</si>
  <si>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</si>
  <si>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</si>
  <si>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</si>
  <si>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</si>
  <si>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</si>
  <si>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</si>
  <si>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</si>
  <si>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</si>
  <si>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</si>
  <si>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</si>
  <si>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</si>
  <si>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</si>
  <si>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</si>
  <si>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</si>
  <si>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</si>
  <si>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</si>
  <si>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</si>
  <si>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</si>
  <si>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</si>
  <si>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</si>
  <si>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</si>
  <si>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</si>
  <si>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</si>
  <si>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</si>
  <si>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</si>
  <si>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</si>
  <si>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</si>
  <si>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</si>
  <si>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</si>
  <si>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</si>
  <si>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</si>
  <si>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</si>
  <si>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</si>
  <si>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</si>
  <si>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</si>
  <si>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</si>
  <si>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</si>
  <si>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</si>
  <si>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</si>
  <si>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</si>
  <si>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</si>
  <si>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</si>
  <si>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</si>
  <si>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</si>
  <si>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</si>
  <si>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</si>
  <si>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</si>
  <si>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</si>
  <si>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</si>
  <si>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</si>
  <si>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</si>
  <si>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</si>
  <si>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</si>
  <si>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</si>
  <si>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</si>
  <si>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</si>
  <si>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</si>
  <si>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</si>
  <si>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</si>
  <si>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</si>
  <si>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</si>
  <si>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</si>
  <si>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</si>
  <si>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</si>
  <si>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</si>
  <si>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</si>
  <si>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</si>
  <si>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</si>
  <si>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</si>
  <si>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</si>
  <si>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</si>
  <si>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</si>
  <si>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</si>
  <si>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</si>
  <si>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</si>
  <si>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</si>
  <si>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</si>
  <si>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</si>
  <si>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</si>
  <si>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</si>
  <si>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</si>
  <si>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</si>
  <si>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</si>
  <si>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</si>
  <si>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</si>
  <si>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</si>
  <si>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</si>
  <si>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</si>
  <si>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</si>
  <si>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</si>
  <si>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</si>
  <si>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</si>
  <si>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</si>
  <si>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</si>
  <si>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</si>
  <si>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</si>
  <si>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</si>
  <si>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</si>
  <si>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</si>
  <si>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</si>
  <si>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</si>
  <si>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</si>
  <si>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</si>
  <si>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</si>
  <si>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</si>
  <si>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</si>
  <si>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</si>
  <si>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</si>
  <si>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</si>
  <si>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</si>
  <si>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</si>
  <si>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</si>
  <si>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</si>
  <si>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</si>
  <si>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</si>
  <si>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</si>
  <si>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</si>
  <si>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</si>
  <si>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</si>
  <si>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</si>
  <si>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</si>
  <si>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</si>
  <si>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</si>
  <si>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</si>
  <si>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</si>
  <si>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</si>
  <si>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</si>
  <si>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</si>
  <si>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</si>
  <si>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</si>
  <si>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</si>
  <si>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</si>
  <si>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</si>
  <si>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</si>
  <si>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</si>
  <si>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</si>
  <si>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</si>
  <si>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</si>
  <si>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</si>
  <si>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</si>
  <si>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</si>
  <si>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</si>
  <si>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</si>
  <si>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</si>
  <si>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</si>
  <si>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</si>
  <si>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</si>
  <si>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</si>
  <si>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</si>
  <si>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</si>
  <si>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</si>
  <si>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</si>
  <si>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</si>
  <si>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</si>
  <si>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</si>
  <si>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</si>
  <si>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</si>
  <si>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</si>
  <si>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</si>
  <si>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</si>
  <si>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</si>
  <si>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</si>
  <si>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</si>
  <si>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</si>
  <si>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</si>
  <si>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</si>
  <si>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</si>
  <si>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</si>
  <si>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</si>
  <si>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</si>
  <si>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</si>
  <si>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</si>
  <si>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</si>
  <si>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</si>
  <si>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</si>
  <si>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</si>
  <si>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</si>
  <si>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</si>
  <si>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</si>
  <si>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</si>
  <si>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</si>
  <si>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</si>
  <si>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</si>
  <si>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</si>
  <si>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</si>
  <si>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</si>
  <si>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</si>
  <si>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</si>
  <si>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</si>
  <si>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</si>
  <si>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</si>
  <si>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</si>
  <si>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</si>
  <si>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</si>
  <si>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</si>
  <si>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</si>
  <si>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</si>
  <si>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</si>
  <si>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</si>
  <si>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</si>
  <si>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</si>
  <si>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</si>
  <si>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</si>
  <si>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</si>
  <si>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</si>
  <si>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</si>
  <si>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</si>
  <si>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</si>
  <si>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</si>
  <si>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</si>
  <si>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</si>
  <si>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</si>
  <si>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</si>
  <si>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</si>
  <si>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</si>
  <si>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</si>
  <si>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</si>
  <si>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</si>
  <si>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</si>
  <si>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</si>
  <si>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</si>
  <si>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</si>
  <si>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</si>
  <si>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</si>
  <si>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</si>
  <si>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</si>
  <si>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</si>
  <si>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</si>
  <si>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</si>
  <si>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</si>
  <si>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</si>
  <si>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</si>
  <si>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</si>
  <si>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</si>
  <si>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</si>
  <si>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</si>
  <si>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</si>
  <si>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</si>
  <si>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</si>
  <si>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</si>
  <si>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</si>
  <si>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</si>
  <si>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</si>
  <si>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</si>
  <si>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</si>
  <si>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</si>
  <si>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</si>
  <si>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</si>
  <si>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</si>
  <si>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</si>
  <si>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</si>
  <si>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</si>
  <si>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</si>
  <si>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</si>
  <si>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</si>
  <si>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</si>
  <si>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</si>
  <si>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</si>
  <si>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</si>
  <si>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</si>
  <si>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</si>
  <si>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</si>
  <si>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</si>
  <si>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</si>
  <si>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</si>
  <si>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</si>
  <si>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</si>
  <si>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</si>
  <si>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</si>
  <si>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</si>
  <si>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</si>
  <si>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</si>
  <si>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</si>
  <si>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</si>
  <si>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</si>
  <si>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</si>
  <si>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</si>
  <si>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</si>
  <si>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</si>
  <si>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</si>
  <si>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</si>
  <si>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</si>
  <si>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</si>
  <si>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</si>
  <si>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</si>
  <si>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</si>
  <si>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</si>
  <si>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</si>
  <si>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</si>
  <si>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</si>
  <si>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</si>
  <si>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</si>
  <si>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</si>
  <si>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</si>
  <si>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</si>
  <si>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</si>
  <si>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</si>
  <si>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</si>
  <si>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</si>
  <si>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</si>
  <si>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</si>
  <si>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</si>
  <si>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</si>
  <si>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</si>
  <si>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</si>
  <si>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</si>
  <si>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</si>
  <si>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</si>
  <si>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</si>
  <si>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</si>
  <si>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</si>
  <si>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</si>
  <si>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</si>
  <si>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</si>
  <si>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</si>
  <si>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</si>
  <si>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</si>
  <si>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</si>
  <si>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</si>
  <si>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</si>
  <si>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</si>
  <si>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</si>
  <si>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</si>
  <si>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</si>
  <si>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</si>
  <si>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</si>
  <si>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</si>
  <si>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</si>
  <si>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</si>
  <si>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</si>
  <si>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</si>
  <si>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</si>
  <si>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</si>
  <si>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</si>
  <si>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</si>
  <si>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</si>
  <si>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</si>
  <si>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</si>
  <si>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</si>
  <si>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</si>
  <si>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</si>
  <si>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</si>
  <si>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</si>
  <si>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</si>
  <si>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</si>
  <si>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</si>
  <si>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</si>
  <si>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</si>
  <si>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</si>
  <si>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</si>
  <si>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</si>
  <si>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</si>
  <si>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</si>
  <si>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</si>
  <si>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</si>
  <si>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</si>
  <si>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</si>
  <si>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</si>
  <si>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</si>
  <si>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</si>
  <si>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</si>
  <si>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</si>
  <si>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</si>
  <si>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</si>
  <si>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</si>
  <si>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</si>
  <si>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</si>
  <si>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</si>
  <si>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</si>
  <si>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</si>
  <si>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</si>
  <si>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</si>
  <si>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</si>
  <si>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</si>
  <si>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</si>
  <si>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</si>
  <si>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</si>
  <si>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</si>
  <si>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</si>
  <si>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</si>
  <si>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</si>
  <si>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</si>
  <si>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</si>
  <si>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</si>
  <si>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</si>
  <si>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</si>
  <si>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</si>
  <si>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</si>
  <si>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</si>
  <si>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</si>
  <si>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</si>
  <si>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</si>
  <si>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</si>
  <si>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</si>
  <si>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</si>
  <si>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</si>
  <si>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</si>
  <si>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</si>
  <si>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</si>
  <si>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</si>
  <si>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</si>
  <si>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</si>
  <si>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</si>
  <si>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</si>
  <si>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</si>
  <si>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</si>
  <si>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</si>
  <si>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</si>
  <si>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</si>
  <si>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</si>
  <si>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</si>
  <si>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</si>
  <si>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</si>
  <si>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</si>
  <si>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</si>
  <si>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</si>
  <si>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</si>
  <si>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</si>
  <si>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</si>
  <si>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</si>
  <si>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</si>
  <si>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</si>
  <si>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</si>
  <si>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</si>
  <si>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</si>
  <si>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</si>
  <si>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</si>
  <si>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</si>
  <si>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</si>
  <si>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</si>
  <si>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</si>
  <si>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</si>
  <si>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</si>
  <si>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</si>
  <si>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</si>
  <si>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</si>
  <si>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</si>
  <si>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</si>
  <si>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</si>
  <si>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</si>
  <si>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</si>
  <si>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</si>
  <si>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</si>
  <si>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</si>
  <si>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</si>
  <si>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</si>
  <si>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</si>
  <si>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</si>
  <si>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</si>
  <si>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</si>
  <si>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</si>
  <si>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</si>
  <si>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</si>
  <si>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</si>
  <si>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</si>
  <si>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</si>
  <si>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</si>
  <si>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</si>
  <si>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</si>
  <si>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</si>
  <si>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</si>
  <si>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</si>
  <si>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</si>
  <si>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</si>
  <si>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</si>
  <si>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</si>
  <si>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</si>
  <si>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</si>
  <si>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</si>
  <si>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</si>
  <si>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</si>
  <si>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</si>
  <si>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</si>
  <si>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</si>
  <si>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</si>
  <si>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</si>
  <si>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</si>
  <si>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</si>
  <si>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</si>
  <si>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</si>
  <si>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</si>
  <si>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</si>
  <si>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</si>
  <si>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</si>
  <si>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</si>
  <si>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</si>
  <si>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</si>
  <si>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</si>
  <si>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</si>
  <si>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</si>
  <si>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</si>
  <si>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</si>
  <si>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</si>
  <si>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</si>
  <si>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</si>
  <si>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</si>
  <si>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</si>
  <si>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</si>
  <si>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</si>
  <si>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</si>
  <si>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</si>
  <si>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</si>
  <si>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</si>
  <si>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</si>
  <si>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</si>
  <si>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</si>
  <si>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</si>
  <si>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</si>
  <si>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</si>
  <si>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</si>
  <si>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</si>
  <si>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</si>
  <si>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</si>
  <si>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</si>
  <si>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</si>
  <si>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</si>
  <si>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</si>
  <si>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</si>
  <si>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</si>
  <si>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</si>
  <si>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</si>
  <si>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</si>
  <si>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</si>
  <si>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</si>
  <si>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</si>
  <si>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</si>
  <si>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</si>
  <si>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</si>
  <si>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</si>
  <si>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</si>
  <si>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</si>
  <si>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</si>
  <si>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</si>
  <si>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</si>
  <si>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</si>
  <si>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</si>
  <si>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</si>
  <si>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</si>
  <si>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</si>
  <si>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t>1 (8.8)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</si>
  <si>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</si>
  <si>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</si>
  <si>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</si>
  <si>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</si>
  <si>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</si>
  <si>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</si>
  <si>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</si>
  <si>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</si>
  <si>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</si>
  <si>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</si>
  <si>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</si>
  <si>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</si>
  <si>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</si>
  <si>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</si>
  <si>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</si>
  <si>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</si>
  <si>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</si>
  <si>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</si>
  <si>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</si>
  <si>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</si>
  <si>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</si>
  <si>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</si>
  <si>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</si>
  <si>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</si>
  <si>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</si>
  <si>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</si>
  <si>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</si>
  <si>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</si>
  <si>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</si>
  <si>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</si>
  <si>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</si>
  <si>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</si>
  <si>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</si>
  <si>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</si>
  <si>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</si>
  <si>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</si>
  <si>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</si>
  <si>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</si>
  <si>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</si>
  <si>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</si>
  <si>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</si>
  <si>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</si>
  <si>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</si>
  <si>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</si>
  <si>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</si>
  <si>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</si>
  <si>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</si>
  <si>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</si>
  <si>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</si>
  <si>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</si>
  <si>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</si>
  <si>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</si>
  <si>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</si>
  <si>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</si>
  <si>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</si>
  <si>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</si>
  <si>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</si>
  <si>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</si>
  <si>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</si>
  <si>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</si>
  <si>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</si>
  <si>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</si>
  <si>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</si>
  <si>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</si>
  <si>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</si>
  <si>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</si>
  <si>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</si>
  <si>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</si>
  <si>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</si>
  <si>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</si>
  <si>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</si>
  <si>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</si>
  <si>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</si>
  <si>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</si>
  <si>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</si>
  <si>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</si>
  <si>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</si>
  <si>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2 (9.16)</t>
  </si>
  <si>
    <t>26 (8.77)</t>
  </si>
  <si>
    <t>5 (8.73)</t>
  </si>
  <si>
    <t>1 (8.71)</t>
  </si>
  <si>
    <t>16 (8.68)</t>
  </si>
  <si>
    <t>10 (7.98)</t>
  </si>
  <si>
    <t>40 álbumes · media 8.69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</si>
  <si>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</si>
  <si>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</si>
  <si>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</si>
  <si>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</si>
  <si>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</si>
  <si>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</si>
  <si>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</si>
  <si>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</si>
  <si>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</si>
  <si>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</si>
  <si>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</si>
  <si>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</si>
  <si>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</si>
  <si>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</si>
  <si>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</si>
  <si>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</si>
  <si>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</si>
  <si>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</si>
  <si>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</si>
  <si>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</si>
  <si>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</si>
  <si>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</si>
  <si>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</si>
  <si>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</si>
  <si>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</si>
  <si>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</si>
  <si>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</si>
  <si>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</si>
  <si>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</si>
  <si>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5 (8.79)</t>
  </si>
  <si>
    <t>4 (8.77)</t>
  </si>
  <si>
    <t>1970s (9.02)</t>
  </si>
  <si>
    <t>21 álbumes · media 9.02</t>
  </si>
  <si>
    <t>album</t>
  </si>
  <si>
    <t>nota</t>
  </si>
  <si>
    <t>nota 3</t>
  </si>
  <si>
    <t>nota tik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</si>
  <si>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</si>
  <si>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</si>
  <si>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</si>
  <si>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</si>
  <si>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</si>
  <si>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</si>
  <si>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</si>
  <si>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</si>
  <si>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</si>
  <si>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</si>
  <si>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</si>
  <si>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</si>
  <si>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</si>
  <si>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</si>
  <si>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</si>
  <si>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</si>
  <si>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</si>
  <si>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</si>
  <si>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</si>
  <si>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</si>
  <si>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</si>
  <si>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</si>
  <si>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</si>
  <si>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</si>
  <si>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</si>
  <si>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</si>
  <si>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</si>
  <si>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</si>
  <si>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</si>
  <si>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</si>
  <si>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</si>
  <si>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</si>
  <si>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</si>
  <si>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</si>
  <si>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</si>
  <si>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</si>
  <si>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</si>
  <si>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</si>
  <si>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</si>
  <si>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</si>
  <si>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4 (8.75)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</si>
  <si>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</si>
  <si>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</si>
  <si>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</si>
  <si>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widswept adan</t>
  </si>
  <si>
    <t>The Smiths</t>
  </si>
  <si>
    <t>chamber folk</t>
  </si>
  <si>
    <t>1 (8.85)</t>
  </si>
  <si>
    <t>32 álbumes · media 8.07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</si>
  <si>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</si>
  <si>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</si>
  <si>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</si>
  <si>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</si>
  <si>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</si>
  <si>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</si>
  <si>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</si>
  <si>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</si>
  <si>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</si>
  <si>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</si>
  <si>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</si>
  <si>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</si>
  <si>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</si>
  <si>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</si>
  <si>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</si>
  <si>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10 (8.74)</t>
  </si>
  <si>
    <t>7.72 ← colas pesadas</t>
  </si>
  <si>
    <t>r=0.131 · ≈ nula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</si>
  <si>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</si>
  <si>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</si>
  <si>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</si>
  <si>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</si>
  <si>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</si>
  <si>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</si>
  <si>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</si>
  <si>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</si>
  <si>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</si>
  <si>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</si>
  <si>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</si>
  <si>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</si>
  <si>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</si>
  <si>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/>
  </si>
  <si>
    <t>17   (0.85%)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</si>
  <si>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</si>
  <si>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</si>
  <si>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</si>
  <si>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</si>
  <si>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</si>
  <si>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</si>
  <si>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</si>
  <si>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</si>
  <si>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</si>
  <si>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</si>
  <si>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</si>
  <si>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7 (8.76)</t>
  </si>
  <si>
    <t>17 álbumes · media 8.84</t>
  </si>
  <si>
    <t>r=-0.095   · ≈ nula</t>
  </si>
  <si>
    <t>r=0.119 · ≈ nula</t>
  </si>
  <si>
    <t>r=0.556      · ↑ moderada</t>
  </si>
  <si>
    <t>r=-0.305 · ↓ débil</t>
  </si>
  <si>
    <t>r=0.133 · ≈ nula</t>
  </si>
  <si>
    <t>Notas ≥10 (r=0.556)</t>
  </si>
  <si>
    <t>Total canciones   (r=-0.095)</t>
  </si>
  <si>
    <r>
      <t xml:space="preserve">* Mac DeMarco - </t>
    </r>
    <r>
      <rPr>
        <b/>
        <sz val="12"/>
        <color rgb="FFF3ED05"/>
        <rFont val="Aptos Narrow"/>
        <family val="2"/>
        <scheme val="minor"/>
      </rPr>
      <t>This Old Dog</t>
    </r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</si>
  <si>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</si>
  <si>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</si>
  <si>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</si>
  <si>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</si>
  <si>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</si>
  <si>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</si>
  <si>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</si>
  <si>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</si>
  <si>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</si>
  <si>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</si>
  <si>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</si>
  <si>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</si>
  <si>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</si>
  <si>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</si>
  <si>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TOP  Alternative Metal (11 álbumes)</t>
  </si>
  <si>
    <t>Lateralus, 10,000 Days, Ænima, Salival [LIVE], Undertow, Opiate</t>
  </si>
  <si>
    <t>8 (×459)</t>
  </si>
  <si>
    <t>31   (1.54%)</t>
  </si>
  <si>
    <t>253   (12.58%)</t>
  </si>
  <si>
    <t>895   (44.51%)</t>
  </si>
  <si>
    <t>466  (23.17%)</t>
  </si>
  <si>
    <t>349(17.35%)</t>
  </si>
  <si>
    <t>194 de 195</t>
  </si>
  <si>
    <t>11 (8.43)</t>
  </si>
  <si>
    <t>r=-0.191         · ≈ nula</t>
  </si>
  <si>
    <t>singer songwriter, indie pop</t>
  </si>
  <si>
    <t>195 de 195</t>
  </si>
  <si>
    <t>3 (8.73)</t>
  </si>
  <si>
    <t>4 (8.72)</t>
  </si>
  <si>
    <t>26 álbumes · media 8.5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</si>
</sst>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05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2"/>
      <color rgb="FFF3ED05"/>
      <name val="Aptos Narrow"/>
      <family val="2"/>
      <scheme val="minor"/>
    </font>
    <font>
      <b/>
      <sz val="12"/>
      <color rgb="FFF3ED05"/>
      <name val="Aptos Narrow"/>
      <family val="2"/>
      <scheme val="minor"/>
    </font>
  </fonts>
  <fills count="27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31BDC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9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69" borderId="1" xfId="0" applyFont="1" applyFill="1" applyBorder="1" applyAlignment="1">
      <alignment vertical="center"/>
    </xf>
    <xf numFmtId="0" fontId="63" fillId="167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2" borderId="1" xfId="0" applyFont="1" applyFill="1" applyBorder="1" applyAlignment="1">
      <alignment vertical="center"/>
    </xf>
    <xf numFmtId="0" fontId="192" fillId="174" borderId="1" xfId="0" applyFont="1" applyFill="1" applyBorder="1" applyAlignment="1">
      <alignment vertical="center"/>
    </xf>
    <xf numFmtId="0" fontId="194" fillId="175" borderId="1" xfId="0" applyFont="1" applyFill="1" applyBorder="1" applyAlignment="1">
      <alignment vertical="center"/>
    </xf>
    <xf numFmtId="0" fontId="196" fillId="176" borderId="1" xfId="0" applyFont="1" applyFill="1" applyBorder="1" applyAlignment="1">
      <alignment vertical="center"/>
    </xf>
    <xf numFmtId="0" fontId="198" fillId="178" borderId="1" xfId="0" applyFont="1" applyFill="1" applyBorder="1" applyAlignment="1">
      <alignment vertical="center"/>
    </xf>
    <xf numFmtId="0" fontId="200" fillId="180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3" borderId="1" xfId="0" applyFont="1" applyFill="1" applyBorder="1" applyAlignment="1">
      <alignment vertical="center"/>
    </xf>
    <xf numFmtId="0" fontId="205" fillId="185" borderId="1" xfId="0" applyFont="1" applyFill="1" applyBorder="1" applyAlignment="1">
      <alignment vertical="center"/>
    </xf>
    <xf numFmtId="0" fontId="147" fillId="187" borderId="1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1" borderId="1" xfId="0" applyFont="1" applyFill="1" applyBorder="1" applyAlignment="1">
      <alignment vertical="center"/>
    </xf>
    <xf numFmtId="0" fontId="215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74" fillId="195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6" borderId="4" xfId="0" applyFont="1" applyFill="1" applyBorder="1" applyAlignment="1">
      <alignment vertical="center"/>
    </xf>
    <xf numFmtId="0" fontId="219" fillId="197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6" borderId="1" xfId="0" applyFont="1" applyFill="1" applyBorder="1" applyAlignment="1">
      <alignment vertical="center"/>
    </xf>
    <xf numFmtId="0" fontId="136" fillId="205" borderId="1" xfId="0" applyFont="1" applyFill="1" applyBorder="1" applyAlignment="1">
      <alignment vertical="center"/>
    </xf>
    <xf numFmtId="0" fontId="54" fillId="209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1" borderId="1" xfId="0" applyFont="1" applyFill="1" applyBorder="1" applyAlignment="1">
      <alignment vertical="center"/>
    </xf>
    <xf numFmtId="0" fontId="237" fillId="212" borderId="1" xfId="0" applyFont="1" applyFill="1" applyBorder="1" applyAlignment="1">
      <alignment vertical="center"/>
    </xf>
    <xf numFmtId="0" fontId="239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227" fillId="217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5" borderId="1" xfId="0" applyFont="1" applyFill="1" applyBorder="1" applyAlignment="1">
      <alignment vertical="center"/>
    </xf>
    <xf numFmtId="0" fontId="247" fillId="220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2" borderId="1" xfId="0" applyFont="1" applyFill="1" applyBorder="1" applyAlignment="1">
      <alignment vertical="center"/>
    </xf>
    <xf numFmtId="0" fontId="253" fillId="223" borderId="1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8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29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3" fillId="230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1" borderId="1" xfId="0" applyFont="1" applyFill="1" applyBorder="1" applyAlignment="1">
      <alignment vertical="center"/>
    </xf>
    <xf numFmtId="0" fontId="63" fillId="233" borderId="8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59" fillId="205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6" borderId="1" xfId="0" applyFont="1" applyFill="1" applyBorder="1" applyAlignment="1">
      <alignment vertical="center"/>
    </xf>
    <xf numFmtId="0" fontId="100" fillId="242" borderId="1" xfId="0" applyFont="1" applyFill="1" applyBorder="1" applyAlignment="1">
      <alignment vertical="center"/>
    </xf>
    <xf numFmtId="0" fontId="275" fillId="4" borderId="1" xfId="0" applyFont="1" applyFill="1" applyBorder="1" applyAlignment="1">
      <alignment vertical="center"/>
    </xf>
    <xf numFmtId="0" fontId="221" fillId="24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279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180" fillId="205" borderId="1" xfId="0" applyFont="1" applyFill="1" applyBorder="1" applyAlignment="1">
      <alignment vertical="center"/>
    </xf>
    <xf numFmtId="0" fontId="54" fillId="0" borderId="1" xfId="0" applyFont="1" applyBorder="1" applyAlignment="1">
      <alignment vertical="center"/>
    </xf>
    <xf numFmtId="0" fontId="283" fillId="0" borderId="1" xfId="0" applyFont="1" applyBorder="1" applyAlignment="1">
      <alignment vertical="center"/>
    </xf>
    <xf numFmtId="0" fontId="54" fillId="47" borderId="1" xfId="0" applyFont="1" applyFill="1" applyBorder="1" applyAlignment="1">
      <alignment vertical="center"/>
    </xf>
    <xf numFmtId="0" fontId="285" fillId="4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9" fillId="89" borderId="1" xfId="0" applyFont="1" applyFill="1" applyBorder="1" applyAlignment="1">
      <alignment vertical="center"/>
    </xf>
    <xf numFmtId="0" fontId="289" fillId="256" borderId="1" xfId="0" applyFont="1" applyFill="1" applyBorder="1" applyAlignment="1">
      <alignment vertical="center"/>
    </xf>
    <xf numFmtId="0" fontId="100" fillId="5" borderId="1" xfId="0" applyFont="1" applyFill="1" applyBorder="1" applyAlignment="1">
      <alignment vertical="center"/>
    </xf>
    <xf numFmtId="0" fontId="291" fillId="246" borderId="1" xfId="0" applyFont="1" applyFill="1" applyBorder="1" applyAlignment="1">
      <alignment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77" borderId="0" xfId="0" applyFont="1" applyFill="1" applyAlignment="1">
      <alignment horizontal="center"/>
    </xf>
    <xf numFmtId="0" fontId="27" fillId="258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98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54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1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252" borderId="0" xfId="0" applyFont="1" applyFill="1" applyAlignment="1">
      <alignment horizontal="center"/>
    </xf>
    <xf numFmtId="0" fontId="27" fillId="25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237" borderId="0" xfId="0" applyFont="1" applyFill="1" applyAlignment="1">
      <alignment horizontal="center"/>
    </xf>
    <xf numFmtId="0" fontId="27" fillId="253" borderId="0" xfId="0" applyFont="1" applyFill="1" applyAlignment="1">
      <alignment horizontal="center"/>
    </xf>
    <xf numFmtId="0" fontId="27" fillId="259" borderId="0" xfId="0" applyFont="1" applyFill="1" applyAlignment="1">
      <alignment horizontal="center"/>
    </xf>
    <xf numFmtId="0" fontId="27" fillId="238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43" fillId="260" borderId="1" xfId="0" applyFont="1" applyFill="1" applyBorder="1" applyAlignment="1">
      <alignment vertical="center"/>
    </xf>
    <xf numFmtId="0" fontId="293" fillId="261" borderId="1" xfId="0" applyFont="1" applyFill="1" applyBorder="1" applyAlignment="1">
      <alignment vertical="center"/>
    </xf>
    <xf numFmtId="0" fontId="25" fillId="36" borderId="0" xfId="0" applyFont="1" applyFill="1" applyAlignment="1">
      <alignment horizontal="center"/>
    </xf>
    <xf numFmtId="0" fontId="25" fillId="46" borderId="0" xfId="0" applyFont="1" applyFill="1" applyAlignment="1">
      <alignment horizontal="center"/>
    </xf>
    <xf numFmtId="0" fontId="295" fillId="263" borderId="1" xfId="0" applyFont="1" applyFill="1" applyBorder="1" applyAlignment="1">
      <alignment vertical="center"/>
    </xf>
    <xf numFmtId="0" fontId="297" fillId="262" borderId="1" xfId="0" applyFont="1" applyFill="1" applyBorder="1" applyAlignment="1">
      <alignment vertical="center"/>
    </xf>
    <xf numFmtId="0" fontId="299" fillId="264" borderId="1" xfId="0" applyFont="1" applyFill="1" applyBorder="1" applyAlignment="1">
      <alignment vertical="center"/>
    </xf>
    <xf numFmtId="0" fontId="27" fillId="265" borderId="0" xfId="0" applyFont="1" applyFill="1" applyAlignment="1">
      <alignment horizontal="center"/>
    </xf>
    <xf numFmtId="0" fontId="127" fillId="70" borderId="0" xfId="0" applyFont="1" applyFill="1" applyAlignment="1">
      <alignment horizontal="center"/>
    </xf>
    <xf numFmtId="0" fontId="176" fillId="266" borderId="1" xfId="0" applyFont="1" applyFill="1" applyBorder="1" applyAlignment="1">
      <alignment vertical="center"/>
    </xf>
    <xf numFmtId="0" fontId="301" fillId="267" borderId="1" xfId="0" applyFont="1" applyFill="1" applyBorder="1" applyAlignment="1"/>
    <xf numFmtId="0" fontId="27" fillId="268" borderId="0" xfId="0" applyFont="1" applyFill="1" applyAlignment="1">
      <alignment horizontal="center"/>
    </xf>
    <xf numFmtId="0" fontId="27" fillId="269" borderId="0" xfId="0" applyFont="1" applyFill="1" applyAlignment="1">
      <alignment horizontal="center"/>
    </xf>
    <xf numFmtId="0" fontId="303" fillId="270" borderId="1" xfId="0" applyFont="1" applyFill="1" applyBorder="1" applyAlignment="1">
      <alignment vertical="center"/>
    </xf>
    <xf numFmtId="0" fontId="27" fillId="271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90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3ED05"/>
      <color rgb="FFFFFED6"/>
      <color rgb="FFFAFA06"/>
      <color rgb="FFFCFC9E"/>
      <color rgb="FFC8C364"/>
      <color rgb="FF365264"/>
      <color rgb="FF9A8C36"/>
      <color rgb="FF8B7E31"/>
      <color rgb="FF887434"/>
      <color rgb="FFE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9158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M1" zoomScale="60" zoomScaleNormal="60" workbookViewId="0">
      <pane ySplit="1" topLeftCell="A407" activePane="bottomLeft" state="frozen"/>
      <selection pane="bottomLeft" activeCell="AE127" sqref="AE127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3.8984375" style="3" bestFit="1" customWidth="1"/>
    <col min="19" max="19" width="25.69921875" style="3" bestFit="1" customWidth="1"/>
    <col min="20" max="20" width="75.09765625" style="3" bestFit="1" customWidth="1"/>
    <col min="21" max="21" width="6" style="3" bestFit="1" customWidth="1"/>
    <col min="22" max="22" width="14.8984375" style="229" bestFit="1" customWidth="1"/>
    <col min="23" max="23" width="8.09765625" style="229" bestFit="1" customWidth="1"/>
    <col min="24" max="24" width="10.8984375" style="229" bestFit="1" customWidth="1"/>
    <col min="25" max="25" width="9.09765625" style="229" bestFit="1" customWidth="1"/>
    <col min="26" max="26" width="14.296875" style="229" bestFit="1" customWidth="1"/>
    <col min="27" max="27" width="9.8984375" style="3" bestFit="1" customWidth="1"/>
    <col min="28" max="28" width="52.3984375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59765625" style="3" bestFit="1" customWidth="1"/>
    <col min="35" max="35" width="52.2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3"/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  <c r="R1" s="391" t="s">
        <v>1331</v>
      </c>
      <c r="S1" s="391"/>
      <c r="T1" s="391"/>
      <c r="U1" s="391"/>
      <c r="V1" s="391"/>
      <c r="W1" s="391"/>
      <c r="X1" s="391"/>
      <c r="Y1" s="391"/>
      <c r="Z1" s="391"/>
      <c r="AA1" s="391"/>
      <c r="AB1" s="391"/>
      <c r="AC1" s="391"/>
      <c r="AD1" s="391"/>
      <c r="AE1" s="391"/>
      <c r="AF1"/>
      <c r="AG1"/>
      <c r="AH1" s="391" t="s">
        <v>1030</v>
      </c>
      <c r="AI1" s="391"/>
    </row>
    <row r="2" spans="1:40" ht="16.05" customHeight="1" thickBot="1">
      <c r="A2" s="85" t="s">
        <v>891</v>
      </c>
      <c r="B2" s="1">
        <f>ROUND(SUM(B3:B14)/COUNT(B3:B14), 2)</f>
        <v>10.11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56" t="s">
        <v>352</v>
      </c>
      <c r="S2" s="256" t="s">
        <v>319</v>
      </c>
      <c r="T2" s="256" t="s">
        <v>320</v>
      </c>
      <c r="U2" s="256" t="s">
        <v>321</v>
      </c>
      <c r="V2" s="256" t="s">
        <v>2004</v>
      </c>
      <c r="W2" s="256" t="s">
        <v>513</v>
      </c>
      <c r="X2" s="256" t="s">
        <v>322</v>
      </c>
      <c r="Y2" s="256" t="s">
        <v>323</v>
      </c>
      <c r="Z2" s="256" t="s">
        <v>324</v>
      </c>
      <c r="AA2" s="256" t="s">
        <v>325</v>
      </c>
      <c r="AB2" s="256" t="s">
        <v>770</v>
      </c>
      <c r="AC2" s="256" t="s">
        <v>1941</v>
      </c>
      <c r="AD2" s="256" t="s">
        <v>1942</v>
      </c>
      <c r="AE2" s="256" t="s">
        <v>2114</v>
      </c>
      <c r="AF2"/>
      <c r="AG2"/>
      <c r="AH2" s="378" t="s">
        <v>1031</v>
      </c>
      <c r="AI2" s="378"/>
    </row>
    <row r="3" spans="1:40" ht="16.05" customHeight="1">
      <c r="A3" s="4" t="s">
        <v>0</v>
      </c>
      <c r="B3" s="149">
        <v>10.5</v>
      </c>
      <c r="C3" s="2"/>
      <c r="D3" s="4" t="s">
        <v>12</v>
      </c>
      <c r="E3" s="149">
        <v>10</v>
      </c>
      <c r="F3" s="2"/>
      <c r="G3" s="4" t="s">
        <v>22</v>
      </c>
      <c r="H3" s="149">
        <v>9</v>
      </c>
      <c r="I3" s="2"/>
      <c r="J3" s="4" t="s">
        <v>35</v>
      </c>
      <c r="K3" s="149">
        <v>9.5</v>
      </c>
      <c r="L3" s="2"/>
      <c r="M3" s="4" t="s">
        <v>45</v>
      </c>
      <c r="N3" s="149"/>
      <c r="O3" s="17"/>
      <c r="R3" s="263">
        <v>1</v>
      </c>
      <c r="S3" s="257" t="s">
        <v>326</v>
      </c>
      <c r="T3" s="258" t="s">
        <v>7</v>
      </c>
      <c r="U3" s="258">
        <v>10.11</v>
      </c>
      <c r="V3" s="264">
        <v>10.99</v>
      </c>
      <c r="W3" s="258">
        <v>10.5</v>
      </c>
      <c r="X3" s="258">
        <v>0.52</v>
      </c>
      <c r="Y3" s="258">
        <v>7</v>
      </c>
      <c r="Z3" s="258">
        <v>12</v>
      </c>
      <c r="AA3" s="258">
        <v>3</v>
      </c>
      <c r="AB3" s="257" t="s">
        <v>752</v>
      </c>
      <c r="AC3" s="258">
        <v>2001</v>
      </c>
      <c r="AD3" s="258" t="s">
        <v>1894</v>
      </c>
      <c r="AE3" s="259" t="s">
        <v>3212</v>
      </c>
      <c r="AF3"/>
      <c r="AG3"/>
      <c r="AH3" s="260" t="s">
        <v>1032</v>
      </c>
      <c r="AI3" s="379">
        <v>195</v>
      </c>
      <c r="AK3" s="215"/>
      <c r="AL3" s="216" t="s">
        <v>2626</v>
      </c>
      <c r="AM3" s="217" t="s">
        <v>246</v>
      </c>
      <c r="AN3" s="218" t="s">
        <v>2612</v>
      </c>
    </row>
    <row r="4" spans="1:40" ht="16.05" customHeight="1">
      <c r="A4" s="4" t="s">
        <v>1</v>
      </c>
      <c r="B4" s="150"/>
      <c r="C4" s="2"/>
      <c r="D4" s="4" t="s">
        <v>13</v>
      </c>
      <c r="E4" s="150">
        <v>9</v>
      </c>
      <c r="F4" s="2"/>
      <c r="G4" s="4" t="s">
        <v>23</v>
      </c>
      <c r="H4" s="150">
        <v>9</v>
      </c>
      <c r="I4" s="2"/>
      <c r="J4" s="4" t="s">
        <v>36</v>
      </c>
      <c r="K4" s="150">
        <v>10</v>
      </c>
      <c r="L4" s="2"/>
      <c r="M4" s="4" t="s">
        <v>46</v>
      </c>
      <c r="N4" s="150">
        <v>9</v>
      </c>
      <c r="O4" s="17"/>
      <c r="R4" s="265">
        <v>2</v>
      </c>
      <c r="S4" s="260" t="s">
        <v>996</v>
      </c>
      <c r="T4" s="261" t="s">
        <v>994</v>
      </c>
      <c r="U4" s="261">
        <v>10.5</v>
      </c>
      <c r="V4" s="264">
        <v>10.85</v>
      </c>
      <c r="W4" s="261">
        <v>10.5</v>
      </c>
      <c r="X4" s="261">
        <v>0</v>
      </c>
      <c r="Y4" s="261">
        <v>1</v>
      </c>
      <c r="Z4" s="261">
        <v>1</v>
      </c>
      <c r="AA4" s="261">
        <v>0</v>
      </c>
      <c r="AB4" s="260" t="s">
        <v>997</v>
      </c>
      <c r="AC4" s="261">
        <v>1996</v>
      </c>
      <c r="AD4" s="261" t="s">
        <v>1893</v>
      </c>
      <c r="AE4" s="262" t="s">
        <v>2173</v>
      </c>
      <c r="AF4"/>
      <c r="AG4"/>
      <c r="AH4" s="257" t="s">
        <v>1033</v>
      </c>
      <c r="AI4" s="380">
        <v>124</v>
      </c>
      <c r="AK4" s="219"/>
      <c r="AL4" s="220">
        <v>10</v>
      </c>
      <c r="AM4" s="217" t="s">
        <v>1776</v>
      </c>
      <c r="AN4" s="218" t="s">
        <v>2613</v>
      </c>
    </row>
    <row r="5" spans="1:40" ht="16.05" customHeight="1">
      <c r="A5" s="4" t="s">
        <v>2</v>
      </c>
      <c r="B5" s="150">
        <v>10</v>
      </c>
      <c r="C5" s="2"/>
      <c r="D5" s="4" t="s">
        <v>14</v>
      </c>
      <c r="E5" s="150">
        <v>10.5</v>
      </c>
      <c r="F5" s="2"/>
      <c r="G5" s="4" t="s">
        <v>24</v>
      </c>
      <c r="H5" s="150">
        <v>8</v>
      </c>
      <c r="I5" s="2"/>
      <c r="J5" s="4" t="s">
        <v>37</v>
      </c>
      <c r="K5" s="150">
        <v>8.5</v>
      </c>
      <c r="L5" s="2"/>
      <c r="M5" s="4" t="s">
        <v>47</v>
      </c>
      <c r="N5" s="150">
        <v>7.5</v>
      </c>
      <c r="O5" s="17"/>
      <c r="R5" s="266">
        <v>3</v>
      </c>
      <c r="S5" s="257" t="s">
        <v>332</v>
      </c>
      <c r="T5" s="258" t="s">
        <v>1027</v>
      </c>
      <c r="U5" s="258">
        <v>10</v>
      </c>
      <c r="V5" s="264">
        <v>10.39</v>
      </c>
      <c r="W5" s="258">
        <v>10</v>
      </c>
      <c r="X5" s="258">
        <v>0.55000000000000004</v>
      </c>
      <c r="Y5" s="258">
        <v>4</v>
      </c>
      <c r="Z5" s="258">
        <v>5</v>
      </c>
      <c r="AA5" s="258">
        <v>0</v>
      </c>
      <c r="AB5" s="257" t="s">
        <v>754</v>
      </c>
      <c r="AC5" s="258">
        <v>1975</v>
      </c>
      <c r="AD5" s="258" t="s">
        <v>1895</v>
      </c>
      <c r="AE5" s="259" t="s">
        <v>2152</v>
      </c>
      <c r="AF5"/>
      <c r="AG5"/>
      <c r="AH5" s="260" t="s">
        <v>1034</v>
      </c>
      <c r="AI5" s="379">
        <v>2116</v>
      </c>
      <c r="AK5" s="221"/>
      <c r="AL5" s="220" t="s">
        <v>242</v>
      </c>
      <c r="AM5" s="217" t="s">
        <v>1777</v>
      </c>
      <c r="AN5" s="218" t="s">
        <v>2614</v>
      </c>
    </row>
    <row r="6" spans="1:40" ht="16.05" customHeight="1">
      <c r="A6" s="4" t="s">
        <v>3</v>
      </c>
      <c r="B6" s="150"/>
      <c r="C6" s="2"/>
      <c r="D6" s="4" t="s">
        <v>16</v>
      </c>
      <c r="E6" s="150">
        <v>10.5</v>
      </c>
      <c r="F6" s="2"/>
      <c r="G6" s="4" t="s">
        <v>25</v>
      </c>
      <c r="H6" s="150">
        <v>9.5</v>
      </c>
      <c r="I6" s="2"/>
      <c r="J6" s="4" t="s">
        <v>38</v>
      </c>
      <c r="K6" s="150">
        <v>8</v>
      </c>
      <c r="L6" s="2"/>
      <c r="M6" s="4" t="s">
        <v>48</v>
      </c>
      <c r="N6" s="150">
        <v>10.5</v>
      </c>
      <c r="O6" s="17"/>
      <c r="R6" s="267">
        <v>4</v>
      </c>
      <c r="S6" s="260" t="s">
        <v>327</v>
      </c>
      <c r="T6" s="261" t="s">
        <v>328</v>
      </c>
      <c r="U6" s="261">
        <v>9.6999999999999993</v>
      </c>
      <c r="V6" s="264">
        <v>10.37</v>
      </c>
      <c r="W6" s="261">
        <v>10</v>
      </c>
      <c r="X6" s="261">
        <v>0.87</v>
      </c>
      <c r="Y6" s="261">
        <v>6</v>
      </c>
      <c r="Z6" s="261">
        <v>10</v>
      </c>
      <c r="AA6" s="261">
        <v>0</v>
      </c>
      <c r="AB6" s="260" t="s">
        <v>753</v>
      </c>
      <c r="AC6" s="261">
        <v>2007</v>
      </c>
      <c r="AD6" s="261" t="s">
        <v>1896</v>
      </c>
      <c r="AE6" s="262" t="s">
        <v>2135</v>
      </c>
      <c r="AF6"/>
      <c r="AG6"/>
      <c r="AH6" s="257" t="s">
        <v>1035</v>
      </c>
      <c r="AI6" s="380">
        <v>2011</v>
      </c>
      <c r="AK6" s="222"/>
      <c r="AL6" s="220" t="s">
        <v>243</v>
      </c>
      <c r="AM6" s="217" t="s">
        <v>1778</v>
      </c>
      <c r="AN6" s="218" t="s">
        <v>2615</v>
      </c>
    </row>
    <row r="7" spans="1:40" ht="16.05" customHeight="1">
      <c r="A7" s="4" t="s">
        <v>4</v>
      </c>
      <c r="B7" s="150">
        <v>10.5</v>
      </c>
      <c r="C7" s="2"/>
      <c r="D7" s="4" t="s">
        <v>15</v>
      </c>
      <c r="E7" s="150">
        <v>10</v>
      </c>
      <c r="F7" s="2"/>
      <c r="G7" s="4" t="s">
        <v>26</v>
      </c>
      <c r="H7" s="150">
        <v>10.5</v>
      </c>
      <c r="I7" s="2"/>
      <c r="J7" s="4" t="s">
        <v>39</v>
      </c>
      <c r="K7" s="150">
        <v>10.5</v>
      </c>
      <c r="L7" s="2"/>
      <c r="M7" s="4" t="s">
        <v>49</v>
      </c>
      <c r="N7" s="150">
        <v>10.5</v>
      </c>
      <c r="O7" s="17"/>
      <c r="R7" s="267">
        <v>5</v>
      </c>
      <c r="S7" s="257" t="s">
        <v>2661</v>
      </c>
      <c r="T7" s="258" t="s">
        <v>674</v>
      </c>
      <c r="U7" s="258">
        <v>9.8800000000000008</v>
      </c>
      <c r="V7" s="264">
        <v>10.220000000000001</v>
      </c>
      <c r="W7" s="258">
        <v>10</v>
      </c>
      <c r="X7" s="258">
        <v>0.65</v>
      </c>
      <c r="Y7" s="258">
        <v>2</v>
      </c>
      <c r="Z7" s="258">
        <v>4</v>
      </c>
      <c r="AA7" s="258">
        <v>0</v>
      </c>
      <c r="AB7" s="257" t="s">
        <v>1097</v>
      </c>
      <c r="AC7" s="258">
        <v>2000</v>
      </c>
      <c r="AD7" s="258" t="s">
        <v>2667</v>
      </c>
      <c r="AE7" s="259" t="s">
        <v>2169</v>
      </c>
      <c r="AF7"/>
      <c r="AG7"/>
      <c r="AH7" s="260" t="s">
        <v>325</v>
      </c>
      <c r="AI7" s="379">
        <v>105</v>
      </c>
      <c r="AK7" s="223"/>
      <c r="AL7" s="220" t="s">
        <v>244</v>
      </c>
      <c r="AM7" s="217" t="s">
        <v>1779</v>
      </c>
      <c r="AN7" s="218" t="s">
        <v>2616</v>
      </c>
    </row>
    <row r="8" spans="1:40" ht="16.05" customHeight="1">
      <c r="A8" s="4" t="s">
        <v>5</v>
      </c>
      <c r="B8" s="150">
        <v>10.5</v>
      </c>
      <c r="C8" s="2"/>
      <c r="D8" s="4" t="s">
        <v>17</v>
      </c>
      <c r="E8" s="150">
        <v>8.5</v>
      </c>
      <c r="F8" s="2"/>
      <c r="G8" s="4" t="s">
        <v>27</v>
      </c>
      <c r="H8" s="150">
        <v>10</v>
      </c>
      <c r="I8" s="2"/>
      <c r="J8" s="4" t="s">
        <v>40</v>
      </c>
      <c r="K8" s="150">
        <v>8.5</v>
      </c>
      <c r="L8" s="2"/>
      <c r="M8" s="4" t="s">
        <v>50</v>
      </c>
      <c r="N8" s="150">
        <v>10</v>
      </c>
      <c r="O8" s="17"/>
      <c r="R8" s="267">
        <v>6</v>
      </c>
      <c r="S8" s="260" t="s">
        <v>327</v>
      </c>
      <c r="T8" s="261" t="s">
        <v>329</v>
      </c>
      <c r="U8" s="261">
        <v>9.68</v>
      </c>
      <c r="V8" s="264">
        <v>10.07</v>
      </c>
      <c r="W8" s="261">
        <v>10</v>
      </c>
      <c r="X8" s="261">
        <v>0.61</v>
      </c>
      <c r="Y8" s="261">
        <v>6</v>
      </c>
      <c r="Z8" s="261">
        <v>12</v>
      </c>
      <c r="AA8" s="261">
        <v>1</v>
      </c>
      <c r="AB8" s="260" t="s">
        <v>753</v>
      </c>
      <c r="AC8" s="261">
        <v>1997</v>
      </c>
      <c r="AD8" s="261" t="s">
        <v>1899</v>
      </c>
      <c r="AE8" s="262" t="s">
        <v>2166</v>
      </c>
      <c r="AF8"/>
      <c r="AG8"/>
      <c r="AH8" s="257" t="s">
        <v>1036</v>
      </c>
      <c r="AI8" s="380">
        <v>10.85</v>
      </c>
      <c r="AK8" s="224"/>
      <c r="AL8" s="216" t="s">
        <v>2618</v>
      </c>
      <c r="AM8" s="217" t="s">
        <v>1780</v>
      </c>
      <c r="AN8" s="3" t="s">
        <v>2617</v>
      </c>
    </row>
    <row r="9" spans="1:40" ht="16.05" customHeight="1">
      <c r="A9" s="4" t="s">
        <v>6</v>
      </c>
      <c r="B9" s="150">
        <v>9.5</v>
      </c>
      <c r="C9" s="2"/>
      <c r="D9" s="4" t="s">
        <v>18</v>
      </c>
      <c r="E9" s="150">
        <v>10.5</v>
      </c>
      <c r="F9" s="2"/>
      <c r="G9" s="4" t="s">
        <v>28</v>
      </c>
      <c r="H9" s="150">
        <v>9</v>
      </c>
      <c r="I9" s="2"/>
      <c r="J9" s="4" t="s">
        <v>41</v>
      </c>
      <c r="K9" s="150">
        <v>9</v>
      </c>
      <c r="L9" s="2"/>
      <c r="M9" s="4" t="s">
        <v>51</v>
      </c>
      <c r="N9" s="150">
        <v>10</v>
      </c>
      <c r="O9" s="17"/>
      <c r="R9" s="267">
        <v>7</v>
      </c>
      <c r="S9" s="257" t="s">
        <v>332</v>
      </c>
      <c r="T9" s="258" t="s">
        <v>333</v>
      </c>
      <c r="U9" s="258">
        <v>9.61</v>
      </c>
      <c r="V9" s="264">
        <v>10</v>
      </c>
      <c r="W9" s="258">
        <v>10</v>
      </c>
      <c r="X9" s="258">
        <v>0.91</v>
      </c>
      <c r="Y9" s="258">
        <v>6</v>
      </c>
      <c r="Z9" s="258">
        <v>10</v>
      </c>
      <c r="AA9" s="258">
        <v>1</v>
      </c>
      <c r="AB9" s="257" t="s">
        <v>755</v>
      </c>
      <c r="AC9" s="258">
        <v>1973</v>
      </c>
      <c r="AD9" s="258" t="s">
        <v>1896</v>
      </c>
      <c r="AE9" s="259" t="s">
        <v>2182</v>
      </c>
      <c r="AF9"/>
      <c r="AG9"/>
      <c r="AH9" s="260" t="s">
        <v>1037</v>
      </c>
      <c r="AI9" s="381">
        <v>4.9599999999999998E-2</v>
      </c>
      <c r="AK9" s="225"/>
      <c r="AL9" s="216" t="s">
        <v>2619</v>
      </c>
      <c r="AM9" s="218" t="s">
        <v>2620</v>
      </c>
      <c r="AN9" s="3" t="s">
        <v>2621</v>
      </c>
    </row>
    <row r="10" spans="1:40" ht="16.05" customHeight="1">
      <c r="A10" s="4" t="s">
        <v>7</v>
      </c>
      <c r="B10" s="150">
        <v>10.5</v>
      </c>
      <c r="C10" s="2"/>
      <c r="D10" s="4" t="s">
        <v>19</v>
      </c>
      <c r="E10" s="150">
        <v>9.5</v>
      </c>
      <c r="F10" s="2"/>
      <c r="G10" s="4" t="s">
        <v>29</v>
      </c>
      <c r="H10" s="150">
        <v>7.5</v>
      </c>
      <c r="I10" s="2"/>
      <c r="J10" s="4" t="s">
        <v>42</v>
      </c>
      <c r="K10" s="150">
        <v>9</v>
      </c>
      <c r="L10" s="2"/>
      <c r="M10" s="4" t="s">
        <v>52</v>
      </c>
      <c r="N10" s="150">
        <v>9</v>
      </c>
      <c r="O10" s="17"/>
      <c r="R10" s="267">
        <v>8</v>
      </c>
      <c r="S10" s="260" t="s">
        <v>326</v>
      </c>
      <c r="T10" s="261" t="s">
        <v>557</v>
      </c>
      <c r="U10" s="261">
        <v>9.61</v>
      </c>
      <c r="V10" s="268">
        <v>9.99</v>
      </c>
      <c r="W10" s="261">
        <v>10</v>
      </c>
      <c r="X10" s="261">
        <v>0.74</v>
      </c>
      <c r="Y10" s="261">
        <v>5</v>
      </c>
      <c r="Z10" s="261">
        <v>11</v>
      </c>
      <c r="AA10" s="261">
        <v>2</v>
      </c>
      <c r="AB10" s="260" t="s">
        <v>752</v>
      </c>
      <c r="AC10" s="261">
        <v>2006</v>
      </c>
      <c r="AD10" s="261" t="s">
        <v>1897</v>
      </c>
      <c r="AE10" s="262" t="s">
        <v>2149</v>
      </c>
      <c r="AF10"/>
      <c r="AG10"/>
      <c r="AH10"/>
      <c r="AI10"/>
      <c r="AK10" s="226"/>
      <c r="AL10" s="216" t="s">
        <v>2623</v>
      </c>
      <c r="AM10" s="218" t="s">
        <v>2622</v>
      </c>
      <c r="AN10" s="3" t="s">
        <v>2625</v>
      </c>
    </row>
    <row r="11" spans="1:40" ht="16.05" customHeight="1">
      <c r="A11" s="4" t="s">
        <v>8</v>
      </c>
      <c r="B11" s="150">
        <v>9</v>
      </c>
      <c r="C11" s="2"/>
      <c r="D11" s="4" t="s">
        <v>20</v>
      </c>
      <c r="E11" s="150">
        <v>10.5</v>
      </c>
      <c r="F11" s="2"/>
      <c r="G11" s="4" t="s">
        <v>30</v>
      </c>
      <c r="H11" s="150">
        <v>7.5</v>
      </c>
      <c r="I11" s="2"/>
      <c r="J11" s="4" t="s">
        <v>43</v>
      </c>
      <c r="K11" s="150">
        <v>8.5</v>
      </c>
      <c r="L11" s="2"/>
      <c r="M11" s="4" t="s">
        <v>53</v>
      </c>
      <c r="N11" s="150">
        <v>10</v>
      </c>
      <c r="O11" s="17"/>
      <c r="R11" s="267">
        <v>9</v>
      </c>
      <c r="S11" s="257" t="s">
        <v>326</v>
      </c>
      <c r="T11" s="258" t="s">
        <v>158</v>
      </c>
      <c r="U11" s="258">
        <v>9.61</v>
      </c>
      <c r="V11" s="269">
        <v>9.9600000000000009</v>
      </c>
      <c r="W11" s="258">
        <v>10</v>
      </c>
      <c r="X11" s="258">
        <v>0.74</v>
      </c>
      <c r="Y11" s="258">
        <v>5</v>
      </c>
      <c r="Z11" s="258">
        <v>15</v>
      </c>
      <c r="AA11" s="258">
        <v>6</v>
      </c>
      <c r="AB11" s="257" t="s">
        <v>752</v>
      </c>
      <c r="AC11" s="258">
        <v>1996</v>
      </c>
      <c r="AD11" s="258" t="s">
        <v>1898</v>
      </c>
      <c r="AE11" s="259" t="s">
        <v>2166</v>
      </c>
      <c r="AF11"/>
      <c r="AG11"/>
      <c r="AH11" s="378" t="s">
        <v>1038</v>
      </c>
      <c r="AI11" s="378"/>
      <c r="AK11" s="227"/>
      <c r="AM11" s="217" t="s">
        <v>248</v>
      </c>
      <c r="AN11" s="3" t="s">
        <v>2624</v>
      </c>
    </row>
    <row r="12" spans="1:40" ht="16.05" customHeight="1" thickBot="1">
      <c r="A12" s="4" t="s">
        <v>9</v>
      </c>
      <c r="B12" s="150">
        <v>10.5</v>
      </c>
      <c r="C12" s="2"/>
      <c r="D12" s="7" t="s">
        <v>21</v>
      </c>
      <c r="E12" s="151">
        <v>8</v>
      </c>
      <c r="F12" s="2"/>
      <c r="G12" s="4" t="s">
        <v>31</v>
      </c>
      <c r="H12" s="150">
        <v>8</v>
      </c>
      <c r="I12" s="2"/>
      <c r="J12" s="7" t="s">
        <v>44</v>
      </c>
      <c r="K12" s="151">
        <v>10</v>
      </c>
      <c r="L12" s="2"/>
      <c r="M12" s="7" t="s">
        <v>54</v>
      </c>
      <c r="N12" s="151">
        <v>10</v>
      </c>
      <c r="O12" s="17"/>
      <c r="R12" s="267">
        <v>10</v>
      </c>
      <c r="S12" s="260" t="s">
        <v>2465</v>
      </c>
      <c r="T12" s="261" t="s">
        <v>2449</v>
      </c>
      <c r="U12" s="261">
        <v>9.67</v>
      </c>
      <c r="V12" s="270">
        <v>9.91</v>
      </c>
      <c r="W12" s="261">
        <v>10</v>
      </c>
      <c r="X12" s="261">
        <v>0.85</v>
      </c>
      <c r="Y12" s="261">
        <v>2</v>
      </c>
      <c r="Z12" s="261">
        <v>3</v>
      </c>
      <c r="AA12" s="261">
        <v>0</v>
      </c>
      <c r="AB12" s="260" t="s">
        <v>1075</v>
      </c>
      <c r="AC12" s="261">
        <v>1972</v>
      </c>
      <c r="AD12" s="261" t="s">
        <v>1905</v>
      </c>
      <c r="AE12" s="262" t="s">
        <v>2481</v>
      </c>
      <c r="AF12"/>
      <c r="AG12"/>
      <c r="AH12" s="257" t="s">
        <v>1039</v>
      </c>
      <c r="AI12" s="380">
        <v>8.59</v>
      </c>
    </row>
    <row r="13" spans="1:40" ht="16.05" customHeight="1" thickBot="1">
      <c r="A13" s="4" t="s">
        <v>10</v>
      </c>
      <c r="B13" s="150">
        <v>10</v>
      </c>
      <c r="C13" s="2"/>
      <c r="D13" s="2"/>
      <c r="E13" s="2"/>
      <c r="F13" s="2"/>
      <c r="G13" s="4" t="s">
        <v>32</v>
      </c>
      <c r="H13" s="150">
        <v>9</v>
      </c>
      <c r="I13" s="9"/>
      <c r="J13" s="9"/>
      <c r="K13" s="9"/>
      <c r="L13" s="9"/>
      <c r="M13" s="9"/>
      <c r="N13" s="9"/>
      <c r="O13" s="18"/>
      <c r="R13" s="267">
        <v>11</v>
      </c>
      <c r="S13" s="257" t="s">
        <v>326</v>
      </c>
      <c r="T13" s="258" t="s">
        <v>1242</v>
      </c>
      <c r="U13" s="258">
        <v>9.36</v>
      </c>
      <c r="V13" s="271">
        <v>9.6</v>
      </c>
      <c r="W13" s="258">
        <v>10</v>
      </c>
      <c r="X13" s="258">
        <v>0.95</v>
      </c>
      <c r="Y13" s="258">
        <v>4</v>
      </c>
      <c r="Z13" s="258">
        <v>10</v>
      </c>
      <c r="AA13" s="258">
        <v>3</v>
      </c>
      <c r="AB13" s="257" t="s">
        <v>1254</v>
      </c>
      <c r="AC13" s="258">
        <v>2019</v>
      </c>
      <c r="AD13" s="258" t="s">
        <v>1900</v>
      </c>
      <c r="AE13" s="259" t="s">
        <v>2148</v>
      </c>
      <c r="AF13"/>
      <c r="AG13"/>
      <c r="AH13" s="260" t="s">
        <v>1040</v>
      </c>
      <c r="AI13" s="379">
        <v>8.5</v>
      </c>
    </row>
    <row r="14" spans="1:40" ht="16.05" customHeight="1" thickBot="1">
      <c r="A14" s="4" t="s">
        <v>11</v>
      </c>
      <c r="B14" s="151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0">
        <v>8.5</v>
      </c>
      <c r="I14" s="9"/>
      <c r="J14" s="83" t="s">
        <v>889</v>
      </c>
      <c r="K14" s="1">
        <f>ROUND(SUM(K15:K23)/COUNT(K15:K23), 2)</f>
        <v>8.94</v>
      </c>
      <c r="L14" s="2"/>
      <c r="M14" s="84" t="s">
        <v>890</v>
      </c>
      <c r="N14" s="1">
        <f>ROUND(SUM(N15:N26)/COUNT(N15:N26), 2)</f>
        <v>8.7100000000000009</v>
      </c>
      <c r="O14" s="17"/>
      <c r="R14" s="267">
        <v>12</v>
      </c>
      <c r="S14" s="260" t="s">
        <v>332</v>
      </c>
      <c r="T14" s="261" t="s">
        <v>767</v>
      </c>
      <c r="U14" s="261">
        <v>9.4</v>
      </c>
      <c r="V14" s="272">
        <v>9.5500000000000007</v>
      </c>
      <c r="W14" s="261">
        <v>9.5</v>
      </c>
      <c r="X14" s="261">
        <v>0.8</v>
      </c>
      <c r="Y14" s="261">
        <v>2</v>
      </c>
      <c r="Z14" s="261">
        <v>5</v>
      </c>
      <c r="AA14" s="261">
        <v>0</v>
      </c>
      <c r="AB14" s="260" t="s">
        <v>755</v>
      </c>
      <c r="AC14" s="261">
        <v>1977</v>
      </c>
      <c r="AD14" s="261" t="s">
        <v>1901</v>
      </c>
      <c r="AE14" s="262" t="s">
        <v>2163</v>
      </c>
      <c r="AF14"/>
      <c r="AG14"/>
      <c r="AH14" s="257" t="s">
        <v>1041</v>
      </c>
      <c r="AI14" s="380" t="s">
        <v>3264</v>
      </c>
    </row>
    <row r="15" spans="1:40" ht="16.05" customHeight="1" thickBot="1">
      <c r="A15" s="9"/>
      <c r="B15" s="9"/>
      <c r="C15" s="2"/>
      <c r="D15" s="11" t="s">
        <v>63</v>
      </c>
      <c r="E15" s="149">
        <v>9</v>
      </c>
      <c r="F15" s="2"/>
      <c r="G15" s="7" t="s">
        <v>34</v>
      </c>
      <c r="H15" s="151">
        <v>8.5</v>
      </c>
      <c r="I15" s="9"/>
      <c r="J15" s="4" t="s">
        <v>87</v>
      </c>
      <c r="K15" s="149">
        <v>9.5</v>
      </c>
      <c r="L15" s="2"/>
      <c r="M15" s="4" t="s">
        <v>96</v>
      </c>
      <c r="N15" s="149">
        <v>9</v>
      </c>
      <c r="O15" s="17"/>
      <c r="R15" s="267">
        <v>13</v>
      </c>
      <c r="S15" s="257" t="s">
        <v>330</v>
      </c>
      <c r="T15" s="258" t="s">
        <v>269</v>
      </c>
      <c r="U15" s="258">
        <v>9.3800000000000008</v>
      </c>
      <c r="V15" s="273">
        <v>9.5299999999999994</v>
      </c>
      <c r="W15" s="258">
        <v>9.5</v>
      </c>
      <c r="X15" s="258">
        <v>0.78</v>
      </c>
      <c r="Y15" s="258">
        <v>3</v>
      </c>
      <c r="Z15" s="258">
        <v>8</v>
      </c>
      <c r="AA15" s="258">
        <v>0</v>
      </c>
      <c r="AB15" s="257" t="s">
        <v>760</v>
      </c>
      <c r="AC15" s="258">
        <v>1971</v>
      </c>
      <c r="AD15" s="258" t="s">
        <v>1896</v>
      </c>
      <c r="AE15" s="259" t="s">
        <v>2181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0">
        <v>10.5</v>
      </c>
      <c r="F16" s="9"/>
      <c r="G16" s="9"/>
      <c r="H16" s="9"/>
      <c r="I16" s="9"/>
      <c r="J16" s="4" t="s">
        <v>88</v>
      </c>
      <c r="K16" s="150">
        <v>10</v>
      </c>
      <c r="L16" s="2"/>
      <c r="M16" s="4" t="s">
        <v>97</v>
      </c>
      <c r="N16" s="150">
        <v>10</v>
      </c>
      <c r="O16" s="17"/>
      <c r="R16" s="267">
        <v>14</v>
      </c>
      <c r="S16" s="260" t="s">
        <v>326</v>
      </c>
      <c r="T16" s="261" t="s">
        <v>2540</v>
      </c>
      <c r="U16" s="261">
        <v>9.25</v>
      </c>
      <c r="V16" s="273">
        <v>9.5299999999999994</v>
      </c>
      <c r="W16" s="261">
        <v>9.5</v>
      </c>
      <c r="X16" s="261">
        <v>1.18</v>
      </c>
      <c r="Y16" s="261">
        <v>3</v>
      </c>
      <c r="Z16" s="261">
        <v>8</v>
      </c>
      <c r="AA16" s="261">
        <v>2</v>
      </c>
      <c r="AB16" s="260" t="s">
        <v>2546</v>
      </c>
      <c r="AC16" s="261">
        <v>2000</v>
      </c>
      <c r="AD16" s="261" t="s">
        <v>1915</v>
      </c>
      <c r="AE16" s="262" t="s">
        <v>2426</v>
      </c>
      <c r="AF16"/>
      <c r="AG16"/>
      <c r="AH16" s="378" t="s">
        <v>1042</v>
      </c>
      <c r="AI16" s="378"/>
    </row>
    <row r="17" spans="1:37" ht="16.05" customHeight="1" thickBot="1">
      <c r="A17" s="4" t="s">
        <v>55</v>
      </c>
      <c r="B17" s="149">
        <v>9.5</v>
      </c>
      <c r="C17" s="2"/>
      <c r="D17" s="4" t="s">
        <v>65</v>
      </c>
      <c r="E17" s="150">
        <v>10</v>
      </c>
      <c r="F17" s="10"/>
      <c r="G17" s="106" t="s">
        <v>1178</v>
      </c>
      <c r="H17" s="1">
        <f>ROUND(SUM(H18:H28)/COUNT(H18:H28), 2)</f>
        <v>8.77</v>
      </c>
      <c r="I17" s="9"/>
      <c r="J17" s="4" t="s">
        <v>89</v>
      </c>
      <c r="K17" s="150">
        <v>9.5</v>
      </c>
      <c r="L17" s="2"/>
      <c r="M17" s="4" t="s">
        <v>98</v>
      </c>
      <c r="N17" s="150">
        <v>8</v>
      </c>
      <c r="O17" s="17"/>
      <c r="R17" s="267">
        <v>15</v>
      </c>
      <c r="S17" s="257" t="s">
        <v>331</v>
      </c>
      <c r="T17" s="258" t="s">
        <v>1180</v>
      </c>
      <c r="U17" s="258">
        <v>9.4</v>
      </c>
      <c r="V17" s="274">
        <v>9.4600000000000009</v>
      </c>
      <c r="W17" s="258">
        <v>9</v>
      </c>
      <c r="X17" s="258">
        <v>0.73</v>
      </c>
      <c r="Y17" s="258">
        <v>2</v>
      </c>
      <c r="Z17" s="258">
        <v>5</v>
      </c>
      <c r="AA17" s="258">
        <v>0</v>
      </c>
      <c r="AB17" s="257" t="s">
        <v>754</v>
      </c>
      <c r="AC17" s="258">
        <v>1969</v>
      </c>
      <c r="AD17" s="258" t="s">
        <v>1902</v>
      </c>
      <c r="AE17" s="259" t="s">
        <v>2182</v>
      </c>
      <c r="AF17"/>
      <c r="AG17"/>
      <c r="AH17" s="260" t="s">
        <v>1043</v>
      </c>
      <c r="AI17" s="379">
        <v>1.0900000000000001</v>
      </c>
      <c r="AK17" s="3" t="s">
        <v>271</v>
      </c>
    </row>
    <row r="18" spans="1:37" ht="16.05" customHeight="1">
      <c r="A18" s="4" t="s">
        <v>56</v>
      </c>
      <c r="B18" s="150">
        <v>10</v>
      </c>
      <c r="C18" s="2"/>
      <c r="D18" s="4" t="s">
        <v>66</v>
      </c>
      <c r="E18" s="150">
        <v>9.5</v>
      </c>
      <c r="F18" s="10"/>
      <c r="G18" s="4" t="s">
        <v>76</v>
      </c>
      <c r="H18" s="149">
        <v>10</v>
      </c>
      <c r="I18" s="9"/>
      <c r="J18" s="4" t="s">
        <v>90</v>
      </c>
      <c r="K18" s="150">
        <v>9</v>
      </c>
      <c r="L18" s="2"/>
      <c r="M18" s="4" t="s">
        <v>99</v>
      </c>
      <c r="N18" s="150">
        <v>8.5</v>
      </c>
      <c r="O18" s="17"/>
      <c r="R18" s="267">
        <v>16</v>
      </c>
      <c r="S18" s="260" t="s">
        <v>2026</v>
      </c>
      <c r="T18" s="261" t="s">
        <v>2019</v>
      </c>
      <c r="U18" s="261">
        <v>9.31</v>
      </c>
      <c r="V18" s="275">
        <v>9.43</v>
      </c>
      <c r="W18" s="261">
        <v>9.25</v>
      </c>
      <c r="X18" s="261">
        <v>0.75</v>
      </c>
      <c r="Y18" s="261">
        <v>3</v>
      </c>
      <c r="Z18" s="261">
        <v>8</v>
      </c>
      <c r="AA18" s="261">
        <v>0</v>
      </c>
      <c r="AB18" s="260" t="s">
        <v>2028</v>
      </c>
      <c r="AC18" s="261">
        <v>1970</v>
      </c>
      <c r="AD18" s="261" t="s">
        <v>1901</v>
      </c>
      <c r="AE18" s="262" t="s">
        <v>2120</v>
      </c>
      <c r="AF18"/>
      <c r="AG18"/>
      <c r="AH18" s="257" t="s">
        <v>1044</v>
      </c>
      <c r="AI18" s="382">
        <v>0.12720000000000001</v>
      </c>
      <c r="AK18" s="3" t="s">
        <v>272</v>
      </c>
    </row>
    <row r="19" spans="1:37" ht="16.05" customHeight="1">
      <c r="A19" s="4" t="s">
        <v>57</v>
      </c>
      <c r="B19" s="150">
        <v>8.5</v>
      </c>
      <c r="C19" s="2"/>
      <c r="D19" s="4" t="s">
        <v>67</v>
      </c>
      <c r="E19" s="150">
        <v>8.5</v>
      </c>
      <c r="F19" s="10"/>
      <c r="G19" s="4" t="s">
        <v>77</v>
      </c>
      <c r="H19" s="150">
        <v>9</v>
      </c>
      <c r="I19" s="9"/>
      <c r="J19" s="4" t="s">
        <v>91</v>
      </c>
      <c r="K19" s="150">
        <v>7.5</v>
      </c>
      <c r="L19" s="2"/>
      <c r="M19" s="4" t="s">
        <v>100</v>
      </c>
      <c r="N19" s="150">
        <v>8.5</v>
      </c>
      <c r="O19" s="17"/>
      <c r="R19" s="267">
        <v>17</v>
      </c>
      <c r="S19" s="257" t="s">
        <v>335</v>
      </c>
      <c r="T19" s="258" t="s">
        <v>56</v>
      </c>
      <c r="U19" s="258">
        <v>9.25</v>
      </c>
      <c r="V19" s="276">
        <v>9.3699999999999992</v>
      </c>
      <c r="W19" s="258">
        <v>9.25</v>
      </c>
      <c r="X19" s="258">
        <v>0.83</v>
      </c>
      <c r="Y19" s="258">
        <v>3</v>
      </c>
      <c r="Z19" s="258">
        <v>8</v>
      </c>
      <c r="AA19" s="258">
        <v>0</v>
      </c>
      <c r="AB19" s="257" t="s">
        <v>775</v>
      </c>
      <c r="AC19" s="258">
        <v>1986</v>
      </c>
      <c r="AD19" s="258" t="s">
        <v>1903</v>
      </c>
      <c r="AE19" s="259" t="s">
        <v>2182</v>
      </c>
      <c r="AF19"/>
      <c r="AG19"/>
      <c r="AH19" s="260" t="s">
        <v>1045</v>
      </c>
      <c r="AI19" s="379" t="s">
        <v>2609</v>
      </c>
      <c r="AK19" s="3" t="s">
        <v>273</v>
      </c>
    </row>
    <row r="20" spans="1:37" ht="16.05" customHeight="1">
      <c r="A20" s="4" t="s">
        <v>58</v>
      </c>
      <c r="B20" s="150">
        <v>10</v>
      </c>
      <c r="C20" s="2"/>
      <c r="D20" s="4" t="s">
        <v>68</v>
      </c>
      <c r="E20" s="150"/>
      <c r="F20" s="10"/>
      <c r="G20" s="4" t="s">
        <v>78</v>
      </c>
      <c r="H20" s="150">
        <v>10</v>
      </c>
      <c r="I20" s="9"/>
      <c r="J20" s="4" t="s">
        <v>92</v>
      </c>
      <c r="K20" s="150">
        <v>8</v>
      </c>
      <c r="L20" s="2"/>
      <c r="M20" s="4" t="s">
        <v>101</v>
      </c>
      <c r="N20" s="150">
        <v>7.5</v>
      </c>
      <c r="O20" s="17"/>
      <c r="R20" s="267">
        <v>18</v>
      </c>
      <c r="S20" s="260" t="s">
        <v>327</v>
      </c>
      <c r="T20" s="261" t="s">
        <v>285</v>
      </c>
      <c r="U20" s="261">
        <v>9.15</v>
      </c>
      <c r="V20" s="276">
        <v>9.3699999999999992</v>
      </c>
      <c r="W20" s="261">
        <v>9</v>
      </c>
      <c r="X20" s="261">
        <v>1</v>
      </c>
      <c r="Y20" s="261">
        <v>4</v>
      </c>
      <c r="Z20" s="261">
        <v>11</v>
      </c>
      <c r="AA20" s="261">
        <v>1</v>
      </c>
      <c r="AB20" s="260" t="s">
        <v>856</v>
      </c>
      <c r="AC20" s="261">
        <v>2000</v>
      </c>
      <c r="AD20" s="261" t="s">
        <v>1904</v>
      </c>
      <c r="AE20" s="262" t="s">
        <v>2177</v>
      </c>
      <c r="AF20"/>
      <c r="AG20"/>
      <c r="AH20" s="257" t="s">
        <v>1046</v>
      </c>
      <c r="AI20" s="380" t="s">
        <v>1826</v>
      </c>
    </row>
    <row r="21" spans="1:37" ht="16.05" customHeight="1">
      <c r="A21" s="4" t="s">
        <v>59</v>
      </c>
      <c r="B21" s="150">
        <v>8.5</v>
      </c>
      <c r="C21" s="2"/>
      <c r="D21" s="4" t="s">
        <v>69</v>
      </c>
      <c r="E21" s="150">
        <v>9</v>
      </c>
      <c r="F21" s="10"/>
      <c r="G21" s="4" t="s">
        <v>79</v>
      </c>
      <c r="H21" s="150">
        <v>9</v>
      </c>
      <c r="I21" s="9"/>
      <c r="J21" s="4" t="s">
        <v>93</v>
      </c>
      <c r="K21" s="150">
        <v>8.5</v>
      </c>
      <c r="L21" s="2"/>
      <c r="M21" s="4" t="s">
        <v>102</v>
      </c>
      <c r="N21" s="150">
        <v>10</v>
      </c>
      <c r="O21" s="17"/>
      <c r="R21" s="267">
        <v>19</v>
      </c>
      <c r="S21" s="257" t="s">
        <v>331</v>
      </c>
      <c r="T21" s="258" t="s">
        <v>1005</v>
      </c>
      <c r="U21" s="258">
        <v>9.3000000000000007</v>
      </c>
      <c r="V21" s="277">
        <v>9.36</v>
      </c>
      <c r="W21" s="258">
        <v>9</v>
      </c>
      <c r="X21" s="258">
        <v>0.87</v>
      </c>
      <c r="Y21" s="258">
        <v>2</v>
      </c>
      <c r="Z21" s="258">
        <v>5</v>
      </c>
      <c r="AA21" s="258">
        <v>0</v>
      </c>
      <c r="AB21" s="257" t="s">
        <v>754</v>
      </c>
      <c r="AC21" s="258">
        <v>2024</v>
      </c>
      <c r="AD21" s="258" t="s">
        <v>1905</v>
      </c>
      <c r="AE21" s="259" t="s">
        <v>2153</v>
      </c>
      <c r="AF21"/>
      <c r="AG21"/>
      <c r="AH21"/>
      <c r="AI21"/>
      <c r="AK21" s="3" t="s">
        <v>1781</v>
      </c>
    </row>
    <row r="22" spans="1:37" ht="16.05" customHeight="1">
      <c r="A22" s="4" t="s">
        <v>60</v>
      </c>
      <c r="B22" s="150">
        <v>9</v>
      </c>
      <c r="C22" s="2"/>
      <c r="D22" s="4" t="s">
        <v>70</v>
      </c>
      <c r="E22" s="150">
        <v>8</v>
      </c>
      <c r="F22" s="10"/>
      <c r="G22" s="4" t="s">
        <v>80</v>
      </c>
      <c r="H22" s="150">
        <v>8</v>
      </c>
      <c r="I22" s="9"/>
      <c r="J22" s="4" t="s">
        <v>94</v>
      </c>
      <c r="K22" s="150">
        <v>8</v>
      </c>
      <c r="L22" s="2"/>
      <c r="M22" s="4" t="s">
        <v>103</v>
      </c>
      <c r="N22" s="150">
        <v>9</v>
      </c>
      <c r="O22" s="17"/>
      <c r="R22" s="267">
        <v>20</v>
      </c>
      <c r="S22" s="260" t="s">
        <v>336</v>
      </c>
      <c r="T22" s="261" t="s">
        <v>188</v>
      </c>
      <c r="U22" s="261">
        <v>9.2100000000000009</v>
      </c>
      <c r="V22" s="278">
        <v>9.34</v>
      </c>
      <c r="W22" s="261">
        <v>9.25</v>
      </c>
      <c r="X22" s="261">
        <v>0.85</v>
      </c>
      <c r="Y22" s="261">
        <v>5</v>
      </c>
      <c r="Z22" s="261">
        <v>13</v>
      </c>
      <c r="AA22" s="261">
        <v>1</v>
      </c>
      <c r="AB22" s="260" t="s">
        <v>757</v>
      </c>
      <c r="AC22" s="261">
        <v>2008</v>
      </c>
      <c r="AD22" s="261" t="s">
        <v>1906</v>
      </c>
      <c r="AE22" s="262" t="s">
        <v>2182</v>
      </c>
      <c r="AF22"/>
      <c r="AG22"/>
      <c r="AH22" s="378" t="s">
        <v>1047</v>
      </c>
      <c r="AI22" s="378"/>
      <c r="AK22" s="3" t="s">
        <v>283</v>
      </c>
    </row>
    <row r="23" spans="1:37" ht="16.05" customHeight="1" thickBot="1">
      <c r="A23" s="4" t="s">
        <v>61</v>
      </c>
      <c r="B23" s="150">
        <v>10.5</v>
      </c>
      <c r="C23" s="2"/>
      <c r="D23" s="4" t="s">
        <v>71</v>
      </c>
      <c r="E23" s="150">
        <v>10</v>
      </c>
      <c r="F23" s="10"/>
      <c r="G23" s="4" t="s">
        <v>81</v>
      </c>
      <c r="H23" s="150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0">
        <v>8.5</v>
      </c>
      <c r="O23" s="17"/>
      <c r="R23" s="267">
        <v>21</v>
      </c>
      <c r="S23" s="257" t="s">
        <v>334</v>
      </c>
      <c r="T23" s="258" t="s">
        <v>132</v>
      </c>
      <c r="U23" s="258">
        <v>9.2100000000000009</v>
      </c>
      <c r="V23" s="279">
        <v>9.2799999999999994</v>
      </c>
      <c r="W23" s="258">
        <v>9</v>
      </c>
      <c r="X23" s="258">
        <v>0.8</v>
      </c>
      <c r="Y23" s="258">
        <v>2</v>
      </c>
      <c r="Z23" s="258">
        <v>7</v>
      </c>
      <c r="AA23" s="258">
        <v>0</v>
      </c>
      <c r="AB23" s="257" t="s">
        <v>776</v>
      </c>
      <c r="AC23" s="258">
        <v>2001</v>
      </c>
      <c r="AD23" s="258" t="s">
        <v>1894</v>
      </c>
      <c r="AE23" s="259" t="s">
        <v>2183</v>
      </c>
      <c r="AF23"/>
      <c r="AG23"/>
      <c r="AH23" s="260" t="s">
        <v>1048</v>
      </c>
      <c r="AI23" s="379" t="s">
        <v>3237</v>
      </c>
    </row>
    <row r="24" spans="1:37" ht="16.05" customHeight="1" thickBot="1">
      <c r="A24" s="7" t="s">
        <v>62</v>
      </c>
      <c r="B24" s="151">
        <v>8</v>
      </c>
      <c r="C24" s="2"/>
      <c r="D24" s="4" t="s">
        <v>72</v>
      </c>
      <c r="E24" s="150">
        <v>8.5</v>
      </c>
      <c r="F24" s="10"/>
      <c r="G24" s="4" t="s">
        <v>82</v>
      </c>
      <c r="H24" s="150">
        <v>8</v>
      </c>
      <c r="I24" s="9"/>
      <c r="J24" s="9"/>
      <c r="K24" s="9"/>
      <c r="L24" s="9"/>
      <c r="M24" s="4" t="s">
        <v>105</v>
      </c>
      <c r="N24" s="150">
        <v>7.5</v>
      </c>
      <c r="O24" s="17"/>
      <c r="R24" s="267">
        <v>22</v>
      </c>
      <c r="S24" s="260" t="s">
        <v>444</v>
      </c>
      <c r="T24" s="261" t="s">
        <v>36</v>
      </c>
      <c r="U24" s="261">
        <v>9.15</v>
      </c>
      <c r="V24" s="280">
        <v>9.23</v>
      </c>
      <c r="W24" s="261">
        <v>9</v>
      </c>
      <c r="X24" s="261">
        <v>0.78</v>
      </c>
      <c r="Y24" s="261">
        <v>3</v>
      </c>
      <c r="Z24" s="261">
        <v>10</v>
      </c>
      <c r="AA24" s="261">
        <v>0</v>
      </c>
      <c r="AB24" s="260" t="s">
        <v>754</v>
      </c>
      <c r="AC24" s="261">
        <v>1982</v>
      </c>
      <c r="AD24" s="261" t="s">
        <v>1896</v>
      </c>
      <c r="AE24" s="262" t="s">
        <v>2183</v>
      </c>
      <c r="AF24"/>
      <c r="AG24"/>
      <c r="AH24" s="257" t="s">
        <v>1049</v>
      </c>
      <c r="AI24" s="380" t="s">
        <v>3210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0">
        <v>9.5</v>
      </c>
      <c r="F25" s="10"/>
      <c r="G25" s="4" t="s">
        <v>83</v>
      </c>
      <c r="H25" s="150">
        <v>10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0">
        <v>9</v>
      </c>
      <c r="O25" s="17"/>
      <c r="R25" s="267">
        <v>23</v>
      </c>
      <c r="S25" s="257" t="s">
        <v>480</v>
      </c>
      <c r="T25" s="258" t="s">
        <v>498</v>
      </c>
      <c r="U25" s="258">
        <v>9.17</v>
      </c>
      <c r="V25" s="280">
        <v>9.23</v>
      </c>
      <c r="W25" s="258">
        <v>9</v>
      </c>
      <c r="X25" s="258">
        <v>0.69</v>
      </c>
      <c r="Y25" s="258">
        <v>1</v>
      </c>
      <c r="Z25" s="258">
        <v>6</v>
      </c>
      <c r="AA25" s="258">
        <v>0</v>
      </c>
      <c r="AB25" s="257" t="s">
        <v>756</v>
      </c>
      <c r="AC25" s="258">
        <v>2007</v>
      </c>
      <c r="AD25" s="258" t="s">
        <v>1907</v>
      </c>
      <c r="AE25" s="259" t="s">
        <v>2175</v>
      </c>
      <c r="AF25"/>
      <c r="AG25"/>
      <c r="AH25"/>
      <c r="AI25"/>
      <c r="AK25" s="13"/>
    </row>
    <row r="26" spans="1:37" ht="16.05" customHeight="1" thickBot="1">
      <c r="A26" s="107" t="s">
        <v>1179</v>
      </c>
      <c r="B26" s="1">
        <f>ROUND(SUM(B27:B31)/COUNT(B27:B31), 2)</f>
        <v>9.4</v>
      </c>
      <c r="C26" s="2"/>
      <c r="D26" s="4" t="s">
        <v>74</v>
      </c>
      <c r="E26" s="150">
        <v>8</v>
      </c>
      <c r="F26" s="10"/>
      <c r="G26" s="4" t="s">
        <v>84</v>
      </c>
      <c r="H26" s="150">
        <v>7.5</v>
      </c>
      <c r="I26" s="9"/>
      <c r="J26" s="4" t="s">
        <v>113</v>
      </c>
      <c r="K26" s="149">
        <v>10</v>
      </c>
      <c r="L26" s="2"/>
      <c r="M26" s="7" t="s">
        <v>107</v>
      </c>
      <c r="N26" s="151">
        <v>9</v>
      </c>
      <c r="O26" s="17"/>
      <c r="R26" s="267">
        <v>24</v>
      </c>
      <c r="S26" s="260" t="s">
        <v>335</v>
      </c>
      <c r="T26" s="261" t="s">
        <v>693</v>
      </c>
      <c r="U26" s="261">
        <v>9.1300000000000008</v>
      </c>
      <c r="V26" s="281">
        <v>9.2100000000000009</v>
      </c>
      <c r="W26" s="261">
        <v>9</v>
      </c>
      <c r="X26" s="261">
        <v>0.93</v>
      </c>
      <c r="Y26" s="261">
        <v>3</v>
      </c>
      <c r="Z26" s="261">
        <v>8</v>
      </c>
      <c r="AA26" s="261">
        <v>0</v>
      </c>
      <c r="AB26" s="260" t="s">
        <v>775</v>
      </c>
      <c r="AC26" s="261">
        <v>1984</v>
      </c>
      <c r="AD26" s="261" t="s">
        <v>1904</v>
      </c>
      <c r="AE26" s="262" t="s">
        <v>2167</v>
      </c>
      <c r="AF26"/>
      <c r="AG26"/>
      <c r="AH26" s="378" t="s">
        <v>1050</v>
      </c>
      <c r="AI26" s="378"/>
      <c r="AK26" s="36" t="s">
        <v>355</v>
      </c>
    </row>
    <row r="27" spans="1:37" ht="16.05" customHeight="1" thickBot="1">
      <c r="A27" s="4" t="s">
        <v>108</v>
      </c>
      <c r="B27" s="149">
        <v>10</v>
      </c>
      <c r="C27" s="2"/>
      <c r="D27" s="4" t="s">
        <v>75</v>
      </c>
      <c r="E27" s="150">
        <v>9</v>
      </c>
      <c r="F27" s="10"/>
      <c r="G27" s="4" t="s">
        <v>85</v>
      </c>
      <c r="H27" s="150">
        <v>8.5</v>
      </c>
      <c r="I27" s="9"/>
      <c r="J27" s="4" t="s">
        <v>114</v>
      </c>
      <c r="K27" s="150">
        <v>9.5</v>
      </c>
      <c r="L27" s="2"/>
      <c r="M27" s="2"/>
      <c r="N27" s="2"/>
      <c r="O27" s="17"/>
      <c r="R27" s="267">
        <v>25</v>
      </c>
      <c r="S27" s="257" t="s">
        <v>337</v>
      </c>
      <c r="T27" s="258" t="s">
        <v>2539</v>
      </c>
      <c r="U27" s="258">
        <v>9.08</v>
      </c>
      <c r="V27" s="282">
        <v>9.17</v>
      </c>
      <c r="W27" s="258">
        <v>9</v>
      </c>
      <c r="X27" s="258">
        <v>0.73</v>
      </c>
      <c r="Y27" s="258">
        <v>3</v>
      </c>
      <c r="Z27" s="258">
        <v>13</v>
      </c>
      <c r="AA27" s="258">
        <v>0</v>
      </c>
      <c r="AB27" s="257" t="s">
        <v>2559</v>
      </c>
      <c r="AC27" s="258">
        <v>2007</v>
      </c>
      <c r="AD27" s="258" t="s">
        <v>1906</v>
      </c>
      <c r="AE27" s="259" t="s">
        <v>2523</v>
      </c>
      <c r="AF27"/>
      <c r="AG27"/>
      <c r="AH27" s="260" t="s">
        <v>1051</v>
      </c>
      <c r="AI27" s="379" t="s">
        <v>3226</v>
      </c>
      <c r="AK27" s="3" t="s">
        <v>356</v>
      </c>
    </row>
    <row r="28" spans="1:37" ht="16.05" customHeight="1" thickBot="1">
      <c r="A28" s="4" t="s">
        <v>109</v>
      </c>
      <c r="B28" s="150">
        <v>9</v>
      </c>
      <c r="C28" s="9"/>
      <c r="D28" s="7" t="s">
        <v>1859</v>
      </c>
      <c r="E28" s="151">
        <v>7.5</v>
      </c>
      <c r="F28" s="9"/>
      <c r="G28" s="7" t="s">
        <v>86</v>
      </c>
      <c r="H28" s="151">
        <v>8</v>
      </c>
      <c r="I28" s="9"/>
      <c r="J28" s="4" t="s">
        <v>115</v>
      </c>
      <c r="K28" s="150">
        <v>8.5</v>
      </c>
      <c r="L28" s="2"/>
      <c r="M28" s="19" t="s">
        <v>317</v>
      </c>
      <c r="N28" s="12">
        <f>ROUND(SUM(N29:N37)/COUNT(N29:N37), 2)</f>
        <v>8.89</v>
      </c>
      <c r="O28" s="17"/>
      <c r="R28" s="267">
        <v>26</v>
      </c>
      <c r="S28" s="260" t="s">
        <v>327</v>
      </c>
      <c r="T28" s="261" t="s">
        <v>432</v>
      </c>
      <c r="U28" s="261">
        <v>9.0399999999999991</v>
      </c>
      <c r="V28" s="283">
        <v>9.14</v>
      </c>
      <c r="W28" s="261">
        <v>9</v>
      </c>
      <c r="X28" s="261">
        <v>0.78</v>
      </c>
      <c r="Y28" s="261">
        <v>3</v>
      </c>
      <c r="Z28" s="261">
        <v>12</v>
      </c>
      <c r="AA28" s="261">
        <v>0</v>
      </c>
      <c r="AB28" s="260" t="s">
        <v>773</v>
      </c>
      <c r="AC28" s="261">
        <v>1995</v>
      </c>
      <c r="AD28" s="261" t="s">
        <v>1913</v>
      </c>
      <c r="AE28" s="262" t="s">
        <v>2176</v>
      </c>
      <c r="AF28"/>
      <c r="AG28"/>
      <c r="AH28" s="257" t="s">
        <v>1052</v>
      </c>
      <c r="AI28" s="380" t="s">
        <v>3265</v>
      </c>
      <c r="AK28" s="3" t="s">
        <v>357</v>
      </c>
    </row>
    <row r="29" spans="1:37" ht="16.05" customHeight="1" thickBot="1">
      <c r="A29" s="4" t="s">
        <v>430</v>
      </c>
      <c r="B29" s="150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0">
        <v>8.5</v>
      </c>
      <c r="L29" s="2"/>
      <c r="M29" s="5" t="s">
        <v>133</v>
      </c>
      <c r="N29" s="149">
        <v>10</v>
      </c>
      <c r="O29" s="17"/>
      <c r="R29" s="267">
        <v>27</v>
      </c>
      <c r="S29" s="257" t="s">
        <v>908</v>
      </c>
      <c r="T29" s="258" t="s">
        <v>899</v>
      </c>
      <c r="U29" s="258">
        <v>9.06</v>
      </c>
      <c r="V29" s="284">
        <v>9.1</v>
      </c>
      <c r="W29" s="258">
        <v>8.75</v>
      </c>
      <c r="X29" s="258">
        <v>0.92</v>
      </c>
      <c r="Y29" s="258">
        <v>3</v>
      </c>
      <c r="Z29" s="258">
        <v>9</v>
      </c>
      <c r="AA29" s="258">
        <v>1</v>
      </c>
      <c r="AB29" s="257" t="s">
        <v>909</v>
      </c>
      <c r="AC29" s="258">
        <v>2021</v>
      </c>
      <c r="AD29" s="258" t="s">
        <v>1893</v>
      </c>
      <c r="AE29" s="259" t="s">
        <v>2159</v>
      </c>
      <c r="AF29"/>
      <c r="AG29"/>
      <c r="AH29" s="260" t="s">
        <v>1053</v>
      </c>
      <c r="AI29" s="379" t="s">
        <v>3266</v>
      </c>
      <c r="AK29" s="3" t="s">
        <v>358</v>
      </c>
    </row>
    <row r="30" spans="1:37" ht="16.05" customHeight="1" thickBot="1">
      <c r="A30" s="4" t="s">
        <v>111</v>
      </c>
      <c r="B30" s="150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0">
        <v>9.5</v>
      </c>
      <c r="L30" s="2"/>
      <c r="M30" s="6" t="s">
        <v>134</v>
      </c>
      <c r="N30" s="150">
        <v>9</v>
      </c>
      <c r="O30" s="17"/>
      <c r="R30" s="267">
        <v>28</v>
      </c>
      <c r="S30" s="260" t="s">
        <v>337</v>
      </c>
      <c r="T30" s="261" t="s">
        <v>159</v>
      </c>
      <c r="U30" s="261">
        <v>9</v>
      </c>
      <c r="V30" s="284">
        <v>9.09</v>
      </c>
      <c r="W30" s="261">
        <v>9</v>
      </c>
      <c r="X30" s="261">
        <v>0.85</v>
      </c>
      <c r="Y30" s="261">
        <v>3</v>
      </c>
      <c r="Z30" s="261">
        <v>14</v>
      </c>
      <c r="AA30" s="261">
        <v>1</v>
      </c>
      <c r="AB30" s="260" t="s">
        <v>758</v>
      </c>
      <c r="AC30" s="261">
        <v>2001</v>
      </c>
      <c r="AD30" s="261" t="s">
        <v>1908</v>
      </c>
      <c r="AE30" s="262" t="s">
        <v>2183</v>
      </c>
      <c r="AF30"/>
      <c r="AG30"/>
      <c r="AH30" s="257" t="s">
        <v>1054</v>
      </c>
      <c r="AI30" s="380" t="s">
        <v>3267</v>
      </c>
      <c r="AK30" s="3" t="s">
        <v>2544</v>
      </c>
    </row>
    <row r="31" spans="1:37" ht="16.05" customHeight="1" thickBot="1">
      <c r="A31" s="7" t="s">
        <v>112</v>
      </c>
      <c r="B31" s="151">
        <v>9</v>
      </c>
      <c r="C31" s="9"/>
      <c r="D31" s="4" t="s">
        <v>126</v>
      </c>
      <c r="E31" s="149">
        <v>9</v>
      </c>
      <c r="F31" s="2"/>
      <c r="G31" s="5" t="s">
        <v>143</v>
      </c>
      <c r="H31" s="149">
        <v>10</v>
      </c>
      <c r="I31" s="9"/>
      <c r="J31" s="4" t="s">
        <v>118</v>
      </c>
      <c r="K31" s="150">
        <v>8.5</v>
      </c>
      <c r="L31" s="2"/>
      <c r="M31" s="6" t="s">
        <v>135</v>
      </c>
      <c r="N31" s="150">
        <v>8</v>
      </c>
      <c r="O31" s="17"/>
      <c r="R31" s="267">
        <v>29</v>
      </c>
      <c r="S31" s="257" t="s">
        <v>338</v>
      </c>
      <c r="T31" s="258" t="s">
        <v>259</v>
      </c>
      <c r="U31" s="258">
        <v>9</v>
      </c>
      <c r="V31" s="284">
        <v>9.09</v>
      </c>
      <c r="W31" s="258">
        <v>9</v>
      </c>
      <c r="X31" s="258">
        <v>0.82</v>
      </c>
      <c r="Y31" s="258">
        <v>2</v>
      </c>
      <c r="Z31" s="258">
        <v>9</v>
      </c>
      <c r="AA31" s="258">
        <v>0</v>
      </c>
      <c r="AB31" s="257" t="s">
        <v>775</v>
      </c>
      <c r="AC31" s="258">
        <v>1990</v>
      </c>
      <c r="AD31" s="258" t="s">
        <v>1909</v>
      </c>
      <c r="AE31" s="259" t="s">
        <v>2181</v>
      </c>
      <c r="AF31"/>
      <c r="AG31"/>
      <c r="AH31" s="260" t="s">
        <v>1055</v>
      </c>
      <c r="AI31" s="379" t="s">
        <v>3268</v>
      </c>
      <c r="AK31" s="3" t="s">
        <v>2543</v>
      </c>
    </row>
    <row r="32" spans="1:37" ht="16.05" customHeight="1" thickBot="1">
      <c r="A32" s="2"/>
      <c r="B32" s="2"/>
      <c r="C32" s="9"/>
      <c r="D32" s="4" t="s">
        <v>127</v>
      </c>
      <c r="E32" s="150">
        <v>10</v>
      </c>
      <c r="F32" s="2"/>
      <c r="G32" s="6" t="s">
        <v>144</v>
      </c>
      <c r="H32" s="150">
        <v>10.5</v>
      </c>
      <c r="I32" s="2"/>
      <c r="J32" s="4" t="s">
        <v>119</v>
      </c>
      <c r="K32" s="150">
        <v>7.5</v>
      </c>
      <c r="L32" s="2"/>
      <c r="M32" s="6" t="s">
        <v>136</v>
      </c>
      <c r="N32" s="150">
        <v>8.5</v>
      </c>
      <c r="O32" s="17"/>
      <c r="R32" s="267">
        <v>30</v>
      </c>
      <c r="S32" s="260" t="s">
        <v>335</v>
      </c>
      <c r="T32" s="261" t="s">
        <v>1126</v>
      </c>
      <c r="U32" s="261">
        <v>9</v>
      </c>
      <c r="V32" s="285">
        <v>9.08</v>
      </c>
      <c r="W32" s="261">
        <v>9</v>
      </c>
      <c r="X32" s="261">
        <v>0.88</v>
      </c>
      <c r="Y32" s="261">
        <v>2</v>
      </c>
      <c r="Z32" s="261">
        <v>9</v>
      </c>
      <c r="AA32" s="261">
        <v>0</v>
      </c>
      <c r="AB32" s="260" t="s">
        <v>775</v>
      </c>
      <c r="AC32" s="261">
        <v>1988</v>
      </c>
      <c r="AD32" s="261" t="s">
        <v>1910</v>
      </c>
      <c r="AE32" s="262" t="s">
        <v>2151</v>
      </c>
      <c r="AF32"/>
      <c r="AG32"/>
      <c r="AH32" s="257" t="s">
        <v>1056</v>
      </c>
      <c r="AI32" s="380" t="s">
        <v>3269</v>
      </c>
      <c r="AK32" s="3" t="s">
        <v>2541</v>
      </c>
    </row>
    <row r="33" spans="1:37" ht="16.05" customHeight="1" thickBot="1">
      <c r="A33" s="76" t="s">
        <v>882</v>
      </c>
      <c r="B33" s="12">
        <f>ROUND(SUM(B34:B45)/COUNT(B34:B45), 2)</f>
        <v>9.68</v>
      </c>
      <c r="C33" s="9"/>
      <c r="D33" s="4" t="s">
        <v>128</v>
      </c>
      <c r="E33" s="150">
        <v>9</v>
      </c>
      <c r="F33" s="2"/>
      <c r="G33" s="4" t="s">
        <v>145</v>
      </c>
      <c r="H33" s="150">
        <v>10</v>
      </c>
      <c r="I33" s="2"/>
      <c r="J33" s="4" t="s">
        <v>120</v>
      </c>
      <c r="K33" s="150">
        <v>9</v>
      </c>
      <c r="L33" s="2"/>
      <c r="M33" s="6" t="s">
        <v>137</v>
      </c>
      <c r="N33" s="150">
        <v>9</v>
      </c>
      <c r="O33" s="17"/>
      <c r="R33" s="267">
        <v>31</v>
      </c>
      <c r="S33" s="257" t="s">
        <v>480</v>
      </c>
      <c r="T33" s="258" t="s">
        <v>649</v>
      </c>
      <c r="U33" s="258">
        <v>8.94</v>
      </c>
      <c r="V33" s="286">
        <v>9.0399999999999991</v>
      </c>
      <c r="W33" s="258">
        <v>9</v>
      </c>
      <c r="X33" s="258">
        <v>0.86</v>
      </c>
      <c r="Y33" s="258">
        <v>2</v>
      </c>
      <c r="Z33" s="258">
        <v>9</v>
      </c>
      <c r="AA33" s="258">
        <v>0</v>
      </c>
      <c r="AB33" s="257" t="s">
        <v>756</v>
      </c>
      <c r="AC33" s="258">
        <v>2005</v>
      </c>
      <c r="AD33" s="258" t="s">
        <v>1911</v>
      </c>
      <c r="AE33" s="259" t="s">
        <v>2170</v>
      </c>
      <c r="AF33"/>
      <c r="AG33"/>
      <c r="AH33"/>
      <c r="AI33"/>
      <c r="AK33" s="3" t="s">
        <v>2542</v>
      </c>
    </row>
    <row r="34" spans="1:37" ht="16.05" customHeight="1">
      <c r="A34" s="11" t="s">
        <v>146</v>
      </c>
      <c r="B34" s="149">
        <v>9</v>
      </c>
      <c r="C34" s="9"/>
      <c r="D34" s="4" t="s">
        <v>129</v>
      </c>
      <c r="E34" s="150">
        <v>10.5</v>
      </c>
      <c r="F34" s="2"/>
      <c r="G34" s="4" t="s">
        <v>200</v>
      </c>
      <c r="H34" s="150"/>
      <c r="I34" s="2"/>
      <c r="J34" s="4" t="s">
        <v>121</v>
      </c>
      <c r="K34" s="150">
        <v>8</v>
      </c>
      <c r="L34" s="2"/>
      <c r="M34" s="6" t="s">
        <v>138</v>
      </c>
      <c r="N34" s="150">
        <v>8</v>
      </c>
      <c r="O34" s="17"/>
      <c r="R34" s="267">
        <v>32</v>
      </c>
      <c r="S34" s="260" t="s">
        <v>334</v>
      </c>
      <c r="T34" s="261" t="s">
        <v>967</v>
      </c>
      <c r="U34" s="261">
        <v>9</v>
      </c>
      <c r="V34" s="286">
        <v>9.0399999999999991</v>
      </c>
      <c r="W34" s="261">
        <v>8.75</v>
      </c>
      <c r="X34" s="261">
        <v>0.87</v>
      </c>
      <c r="Y34" s="261">
        <v>2</v>
      </c>
      <c r="Z34" s="261">
        <v>8</v>
      </c>
      <c r="AA34" s="261">
        <v>0</v>
      </c>
      <c r="AB34" s="260" t="s">
        <v>776</v>
      </c>
      <c r="AC34" s="261">
        <v>2005</v>
      </c>
      <c r="AD34" s="261" t="s">
        <v>1912</v>
      </c>
      <c r="AE34" s="262" t="s">
        <v>2155</v>
      </c>
      <c r="AF34"/>
      <c r="AG34"/>
      <c r="AH34" s="378" t="s">
        <v>1057</v>
      </c>
      <c r="AI34" s="378"/>
    </row>
    <row r="35" spans="1:37" ht="16.05" customHeight="1">
      <c r="A35" s="4" t="s">
        <v>147</v>
      </c>
      <c r="B35" s="150">
        <v>10.5</v>
      </c>
      <c r="C35" s="9"/>
      <c r="D35" s="4" t="s">
        <v>130</v>
      </c>
      <c r="E35" s="150">
        <v>9.5</v>
      </c>
      <c r="F35" s="2"/>
      <c r="G35" s="4" t="s">
        <v>201</v>
      </c>
      <c r="H35" s="150">
        <v>10.5</v>
      </c>
      <c r="I35" s="2"/>
      <c r="J35" s="4" t="s">
        <v>122</v>
      </c>
      <c r="K35" s="150">
        <v>7</v>
      </c>
      <c r="L35" s="2"/>
      <c r="M35" s="6" t="s">
        <v>139</v>
      </c>
      <c r="N35" s="150">
        <v>9</v>
      </c>
      <c r="O35" s="17"/>
      <c r="R35" s="267">
        <v>33</v>
      </c>
      <c r="S35" s="257" t="s">
        <v>341</v>
      </c>
      <c r="T35" s="258" t="s">
        <v>95</v>
      </c>
      <c r="U35" s="258">
        <v>8.94</v>
      </c>
      <c r="V35" s="287">
        <v>9.0299999999999994</v>
      </c>
      <c r="W35" s="258">
        <v>9</v>
      </c>
      <c r="X35" s="258">
        <v>0.96</v>
      </c>
      <c r="Y35" s="258">
        <v>2</v>
      </c>
      <c r="Z35" s="258">
        <v>9</v>
      </c>
      <c r="AA35" s="258">
        <v>0</v>
      </c>
      <c r="AB35" s="257" t="s">
        <v>760</v>
      </c>
      <c r="AC35" s="258">
        <v>1985</v>
      </c>
      <c r="AD35" s="258" t="s">
        <v>1903</v>
      </c>
      <c r="AE35" s="259" t="s">
        <v>2183</v>
      </c>
      <c r="AF35"/>
      <c r="AG35"/>
      <c r="AH35" s="260" t="s">
        <v>1058</v>
      </c>
      <c r="AI35" s="379" t="s">
        <v>1059</v>
      </c>
      <c r="AK35" s="3" t="s">
        <v>2545</v>
      </c>
    </row>
    <row r="36" spans="1:37" ht="16.05" customHeight="1">
      <c r="A36" s="4" t="s">
        <v>148</v>
      </c>
      <c r="B36" s="150">
        <v>9.5</v>
      </c>
      <c r="C36" s="9"/>
      <c r="D36" s="4" t="s">
        <v>131</v>
      </c>
      <c r="E36" s="150">
        <v>8</v>
      </c>
      <c r="F36" s="2"/>
      <c r="G36" s="4" t="s">
        <v>202</v>
      </c>
      <c r="H36" s="150"/>
      <c r="I36" s="2"/>
      <c r="J36" s="4" t="s">
        <v>123</v>
      </c>
      <c r="K36" s="150"/>
      <c r="L36" s="2"/>
      <c r="M36" s="6" t="s">
        <v>140</v>
      </c>
      <c r="N36" s="150">
        <v>8.5</v>
      </c>
      <c r="O36" s="17"/>
      <c r="R36" s="267">
        <v>34</v>
      </c>
      <c r="S36" s="260" t="s">
        <v>1603</v>
      </c>
      <c r="T36" s="261" t="s">
        <v>2357</v>
      </c>
      <c r="U36" s="261">
        <v>9.07</v>
      </c>
      <c r="V36" s="288">
        <v>9.02</v>
      </c>
      <c r="W36" s="261">
        <v>9</v>
      </c>
      <c r="X36" s="261">
        <v>0.73</v>
      </c>
      <c r="Y36" s="261">
        <v>2</v>
      </c>
      <c r="Z36" s="261">
        <v>7</v>
      </c>
      <c r="AA36" s="261">
        <v>0</v>
      </c>
      <c r="AB36" s="260" t="s">
        <v>1606</v>
      </c>
      <c r="AC36" s="261">
        <v>1977</v>
      </c>
      <c r="AD36" s="261" t="s">
        <v>1932</v>
      </c>
      <c r="AE36" s="262" t="s">
        <v>2358</v>
      </c>
      <c r="AF36"/>
      <c r="AG36"/>
      <c r="AH36" s="257" t="s">
        <v>1060</v>
      </c>
      <c r="AI36" s="380" t="s">
        <v>2610</v>
      </c>
    </row>
    <row r="37" spans="1:37" ht="16.05" customHeight="1" thickBot="1">
      <c r="A37" s="4" t="s">
        <v>149</v>
      </c>
      <c r="B37" s="150">
        <v>10</v>
      </c>
      <c r="C37" s="9"/>
      <c r="D37" s="7" t="s">
        <v>132</v>
      </c>
      <c r="E37" s="151">
        <v>8.5</v>
      </c>
      <c r="F37" s="2"/>
      <c r="G37" s="4" t="s">
        <v>203</v>
      </c>
      <c r="H37" s="150">
        <v>8.5</v>
      </c>
      <c r="I37" s="2"/>
      <c r="J37" s="4" t="s">
        <v>124</v>
      </c>
      <c r="K37" s="150">
        <v>7.5</v>
      </c>
      <c r="L37" s="2"/>
      <c r="M37" s="8" t="s">
        <v>141</v>
      </c>
      <c r="N37" s="151">
        <v>10</v>
      </c>
      <c r="O37" s="17"/>
      <c r="R37" s="267">
        <v>35</v>
      </c>
      <c r="S37" s="257" t="s">
        <v>2746</v>
      </c>
      <c r="T37" s="258" t="s">
        <v>2739</v>
      </c>
      <c r="U37" s="258">
        <v>9.06</v>
      </c>
      <c r="V37" s="288">
        <v>9.02</v>
      </c>
      <c r="W37" s="258">
        <v>9</v>
      </c>
      <c r="X37" s="258">
        <v>0.72</v>
      </c>
      <c r="Y37" s="258">
        <v>3</v>
      </c>
      <c r="Z37" s="258">
        <v>9</v>
      </c>
      <c r="AA37" s="258">
        <v>0</v>
      </c>
      <c r="AB37" s="257" t="s">
        <v>2748</v>
      </c>
      <c r="AC37" s="258">
        <v>1982</v>
      </c>
      <c r="AD37" s="258" t="s">
        <v>1896</v>
      </c>
      <c r="AE37" s="259" t="s">
        <v>2749</v>
      </c>
      <c r="AF37"/>
      <c r="AG37"/>
      <c r="AH37" s="260" t="s">
        <v>1061</v>
      </c>
      <c r="AI37" s="379" t="s">
        <v>2663</v>
      </c>
    </row>
    <row r="38" spans="1:37" ht="16.05" customHeight="1" thickBot="1">
      <c r="A38" s="4" t="s">
        <v>150</v>
      </c>
      <c r="B38" s="150">
        <v>10.5</v>
      </c>
      <c r="C38" s="2"/>
      <c r="D38" s="2"/>
      <c r="E38" s="2"/>
      <c r="F38" s="2"/>
      <c r="G38" s="4" t="s">
        <v>204</v>
      </c>
      <c r="H38" s="150"/>
      <c r="I38" s="2"/>
      <c r="J38" s="7" t="s">
        <v>125</v>
      </c>
      <c r="K38" s="151">
        <v>7.5</v>
      </c>
      <c r="L38" s="2"/>
      <c r="M38" s="16"/>
      <c r="N38" s="16"/>
      <c r="O38" s="17"/>
      <c r="R38" s="267">
        <v>36</v>
      </c>
      <c r="S38" s="260" t="s">
        <v>2931</v>
      </c>
      <c r="T38" s="261" t="s">
        <v>2932</v>
      </c>
      <c r="U38" s="261">
        <v>8.85</v>
      </c>
      <c r="V38" s="288">
        <v>9.02</v>
      </c>
      <c r="W38" s="261">
        <v>8.5</v>
      </c>
      <c r="X38" s="261">
        <v>0.87</v>
      </c>
      <c r="Y38" s="261">
        <v>4</v>
      </c>
      <c r="Z38" s="261">
        <v>18</v>
      </c>
      <c r="AA38" s="261">
        <v>1</v>
      </c>
      <c r="AB38" s="260" t="s">
        <v>2937</v>
      </c>
      <c r="AC38" s="261">
        <v>1998</v>
      </c>
      <c r="AD38" s="261" t="s">
        <v>1927</v>
      </c>
      <c r="AE38" s="262" t="s">
        <v>2938</v>
      </c>
      <c r="AF38"/>
      <c r="AG38"/>
      <c r="AH38" s="257" t="s">
        <v>1062</v>
      </c>
      <c r="AI38" s="380" t="s">
        <v>1795</v>
      </c>
    </row>
    <row r="39" spans="1:37" ht="16.05" customHeight="1" thickBot="1">
      <c r="A39" s="4" t="s">
        <v>151</v>
      </c>
      <c r="B39" s="150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0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67">
        <v>37</v>
      </c>
      <c r="S39" s="257" t="s">
        <v>1550</v>
      </c>
      <c r="T39" s="258" t="s">
        <v>1551</v>
      </c>
      <c r="U39" s="258">
        <v>8.67</v>
      </c>
      <c r="V39" s="289">
        <v>9</v>
      </c>
      <c r="W39" s="258">
        <v>8.5</v>
      </c>
      <c r="X39" s="258">
        <v>0.98</v>
      </c>
      <c r="Y39" s="258">
        <v>5</v>
      </c>
      <c r="Z39" s="258">
        <v>26</v>
      </c>
      <c r="AA39" s="258">
        <v>0</v>
      </c>
      <c r="AB39" s="257" t="s">
        <v>1552</v>
      </c>
      <c r="AC39" s="258">
        <v>2017</v>
      </c>
      <c r="AD39" s="258" t="s">
        <v>1902</v>
      </c>
      <c r="AE39" s="259" t="s">
        <v>2136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0"/>
      <c r="C40" s="2"/>
      <c r="D40" s="5" t="s">
        <v>163</v>
      </c>
      <c r="E40" s="149">
        <v>8.5</v>
      </c>
      <c r="F40" s="2"/>
      <c r="G40" s="4" t="s">
        <v>206</v>
      </c>
      <c r="H40" s="150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49">
        <v>10</v>
      </c>
      <c r="O40" s="17"/>
      <c r="R40" s="267">
        <v>38</v>
      </c>
      <c r="S40" s="260" t="s">
        <v>349</v>
      </c>
      <c r="T40" s="261" t="s">
        <v>2374</v>
      </c>
      <c r="U40" s="261">
        <v>8.92</v>
      </c>
      <c r="V40" s="289">
        <v>9</v>
      </c>
      <c r="W40" s="261">
        <v>9</v>
      </c>
      <c r="X40" s="261">
        <v>1.02</v>
      </c>
      <c r="Y40" s="261">
        <v>3</v>
      </c>
      <c r="Z40" s="261">
        <v>13</v>
      </c>
      <c r="AA40" s="261">
        <v>1</v>
      </c>
      <c r="AB40" s="260" t="s">
        <v>765</v>
      </c>
      <c r="AC40" s="261">
        <v>2003</v>
      </c>
      <c r="AD40" s="261" t="s">
        <v>1920</v>
      </c>
      <c r="AE40" s="262" t="s">
        <v>2394</v>
      </c>
      <c r="AF40"/>
      <c r="AG40"/>
      <c r="AH40" s="378" t="s">
        <v>1063</v>
      </c>
      <c r="AI40" s="378"/>
    </row>
    <row r="41" spans="1:37" ht="16.05" customHeight="1">
      <c r="A41" s="4" t="s">
        <v>153</v>
      </c>
      <c r="B41" s="150">
        <v>9</v>
      </c>
      <c r="C41" s="2"/>
      <c r="D41" s="6" t="s">
        <v>164</v>
      </c>
      <c r="E41" s="150">
        <v>9</v>
      </c>
      <c r="F41" s="2"/>
      <c r="G41" s="4" t="s">
        <v>207</v>
      </c>
      <c r="H41" s="150">
        <v>10</v>
      </c>
      <c r="I41" s="2"/>
      <c r="J41" s="11" t="s">
        <v>189</v>
      </c>
      <c r="K41" s="149">
        <v>9</v>
      </c>
      <c r="L41" s="2"/>
      <c r="M41" s="4" t="s">
        <v>176</v>
      </c>
      <c r="N41" s="150">
        <v>9.5</v>
      </c>
      <c r="O41" s="17"/>
      <c r="R41" s="267">
        <v>39</v>
      </c>
      <c r="S41" s="257" t="s">
        <v>2847</v>
      </c>
      <c r="T41" s="258" t="s">
        <v>2843</v>
      </c>
      <c r="U41" s="258">
        <v>8.83</v>
      </c>
      <c r="V41" s="289">
        <v>9</v>
      </c>
      <c r="W41" s="258">
        <v>8.5</v>
      </c>
      <c r="X41" s="258">
        <v>0.87</v>
      </c>
      <c r="Y41" s="258">
        <v>3</v>
      </c>
      <c r="Z41" s="258">
        <v>15</v>
      </c>
      <c r="AA41" s="258">
        <v>0</v>
      </c>
      <c r="AB41" s="257" t="s">
        <v>772</v>
      </c>
      <c r="AC41" s="258">
        <v>2001</v>
      </c>
      <c r="AD41" s="258" t="s">
        <v>1895</v>
      </c>
      <c r="AE41" s="259" t="s">
        <v>2830</v>
      </c>
      <c r="AF41"/>
      <c r="AG41"/>
      <c r="AH41" s="260" t="s">
        <v>1064</v>
      </c>
      <c r="AI41" s="379" t="s">
        <v>3274</v>
      </c>
    </row>
    <row r="42" spans="1:37" ht="16.05" customHeight="1">
      <c r="A42" s="4" t="s">
        <v>154</v>
      </c>
      <c r="B42" s="150">
        <v>10</v>
      </c>
      <c r="C42" s="2"/>
      <c r="D42" s="6" t="s">
        <v>165</v>
      </c>
      <c r="E42" s="150">
        <v>8.5</v>
      </c>
      <c r="F42" s="2"/>
      <c r="G42" s="4" t="s">
        <v>208</v>
      </c>
      <c r="H42" s="150"/>
      <c r="I42" s="2"/>
      <c r="J42" s="4" t="s">
        <v>190</v>
      </c>
      <c r="K42" s="150">
        <v>8.5</v>
      </c>
      <c r="L42" s="2"/>
      <c r="M42" s="4" t="s">
        <v>177</v>
      </c>
      <c r="N42" s="150">
        <v>9</v>
      </c>
      <c r="O42" s="17"/>
      <c r="R42" s="267">
        <v>40</v>
      </c>
      <c r="S42" s="260" t="s">
        <v>332</v>
      </c>
      <c r="T42" s="261" t="s">
        <v>1804</v>
      </c>
      <c r="U42" s="261">
        <v>8.92</v>
      </c>
      <c r="V42" s="290">
        <v>8.9700000000000006</v>
      </c>
      <c r="W42" s="261">
        <v>8.75</v>
      </c>
      <c r="X42" s="261">
        <v>0.79</v>
      </c>
      <c r="Y42" s="261">
        <v>1</v>
      </c>
      <c r="Z42" s="261">
        <v>6</v>
      </c>
      <c r="AA42" s="261">
        <v>0</v>
      </c>
      <c r="AB42" s="260" t="s">
        <v>1075</v>
      </c>
      <c r="AC42" s="261">
        <v>1971</v>
      </c>
      <c r="AD42" s="261" t="s">
        <v>1914</v>
      </c>
      <c r="AE42" s="262" t="s">
        <v>2125</v>
      </c>
      <c r="AF42"/>
      <c r="AG42"/>
      <c r="AH42" s="257" t="s">
        <v>1065</v>
      </c>
      <c r="AI42" s="380">
        <v>112</v>
      </c>
      <c r="AK42" s="3" t="s">
        <v>1003</v>
      </c>
    </row>
    <row r="43" spans="1:37" ht="16.05" customHeight="1">
      <c r="A43" s="4" t="s">
        <v>155</v>
      </c>
      <c r="B43" s="150">
        <v>10</v>
      </c>
      <c r="C43" s="2"/>
      <c r="D43" s="6" t="s">
        <v>166</v>
      </c>
      <c r="E43" s="150">
        <v>10</v>
      </c>
      <c r="F43" s="2"/>
      <c r="G43" s="4" t="s">
        <v>209</v>
      </c>
      <c r="H43" s="150">
        <v>9.5</v>
      </c>
      <c r="I43" s="2"/>
      <c r="J43" s="4" t="s">
        <v>191</v>
      </c>
      <c r="K43" s="150">
        <v>9</v>
      </c>
      <c r="L43" s="2"/>
      <c r="M43" s="4" t="s">
        <v>178</v>
      </c>
      <c r="N43" s="150">
        <v>10.5</v>
      </c>
      <c r="O43" s="17"/>
      <c r="R43" s="267">
        <v>41</v>
      </c>
      <c r="S43" s="257" t="s">
        <v>332</v>
      </c>
      <c r="T43" s="258" t="s">
        <v>3011</v>
      </c>
      <c r="U43" s="258">
        <v>8.8000000000000007</v>
      </c>
      <c r="V43" s="290">
        <v>8.9700000000000006</v>
      </c>
      <c r="W43" s="258">
        <v>8.5</v>
      </c>
      <c r="X43" s="258">
        <v>0.73</v>
      </c>
      <c r="Y43" s="258">
        <v>3</v>
      </c>
      <c r="Z43" s="258">
        <v>26</v>
      </c>
      <c r="AA43" s="258">
        <v>4</v>
      </c>
      <c r="AB43" s="257" t="s">
        <v>3017</v>
      </c>
      <c r="AC43" s="258">
        <v>1979</v>
      </c>
      <c r="AD43" s="258" t="s">
        <v>3018</v>
      </c>
      <c r="AE43" s="259" t="s">
        <v>2983</v>
      </c>
      <c r="AF43"/>
      <c r="AG43"/>
      <c r="AH43" s="260" t="s">
        <v>1066</v>
      </c>
      <c r="AI43" s="379" t="s">
        <v>2547</v>
      </c>
    </row>
    <row r="44" spans="1:37" ht="16.05" customHeight="1">
      <c r="A44" s="4" t="s">
        <v>156</v>
      </c>
      <c r="B44" s="150">
        <v>10</v>
      </c>
      <c r="C44" s="2"/>
      <c r="D44" s="6" t="s">
        <v>167</v>
      </c>
      <c r="E44" s="150">
        <v>9</v>
      </c>
      <c r="F44" s="2"/>
      <c r="G44" s="4" t="s">
        <v>210</v>
      </c>
      <c r="H44" s="150"/>
      <c r="I44" s="2"/>
      <c r="J44" s="4" t="s">
        <v>192</v>
      </c>
      <c r="K44" s="150">
        <v>9.5</v>
      </c>
      <c r="L44" s="2"/>
      <c r="M44" s="4" t="s">
        <v>179</v>
      </c>
      <c r="N44" s="150">
        <v>8.5</v>
      </c>
      <c r="O44" s="17"/>
      <c r="R44" s="267">
        <v>42</v>
      </c>
      <c r="S44" s="260" t="s">
        <v>1332</v>
      </c>
      <c r="T44" s="261" t="s">
        <v>1323</v>
      </c>
      <c r="U44" s="261">
        <v>9</v>
      </c>
      <c r="V44" s="291">
        <v>8.9600000000000009</v>
      </c>
      <c r="W44" s="261">
        <v>9</v>
      </c>
      <c r="X44" s="261">
        <v>0.6</v>
      </c>
      <c r="Y44" s="261">
        <v>2</v>
      </c>
      <c r="Z44" s="261">
        <v>11</v>
      </c>
      <c r="AA44" s="261">
        <v>0</v>
      </c>
      <c r="AB44" s="260" t="s">
        <v>1336</v>
      </c>
      <c r="AC44" s="261">
        <v>2025</v>
      </c>
      <c r="AD44" s="261" t="s">
        <v>1919</v>
      </c>
      <c r="AE44" s="262" t="s">
        <v>2146</v>
      </c>
      <c r="AF44"/>
      <c r="AG44"/>
      <c r="AH44" s="257" t="s">
        <v>1067</v>
      </c>
      <c r="AI44" s="380" t="s">
        <v>2112</v>
      </c>
    </row>
    <row r="45" spans="1:37" ht="16.05" customHeight="1" thickBot="1">
      <c r="A45" s="7" t="s">
        <v>157</v>
      </c>
      <c r="B45" s="151">
        <v>8.5</v>
      </c>
      <c r="C45" s="2"/>
      <c r="D45" s="6" t="s">
        <v>160</v>
      </c>
      <c r="E45" s="150">
        <v>8</v>
      </c>
      <c r="F45" s="2"/>
      <c r="G45" s="4" t="s">
        <v>211</v>
      </c>
      <c r="H45" s="151">
        <v>8.5</v>
      </c>
      <c r="I45" s="2"/>
      <c r="J45" s="4" t="s">
        <v>193</v>
      </c>
      <c r="K45" s="150">
        <v>7.5</v>
      </c>
      <c r="L45" s="2"/>
      <c r="M45" s="4" t="s">
        <v>180</v>
      </c>
      <c r="N45" s="150">
        <v>8</v>
      </c>
      <c r="O45" s="17"/>
      <c r="R45" s="267">
        <v>43</v>
      </c>
      <c r="S45" s="257" t="s">
        <v>345</v>
      </c>
      <c r="T45" s="258" t="s">
        <v>1615</v>
      </c>
      <c r="U45" s="258">
        <v>8.94</v>
      </c>
      <c r="V45" s="292">
        <v>8.9499999999999993</v>
      </c>
      <c r="W45" s="258">
        <v>8.5</v>
      </c>
      <c r="X45" s="258">
        <v>0.76</v>
      </c>
      <c r="Y45" s="258">
        <v>2</v>
      </c>
      <c r="Z45" s="258">
        <v>10</v>
      </c>
      <c r="AA45" s="258">
        <v>1</v>
      </c>
      <c r="AB45" s="257" t="s">
        <v>1632</v>
      </c>
      <c r="AC45" s="258">
        <v>2000</v>
      </c>
      <c r="AD45" s="258" t="s">
        <v>1901</v>
      </c>
      <c r="AE45" s="259" t="s">
        <v>2134</v>
      </c>
      <c r="AF45"/>
      <c r="AG45"/>
      <c r="AH45" s="260" t="s">
        <v>1068</v>
      </c>
      <c r="AI45" s="379" t="s">
        <v>1069</v>
      </c>
    </row>
    <row r="46" spans="1:37" ht="16.05" customHeight="1" thickBot="1">
      <c r="A46" s="14"/>
      <c r="B46" s="14"/>
      <c r="C46" s="2"/>
      <c r="D46" s="6" t="s">
        <v>168</v>
      </c>
      <c r="E46" s="150">
        <v>9</v>
      </c>
      <c r="F46" s="2"/>
      <c r="G46" s="14"/>
      <c r="H46" s="14"/>
      <c r="I46" s="2"/>
      <c r="J46" s="4" t="s">
        <v>194</v>
      </c>
      <c r="K46" s="150">
        <v>10</v>
      </c>
      <c r="L46" s="2"/>
      <c r="M46" s="4" t="s">
        <v>181</v>
      </c>
      <c r="N46" s="150">
        <v>8.5</v>
      </c>
      <c r="O46" s="17"/>
      <c r="R46" s="267">
        <v>44</v>
      </c>
      <c r="S46" s="260" t="s">
        <v>739</v>
      </c>
      <c r="T46" s="261" t="s">
        <v>740</v>
      </c>
      <c r="U46" s="261">
        <v>8.91</v>
      </c>
      <c r="V46" s="293">
        <v>8.93</v>
      </c>
      <c r="W46" s="261">
        <v>8.5</v>
      </c>
      <c r="X46" s="261">
        <v>0.85</v>
      </c>
      <c r="Y46" s="261">
        <v>3</v>
      </c>
      <c r="Z46" s="261">
        <v>11</v>
      </c>
      <c r="AA46" s="261">
        <v>0</v>
      </c>
      <c r="AB46" s="260" t="s">
        <v>839</v>
      </c>
      <c r="AC46" s="261">
        <v>2002</v>
      </c>
      <c r="AD46" s="261" t="s">
        <v>1918</v>
      </c>
      <c r="AE46" s="262" t="s">
        <v>2164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0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0">
        <v>8</v>
      </c>
      <c r="L47" s="2"/>
      <c r="M47" s="4" t="s">
        <v>182</v>
      </c>
      <c r="N47" s="150">
        <v>8.5</v>
      </c>
      <c r="O47" s="17"/>
      <c r="R47" s="267">
        <v>45</v>
      </c>
      <c r="S47" s="257" t="s">
        <v>346</v>
      </c>
      <c r="T47" s="258" t="s">
        <v>1840</v>
      </c>
      <c r="U47" s="258">
        <v>8.9600000000000009</v>
      </c>
      <c r="V47" s="293">
        <v>8.93</v>
      </c>
      <c r="W47" s="258">
        <v>9</v>
      </c>
      <c r="X47" s="258">
        <v>0.59</v>
      </c>
      <c r="Y47" s="258">
        <v>2</v>
      </c>
      <c r="Z47" s="258">
        <v>12</v>
      </c>
      <c r="AA47" s="258">
        <v>0</v>
      </c>
      <c r="AB47" s="257" t="s">
        <v>1841</v>
      </c>
      <c r="AC47" s="258">
        <v>2003</v>
      </c>
      <c r="AD47" s="258" t="s">
        <v>1915</v>
      </c>
      <c r="AE47" s="259" t="s">
        <v>2123</v>
      </c>
      <c r="AF47"/>
      <c r="AG47"/>
      <c r="AH47" s="378" t="s">
        <v>1070</v>
      </c>
      <c r="AI47" s="378"/>
    </row>
    <row r="48" spans="1:37" ht="16.05" customHeight="1">
      <c r="A48" s="5" t="s">
        <v>249</v>
      </c>
      <c r="B48" s="149"/>
      <c r="C48" s="2"/>
      <c r="D48" s="6" t="s">
        <v>170</v>
      </c>
      <c r="E48" s="150">
        <v>8</v>
      </c>
      <c r="F48" s="2"/>
      <c r="G48" s="5" t="s">
        <v>212</v>
      </c>
      <c r="H48" s="149">
        <v>10</v>
      </c>
      <c r="I48" s="2"/>
      <c r="J48" s="4" t="s">
        <v>162</v>
      </c>
      <c r="K48" s="150">
        <v>7.5</v>
      </c>
      <c r="L48" s="2"/>
      <c r="M48" s="4" t="s">
        <v>183</v>
      </c>
      <c r="N48" s="150">
        <v>10</v>
      </c>
      <c r="O48" s="17"/>
      <c r="R48" s="267">
        <v>46</v>
      </c>
      <c r="S48" s="260" t="s">
        <v>3099</v>
      </c>
      <c r="T48" s="261" t="s">
        <v>3100</v>
      </c>
      <c r="U48" s="261">
        <v>8.9600000000000009</v>
      </c>
      <c r="V48" s="294">
        <v>8.92</v>
      </c>
      <c r="W48" s="261">
        <v>9</v>
      </c>
      <c r="X48" s="261">
        <v>0.75</v>
      </c>
      <c r="Y48" s="261">
        <v>3</v>
      </c>
      <c r="Z48" s="261">
        <v>12</v>
      </c>
      <c r="AA48" s="261">
        <v>0</v>
      </c>
      <c r="AB48" s="260" t="s">
        <v>772</v>
      </c>
      <c r="AC48" s="261">
        <v>2000</v>
      </c>
      <c r="AD48" s="261" t="s">
        <v>1923</v>
      </c>
      <c r="AE48" s="262" t="s">
        <v>3084</v>
      </c>
      <c r="AF48"/>
      <c r="AG48"/>
      <c r="AH48" s="257" t="s">
        <v>1071</v>
      </c>
      <c r="AI48" s="380" t="s">
        <v>2113</v>
      </c>
    </row>
    <row r="49" spans="1:35" ht="16.05" customHeight="1">
      <c r="A49" s="6" t="s">
        <v>250</v>
      </c>
      <c r="B49" s="150">
        <v>10</v>
      </c>
      <c r="C49" s="2"/>
      <c r="D49" s="6" t="s">
        <v>171</v>
      </c>
      <c r="E49" s="150">
        <v>10</v>
      </c>
      <c r="F49" s="2"/>
      <c r="G49" s="6" t="s">
        <v>213</v>
      </c>
      <c r="H49" s="150">
        <v>9.5</v>
      </c>
      <c r="I49" s="2"/>
      <c r="J49" s="4" t="s">
        <v>196</v>
      </c>
      <c r="K49" s="150">
        <v>7</v>
      </c>
      <c r="L49" s="2"/>
      <c r="M49" s="4" t="s">
        <v>184</v>
      </c>
      <c r="N49" s="150"/>
      <c r="O49" s="17"/>
      <c r="R49" s="267">
        <v>47</v>
      </c>
      <c r="S49" s="257" t="s">
        <v>1176</v>
      </c>
      <c r="T49" s="258" t="s">
        <v>2082</v>
      </c>
      <c r="U49" s="258">
        <v>8.7200000000000006</v>
      </c>
      <c r="V49" s="295">
        <v>8.91</v>
      </c>
      <c r="W49" s="258">
        <v>8.5</v>
      </c>
      <c r="X49" s="258">
        <v>0.85</v>
      </c>
      <c r="Y49" s="258">
        <v>5</v>
      </c>
      <c r="Z49" s="258">
        <v>30</v>
      </c>
      <c r="AA49" s="258">
        <v>1</v>
      </c>
      <c r="AB49" s="257" t="s">
        <v>1552</v>
      </c>
      <c r="AC49" s="258">
        <v>2013</v>
      </c>
      <c r="AD49" s="258" t="s">
        <v>2085</v>
      </c>
      <c r="AE49" s="259" t="s">
        <v>2118</v>
      </c>
      <c r="AF49"/>
      <c r="AG49"/>
      <c r="AH49" s="260" t="s">
        <v>1077</v>
      </c>
      <c r="AI49" s="379" t="s">
        <v>1134</v>
      </c>
    </row>
    <row r="50" spans="1:35" ht="16.05" customHeight="1">
      <c r="A50" s="6" t="s">
        <v>251</v>
      </c>
      <c r="B50" s="150">
        <v>9</v>
      </c>
      <c r="C50" s="2"/>
      <c r="D50" s="6" t="s">
        <v>172</v>
      </c>
      <c r="E50" s="150">
        <v>8.5</v>
      </c>
      <c r="F50" s="2"/>
      <c r="G50" s="6" t="s">
        <v>214</v>
      </c>
      <c r="H50" s="150">
        <v>9.5</v>
      </c>
      <c r="I50" s="2"/>
      <c r="J50" s="4" t="s">
        <v>197</v>
      </c>
      <c r="K50" s="150">
        <v>7</v>
      </c>
      <c r="L50" s="2"/>
      <c r="M50" s="4" t="s">
        <v>185</v>
      </c>
      <c r="N50" s="150">
        <v>8</v>
      </c>
      <c r="O50" s="17"/>
      <c r="R50" s="267">
        <v>48</v>
      </c>
      <c r="S50" s="260" t="s">
        <v>334</v>
      </c>
      <c r="T50" s="261" t="s">
        <v>2518</v>
      </c>
      <c r="U50" s="261">
        <v>8.9</v>
      </c>
      <c r="V50" s="295">
        <v>8.9</v>
      </c>
      <c r="W50" s="261">
        <v>8.5</v>
      </c>
      <c r="X50" s="261">
        <v>0.86</v>
      </c>
      <c r="Y50" s="261">
        <v>1</v>
      </c>
      <c r="Z50" s="261">
        <v>6</v>
      </c>
      <c r="AA50" s="261">
        <v>1</v>
      </c>
      <c r="AB50" s="260" t="s">
        <v>776</v>
      </c>
      <c r="AC50" s="261">
        <v>2002</v>
      </c>
      <c r="AD50" s="261" t="s">
        <v>1908</v>
      </c>
      <c r="AE50" s="262" t="s">
        <v>2523</v>
      </c>
      <c r="AF50"/>
      <c r="AG50"/>
      <c r="AH50" s="257" t="s">
        <v>1073</v>
      </c>
      <c r="AI50" s="380" t="s">
        <v>1074</v>
      </c>
    </row>
    <row r="51" spans="1:35" ht="16.05" customHeight="1">
      <c r="A51" s="6" t="s">
        <v>252</v>
      </c>
      <c r="B51" s="150">
        <v>9</v>
      </c>
      <c r="C51" s="2"/>
      <c r="D51" s="6" t="s">
        <v>173</v>
      </c>
      <c r="E51" s="150">
        <v>8</v>
      </c>
      <c r="F51" s="2"/>
      <c r="G51" s="6" t="s">
        <v>215</v>
      </c>
      <c r="H51" s="150">
        <v>10.5</v>
      </c>
      <c r="I51" s="2"/>
      <c r="J51" s="4" t="s">
        <v>198</v>
      </c>
      <c r="K51" s="150">
        <v>7.5</v>
      </c>
      <c r="L51" s="2"/>
      <c r="M51" s="4" t="s">
        <v>186</v>
      </c>
      <c r="N51" s="150">
        <v>10</v>
      </c>
      <c r="O51" s="17"/>
      <c r="R51" s="267">
        <v>49</v>
      </c>
      <c r="S51" s="257" t="s">
        <v>346</v>
      </c>
      <c r="T51" s="258" t="s">
        <v>1181</v>
      </c>
      <c r="U51" s="258">
        <v>8.77</v>
      </c>
      <c r="V51" s="296">
        <v>8.89</v>
      </c>
      <c r="W51" s="258">
        <v>9</v>
      </c>
      <c r="X51" s="258">
        <v>0.87</v>
      </c>
      <c r="Y51" s="258">
        <v>2</v>
      </c>
      <c r="Z51" s="258">
        <v>13</v>
      </c>
      <c r="AA51" s="258">
        <v>0</v>
      </c>
      <c r="AB51" s="257" t="s">
        <v>1183</v>
      </c>
      <c r="AC51" s="258">
        <v>2009</v>
      </c>
      <c r="AD51" s="258" t="s">
        <v>1926</v>
      </c>
      <c r="AE51" s="259" t="s">
        <v>2183</v>
      </c>
      <c r="AF51"/>
      <c r="AG51"/>
      <c r="AH51" s="260" t="s">
        <v>760</v>
      </c>
      <c r="AI51" s="379" t="s">
        <v>3101</v>
      </c>
    </row>
    <row r="52" spans="1:35" ht="16.05" customHeight="1" thickBot="1">
      <c r="A52" s="6" t="s">
        <v>253</v>
      </c>
      <c r="B52" s="150">
        <v>8</v>
      </c>
      <c r="C52" s="2"/>
      <c r="D52" s="8" t="s">
        <v>174</v>
      </c>
      <c r="E52" s="151">
        <v>7.5</v>
      </c>
      <c r="F52" s="2"/>
      <c r="G52" s="6" t="s">
        <v>216</v>
      </c>
      <c r="H52" s="150">
        <v>8.5</v>
      </c>
      <c r="I52" s="2"/>
      <c r="J52" s="7" t="s">
        <v>199</v>
      </c>
      <c r="K52" s="151">
        <v>10</v>
      </c>
      <c r="L52" s="2"/>
      <c r="M52" s="7" t="s">
        <v>187</v>
      </c>
      <c r="N52" s="151">
        <v>10</v>
      </c>
      <c r="O52" s="17"/>
      <c r="R52" s="267">
        <v>50</v>
      </c>
      <c r="S52" s="260" t="s">
        <v>1176</v>
      </c>
      <c r="T52" s="261" t="s">
        <v>1549</v>
      </c>
      <c r="U52" s="261">
        <v>8.7200000000000006</v>
      </c>
      <c r="V52" s="296">
        <v>8.89</v>
      </c>
      <c r="W52" s="261">
        <v>8.5</v>
      </c>
      <c r="X52" s="261">
        <v>1.03</v>
      </c>
      <c r="Y52" s="261">
        <v>5</v>
      </c>
      <c r="Z52" s="261">
        <v>24</v>
      </c>
      <c r="AA52" s="261">
        <v>1</v>
      </c>
      <c r="AB52" s="260" t="s">
        <v>1552</v>
      </c>
      <c r="AC52" s="261">
        <v>2011</v>
      </c>
      <c r="AD52" s="261" t="s">
        <v>1916</v>
      </c>
      <c r="AE52" s="262" t="s">
        <v>2150</v>
      </c>
      <c r="AF52"/>
      <c r="AG52"/>
      <c r="AH52" s="257" t="s">
        <v>2562</v>
      </c>
      <c r="AI52" s="380" t="s">
        <v>2563</v>
      </c>
    </row>
    <row r="53" spans="1:35" ht="16.05" customHeight="1" thickBot="1">
      <c r="A53" s="6" t="s">
        <v>254</v>
      </c>
      <c r="B53" s="150">
        <v>8</v>
      </c>
      <c r="C53" s="2"/>
      <c r="D53" s="14"/>
      <c r="E53" s="16"/>
      <c r="F53" s="2"/>
      <c r="G53" s="6" t="s">
        <v>217</v>
      </c>
      <c r="H53" s="150">
        <v>8</v>
      </c>
      <c r="I53" s="2"/>
      <c r="J53" s="16"/>
      <c r="K53" s="16"/>
      <c r="L53" s="2"/>
      <c r="M53" s="16"/>
      <c r="N53" s="16"/>
      <c r="O53" s="17"/>
      <c r="R53" s="267">
        <v>51</v>
      </c>
      <c r="S53" s="257" t="s">
        <v>717</v>
      </c>
      <c r="T53" s="258" t="s">
        <v>1426</v>
      </c>
      <c r="U53" s="258">
        <v>8.8800000000000008</v>
      </c>
      <c r="V53" s="296">
        <v>8.89</v>
      </c>
      <c r="W53" s="258">
        <v>8.5</v>
      </c>
      <c r="X53" s="258">
        <v>0.74</v>
      </c>
      <c r="Y53" s="258">
        <v>2</v>
      </c>
      <c r="Z53" s="258">
        <v>15</v>
      </c>
      <c r="AA53" s="258">
        <v>2</v>
      </c>
      <c r="AB53" s="257" t="s">
        <v>1427</v>
      </c>
      <c r="AC53" s="258">
        <v>2005</v>
      </c>
      <c r="AD53" s="258" t="s">
        <v>1907</v>
      </c>
      <c r="AE53" s="259" t="s">
        <v>2142</v>
      </c>
      <c r="AF53"/>
      <c r="AG53"/>
      <c r="AH53" s="260" t="s">
        <v>1078</v>
      </c>
      <c r="AI53" s="379" t="s">
        <v>1079</v>
      </c>
    </row>
    <row r="54" spans="1:35" ht="16.05" customHeight="1" thickBot="1">
      <c r="A54" s="6" t="s">
        <v>255</v>
      </c>
      <c r="B54" s="150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0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67">
        <v>52</v>
      </c>
      <c r="S54" s="260" t="s">
        <v>1372</v>
      </c>
      <c r="T54" s="261" t="s">
        <v>1373</v>
      </c>
      <c r="U54" s="261">
        <v>8.82</v>
      </c>
      <c r="V54" s="297">
        <v>8.8800000000000008</v>
      </c>
      <c r="W54" s="261">
        <v>8.75</v>
      </c>
      <c r="X54" s="261">
        <v>0.92</v>
      </c>
      <c r="Y54" s="261">
        <v>3</v>
      </c>
      <c r="Z54" s="261">
        <v>16</v>
      </c>
      <c r="AA54" s="261">
        <v>2</v>
      </c>
      <c r="AB54" s="260" t="s">
        <v>1374</v>
      </c>
      <c r="AC54" s="261">
        <v>2015</v>
      </c>
      <c r="AD54" s="261" t="s">
        <v>1917</v>
      </c>
      <c r="AE54" s="262" t="s">
        <v>2144</v>
      </c>
      <c r="AF54"/>
      <c r="AG54"/>
      <c r="AH54" s="257" t="s">
        <v>1080</v>
      </c>
      <c r="AI54" s="380" t="s">
        <v>1079</v>
      </c>
    </row>
    <row r="55" spans="1:35" ht="16.05" customHeight="1" thickBot="1">
      <c r="A55" s="6" t="s">
        <v>256</v>
      </c>
      <c r="B55" s="150">
        <v>8</v>
      </c>
      <c r="C55" s="2"/>
      <c r="D55" s="5" t="s">
        <v>260</v>
      </c>
      <c r="E55" s="149">
        <v>10</v>
      </c>
      <c r="F55" s="2"/>
      <c r="G55" s="8" t="s">
        <v>219</v>
      </c>
      <c r="H55" s="151">
        <v>10</v>
      </c>
      <c r="I55" s="2"/>
      <c r="J55" s="5" t="s">
        <v>295</v>
      </c>
      <c r="K55" s="149">
        <v>10</v>
      </c>
      <c r="L55" s="2"/>
      <c r="M55" s="5" t="s">
        <v>284</v>
      </c>
      <c r="N55" s="149">
        <v>10</v>
      </c>
      <c r="O55" s="17"/>
      <c r="R55" s="267">
        <v>53</v>
      </c>
      <c r="S55" s="257" t="s">
        <v>1488</v>
      </c>
      <c r="T55" s="258" t="s">
        <v>1489</v>
      </c>
      <c r="U55" s="258">
        <v>8.93</v>
      </c>
      <c r="V55" s="297">
        <v>8.8800000000000008</v>
      </c>
      <c r="W55" s="258">
        <v>9</v>
      </c>
      <c r="X55" s="258">
        <v>0.73</v>
      </c>
      <c r="Y55" s="258">
        <v>1</v>
      </c>
      <c r="Z55" s="258">
        <v>7</v>
      </c>
      <c r="AA55" s="258">
        <v>0</v>
      </c>
      <c r="AB55" s="257" t="s">
        <v>1492</v>
      </c>
      <c r="AC55" s="258">
        <v>2000</v>
      </c>
      <c r="AD55" s="258" t="s">
        <v>1913</v>
      </c>
      <c r="AE55" s="259" t="s">
        <v>2138</v>
      </c>
      <c r="AF55"/>
      <c r="AG55"/>
      <c r="AH55" s="260" t="s">
        <v>2763</v>
      </c>
      <c r="AI55" s="379" t="s">
        <v>1079</v>
      </c>
    </row>
    <row r="56" spans="1:35" ht="16.05" customHeight="1" thickBot="1">
      <c r="A56" s="6" t="s">
        <v>257</v>
      </c>
      <c r="B56" s="150">
        <v>10</v>
      </c>
      <c r="C56" s="2"/>
      <c r="D56" s="6" t="s">
        <v>261</v>
      </c>
      <c r="E56" s="150">
        <v>9.5</v>
      </c>
      <c r="F56" s="2"/>
      <c r="G56" s="16"/>
      <c r="H56" s="16"/>
      <c r="I56" s="2"/>
      <c r="J56" s="6" t="s">
        <v>296</v>
      </c>
      <c r="K56" s="150">
        <v>9</v>
      </c>
      <c r="L56" s="2"/>
      <c r="M56" s="6" t="s">
        <v>285</v>
      </c>
      <c r="N56" s="150">
        <v>8.5</v>
      </c>
      <c r="O56" s="17"/>
      <c r="R56" s="267">
        <v>54</v>
      </c>
      <c r="S56" s="260" t="s">
        <v>1589</v>
      </c>
      <c r="T56" s="261" t="s">
        <v>1590</v>
      </c>
      <c r="U56" s="261">
        <v>8.9</v>
      </c>
      <c r="V56" s="297">
        <v>8.8800000000000008</v>
      </c>
      <c r="W56" s="261">
        <v>9</v>
      </c>
      <c r="X56" s="261">
        <v>0.66</v>
      </c>
      <c r="Y56" s="261">
        <v>1</v>
      </c>
      <c r="Z56" s="261">
        <v>5</v>
      </c>
      <c r="AA56" s="261">
        <v>0</v>
      </c>
      <c r="AB56" s="260" t="s">
        <v>1591</v>
      </c>
      <c r="AC56" s="261">
        <v>1974</v>
      </c>
      <c r="AD56" s="261" t="s">
        <v>1902</v>
      </c>
      <c r="AE56" s="262" t="s">
        <v>2135</v>
      </c>
      <c r="AF56"/>
      <c r="AG56"/>
      <c r="AH56" s="257" t="s">
        <v>2764</v>
      </c>
      <c r="AI56" s="380" t="s">
        <v>1079</v>
      </c>
    </row>
    <row r="57" spans="1:35" ht="16.05" customHeight="1" thickBot="1">
      <c r="A57" s="8" t="s">
        <v>258</v>
      </c>
      <c r="B57" s="151">
        <v>9</v>
      </c>
      <c r="C57" s="2"/>
      <c r="D57" s="6" t="s">
        <v>262</v>
      </c>
      <c r="E57" s="150">
        <v>8</v>
      </c>
      <c r="F57" s="17"/>
      <c r="G57" s="174" t="s">
        <v>2051</v>
      </c>
      <c r="H57" s="1">
        <f>ROUND(SUM(H58:H67)/COUNT(H58:H67), 2)</f>
        <v>8.35</v>
      </c>
      <c r="I57" s="2"/>
      <c r="J57" s="6" t="s">
        <v>297</v>
      </c>
      <c r="K57" s="150">
        <v>8</v>
      </c>
      <c r="L57" s="2"/>
      <c r="M57" s="6" t="s">
        <v>286</v>
      </c>
      <c r="N57" s="150">
        <v>9</v>
      </c>
      <c r="O57" s="17"/>
      <c r="R57" s="267">
        <v>55</v>
      </c>
      <c r="S57" s="257" t="s">
        <v>1740</v>
      </c>
      <c r="T57" s="258" t="s">
        <v>1741</v>
      </c>
      <c r="U57" s="258">
        <v>8.91</v>
      </c>
      <c r="V57" s="297">
        <v>8.8800000000000008</v>
      </c>
      <c r="W57" s="258">
        <v>9</v>
      </c>
      <c r="X57" s="258">
        <v>0.67</v>
      </c>
      <c r="Y57" s="258">
        <v>2</v>
      </c>
      <c r="Z57" s="258">
        <v>11</v>
      </c>
      <c r="AA57" s="258">
        <v>0</v>
      </c>
      <c r="AB57" s="257" t="s">
        <v>1093</v>
      </c>
      <c r="AC57" s="258">
        <v>1994</v>
      </c>
      <c r="AD57" s="258" t="s">
        <v>1918</v>
      </c>
      <c r="AE57" s="259" t="s">
        <v>2127</v>
      </c>
      <c r="AF57"/>
      <c r="AG57"/>
      <c r="AH57" s="260" t="s">
        <v>1072</v>
      </c>
      <c r="AI57" s="379" t="s">
        <v>3064</v>
      </c>
    </row>
    <row r="58" spans="1:35" ht="16.05" customHeight="1" thickBot="1">
      <c r="A58" s="16"/>
      <c r="B58" s="16"/>
      <c r="C58" s="2"/>
      <c r="D58" s="6" t="s">
        <v>263</v>
      </c>
      <c r="E58" s="150">
        <v>8.5</v>
      </c>
      <c r="F58" s="2"/>
      <c r="G58" s="5" t="s">
        <v>306</v>
      </c>
      <c r="H58" s="149">
        <v>8</v>
      </c>
      <c r="I58" s="2"/>
      <c r="J58" s="6" t="s">
        <v>298</v>
      </c>
      <c r="K58" s="150">
        <v>7</v>
      </c>
      <c r="L58" s="2"/>
      <c r="M58" s="6" t="s">
        <v>287</v>
      </c>
      <c r="N58" s="150">
        <v>10.5</v>
      </c>
      <c r="O58" s="17"/>
      <c r="R58" s="267">
        <v>56</v>
      </c>
      <c r="S58" s="260" t="s">
        <v>2560</v>
      </c>
      <c r="T58" s="261" t="s">
        <v>2561</v>
      </c>
      <c r="U58" s="261">
        <v>8.86</v>
      </c>
      <c r="V58" s="297">
        <v>8.8800000000000008</v>
      </c>
      <c r="W58" s="261">
        <v>8.5</v>
      </c>
      <c r="X58" s="261">
        <v>0.93</v>
      </c>
      <c r="Y58" s="261">
        <v>3</v>
      </c>
      <c r="Z58" s="261">
        <v>11</v>
      </c>
      <c r="AA58" s="261">
        <v>0</v>
      </c>
      <c r="AB58" s="260" t="s">
        <v>2565</v>
      </c>
      <c r="AC58" s="261">
        <v>1991</v>
      </c>
      <c r="AD58" s="261" t="s">
        <v>1903</v>
      </c>
      <c r="AE58" s="262" t="s">
        <v>2566</v>
      </c>
      <c r="AF58"/>
      <c r="AG58"/>
      <c r="AH58" s="257" t="s">
        <v>1076</v>
      </c>
      <c r="AI58" s="380" t="s">
        <v>3045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0">
        <v>9</v>
      </c>
      <c r="F59" s="2"/>
      <c r="G59" s="6" t="s">
        <v>307</v>
      </c>
      <c r="H59" s="150">
        <v>10</v>
      </c>
      <c r="I59" s="2"/>
      <c r="J59" s="6" t="s">
        <v>299</v>
      </c>
      <c r="K59" s="150">
        <v>8</v>
      </c>
      <c r="L59" s="2"/>
      <c r="M59" s="6" t="s">
        <v>288</v>
      </c>
      <c r="N59" s="150">
        <v>8</v>
      </c>
      <c r="O59" s="17"/>
      <c r="R59" s="267">
        <v>57</v>
      </c>
      <c r="S59" s="257" t="s">
        <v>339</v>
      </c>
      <c r="T59" s="258" t="s">
        <v>340</v>
      </c>
      <c r="U59" s="258">
        <v>8.89</v>
      </c>
      <c r="V59" s="298">
        <v>8.8699999999999992</v>
      </c>
      <c r="W59" s="258">
        <v>9</v>
      </c>
      <c r="X59" s="258">
        <v>0.7</v>
      </c>
      <c r="Y59" s="258">
        <v>2</v>
      </c>
      <c r="Z59" s="258">
        <v>9</v>
      </c>
      <c r="AA59" s="258">
        <v>0</v>
      </c>
      <c r="AB59" s="257" t="s">
        <v>759</v>
      </c>
      <c r="AC59" s="258">
        <v>2020</v>
      </c>
      <c r="AD59" s="258" t="s">
        <v>1919</v>
      </c>
      <c r="AE59" s="259" t="s">
        <v>2183</v>
      </c>
      <c r="AF59"/>
      <c r="AG59"/>
      <c r="AH59" s="260" t="s">
        <v>1075</v>
      </c>
      <c r="AI59" s="379" t="s">
        <v>3046</v>
      </c>
    </row>
    <row r="60" spans="1:35" ht="16.05" customHeight="1">
      <c r="A60" s="5" t="s">
        <v>274</v>
      </c>
      <c r="B60" s="149">
        <v>8</v>
      </c>
      <c r="C60" s="2"/>
      <c r="D60" s="6" t="s">
        <v>265</v>
      </c>
      <c r="E60" s="150">
        <v>9</v>
      </c>
      <c r="F60" s="2"/>
      <c r="G60" s="6" t="s">
        <v>308</v>
      </c>
      <c r="H60" s="150">
        <v>10</v>
      </c>
      <c r="I60" s="2"/>
      <c r="J60" s="6" t="s">
        <v>300</v>
      </c>
      <c r="K60" s="150">
        <v>8</v>
      </c>
      <c r="L60" s="2"/>
      <c r="M60" s="6" t="s">
        <v>289</v>
      </c>
      <c r="N60" s="150">
        <v>8.5</v>
      </c>
      <c r="O60" s="17"/>
      <c r="R60" s="267">
        <v>58</v>
      </c>
      <c r="S60" s="260" t="s">
        <v>2762</v>
      </c>
      <c r="T60" s="261" t="s">
        <v>170</v>
      </c>
      <c r="U60" s="261">
        <v>8.91</v>
      </c>
      <c r="V60" s="298">
        <v>8.8699999999999992</v>
      </c>
      <c r="W60" s="261">
        <v>9</v>
      </c>
      <c r="X60" s="261">
        <v>0.63</v>
      </c>
      <c r="Y60" s="261">
        <v>1</v>
      </c>
      <c r="Z60" s="261">
        <v>11</v>
      </c>
      <c r="AA60" s="261">
        <v>0</v>
      </c>
      <c r="AB60" s="260" t="s">
        <v>2766</v>
      </c>
      <c r="AC60" s="261">
        <v>1977</v>
      </c>
      <c r="AD60" s="261" t="s">
        <v>1925</v>
      </c>
      <c r="AE60" s="262" t="s">
        <v>2767</v>
      </c>
      <c r="AF60"/>
      <c r="AG60"/>
      <c r="AH60" s="257" t="s">
        <v>1097</v>
      </c>
      <c r="AI60" s="380" t="s">
        <v>2722</v>
      </c>
    </row>
    <row r="61" spans="1:35" ht="16.05" customHeight="1">
      <c r="A61" s="6" t="s">
        <v>275</v>
      </c>
      <c r="B61" s="150">
        <v>7</v>
      </c>
      <c r="C61" s="2"/>
      <c r="D61" s="6" t="s">
        <v>266</v>
      </c>
      <c r="E61" s="150">
        <v>10.5</v>
      </c>
      <c r="F61" s="2"/>
      <c r="G61" s="6" t="s">
        <v>309</v>
      </c>
      <c r="H61" s="150">
        <v>9</v>
      </c>
      <c r="I61" s="2"/>
      <c r="J61" s="6" t="s">
        <v>301</v>
      </c>
      <c r="K61" s="150">
        <v>9</v>
      </c>
      <c r="L61" s="2"/>
      <c r="M61" s="6" t="s">
        <v>290</v>
      </c>
      <c r="N61" s="150">
        <v>7.5</v>
      </c>
      <c r="O61" s="17"/>
      <c r="R61" s="267">
        <v>59</v>
      </c>
      <c r="S61" s="257" t="s">
        <v>3190</v>
      </c>
      <c r="T61" s="258" t="s">
        <v>3159</v>
      </c>
      <c r="U61" s="258">
        <v>8.8000000000000007</v>
      </c>
      <c r="V61" s="298">
        <v>8.8699999999999992</v>
      </c>
      <c r="W61" s="258">
        <v>8.75</v>
      </c>
      <c r="X61" s="258">
        <v>0.87</v>
      </c>
      <c r="Y61" s="258">
        <v>2</v>
      </c>
      <c r="Z61" s="258">
        <v>10</v>
      </c>
      <c r="AA61" s="258">
        <v>0</v>
      </c>
      <c r="AB61" s="257" t="s">
        <v>3194</v>
      </c>
      <c r="AC61" s="258">
        <v>1986</v>
      </c>
      <c r="AD61" s="258" t="s">
        <v>1930</v>
      </c>
      <c r="AE61" s="259" t="s">
        <v>3187</v>
      </c>
      <c r="AF61"/>
      <c r="AG61"/>
      <c r="AH61" s="260" t="s">
        <v>1607</v>
      </c>
      <c r="AI61" s="379" t="s">
        <v>2360</v>
      </c>
    </row>
    <row r="62" spans="1:35" ht="16.05" customHeight="1">
      <c r="A62" s="6" t="s">
        <v>276</v>
      </c>
      <c r="B62" s="150">
        <v>7.5</v>
      </c>
      <c r="C62" s="2"/>
      <c r="D62" s="6" t="s">
        <v>267</v>
      </c>
      <c r="E62" s="150">
        <v>8</v>
      </c>
      <c r="F62" s="2"/>
      <c r="G62" s="6" t="s">
        <v>310</v>
      </c>
      <c r="H62" s="150">
        <v>7</v>
      </c>
      <c r="I62" s="2"/>
      <c r="J62" s="6" t="s">
        <v>302</v>
      </c>
      <c r="K62" s="150">
        <v>8</v>
      </c>
      <c r="L62" s="2"/>
      <c r="M62" s="6" t="s">
        <v>291</v>
      </c>
      <c r="N62" s="150">
        <v>10</v>
      </c>
      <c r="O62" s="17"/>
      <c r="R62" s="267">
        <v>60</v>
      </c>
      <c r="S62" s="260" t="s">
        <v>341</v>
      </c>
      <c r="T62" s="261" t="s">
        <v>341</v>
      </c>
      <c r="U62" s="261">
        <v>8.83</v>
      </c>
      <c r="V62" s="299">
        <v>8.86</v>
      </c>
      <c r="W62" s="261">
        <v>8.5</v>
      </c>
      <c r="X62" s="261">
        <v>0.82</v>
      </c>
      <c r="Y62" s="261">
        <v>2</v>
      </c>
      <c r="Z62" s="261">
        <v>9</v>
      </c>
      <c r="AA62" s="261">
        <v>0</v>
      </c>
      <c r="AB62" s="260" t="s">
        <v>1208</v>
      </c>
      <c r="AC62" s="261">
        <v>1978</v>
      </c>
      <c r="AD62" s="261" t="s">
        <v>1901</v>
      </c>
      <c r="AE62" s="262" t="s">
        <v>2149</v>
      </c>
      <c r="AF62"/>
      <c r="AG62"/>
      <c r="AH62" s="257" t="s">
        <v>1604</v>
      </c>
      <c r="AI62" s="380" t="s">
        <v>1605</v>
      </c>
    </row>
    <row r="63" spans="1:35" ht="16.05" customHeight="1" thickBot="1">
      <c r="A63" s="6" t="s">
        <v>277</v>
      </c>
      <c r="B63" s="150">
        <v>8.5</v>
      </c>
      <c r="C63" s="2"/>
      <c r="D63" s="8" t="s">
        <v>268</v>
      </c>
      <c r="E63" s="151">
        <v>8.5</v>
      </c>
      <c r="F63" s="2"/>
      <c r="G63" s="6" t="s">
        <v>311</v>
      </c>
      <c r="H63" s="150">
        <v>8.5</v>
      </c>
      <c r="I63" s="2"/>
      <c r="J63" s="6" t="s">
        <v>303</v>
      </c>
      <c r="K63" s="150">
        <v>8.5</v>
      </c>
      <c r="L63" s="2"/>
      <c r="M63" s="6" t="s">
        <v>292</v>
      </c>
      <c r="N63" s="150">
        <v>9</v>
      </c>
      <c r="O63" s="17"/>
      <c r="R63" s="267">
        <v>61</v>
      </c>
      <c r="S63" s="257" t="s">
        <v>2331</v>
      </c>
      <c r="T63" s="258" t="s">
        <v>2486</v>
      </c>
      <c r="U63" s="258">
        <v>8.7899999999999991</v>
      </c>
      <c r="V63" s="299">
        <v>8.86</v>
      </c>
      <c r="W63" s="258">
        <v>8.75</v>
      </c>
      <c r="X63" s="258">
        <v>0.75</v>
      </c>
      <c r="Y63" s="258">
        <v>1</v>
      </c>
      <c r="Z63" s="258">
        <v>13</v>
      </c>
      <c r="AA63" s="258">
        <v>1</v>
      </c>
      <c r="AB63" s="257" t="s">
        <v>2499</v>
      </c>
      <c r="AC63" s="258">
        <v>1967</v>
      </c>
      <c r="AD63" s="258" t="s">
        <v>1925</v>
      </c>
      <c r="AE63" s="259" t="s">
        <v>2500</v>
      </c>
      <c r="AF63"/>
      <c r="AG63"/>
      <c r="AH63" s="260" t="s">
        <v>1082</v>
      </c>
      <c r="AI63" s="379" t="s">
        <v>1083</v>
      </c>
    </row>
    <row r="64" spans="1:35" ht="16.05" customHeight="1" thickBot="1">
      <c r="A64" s="6" t="s">
        <v>278</v>
      </c>
      <c r="B64" s="150">
        <v>9</v>
      </c>
      <c r="C64" s="2"/>
      <c r="D64" s="14"/>
      <c r="E64" s="16"/>
      <c r="F64" s="2"/>
      <c r="G64" s="6" t="s">
        <v>312</v>
      </c>
      <c r="H64" s="150">
        <v>7.5</v>
      </c>
      <c r="I64" s="2"/>
      <c r="J64" s="8" t="s">
        <v>304</v>
      </c>
      <c r="K64" s="151">
        <v>8</v>
      </c>
      <c r="L64" s="2"/>
      <c r="M64" s="6" t="s">
        <v>293</v>
      </c>
      <c r="N64" s="150">
        <v>10.5</v>
      </c>
      <c r="O64" s="17"/>
      <c r="R64" s="267">
        <v>62</v>
      </c>
      <c r="S64" s="260" t="s">
        <v>345</v>
      </c>
      <c r="T64" s="261" t="s">
        <v>992</v>
      </c>
      <c r="U64" s="261">
        <v>8.73</v>
      </c>
      <c r="V64" s="300">
        <v>8.85</v>
      </c>
      <c r="W64" s="261">
        <v>9</v>
      </c>
      <c r="X64" s="261">
        <v>0.96</v>
      </c>
      <c r="Y64" s="261">
        <v>2</v>
      </c>
      <c r="Z64" s="261">
        <v>11</v>
      </c>
      <c r="AA64" s="261">
        <v>0</v>
      </c>
      <c r="AB64" s="260" t="s">
        <v>998</v>
      </c>
      <c r="AC64" s="261">
        <v>2002</v>
      </c>
      <c r="AD64" s="261" t="s">
        <v>1903</v>
      </c>
      <c r="AE64" s="262" t="s">
        <v>2154</v>
      </c>
      <c r="AF64"/>
      <c r="AG64"/>
      <c r="AH64" s="257" t="s">
        <v>2723</v>
      </c>
      <c r="AI64" s="380" t="s">
        <v>2627</v>
      </c>
    </row>
    <row r="65" spans="1:35" ht="16.05" customHeight="1" thickBot="1">
      <c r="A65" s="6" t="s">
        <v>279</v>
      </c>
      <c r="B65" s="150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0">
        <v>10</v>
      </c>
      <c r="I65" s="2"/>
      <c r="J65" s="16"/>
      <c r="K65" s="16"/>
      <c r="L65" s="2"/>
      <c r="M65" s="8" t="s">
        <v>294</v>
      </c>
      <c r="N65" s="151"/>
      <c r="O65" s="17"/>
      <c r="R65" s="267">
        <v>63</v>
      </c>
      <c r="S65" s="257" t="s">
        <v>1520</v>
      </c>
      <c r="T65" s="258" t="s">
        <v>1521</v>
      </c>
      <c r="U65" s="258">
        <v>8.82</v>
      </c>
      <c r="V65" s="301">
        <v>8.84</v>
      </c>
      <c r="W65" s="258">
        <v>8.5</v>
      </c>
      <c r="X65" s="258">
        <v>0.81</v>
      </c>
      <c r="Y65" s="258">
        <v>2</v>
      </c>
      <c r="Z65" s="258">
        <v>12</v>
      </c>
      <c r="AA65" s="258">
        <v>1</v>
      </c>
      <c r="AB65" s="257" t="s">
        <v>776</v>
      </c>
      <c r="AC65" s="258">
        <v>2005</v>
      </c>
      <c r="AD65" s="258" t="s">
        <v>1912</v>
      </c>
      <c r="AE65" s="259" t="s">
        <v>2137</v>
      </c>
      <c r="AF65"/>
      <c r="AG65"/>
      <c r="AH65" s="260" t="s">
        <v>2611</v>
      </c>
      <c r="AI65" s="379" t="s">
        <v>2627</v>
      </c>
    </row>
    <row r="66" spans="1:35" ht="16.05" customHeight="1" thickBot="1">
      <c r="A66" s="6" t="s">
        <v>280</v>
      </c>
      <c r="B66" s="150">
        <v>10</v>
      </c>
      <c r="C66" s="17"/>
      <c r="D66" s="3" t="s">
        <v>359</v>
      </c>
      <c r="E66" s="150">
        <v>8</v>
      </c>
      <c r="F66" s="2"/>
      <c r="G66" s="6" t="s">
        <v>314</v>
      </c>
      <c r="H66" s="150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67">
        <v>64</v>
      </c>
      <c r="S66" s="260" t="s">
        <v>2661</v>
      </c>
      <c r="T66" s="261" t="s">
        <v>2662</v>
      </c>
      <c r="U66" s="261">
        <v>8.83</v>
      </c>
      <c r="V66" s="301">
        <v>8.84</v>
      </c>
      <c r="W66" s="261">
        <v>9</v>
      </c>
      <c r="X66" s="261">
        <v>0.24</v>
      </c>
      <c r="Y66" s="261">
        <v>0</v>
      </c>
      <c r="Z66" s="261">
        <v>3</v>
      </c>
      <c r="AA66" s="261">
        <v>0</v>
      </c>
      <c r="AB66" s="260" t="s">
        <v>1097</v>
      </c>
      <c r="AC66" s="261">
        <v>1997</v>
      </c>
      <c r="AD66" s="261" t="s">
        <v>1927</v>
      </c>
      <c r="AE66" s="262" t="s">
        <v>2665</v>
      </c>
      <c r="AF66"/>
      <c r="AG66"/>
      <c r="AH66" s="257" t="s">
        <v>1394</v>
      </c>
      <c r="AI66" s="380" t="s">
        <v>1395</v>
      </c>
    </row>
    <row r="67" spans="1:35" ht="16.05" customHeight="1" thickBot="1">
      <c r="A67" s="6" t="s">
        <v>281</v>
      </c>
      <c r="B67" s="150">
        <v>8</v>
      </c>
      <c r="C67" s="17"/>
      <c r="D67" s="3" t="s">
        <v>360</v>
      </c>
      <c r="E67" s="150">
        <v>10</v>
      </c>
      <c r="F67" s="2"/>
      <c r="G67" s="8" t="s">
        <v>315</v>
      </c>
      <c r="H67" s="151">
        <v>6</v>
      </c>
      <c r="I67" s="2"/>
      <c r="J67" s="5" t="s">
        <v>375</v>
      </c>
      <c r="K67" s="149"/>
      <c r="L67" s="17"/>
      <c r="M67" s="100" t="s">
        <v>1001</v>
      </c>
      <c r="N67" s="1">
        <f>ROUND(SUM(N68:N77)/COUNT(N68:N77), 2)</f>
        <v>8.8000000000000007</v>
      </c>
      <c r="O67" s="17"/>
      <c r="R67" s="267">
        <v>65</v>
      </c>
      <c r="S67" s="257" t="s">
        <v>2931</v>
      </c>
      <c r="T67" s="258" t="s">
        <v>2933</v>
      </c>
      <c r="U67" s="258">
        <v>8.8800000000000008</v>
      </c>
      <c r="V67" s="301">
        <v>8.84</v>
      </c>
      <c r="W67" s="258">
        <v>9</v>
      </c>
      <c r="X67" s="258">
        <v>0.79</v>
      </c>
      <c r="Y67" s="258">
        <v>3</v>
      </c>
      <c r="Z67" s="258">
        <v>23</v>
      </c>
      <c r="AA67" s="258">
        <v>10</v>
      </c>
      <c r="AB67" s="257" t="s">
        <v>2937</v>
      </c>
      <c r="AC67" s="258">
        <v>2002</v>
      </c>
      <c r="AD67" s="258" t="s">
        <v>1912</v>
      </c>
      <c r="AE67" s="259" t="s">
        <v>2830</v>
      </c>
      <c r="AF67"/>
      <c r="AG67"/>
      <c r="AH67" s="260" t="s">
        <v>3191</v>
      </c>
      <c r="AI67" s="379" t="s">
        <v>3192</v>
      </c>
    </row>
    <row r="68" spans="1:35" ht="16.05" customHeight="1" thickBot="1">
      <c r="A68" s="8" t="s">
        <v>282</v>
      </c>
      <c r="B68" s="151">
        <v>7.5</v>
      </c>
      <c r="C68" s="17"/>
      <c r="D68" s="3" t="s">
        <v>361</v>
      </c>
      <c r="E68" s="150">
        <v>9</v>
      </c>
      <c r="F68" s="2"/>
      <c r="G68" s="16"/>
      <c r="H68" s="16"/>
      <c r="I68" s="2"/>
      <c r="J68" s="6" t="s">
        <v>376</v>
      </c>
      <c r="K68" s="150">
        <v>7</v>
      </c>
      <c r="L68" s="17"/>
      <c r="M68" s="3" t="s">
        <v>386</v>
      </c>
      <c r="N68" s="150">
        <v>10.5</v>
      </c>
      <c r="O68" s="17"/>
      <c r="R68" s="267">
        <v>66</v>
      </c>
      <c r="S68" s="260" t="s">
        <v>1383</v>
      </c>
      <c r="T68" s="261" t="s">
        <v>1376</v>
      </c>
      <c r="U68" s="261">
        <v>8.86</v>
      </c>
      <c r="V68" s="301">
        <v>8.83</v>
      </c>
      <c r="W68" s="261">
        <v>9</v>
      </c>
      <c r="X68" s="261">
        <v>0.69</v>
      </c>
      <c r="Y68" s="261">
        <v>1</v>
      </c>
      <c r="Z68" s="261">
        <v>7</v>
      </c>
      <c r="AA68" s="261">
        <v>0</v>
      </c>
      <c r="AB68" s="260" t="s">
        <v>1385</v>
      </c>
      <c r="AC68" s="261">
        <v>1971</v>
      </c>
      <c r="AD68" s="261" t="s">
        <v>1920</v>
      </c>
      <c r="AE68" s="262" t="s">
        <v>2143</v>
      </c>
      <c r="AF68"/>
      <c r="AG68"/>
      <c r="AH68" s="257" t="s">
        <v>1088</v>
      </c>
      <c r="AI68" s="380" t="s">
        <v>1645</v>
      </c>
    </row>
    <row r="69" spans="1:35" ht="16.05" customHeight="1" thickBot="1">
      <c r="A69" s="16"/>
      <c r="B69" s="16"/>
      <c r="C69" s="17"/>
      <c r="D69" s="3" t="s">
        <v>362</v>
      </c>
      <c r="E69" s="150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0">
        <v>8.5</v>
      </c>
      <c r="L69" s="17"/>
      <c r="M69" s="3" t="s">
        <v>387</v>
      </c>
      <c r="N69" s="150">
        <v>9.5</v>
      </c>
      <c r="O69" s="17"/>
      <c r="R69" s="267">
        <v>67</v>
      </c>
      <c r="S69" s="257" t="s">
        <v>1692</v>
      </c>
      <c r="T69" s="258" t="s">
        <v>2108</v>
      </c>
      <c r="U69" s="258">
        <v>8.81</v>
      </c>
      <c r="V69" s="301">
        <v>8.83</v>
      </c>
      <c r="W69" s="258">
        <v>8.5</v>
      </c>
      <c r="X69" s="258">
        <v>0.79</v>
      </c>
      <c r="Y69" s="258">
        <v>1</v>
      </c>
      <c r="Z69" s="258">
        <v>8</v>
      </c>
      <c r="AA69" s="258">
        <v>0</v>
      </c>
      <c r="AB69" s="257" t="s">
        <v>1354</v>
      </c>
      <c r="AC69" s="258">
        <v>1988</v>
      </c>
      <c r="AD69" s="258" t="s">
        <v>1895</v>
      </c>
      <c r="AE69" s="259" t="s">
        <v>2117</v>
      </c>
      <c r="AF69"/>
      <c r="AG69"/>
      <c r="AH69" s="260" t="s">
        <v>1093</v>
      </c>
      <c r="AI69" s="379" t="s">
        <v>1645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0">
        <v>10</v>
      </c>
      <c r="F70" s="17"/>
      <c r="G70" s="3" t="s">
        <v>398</v>
      </c>
      <c r="H70" s="150">
        <v>8.5</v>
      </c>
      <c r="I70" s="2"/>
      <c r="J70" s="6" t="s">
        <v>378</v>
      </c>
      <c r="K70" s="150">
        <v>8.5</v>
      </c>
      <c r="L70" s="17"/>
      <c r="M70" s="3" t="s">
        <v>388</v>
      </c>
      <c r="N70" s="150">
        <v>8</v>
      </c>
      <c r="O70" s="17"/>
      <c r="R70" s="267">
        <v>68</v>
      </c>
      <c r="S70" s="260" t="s">
        <v>2331</v>
      </c>
      <c r="T70" s="261" t="s">
        <v>2332</v>
      </c>
      <c r="U70" s="261">
        <v>8.81</v>
      </c>
      <c r="V70" s="301">
        <v>8.83</v>
      </c>
      <c r="W70" s="261">
        <v>8.5</v>
      </c>
      <c r="X70" s="261">
        <v>0.73</v>
      </c>
      <c r="Y70" s="261">
        <v>2</v>
      </c>
      <c r="Z70" s="261">
        <v>17</v>
      </c>
      <c r="AA70" s="261">
        <v>1</v>
      </c>
      <c r="AB70" s="260" t="s">
        <v>1099</v>
      </c>
      <c r="AC70" s="261">
        <v>1969</v>
      </c>
      <c r="AD70" s="261" t="s">
        <v>1904</v>
      </c>
      <c r="AE70" s="262" t="s">
        <v>2333</v>
      </c>
      <c r="AF70"/>
      <c r="AG70"/>
      <c r="AH70" s="257" t="s">
        <v>1225</v>
      </c>
      <c r="AI70" s="380" t="s">
        <v>1226</v>
      </c>
    </row>
    <row r="71" spans="1:35" ht="16.05" customHeight="1">
      <c r="A71" s="11" t="s">
        <v>410</v>
      </c>
      <c r="B71" s="149">
        <v>8</v>
      </c>
      <c r="C71" s="17"/>
      <c r="D71" s="3" t="s">
        <v>364</v>
      </c>
      <c r="E71" s="150">
        <v>8</v>
      </c>
      <c r="F71" s="17"/>
      <c r="G71" s="3" t="s">
        <v>399</v>
      </c>
      <c r="H71" s="150">
        <v>9</v>
      </c>
      <c r="I71" s="2"/>
      <c r="J71" s="6" t="s">
        <v>379</v>
      </c>
      <c r="K71" s="150">
        <v>8</v>
      </c>
      <c r="L71" s="17"/>
      <c r="M71" s="3" t="s">
        <v>389</v>
      </c>
      <c r="N71" s="150">
        <v>8.5</v>
      </c>
      <c r="O71" s="17"/>
      <c r="R71" s="267">
        <v>69</v>
      </c>
      <c r="S71" s="257" t="s">
        <v>331</v>
      </c>
      <c r="T71" s="258" t="s">
        <v>2655</v>
      </c>
      <c r="U71" s="258">
        <v>8.86</v>
      </c>
      <c r="V71" s="302">
        <v>8.82</v>
      </c>
      <c r="W71" s="258">
        <v>9</v>
      </c>
      <c r="X71" s="258">
        <v>0.52</v>
      </c>
      <c r="Y71" s="258">
        <v>0</v>
      </c>
      <c r="Z71" s="258">
        <v>7</v>
      </c>
      <c r="AA71" s="258">
        <v>0</v>
      </c>
      <c r="AB71" s="257" t="s">
        <v>754</v>
      </c>
      <c r="AC71" s="258">
        <v>1981</v>
      </c>
      <c r="AD71" s="258" t="s">
        <v>1930</v>
      </c>
      <c r="AE71" s="259" t="s">
        <v>2664</v>
      </c>
      <c r="AF71"/>
      <c r="AG71"/>
      <c r="AH71" s="260" t="s">
        <v>1227</v>
      </c>
      <c r="AI71" s="379" t="s">
        <v>1226</v>
      </c>
    </row>
    <row r="72" spans="1:35" ht="16.05" customHeight="1">
      <c r="A72" s="4" t="s">
        <v>411</v>
      </c>
      <c r="B72" s="150">
        <v>7</v>
      </c>
      <c r="C72" s="17"/>
      <c r="D72" s="3" t="s">
        <v>365</v>
      </c>
      <c r="E72" s="150">
        <v>7.5</v>
      </c>
      <c r="F72" s="17"/>
      <c r="G72" s="3" t="s">
        <v>400</v>
      </c>
      <c r="H72" s="150">
        <v>8.5</v>
      </c>
      <c r="I72" s="2"/>
      <c r="J72" s="6" t="s">
        <v>380</v>
      </c>
      <c r="K72" s="150">
        <v>8.5</v>
      </c>
      <c r="L72" s="17"/>
      <c r="M72" s="3" t="s">
        <v>390</v>
      </c>
      <c r="N72" s="150">
        <v>10</v>
      </c>
      <c r="O72" s="17"/>
      <c r="R72" s="267">
        <v>70</v>
      </c>
      <c r="S72" s="260" t="s">
        <v>396</v>
      </c>
      <c r="T72" s="261" t="s">
        <v>390</v>
      </c>
      <c r="U72" s="261">
        <v>8.8000000000000007</v>
      </c>
      <c r="V72" s="303">
        <v>8.81</v>
      </c>
      <c r="W72" s="261">
        <v>8.5</v>
      </c>
      <c r="X72" s="261">
        <v>0.98</v>
      </c>
      <c r="Y72" s="261">
        <v>2</v>
      </c>
      <c r="Z72" s="261">
        <v>10</v>
      </c>
      <c r="AA72" s="261">
        <v>0</v>
      </c>
      <c r="AB72" s="260" t="s">
        <v>762</v>
      </c>
      <c r="AC72" s="261">
        <v>1990</v>
      </c>
      <c r="AD72" s="261" t="s">
        <v>1930</v>
      </c>
      <c r="AE72" s="262" t="s">
        <v>2179</v>
      </c>
      <c r="AF72"/>
      <c r="AG72"/>
      <c r="AH72" s="257" t="s">
        <v>1782</v>
      </c>
      <c r="AI72" s="380" t="s">
        <v>1226</v>
      </c>
    </row>
    <row r="73" spans="1:35" ht="16.05" customHeight="1">
      <c r="A73" s="4" t="s">
        <v>412</v>
      </c>
      <c r="B73" s="150">
        <v>6.5</v>
      </c>
      <c r="C73" s="17"/>
      <c r="D73" s="3" t="s">
        <v>366</v>
      </c>
      <c r="E73" s="150">
        <v>9</v>
      </c>
      <c r="F73" s="17"/>
      <c r="G73" s="3" t="s">
        <v>401</v>
      </c>
      <c r="H73" s="150">
        <v>10</v>
      </c>
      <c r="I73" s="2"/>
      <c r="J73" s="6" t="s">
        <v>381</v>
      </c>
      <c r="K73" s="150">
        <v>8.5</v>
      </c>
      <c r="L73" s="17"/>
      <c r="M73" s="3" t="s">
        <v>391</v>
      </c>
      <c r="N73" s="150">
        <v>8.5</v>
      </c>
      <c r="O73" s="17"/>
      <c r="R73" s="267">
        <v>71</v>
      </c>
      <c r="S73" s="257" t="s">
        <v>480</v>
      </c>
      <c r="T73" s="258" t="s">
        <v>481</v>
      </c>
      <c r="U73" s="258">
        <v>8.7899999999999991</v>
      </c>
      <c r="V73" s="303">
        <v>8.81</v>
      </c>
      <c r="W73" s="258">
        <v>8.5</v>
      </c>
      <c r="X73" s="258">
        <v>0.99</v>
      </c>
      <c r="Y73" s="258">
        <v>3</v>
      </c>
      <c r="Z73" s="258">
        <v>12</v>
      </c>
      <c r="AA73" s="258">
        <v>0</v>
      </c>
      <c r="AB73" s="257" t="s">
        <v>756</v>
      </c>
      <c r="AC73" s="258">
        <v>2002</v>
      </c>
      <c r="AD73" s="258" t="s">
        <v>1922</v>
      </c>
      <c r="AE73" s="259" t="s">
        <v>2176</v>
      </c>
      <c r="AF73"/>
      <c r="AG73"/>
      <c r="AH73" s="260" t="s">
        <v>1458</v>
      </c>
      <c r="AI73" s="379" t="s">
        <v>1226</v>
      </c>
    </row>
    <row r="74" spans="1:35" ht="16.05" customHeight="1">
      <c r="A74" s="4" t="s">
        <v>413</v>
      </c>
      <c r="B74" s="150">
        <v>7</v>
      </c>
      <c r="C74" s="17"/>
      <c r="D74" s="3" t="s">
        <v>367</v>
      </c>
      <c r="E74" s="150">
        <v>7</v>
      </c>
      <c r="F74" s="17"/>
      <c r="G74" s="3" t="s">
        <v>402</v>
      </c>
      <c r="H74" s="150">
        <v>8.5</v>
      </c>
      <c r="I74" s="2"/>
      <c r="J74" s="6" t="s">
        <v>382</v>
      </c>
      <c r="K74" s="150">
        <v>7.5</v>
      </c>
      <c r="L74" s="17"/>
      <c r="M74" s="3" t="s">
        <v>392</v>
      </c>
      <c r="N74" s="150">
        <v>7.5</v>
      </c>
      <c r="O74" s="17"/>
      <c r="R74" s="267">
        <v>72</v>
      </c>
      <c r="S74" s="260" t="s">
        <v>2682</v>
      </c>
      <c r="T74" s="261" t="s">
        <v>2681</v>
      </c>
      <c r="U74" s="261">
        <v>8.8800000000000008</v>
      </c>
      <c r="V74" s="303">
        <v>8.81</v>
      </c>
      <c r="W74" s="261">
        <v>8.75</v>
      </c>
      <c r="X74" s="261">
        <v>0.74</v>
      </c>
      <c r="Y74" s="261">
        <v>1</v>
      </c>
      <c r="Z74" s="261">
        <v>4</v>
      </c>
      <c r="AA74" s="261">
        <v>0</v>
      </c>
      <c r="AB74" s="260" t="s">
        <v>2719</v>
      </c>
      <c r="AC74" s="261">
        <v>2000</v>
      </c>
      <c r="AD74" s="261" t="s">
        <v>2720</v>
      </c>
      <c r="AE74" s="262" t="s">
        <v>2721</v>
      </c>
      <c r="AF74"/>
      <c r="AG74"/>
      <c r="AH74" s="257" t="s">
        <v>1843</v>
      </c>
      <c r="AI74" s="380" t="s">
        <v>2944</v>
      </c>
    </row>
    <row r="75" spans="1:35" ht="16.05" customHeight="1" thickBot="1">
      <c r="A75" s="4" t="s">
        <v>414</v>
      </c>
      <c r="B75" s="150">
        <v>8</v>
      </c>
      <c r="C75" s="17"/>
      <c r="D75" s="3" t="s">
        <v>368</v>
      </c>
      <c r="E75" s="150">
        <v>8.5</v>
      </c>
      <c r="F75" s="17"/>
      <c r="G75" s="3" t="s">
        <v>403</v>
      </c>
      <c r="H75" s="150">
        <v>10.5</v>
      </c>
      <c r="I75" s="2"/>
      <c r="J75" s="8" t="s">
        <v>383</v>
      </c>
      <c r="K75" s="151">
        <v>7.5</v>
      </c>
      <c r="L75" s="17"/>
      <c r="M75" s="3" t="s">
        <v>393</v>
      </c>
      <c r="N75" s="150">
        <v>8.5</v>
      </c>
      <c r="O75" s="17"/>
      <c r="R75" s="267">
        <v>73</v>
      </c>
      <c r="S75" s="257" t="s">
        <v>341</v>
      </c>
      <c r="T75" s="258" t="s">
        <v>2875</v>
      </c>
      <c r="U75" s="258">
        <v>8.8000000000000007</v>
      </c>
      <c r="V75" s="303">
        <v>8.81</v>
      </c>
      <c r="W75" s="258">
        <v>8.5</v>
      </c>
      <c r="X75" s="258">
        <v>0.93</v>
      </c>
      <c r="Y75" s="258">
        <v>1</v>
      </c>
      <c r="Z75" s="258">
        <v>5</v>
      </c>
      <c r="AA75" s="258">
        <v>0</v>
      </c>
      <c r="AB75" s="257" t="s">
        <v>1076</v>
      </c>
      <c r="AC75" s="258">
        <v>1982</v>
      </c>
      <c r="AD75" s="258" t="s">
        <v>1901</v>
      </c>
      <c r="AE75" s="259" t="s">
        <v>2880</v>
      </c>
      <c r="AF75"/>
      <c r="AG75"/>
      <c r="AH75" s="260" t="s">
        <v>3022</v>
      </c>
      <c r="AI75" s="379" t="s">
        <v>3023</v>
      </c>
    </row>
    <row r="76" spans="1:35" ht="16.05" customHeight="1" thickBot="1">
      <c r="A76" s="4" t="s">
        <v>415</v>
      </c>
      <c r="B76" s="150">
        <v>7.5</v>
      </c>
      <c r="C76" s="17"/>
      <c r="D76" s="3" t="s">
        <v>369</v>
      </c>
      <c r="E76" s="150">
        <v>8</v>
      </c>
      <c r="F76" s="17"/>
      <c r="G76" s="3" t="s">
        <v>404</v>
      </c>
      <c r="H76" s="150">
        <v>9</v>
      </c>
      <c r="I76" s="2"/>
      <c r="J76" s="16"/>
      <c r="K76" s="16"/>
      <c r="L76" s="17"/>
      <c r="M76" s="3" t="s">
        <v>394</v>
      </c>
      <c r="N76" s="150">
        <v>7.5</v>
      </c>
      <c r="O76" s="17"/>
      <c r="R76" s="267">
        <v>74</v>
      </c>
      <c r="S76" s="260" t="s">
        <v>585</v>
      </c>
      <c r="T76" s="261" t="s">
        <v>586</v>
      </c>
      <c r="U76" s="261">
        <v>8.7799999999999994</v>
      </c>
      <c r="V76" s="304">
        <v>8.7899999999999991</v>
      </c>
      <c r="W76" s="261">
        <v>8.5</v>
      </c>
      <c r="X76" s="261">
        <v>0.97</v>
      </c>
      <c r="Y76" s="261">
        <v>2</v>
      </c>
      <c r="Z76" s="261">
        <v>9</v>
      </c>
      <c r="AA76" s="261">
        <v>0</v>
      </c>
      <c r="AB76" s="260" t="s">
        <v>819</v>
      </c>
      <c r="AC76" s="261">
        <v>1983</v>
      </c>
      <c r="AD76" s="261" t="s">
        <v>1904</v>
      </c>
      <c r="AE76" s="262" t="s">
        <v>2173</v>
      </c>
      <c r="AF76"/>
      <c r="AG76"/>
      <c r="AH76" s="257" t="s">
        <v>3207</v>
      </c>
      <c r="AI76" s="380" t="s">
        <v>3023</v>
      </c>
    </row>
    <row r="77" spans="1:35" ht="16.05" customHeight="1" thickBot="1">
      <c r="A77" s="7" t="s">
        <v>416</v>
      </c>
      <c r="B77" s="151">
        <v>7</v>
      </c>
      <c r="C77" s="17"/>
      <c r="D77" s="3" t="s">
        <v>371</v>
      </c>
      <c r="E77" s="150">
        <v>8.5</v>
      </c>
      <c r="F77" s="17"/>
      <c r="G77" s="3" t="s">
        <v>405</v>
      </c>
      <c r="H77" s="150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1">
        <v>9.5</v>
      </c>
      <c r="O77" s="17"/>
      <c r="R77" s="267">
        <v>75</v>
      </c>
      <c r="S77" s="257" t="s">
        <v>337</v>
      </c>
      <c r="T77" s="258" t="s">
        <v>628</v>
      </c>
      <c r="U77" s="258">
        <v>8.77</v>
      </c>
      <c r="V77" s="304">
        <v>8.7899999999999991</v>
      </c>
      <c r="W77" s="258">
        <v>8.5</v>
      </c>
      <c r="X77" s="258">
        <v>0.99</v>
      </c>
      <c r="Y77" s="258">
        <v>3</v>
      </c>
      <c r="Z77" s="258">
        <v>13</v>
      </c>
      <c r="AA77" s="258">
        <v>0</v>
      </c>
      <c r="AB77" s="257" t="s">
        <v>758</v>
      </c>
      <c r="AC77" s="258">
        <v>2013</v>
      </c>
      <c r="AD77" s="258" t="s">
        <v>1921</v>
      </c>
      <c r="AE77" s="259" t="s">
        <v>2171</v>
      </c>
      <c r="AF77"/>
      <c r="AG77"/>
      <c r="AH77" s="260" t="s">
        <v>1354</v>
      </c>
      <c r="AI77" s="379" t="s">
        <v>3137</v>
      </c>
    </row>
    <row r="78" spans="1:35" ht="16.05" customHeight="1" thickBot="1">
      <c r="A78" s="16"/>
      <c r="B78" s="16"/>
      <c r="C78" s="17"/>
      <c r="D78" s="37" t="s">
        <v>370</v>
      </c>
      <c r="E78" s="151">
        <v>8</v>
      </c>
      <c r="F78" s="17"/>
      <c r="G78" s="3" t="s">
        <v>406</v>
      </c>
      <c r="H78" s="152">
        <v>7.5</v>
      </c>
      <c r="I78" s="2"/>
      <c r="J78" s="5" t="s">
        <v>419</v>
      </c>
      <c r="K78" s="149">
        <v>8.5</v>
      </c>
      <c r="L78" s="2"/>
      <c r="M78" s="16"/>
      <c r="N78" s="16"/>
      <c r="O78" s="17"/>
      <c r="R78" s="267">
        <v>76</v>
      </c>
      <c r="S78" s="260" t="s">
        <v>816</v>
      </c>
      <c r="T78" s="261" t="s">
        <v>817</v>
      </c>
      <c r="U78" s="261">
        <v>8.82</v>
      </c>
      <c r="V78" s="304">
        <v>8.7899999999999991</v>
      </c>
      <c r="W78" s="261">
        <v>9</v>
      </c>
      <c r="X78" s="261">
        <v>0.86</v>
      </c>
      <c r="Y78" s="261">
        <v>3</v>
      </c>
      <c r="Z78" s="261">
        <v>13</v>
      </c>
      <c r="AA78" s="261">
        <v>2</v>
      </c>
      <c r="AB78" s="260" t="s">
        <v>818</v>
      </c>
      <c r="AC78" s="261">
        <v>2010</v>
      </c>
      <c r="AD78" s="261" t="s">
        <v>1922</v>
      </c>
      <c r="AE78" s="262" t="s">
        <v>2161</v>
      </c>
      <c r="AF78"/>
      <c r="AG78"/>
      <c r="AH78" s="257" t="s">
        <v>1241</v>
      </c>
      <c r="AI78" s="380" t="s">
        <v>2348</v>
      </c>
    </row>
    <row r="79" spans="1:35" ht="16.05" customHeight="1" thickBot="1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0">
        <v>8.5</v>
      </c>
      <c r="I79" s="2"/>
      <c r="J79" s="6" t="s">
        <v>420</v>
      </c>
      <c r="K79" s="150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67">
        <v>77</v>
      </c>
      <c r="S79" s="257" t="s">
        <v>1278</v>
      </c>
      <c r="T79" s="258" t="s">
        <v>1279</v>
      </c>
      <c r="U79" s="258">
        <v>8.67</v>
      </c>
      <c r="V79" s="304">
        <v>8.7899999999999991</v>
      </c>
      <c r="W79" s="258">
        <v>9</v>
      </c>
      <c r="X79" s="258">
        <v>1.08</v>
      </c>
      <c r="Y79" s="258">
        <v>2</v>
      </c>
      <c r="Z79" s="258">
        <v>9</v>
      </c>
      <c r="AA79" s="258">
        <v>0</v>
      </c>
      <c r="AB79" s="257" t="s">
        <v>1283</v>
      </c>
      <c r="AC79" s="258">
        <v>2008</v>
      </c>
      <c r="AD79" s="258" t="s">
        <v>1923</v>
      </c>
      <c r="AE79" s="259" t="s">
        <v>2148</v>
      </c>
      <c r="AF79"/>
      <c r="AG79"/>
      <c r="AH79" s="260" t="s">
        <v>774</v>
      </c>
      <c r="AI79" s="379" t="s">
        <v>3102</v>
      </c>
    </row>
    <row r="80" spans="1:35" ht="16.05" customHeight="1" thickBot="1">
      <c r="A80" s="5" t="s">
        <v>431</v>
      </c>
      <c r="B80" s="149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0">
        <v>8</v>
      </c>
      <c r="I80" s="2"/>
      <c r="J80" s="6" t="s">
        <v>421</v>
      </c>
      <c r="K80" s="150">
        <v>7.5</v>
      </c>
      <c r="L80" s="17"/>
      <c r="M80" s="3" t="s">
        <v>467</v>
      </c>
      <c r="N80" s="150">
        <v>10</v>
      </c>
      <c r="O80" s="17"/>
      <c r="R80" s="267">
        <v>78</v>
      </c>
      <c r="S80" s="260" t="s">
        <v>334</v>
      </c>
      <c r="T80" s="261" t="s">
        <v>897</v>
      </c>
      <c r="U80" s="261">
        <v>8.7899999999999991</v>
      </c>
      <c r="V80" s="305">
        <v>8.7799999999999994</v>
      </c>
      <c r="W80" s="261">
        <v>8.5</v>
      </c>
      <c r="X80" s="261">
        <v>0.99</v>
      </c>
      <c r="Y80" s="261">
        <v>1</v>
      </c>
      <c r="Z80" s="261">
        <v>7</v>
      </c>
      <c r="AA80" s="261">
        <v>0</v>
      </c>
      <c r="AB80" s="260" t="s">
        <v>776</v>
      </c>
      <c r="AC80" s="261">
        <v>1999</v>
      </c>
      <c r="AD80" s="261" t="s">
        <v>1929</v>
      </c>
      <c r="AE80" s="262" t="s">
        <v>2158</v>
      </c>
      <c r="AF80"/>
      <c r="AG80"/>
      <c r="AH80" s="257" t="s">
        <v>2049</v>
      </c>
      <c r="AI80" s="380" t="s">
        <v>3138</v>
      </c>
    </row>
    <row r="81" spans="1:35" ht="16.05" customHeight="1" thickBot="1">
      <c r="A81" s="6" t="s">
        <v>432</v>
      </c>
      <c r="B81" s="150">
        <v>9</v>
      </c>
      <c r="C81" s="2"/>
      <c r="D81" s="11" t="s">
        <v>445</v>
      </c>
      <c r="E81" s="149">
        <v>10</v>
      </c>
      <c r="F81" s="17"/>
      <c r="G81" s="37" t="s">
        <v>294</v>
      </c>
      <c r="H81" s="151">
        <v>7.5</v>
      </c>
      <c r="I81" s="2"/>
      <c r="J81" s="6" t="s">
        <v>422</v>
      </c>
      <c r="K81" s="150">
        <v>7</v>
      </c>
      <c r="L81" s="17"/>
      <c r="M81" s="3" t="s">
        <v>468</v>
      </c>
      <c r="N81" s="150">
        <v>10.5</v>
      </c>
      <c r="O81" s="17"/>
      <c r="R81" s="267">
        <v>79</v>
      </c>
      <c r="S81" s="257" t="s">
        <v>1670</v>
      </c>
      <c r="T81" s="258" t="s">
        <v>1669</v>
      </c>
      <c r="U81" s="258">
        <v>8.85</v>
      </c>
      <c r="V81" s="305">
        <v>8.7799999999999994</v>
      </c>
      <c r="W81" s="258">
        <v>8.75</v>
      </c>
      <c r="X81" s="258">
        <v>0.55000000000000004</v>
      </c>
      <c r="Y81" s="258">
        <v>1</v>
      </c>
      <c r="Z81" s="258">
        <v>10</v>
      </c>
      <c r="AA81" s="258">
        <v>0</v>
      </c>
      <c r="AB81" s="257" t="s">
        <v>1671</v>
      </c>
      <c r="AC81" s="258">
        <v>2014</v>
      </c>
      <c r="AD81" s="258" t="s">
        <v>1924</v>
      </c>
      <c r="AE81" s="259" t="s">
        <v>2131</v>
      </c>
      <c r="AF81"/>
      <c r="AG81"/>
      <c r="AH81" s="260" t="s">
        <v>1338</v>
      </c>
      <c r="AI81" s="379" t="s">
        <v>1339</v>
      </c>
    </row>
    <row r="82" spans="1:35" ht="16.05" customHeight="1" thickBot="1">
      <c r="A82" s="6" t="s">
        <v>433</v>
      </c>
      <c r="B82" s="150">
        <v>10</v>
      </c>
      <c r="C82" s="2"/>
      <c r="D82" s="4" t="s">
        <v>446</v>
      </c>
      <c r="E82" s="150">
        <v>8</v>
      </c>
      <c r="F82" s="2"/>
      <c r="G82" s="16"/>
      <c r="H82" s="16"/>
      <c r="I82" s="2"/>
      <c r="J82" s="6" t="s">
        <v>423</v>
      </c>
      <c r="K82" s="150">
        <v>8</v>
      </c>
      <c r="L82" s="17"/>
      <c r="M82" s="3" t="s">
        <v>469</v>
      </c>
      <c r="N82" s="150">
        <v>8.5</v>
      </c>
      <c r="O82" s="17"/>
      <c r="R82" s="267">
        <v>80</v>
      </c>
      <c r="S82" s="260" t="s">
        <v>480</v>
      </c>
      <c r="T82" s="261" t="s">
        <v>2502</v>
      </c>
      <c r="U82" s="261">
        <v>8.75</v>
      </c>
      <c r="V82" s="305">
        <v>8.7799999999999994</v>
      </c>
      <c r="W82" s="261">
        <v>8.5</v>
      </c>
      <c r="X82" s="261">
        <v>0.68</v>
      </c>
      <c r="Y82" s="261">
        <v>1</v>
      </c>
      <c r="Z82" s="261">
        <v>10</v>
      </c>
      <c r="AA82" s="261">
        <v>0</v>
      </c>
      <c r="AB82" s="260" t="s">
        <v>2513</v>
      </c>
      <c r="AC82" s="261">
        <v>2000</v>
      </c>
      <c r="AD82" s="261" t="s">
        <v>1928</v>
      </c>
      <c r="AE82" s="262" t="s">
        <v>2500</v>
      </c>
      <c r="AF82"/>
      <c r="AG82"/>
      <c r="AH82" s="257" t="s">
        <v>1081</v>
      </c>
      <c r="AI82" s="380" t="s">
        <v>3065</v>
      </c>
    </row>
    <row r="83" spans="1:35" ht="16.05" customHeight="1" thickBot="1">
      <c r="A83" s="6" t="s">
        <v>434</v>
      </c>
      <c r="B83" s="150">
        <v>10.5</v>
      </c>
      <c r="C83" s="2"/>
      <c r="D83" s="4" t="s">
        <v>447</v>
      </c>
      <c r="E83" s="150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0">
        <v>7.5</v>
      </c>
      <c r="L83" s="17"/>
      <c r="M83" s="3" t="s">
        <v>470</v>
      </c>
      <c r="N83" s="150">
        <v>9.5</v>
      </c>
      <c r="O83" s="17"/>
      <c r="R83" s="267">
        <v>81</v>
      </c>
      <c r="S83" s="257" t="s">
        <v>331</v>
      </c>
      <c r="T83" s="258" t="s">
        <v>1393</v>
      </c>
      <c r="U83" s="258">
        <v>8.83</v>
      </c>
      <c r="V83" s="306">
        <v>8.77</v>
      </c>
      <c r="W83" s="258">
        <v>8.75</v>
      </c>
      <c r="X83" s="258">
        <v>0.62</v>
      </c>
      <c r="Y83" s="258">
        <v>1</v>
      </c>
      <c r="Z83" s="258">
        <v>6</v>
      </c>
      <c r="AA83" s="258">
        <v>0</v>
      </c>
      <c r="AB83" s="257" t="s">
        <v>1396</v>
      </c>
      <c r="AC83" s="258">
        <v>2023</v>
      </c>
      <c r="AD83" s="258" t="s">
        <v>1925</v>
      </c>
      <c r="AE83" s="259" t="s">
        <v>2143</v>
      </c>
      <c r="AF83"/>
      <c r="AG83"/>
      <c r="AH83" s="260" t="s">
        <v>775</v>
      </c>
      <c r="AI83" s="379" t="s">
        <v>3238</v>
      </c>
    </row>
    <row r="84" spans="1:35" ht="16.05" customHeight="1">
      <c r="A84" s="6" t="s">
        <v>435</v>
      </c>
      <c r="B84" s="150">
        <v>8.5</v>
      </c>
      <c r="C84" s="2"/>
      <c r="D84" s="4" t="s">
        <v>448</v>
      </c>
      <c r="E84" s="150">
        <v>10</v>
      </c>
      <c r="F84" s="17"/>
      <c r="G84" s="3" t="s">
        <v>483</v>
      </c>
      <c r="H84" s="149">
        <v>8</v>
      </c>
      <c r="I84" s="2"/>
      <c r="J84" s="6" t="s">
        <v>425</v>
      </c>
      <c r="K84" s="150">
        <v>7.5</v>
      </c>
      <c r="L84" s="17"/>
      <c r="M84" s="3" t="s">
        <v>471</v>
      </c>
      <c r="N84" s="150">
        <v>8</v>
      </c>
      <c r="O84" s="17"/>
      <c r="R84" s="267">
        <v>82</v>
      </c>
      <c r="S84" s="260" t="s">
        <v>1772</v>
      </c>
      <c r="T84" s="261" t="s">
        <v>1773</v>
      </c>
      <c r="U84" s="261">
        <v>8.83</v>
      </c>
      <c r="V84" s="306">
        <v>8.77</v>
      </c>
      <c r="W84" s="261">
        <v>8.75</v>
      </c>
      <c r="X84" s="261">
        <v>0.62</v>
      </c>
      <c r="Y84" s="261">
        <v>1</v>
      </c>
      <c r="Z84" s="261">
        <v>6</v>
      </c>
      <c r="AA84" s="261">
        <v>0</v>
      </c>
      <c r="AB84" s="260" t="s">
        <v>1775</v>
      </c>
      <c r="AC84" s="261">
        <v>1991</v>
      </c>
      <c r="AD84" s="261" t="s">
        <v>1925</v>
      </c>
      <c r="AE84" s="262" t="s">
        <v>2126</v>
      </c>
      <c r="AF84"/>
      <c r="AG84"/>
      <c r="AH84" s="257" t="s">
        <v>1182</v>
      </c>
      <c r="AI84" s="380" t="s">
        <v>3185</v>
      </c>
    </row>
    <row r="85" spans="1:35" ht="16.05" customHeight="1">
      <c r="A85" s="6" t="s">
        <v>436</v>
      </c>
      <c r="B85" s="150">
        <v>8.5</v>
      </c>
      <c r="C85" s="2"/>
      <c r="D85" s="4" t="s">
        <v>449</v>
      </c>
      <c r="E85" s="150">
        <v>8.5</v>
      </c>
      <c r="F85" s="17"/>
      <c r="G85" s="3" t="s">
        <v>484</v>
      </c>
      <c r="H85" s="150">
        <v>8</v>
      </c>
      <c r="I85" s="2"/>
      <c r="J85" s="6" t="s">
        <v>426</v>
      </c>
      <c r="K85" s="150">
        <v>7.5</v>
      </c>
      <c r="L85" s="17"/>
      <c r="M85" s="3" t="s">
        <v>472</v>
      </c>
      <c r="N85" s="150">
        <v>8</v>
      </c>
      <c r="O85" s="17"/>
      <c r="R85" s="267">
        <v>83</v>
      </c>
      <c r="S85" s="257" t="s">
        <v>2599</v>
      </c>
      <c r="T85" s="258" t="s">
        <v>2600</v>
      </c>
      <c r="U85" s="258">
        <v>8.8800000000000008</v>
      </c>
      <c r="V85" s="306">
        <v>8.77</v>
      </c>
      <c r="W85" s="258">
        <v>8.75</v>
      </c>
      <c r="X85" s="258">
        <v>0.89</v>
      </c>
      <c r="Y85" s="258">
        <v>1</v>
      </c>
      <c r="Z85" s="258">
        <v>6</v>
      </c>
      <c r="AA85" s="258">
        <v>2</v>
      </c>
      <c r="AB85" s="257" t="s">
        <v>2604</v>
      </c>
      <c r="AC85" s="258">
        <v>2000</v>
      </c>
      <c r="AD85" s="258" t="s">
        <v>2605</v>
      </c>
      <c r="AE85" s="259" t="s">
        <v>2606</v>
      </c>
      <c r="AF85"/>
      <c r="AG85"/>
      <c r="AH85" s="260" t="s">
        <v>2515</v>
      </c>
      <c r="AI85" s="379" t="s">
        <v>1240</v>
      </c>
    </row>
    <row r="86" spans="1:35" ht="16.05" customHeight="1">
      <c r="A86" s="6" t="s">
        <v>437</v>
      </c>
      <c r="B86" s="150">
        <v>9</v>
      </c>
      <c r="C86" s="2"/>
      <c r="D86" s="4" t="s">
        <v>450</v>
      </c>
      <c r="E86" s="150">
        <v>7</v>
      </c>
      <c r="F86" s="17"/>
      <c r="G86" s="3" t="s">
        <v>485</v>
      </c>
      <c r="H86" s="150">
        <v>8</v>
      </c>
      <c r="I86" s="2"/>
      <c r="J86" s="6" t="s">
        <v>427</v>
      </c>
      <c r="K86" s="150">
        <v>7</v>
      </c>
      <c r="L86" s="17"/>
      <c r="M86" s="3" t="s">
        <v>473</v>
      </c>
      <c r="N86" s="150">
        <v>8.5</v>
      </c>
      <c r="O86" s="17"/>
      <c r="R86" s="267">
        <v>84</v>
      </c>
      <c r="S86" s="260" t="s">
        <v>342</v>
      </c>
      <c r="T86" s="261" t="s">
        <v>270</v>
      </c>
      <c r="U86" s="261">
        <v>8.7799999999999994</v>
      </c>
      <c r="V86" s="307">
        <v>8.76</v>
      </c>
      <c r="W86" s="261">
        <v>9</v>
      </c>
      <c r="X86" s="261">
        <v>0.79</v>
      </c>
      <c r="Y86" s="261">
        <v>2</v>
      </c>
      <c r="Z86" s="261">
        <v>10</v>
      </c>
      <c r="AA86" s="261">
        <v>1</v>
      </c>
      <c r="AB86" s="260" t="s">
        <v>761</v>
      </c>
      <c r="AC86" s="261">
        <v>1994</v>
      </c>
      <c r="AD86" s="261" t="s">
        <v>1925</v>
      </c>
      <c r="AE86" s="262" t="s">
        <v>2181</v>
      </c>
      <c r="AF86"/>
      <c r="AG86"/>
      <c r="AH86" s="257" t="s">
        <v>1506</v>
      </c>
      <c r="AI86" s="380" t="s">
        <v>1240</v>
      </c>
    </row>
    <row r="87" spans="1:35" ht="16.05" customHeight="1">
      <c r="A87" s="6" t="s">
        <v>438</v>
      </c>
      <c r="B87" s="150">
        <v>8</v>
      </c>
      <c r="C87" s="2"/>
      <c r="D87" s="4" t="s">
        <v>451</v>
      </c>
      <c r="E87" s="150">
        <v>7.5</v>
      </c>
      <c r="F87" s="17"/>
      <c r="G87" s="3" t="s">
        <v>486</v>
      </c>
      <c r="H87" s="150">
        <v>8.5</v>
      </c>
      <c r="I87" s="2"/>
      <c r="J87" s="6" t="s">
        <v>428</v>
      </c>
      <c r="K87" s="150">
        <v>7.5</v>
      </c>
      <c r="L87" s="17"/>
      <c r="M87" s="3" t="s">
        <v>474</v>
      </c>
      <c r="N87" s="150">
        <v>9</v>
      </c>
      <c r="O87" s="17"/>
      <c r="R87" s="267">
        <v>85</v>
      </c>
      <c r="S87" s="257" t="s">
        <v>837</v>
      </c>
      <c r="T87" s="258" t="s">
        <v>832</v>
      </c>
      <c r="U87" s="258">
        <v>8.7100000000000009</v>
      </c>
      <c r="V87" s="307">
        <v>8.76</v>
      </c>
      <c r="W87" s="258">
        <v>8.5</v>
      </c>
      <c r="X87" s="258">
        <v>0.75</v>
      </c>
      <c r="Y87" s="258">
        <v>2</v>
      </c>
      <c r="Z87" s="258">
        <v>14</v>
      </c>
      <c r="AA87" s="258">
        <v>0</v>
      </c>
      <c r="AB87" s="257" t="s">
        <v>838</v>
      </c>
      <c r="AC87" s="258">
        <v>2005</v>
      </c>
      <c r="AD87" s="258" t="s">
        <v>1927</v>
      </c>
      <c r="AE87" s="259" t="s">
        <v>2160</v>
      </c>
      <c r="AF87"/>
      <c r="AG87"/>
      <c r="AH87" s="260" t="s">
        <v>2765</v>
      </c>
      <c r="AI87" s="379" t="s">
        <v>1240</v>
      </c>
    </row>
    <row r="88" spans="1:35" ht="16.05" customHeight="1" thickBot="1">
      <c r="A88" s="6" t="s">
        <v>439</v>
      </c>
      <c r="B88" s="150">
        <v>8.5</v>
      </c>
      <c r="C88" s="2"/>
      <c r="D88" s="4" t="s">
        <v>452</v>
      </c>
      <c r="E88" s="150">
        <v>9</v>
      </c>
      <c r="F88" s="17"/>
      <c r="G88" s="3" t="s">
        <v>487</v>
      </c>
      <c r="H88" s="150">
        <v>7</v>
      </c>
      <c r="I88" s="2"/>
      <c r="J88" s="8" t="s">
        <v>429</v>
      </c>
      <c r="K88" s="151">
        <v>9</v>
      </c>
      <c r="L88" s="17"/>
      <c r="M88" s="3" t="s">
        <v>475</v>
      </c>
      <c r="N88" s="150">
        <v>8</v>
      </c>
      <c r="O88" s="17"/>
      <c r="R88" s="267">
        <v>86</v>
      </c>
      <c r="S88" s="260" t="s">
        <v>1477</v>
      </c>
      <c r="T88" s="261" t="s">
        <v>1478</v>
      </c>
      <c r="U88" s="261">
        <v>8.73</v>
      </c>
      <c r="V88" s="307">
        <v>8.76</v>
      </c>
      <c r="W88" s="261">
        <v>8.5</v>
      </c>
      <c r="X88" s="261">
        <v>0.75</v>
      </c>
      <c r="Y88" s="261">
        <v>1</v>
      </c>
      <c r="Z88" s="261">
        <v>13</v>
      </c>
      <c r="AA88" s="261">
        <v>0</v>
      </c>
      <c r="AB88" s="260" t="s">
        <v>1479</v>
      </c>
      <c r="AC88" s="261">
        <v>1992</v>
      </c>
      <c r="AD88" s="261" t="s">
        <v>1921</v>
      </c>
      <c r="AE88" s="262" t="s">
        <v>2139</v>
      </c>
      <c r="AF88"/>
      <c r="AG88"/>
      <c r="AH88" s="257" t="s">
        <v>1647</v>
      </c>
      <c r="AI88" s="380" t="s">
        <v>1240</v>
      </c>
    </row>
    <row r="89" spans="1:35" ht="16.05" customHeight="1" thickBot="1">
      <c r="A89" s="6" t="s">
        <v>440</v>
      </c>
      <c r="B89" s="150">
        <v>9.5</v>
      </c>
      <c r="C89" s="2"/>
      <c r="D89" s="4" t="s">
        <v>453</v>
      </c>
      <c r="E89" s="150">
        <v>7</v>
      </c>
      <c r="F89" s="17"/>
      <c r="G89" s="3" t="s">
        <v>488</v>
      </c>
      <c r="H89" s="150">
        <v>8</v>
      </c>
      <c r="I89" s="2"/>
      <c r="J89" s="16"/>
      <c r="K89" s="16"/>
      <c r="L89" s="17"/>
      <c r="M89" s="3" t="s">
        <v>476</v>
      </c>
      <c r="N89" s="150">
        <v>7</v>
      </c>
      <c r="O89" s="17"/>
      <c r="R89" s="267">
        <v>87</v>
      </c>
      <c r="S89" s="257" t="s">
        <v>327</v>
      </c>
      <c r="T89" s="258" t="s">
        <v>558</v>
      </c>
      <c r="U89" s="258">
        <v>8.77</v>
      </c>
      <c r="V89" s="308">
        <v>8.75</v>
      </c>
      <c r="W89" s="258">
        <v>9</v>
      </c>
      <c r="X89" s="258">
        <v>0.72</v>
      </c>
      <c r="Y89" s="258">
        <v>1</v>
      </c>
      <c r="Z89" s="258">
        <v>11</v>
      </c>
      <c r="AA89" s="258">
        <v>0</v>
      </c>
      <c r="AB89" s="257" t="s">
        <v>753</v>
      </c>
      <c r="AC89" s="258">
        <v>2016</v>
      </c>
      <c r="AD89" s="258" t="s">
        <v>1923</v>
      </c>
      <c r="AE89" s="259" t="s">
        <v>2174</v>
      </c>
      <c r="AF89"/>
      <c r="AG89"/>
      <c r="AH89" s="260" t="s">
        <v>1648</v>
      </c>
      <c r="AI89" s="379" t="s">
        <v>1240</v>
      </c>
    </row>
    <row r="90" spans="1:35" ht="16.05" customHeight="1" thickBot="1">
      <c r="A90" s="6" t="s">
        <v>441</v>
      </c>
      <c r="B90" s="150">
        <v>8</v>
      </c>
      <c r="C90" s="2"/>
      <c r="D90" s="4" t="s">
        <v>454</v>
      </c>
      <c r="E90" s="150">
        <v>8</v>
      </c>
      <c r="F90" s="17"/>
      <c r="G90" s="3" t="s">
        <v>489</v>
      </c>
      <c r="H90" s="150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0">
        <v>8.5</v>
      </c>
      <c r="O90" s="17"/>
      <c r="R90" s="267">
        <v>88</v>
      </c>
      <c r="S90" s="260" t="s">
        <v>717</v>
      </c>
      <c r="T90" s="261" t="s">
        <v>713</v>
      </c>
      <c r="U90" s="261">
        <v>8.67</v>
      </c>
      <c r="V90" s="308">
        <v>8.75</v>
      </c>
      <c r="W90" s="261">
        <v>8</v>
      </c>
      <c r="X90" s="261">
        <v>1.04</v>
      </c>
      <c r="Y90" s="261">
        <v>4</v>
      </c>
      <c r="Z90" s="261">
        <v>16</v>
      </c>
      <c r="AA90" s="261">
        <v>1</v>
      </c>
      <c r="AB90" s="260" t="s">
        <v>777</v>
      </c>
      <c r="AC90" s="261">
        <v>2010</v>
      </c>
      <c r="AD90" s="261" t="s">
        <v>1928</v>
      </c>
      <c r="AE90" s="262" t="s">
        <v>2167</v>
      </c>
      <c r="AF90"/>
      <c r="AG90"/>
      <c r="AH90" s="257" t="s">
        <v>2197</v>
      </c>
      <c r="AI90" s="380" t="s">
        <v>1240</v>
      </c>
    </row>
    <row r="91" spans="1:35" ht="16.05" customHeight="1" thickBot="1">
      <c r="A91" s="8" t="s">
        <v>442</v>
      </c>
      <c r="B91" s="151">
        <v>10</v>
      </c>
      <c r="C91" s="2"/>
      <c r="D91" s="4" t="s">
        <v>455</v>
      </c>
      <c r="E91" s="150">
        <v>7.5</v>
      </c>
      <c r="F91" s="17"/>
      <c r="G91" s="3" t="s">
        <v>490</v>
      </c>
      <c r="H91" s="150">
        <v>8</v>
      </c>
      <c r="I91" s="2"/>
      <c r="J91" s="5" t="s">
        <v>498</v>
      </c>
      <c r="K91" s="149">
        <v>9.5</v>
      </c>
      <c r="L91" s="17"/>
      <c r="M91" s="37" t="s">
        <v>478</v>
      </c>
      <c r="N91" s="151">
        <v>10</v>
      </c>
      <c r="O91" s="17"/>
      <c r="R91" s="267">
        <v>89</v>
      </c>
      <c r="S91" s="257" t="s">
        <v>2407</v>
      </c>
      <c r="T91" s="258" t="s">
        <v>2397</v>
      </c>
      <c r="U91" s="258">
        <v>8.86</v>
      </c>
      <c r="V91" s="309">
        <v>8.74</v>
      </c>
      <c r="W91" s="258">
        <v>8.5</v>
      </c>
      <c r="X91" s="258">
        <v>0.86</v>
      </c>
      <c r="Y91" s="258">
        <v>3</v>
      </c>
      <c r="Z91" s="258">
        <v>11</v>
      </c>
      <c r="AA91" s="258">
        <v>0</v>
      </c>
      <c r="AB91" s="257" t="s">
        <v>2409</v>
      </c>
      <c r="AC91" s="258">
        <v>1994</v>
      </c>
      <c r="AD91" s="258" t="s">
        <v>1907</v>
      </c>
      <c r="AE91" s="259" t="s">
        <v>2410</v>
      </c>
      <c r="AF91"/>
      <c r="AG91"/>
      <c r="AH91" s="260" t="s">
        <v>1239</v>
      </c>
      <c r="AI91" s="379" t="s">
        <v>1240</v>
      </c>
    </row>
    <row r="92" spans="1:35" ht="16.05" customHeight="1" thickBot="1">
      <c r="A92" s="16"/>
      <c r="B92" s="16"/>
      <c r="C92" s="2"/>
      <c r="D92" s="4" t="s">
        <v>456</v>
      </c>
      <c r="E92" s="150">
        <v>8.5</v>
      </c>
      <c r="F92" s="17"/>
      <c r="G92" s="3" t="s">
        <v>491</v>
      </c>
      <c r="H92" s="150">
        <v>7</v>
      </c>
      <c r="I92" s="2"/>
      <c r="J92" s="6" t="s">
        <v>499</v>
      </c>
      <c r="K92" s="150">
        <v>8.5</v>
      </c>
      <c r="L92" s="2"/>
      <c r="M92" s="16"/>
      <c r="N92" s="16"/>
      <c r="O92" s="17"/>
      <c r="R92" s="267">
        <v>90</v>
      </c>
      <c r="S92" s="260" t="s">
        <v>1438</v>
      </c>
      <c r="T92" s="261" t="s">
        <v>1439</v>
      </c>
      <c r="U92" s="261">
        <v>8.83</v>
      </c>
      <c r="V92" s="310">
        <v>8.7200000000000006</v>
      </c>
      <c r="W92" s="261">
        <v>8.5</v>
      </c>
      <c r="X92" s="261">
        <v>0.57999999999999996</v>
      </c>
      <c r="Y92" s="261">
        <v>1</v>
      </c>
      <c r="Z92" s="261">
        <v>9</v>
      </c>
      <c r="AA92" s="261">
        <v>0</v>
      </c>
      <c r="AB92" s="260" t="s">
        <v>1441</v>
      </c>
      <c r="AC92" s="261">
        <v>2002</v>
      </c>
      <c r="AD92" s="261" t="s">
        <v>1922</v>
      </c>
      <c r="AE92" s="262" t="s">
        <v>2141</v>
      </c>
      <c r="AF92"/>
      <c r="AG92"/>
      <c r="AH92" s="257" t="s">
        <v>1087</v>
      </c>
      <c r="AI92" s="380" t="s">
        <v>3209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0">
        <v>8</v>
      </c>
      <c r="F93" s="17"/>
      <c r="G93" s="3" t="s">
        <v>492</v>
      </c>
      <c r="H93" s="150">
        <v>8</v>
      </c>
      <c r="I93" s="2"/>
      <c r="J93" s="6" t="s">
        <v>500</v>
      </c>
      <c r="K93" s="150">
        <v>10.5</v>
      </c>
      <c r="L93" s="17"/>
      <c r="M93" s="98" t="s">
        <v>999</v>
      </c>
      <c r="N93" s="1">
        <f>ROUND(SUM(N94:N110)/COUNT(N94:N110), 2)</f>
        <v>8.5</v>
      </c>
      <c r="O93" s="17"/>
      <c r="R93" s="267">
        <v>91</v>
      </c>
      <c r="S93" s="257" t="s">
        <v>3169</v>
      </c>
      <c r="T93" s="258" t="s">
        <v>3170</v>
      </c>
      <c r="U93" s="258">
        <v>8.85</v>
      </c>
      <c r="V93" s="310">
        <v>8.7200000000000006</v>
      </c>
      <c r="W93" s="258">
        <v>8.5</v>
      </c>
      <c r="X93" s="258">
        <v>0.66</v>
      </c>
      <c r="Y93" s="258">
        <v>2</v>
      </c>
      <c r="Z93" s="258">
        <v>14</v>
      </c>
      <c r="AA93" s="258">
        <v>1</v>
      </c>
      <c r="AB93" s="257" t="s">
        <v>3186</v>
      </c>
      <c r="AC93" s="258">
        <v>2020</v>
      </c>
      <c r="AD93" s="258" t="s">
        <v>1940</v>
      </c>
      <c r="AE93" s="259" t="s">
        <v>3187</v>
      </c>
      <c r="AF93"/>
      <c r="AG93"/>
      <c r="AH93" s="260" t="s">
        <v>1094</v>
      </c>
      <c r="AI93" s="379" t="s">
        <v>3103</v>
      </c>
    </row>
    <row r="94" spans="1:35" ht="16.05" customHeight="1">
      <c r="A94" s="11" t="s">
        <v>504</v>
      </c>
      <c r="B94" s="149">
        <v>10</v>
      </c>
      <c r="C94" s="2"/>
      <c r="D94" s="4" t="s">
        <v>458</v>
      </c>
      <c r="E94" s="150">
        <v>8</v>
      </c>
      <c r="F94" s="17"/>
      <c r="G94" s="3" t="s">
        <v>493</v>
      </c>
      <c r="H94" s="150">
        <v>6.5</v>
      </c>
      <c r="I94" s="2"/>
      <c r="J94" s="6" t="s">
        <v>501</v>
      </c>
      <c r="K94" s="150">
        <v>9</v>
      </c>
      <c r="L94" s="2"/>
      <c r="M94" s="5" t="s">
        <v>516</v>
      </c>
      <c r="N94" s="149">
        <v>8</v>
      </c>
      <c r="O94" s="17"/>
      <c r="R94" s="267">
        <v>92</v>
      </c>
      <c r="S94" s="260" t="s">
        <v>409</v>
      </c>
      <c r="T94" s="261" t="s">
        <v>407</v>
      </c>
      <c r="U94" s="261">
        <v>8.67</v>
      </c>
      <c r="V94" s="311">
        <v>8.7100000000000009</v>
      </c>
      <c r="W94" s="261">
        <v>8.5</v>
      </c>
      <c r="X94" s="261">
        <v>0.85</v>
      </c>
      <c r="Y94" s="261">
        <v>2</v>
      </c>
      <c r="Z94" s="261">
        <v>12</v>
      </c>
      <c r="AA94" s="261">
        <v>0</v>
      </c>
      <c r="AB94" s="260" t="s">
        <v>819</v>
      </c>
      <c r="AC94" s="261">
        <v>1989</v>
      </c>
      <c r="AD94" s="261" t="s">
        <v>1931</v>
      </c>
      <c r="AE94" s="262" t="s">
        <v>2179</v>
      </c>
      <c r="AF94"/>
      <c r="AG94"/>
      <c r="AH94" s="257" t="s">
        <v>1101</v>
      </c>
      <c r="AI94" s="380" t="s">
        <v>2564</v>
      </c>
    </row>
    <row r="95" spans="1:35" ht="16.05" customHeight="1" thickBot="1">
      <c r="A95" s="4" t="s">
        <v>505</v>
      </c>
      <c r="B95" s="150">
        <v>9.5</v>
      </c>
      <c r="C95" s="2"/>
      <c r="D95" s="4" t="s">
        <v>459</v>
      </c>
      <c r="E95" s="150">
        <v>7</v>
      </c>
      <c r="F95" s="17"/>
      <c r="G95" s="7" t="s">
        <v>494</v>
      </c>
      <c r="H95" s="151">
        <v>8</v>
      </c>
      <c r="I95" s="2"/>
      <c r="J95" s="6" t="s">
        <v>502</v>
      </c>
      <c r="K95" s="150">
        <v>9</v>
      </c>
      <c r="L95" s="2"/>
      <c r="M95" s="6" t="s">
        <v>517</v>
      </c>
      <c r="N95" s="150">
        <v>8</v>
      </c>
      <c r="O95" s="17"/>
      <c r="R95" s="267">
        <v>93</v>
      </c>
      <c r="S95" s="257" t="s">
        <v>1503</v>
      </c>
      <c r="T95" s="258" t="s">
        <v>1504</v>
      </c>
      <c r="U95" s="258">
        <v>8.75</v>
      </c>
      <c r="V95" s="312">
        <v>8.6999999999999993</v>
      </c>
      <c r="W95" s="258">
        <v>8.75</v>
      </c>
      <c r="X95" s="258">
        <v>0.75</v>
      </c>
      <c r="Y95" s="258">
        <v>2</v>
      </c>
      <c r="Z95" s="258">
        <v>10</v>
      </c>
      <c r="AA95" s="258">
        <v>0</v>
      </c>
      <c r="AB95" s="257" t="s">
        <v>1505</v>
      </c>
      <c r="AC95" s="258">
        <v>1998</v>
      </c>
      <c r="AD95" s="258" t="s">
        <v>1932</v>
      </c>
      <c r="AE95" s="259" t="s">
        <v>2137</v>
      </c>
      <c r="AF95"/>
      <c r="AG95"/>
      <c r="AH95" s="260" t="s">
        <v>1195</v>
      </c>
      <c r="AI95" s="379" t="s">
        <v>3275</v>
      </c>
    </row>
    <row r="96" spans="1:35" ht="16.05" customHeight="1" thickBot="1">
      <c r="A96" s="4" t="s">
        <v>506</v>
      </c>
      <c r="B96" s="150">
        <v>8.5</v>
      </c>
      <c r="C96" s="2"/>
      <c r="D96" s="4" t="s">
        <v>460</v>
      </c>
      <c r="E96" s="150">
        <v>8.5</v>
      </c>
      <c r="F96" s="2"/>
      <c r="G96" s="16"/>
      <c r="H96" s="16"/>
      <c r="I96" s="2"/>
      <c r="J96" s="8" t="s">
        <v>503</v>
      </c>
      <c r="K96" s="151">
        <v>8.5</v>
      </c>
      <c r="L96" s="2"/>
      <c r="M96" s="6" t="s">
        <v>518</v>
      </c>
      <c r="N96" s="150">
        <v>9</v>
      </c>
      <c r="O96" s="17"/>
      <c r="R96" s="267">
        <v>94</v>
      </c>
      <c r="S96" s="260" t="s">
        <v>1692</v>
      </c>
      <c r="T96" s="261" t="s">
        <v>1688</v>
      </c>
      <c r="U96" s="261">
        <v>8.81</v>
      </c>
      <c r="V96" s="312">
        <v>8.6999999999999993</v>
      </c>
      <c r="W96" s="261">
        <v>8.5</v>
      </c>
      <c r="X96" s="261">
        <v>0.83</v>
      </c>
      <c r="Y96" s="261">
        <v>2</v>
      </c>
      <c r="Z96" s="261">
        <v>8</v>
      </c>
      <c r="AA96" s="261">
        <v>0</v>
      </c>
      <c r="AB96" s="260" t="s">
        <v>1354</v>
      </c>
      <c r="AC96" s="261">
        <v>1982</v>
      </c>
      <c r="AD96" s="261" t="s">
        <v>1909</v>
      </c>
      <c r="AE96" s="262" t="s">
        <v>2130</v>
      </c>
      <c r="AF96"/>
      <c r="AG96"/>
      <c r="AH96" s="257" t="s">
        <v>1490</v>
      </c>
      <c r="AI96" s="380" t="s">
        <v>1089</v>
      </c>
    </row>
    <row r="97" spans="1:35" ht="16.05" customHeight="1" thickBot="1">
      <c r="A97" s="4" t="s">
        <v>507</v>
      </c>
      <c r="B97" s="150">
        <v>8</v>
      </c>
      <c r="C97" s="2"/>
      <c r="D97" s="4" t="s">
        <v>461</v>
      </c>
      <c r="E97" s="150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0"/>
      <c r="O97" s="17"/>
      <c r="R97" s="267">
        <v>95</v>
      </c>
      <c r="S97" s="257" t="s">
        <v>3044</v>
      </c>
      <c r="T97" s="258" t="s">
        <v>3044</v>
      </c>
      <c r="U97" s="258">
        <v>8.8000000000000007</v>
      </c>
      <c r="V97" s="312">
        <v>8.6999999999999993</v>
      </c>
      <c r="W97" s="258">
        <v>8.5</v>
      </c>
      <c r="X97" s="258">
        <v>0.68</v>
      </c>
      <c r="Y97" s="258">
        <v>1</v>
      </c>
      <c r="Z97" s="258">
        <v>5</v>
      </c>
      <c r="AA97" s="258">
        <v>0</v>
      </c>
      <c r="AB97" s="257" t="s">
        <v>3048</v>
      </c>
      <c r="AC97" s="258">
        <v>2007</v>
      </c>
      <c r="AD97" s="258" t="s">
        <v>3049</v>
      </c>
      <c r="AE97" s="259" t="s">
        <v>3043</v>
      </c>
      <c r="AF97"/>
      <c r="AG97"/>
      <c r="AH97" s="260" t="s">
        <v>1491</v>
      </c>
      <c r="AI97" s="379" t="s">
        <v>1089</v>
      </c>
    </row>
    <row r="98" spans="1:35" ht="16.05" customHeight="1" thickBot="1">
      <c r="A98" s="4" t="s">
        <v>508</v>
      </c>
      <c r="B98" s="150">
        <v>9</v>
      </c>
      <c r="C98" s="2"/>
      <c r="D98" s="4" t="s">
        <v>462</v>
      </c>
      <c r="E98" s="150">
        <v>7</v>
      </c>
      <c r="F98" s="2"/>
      <c r="G98" s="5" t="s">
        <v>535</v>
      </c>
      <c r="H98" s="149">
        <v>9.5</v>
      </c>
      <c r="I98" s="17"/>
      <c r="J98" s="182" t="s">
        <v>2255</v>
      </c>
      <c r="K98" s="1">
        <f>ROUND(SUM(K99:K109)/COUNT(K99:K109), 2)</f>
        <v>9.61</v>
      </c>
      <c r="L98" s="2"/>
      <c r="M98" s="6" t="s">
        <v>520</v>
      </c>
      <c r="N98" s="150">
        <v>8.5</v>
      </c>
      <c r="O98" s="17"/>
      <c r="R98" s="267">
        <v>96</v>
      </c>
      <c r="S98" s="260" t="s">
        <v>1457</v>
      </c>
      <c r="T98" s="261" t="s">
        <v>1462</v>
      </c>
      <c r="U98" s="261">
        <v>8.8000000000000007</v>
      </c>
      <c r="V98" s="313">
        <v>8.68</v>
      </c>
      <c r="W98" s="261">
        <v>8.5</v>
      </c>
      <c r="X98" s="261">
        <v>0.7</v>
      </c>
      <c r="Y98" s="261">
        <v>2</v>
      </c>
      <c r="Z98" s="261">
        <v>15</v>
      </c>
      <c r="AA98" s="261">
        <v>0</v>
      </c>
      <c r="AB98" s="260" t="s">
        <v>1459</v>
      </c>
      <c r="AC98" s="261">
        <v>2012</v>
      </c>
      <c r="AD98" s="261" t="s">
        <v>1908</v>
      </c>
      <c r="AE98" s="262" t="s">
        <v>2140</v>
      </c>
      <c r="AF98"/>
      <c r="AG98"/>
      <c r="AH98" s="257" t="s">
        <v>2233</v>
      </c>
      <c r="AI98" s="380" t="s">
        <v>1089</v>
      </c>
    </row>
    <row r="99" spans="1:35" ht="16.05" customHeight="1" thickBot="1">
      <c r="A99" s="4" t="s">
        <v>509</v>
      </c>
      <c r="B99" s="150">
        <v>8</v>
      </c>
      <c r="C99" s="2"/>
      <c r="D99" s="7" t="s">
        <v>463</v>
      </c>
      <c r="E99" s="151">
        <v>9</v>
      </c>
      <c r="F99" s="2"/>
      <c r="G99" s="6" t="s">
        <v>536</v>
      </c>
      <c r="H99" s="150">
        <v>8.5</v>
      </c>
      <c r="I99" s="2"/>
      <c r="J99" s="5" t="s">
        <v>546</v>
      </c>
      <c r="K99" s="149">
        <v>10.5</v>
      </c>
      <c r="L99" s="2"/>
      <c r="M99" s="6" t="s">
        <v>521</v>
      </c>
      <c r="N99" s="150">
        <v>7.5</v>
      </c>
      <c r="O99" s="17"/>
      <c r="R99" s="267">
        <v>97</v>
      </c>
      <c r="S99" s="257" t="s">
        <v>1477</v>
      </c>
      <c r="T99" s="258" t="s">
        <v>2598</v>
      </c>
      <c r="U99" s="258">
        <v>8.6300000000000008</v>
      </c>
      <c r="V99" s="314">
        <v>8.67</v>
      </c>
      <c r="W99" s="258">
        <v>8.5</v>
      </c>
      <c r="X99" s="258">
        <v>0.89</v>
      </c>
      <c r="Y99" s="258">
        <v>2</v>
      </c>
      <c r="Z99" s="258">
        <v>12</v>
      </c>
      <c r="AA99" s="258">
        <v>0</v>
      </c>
      <c r="AB99" s="257" t="s">
        <v>1843</v>
      </c>
      <c r="AC99" s="258">
        <v>1995</v>
      </c>
      <c r="AD99" s="258" t="s">
        <v>1927</v>
      </c>
      <c r="AE99" s="259" t="s">
        <v>2607</v>
      </c>
      <c r="AF99"/>
      <c r="AG99"/>
      <c r="AH99" s="260" t="s">
        <v>1090</v>
      </c>
      <c r="AI99" s="379" t="s">
        <v>1089</v>
      </c>
    </row>
    <row r="100" spans="1:35" ht="16.05" customHeight="1" thickBot="1">
      <c r="A100" s="4" t="s">
        <v>510</v>
      </c>
      <c r="B100" s="150">
        <v>9</v>
      </c>
      <c r="C100" s="2"/>
      <c r="D100" s="14"/>
      <c r="E100" s="16"/>
      <c r="F100" s="2"/>
      <c r="G100" s="6" t="s">
        <v>537</v>
      </c>
      <c r="H100" s="150">
        <v>8.5</v>
      </c>
      <c r="I100" s="2"/>
      <c r="J100" s="6" t="s">
        <v>547</v>
      </c>
      <c r="K100" s="150">
        <v>10</v>
      </c>
      <c r="L100" s="2"/>
      <c r="M100" s="6" t="s">
        <v>522</v>
      </c>
      <c r="N100" s="150">
        <v>9.5</v>
      </c>
      <c r="O100" s="17"/>
      <c r="R100" s="267">
        <v>98</v>
      </c>
      <c r="S100" s="260" t="s">
        <v>2713</v>
      </c>
      <c r="T100" s="261" t="s">
        <v>2714</v>
      </c>
      <c r="U100" s="261">
        <v>8.75</v>
      </c>
      <c r="V100" s="314">
        <v>8.67</v>
      </c>
      <c r="W100" s="261">
        <v>8.75</v>
      </c>
      <c r="X100" s="261">
        <v>0.75</v>
      </c>
      <c r="Y100" s="261">
        <v>1</v>
      </c>
      <c r="Z100" s="261">
        <v>11</v>
      </c>
      <c r="AA100" s="261">
        <v>1</v>
      </c>
      <c r="AB100" s="260" t="s">
        <v>2747</v>
      </c>
      <c r="AC100" s="261">
        <v>1991</v>
      </c>
      <c r="AD100" s="261" t="s">
        <v>1913</v>
      </c>
      <c r="AE100" s="262" t="s">
        <v>2717</v>
      </c>
      <c r="AF100"/>
      <c r="AG100"/>
      <c r="AH100" s="257" t="s">
        <v>2878</v>
      </c>
      <c r="AI100" s="380" t="s">
        <v>1089</v>
      </c>
    </row>
    <row r="101" spans="1:35" ht="16.05" customHeight="1" thickBot="1">
      <c r="A101" s="7" t="s">
        <v>511</v>
      </c>
      <c r="B101" s="151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0">
        <v>8</v>
      </c>
      <c r="I101" s="2"/>
      <c r="J101" s="6" t="s">
        <v>548</v>
      </c>
      <c r="K101" s="150">
        <v>8.5</v>
      </c>
      <c r="L101" s="2"/>
      <c r="M101" s="6" t="s">
        <v>532</v>
      </c>
      <c r="N101" s="150"/>
      <c r="O101" s="17"/>
      <c r="R101" s="267">
        <v>99</v>
      </c>
      <c r="S101" s="257" t="s">
        <v>343</v>
      </c>
      <c r="T101" s="258" t="s">
        <v>245</v>
      </c>
      <c r="U101" s="258">
        <v>8.77</v>
      </c>
      <c r="V101" s="315">
        <v>8.66</v>
      </c>
      <c r="W101" s="258">
        <v>8.5</v>
      </c>
      <c r="X101" s="258">
        <v>0.86</v>
      </c>
      <c r="Y101" s="258">
        <v>3</v>
      </c>
      <c r="Z101" s="258">
        <v>11</v>
      </c>
      <c r="AA101" s="258">
        <v>0</v>
      </c>
      <c r="AB101" s="257" t="s">
        <v>763</v>
      </c>
      <c r="AC101" s="258">
        <v>1998</v>
      </c>
      <c r="AD101" s="258" t="s">
        <v>1927</v>
      </c>
      <c r="AE101" s="259" t="s">
        <v>2183</v>
      </c>
      <c r="AF101"/>
      <c r="AG101"/>
      <c r="AH101" s="260" t="s">
        <v>2412</v>
      </c>
      <c r="AI101" s="379" t="s">
        <v>3276</v>
      </c>
    </row>
    <row r="102" spans="1:35" ht="16.05" customHeight="1" thickBot="1">
      <c r="A102" s="16"/>
      <c r="B102" s="16"/>
      <c r="C102" s="17"/>
      <c r="D102" s="5" t="s">
        <v>560</v>
      </c>
      <c r="E102" s="153"/>
      <c r="F102" s="2"/>
      <c r="G102" s="6" t="s">
        <v>539</v>
      </c>
      <c r="H102" s="150">
        <v>9</v>
      </c>
      <c r="I102" s="2"/>
      <c r="J102" s="6" t="s">
        <v>549</v>
      </c>
      <c r="K102" s="150">
        <v>9.5</v>
      </c>
      <c r="L102" s="2"/>
      <c r="M102" s="6" t="s">
        <v>523</v>
      </c>
      <c r="N102" s="150">
        <v>9</v>
      </c>
      <c r="O102" s="17"/>
      <c r="R102" s="267">
        <v>100</v>
      </c>
      <c r="S102" s="260" t="s">
        <v>344</v>
      </c>
      <c r="T102" s="261" t="s">
        <v>161</v>
      </c>
      <c r="U102" s="261">
        <v>8.7100000000000009</v>
      </c>
      <c r="V102" s="316">
        <v>8.65</v>
      </c>
      <c r="W102" s="261">
        <v>8.75</v>
      </c>
      <c r="X102" s="261">
        <v>0.78</v>
      </c>
      <c r="Y102" s="261">
        <v>2</v>
      </c>
      <c r="Z102" s="261">
        <v>12</v>
      </c>
      <c r="AA102" s="261">
        <v>0</v>
      </c>
      <c r="AB102" s="260" t="s">
        <v>2796</v>
      </c>
      <c r="AC102" s="261">
        <v>1977</v>
      </c>
      <c r="AD102" s="261" t="s">
        <v>1925</v>
      </c>
      <c r="AE102" s="262" t="s">
        <v>2116</v>
      </c>
      <c r="AF102"/>
      <c r="AG102"/>
      <c r="AH102" s="257" t="s">
        <v>2809</v>
      </c>
      <c r="AI102" s="380" t="s">
        <v>3104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0">
        <v>8</v>
      </c>
      <c r="F103" s="2"/>
      <c r="G103" s="6" t="s">
        <v>540</v>
      </c>
      <c r="H103" s="150">
        <v>8</v>
      </c>
      <c r="I103" s="2"/>
      <c r="J103" s="6" t="s">
        <v>550</v>
      </c>
      <c r="K103" s="150">
        <v>10</v>
      </c>
      <c r="L103" s="2"/>
      <c r="M103" s="6" t="s">
        <v>524</v>
      </c>
      <c r="N103" s="150"/>
      <c r="O103" s="17"/>
      <c r="R103" s="267">
        <v>101</v>
      </c>
      <c r="S103" s="257" t="s">
        <v>1333</v>
      </c>
      <c r="T103" s="258" t="s">
        <v>1334</v>
      </c>
      <c r="U103" s="258">
        <v>8.77</v>
      </c>
      <c r="V103" s="316">
        <v>8.65</v>
      </c>
      <c r="W103" s="258">
        <v>8.5</v>
      </c>
      <c r="X103" s="258">
        <v>0.75</v>
      </c>
      <c r="Y103" s="258">
        <v>2</v>
      </c>
      <c r="Z103" s="258">
        <v>14</v>
      </c>
      <c r="AA103" s="258">
        <v>1</v>
      </c>
      <c r="AB103" s="257" t="s">
        <v>1337</v>
      </c>
      <c r="AC103" s="258">
        <v>2002</v>
      </c>
      <c r="AD103" s="258" t="s">
        <v>1910</v>
      </c>
      <c r="AE103" s="259" t="s">
        <v>2146</v>
      </c>
      <c r="AF103"/>
      <c r="AG103"/>
      <c r="AH103" s="260" t="s">
        <v>1553</v>
      </c>
      <c r="AI103" s="379" t="s">
        <v>2099</v>
      </c>
    </row>
    <row r="104" spans="1:35" ht="16.05" customHeight="1">
      <c r="A104" s="3" t="s">
        <v>576</v>
      </c>
      <c r="B104" s="150">
        <v>9.5</v>
      </c>
      <c r="C104" s="34"/>
      <c r="D104" s="15" t="s">
        <v>562</v>
      </c>
      <c r="E104" s="150">
        <v>9</v>
      </c>
      <c r="F104" s="2"/>
      <c r="G104" s="6" t="s">
        <v>541</v>
      </c>
      <c r="H104" s="150">
        <v>9.5</v>
      </c>
      <c r="I104" s="2"/>
      <c r="J104" s="6" t="s">
        <v>551</v>
      </c>
      <c r="K104" s="150"/>
      <c r="L104" s="2"/>
      <c r="M104" s="6" t="s">
        <v>525</v>
      </c>
      <c r="N104" s="150">
        <v>8</v>
      </c>
      <c r="O104" s="17"/>
      <c r="R104" s="267">
        <v>102</v>
      </c>
      <c r="S104" s="260" t="s">
        <v>335</v>
      </c>
      <c r="T104" s="261" t="s">
        <v>335</v>
      </c>
      <c r="U104" s="261">
        <v>8.4600000000000009</v>
      </c>
      <c r="V104" s="316">
        <v>8.65</v>
      </c>
      <c r="W104" s="261">
        <v>8.5</v>
      </c>
      <c r="X104" s="261">
        <v>1.33</v>
      </c>
      <c r="Y104" s="261">
        <v>3</v>
      </c>
      <c r="Z104" s="261">
        <v>12</v>
      </c>
      <c r="AA104" s="261">
        <v>0</v>
      </c>
      <c r="AB104" s="260" t="s">
        <v>1354</v>
      </c>
      <c r="AC104" s="261">
        <v>2021</v>
      </c>
      <c r="AD104" s="261" t="s">
        <v>1929</v>
      </c>
      <c r="AE104" s="262" t="s">
        <v>2145</v>
      </c>
      <c r="AF104"/>
      <c r="AG104"/>
      <c r="AH104" s="257" t="s">
        <v>1091</v>
      </c>
      <c r="AI104" s="380" t="s">
        <v>2289</v>
      </c>
    </row>
    <row r="105" spans="1:35" ht="16.05" customHeight="1">
      <c r="A105" s="3" t="s">
        <v>577</v>
      </c>
      <c r="B105" s="150">
        <v>9</v>
      </c>
      <c r="C105" s="2"/>
      <c r="D105" s="6" t="s">
        <v>563</v>
      </c>
      <c r="E105" s="150">
        <v>8.5</v>
      </c>
      <c r="F105" s="2"/>
      <c r="G105" s="6" t="s">
        <v>542</v>
      </c>
      <c r="H105" s="150">
        <v>10</v>
      </c>
      <c r="I105" s="2"/>
      <c r="J105" s="6" t="s">
        <v>552</v>
      </c>
      <c r="K105" s="150">
        <v>9</v>
      </c>
      <c r="L105" s="2"/>
      <c r="M105" s="6" t="s">
        <v>526</v>
      </c>
      <c r="N105" s="150"/>
      <c r="O105" s="17"/>
      <c r="R105" s="267">
        <v>103</v>
      </c>
      <c r="S105" s="257" t="s">
        <v>1643</v>
      </c>
      <c r="T105" s="258" t="s">
        <v>1639</v>
      </c>
      <c r="U105" s="258">
        <v>8.75</v>
      </c>
      <c r="V105" s="316">
        <v>8.65</v>
      </c>
      <c r="W105" s="258">
        <v>8.5</v>
      </c>
      <c r="X105" s="258">
        <v>0.56000000000000005</v>
      </c>
      <c r="Y105" s="258">
        <v>1</v>
      </c>
      <c r="Z105" s="258">
        <v>9</v>
      </c>
      <c r="AA105" s="258">
        <v>1</v>
      </c>
      <c r="AB105" s="257" t="s">
        <v>1646</v>
      </c>
      <c r="AC105" s="258">
        <v>2000</v>
      </c>
      <c r="AD105" s="258" t="s">
        <v>1897</v>
      </c>
      <c r="AE105" s="259" t="s">
        <v>2133</v>
      </c>
      <c r="AF105"/>
      <c r="AG105"/>
      <c r="AH105" s="260" t="s">
        <v>2684</v>
      </c>
      <c r="AI105" s="379" t="s">
        <v>2436</v>
      </c>
    </row>
    <row r="106" spans="1:35" ht="16.05" customHeight="1">
      <c r="A106" s="3" t="s">
        <v>578</v>
      </c>
      <c r="B106" s="150">
        <v>10</v>
      </c>
      <c r="C106" s="2"/>
      <c r="D106" s="6" t="s">
        <v>564</v>
      </c>
      <c r="E106" s="150">
        <v>7.5</v>
      </c>
      <c r="F106" s="2"/>
      <c r="G106" s="6" t="s">
        <v>543</v>
      </c>
      <c r="H106" s="150">
        <v>9</v>
      </c>
      <c r="I106" s="2"/>
      <c r="J106" s="6" t="s">
        <v>553</v>
      </c>
      <c r="K106" s="150">
        <v>10.5</v>
      </c>
      <c r="L106" s="2"/>
      <c r="M106" s="6" t="s">
        <v>527</v>
      </c>
      <c r="N106" s="150">
        <v>8</v>
      </c>
      <c r="O106" s="17"/>
      <c r="R106" s="267">
        <v>104</v>
      </c>
      <c r="S106" s="260" t="s">
        <v>2195</v>
      </c>
      <c r="T106" s="261" t="s">
        <v>2196</v>
      </c>
      <c r="U106" s="261">
        <v>8.75</v>
      </c>
      <c r="V106" s="317">
        <v>8.64</v>
      </c>
      <c r="W106" s="261">
        <v>8.5</v>
      </c>
      <c r="X106" s="261">
        <v>0.66</v>
      </c>
      <c r="Y106" s="261">
        <v>1</v>
      </c>
      <c r="Z106" s="261">
        <v>8</v>
      </c>
      <c r="AA106" s="261">
        <v>0</v>
      </c>
      <c r="AB106" s="260" t="s">
        <v>2197</v>
      </c>
      <c r="AC106" s="261">
        <v>1996</v>
      </c>
      <c r="AD106" s="261" t="s">
        <v>1909</v>
      </c>
      <c r="AE106" s="262" t="s">
        <v>2116</v>
      </c>
      <c r="AF106"/>
      <c r="AG106"/>
      <c r="AH106" s="257" t="s">
        <v>2435</v>
      </c>
      <c r="AI106" s="380" t="s">
        <v>2436</v>
      </c>
    </row>
    <row r="107" spans="1:35" ht="16.05" customHeight="1">
      <c r="A107" s="3" t="s">
        <v>579</v>
      </c>
      <c r="B107" s="150">
        <v>8.5</v>
      </c>
      <c r="C107" s="2"/>
      <c r="D107" s="6" t="s">
        <v>565</v>
      </c>
      <c r="E107" s="150">
        <v>7.5</v>
      </c>
      <c r="F107" s="2"/>
      <c r="G107" s="6" t="s">
        <v>544</v>
      </c>
      <c r="H107" s="150">
        <v>7.5</v>
      </c>
      <c r="I107" s="2"/>
      <c r="J107" s="6" t="s">
        <v>554</v>
      </c>
      <c r="K107" s="152">
        <v>8.5</v>
      </c>
      <c r="L107" s="2"/>
      <c r="M107" s="6" t="s">
        <v>528</v>
      </c>
      <c r="N107" s="150">
        <v>9</v>
      </c>
      <c r="O107" s="17"/>
      <c r="R107" s="267">
        <v>105</v>
      </c>
      <c r="S107" s="257" t="s">
        <v>334</v>
      </c>
      <c r="T107" s="258" t="s">
        <v>512</v>
      </c>
      <c r="U107" s="258">
        <v>8.69</v>
      </c>
      <c r="V107" s="318">
        <v>8.6300000000000008</v>
      </c>
      <c r="W107" s="258">
        <v>8.75</v>
      </c>
      <c r="X107" s="258">
        <v>0.79</v>
      </c>
      <c r="Y107" s="258">
        <v>1</v>
      </c>
      <c r="Z107" s="258">
        <v>8</v>
      </c>
      <c r="AA107" s="258">
        <v>0</v>
      </c>
      <c r="AB107" s="257" t="s">
        <v>776</v>
      </c>
      <c r="AC107" s="258">
        <v>2003</v>
      </c>
      <c r="AD107" s="258" t="s">
        <v>1932</v>
      </c>
      <c r="AE107" s="259" t="s">
        <v>2175</v>
      </c>
      <c r="AF107"/>
      <c r="AG107"/>
      <c r="AH107" s="260" t="s">
        <v>2437</v>
      </c>
      <c r="AI107" s="379" t="s">
        <v>2436</v>
      </c>
    </row>
    <row r="108" spans="1:35" ht="16.05" customHeight="1" thickBot="1">
      <c r="A108" s="3" t="s">
        <v>580</v>
      </c>
      <c r="B108" s="150">
        <v>8</v>
      </c>
      <c r="C108" s="2"/>
      <c r="D108" s="6" t="s">
        <v>566</v>
      </c>
      <c r="E108" s="150">
        <v>10</v>
      </c>
      <c r="F108" s="2"/>
      <c r="G108" s="8" t="s">
        <v>559</v>
      </c>
      <c r="H108" s="151">
        <v>9</v>
      </c>
      <c r="I108" s="2"/>
      <c r="J108" s="6" t="s">
        <v>555</v>
      </c>
      <c r="K108" s="150">
        <v>10</v>
      </c>
      <c r="L108" s="2"/>
      <c r="M108" s="6" t="s">
        <v>529</v>
      </c>
      <c r="N108" s="150">
        <v>9</v>
      </c>
      <c r="O108" s="17"/>
      <c r="R108" s="267">
        <v>106</v>
      </c>
      <c r="S108" s="260" t="s">
        <v>1237</v>
      </c>
      <c r="T108" s="261" t="s">
        <v>1232</v>
      </c>
      <c r="U108" s="261">
        <v>8.75</v>
      </c>
      <c r="V108" s="318">
        <v>8.6300000000000008</v>
      </c>
      <c r="W108" s="261">
        <v>8.5</v>
      </c>
      <c r="X108" s="261">
        <v>0.8</v>
      </c>
      <c r="Y108" s="261">
        <v>1</v>
      </c>
      <c r="Z108" s="261">
        <v>7</v>
      </c>
      <c r="AA108" s="261">
        <v>1</v>
      </c>
      <c r="AB108" s="260" t="s">
        <v>1238</v>
      </c>
      <c r="AC108" s="261">
        <v>2013</v>
      </c>
      <c r="AD108" s="261" t="s">
        <v>1911</v>
      </c>
      <c r="AE108" s="262" t="s">
        <v>2149</v>
      </c>
      <c r="AF108"/>
      <c r="AG108"/>
      <c r="AH108" s="257" t="s">
        <v>773</v>
      </c>
      <c r="AI108" s="380" t="s">
        <v>3105</v>
      </c>
    </row>
    <row r="109" spans="1:35" ht="16.05" customHeight="1" thickBot="1">
      <c r="A109" s="3" t="s">
        <v>581</v>
      </c>
      <c r="B109" s="150">
        <v>7.5</v>
      </c>
      <c r="C109" s="2"/>
      <c r="D109" s="6" t="s">
        <v>50</v>
      </c>
      <c r="E109" s="150">
        <v>9</v>
      </c>
      <c r="F109" s="2"/>
      <c r="G109" s="16"/>
      <c r="H109" s="16"/>
      <c r="I109" s="2"/>
      <c r="J109" s="8" t="s">
        <v>556</v>
      </c>
      <c r="K109" s="151"/>
      <c r="L109" s="2"/>
      <c r="M109" s="6" t="s">
        <v>530</v>
      </c>
      <c r="N109" s="150">
        <v>9</v>
      </c>
      <c r="O109" s="17"/>
      <c r="R109" s="267">
        <v>107</v>
      </c>
      <c r="S109" s="257" t="s">
        <v>1603</v>
      </c>
      <c r="T109" s="258" t="s">
        <v>1596</v>
      </c>
      <c r="U109" s="258">
        <v>8.75</v>
      </c>
      <c r="V109" s="318">
        <v>8.6300000000000008</v>
      </c>
      <c r="W109" s="258">
        <v>8.5</v>
      </c>
      <c r="X109" s="258">
        <v>0.87</v>
      </c>
      <c r="Y109" s="258">
        <v>2</v>
      </c>
      <c r="Z109" s="258">
        <v>10</v>
      </c>
      <c r="AA109" s="258">
        <v>0</v>
      </c>
      <c r="AB109" s="257" t="s">
        <v>1606</v>
      </c>
      <c r="AC109" s="258">
        <v>1979</v>
      </c>
      <c r="AD109" s="258" t="s">
        <v>1914</v>
      </c>
      <c r="AE109" s="259" t="s">
        <v>2135</v>
      </c>
      <c r="AF109"/>
      <c r="AG109"/>
      <c r="AH109" s="260" t="s">
        <v>1100</v>
      </c>
      <c r="AI109" s="379" t="s">
        <v>2808</v>
      </c>
    </row>
    <row r="110" spans="1:35" ht="16.05" customHeight="1" thickBot="1">
      <c r="A110" s="3" t="s">
        <v>582</v>
      </c>
      <c r="B110" s="150">
        <v>8</v>
      </c>
      <c r="C110" s="2"/>
      <c r="D110" s="6" t="s">
        <v>567</v>
      </c>
      <c r="E110" s="150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1">
        <v>8</v>
      </c>
      <c r="O110" s="17"/>
      <c r="R110" s="267">
        <v>108</v>
      </c>
      <c r="S110" s="260" t="s">
        <v>1149</v>
      </c>
      <c r="T110" s="261" t="s">
        <v>1701</v>
      </c>
      <c r="U110" s="261">
        <v>8.57</v>
      </c>
      <c r="V110" s="318">
        <v>8.6300000000000008</v>
      </c>
      <c r="W110" s="261">
        <v>8.5</v>
      </c>
      <c r="X110" s="261">
        <v>0.78</v>
      </c>
      <c r="Y110" s="261">
        <v>3</v>
      </c>
      <c r="Z110" s="261">
        <v>28</v>
      </c>
      <c r="AA110" s="261">
        <v>1</v>
      </c>
      <c r="AB110" s="260" t="s">
        <v>1728</v>
      </c>
      <c r="AC110" s="261">
        <v>1995</v>
      </c>
      <c r="AD110" s="261" t="s">
        <v>1924</v>
      </c>
      <c r="AE110" s="262" t="s">
        <v>2128</v>
      </c>
      <c r="AF110"/>
      <c r="AG110"/>
      <c r="AH110" s="257" t="s">
        <v>1384</v>
      </c>
      <c r="AI110" s="380" t="s">
        <v>2274</v>
      </c>
    </row>
    <row r="111" spans="1:35" ht="16.05" customHeight="1" thickBot="1">
      <c r="A111" s="3" t="s">
        <v>583</v>
      </c>
      <c r="B111" s="150">
        <v>8</v>
      </c>
      <c r="C111" s="2"/>
      <c r="D111" s="6" t="s">
        <v>568</v>
      </c>
      <c r="E111" s="150">
        <v>7.5</v>
      </c>
      <c r="F111" s="2"/>
      <c r="G111" s="5" t="s">
        <v>587</v>
      </c>
      <c r="H111" s="149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67">
        <v>109</v>
      </c>
      <c r="S111" s="257" t="s">
        <v>2214</v>
      </c>
      <c r="T111" s="258" t="s">
        <v>2215</v>
      </c>
      <c r="U111" s="258">
        <v>8.73</v>
      </c>
      <c r="V111" s="318">
        <v>8.6300000000000008</v>
      </c>
      <c r="W111" s="258">
        <v>8.5</v>
      </c>
      <c r="X111" s="258">
        <v>0.67</v>
      </c>
      <c r="Y111" s="258">
        <v>2</v>
      </c>
      <c r="Z111" s="258">
        <v>15</v>
      </c>
      <c r="AA111" s="258">
        <v>2</v>
      </c>
      <c r="AB111" s="257" t="s">
        <v>2216</v>
      </c>
      <c r="AC111" s="258">
        <v>2024</v>
      </c>
      <c r="AD111" s="258" t="s">
        <v>1899</v>
      </c>
      <c r="AE111" s="259" t="s">
        <v>2217</v>
      </c>
      <c r="AF111"/>
      <c r="AG111"/>
      <c r="AH111" s="260" t="s">
        <v>1115</v>
      </c>
      <c r="AI111" s="379" t="s">
        <v>2408</v>
      </c>
    </row>
    <row r="112" spans="1:35" ht="16.05" customHeight="1" thickBot="1">
      <c r="A112" s="39" t="s">
        <v>584</v>
      </c>
      <c r="B112" s="151">
        <v>10.5</v>
      </c>
      <c r="C112" s="2"/>
      <c r="D112" s="6" t="s">
        <v>569</v>
      </c>
      <c r="E112" s="150">
        <v>7.5</v>
      </c>
      <c r="F112" s="2"/>
      <c r="G112" s="6" t="s">
        <v>588</v>
      </c>
      <c r="H112" s="150">
        <v>8</v>
      </c>
      <c r="I112" s="17"/>
      <c r="J112" s="3" t="s">
        <v>602</v>
      </c>
      <c r="K112" s="150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67">
        <v>110</v>
      </c>
      <c r="S112" s="260" t="s">
        <v>600</v>
      </c>
      <c r="T112" s="261" t="s">
        <v>601</v>
      </c>
      <c r="U112" s="261">
        <v>8.73</v>
      </c>
      <c r="V112" s="319">
        <v>8.6199999999999992</v>
      </c>
      <c r="W112" s="261">
        <v>8.5</v>
      </c>
      <c r="X112" s="261">
        <v>0.89</v>
      </c>
      <c r="Y112" s="261">
        <v>3</v>
      </c>
      <c r="Z112" s="261">
        <v>13</v>
      </c>
      <c r="AA112" s="261">
        <v>2</v>
      </c>
      <c r="AB112" s="260" t="s">
        <v>820</v>
      </c>
      <c r="AC112" s="261">
        <v>2015</v>
      </c>
      <c r="AD112" s="261" t="s">
        <v>1907</v>
      </c>
      <c r="AE112" s="262" t="s">
        <v>2172</v>
      </c>
      <c r="AF112"/>
      <c r="AG112"/>
      <c r="AH112" s="257" t="s">
        <v>1116</v>
      </c>
      <c r="AI112" s="380" t="s">
        <v>2408</v>
      </c>
    </row>
    <row r="113" spans="1:35" ht="16.05" customHeight="1" thickBot="1">
      <c r="A113" s="16"/>
      <c r="B113" s="16"/>
      <c r="C113" s="17"/>
      <c r="D113" s="15" t="s">
        <v>570</v>
      </c>
      <c r="E113" s="150">
        <v>8</v>
      </c>
      <c r="F113" s="2"/>
      <c r="G113" s="6" t="s">
        <v>589</v>
      </c>
      <c r="H113" s="150">
        <v>8.5</v>
      </c>
      <c r="I113" s="17"/>
      <c r="J113" s="3" t="s">
        <v>603</v>
      </c>
      <c r="K113" s="150">
        <v>10.5</v>
      </c>
      <c r="L113" s="17"/>
      <c r="M113" s="3" t="s">
        <v>615</v>
      </c>
      <c r="N113" s="150">
        <v>9</v>
      </c>
      <c r="O113" s="17"/>
      <c r="R113" s="267">
        <v>111</v>
      </c>
      <c r="S113" s="257" t="s">
        <v>1438</v>
      </c>
      <c r="T113" s="258" t="s">
        <v>1680</v>
      </c>
      <c r="U113" s="258">
        <v>8.7100000000000009</v>
      </c>
      <c r="V113" s="319">
        <v>8.6199999999999992</v>
      </c>
      <c r="W113" s="258">
        <v>8.5</v>
      </c>
      <c r="X113" s="258">
        <v>0.65</v>
      </c>
      <c r="Y113" s="258">
        <v>1</v>
      </c>
      <c r="Z113" s="258">
        <v>8</v>
      </c>
      <c r="AA113" s="258">
        <v>1</v>
      </c>
      <c r="AB113" s="257" t="s">
        <v>1681</v>
      </c>
      <c r="AC113" s="258">
        <v>2006</v>
      </c>
      <c r="AD113" s="258" t="s">
        <v>1933</v>
      </c>
      <c r="AE113" s="259" t="s">
        <v>2130</v>
      </c>
      <c r="AF113"/>
      <c r="AG113"/>
      <c r="AH113" s="260" t="s">
        <v>2234</v>
      </c>
      <c r="AI113" s="379" t="s">
        <v>2408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0">
        <v>7.5</v>
      </c>
      <c r="F114" s="2"/>
      <c r="G114" s="6" t="s">
        <v>590</v>
      </c>
      <c r="H114" s="150">
        <v>9</v>
      </c>
      <c r="I114" s="17"/>
      <c r="J114" s="3" t="s">
        <v>604</v>
      </c>
      <c r="K114" s="150">
        <v>6</v>
      </c>
      <c r="L114" s="17"/>
      <c r="M114" s="3" t="s">
        <v>616</v>
      </c>
      <c r="N114" s="150">
        <v>8.5</v>
      </c>
      <c r="O114" s="17"/>
      <c r="R114" s="267">
        <v>112</v>
      </c>
      <c r="S114" s="260" t="s">
        <v>816</v>
      </c>
      <c r="T114" s="261" t="s">
        <v>2870</v>
      </c>
      <c r="U114" s="261">
        <v>8.73</v>
      </c>
      <c r="V114" s="319">
        <v>8.6199999999999992</v>
      </c>
      <c r="W114" s="261">
        <v>8.5</v>
      </c>
      <c r="X114" s="261">
        <v>0.56999999999999995</v>
      </c>
      <c r="Y114" s="261">
        <v>1</v>
      </c>
      <c r="Z114" s="261">
        <v>21</v>
      </c>
      <c r="AA114" s="261">
        <v>6</v>
      </c>
      <c r="AB114" s="260" t="s">
        <v>2871</v>
      </c>
      <c r="AC114" s="261">
        <v>2004</v>
      </c>
      <c r="AD114" s="261" t="s">
        <v>1894</v>
      </c>
      <c r="AE114" s="262" t="s">
        <v>2830</v>
      </c>
      <c r="AF114"/>
      <c r="AG114"/>
      <c r="AH114" s="257" t="s">
        <v>1284</v>
      </c>
      <c r="AI114" s="380" t="s">
        <v>1096</v>
      </c>
    </row>
    <row r="115" spans="1:35" ht="16.05" customHeight="1" thickBot="1">
      <c r="A115" s="5" t="s">
        <v>629</v>
      </c>
      <c r="B115" s="150">
        <v>7.5</v>
      </c>
      <c r="C115" s="2"/>
      <c r="D115" s="8" t="s">
        <v>572</v>
      </c>
      <c r="E115" s="151">
        <v>10</v>
      </c>
      <c r="F115" s="2"/>
      <c r="G115" s="6" t="s">
        <v>591</v>
      </c>
      <c r="H115" s="150">
        <v>10</v>
      </c>
      <c r="I115" s="17"/>
      <c r="J115" s="3" t="s">
        <v>605</v>
      </c>
      <c r="K115" s="150">
        <v>9</v>
      </c>
      <c r="L115" s="17"/>
      <c r="M115" s="3" t="s">
        <v>617</v>
      </c>
      <c r="N115" s="150">
        <v>9</v>
      </c>
      <c r="O115" s="17"/>
      <c r="R115" s="267">
        <v>113</v>
      </c>
      <c r="S115" s="257" t="s">
        <v>2000</v>
      </c>
      <c r="T115" s="258" t="s">
        <v>2001</v>
      </c>
      <c r="U115" s="258">
        <v>8.67</v>
      </c>
      <c r="V115" s="320">
        <v>8.61</v>
      </c>
      <c r="W115" s="258">
        <v>8.75</v>
      </c>
      <c r="X115" s="258">
        <v>0.62</v>
      </c>
      <c r="Y115" s="258">
        <v>0</v>
      </c>
      <c r="Z115" s="258">
        <v>6</v>
      </c>
      <c r="AA115" s="258">
        <v>0</v>
      </c>
      <c r="AB115" s="257" t="s">
        <v>1075</v>
      </c>
      <c r="AC115" s="258">
        <v>2013</v>
      </c>
      <c r="AD115" s="258" t="s">
        <v>1903</v>
      </c>
      <c r="AE115" s="259" t="s">
        <v>2120</v>
      </c>
      <c r="AF115"/>
      <c r="AG115"/>
      <c r="AH115" s="260" t="s">
        <v>778</v>
      </c>
      <c r="AI115" s="379" t="s">
        <v>1096</v>
      </c>
    </row>
    <row r="116" spans="1:35" ht="16.05" customHeight="1" thickBot="1">
      <c r="A116" s="6" t="s">
        <v>630</v>
      </c>
      <c r="B116" s="150">
        <v>8</v>
      </c>
      <c r="C116" s="2"/>
      <c r="D116" s="14"/>
      <c r="E116" s="14"/>
      <c r="F116" s="2"/>
      <c r="G116" s="6" t="s">
        <v>592</v>
      </c>
      <c r="H116" s="150"/>
      <c r="I116" s="17"/>
      <c r="J116" s="3" t="s">
        <v>606</v>
      </c>
      <c r="K116" s="150">
        <v>8.5</v>
      </c>
      <c r="L116" s="17"/>
      <c r="M116" s="3" t="s">
        <v>618</v>
      </c>
      <c r="N116" s="150">
        <v>8</v>
      </c>
      <c r="O116" s="17"/>
      <c r="R116" s="267">
        <v>114</v>
      </c>
      <c r="S116" s="260" t="s">
        <v>335</v>
      </c>
      <c r="T116" s="261" t="s">
        <v>2287</v>
      </c>
      <c r="U116" s="261">
        <v>8.6999999999999993</v>
      </c>
      <c r="V116" s="320">
        <v>8.61</v>
      </c>
      <c r="W116" s="261">
        <v>8.5</v>
      </c>
      <c r="X116" s="261">
        <v>0.75</v>
      </c>
      <c r="Y116" s="261">
        <v>2</v>
      </c>
      <c r="Z116" s="261">
        <v>10</v>
      </c>
      <c r="AA116" s="261">
        <v>0</v>
      </c>
      <c r="AB116" s="260" t="s">
        <v>775</v>
      </c>
      <c r="AC116" s="261">
        <v>1983</v>
      </c>
      <c r="AD116" s="261" t="s">
        <v>1907</v>
      </c>
      <c r="AE116" s="262" t="s">
        <v>2275</v>
      </c>
      <c r="AF116"/>
      <c r="AG116"/>
      <c r="AH116" s="257" t="s">
        <v>1397</v>
      </c>
      <c r="AI116" s="380" t="s">
        <v>2290</v>
      </c>
    </row>
    <row r="117" spans="1:35" ht="16.05" customHeight="1" thickBot="1">
      <c r="A117" s="6" t="s">
        <v>631</v>
      </c>
      <c r="B117" s="150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0">
        <v>10</v>
      </c>
      <c r="I117" s="17"/>
      <c r="J117" s="3" t="s">
        <v>607</v>
      </c>
      <c r="K117" s="150">
        <v>8.5</v>
      </c>
      <c r="L117" s="17"/>
      <c r="M117" s="3" t="s">
        <v>619</v>
      </c>
      <c r="N117" s="150">
        <v>10</v>
      </c>
      <c r="O117" s="17"/>
      <c r="R117" s="267">
        <v>115</v>
      </c>
      <c r="S117" s="257" t="s">
        <v>931</v>
      </c>
      <c r="T117" s="258" t="s">
        <v>912</v>
      </c>
      <c r="U117" s="258">
        <v>8.5500000000000007</v>
      </c>
      <c r="V117" s="321">
        <v>8.6</v>
      </c>
      <c r="W117" s="258">
        <v>8.5</v>
      </c>
      <c r="X117" s="258">
        <v>0.96</v>
      </c>
      <c r="Y117" s="258">
        <v>3</v>
      </c>
      <c r="Z117" s="258">
        <v>19</v>
      </c>
      <c r="AA117" s="258">
        <v>0</v>
      </c>
      <c r="AB117" s="257" t="s">
        <v>932</v>
      </c>
      <c r="AC117" s="258">
        <v>1979</v>
      </c>
      <c r="AD117" s="258" t="s">
        <v>1910</v>
      </c>
      <c r="AE117" s="259" t="s">
        <v>2157</v>
      </c>
      <c r="AF117"/>
      <c r="AG117"/>
      <c r="AH117" s="260" t="s">
        <v>1092</v>
      </c>
      <c r="AI117" s="379" t="s">
        <v>2290</v>
      </c>
    </row>
    <row r="118" spans="1:35" ht="16.05" customHeight="1">
      <c r="A118" s="6" t="s">
        <v>632</v>
      </c>
      <c r="B118" s="150">
        <v>7</v>
      </c>
      <c r="C118" s="17"/>
      <c r="D118" s="3" t="s">
        <v>649</v>
      </c>
      <c r="E118" s="150">
        <v>9</v>
      </c>
      <c r="F118" s="2"/>
      <c r="G118" s="6" t="s">
        <v>594</v>
      </c>
      <c r="H118" s="150">
        <v>7.5</v>
      </c>
      <c r="I118" s="17"/>
      <c r="J118" s="3" t="s">
        <v>608</v>
      </c>
      <c r="K118" s="150">
        <v>7.5</v>
      </c>
      <c r="L118" s="17"/>
      <c r="M118" s="3" t="s">
        <v>620</v>
      </c>
      <c r="N118" s="150">
        <v>9.5</v>
      </c>
      <c r="O118" s="17"/>
      <c r="R118" s="267">
        <v>116</v>
      </c>
      <c r="S118" s="260" t="s">
        <v>3122</v>
      </c>
      <c r="T118" s="261">
        <v>4</v>
      </c>
      <c r="U118" s="261">
        <v>8.6</v>
      </c>
      <c r="V118" s="321">
        <v>8.6</v>
      </c>
      <c r="W118" s="261">
        <v>8.25</v>
      </c>
      <c r="X118" s="261">
        <v>0.97</v>
      </c>
      <c r="Y118" s="261">
        <v>2</v>
      </c>
      <c r="Z118" s="261">
        <v>10</v>
      </c>
      <c r="AA118" s="261">
        <v>0</v>
      </c>
      <c r="AB118" s="260" t="s">
        <v>3123</v>
      </c>
      <c r="AC118" s="261">
        <v>1981</v>
      </c>
      <c r="AD118" s="261" t="s">
        <v>1901</v>
      </c>
      <c r="AE118" s="262" t="s">
        <v>3124</v>
      </c>
      <c r="AF118"/>
      <c r="AG118"/>
      <c r="AH118" s="257" t="s">
        <v>2829</v>
      </c>
      <c r="AI118" s="380" t="s">
        <v>2848</v>
      </c>
    </row>
    <row r="119" spans="1:35" ht="16.05" customHeight="1">
      <c r="A119" s="6" t="s">
        <v>633</v>
      </c>
      <c r="B119" s="150">
        <v>7.5</v>
      </c>
      <c r="C119" s="17"/>
      <c r="D119" s="3" t="s">
        <v>650</v>
      </c>
      <c r="E119" s="150">
        <v>9.5</v>
      </c>
      <c r="F119" s="2"/>
      <c r="G119" s="6" t="s">
        <v>595</v>
      </c>
      <c r="H119" s="150"/>
      <c r="I119" s="17"/>
      <c r="J119" s="3" t="s">
        <v>609</v>
      </c>
      <c r="K119" s="150">
        <v>7</v>
      </c>
      <c r="L119" s="17"/>
      <c r="M119" s="3" t="s">
        <v>621</v>
      </c>
      <c r="N119" s="150">
        <v>10.5</v>
      </c>
      <c r="O119" s="17"/>
      <c r="R119" s="267">
        <v>117</v>
      </c>
      <c r="S119" s="257" t="s">
        <v>727</v>
      </c>
      <c r="T119" s="258" t="s">
        <v>728</v>
      </c>
      <c r="U119" s="258">
        <v>8.67</v>
      </c>
      <c r="V119" s="322">
        <v>8.58</v>
      </c>
      <c r="W119" s="258">
        <v>8.5</v>
      </c>
      <c r="X119" s="258">
        <v>0.62</v>
      </c>
      <c r="Y119" s="258">
        <v>1</v>
      </c>
      <c r="Z119" s="258">
        <v>9</v>
      </c>
      <c r="AA119" s="258">
        <v>0</v>
      </c>
      <c r="AB119" s="257" t="s">
        <v>778</v>
      </c>
      <c r="AC119" s="258">
        <v>1992</v>
      </c>
      <c r="AD119" s="258" t="s">
        <v>1919</v>
      </c>
      <c r="AE119" s="259" t="s">
        <v>2165</v>
      </c>
      <c r="AF119"/>
      <c r="AG119"/>
      <c r="AH119" s="260" t="s">
        <v>1112</v>
      </c>
      <c r="AI119" s="379" t="s">
        <v>2603</v>
      </c>
    </row>
    <row r="120" spans="1:35" ht="16.05" customHeight="1">
      <c r="A120" s="6" t="s">
        <v>634</v>
      </c>
      <c r="B120" s="150">
        <v>8</v>
      </c>
      <c r="C120" s="17"/>
      <c r="D120" s="3" t="s">
        <v>489</v>
      </c>
      <c r="E120" s="150">
        <v>10</v>
      </c>
      <c r="F120" s="2"/>
      <c r="G120" s="49" t="s">
        <v>596</v>
      </c>
      <c r="H120" s="150">
        <v>8</v>
      </c>
      <c r="I120" s="17"/>
      <c r="J120" s="3" t="s">
        <v>610</v>
      </c>
      <c r="K120" s="150"/>
      <c r="L120" s="17"/>
      <c r="M120" s="3" t="s">
        <v>622</v>
      </c>
      <c r="N120" s="150">
        <v>10</v>
      </c>
      <c r="O120" s="17"/>
      <c r="R120" s="267">
        <v>118</v>
      </c>
      <c r="S120" s="260" t="s">
        <v>768</v>
      </c>
      <c r="T120" s="261" t="s">
        <v>769</v>
      </c>
      <c r="U120" s="261">
        <v>8.67</v>
      </c>
      <c r="V120" s="323">
        <v>8.57</v>
      </c>
      <c r="W120" s="261">
        <v>8.5</v>
      </c>
      <c r="X120" s="261">
        <v>0.75</v>
      </c>
      <c r="Y120" s="261">
        <v>1</v>
      </c>
      <c r="Z120" s="261">
        <v>6</v>
      </c>
      <c r="AA120" s="261">
        <v>0</v>
      </c>
      <c r="AB120" s="260" t="s">
        <v>771</v>
      </c>
      <c r="AC120" s="261">
        <v>2024</v>
      </c>
      <c r="AD120" s="261" t="s">
        <v>1932</v>
      </c>
      <c r="AE120" s="262" t="s">
        <v>2163</v>
      </c>
      <c r="AF120"/>
      <c r="AG120"/>
      <c r="AH120" s="257" t="s">
        <v>1084</v>
      </c>
      <c r="AI120" s="380" t="s">
        <v>2879</v>
      </c>
    </row>
    <row r="121" spans="1:35" ht="16.05" customHeight="1">
      <c r="A121" s="6" t="s">
        <v>635</v>
      </c>
      <c r="B121" s="150">
        <v>8</v>
      </c>
      <c r="C121" s="17"/>
      <c r="D121" s="3" t="s">
        <v>651</v>
      </c>
      <c r="E121" s="150">
        <v>8</v>
      </c>
      <c r="F121" s="2"/>
      <c r="G121" s="6" t="s">
        <v>597</v>
      </c>
      <c r="H121" s="150">
        <v>8</v>
      </c>
      <c r="I121" s="17"/>
      <c r="J121" s="3" t="s">
        <v>611</v>
      </c>
      <c r="K121" s="150">
        <v>7</v>
      </c>
      <c r="L121" s="17"/>
      <c r="M121" s="3" t="s">
        <v>623</v>
      </c>
      <c r="N121" s="150">
        <v>8.5</v>
      </c>
      <c r="O121" s="17"/>
      <c r="R121" s="267">
        <v>119</v>
      </c>
      <c r="S121" s="257" t="s">
        <v>345</v>
      </c>
      <c r="T121" s="258" t="s">
        <v>160</v>
      </c>
      <c r="U121" s="258">
        <v>8.65</v>
      </c>
      <c r="V121" s="324">
        <v>8.56</v>
      </c>
      <c r="W121" s="258">
        <v>8.5</v>
      </c>
      <c r="X121" s="258">
        <v>0.72</v>
      </c>
      <c r="Y121" s="258">
        <v>2</v>
      </c>
      <c r="Z121" s="258">
        <v>13</v>
      </c>
      <c r="AA121" s="258">
        <v>0</v>
      </c>
      <c r="AB121" s="257" t="s">
        <v>782</v>
      </c>
      <c r="AC121" s="258">
        <v>2005</v>
      </c>
      <c r="AD121" s="258" t="s">
        <v>1929</v>
      </c>
      <c r="AE121" s="259" t="s">
        <v>2178</v>
      </c>
      <c r="AF121"/>
      <c r="AG121"/>
      <c r="AH121" s="260" t="s">
        <v>3133</v>
      </c>
      <c r="AI121" s="379" t="s">
        <v>1858</v>
      </c>
    </row>
    <row r="122" spans="1:35" ht="16.05" customHeight="1" thickBot="1">
      <c r="A122" s="6" t="s">
        <v>636</v>
      </c>
      <c r="B122" s="150">
        <v>8</v>
      </c>
      <c r="C122" s="17"/>
      <c r="D122" s="3" t="s">
        <v>652</v>
      </c>
      <c r="E122" s="150">
        <v>10.5</v>
      </c>
      <c r="F122" s="2"/>
      <c r="G122" s="6" t="s">
        <v>598</v>
      </c>
      <c r="H122" s="150">
        <v>8</v>
      </c>
      <c r="I122" s="17"/>
      <c r="J122" s="7" t="s">
        <v>612</v>
      </c>
      <c r="K122" s="151">
        <v>8.5</v>
      </c>
      <c r="L122" s="17"/>
      <c r="M122" s="3" t="s">
        <v>624</v>
      </c>
      <c r="N122" s="150">
        <v>7.5</v>
      </c>
      <c r="O122" s="17"/>
      <c r="R122" s="267">
        <v>120</v>
      </c>
      <c r="S122" s="260" t="s">
        <v>327</v>
      </c>
      <c r="T122" s="261" t="s">
        <v>855</v>
      </c>
      <c r="U122" s="261">
        <v>8.5</v>
      </c>
      <c r="V122" s="324">
        <v>8.56</v>
      </c>
      <c r="W122" s="261">
        <v>8.5</v>
      </c>
      <c r="X122" s="261">
        <v>0.96</v>
      </c>
      <c r="Y122" s="261">
        <v>2</v>
      </c>
      <c r="Z122" s="261">
        <v>14</v>
      </c>
      <c r="AA122" s="261">
        <v>1</v>
      </c>
      <c r="AB122" s="260" t="s">
        <v>753</v>
      </c>
      <c r="AC122" s="261">
        <v>2003</v>
      </c>
      <c r="AD122" s="261" t="s">
        <v>1928</v>
      </c>
      <c r="AE122" s="262" t="s">
        <v>2160</v>
      </c>
      <c r="AF122"/>
      <c r="AG122"/>
      <c r="AH122" s="257" t="s">
        <v>2103</v>
      </c>
      <c r="AI122" s="380" t="s">
        <v>1858</v>
      </c>
    </row>
    <row r="123" spans="1:35" ht="16.05" customHeight="1" thickBot="1">
      <c r="A123" s="6" t="s">
        <v>637</v>
      </c>
      <c r="B123" s="150">
        <v>6.5</v>
      </c>
      <c r="C123" s="17"/>
      <c r="D123" s="3" t="s">
        <v>653</v>
      </c>
      <c r="E123" s="150">
        <v>8</v>
      </c>
      <c r="F123" s="2"/>
      <c r="G123" s="8" t="s">
        <v>599</v>
      </c>
      <c r="H123" s="151">
        <v>9</v>
      </c>
      <c r="I123" s="2"/>
      <c r="J123" s="16"/>
      <c r="K123" s="16"/>
      <c r="L123" s="17"/>
      <c r="M123" s="3" t="s">
        <v>625</v>
      </c>
      <c r="N123" s="150">
        <v>8</v>
      </c>
      <c r="O123" s="17"/>
      <c r="R123" s="267">
        <v>121</v>
      </c>
      <c r="S123" s="257" t="s">
        <v>956</v>
      </c>
      <c r="T123" s="258" t="s">
        <v>954</v>
      </c>
      <c r="U123" s="258">
        <v>8.67</v>
      </c>
      <c r="V123" s="324">
        <v>8.56</v>
      </c>
      <c r="W123" s="258">
        <v>8.5</v>
      </c>
      <c r="X123" s="258">
        <v>0.71</v>
      </c>
      <c r="Y123" s="258">
        <v>1</v>
      </c>
      <c r="Z123" s="258">
        <v>10</v>
      </c>
      <c r="AA123" s="258">
        <v>1</v>
      </c>
      <c r="AB123" s="257" t="s">
        <v>957</v>
      </c>
      <c r="AC123" s="258">
        <v>1999</v>
      </c>
      <c r="AD123" s="258" t="s">
        <v>1934</v>
      </c>
      <c r="AE123" s="259" t="s">
        <v>2156</v>
      </c>
      <c r="AF123"/>
      <c r="AG123"/>
      <c r="AH123" s="260" t="s">
        <v>1102</v>
      </c>
      <c r="AI123" s="379" t="s">
        <v>1103</v>
      </c>
    </row>
    <row r="124" spans="1:35" ht="16.05" customHeight="1" thickBot="1">
      <c r="A124" s="6" t="s">
        <v>638</v>
      </c>
      <c r="B124" s="150">
        <v>7.5</v>
      </c>
      <c r="C124" s="17"/>
      <c r="D124" s="3" t="s">
        <v>654</v>
      </c>
      <c r="E124" s="150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0">
        <v>8.5</v>
      </c>
      <c r="O124" s="17"/>
      <c r="R124" s="267">
        <v>122</v>
      </c>
      <c r="S124" s="260" t="s">
        <v>2961</v>
      </c>
      <c r="T124" s="261" t="s">
        <v>2962</v>
      </c>
      <c r="U124" s="261">
        <v>8.65</v>
      </c>
      <c r="V124" s="324">
        <v>8.56</v>
      </c>
      <c r="W124" s="261">
        <v>8.5</v>
      </c>
      <c r="X124" s="261">
        <v>0.77</v>
      </c>
      <c r="Y124" s="261">
        <v>2</v>
      </c>
      <c r="Z124" s="261">
        <v>14</v>
      </c>
      <c r="AA124" s="261">
        <v>1</v>
      </c>
      <c r="AB124" s="260" t="s">
        <v>2963</v>
      </c>
      <c r="AC124" s="261">
        <v>2026</v>
      </c>
      <c r="AD124" s="261" t="s">
        <v>1896</v>
      </c>
      <c r="AE124" s="262" t="s">
        <v>2964</v>
      </c>
      <c r="AF124"/>
      <c r="AG124"/>
      <c r="AH124" s="257" t="s">
        <v>1095</v>
      </c>
      <c r="AI124" s="380" t="s">
        <v>1103</v>
      </c>
    </row>
    <row r="125" spans="1:35" ht="16.05" customHeight="1" thickBot="1">
      <c r="A125" s="6" t="s">
        <v>639</v>
      </c>
      <c r="B125" s="150">
        <v>7</v>
      </c>
      <c r="C125" s="17"/>
      <c r="D125" s="3" t="s">
        <v>655</v>
      </c>
      <c r="E125" s="150">
        <v>8.5</v>
      </c>
      <c r="F125" s="17"/>
      <c r="G125" s="231" t="s">
        <v>2666</v>
      </c>
      <c r="H125" s="1">
        <f>ROUND(SUM(H126:H129)/COUNT(H126:H129), 2)</f>
        <v>9.8800000000000008</v>
      </c>
      <c r="I125" s="2"/>
      <c r="J125" s="11" t="s">
        <v>657</v>
      </c>
      <c r="K125" s="150"/>
      <c r="L125" s="17"/>
      <c r="M125" s="37" t="s">
        <v>627</v>
      </c>
      <c r="N125" s="151">
        <v>7</v>
      </c>
      <c r="O125" s="17"/>
      <c r="R125" s="267">
        <v>123</v>
      </c>
      <c r="S125" s="257" t="s">
        <v>2390</v>
      </c>
      <c r="T125" s="258" t="s">
        <v>2391</v>
      </c>
      <c r="U125" s="258">
        <v>8.61</v>
      </c>
      <c r="V125" s="325">
        <v>8.5500000000000007</v>
      </c>
      <c r="W125" s="258">
        <v>8</v>
      </c>
      <c r="X125" s="258">
        <v>1.24</v>
      </c>
      <c r="Y125" s="258">
        <v>3</v>
      </c>
      <c r="Z125" s="258">
        <v>9</v>
      </c>
      <c r="AA125" s="258">
        <v>0</v>
      </c>
      <c r="AB125" s="257" t="s">
        <v>2234</v>
      </c>
      <c r="AC125" s="258">
        <v>1990</v>
      </c>
      <c r="AD125" s="258" t="s">
        <v>1904</v>
      </c>
      <c r="AE125" s="259" t="s">
        <v>2394</v>
      </c>
      <c r="AF125"/>
      <c r="AG125"/>
      <c r="AH125" s="260" t="s">
        <v>2501</v>
      </c>
      <c r="AI125" s="379" t="s">
        <v>2083</v>
      </c>
    </row>
    <row r="126" spans="1:35" ht="16.05" customHeight="1" thickBot="1">
      <c r="A126" s="6" t="s">
        <v>640</v>
      </c>
      <c r="B126" s="150">
        <v>8</v>
      </c>
      <c r="C126" s="2"/>
      <c r="D126" s="7" t="s">
        <v>656</v>
      </c>
      <c r="E126" s="151">
        <v>8</v>
      </c>
      <c r="F126" s="2"/>
      <c r="G126" s="11" t="s">
        <v>670</v>
      </c>
      <c r="H126" s="149">
        <v>10.5</v>
      </c>
      <c r="I126" s="2"/>
      <c r="J126" s="4" t="s">
        <v>658</v>
      </c>
      <c r="K126" s="150">
        <v>7.5</v>
      </c>
      <c r="L126" s="2"/>
      <c r="M126" s="16"/>
      <c r="N126" s="16"/>
      <c r="O126" s="17"/>
      <c r="R126" s="267">
        <v>124</v>
      </c>
      <c r="S126" s="260" t="s">
        <v>330</v>
      </c>
      <c r="T126" s="261" t="s">
        <v>2096</v>
      </c>
      <c r="U126" s="261">
        <v>8.6</v>
      </c>
      <c r="V126" s="326">
        <v>8.5399999999999991</v>
      </c>
      <c r="W126" s="261">
        <v>8</v>
      </c>
      <c r="X126" s="261">
        <v>1.02</v>
      </c>
      <c r="Y126" s="261">
        <v>2</v>
      </c>
      <c r="Z126" s="261">
        <v>10</v>
      </c>
      <c r="AA126" s="261">
        <v>0</v>
      </c>
      <c r="AB126" s="260" t="s">
        <v>2101</v>
      </c>
      <c r="AC126" s="261">
        <v>1970</v>
      </c>
      <c r="AD126" s="261" t="s">
        <v>1932</v>
      </c>
      <c r="AE126" s="262" t="s">
        <v>2118</v>
      </c>
      <c r="AF126"/>
      <c r="AG126"/>
      <c r="AH126" s="257" t="s">
        <v>1460</v>
      </c>
      <c r="AI126" s="380" t="s">
        <v>2083</v>
      </c>
    </row>
    <row r="127" spans="1:35" ht="16.05" customHeight="1" thickBot="1">
      <c r="A127" s="6" t="s">
        <v>641</v>
      </c>
      <c r="B127" s="150">
        <v>7</v>
      </c>
      <c r="C127" s="2"/>
      <c r="D127" s="14"/>
      <c r="E127" s="16"/>
      <c r="F127" s="2"/>
      <c r="G127" s="4" t="s">
        <v>671</v>
      </c>
      <c r="H127" s="150">
        <v>9.5</v>
      </c>
      <c r="I127" s="34"/>
      <c r="J127" s="4" t="s">
        <v>659</v>
      </c>
      <c r="K127" s="150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67">
        <v>125</v>
      </c>
      <c r="S127" s="257" t="s">
        <v>1477</v>
      </c>
      <c r="T127" s="258" t="s">
        <v>2669</v>
      </c>
      <c r="U127" s="258">
        <v>8.69</v>
      </c>
      <c r="V127" s="326">
        <v>8.5399999999999991</v>
      </c>
      <c r="W127" s="258">
        <v>8.25</v>
      </c>
      <c r="X127" s="258">
        <v>1.06</v>
      </c>
      <c r="Y127" s="258">
        <v>3</v>
      </c>
      <c r="Z127" s="258">
        <v>8</v>
      </c>
      <c r="AA127" s="258">
        <v>0</v>
      </c>
      <c r="AB127" s="257" t="s">
        <v>2678</v>
      </c>
      <c r="AC127" s="258">
        <v>1997</v>
      </c>
      <c r="AD127" s="258" t="s">
        <v>2605</v>
      </c>
      <c r="AE127" s="259" t="s">
        <v>2679</v>
      </c>
      <c r="AF127"/>
      <c r="AG127"/>
      <c r="AH127" s="260" t="s">
        <v>1098</v>
      </c>
      <c r="AI127" s="379" t="s">
        <v>1440</v>
      </c>
    </row>
    <row r="128" spans="1:35" ht="16.05" customHeight="1" thickBot="1">
      <c r="A128" s="6" t="s">
        <v>642</v>
      </c>
      <c r="B128" s="150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0">
        <v>10.5</v>
      </c>
      <c r="I128" s="2"/>
      <c r="J128" s="4" t="s">
        <v>660</v>
      </c>
      <c r="K128" s="150">
        <v>7</v>
      </c>
      <c r="L128" s="2"/>
      <c r="M128" s="11" t="s">
        <v>692</v>
      </c>
      <c r="N128" s="149">
        <v>8.5</v>
      </c>
      <c r="O128" s="17"/>
      <c r="R128" s="267">
        <v>126</v>
      </c>
      <c r="S128" s="260" t="s">
        <v>2824</v>
      </c>
      <c r="T128" s="261" t="s">
        <v>2824</v>
      </c>
      <c r="U128" s="261">
        <v>8.6300000000000008</v>
      </c>
      <c r="V128" s="326">
        <v>8.5399999999999991</v>
      </c>
      <c r="W128" s="261">
        <v>8.5</v>
      </c>
      <c r="X128" s="261">
        <v>0.71</v>
      </c>
      <c r="Y128" s="261">
        <v>2</v>
      </c>
      <c r="Z128" s="261">
        <v>12</v>
      </c>
      <c r="AA128" s="261">
        <v>0</v>
      </c>
      <c r="AB128" s="260" t="s">
        <v>2829</v>
      </c>
      <c r="AC128" s="261">
        <v>2007</v>
      </c>
      <c r="AD128" s="261" t="s">
        <v>1913</v>
      </c>
      <c r="AE128" s="262" t="s">
        <v>2830</v>
      </c>
      <c r="AF128"/>
      <c r="AG128"/>
      <c r="AH128" s="257" t="s">
        <v>1104</v>
      </c>
      <c r="AI128" s="380" t="s">
        <v>2827</v>
      </c>
    </row>
    <row r="129" spans="1:35" ht="16.05" customHeight="1" thickBot="1">
      <c r="A129" s="6" t="s">
        <v>643</v>
      </c>
      <c r="B129" s="150">
        <v>8.5</v>
      </c>
      <c r="C129" s="2"/>
      <c r="D129" s="11" t="s">
        <v>675</v>
      </c>
      <c r="E129" s="149">
        <v>7.5</v>
      </c>
      <c r="F129" s="2"/>
      <c r="G129" s="7" t="s">
        <v>673</v>
      </c>
      <c r="H129" s="151">
        <v>9</v>
      </c>
      <c r="I129" s="2"/>
      <c r="J129" s="4" t="s">
        <v>661</v>
      </c>
      <c r="K129" s="150">
        <v>6.5</v>
      </c>
      <c r="L129" s="2"/>
      <c r="M129" s="4" t="s">
        <v>693</v>
      </c>
      <c r="N129" s="150">
        <v>10</v>
      </c>
      <c r="O129" s="17"/>
      <c r="R129" s="267">
        <v>127</v>
      </c>
      <c r="S129" s="257" t="s">
        <v>2422</v>
      </c>
      <c r="T129" s="258" t="s">
        <v>2423</v>
      </c>
      <c r="U129" s="258">
        <v>8.69</v>
      </c>
      <c r="V129" s="327">
        <v>8.5299999999999994</v>
      </c>
      <c r="W129" s="258">
        <v>8.25</v>
      </c>
      <c r="X129" s="258">
        <v>0.79</v>
      </c>
      <c r="Y129" s="258">
        <v>1</v>
      </c>
      <c r="Z129" s="258">
        <v>8</v>
      </c>
      <c r="AA129" s="258">
        <v>0</v>
      </c>
      <c r="AB129" s="257" t="s">
        <v>2425</v>
      </c>
      <c r="AC129" s="258">
        <v>1976</v>
      </c>
      <c r="AD129" s="258" t="s">
        <v>1909</v>
      </c>
      <c r="AE129" s="259" t="s">
        <v>2426</v>
      </c>
      <c r="AF129"/>
      <c r="AG129"/>
      <c r="AH129" s="260" t="s">
        <v>1105</v>
      </c>
      <c r="AI129" s="379" t="s">
        <v>1106</v>
      </c>
    </row>
    <row r="130" spans="1:35" ht="16.05" customHeight="1" thickBot="1">
      <c r="A130" s="6" t="s">
        <v>644</v>
      </c>
      <c r="B130" s="150">
        <v>8</v>
      </c>
      <c r="C130" s="2"/>
      <c r="D130" s="4" t="s">
        <v>676</v>
      </c>
      <c r="E130" s="150"/>
      <c r="F130" s="2"/>
      <c r="G130" s="16"/>
      <c r="H130" s="16"/>
      <c r="I130" s="2"/>
      <c r="J130" s="4" t="s">
        <v>662</v>
      </c>
      <c r="K130" s="150">
        <v>8</v>
      </c>
      <c r="L130" s="2"/>
      <c r="M130" s="4" t="s">
        <v>694</v>
      </c>
      <c r="N130" s="150">
        <v>10</v>
      </c>
      <c r="O130" s="17"/>
      <c r="R130" s="267">
        <v>128</v>
      </c>
      <c r="S130" s="260" t="s">
        <v>1155</v>
      </c>
      <c r="T130" s="261" t="s">
        <v>2464</v>
      </c>
      <c r="U130" s="261">
        <v>8.61</v>
      </c>
      <c r="V130" s="327">
        <v>8.5299999999999994</v>
      </c>
      <c r="W130" s="261">
        <v>8.5</v>
      </c>
      <c r="X130" s="261">
        <v>0.66</v>
      </c>
      <c r="Y130" s="261">
        <v>1</v>
      </c>
      <c r="Z130" s="261">
        <v>9</v>
      </c>
      <c r="AA130" s="261">
        <v>0</v>
      </c>
      <c r="AB130" s="260" t="s">
        <v>776</v>
      </c>
      <c r="AC130" s="261">
        <v>1998</v>
      </c>
      <c r="AD130" s="261" t="s">
        <v>1928</v>
      </c>
      <c r="AE130" s="262" t="s">
        <v>2482</v>
      </c>
      <c r="AF130"/>
      <c r="AG130"/>
      <c r="AH130" s="257" t="s">
        <v>1107</v>
      </c>
      <c r="AI130" s="380" t="s">
        <v>1106</v>
      </c>
    </row>
    <row r="131" spans="1:35" ht="16.05" customHeight="1" thickBot="1">
      <c r="A131" s="6" t="s">
        <v>645</v>
      </c>
      <c r="B131" s="150">
        <v>9</v>
      </c>
      <c r="C131" s="2"/>
      <c r="D131" s="4" t="s">
        <v>677</v>
      </c>
      <c r="E131" s="150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0">
        <v>6.5</v>
      </c>
      <c r="L131" s="2"/>
      <c r="M131" s="4" t="s">
        <v>695</v>
      </c>
      <c r="N131" s="150">
        <v>10.5</v>
      </c>
      <c r="O131" s="17"/>
      <c r="R131" s="267">
        <v>129</v>
      </c>
      <c r="S131" s="257" t="s">
        <v>3261</v>
      </c>
      <c r="T131" s="258" t="s">
        <v>3249</v>
      </c>
      <c r="U131" s="258">
        <v>8.6300000000000008</v>
      </c>
      <c r="V131" s="327">
        <v>8.5299999999999994</v>
      </c>
      <c r="W131" s="258">
        <v>8.5</v>
      </c>
      <c r="X131" s="258">
        <v>0.68</v>
      </c>
      <c r="Y131" s="258">
        <v>1</v>
      </c>
      <c r="Z131" s="258">
        <v>13</v>
      </c>
      <c r="AA131" s="258">
        <v>1</v>
      </c>
      <c r="AB131" s="257" t="s">
        <v>3273</v>
      </c>
      <c r="AC131" s="258">
        <v>2017</v>
      </c>
      <c r="AD131" s="258" t="s">
        <v>1896</v>
      </c>
      <c r="AE131" s="259" t="s">
        <v>3228</v>
      </c>
      <c r="AF131"/>
      <c r="AG131"/>
      <c r="AH131" s="260" t="s">
        <v>1658</v>
      </c>
      <c r="AI131" s="379" t="s">
        <v>1106</v>
      </c>
    </row>
    <row r="132" spans="1:35" ht="16.05" customHeight="1" thickBot="1">
      <c r="A132" s="6" t="s">
        <v>646</v>
      </c>
      <c r="B132" s="150">
        <v>7.5</v>
      </c>
      <c r="C132" s="2"/>
      <c r="D132" s="4" t="s">
        <v>678</v>
      </c>
      <c r="E132" s="150">
        <v>10</v>
      </c>
      <c r="F132" s="2"/>
      <c r="G132" s="11" t="s">
        <v>701</v>
      </c>
      <c r="H132" s="149"/>
      <c r="I132" s="2"/>
      <c r="J132" s="4" t="s">
        <v>664</v>
      </c>
      <c r="K132" s="150">
        <v>7</v>
      </c>
      <c r="L132" s="2"/>
      <c r="M132" s="4" t="s">
        <v>696</v>
      </c>
      <c r="N132" s="150">
        <v>8.5</v>
      </c>
      <c r="O132" s="17"/>
      <c r="R132" s="267">
        <v>130</v>
      </c>
      <c r="S132" s="260" t="s">
        <v>1855</v>
      </c>
      <c r="T132" s="261" t="s">
        <v>1856</v>
      </c>
      <c r="U132" s="261">
        <v>8.6</v>
      </c>
      <c r="V132" s="328">
        <v>8.52</v>
      </c>
      <c r="W132" s="261">
        <v>8.5</v>
      </c>
      <c r="X132" s="261">
        <v>0.66</v>
      </c>
      <c r="Y132" s="261">
        <v>1</v>
      </c>
      <c r="Z132" s="261">
        <v>10</v>
      </c>
      <c r="AA132" s="261">
        <v>0</v>
      </c>
      <c r="AB132" s="260" t="s">
        <v>1857</v>
      </c>
      <c r="AC132" s="261">
        <v>2024</v>
      </c>
      <c r="AD132" s="261" t="s">
        <v>1932</v>
      </c>
      <c r="AE132" s="262" t="s">
        <v>2123</v>
      </c>
      <c r="AF132"/>
      <c r="AG132"/>
      <c r="AH132" s="257" t="s">
        <v>1108</v>
      </c>
      <c r="AI132" s="380" t="s">
        <v>1109</v>
      </c>
    </row>
    <row r="133" spans="1:35" ht="16.05" customHeight="1" thickBot="1">
      <c r="A133" s="51"/>
      <c r="B133" s="14"/>
      <c r="C133" s="2"/>
      <c r="D133" s="4" t="s">
        <v>679</v>
      </c>
      <c r="E133" s="150">
        <v>8</v>
      </c>
      <c r="F133" s="2"/>
      <c r="G133" s="4" t="s">
        <v>702</v>
      </c>
      <c r="H133" s="150">
        <v>8</v>
      </c>
      <c r="I133" s="2"/>
      <c r="J133" s="4" t="s">
        <v>665</v>
      </c>
      <c r="K133" s="150">
        <v>7</v>
      </c>
      <c r="L133" s="2"/>
      <c r="M133" s="4" t="s">
        <v>697</v>
      </c>
      <c r="N133" s="150">
        <v>7.5</v>
      </c>
      <c r="O133" s="17"/>
      <c r="R133" s="267">
        <v>131</v>
      </c>
      <c r="S133" s="257" t="s">
        <v>2345</v>
      </c>
      <c r="T133" s="258" t="s">
        <v>2344</v>
      </c>
      <c r="U133" s="258">
        <v>8.61</v>
      </c>
      <c r="V133" s="328">
        <v>8.52</v>
      </c>
      <c r="W133" s="258">
        <v>8.5</v>
      </c>
      <c r="X133" s="258">
        <v>0.87</v>
      </c>
      <c r="Y133" s="258">
        <v>2</v>
      </c>
      <c r="Z133" s="258">
        <v>10</v>
      </c>
      <c r="AA133" s="258">
        <v>1</v>
      </c>
      <c r="AB133" s="257" t="s">
        <v>2346</v>
      </c>
      <c r="AC133" s="258">
        <v>2015</v>
      </c>
      <c r="AD133" s="258" t="s">
        <v>1928</v>
      </c>
      <c r="AE133" s="259" t="s">
        <v>2347</v>
      </c>
      <c r="AF133"/>
      <c r="AG133"/>
      <c r="AH133" s="260" t="s">
        <v>2718</v>
      </c>
      <c r="AI133" s="379" t="s">
        <v>1109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0">
        <v>8.5</v>
      </c>
      <c r="F134" s="2"/>
      <c r="G134" s="4" t="s">
        <v>703</v>
      </c>
      <c r="H134" s="150">
        <v>8</v>
      </c>
      <c r="I134" s="2"/>
      <c r="J134" s="7" t="s">
        <v>666</v>
      </c>
      <c r="K134" s="151">
        <v>7</v>
      </c>
      <c r="L134" s="2"/>
      <c r="M134" s="4" t="s">
        <v>698</v>
      </c>
      <c r="N134" s="150">
        <v>9</v>
      </c>
      <c r="O134" s="17"/>
      <c r="R134" s="267">
        <v>132</v>
      </c>
      <c r="S134" s="260" t="s">
        <v>1630</v>
      </c>
      <c r="T134" s="261" t="s">
        <v>1631</v>
      </c>
      <c r="U134" s="261">
        <v>8.6</v>
      </c>
      <c r="V134" s="329">
        <v>8.5</v>
      </c>
      <c r="W134" s="261">
        <v>8.5</v>
      </c>
      <c r="X134" s="261">
        <v>0.83</v>
      </c>
      <c r="Y134" s="261">
        <v>1</v>
      </c>
      <c r="Z134" s="261">
        <v>10</v>
      </c>
      <c r="AA134" s="261">
        <v>0</v>
      </c>
      <c r="AB134" s="260" t="s">
        <v>762</v>
      </c>
      <c r="AC134" s="261">
        <v>1993</v>
      </c>
      <c r="AD134" s="261" t="s">
        <v>1909</v>
      </c>
      <c r="AE134" s="262" t="s">
        <v>2134</v>
      </c>
      <c r="AF134"/>
      <c r="AG134"/>
      <c r="AH134" s="257" t="s">
        <v>1085</v>
      </c>
      <c r="AI134" s="380" t="s">
        <v>2657</v>
      </c>
    </row>
    <row r="135" spans="1:35" ht="16.05" customHeight="1" thickBot="1">
      <c r="A135" s="11" t="s">
        <v>718</v>
      </c>
      <c r="B135" s="149">
        <v>9</v>
      </c>
      <c r="C135" s="2"/>
      <c r="D135" s="4" t="s">
        <v>681</v>
      </c>
      <c r="E135" s="150">
        <v>10</v>
      </c>
      <c r="F135" s="2"/>
      <c r="G135" s="4" t="s">
        <v>704</v>
      </c>
      <c r="H135" s="150">
        <v>10</v>
      </c>
      <c r="I135" s="2"/>
      <c r="J135" s="16"/>
      <c r="K135" s="16"/>
      <c r="L135" s="2"/>
      <c r="M135" s="7" t="s">
        <v>699</v>
      </c>
      <c r="N135" s="151">
        <v>9</v>
      </c>
      <c r="O135" s="17"/>
      <c r="R135" s="267">
        <v>133</v>
      </c>
      <c r="S135" s="257" t="s">
        <v>2231</v>
      </c>
      <c r="T135" s="258" t="s">
        <v>2232</v>
      </c>
      <c r="U135" s="258">
        <v>8.58</v>
      </c>
      <c r="V135" s="329">
        <v>8.5</v>
      </c>
      <c r="W135" s="258">
        <v>8.5</v>
      </c>
      <c r="X135" s="258">
        <v>0.67</v>
      </c>
      <c r="Y135" s="258">
        <v>1</v>
      </c>
      <c r="Z135" s="258">
        <v>12</v>
      </c>
      <c r="AA135" s="258">
        <v>0</v>
      </c>
      <c r="AB135" s="257" t="s">
        <v>2235</v>
      </c>
      <c r="AC135" s="258">
        <v>1992</v>
      </c>
      <c r="AD135" s="258" t="s">
        <v>1928</v>
      </c>
      <c r="AE135" s="259" t="s">
        <v>2217</v>
      </c>
      <c r="AF135"/>
      <c r="AG135"/>
      <c r="AH135" s="260" t="s">
        <v>1110</v>
      </c>
      <c r="AI135" s="379" t="s">
        <v>1111</v>
      </c>
    </row>
    <row r="136" spans="1:35" ht="16.05" customHeight="1" thickBot="1">
      <c r="A136" s="4" t="s">
        <v>719</v>
      </c>
      <c r="B136" s="150">
        <v>9</v>
      </c>
      <c r="C136" s="2"/>
      <c r="D136" s="4" t="s">
        <v>682</v>
      </c>
      <c r="E136" s="150">
        <v>8</v>
      </c>
      <c r="F136" s="2"/>
      <c r="G136" s="4" t="s">
        <v>705</v>
      </c>
      <c r="H136" s="150">
        <v>9</v>
      </c>
      <c r="I136" s="17"/>
      <c r="J136" s="146" t="s">
        <v>1796</v>
      </c>
      <c r="K136" s="12">
        <f>ROUND(SUM(K137:K147)/COUNT(K137:K147), 2)</f>
        <v>8.91</v>
      </c>
      <c r="L136" s="2"/>
      <c r="M136" s="16"/>
      <c r="N136" s="16"/>
      <c r="O136" s="17"/>
      <c r="R136" s="267">
        <v>134</v>
      </c>
      <c r="S136" s="260" t="s">
        <v>3131</v>
      </c>
      <c r="T136" s="261" t="s">
        <v>3132</v>
      </c>
      <c r="U136" s="261">
        <v>8.58</v>
      </c>
      <c r="V136" s="329">
        <v>8.5</v>
      </c>
      <c r="W136" s="261">
        <v>8.5</v>
      </c>
      <c r="X136" s="261">
        <v>0.79</v>
      </c>
      <c r="Y136" s="261">
        <v>1</v>
      </c>
      <c r="Z136" s="261">
        <v>6</v>
      </c>
      <c r="AA136" s="261">
        <v>0</v>
      </c>
      <c r="AB136" s="260" t="s">
        <v>3134</v>
      </c>
      <c r="AC136" s="261">
        <v>1976</v>
      </c>
      <c r="AD136" s="261" t="s">
        <v>2605</v>
      </c>
      <c r="AE136" s="262" t="s">
        <v>3124</v>
      </c>
      <c r="AF136"/>
      <c r="AG136"/>
      <c r="AH136" s="257" t="s">
        <v>764</v>
      </c>
      <c r="AI136" s="380" t="s">
        <v>1774</v>
      </c>
    </row>
    <row r="137" spans="1:35" ht="16.05" customHeight="1" thickBot="1">
      <c r="A137" s="4" t="s">
        <v>720</v>
      </c>
      <c r="B137" s="150">
        <v>8.5</v>
      </c>
      <c r="C137" s="2"/>
      <c r="D137" s="4" t="s">
        <v>683</v>
      </c>
      <c r="E137" s="150">
        <v>8</v>
      </c>
      <c r="F137" s="2"/>
      <c r="G137" s="4" t="s">
        <v>706</v>
      </c>
      <c r="H137" s="150">
        <v>8.5</v>
      </c>
      <c r="I137" s="17"/>
      <c r="J137" s="11" t="s">
        <v>294</v>
      </c>
      <c r="K137" s="149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67">
        <v>135</v>
      </c>
      <c r="S137" s="257" t="s">
        <v>837</v>
      </c>
      <c r="T137" s="258" t="s">
        <v>2273</v>
      </c>
      <c r="U137" s="258">
        <v>8.57</v>
      </c>
      <c r="V137" s="330">
        <v>8.49</v>
      </c>
      <c r="W137" s="258">
        <v>8.5</v>
      </c>
      <c r="X137" s="258">
        <v>0.6</v>
      </c>
      <c r="Y137" s="258">
        <v>1</v>
      </c>
      <c r="Z137" s="258">
        <v>15</v>
      </c>
      <c r="AA137" s="258">
        <v>0</v>
      </c>
      <c r="AB137" s="257" t="s">
        <v>838</v>
      </c>
      <c r="AC137" s="258">
        <v>2003</v>
      </c>
      <c r="AD137" s="258" t="s">
        <v>1929</v>
      </c>
      <c r="AE137" s="259" t="s">
        <v>2275</v>
      </c>
      <c r="AF137"/>
      <c r="AG137"/>
      <c r="AH137" s="260" t="s">
        <v>1280</v>
      </c>
      <c r="AI137" s="379" t="s">
        <v>1281</v>
      </c>
    </row>
    <row r="138" spans="1:35" ht="16.05" customHeight="1">
      <c r="A138" s="4" t="s">
        <v>721</v>
      </c>
      <c r="B138" s="150">
        <v>9</v>
      </c>
      <c r="C138" s="2"/>
      <c r="D138" s="4" t="s">
        <v>684</v>
      </c>
      <c r="E138" s="150">
        <v>7</v>
      </c>
      <c r="F138" s="2"/>
      <c r="G138" s="4" t="s">
        <v>707</v>
      </c>
      <c r="H138" s="150">
        <v>10.5</v>
      </c>
      <c r="I138" s="17"/>
      <c r="J138" s="4" t="s">
        <v>729</v>
      </c>
      <c r="K138" s="150">
        <v>10</v>
      </c>
      <c r="L138" s="17"/>
      <c r="M138" s="11" t="s">
        <v>741</v>
      </c>
      <c r="N138" s="149">
        <v>8.5</v>
      </c>
      <c r="O138" s="17"/>
      <c r="R138" s="267">
        <v>136</v>
      </c>
      <c r="S138" s="260" t="s">
        <v>1022</v>
      </c>
      <c r="T138" s="261" t="s">
        <v>1023</v>
      </c>
      <c r="U138" s="261">
        <v>8.5500000000000007</v>
      </c>
      <c r="V138" s="331">
        <v>8.4700000000000006</v>
      </c>
      <c r="W138" s="261">
        <v>8.5</v>
      </c>
      <c r="X138" s="261">
        <v>0.69</v>
      </c>
      <c r="Y138" s="261">
        <v>1</v>
      </c>
      <c r="Z138" s="261">
        <v>12</v>
      </c>
      <c r="AA138" s="261">
        <v>1</v>
      </c>
      <c r="AB138" s="260" t="s">
        <v>774</v>
      </c>
      <c r="AC138" s="261">
        <v>1999</v>
      </c>
      <c r="AD138" s="261" t="s">
        <v>1898</v>
      </c>
      <c r="AE138" s="262" t="s">
        <v>2152</v>
      </c>
      <c r="AF138"/>
      <c r="AG138"/>
      <c r="AH138" s="257" t="s">
        <v>1282</v>
      </c>
      <c r="AI138" s="380" t="s">
        <v>1281</v>
      </c>
    </row>
    <row r="139" spans="1:35" ht="16.05" customHeight="1">
      <c r="A139" s="4" t="s">
        <v>722</v>
      </c>
      <c r="B139" s="150">
        <v>10</v>
      </c>
      <c r="C139" s="2"/>
      <c r="D139" s="4" t="s">
        <v>685</v>
      </c>
      <c r="E139" s="150">
        <v>6.5</v>
      </c>
      <c r="F139" s="2"/>
      <c r="G139" s="4" t="s">
        <v>708</v>
      </c>
      <c r="H139" s="150">
        <v>8</v>
      </c>
      <c r="I139" s="17"/>
      <c r="J139" s="4" t="s">
        <v>730</v>
      </c>
      <c r="K139" s="150">
        <v>8.5</v>
      </c>
      <c r="L139" s="17"/>
      <c r="M139" s="4" t="s">
        <v>742</v>
      </c>
      <c r="N139" s="150">
        <v>10.5</v>
      </c>
      <c r="O139" s="17"/>
      <c r="R139" s="267">
        <v>137</v>
      </c>
      <c r="S139" s="257" t="s">
        <v>2715</v>
      </c>
      <c r="T139" s="258" t="s">
        <v>2711</v>
      </c>
      <c r="U139" s="258">
        <v>8.5500000000000007</v>
      </c>
      <c r="V139" s="331">
        <v>8.4700000000000006</v>
      </c>
      <c r="W139" s="258">
        <v>8.5</v>
      </c>
      <c r="X139" s="258">
        <v>0.78</v>
      </c>
      <c r="Y139" s="258">
        <v>2</v>
      </c>
      <c r="Z139" s="258">
        <v>11</v>
      </c>
      <c r="AA139" s="258">
        <v>0</v>
      </c>
      <c r="AB139" s="257" t="s">
        <v>2716</v>
      </c>
      <c r="AC139" s="258">
        <v>1970</v>
      </c>
      <c r="AD139" s="258" t="s">
        <v>1920</v>
      </c>
      <c r="AE139" s="259" t="s">
        <v>2717</v>
      </c>
      <c r="AF139"/>
      <c r="AG139"/>
      <c r="AH139" s="260" t="s">
        <v>3082</v>
      </c>
      <c r="AI139" s="379" t="s">
        <v>1582</v>
      </c>
    </row>
    <row r="140" spans="1:35" ht="16.05" customHeight="1">
      <c r="A140" s="4" t="s">
        <v>723</v>
      </c>
      <c r="B140" s="150">
        <v>8</v>
      </c>
      <c r="C140" s="2"/>
      <c r="D140" s="4" t="s">
        <v>686</v>
      </c>
      <c r="E140" s="150">
        <v>7</v>
      </c>
      <c r="F140" s="2"/>
      <c r="G140" s="4" t="s">
        <v>709</v>
      </c>
      <c r="H140" s="150">
        <v>8</v>
      </c>
      <c r="I140" s="17"/>
      <c r="J140" s="4" t="s">
        <v>731</v>
      </c>
      <c r="K140" s="150">
        <v>10.5</v>
      </c>
      <c r="L140" s="17"/>
      <c r="M140" s="4" t="s">
        <v>743</v>
      </c>
      <c r="N140" s="150">
        <v>10</v>
      </c>
      <c r="O140" s="17"/>
      <c r="R140" s="267">
        <v>138</v>
      </c>
      <c r="S140" s="260" t="s">
        <v>1740</v>
      </c>
      <c r="T140" s="261" t="s">
        <v>2807</v>
      </c>
      <c r="U140" s="261">
        <v>8.5</v>
      </c>
      <c r="V140" s="331">
        <v>8.4700000000000006</v>
      </c>
      <c r="W140" s="261">
        <v>8</v>
      </c>
      <c r="X140" s="261">
        <v>0.8</v>
      </c>
      <c r="Y140" s="261">
        <v>1</v>
      </c>
      <c r="Z140" s="261">
        <v>11</v>
      </c>
      <c r="AA140" s="261">
        <v>0</v>
      </c>
      <c r="AB140" s="260" t="s">
        <v>943</v>
      </c>
      <c r="AC140" s="261">
        <v>2008</v>
      </c>
      <c r="AD140" s="261" t="s">
        <v>1918</v>
      </c>
      <c r="AE140" s="262" t="s">
        <v>2811</v>
      </c>
      <c r="AF140"/>
      <c r="AG140"/>
      <c r="AH140" s="257" t="s">
        <v>1581</v>
      </c>
      <c r="AI140" s="380" t="s">
        <v>1582</v>
      </c>
    </row>
    <row r="141" spans="1:35" ht="16.05" customHeight="1">
      <c r="A141" s="4" t="s">
        <v>724</v>
      </c>
      <c r="B141" s="150">
        <v>8.5</v>
      </c>
      <c r="C141" s="2"/>
      <c r="D141" s="4" t="s">
        <v>687</v>
      </c>
      <c r="E141" s="150">
        <v>7.5</v>
      </c>
      <c r="F141" s="2"/>
      <c r="G141" s="4" t="s">
        <v>710</v>
      </c>
      <c r="H141" s="150">
        <v>10.5</v>
      </c>
      <c r="I141" s="17"/>
      <c r="J141" s="4" t="s">
        <v>732</v>
      </c>
      <c r="K141" s="150">
        <v>9</v>
      </c>
      <c r="L141" s="17"/>
      <c r="M141" s="4" t="s">
        <v>744</v>
      </c>
      <c r="N141" s="150">
        <v>9.5</v>
      </c>
      <c r="O141" s="17"/>
      <c r="R141" s="267">
        <v>139</v>
      </c>
      <c r="S141" s="257" t="s">
        <v>334</v>
      </c>
      <c r="T141" s="258" t="s">
        <v>1992</v>
      </c>
      <c r="U141" s="258">
        <v>8.5</v>
      </c>
      <c r="V141" s="332">
        <v>8.4600000000000009</v>
      </c>
      <c r="W141" s="258">
        <v>8.5</v>
      </c>
      <c r="X141" s="258">
        <v>0.35</v>
      </c>
      <c r="Y141" s="258">
        <v>0</v>
      </c>
      <c r="Z141" s="258">
        <v>8</v>
      </c>
      <c r="AA141" s="258">
        <v>0</v>
      </c>
      <c r="AB141" s="257" t="s">
        <v>774</v>
      </c>
      <c r="AC141" s="258">
        <v>2024</v>
      </c>
      <c r="AD141" s="258" t="s">
        <v>1940</v>
      </c>
      <c r="AE141" s="259" t="s">
        <v>2121</v>
      </c>
      <c r="AF141"/>
      <c r="AG141"/>
      <c r="AH141" s="260" t="s">
        <v>772</v>
      </c>
      <c r="AI141" s="379" t="s">
        <v>3271</v>
      </c>
    </row>
    <row r="142" spans="1:35" ht="16.05" customHeight="1" thickBot="1">
      <c r="A142" s="4" t="s">
        <v>725</v>
      </c>
      <c r="B142" s="150">
        <v>8</v>
      </c>
      <c r="C142" s="2"/>
      <c r="D142" s="4" t="s">
        <v>688</v>
      </c>
      <c r="E142" s="150">
        <v>7</v>
      </c>
      <c r="F142" s="2"/>
      <c r="G142" s="4" t="s">
        <v>711</v>
      </c>
      <c r="H142" s="150">
        <v>8</v>
      </c>
      <c r="I142" s="17"/>
      <c r="J142" s="4" t="s">
        <v>733</v>
      </c>
      <c r="K142" s="150">
        <v>8.5</v>
      </c>
      <c r="L142" s="17"/>
      <c r="M142" s="7" t="s">
        <v>745</v>
      </c>
      <c r="N142" s="151">
        <v>8.5</v>
      </c>
      <c r="O142" s="17"/>
      <c r="R142" s="267">
        <v>140</v>
      </c>
      <c r="S142" s="260" t="s">
        <v>1223</v>
      </c>
      <c r="T142" s="261" t="s">
        <v>1224</v>
      </c>
      <c r="U142" s="261">
        <v>8.5299999999999994</v>
      </c>
      <c r="V142" s="333">
        <v>8.4499999999999993</v>
      </c>
      <c r="W142" s="261">
        <v>8.5</v>
      </c>
      <c r="X142" s="261">
        <v>0.96</v>
      </c>
      <c r="Y142" s="261">
        <v>3</v>
      </c>
      <c r="Z142" s="261">
        <v>15</v>
      </c>
      <c r="AA142" s="261">
        <v>0</v>
      </c>
      <c r="AB142" s="260" t="s">
        <v>1228</v>
      </c>
      <c r="AC142" s="261">
        <v>2024</v>
      </c>
      <c r="AD142" s="261" t="s">
        <v>1901</v>
      </c>
      <c r="AE142" s="262" t="s">
        <v>2149</v>
      </c>
      <c r="AF142"/>
      <c r="AG142"/>
      <c r="AH142" s="257" t="s">
        <v>1857</v>
      </c>
      <c r="AI142" s="380" t="s">
        <v>3047</v>
      </c>
    </row>
    <row r="143" spans="1:35" ht="16.05" customHeight="1" thickBot="1">
      <c r="A143" s="7" t="s">
        <v>726</v>
      </c>
      <c r="B143" s="151">
        <v>8</v>
      </c>
      <c r="C143" s="2"/>
      <c r="D143" s="4" t="s">
        <v>689</v>
      </c>
      <c r="E143" s="150">
        <v>9</v>
      </c>
      <c r="F143" s="2"/>
      <c r="G143" s="4" t="s">
        <v>712</v>
      </c>
      <c r="H143" s="150">
        <v>7</v>
      </c>
      <c r="I143" s="17"/>
      <c r="J143" s="4" t="s">
        <v>734</v>
      </c>
      <c r="K143" s="150">
        <v>8</v>
      </c>
      <c r="L143" s="2"/>
      <c r="M143" s="16"/>
      <c r="N143" s="16"/>
      <c r="O143" s="17"/>
      <c r="R143" s="267">
        <v>141</v>
      </c>
      <c r="S143" s="257" t="s">
        <v>1763</v>
      </c>
      <c r="T143" s="258" t="s">
        <v>1764</v>
      </c>
      <c r="U143" s="258">
        <v>8.5</v>
      </c>
      <c r="V143" s="333">
        <v>8.4499999999999993</v>
      </c>
      <c r="W143" s="258">
        <v>8.5</v>
      </c>
      <c r="X143" s="258">
        <v>0.41</v>
      </c>
      <c r="Y143" s="258">
        <v>0</v>
      </c>
      <c r="Z143" s="258">
        <v>9</v>
      </c>
      <c r="AA143" s="258">
        <v>0</v>
      </c>
      <c r="AB143" s="257" t="s">
        <v>1228</v>
      </c>
      <c r="AC143" s="258">
        <v>2026</v>
      </c>
      <c r="AD143" s="258" t="s">
        <v>1935</v>
      </c>
      <c r="AE143" s="259" t="s">
        <v>2127</v>
      </c>
      <c r="AF143"/>
      <c r="AG143"/>
      <c r="AH143" s="260" t="s">
        <v>2016</v>
      </c>
      <c r="AI143" s="379" t="s">
        <v>2027</v>
      </c>
    </row>
    <row r="144" spans="1:35" ht="16.05" customHeight="1" thickBot="1">
      <c r="A144" s="16"/>
      <c r="B144" s="16"/>
      <c r="C144" s="2"/>
      <c r="D144" s="7" t="s">
        <v>690</v>
      </c>
      <c r="E144" s="151"/>
      <c r="F144" s="2"/>
      <c r="G144" s="4" t="s">
        <v>713</v>
      </c>
      <c r="H144" s="150">
        <v>10</v>
      </c>
      <c r="I144" s="17"/>
      <c r="J144" s="4" t="s">
        <v>735</v>
      </c>
      <c r="K144" s="150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67">
        <v>142</v>
      </c>
      <c r="S144" s="260" t="s">
        <v>533</v>
      </c>
      <c r="T144" s="261" t="s">
        <v>534</v>
      </c>
      <c r="U144" s="261">
        <v>8.5</v>
      </c>
      <c r="V144" s="334">
        <v>8.43</v>
      </c>
      <c r="W144" s="261">
        <v>8.5</v>
      </c>
      <c r="X144" s="261">
        <v>0.59</v>
      </c>
      <c r="Y144" s="261">
        <v>0</v>
      </c>
      <c r="Z144" s="261">
        <v>17</v>
      </c>
      <c r="AA144" s="261">
        <v>4</v>
      </c>
      <c r="AB144" s="260" t="s">
        <v>783</v>
      </c>
      <c r="AC144" s="261">
        <v>2016</v>
      </c>
      <c r="AD144" s="261" t="s">
        <v>1933</v>
      </c>
      <c r="AE144" s="262" t="s">
        <v>2174</v>
      </c>
      <c r="AF144"/>
      <c r="AG144"/>
      <c r="AH144" s="257" t="s">
        <v>1086</v>
      </c>
      <c r="AI144" s="380" t="s">
        <v>2810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0">
        <v>8.5</v>
      </c>
      <c r="I145" s="17"/>
      <c r="J145" s="4" t="s">
        <v>736</v>
      </c>
      <c r="K145" s="150">
        <v>8</v>
      </c>
      <c r="L145" s="2"/>
      <c r="M145" s="11" t="s">
        <v>746</v>
      </c>
      <c r="N145" s="149">
        <v>10</v>
      </c>
      <c r="O145" s="17"/>
      <c r="R145" s="267">
        <v>143</v>
      </c>
      <c r="S145" s="257" t="s">
        <v>334</v>
      </c>
      <c r="T145" s="258" t="s">
        <v>2313</v>
      </c>
      <c r="U145" s="258">
        <v>8.5</v>
      </c>
      <c r="V145" s="334">
        <v>8.43</v>
      </c>
      <c r="W145" s="258">
        <v>8.5</v>
      </c>
      <c r="X145" s="258">
        <v>0.76</v>
      </c>
      <c r="Y145" s="258">
        <v>1</v>
      </c>
      <c r="Z145" s="258">
        <v>7</v>
      </c>
      <c r="AA145" s="258">
        <v>0</v>
      </c>
      <c r="AB145" s="257" t="s">
        <v>774</v>
      </c>
      <c r="AC145" s="258">
        <v>2008</v>
      </c>
      <c r="AD145" s="258" t="s">
        <v>1936</v>
      </c>
      <c r="AE145" s="259" t="s">
        <v>2333</v>
      </c>
      <c r="AF145"/>
      <c r="AG145"/>
      <c r="AH145" s="260" t="s">
        <v>1119</v>
      </c>
      <c r="AI145" s="379" t="s">
        <v>2828</v>
      </c>
    </row>
    <row r="146" spans="1:35" ht="16.05" customHeight="1" thickBot="1">
      <c r="A146" s="11" t="s">
        <v>786</v>
      </c>
      <c r="B146" s="149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0">
        <v>8</v>
      </c>
      <c r="I146" s="17"/>
      <c r="J146" s="4" t="s">
        <v>737</v>
      </c>
      <c r="K146" s="150">
        <v>8</v>
      </c>
      <c r="L146" s="2"/>
      <c r="M146" s="4" t="s">
        <v>747</v>
      </c>
      <c r="N146" s="150">
        <v>8</v>
      </c>
      <c r="O146" s="17"/>
      <c r="R146" s="267">
        <v>144</v>
      </c>
      <c r="S146" s="260" t="s">
        <v>2251</v>
      </c>
      <c r="T146" s="261" t="s">
        <v>2252</v>
      </c>
      <c r="U146" s="261">
        <v>8.5399999999999991</v>
      </c>
      <c r="V146" s="335">
        <v>8.41</v>
      </c>
      <c r="W146" s="261">
        <v>8.25</v>
      </c>
      <c r="X146" s="261">
        <v>0.81</v>
      </c>
      <c r="Y146" s="261">
        <v>2</v>
      </c>
      <c r="Z146" s="261">
        <v>14</v>
      </c>
      <c r="AA146" s="261">
        <v>0</v>
      </c>
      <c r="AB146" s="260" t="s">
        <v>2254</v>
      </c>
      <c r="AC146" s="261">
        <v>1991</v>
      </c>
      <c r="AD146" s="261" t="s">
        <v>1913</v>
      </c>
      <c r="AE146" s="262" t="s">
        <v>2272</v>
      </c>
      <c r="AF146"/>
      <c r="AG146"/>
      <c r="AH146" s="257" t="s">
        <v>2945</v>
      </c>
      <c r="AI146" s="380" t="s">
        <v>2946</v>
      </c>
    </row>
    <row r="147" spans="1:35" ht="16.05" customHeight="1" thickBot="1">
      <c r="A147" s="4" t="s">
        <v>787</v>
      </c>
      <c r="B147" s="150">
        <v>9</v>
      </c>
      <c r="C147" s="17"/>
      <c r="D147" s="11" t="s">
        <v>803</v>
      </c>
      <c r="E147" s="149">
        <v>9</v>
      </c>
      <c r="F147" s="2"/>
      <c r="G147" s="7" t="s">
        <v>716</v>
      </c>
      <c r="H147" s="151">
        <v>8</v>
      </c>
      <c r="I147" s="17"/>
      <c r="J147" s="7" t="s">
        <v>738</v>
      </c>
      <c r="K147" s="151">
        <v>9</v>
      </c>
      <c r="L147" s="2"/>
      <c r="M147" s="4" t="s">
        <v>748</v>
      </c>
      <c r="N147" s="150">
        <v>9</v>
      </c>
      <c r="O147" s="17"/>
      <c r="R147" s="267">
        <v>145</v>
      </c>
      <c r="S147" s="257" t="s">
        <v>372</v>
      </c>
      <c r="T147" s="258" t="s">
        <v>373</v>
      </c>
      <c r="U147" s="258">
        <v>8.4600000000000009</v>
      </c>
      <c r="V147" s="336">
        <v>8.39</v>
      </c>
      <c r="W147" s="258">
        <v>8.5</v>
      </c>
      <c r="X147" s="258">
        <v>0.84</v>
      </c>
      <c r="Y147" s="258">
        <v>2</v>
      </c>
      <c r="Z147" s="258">
        <v>13</v>
      </c>
      <c r="AA147" s="258">
        <v>0</v>
      </c>
      <c r="AB147" s="257" t="s">
        <v>780</v>
      </c>
      <c r="AC147" s="258">
        <v>2018</v>
      </c>
      <c r="AD147" s="258" t="s">
        <v>1916</v>
      </c>
      <c r="AE147" s="259" t="s">
        <v>2180</v>
      </c>
      <c r="AF147"/>
      <c r="AG147"/>
      <c r="AH147" s="260" t="s">
        <v>2084</v>
      </c>
      <c r="AI147" s="379" t="s">
        <v>1113</v>
      </c>
    </row>
    <row r="148" spans="1:35" ht="16.05" customHeight="1" thickBot="1">
      <c r="A148" s="4" t="s">
        <v>788</v>
      </c>
      <c r="B148" s="150">
        <v>10</v>
      </c>
      <c r="C148" s="17"/>
      <c r="D148" s="4" t="s">
        <v>804</v>
      </c>
      <c r="E148" s="150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0">
        <v>8</v>
      </c>
      <c r="O148" s="17"/>
      <c r="R148" s="267">
        <v>146</v>
      </c>
      <c r="S148" s="260" t="s">
        <v>2331</v>
      </c>
      <c r="T148" s="261" t="s">
        <v>2982</v>
      </c>
      <c r="U148" s="261">
        <v>8.39</v>
      </c>
      <c r="V148" s="336">
        <v>8.39</v>
      </c>
      <c r="W148" s="261">
        <v>8</v>
      </c>
      <c r="X148" s="261">
        <v>0.83</v>
      </c>
      <c r="Y148" s="261">
        <v>2</v>
      </c>
      <c r="Z148" s="261">
        <v>14</v>
      </c>
      <c r="AA148" s="261">
        <v>0</v>
      </c>
      <c r="AB148" s="260" t="s">
        <v>2966</v>
      </c>
      <c r="AC148" s="261">
        <v>1966</v>
      </c>
      <c r="AD148" s="261" t="s">
        <v>1935</v>
      </c>
      <c r="AE148" s="262" t="s">
        <v>2983</v>
      </c>
      <c r="AF148"/>
      <c r="AG148"/>
      <c r="AH148" s="257" t="s">
        <v>1114</v>
      </c>
      <c r="AI148" s="380" t="s">
        <v>1113</v>
      </c>
    </row>
    <row r="149" spans="1:35" ht="16.05" customHeight="1" thickBot="1">
      <c r="A149" s="4" t="s">
        <v>789</v>
      </c>
      <c r="B149" s="150">
        <v>8</v>
      </c>
      <c r="C149" s="17"/>
      <c r="D149" s="4" t="s">
        <v>805</v>
      </c>
      <c r="E149" s="150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0">
        <v>8</v>
      </c>
      <c r="O149" s="17"/>
      <c r="R149" s="267">
        <v>147</v>
      </c>
      <c r="S149" s="257" t="s">
        <v>3061</v>
      </c>
      <c r="T149" s="258" t="s">
        <v>3051</v>
      </c>
      <c r="U149" s="258">
        <v>8.44</v>
      </c>
      <c r="V149" s="336">
        <v>8.39</v>
      </c>
      <c r="W149" s="258">
        <v>8.5</v>
      </c>
      <c r="X149" s="258">
        <v>0.55000000000000004</v>
      </c>
      <c r="Y149" s="258">
        <v>0</v>
      </c>
      <c r="Z149" s="258">
        <v>10</v>
      </c>
      <c r="AA149" s="258">
        <v>1</v>
      </c>
      <c r="AB149" s="257" t="s">
        <v>3067</v>
      </c>
      <c r="AC149" s="258">
        <v>2022</v>
      </c>
      <c r="AD149" s="258" t="s">
        <v>1905</v>
      </c>
      <c r="AE149" s="259" t="s">
        <v>3043</v>
      </c>
      <c r="AF149"/>
      <c r="AG149"/>
      <c r="AH149" s="260" t="s">
        <v>1566</v>
      </c>
      <c r="AI149" s="379" t="s">
        <v>2965</v>
      </c>
    </row>
    <row r="150" spans="1:35" ht="16.05" customHeight="1" thickBot="1">
      <c r="A150" s="4" t="s">
        <v>790</v>
      </c>
      <c r="B150" s="150">
        <v>7</v>
      </c>
      <c r="C150" s="17"/>
      <c r="D150" s="4" t="s">
        <v>806</v>
      </c>
      <c r="E150" s="150"/>
      <c r="F150" s="2"/>
      <c r="G150" s="11" t="s">
        <v>824</v>
      </c>
      <c r="H150" s="149">
        <v>10</v>
      </c>
      <c r="I150" s="17"/>
      <c r="J150" s="11" t="s">
        <v>841</v>
      </c>
      <c r="K150" s="149">
        <v>10</v>
      </c>
      <c r="L150" s="2"/>
      <c r="M150" s="7" t="s">
        <v>751</v>
      </c>
      <c r="N150" s="151">
        <v>9</v>
      </c>
      <c r="O150" s="17"/>
      <c r="R150" s="267">
        <v>148</v>
      </c>
      <c r="S150" s="260" t="s">
        <v>1267</v>
      </c>
      <c r="T150" s="261" t="s">
        <v>1257</v>
      </c>
      <c r="U150" s="261">
        <v>8.4499999999999993</v>
      </c>
      <c r="V150" s="337">
        <v>8.3800000000000008</v>
      </c>
      <c r="W150" s="261">
        <v>8.5</v>
      </c>
      <c r="X150" s="261">
        <v>0.78</v>
      </c>
      <c r="Y150" s="261">
        <v>1</v>
      </c>
      <c r="Z150" s="261">
        <v>11</v>
      </c>
      <c r="AA150" s="261">
        <v>0</v>
      </c>
      <c r="AB150" s="260" t="s">
        <v>1268</v>
      </c>
      <c r="AC150" s="261">
        <v>2024</v>
      </c>
      <c r="AD150" s="261" t="s">
        <v>1935</v>
      </c>
      <c r="AE150" s="262" t="s">
        <v>2148</v>
      </c>
      <c r="AF150"/>
      <c r="AG150"/>
      <c r="AH150" s="257" t="s">
        <v>780</v>
      </c>
      <c r="AI150" s="380" t="s">
        <v>1117</v>
      </c>
    </row>
    <row r="151" spans="1:35" ht="16.05" customHeight="1" thickBot="1">
      <c r="A151" s="4" t="s">
        <v>791</v>
      </c>
      <c r="B151" s="150">
        <v>9.5</v>
      </c>
      <c r="C151" s="17"/>
      <c r="D151" s="4" t="s">
        <v>807</v>
      </c>
      <c r="E151" s="150">
        <v>9</v>
      </c>
      <c r="F151" s="2"/>
      <c r="G151" s="4" t="s">
        <v>825</v>
      </c>
      <c r="H151" s="150">
        <v>9</v>
      </c>
      <c r="I151" s="17"/>
      <c r="J151" s="4" t="s">
        <v>842</v>
      </c>
      <c r="K151" s="150">
        <v>9</v>
      </c>
      <c r="L151" s="2"/>
      <c r="M151" s="16"/>
      <c r="N151" s="16"/>
      <c r="O151" s="17"/>
      <c r="R151" s="267">
        <v>149</v>
      </c>
      <c r="S151" s="257" t="s">
        <v>2014</v>
      </c>
      <c r="T151" s="258" t="s">
        <v>2015</v>
      </c>
      <c r="U151" s="258">
        <v>8.43</v>
      </c>
      <c r="V151" s="337">
        <v>8.3800000000000008</v>
      </c>
      <c r="W151" s="258">
        <v>8.5</v>
      </c>
      <c r="X151" s="258">
        <v>0.49</v>
      </c>
      <c r="Y151" s="258">
        <v>0</v>
      </c>
      <c r="Z151" s="258">
        <v>8</v>
      </c>
      <c r="AA151" s="258">
        <v>1</v>
      </c>
      <c r="AB151" s="257" t="s">
        <v>2016</v>
      </c>
      <c r="AC151" s="258">
        <v>2026</v>
      </c>
      <c r="AD151" s="258" t="s">
        <v>1927</v>
      </c>
      <c r="AE151" s="259" t="s">
        <v>2120</v>
      </c>
      <c r="AF151"/>
      <c r="AG151"/>
      <c r="AH151" s="260" t="s">
        <v>1891</v>
      </c>
      <c r="AI151" s="379" t="s">
        <v>1892</v>
      </c>
    </row>
    <row r="152" spans="1:35" ht="16.05" customHeight="1" thickBot="1">
      <c r="A152" s="4" t="s">
        <v>792</v>
      </c>
      <c r="B152" s="150">
        <v>8.5</v>
      </c>
      <c r="C152" s="17"/>
      <c r="D152" s="4" t="s">
        <v>808</v>
      </c>
      <c r="E152" s="150">
        <v>7.5</v>
      </c>
      <c r="F152" s="2"/>
      <c r="G152" s="4" t="s">
        <v>826</v>
      </c>
      <c r="H152" s="150">
        <v>8.5</v>
      </c>
      <c r="I152" s="17"/>
      <c r="J152" s="4" t="s">
        <v>843</v>
      </c>
      <c r="K152" s="150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67">
        <v>150</v>
      </c>
      <c r="S152" s="260" t="s">
        <v>1655</v>
      </c>
      <c r="T152" s="261" t="s">
        <v>1656</v>
      </c>
      <c r="U152" s="261">
        <v>8.4</v>
      </c>
      <c r="V152" s="338">
        <v>8.3699999999999992</v>
      </c>
      <c r="W152" s="261">
        <v>8.5</v>
      </c>
      <c r="X152" s="261">
        <v>0.37</v>
      </c>
      <c r="Y152" s="261">
        <v>0</v>
      </c>
      <c r="Z152" s="261">
        <v>5</v>
      </c>
      <c r="AA152" s="261">
        <v>0</v>
      </c>
      <c r="AB152" s="260" t="s">
        <v>1657</v>
      </c>
      <c r="AC152" s="261">
        <v>2026</v>
      </c>
      <c r="AD152" s="261" t="s">
        <v>1907</v>
      </c>
      <c r="AE152" s="262" t="s">
        <v>2132</v>
      </c>
      <c r="AF152"/>
      <c r="AG152"/>
      <c r="AH152" s="257" t="s">
        <v>1302</v>
      </c>
      <c r="AI152" s="380" t="s">
        <v>1303</v>
      </c>
    </row>
    <row r="153" spans="1:35" ht="16.05" customHeight="1">
      <c r="A153" s="4" t="s">
        <v>793</v>
      </c>
      <c r="B153" s="150">
        <v>8</v>
      </c>
      <c r="C153" s="17"/>
      <c r="D153" s="4" t="s">
        <v>809</v>
      </c>
      <c r="E153" s="150">
        <v>8</v>
      </c>
      <c r="F153" s="2"/>
      <c r="G153" s="4" t="s">
        <v>827</v>
      </c>
      <c r="H153" s="150">
        <v>10.5</v>
      </c>
      <c r="I153" s="17"/>
      <c r="J153" s="4" t="s">
        <v>844</v>
      </c>
      <c r="K153" s="150">
        <v>8.5</v>
      </c>
      <c r="L153" s="17"/>
      <c r="M153" s="11" t="s">
        <v>858</v>
      </c>
      <c r="N153" s="149">
        <v>9.5</v>
      </c>
      <c r="O153" s="17"/>
      <c r="R153" s="267">
        <v>151</v>
      </c>
      <c r="S153" s="257" t="s">
        <v>2934</v>
      </c>
      <c r="T153" s="258" t="s">
        <v>2935</v>
      </c>
      <c r="U153" s="258">
        <v>8.4</v>
      </c>
      <c r="V153" s="338">
        <v>8.3699999999999992</v>
      </c>
      <c r="W153" s="258">
        <v>8.5</v>
      </c>
      <c r="X153" s="258">
        <v>0.37</v>
      </c>
      <c r="Y153" s="258">
        <v>0</v>
      </c>
      <c r="Z153" s="258">
        <v>7</v>
      </c>
      <c r="AA153" s="258">
        <v>2</v>
      </c>
      <c r="AB153" s="257" t="s">
        <v>2936</v>
      </c>
      <c r="AC153" s="258">
        <v>1990</v>
      </c>
      <c r="AD153" s="258" t="s">
        <v>1909</v>
      </c>
      <c r="AE153" s="259" t="s">
        <v>2767</v>
      </c>
      <c r="AF153"/>
      <c r="AG153"/>
      <c r="AH153" s="260" t="s">
        <v>1568</v>
      </c>
      <c r="AI153" s="379" t="s">
        <v>1567</v>
      </c>
    </row>
    <row r="154" spans="1:35" ht="16.05" customHeight="1">
      <c r="A154" s="4" t="s">
        <v>794</v>
      </c>
      <c r="B154" s="150">
        <v>7.5</v>
      </c>
      <c r="C154" s="17"/>
      <c r="D154" s="4" t="s">
        <v>810</v>
      </c>
      <c r="E154" s="150">
        <v>10</v>
      </c>
      <c r="F154" s="2"/>
      <c r="G154" s="4" t="s">
        <v>828</v>
      </c>
      <c r="H154" s="150">
        <v>8</v>
      </c>
      <c r="I154" s="17"/>
      <c r="J154" s="4" t="s">
        <v>845</v>
      </c>
      <c r="K154" s="150">
        <v>8</v>
      </c>
      <c r="L154" s="17"/>
      <c r="M154" s="4" t="s">
        <v>859</v>
      </c>
      <c r="N154" s="150">
        <v>8</v>
      </c>
      <c r="O154" s="17"/>
      <c r="R154" s="267">
        <v>152</v>
      </c>
      <c r="S154" s="260" t="s">
        <v>349</v>
      </c>
      <c r="T154" s="261" t="s">
        <v>350</v>
      </c>
      <c r="U154" s="261">
        <v>8.42</v>
      </c>
      <c r="V154" s="339">
        <v>8.34</v>
      </c>
      <c r="W154" s="261">
        <v>8.5</v>
      </c>
      <c r="X154" s="261">
        <v>0.91</v>
      </c>
      <c r="Y154" s="261">
        <v>1</v>
      </c>
      <c r="Z154" s="261">
        <v>13</v>
      </c>
      <c r="AA154" s="261">
        <v>1</v>
      </c>
      <c r="AB154" s="260" t="s">
        <v>765</v>
      </c>
      <c r="AC154" s="261">
        <v>2000</v>
      </c>
      <c r="AD154" s="261" t="s">
        <v>1930</v>
      </c>
      <c r="AE154" s="262" t="s">
        <v>2183</v>
      </c>
      <c r="AF154"/>
      <c r="AG154"/>
      <c r="AH154" s="257" t="s">
        <v>1099</v>
      </c>
      <c r="AI154" s="380" t="s">
        <v>3106</v>
      </c>
    </row>
    <row r="155" spans="1:35" ht="16.05" customHeight="1">
      <c r="A155" s="4" t="s">
        <v>795</v>
      </c>
      <c r="B155" s="150">
        <v>8</v>
      </c>
      <c r="C155" s="17"/>
      <c r="D155" s="4" t="s">
        <v>118</v>
      </c>
      <c r="E155" s="150">
        <v>10</v>
      </c>
      <c r="F155" s="2"/>
      <c r="G155" s="4" t="s">
        <v>54</v>
      </c>
      <c r="H155" s="150">
        <v>8</v>
      </c>
      <c r="I155" s="17"/>
      <c r="J155" s="4" t="s">
        <v>846</v>
      </c>
      <c r="K155" s="150">
        <v>8</v>
      </c>
      <c r="L155" s="17"/>
      <c r="M155" s="4" t="s">
        <v>860</v>
      </c>
      <c r="N155" s="150">
        <v>9.5</v>
      </c>
      <c r="O155" s="17"/>
      <c r="R155" s="267">
        <v>153</v>
      </c>
      <c r="S155" s="257" t="s">
        <v>1520</v>
      </c>
      <c r="T155" s="258" t="s">
        <v>1575</v>
      </c>
      <c r="U155" s="258">
        <v>8.44</v>
      </c>
      <c r="V155" s="339">
        <v>8.34</v>
      </c>
      <c r="W155" s="258">
        <v>8.5</v>
      </c>
      <c r="X155" s="258">
        <v>1.28</v>
      </c>
      <c r="Y155" s="258">
        <v>2</v>
      </c>
      <c r="Z155" s="258">
        <v>10</v>
      </c>
      <c r="AA155" s="258">
        <v>1</v>
      </c>
      <c r="AB155" s="257" t="s">
        <v>1580</v>
      </c>
      <c r="AC155" s="258">
        <v>2016</v>
      </c>
      <c r="AD155" s="258" t="s">
        <v>1932</v>
      </c>
      <c r="AE155" s="259" t="s">
        <v>2135</v>
      </c>
      <c r="AF155"/>
      <c r="AG155"/>
      <c r="AH155" s="260" t="s">
        <v>1118</v>
      </c>
      <c r="AI155" s="379" t="s">
        <v>1956</v>
      </c>
    </row>
    <row r="156" spans="1:35" ht="16.05" customHeight="1">
      <c r="A156" s="4" t="s">
        <v>796</v>
      </c>
      <c r="B156" s="150">
        <v>10</v>
      </c>
      <c r="C156" s="17"/>
      <c r="D156" s="4" t="s">
        <v>811</v>
      </c>
      <c r="E156" s="150">
        <v>8</v>
      </c>
      <c r="F156" s="2"/>
      <c r="G156" s="4" t="s">
        <v>829</v>
      </c>
      <c r="H156" s="150">
        <v>8</v>
      </c>
      <c r="I156" s="17"/>
      <c r="J156" s="4" t="s">
        <v>847</v>
      </c>
      <c r="K156" s="150">
        <v>7.5</v>
      </c>
      <c r="L156" s="17"/>
      <c r="M156" s="4" t="s">
        <v>861</v>
      </c>
      <c r="N156" s="150">
        <v>8.5</v>
      </c>
      <c r="O156" s="17"/>
      <c r="R156" s="267">
        <v>154</v>
      </c>
      <c r="S156" s="260" t="s">
        <v>3223</v>
      </c>
      <c r="T156" s="261" t="s">
        <v>3224</v>
      </c>
      <c r="U156" s="261">
        <v>8.4499999999999993</v>
      </c>
      <c r="V156" s="339">
        <v>8.34</v>
      </c>
      <c r="W156" s="261">
        <v>8.25</v>
      </c>
      <c r="X156" s="261">
        <v>0.69</v>
      </c>
      <c r="Y156" s="261">
        <v>1</v>
      </c>
      <c r="Z156" s="261">
        <v>10</v>
      </c>
      <c r="AA156" s="261">
        <v>0</v>
      </c>
      <c r="AB156" s="260" t="s">
        <v>775</v>
      </c>
      <c r="AC156" s="261">
        <v>1986</v>
      </c>
      <c r="AD156" s="261" t="s">
        <v>3227</v>
      </c>
      <c r="AE156" s="262" t="s">
        <v>3228</v>
      </c>
      <c r="AF156"/>
      <c r="AG156"/>
      <c r="AH156" s="257" t="s">
        <v>1196</v>
      </c>
      <c r="AI156" s="380" t="s">
        <v>1207</v>
      </c>
    </row>
    <row r="157" spans="1:35" ht="16.05" customHeight="1">
      <c r="A157" s="4" t="s">
        <v>797</v>
      </c>
      <c r="B157" s="150">
        <v>6</v>
      </c>
      <c r="C157" s="17"/>
      <c r="D157" s="4" t="s">
        <v>812</v>
      </c>
      <c r="E157" s="150">
        <v>9</v>
      </c>
      <c r="F157" s="2"/>
      <c r="G157" s="4" t="s">
        <v>830</v>
      </c>
      <c r="H157" s="150">
        <v>9</v>
      </c>
      <c r="I157" s="17"/>
      <c r="J157" s="4" t="s">
        <v>848</v>
      </c>
      <c r="K157" s="150">
        <v>7</v>
      </c>
      <c r="L157" s="17"/>
      <c r="M157" s="4" t="s">
        <v>896</v>
      </c>
      <c r="N157" s="150">
        <v>10.5</v>
      </c>
      <c r="O157" s="17"/>
      <c r="R157" s="267">
        <v>155</v>
      </c>
      <c r="S157" s="257" t="s">
        <v>2048</v>
      </c>
      <c r="T157" s="258" t="s">
        <v>2034</v>
      </c>
      <c r="U157" s="258">
        <v>8.3800000000000008</v>
      </c>
      <c r="V157" s="340">
        <v>8.33</v>
      </c>
      <c r="W157" s="258">
        <v>8.5</v>
      </c>
      <c r="X157" s="258">
        <v>0.78</v>
      </c>
      <c r="Y157" s="258">
        <v>2</v>
      </c>
      <c r="Z157" s="258">
        <v>19</v>
      </c>
      <c r="AA157" s="258">
        <v>2</v>
      </c>
      <c r="AB157" s="257" t="s">
        <v>2050</v>
      </c>
      <c r="AC157" s="258">
        <v>1994</v>
      </c>
      <c r="AD157" s="258" t="s">
        <v>1894</v>
      </c>
      <c r="AE157" s="259" t="s">
        <v>2119</v>
      </c>
      <c r="AF157"/>
      <c r="AG157"/>
      <c r="AH157" s="260" t="s">
        <v>1120</v>
      </c>
      <c r="AI157" s="379" t="s">
        <v>1121</v>
      </c>
    </row>
    <row r="158" spans="1:35" ht="16.05" customHeight="1">
      <c r="A158" s="4" t="s">
        <v>798</v>
      </c>
      <c r="B158" s="150">
        <v>7</v>
      </c>
      <c r="C158" s="17"/>
      <c r="D158" s="4" t="s">
        <v>813</v>
      </c>
      <c r="E158" s="150">
        <v>8</v>
      </c>
      <c r="F158" s="2"/>
      <c r="G158" s="4" t="s">
        <v>831</v>
      </c>
      <c r="H158" s="150">
        <v>9</v>
      </c>
      <c r="I158" s="17"/>
      <c r="J158" s="4" t="s">
        <v>849</v>
      </c>
      <c r="K158" s="150">
        <v>10.5</v>
      </c>
      <c r="L158" s="17"/>
      <c r="M158" s="4" t="s">
        <v>862</v>
      </c>
      <c r="N158" s="150">
        <v>8</v>
      </c>
      <c r="O158" s="17"/>
      <c r="R158" s="267">
        <v>156</v>
      </c>
      <c r="S158" s="260" t="s">
        <v>3205</v>
      </c>
      <c r="T158" s="261" t="s">
        <v>3206</v>
      </c>
      <c r="U158" s="261">
        <v>8.4</v>
      </c>
      <c r="V158" s="390">
        <v>8.3000000000000007</v>
      </c>
      <c r="W158" s="261">
        <v>8.25</v>
      </c>
      <c r="X158" s="261">
        <v>0.73</v>
      </c>
      <c r="Y158" s="261">
        <v>1</v>
      </c>
      <c r="Z158" s="261">
        <v>10</v>
      </c>
      <c r="AA158" s="261">
        <v>0</v>
      </c>
      <c r="AB158" s="260" t="s">
        <v>1087</v>
      </c>
      <c r="AC158" s="261">
        <v>1989</v>
      </c>
      <c r="AD158" s="261" t="s">
        <v>1914</v>
      </c>
      <c r="AE158" s="262" t="s">
        <v>3187</v>
      </c>
      <c r="AF158"/>
      <c r="AG158"/>
      <c r="AH158" s="257" t="s">
        <v>1122</v>
      </c>
      <c r="AI158" s="380" t="s">
        <v>1121</v>
      </c>
    </row>
    <row r="159" spans="1:35" ht="16.05" customHeight="1" thickBot="1">
      <c r="A159" s="4" t="s">
        <v>799</v>
      </c>
      <c r="B159" s="150">
        <v>10</v>
      </c>
      <c r="C159" s="2"/>
      <c r="D159" s="7" t="s">
        <v>814</v>
      </c>
      <c r="E159" s="151"/>
      <c r="F159" s="2"/>
      <c r="G159" s="4" t="s">
        <v>832</v>
      </c>
      <c r="H159" s="150">
        <v>8.5</v>
      </c>
      <c r="I159" s="17"/>
      <c r="J159" s="4" t="s">
        <v>850</v>
      </c>
      <c r="K159" s="150"/>
      <c r="L159" s="17"/>
      <c r="M159" s="7" t="s">
        <v>863</v>
      </c>
      <c r="N159" s="151">
        <v>7.5</v>
      </c>
      <c r="O159" s="17"/>
      <c r="R159" s="267">
        <v>157</v>
      </c>
      <c r="S159" s="257" t="s">
        <v>1149</v>
      </c>
      <c r="T159" s="258" t="s">
        <v>1150</v>
      </c>
      <c r="U159" s="258">
        <v>8.4600000000000009</v>
      </c>
      <c r="V159" s="341">
        <v>8.27</v>
      </c>
      <c r="W159" s="258">
        <v>8</v>
      </c>
      <c r="X159" s="258">
        <v>1.1299999999999999</v>
      </c>
      <c r="Y159" s="258">
        <v>3</v>
      </c>
      <c r="Z159" s="258">
        <v>13</v>
      </c>
      <c r="AA159" s="258">
        <v>1</v>
      </c>
      <c r="AB159" s="257" t="s">
        <v>1151</v>
      </c>
      <c r="AC159" s="258">
        <v>1993</v>
      </c>
      <c r="AD159" s="258" t="s">
        <v>1929</v>
      </c>
      <c r="AE159" s="259" t="s">
        <v>2150</v>
      </c>
      <c r="AF159"/>
      <c r="AG159"/>
      <c r="AH159" s="260" t="s">
        <v>781</v>
      </c>
      <c r="AI159" s="379" t="s">
        <v>1123</v>
      </c>
    </row>
    <row r="160" spans="1:35" ht="16.05" customHeight="1" thickBot="1">
      <c r="A160" s="7" t="s">
        <v>800</v>
      </c>
      <c r="B160" s="151">
        <v>8.5</v>
      </c>
      <c r="C160" s="2"/>
      <c r="D160" s="14"/>
      <c r="E160" s="16"/>
      <c r="F160" s="2"/>
      <c r="G160" s="4" t="s">
        <v>833</v>
      </c>
      <c r="H160" s="150">
        <v>8</v>
      </c>
      <c r="I160" s="17"/>
      <c r="J160" s="4" t="s">
        <v>851</v>
      </c>
      <c r="K160" s="150">
        <v>8.5</v>
      </c>
      <c r="L160" s="2"/>
      <c r="M160" s="16"/>
      <c r="N160" s="16"/>
      <c r="O160" s="17"/>
      <c r="R160" s="267">
        <v>158</v>
      </c>
      <c r="S160" s="260" t="s">
        <v>334</v>
      </c>
      <c r="T160" s="261" t="s">
        <v>1825</v>
      </c>
      <c r="U160" s="261">
        <v>8.2899999999999991</v>
      </c>
      <c r="V160" s="341">
        <v>8.27</v>
      </c>
      <c r="W160" s="261">
        <v>8.5</v>
      </c>
      <c r="X160" s="261">
        <v>0.45</v>
      </c>
      <c r="Y160" s="261">
        <v>0</v>
      </c>
      <c r="Z160" s="261">
        <v>9</v>
      </c>
      <c r="AA160" s="261">
        <v>2</v>
      </c>
      <c r="AB160" s="260" t="s">
        <v>776</v>
      </c>
      <c r="AC160" s="261">
        <v>1998</v>
      </c>
      <c r="AD160" s="261" t="s">
        <v>1929</v>
      </c>
      <c r="AE160" s="262" t="s">
        <v>2124</v>
      </c>
      <c r="AF160"/>
      <c r="AG160"/>
      <c r="AH160"/>
      <c r="AI160"/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0">
        <v>8.5</v>
      </c>
      <c r="I161" s="17"/>
      <c r="J161" s="4" t="s">
        <v>852</v>
      </c>
      <c r="K161" s="150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67">
        <v>159</v>
      </c>
      <c r="S161" s="257" t="s">
        <v>347</v>
      </c>
      <c r="T161" s="258" t="s">
        <v>162</v>
      </c>
      <c r="U161" s="258">
        <v>8.3800000000000008</v>
      </c>
      <c r="V161" s="342">
        <v>8.25</v>
      </c>
      <c r="W161" s="258">
        <v>8.25</v>
      </c>
      <c r="X161" s="258">
        <v>1.06</v>
      </c>
      <c r="Y161" s="258">
        <v>2</v>
      </c>
      <c r="Z161" s="258">
        <v>12</v>
      </c>
      <c r="AA161" s="258">
        <v>0</v>
      </c>
      <c r="AB161" s="257" t="s">
        <v>821</v>
      </c>
      <c r="AC161" s="258">
        <v>1992</v>
      </c>
      <c r="AD161" s="258" t="s">
        <v>1926</v>
      </c>
      <c r="AE161" s="259" t="s">
        <v>2116</v>
      </c>
      <c r="AF161"/>
      <c r="AG161"/>
      <c r="AH161" s="378" t="s">
        <v>1957</v>
      </c>
      <c r="AI161" s="378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49">
        <v>10</v>
      </c>
      <c r="F162" s="2"/>
      <c r="G162" s="4" t="s">
        <v>835</v>
      </c>
      <c r="H162" s="150">
        <v>8</v>
      </c>
      <c r="I162" s="17"/>
      <c r="J162" s="4" t="s">
        <v>853</v>
      </c>
      <c r="K162" s="150">
        <v>7.5</v>
      </c>
      <c r="L162" s="2"/>
      <c r="M162" s="11" t="s">
        <v>912</v>
      </c>
      <c r="N162" s="149">
        <v>10</v>
      </c>
      <c r="O162" s="17"/>
      <c r="R162" s="267">
        <v>160</v>
      </c>
      <c r="S162" s="260" t="s">
        <v>334</v>
      </c>
      <c r="T162" s="261" t="s">
        <v>1699</v>
      </c>
      <c r="U162" s="261">
        <v>8.4</v>
      </c>
      <c r="V162" s="342">
        <v>8.25</v>
      </c>
      <c r="W162" s="261">
        <v>8</v>
      </c>
      <c r="X162" s="261">
        <v>0.86</v>
      </c>
      <c r="Y162" s="261">
        <v>1</v>
      </c>
      <c r="Z162" s="261">
        <v>5</v>
      </c>
      <c r="AA162" s="261">
        <v>0</v>
      </c>
      <c r="AB162" s="260" t="s">
        <v>774</v>
      </c>
      <c r="AC162" s="261">
        <v>1996</v>
      </c>
      <c r="AD162" s="261" t="s">
        <v>1921</v>
      </c>
      <c r="AE162" s="262" t="s">
        <v>2129</v>
      </c>
      <c r="AF162"/>
      <c r="AG162"/>
      <c r="AH162" s="257" t="s">
        <v>1958</v>
      </c>
      <c r="AI162" s="380" t="s">
        <v>3270</v>
      </c>
    </row>
    <row r="163" spans="1:35" ht="16.05" customHeight="1" thickBot="1">
      <c r="A163" s="11" t="s">
        <v>934</v>
      </c>
      <c r="B163" s="149">
        <v>9</v>
      </c>
      <c r="C163" s="2"/>
      <c r="D163" s="4" t="s">
        <v>900</v>
      </c>
      <c r="E163" s="150">
        <v>10</v>
      </c>
      <c r="F163" s="2"/>
      <c r="G163" s="7" t="s">
        <v>836</v>
      </c>
      <c r="H163" s="151">
        <v>9</v>
      </c>
      <c r="I163" s="17"/>
      <c r="J163" s="7" t="s">
        <v>854</v>
      </c>
      <c r="K163" s="151">
        <v>9</v>
      </c>
      <c r="L163" s="2"/>
      <c r="M163" s="4" t="s">
        <v>913</v>
      </c>
      <c r="N163" s="150">
        <v>9</v>
      </c>
      <c r="O163" s="17"/>
      <c r="R163" s="267">
        <v>161</v>
      </c>
      <c r="S163" s="257" t="s">
        <v>3080</v>
      </c>
      <c r="T163" s="258" t="s">
        <v>3081</v>
      </c>
      <c r="U163" s="258">
        <v>8.41</v>
      </c>
      <c r="V163" s="343">
        <v>8.24</v>
      </c>
      <c r="W163" s="258">
        <v>8</v>
      </c>
      <c r="X163" s="258">
        <v>0.95</v>
      </c>
      <c r="Y163" s="258">
        <v>2</v>
      </c>
      <c r="Z163" s="258">
        <v>12</v>
      </c>
      <c r="AA163" s="258">
        <v>1</v>
      </c>
      <c r="AB163" s="257" t="s">
        <v>3083</v>
      </c>
      <c r="AC163" s="258">
        <v>2003</v>
      </c>
      <c r="AD163" s="258" t="s">
        <v>1940</v>
      </c>
      <c r="AE163" s="259" t="s">
        <v>3084</v>
      </c>
      <c r="AF163"/>
      <c r="AG163"/>
      <c r="AH163" s="260" t="s">
        <v>1959</v>
      </c>
      <c r="AI163" s="379">
        <v>1966</v>
      </c>
    </row>
    <row r="164" spans="1:35" ht="16.05" customHeight="1" thickBot="1">
      <c r="A164" s="4" t="s">
        <v>935</v>
      </c>
      <c r="B164" s="150">
        <v>7</v>
      </c>
      <c r="C164" s="2"/>
      <c r="D164" s="4" t="s">
        <v>901</v>
      </c>
      <c r="E164" s="150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0">
        <v>9</v>
      </c>
      <c r="O164" s="17"/>
      <c r="R164" s="267">
        <v>162</v>
      </c>
      <c r="S164" s="260" t="s">
        <v>717</v>
      </c>
      <c r="T164" s="261" t="s">
        <v>717</v>
      </c>
      <c r="U164" s="261">
        <v>8.24</v>
      </c>
      <c r="V164" s="344">
        <v>8.23</v>
      </c>
      <c r="W164" s="261">
        <v>8</v>
      </c>
      <c r="X164" s="261">
        <v>1.1299999999999999</v>
      </c>
      <c r="Y164" s="261">
        <v>3</v>
      </c>
      <c r="Z164" s="261">
        <v>17</v>
      </c>
      <c r="AA164" s="261">
        <v>0</v>
      </c>
      <c r="AB164" s="260" t="s">
        <v>2646</v>
      </c>
      <c r="AC164" s="261">
        <v>2001</v>
      </c>
      <c r="AD164" s="261" t="s">
        <v>1948</v>
      </c>
      <c r="AE164" s="262" t="s">
        <v>2647</v>
      </c>
      <c r="AF164"/>
      <c r="AG164"/>
      <c r="AH164" s="257" t="s">
        <v>1960</v>
      </c>
      <c r="AI164" s="380">
        <v>2026</v>
      </c>
    </row>
    <row r="165" spans="1:35" ht="16.05" customHeight="1" thickBot="1">
      <c r="A165" s="4" t="s">
        <v>936</v>
      </c>
      <c r="B165" s="150">
        <v>7.5</v>
      </c>
      <c r="C165" s="2"/>
      <c r="D165" s="4" t="s">
        <v>902</v>
      </c>
      <c r="E165" s="150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09" t="s">
        <v>958</v>
      </c>
      <c r="K165" s="12">
        <f>ROUND(SUM(K166:K173)/COUNT(K166:K173), 2)</f>
        <v>9</v>
      </c>
      <c r="L165" s="2"/>
      <c r="M165" s="4" t="s">
        <v>915</v>
      </c>
      <c r="N165" s="150">
        <v>10</v>
      </c>
      <c r="O165" s="17"/>
      <c r="R165" s="267">
        <v>163</v>
      </c>
      <c r="S165" s="257" t="s">
        <v>326</v>
      </c>
      <c r="T165" s="258" t="s">
        <v>312</v>
      </c>
      <c r="U165" s="258">
        <v>8.35</v>
      </c>
      <c r="V165" s="345">
        <v>8.2200000000000006</v>
      </c>
      <c r="W165" s="258">
        <v>8.25</v>
      </c>
      <c r="X165" s="258">
        <v>1.32</v>
      </c>
      <c r="Y165" s="258">
        <v>3</v>
      </c>
      <c r="Z165" s="258">
        <v>10</v>
      </c>
      <c r="AA165" s="258">
        <v>0</v>
      </c>
      <c r="AB165" s="257" t="s">
        <v>772</v>
      </c>
      <c r="AC165" s="258">
        <v>1993</v>
      </c>
      <c r="AD165" s="258" t="s">
        <v>1922</v>
      </c>
      <c r="AE165" s="259" t="s">
        <v>2180</v>
      </c>
      <c r="AF165"/>
      <c r="AG165"/>
      <c r="AH165" s="260" t="s">
        <v>1961</v>
      </c>
      <c r="AI165" s="379" t="s">
        <v>3109</v>
      </c>
    </row>
    <row r="166" spans="1:35" ht="16.05" customHeight="1">
      <c r="A166" s="4" t="s">
        <v>937</v>
      </c>
      <c r="B166" s="150">
        <v>6.5</v>
      </c>
      <c r="C166" s="2"/>
      <c r="D166" s="4" t="s">
        <v>903</v>
      </c>
      <c r="E166" s="150"/>
      <c r="F166" s="2"/>
      <c r="G166" s="11" t="s">
        <v>946</v>
      </c>
      <c r="H166" s="149"/>
      <c r="I166" s="17"/>
      <c r="J166" s="11" t="s">
        <v>959</v>
      </c>
      <c r="K166" s="149">
        <v>10.5</v>
      </c>
      <c r="L166" s="2"/>
      <c r="M166" s="4" t="s">
        <v>916</v>
      </c>
      <c r="N166" s="150">
        <v>8.5</v>
      </c>
      <c r="O166" s="17"/>
      <c r="R166" s="267">
        <v>164</v>
      </c>
      <c r="S166" s="260" t="s">
        <v>348</v>
      </c>
      <c r="T166" s="261" t="s">
        <v>305</v>
      </c>
      <c r="U166" s="261">
        <v>8.35</v>
      </c>
      <c r="V166" s="346">
        <v>8.1999999999999993</v>
      </c>
      <c r="W166" s="261">
        <v>8</v>
      </c>
      <c r="X166" s="261">
        <v>0.78</v>
      </c>
      <c r="Y166" s="261">
        <v>1</v>
      </c>
      <c r="Z166" s="261">
        <v>10</v>
      </c>
      <c r="AA166" s="261">
        <v>0</v>
      </c>
      <c r="AB166" s="260" t="s">
        <v>823</v>
      </c>
      <c r="AC166" s="261">
        <v>1979</v>
      </c>
      <c r="AD166" s="261" t="s">
        <v>1925</v>
      </c>
      <c r="AE166" s="262" t="s">
        <v>2180</v>
      </c>
      <c r="AF166"/>
      <c r="AG166"/>
      <c r="AH166" s="257" t="s">
        <v>1962</v>
      </c>
      <c r="AI166" s="380" t="s">
        <v>3139</v>
      </c>
    </row>
    <row r="167" spans="1:35" ht="16.05" customHeight="1">
      <c r="A167" s="4" t="s">
        <v>938</v>
      </c>
      <c r="B167" s="150">
        <v>9</v>
      </c>
      <c r="C167" s="2"/>
      <c r="D167" s="4" t="s">
        <v>904</v>
      </c>
      <c r="E167" s="150">
        <v>10.5</v>
      </c>
      <c r="F167" s="2"/>
      <c r="G167" s="4" t="s">
        <v>947</v>
      </c>
      <c r="H167" s="150">
        <v>10</v>
      </c>
      <c r="I167" s="17"/>
      <c r="J167" s="4" t="s">
        <v>960</v>
      </c>
      <c r="K167" s="150">
        <v>10</v>
      </c>
      <c r="L167" s="2"/>
      <c r="M167" s="4" t="s">
        <v>917</v>
      </c>
      <c r="N167" s="150">
        <v>9.5</v>
      </c>
      <c r="O167" s="17"/>
      <c r="R167" s="267">
        <v>165</v>
      </c>
      <c r="S167" s="257" t="s">
        <v>3037</v>
      </c>
      <c r="T167" s="258" t="s">
        <v>3038</v>
      </c>
      <c r="U167" s="258">
        <v>8.25</v>
      </c>
      <c r="V167" s="347">
        <v>8.18</v>
      </c>
      <c r="W167" s="258">
        <v>8.25</v>
      </c>
      <c r="X167" s="258">
        <v>0.6</v>
      </c>
      <c r="Y167" s="258">
        <v>0</v>
      </c>
      <c r="Z167" s="258">
        <v>12</v>
      </c>
      <c r="AA167" s="258">
        <v>0</v>
      </c>
      <c r="AB167" s="257" t="s">
        <v>1857</v>
      </c>
      <c r="AC167" s="258">
        <v>2024</v>
      </c>
      <c r="AD167" s="258" t="s">
        <v>1935</v>
      </c>
      <c r="AE167" s="259" t="s">
        <v>3043</v>
      </c>
      <c r="AF167"/>
      <c r="AG167"/>
      <c r="AH167"/>
      <c r="AI167"/>
    </row>
    <row r="168" spans="1:35" ht="16.05" customHeight="1">
      <c r="A168" s="4" t="s">
        <v>939</v>
      </c>
      <c r="B168" s="150">
        <v>8.5</v>
      </c>
      <c r="C168" s="2"/>
      <c r="D168" s="4" t="s">
        <v>905</v>
      </c>
      <c r="E168" s="150">
        <v>8</v>
      </c>
      <c r="F168" s="2"/>
      <c r="G168" s="4" t="s">
        <v>948</v>
      </c>
      <c r="H168" s="150">
        <v>8.5</v>
      </c>
      <c r="I168" s="17"/>
      <c r="J168" s="4" t="s">
        <v>961</v>
      </c>
      <c r="K168" s="150">
        <v>8.5</v>
      </c>
      <c r="L168" s="2"/>
      <c r="M168" s="4" t="s">
        <v>918</v>
      </c>
      <c r="N168" s="150">
        <v>8</v>
      </c>
      <c r="O168" s="17"/>
      <c r="R168" s="267">
        <v>166</v>
      </c>
      <c r="S168" s="260" t="s">
        <v>353</v>
      </c>
      <c r="T168" s="261" t="s">
        <v>354</v>
      </c>
      <c r="U168" s="261">
        <v>8.33</v>
      </c>
      <c r="V168" s="348">
        <v>8.17</v>
      </c>
      <c r="W168" s="261">
        <v>8</v>
      </c>
      <c r="X168" s="261">
        <v>0.94</v>
      </c>
      <c r="Y168" s="261">
        <v>1</v>
      </c>
      <c r="Z168" s="261">
        <v>9</v>
      </c>
      <c r="AA168" s="261">
        <v>0</v>
      </c>
      <c r="AB168" s="260" t="s">
        <v>761</v>
      </c>
      <c r="AC168" s="261">
        <v>1993</v>
      </c>
      <c r="AD168" s="261" t="s">
        <v>1920</v>
      </c>
      <c r="AE168" s="262" t="s">
        <v>2181</v>
      </c>
      <c r="AF168"/>
      <c r="AG168"/>
      <c r="AH168" s="378" t="s">
        <v>1963</v>
      </c>
      <c r="AI168" s="378"/>
    </row>
    <row r="169" spans="1:35" ht="16.05" customHeight="1">
      <c r="A169" s="4" t="s">
        <v>940</v>
      </c>
      <c r="B169" s="150">
        <v>7.5</v>
      </c>
      <c r="C169" s="2"/>
      <c r="D169" s="4" t="s">
        <v>906</v>
      </c>
      <c r="E169" s="150">
        <v>8</v>
      </c>
      <c r="F169" s="2"/>
      <c r="G169" s="4" t="s">
        <v>949</v>
      </c>
      <c r="H169" s="150">
        <v>8.5</v>
      </c>
      <c r="I169" s="17"/>
      <c r="J169" s="4" t="s">
        <v>962</v>
      </c>
      <c r="K169" s="150">
        <v>8</v>
      </c>
      <c r="L169" s="2"/>
      <c r="M169" s="4" t="s">
        <v>919</v>
      </c>
      <c r="N169" s="150">
        <v>9</v>
      </c>
      <c r="O169" s="17"/>
      <c r="R169" s="267">
        <v>167</v>
      </c>
      <c r="S169" s="257" t="s">
        <v>573</v>
      </c>
      <c r="T169" s="258" t="s">
        <v>574</v>
      </c>
      <c r="U169" s="258">
        <v>8.31</v>
      </c>
      <c r="V169" s="348">
        <v>8.16</v>
      </c>
      <c r="W169" s="258">
        <v>8</v>
      </c>
      <c r="X169" s="258">
        <v>0.89</v>
      </c>
      <c r="Y169" s="258">
        <v>2</v>
      </c>
      <c r="Z169" s="258">
        <v>14</v>
      </c>
      <c r="AA169" s="258">
        <v>1</v>
      </c>
      <c r="AB169" s="257" t="s">
        <v>764</v>
      </c>
      <c r="AC169" s="258">
        <v>2016</v>
      </c>
      <c r="AD169" s="258" t="s">
        <v>1916</v>
      </c>
      <c r="AE169" s="259" t="s">
        <v>2173</v>
      </c>
      <c r="AF169"/>
      <c r="AG169"/>
      <c r="AH169" s="260" t="s">
        <v>1964</v>
      </c>
      <c r="AI169" s="379" t="s">
        <v>3015</v>
      </c>
    </row>
    <row r="170" spans="1:35" ht="16.05" customHeight="1" thickBot="1">
      <c r="A170" s="7" t="s">
        <v>941</v>
      </c>
      <c r="B170" s="151">
        <v>8</v>
      </c>
      <c r="C170" s="2"/>
      <c r="D170" s="7" t="s">
        <v>907</v>
      </c>
      <c r="E170" s="151">
        <v>9</v>
      </c>
      <c r="F170" s="2"/>
      <c r="G170" s="4" t="s">
        <v>950</v>
      </c>
      <c r="H170" s="150">
        <v>9.5</v>
      </c>
      <c r="I170" s="17"/>
      <c r="J170" s="4" t="s">
        <v>963</v>
      </c>
      <c r="K170" s="150">
        <v>8.5</v>
      </c>
      <c r="L170" s="2"/>
      <c r="M170" s="4" t="s">
        <v>920</v>
      </c>
      <c r="N170" s="150">
        <v>8</v>
      </c>
      <c r="O170" s="17"/>
      <c r="R170" s="267">
        <v>168</v>
      </c>
      <c r="S170" s="260" t="s">
        <v>801</v>
      </c>
      <c r="T170" s="261" t="s">
        <v>802</v>
      </c>
      <c r="U170" s="261">
        <v>8.33</v>
      </c>
      <c r="V170" s="348">
        <v>8.16</v>
      </c>
      <c r="W170" s="261">
        <v>8</v>
      </c>
      <c r="X170" s="261">
        <v>1.1599999999999999</v>
      </c>
      <c r="Y170" s="261">
        <v>3</v>
      </c>
      <c r="Z170" s="261">
        <v>15</v>
      </c>
      <c r="AA170" s="261">
        <v>0</v>
      </c>
      <c r="AB170" s="260" t="s">
        <v>822</v>
      </c>
      <c r="AC170" s="261">
        <v>2003</v>
      </c>
      <c r="AD170" s="261" t="s">
        <v>1936</v>
      </c>
      <c r="AE170" s="262" t="s">
        <v>2162</v>
      </c>
      <c r="AF170"/>
      <c r="AG170"/>
      <c r="AH170" s="257" t="s">
        <v>1965</v>
      </c>
      <c r="AI170" s="380" t="s">
        <v>3140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0">
        <v>8</v>
      </c>
      <c r="I171" s="17"/>
      <c r="J171" s="4" t="s">
        <v>964</v>
      </c>
      <c r="K171" s="150">
        <v>8</v>
      </c>
      <c r="L171" s="2"/>
      <c r="M171" s="4" t="s">
        <v>921</v>
      </c>
      <c r="N171" s="150">
        <v>8</v>
      </c>
      <c r="O171" s="17"/>
      <c r="R171" s="267">
        <v>169</v>
      </c>
      <c r="S171" s="257" t="s">
        <v>1813</v>
      </c>
      <c r="T171" s="258" t="s">
        <v>1813</v>
      </c>
      <c r="U171" s="258">
        <v>8.2899999999999991</v>
      </c>
      <c r="V171" s="348">
        <v>8.16</v>
      </c>
      <c r="W171" s="258">
        <v>8</v>
      </c>
      <c r="X171" s="258">
        <v>0.52</v>
      </c>
      <c r="Y171" s="258">
        <v>0</v>
      </c>
      <c r="Z171" s="258">
        <v>7</v>
      </c>
      <c r="AA171" s="258">
        <v>0</v>
      </c>
      <c r="AB171" s="257" t="s">
        <v>1814</v>
      </c>
      <c r="AC171" s="258">
        <v>2018</v>
      </c>
      <c r="AD171" s="258" t="s">
        <v>1937</v>
      </c>
      <c r="AE171" s="259" t="s">
        <v>2125</v>
      </c>
      <c r="AF171"/>
      <c r="AG171"/>
      <c r="AH171" s="260" t="s">
        <v>1966</v>
      </c>
      <c r="AI171" s="379" t="s">
        <v>3239</v>
      </c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0">
        <v>8.5</v>
      </c>
      <c r="I172" s="17"/>
      <c r="J172" s="4" t="s">
        <v>965</v>
      </c>
      <c r="K172" s="150">
        <v>9</v>
      </c>
      <c r="L172" s="2"/>
      <c r="M172" s="4" t="s">
        <v>922</v>
      </c>
      <c r="N172" s="150">
        <v>7.5</v>
      </c>
      <c r="O172" s="17"/>
      <c r="R172" s="267">
        <v>170</v>
      </c>
      <c r="S172" s="260" t="s">
        <v>2733</v>
      </c>
      <c r="T172" s="261" t="s">
        <v>2734</v>
      </c>
      <c r="U172" s="261">
        <v>8.31</v>
      </c>
      <c r="V172" s="348">
        <v>8.16</v>
      </c>
      <c r="W172" s="261">
        <v>8</v>
      </c>
      <c r="X172" s="261">
        <v>0.93</v>
      </c>
      <c r="Y172" s="261">
        <v>1</v>
      </c>
      <c r="Z172" s="261">
        <v>8</v>
      </c>
      <c r="AA172" s="261">
        <v>0</v>
      </c>
      <c r="AB172" s="260" t="s">
        <v>1075</v>
      </c>
      <c r="AC172" s="261">
        <v>2016</v>
      </c>
      <c r="AD172" s="261" t="s">
        <v>1901</v>
      </c>
      <c r="AE172" s="262" t="s">
        <v>2735</v>
      </c>
      <c r="AF172"/>
      <c r="AG172"/>
      <c r="AH172" s="257" t="s">
        <v>1967</v>
      </c>
      <c r="AI172" s="380" t="s">
        <v>3107</v>
      </c>
    </row>
    <row r="173" spans="1:35" ht="16.05" customHeight="1" thickBot="1">
      <c r="A173" s="11" t="s">
        <v>983</v>
      </c>
      <c r="B173" s="149">
        <v>9</v>
      </c>
      <c r="C173" s="34"/>
      <c r="D173" s="95" t="s">
        <v>969</v>
      </c>
      <c r="E173" s="149">
        <v>8</v>
      </c>
      <c r="F173" s="2"/>
      <c r="G173" s="4" t="s">
        <v>953</v>
      </c>
      <c r="H173" s="150">
        <v>9</v>
      </c>
      <c r="I173" s="17"/>
      <c r="J173" s="7" t="s">
        <v>966</v>
      </c>
      <c r="K173" s="151">
        <v>9.5</v>
      </c>
      <c r="L173" s="2"/>
      <c r="M173" s="4" t="s">
        <v>923</v>
      </c>
      <c r="N173" s="150">
        <v>8.5</v>
      </c>
      <c r="O173" s="17"/>
      <c r="R173" s="267">
        <v>171</v>
      </c>
      <c r="S173" s="257" t="s">
        <v>2392</v>
      </c>
      <c r="T173" s="258" t="s">
        <v>2393</v>
      </c>
      <c r="U173" s="258">
        <v>8.1999999999999993</v>
      </c>
      <c r="V173" s="349">
        <v>8.1300000000000008</v>
      </c>
      <c r="W173" s="258">
        <v>8</v>
      </c>
      <c r="X173" s="258">
        <v>0.24</v>
      </c>
      <c r="Y173" s="258">
        <v>0</v>
      </c>
      <c r="Z173" s="258">
        <v>5</v>
      </c>
      <c r="AA173" s="258">
        <v>0</v>
      </c>
      <c r="AB173" s="257" t="s">
        <v>1086</v>
      </c>
      <c r="AC173" s="258">
        <v>2026</v>
      </c>
      <c r="AD173" s="258" t="s">
        <v>1938</v>
      </c>
      <c r="AE173" s="259" t="s">
        <v>2394</v>
      </c>
      <c r="AF173"/>
      <c r="AG173"/>
      <c r="AH173" s="260" t="s">
        <v>1968</v>
      </c>
      <c r="AI173" s="379" t="s">
        <v>3110</v>
      </c>
    </row>
    <row r="174" spans="1:35" ht="16.05" customHeight="1" thickBot="1">
      <c r="A174" s="4" t="s">
        <v>984</v>
      </c>
      <c r="B174" s="150">
        <v>10</v>
      </c>
      <c r="C174" s="2"/>
      <c r="D174" s="4" t="s">
        <v>970</v>
      </c>
      <c r="E174" s="150">
        <v>9</v>
      </c>
      <c r="F174" s="2"/>
      <c r="G174" s="4" t="s">
        <v>954</v>
      </c>
      <c r="H174" s="150">
        <v>8.5</v>
      </c>
      <c r="I174" s="2"/>
      <c r="J174" s="14"/>
      <c r="K174" s="14"/>
      <c r="L174" s="2"/>
      <c r="M174" s="4" t="s">
        <v>924</v>
      </c>
      <c r="N174" s="150">
        <v>8.5</v>
      </c>
      <c r="O174" s="17"/>
      <c r="R174" s="267">
        <v>172</v>
      </c>
      <c r="S174" s="260" t="s">
        <v>327</v>
      </c>
      <c r="T174" s="261" t="s">
        <v>613</v>
      </c>
      <c r="U174" s="261">
        <v>8.0500000000000007</v>
      </c>
      <c r="V174" s="350">
        <v>8.11</v>
      </c>
      <c r="W174" s="261">
        <v>8.25</v>
      </c>
      <c r="X174" s="261">
        <v>1.19</v>
      </c>
      <c r="Y174" s="261">
        <v>1</v>
      </c>
      <c r="Z174" s="261">
        <v>11</v>
      </c>
      <c r="AA174" s="261">
        <v>1</v>
      </c>
      <c r="AB174" s="260" t="s">
        <v>753</v>
      </c>
      <c r="AC174" s="261">
        <v>2001</v>
      </c>
      <c r="AD174" s="261" t="s">
        <v>1932</v>
      </c>
      <c r="AE174" s="262" t="s">
        <v>2172</v>
      </c>
      <c r="AF174"/>
      <c r="AG174"/>
      <c r="AH174" s="257" t="s">
        <v>1969</v>
      </c>
      <c r="AI174" s="380" t="s">
        <v>3277</v>
      </c>
    </row>
    <row r="175" spans="1:35" ht="16.05" customHeight="1" thickBot="1">
      <c r="A175" s="4" t="s">
        <v>985</v>
      </c>
      <c r="B175" s="150">
        <v>9</v>
      </c>
      <c r="C175" s="2"/>
      <c r="D175" s="4" t="s">
        <v>971</v>
      </c>
      <c r="E175" s="150">
        <v>7.5</v>
      </c>
      <c r="F175" s="2"/>
      <c r="G175" s="7" t="s">
        <v>955</v>
      </c>
      <c r="H175" s="151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0">
        <v>9</v>
      </c>
      <c r="O175" s="17"/>
      <c r="R175" s="267">
        <v>173</v>
      </c>
      <c r="S175" s="257" t="s">
        <v>465</v>
      </c>
      <c r="T175" s="258" t="s">
        <v>466</v>
      </c>
      <c r="U175" s="258">
        <v>8.18</v>
      </c>
      <c r="V175" s="351">
        <v>8.06</v>
      </c>
      <c r="W175" s="258">
        <v>8</v>
      </c>
      <c r="X175" s="258">
        <v>0.89</v>
      </c>
      <c r="Y175" s="258">
        <v>2</v>
      </c>
      <c r="Z175" s="258">
        <v>19</v>
      </c>
      <c r="AA175" s="258">
        <v>0</v>
      </c>
      <c r="AB175" s="257" t="s">
        <v>779</v>
      </c>
      <c r="AC175" s="258">
        <v>2023</v>
      </c>
      <c r="AD175" s="258" t="s">
        <v>1915</v>
      </c>
      <c r="AE175" s="259" t="s">
        <v>2176</v>
      </c>
      <c r="AF175"/>
      <c r="AG175"/>
      <c r="AH175" s="260" t="s">
        <v>1970</v>
      </c>
      <c r="AI175" s="379" t="s">
        <v>3193</v>
      </c>
    </row>
    <row r="176" spans="1:35" ht="16.05" customHeight="1" thickBot="1">
      <c r="A176" s="4" t="s">
        <v>986</v>
      </c>
      <c r="B176" s="150">
        <v>9.5</v>
      </c>
      <c r="C176" s="2"/>
      <c r="D176" s="4" t="s">
        <v>972</v>
      </c>
      <c r="E176" s="150">
        <v>8.5</v>
      </c>
      <c r="F176" s="2"/>
      <c r="G176" s="16"/>
      <c r="H176" s="16"/>
      <c r="I176" s="2"/>
      <c r="J176" s="11" t="s">
        <v>1005</v>
      </c>
      <c r="K176" s="149">
        <v>9</v>
      </c>
      <c r="L176" s="2"/>
      <c r="M176" s="4" t="s">
        <v>926</v>
      </c>
      <c r="N176" s="150">
        <v>7.5</v>
      </c>
      <c r="O176" s="17"/>
      <c r="R176" s="267">
        <v>174</v>
      </c>
      <c r="S176" s="260" t="s">
        <v>339</v>
      </c>
      <c r="T176" s="261" t="s">
        <v>1861</v>
      </c>
      <c r="U176" s="261">
        <v>8.18</v>
      </c>
      <c r="V176" s="351">
        <v>8.06</v>
      </c>
      <c r="W176" s="261">
        <v>8</v>
      </c>
      <c r="X176" s="261">
        <v>0.86</v>
      </c>
      <c r="Y176" s="261">
        <v>1</v>
      </c>
      <c r="Z176" s="261">
        <v>11</v>
      </c>
      <c r="AA176" s="261">
        <v>0</v>
      </c>
      <c r="AB176" s="260" t="s">
        <v>1871</v>
      </c>
      <c r="AC176" s="261">
        <v>2001</v>
      </c>
      <c r="AD176" s="261" t="s">
        <v>1893</v>
      </c>
      <c r="AE176" s="262" t="s">
        <v>2122</v>
      </c>
      <c r="AF176"/>
      <c r="AG176"/>
      <c r="AH176"/>
      <c r="AI176"/>
    </row>
    <row r="177" spans="1:35" ht="16.05" customHeight="1" thickBot="1">
      <c r="A177" s="4" t="s">
        <v>987</v>
      </c>
      <c r="B177" s="150">
        <v>10.5</v>
      </c>
      <c r="C177" s="2"/>
      <c r="D177" s="4" t="s">
        <v>973</v>
      </c>
      <c r="E177" s="150">
        <v>7.5</v>
      </c>
      <c r="F177" s="17"/>
      <c r="G177" s="154" t="s">
        <v>1253</v>
      </c>
      <c r="H177" s="12">
        <f>ROUND(SUM(H178:H189)/COUNT(H178:H189), 2)</f>
        <v>8.5500000000000007</v>
      </c>
      <c r="I177" s="2"/>
      <c r="J177" s="4" t="s">
        <v>1006</v>
      </c>
      <c r="K177" s="150">
        <v>10</v>
      </c>
      <c r="L177" s="2"/>
      <c r="M177" s="4" t="s">
        <v>927</v>
      </c>
      <c r="N177" s="150">
        <v>7</v>
      </c>
      <c r="O177" s="17"/>
      <c r="R177" s="267">
        <v>175</v>
      </c>
      <c r="S177" s="257" t="s">
        <v>334</v>
      </c>
      <c r="T177" s="258" t="s">
        <v>2454</v>
      </c>
      <c r="U177" s="258">
        <v>8.11</v>
      </c>
      <c r="V177" s="352">
        <v>8.0299999999999994</v>
      </c>
      <c r="W177" s="258">
        <v>8</v>
      </c>
      <c r="X177" s="258">
        <v>0.46</v>
      </c>
      <c r="Y177" s="258">
        <v>0</v>
      </c>
      <c r="Z177" s="258">
        <v>11</v>
      </c>
      <c r="AA177" s="258">
        <v>2</v>
      </c>
      <c r="AB177" s="257" t="s">
        <v>1075</v>
      </c>
      <c r="AC177" s="258">
        <v>2016</v>
      </c>
      <c r="AD177" s="258" t="s">
        <v>1928</v>
      </c>
      <c r="AE177" s="259" t="s">
        <v>2483</v>
      </c>
      <c r="AF177"/>
      <c r="AG177"/>
      <c r="AH177" s="378" t="s">
        <v>1971</v>
      </c>
      <c r="AI177" s="378"/>
    </row>
    <row r="178" spans="1:35" ht="16.05" customHeight="1">
      <c r="A178" s="4" t="s">
        <v>988</v>
      </c>
      <c r="B178" s="150">
        <v>8</v>
      </c>
      <c r="C178" s="2"/>
      <c r="D178" s="4" t="s">
        <v>974</v>
      </c>
      <c r="E178" s="150">
        <v>7.5</v>
      </c>
      <c r="F178" s="2"/>
      <c r="G178" s="11" t="s">
        <v>1010</v>
      </c>
      <c r="H178" s="149"/>
      <c r="I178" s="2"/>
      <c r="J178" s="4" t="s">
        <v>1007</v>
      </c>
      <c r="K178" s="150">
        <v>9</v>
      </c>
      <c r="L178" s="2"/>
      <c r="M178" s="4" t="s">
        <v>928</v>
      </c>
      <c r="N178" s="150">
        <v>7.5</v>
      </c>
      <c r="O178" s="17"/>
      <c r="R178" s="267">
        <v>176</v>
      </c>
      <c r="S178" s="260" t="s">
        <v>717</v>
      </c>
      <c r="T178" s="261" t="s">
        <v>1285</v>
      </c>
      <c r="U178" s="261">
        <v>8.11</v>
      </c>
      <c r="V178" s="353">
        <v>8</v>
      </c>
      <c r="W178" s="261">
        <v>8</v>
      </c>
      <c r="X178" s="261">
        <v>0.71</v>
      </c>
      <c r="Y178" s="261">
        <v>0</v>
      </c>
      <c r="Z178" s="261">
        <v>15</v>
      </c>
      <c r="AA178" s="261">
        <v>1</v>
      </c>
      <c r="AB178" s="260" t="s">
        <v>1301</v>
      </c>
      <c r="AC178" s="261">
        <v>2026</v>
      </c>
      <c r="AD178" s="261" t="s">
        <v>1912</v>
      </c>
      <c r="AE178" s="262" t="s">
        <v>2147</v>
      </c>
      <c r="AF178"/>
      <c r="AG178"/>
      <c r="AH178" s="257" t="s">
        <v>1972</v>
      </c>
      <c r="AI178" s="380" t="s">
        <v>3270</v>
      </c>
    </row>
    <row r="179" spans="1:35" ht="16.05" customHeight="1">
      <c r="A179" s="4" t="s">
        <v>989</v>
      </c>
      <c r="B179" s="150">
        <v>7.5</v>
      </c>
      <c r="C179" s="2"/>
      <c r="D179" s="4" t="s">
        <v>975</v>
      </c>
      <c r="E179" s="150">
        <v>6.5</v>
      </c>
      <c r="F179" s="2"/>
      <c r="G179" s="4" t="s">
        <v>1011</v>
      </c>
      <c r="H179" s="150">
        <v>8.5</v>
      </c>
      <c r="I179" s="2"/>
      <c r="J179" s="4" t="s">
        <v>1008</v>
      </c>
      <c r="K179" s="150">
        <v>8</v>
      </c>
      <c r="L179" s="2"/>
      <c r="M179" s="4" t="s">
        <v>929</v>
      </c>
      <c r="N179" s="150">
        <v>7.5</v>
      </c>
      <c r="O179" s="17"/>
      <c r="R179" s="267">
        <v>177</v>
      </c>
      <c r="S179" s="257" t="s">
        <v>385</v>
      </c>
      <c r="T179" s="258" t="s">
        <v>378</v>
      </c>
      <c r="U179" s="258">
        <v>8</v>
      </c>
      <c r="V179" s="354">
        <v>7.98</v>
      </c>
      <c r="W179" s="258">
        <v>8.25</v>
      </c>
      <c r="X179" s="258">
        <v>0.56000000000000005</v>
      </c>
      <c r="Y179" s="258">
        <v>0</v>
      </c>
      <c r="Z179" s="258">
        <v>9</v>
      </c>
      <c r="AA179" s="258">
        <v>1</v>
      </c>
      <c r="AB179" s="257" t="s">
        <v>756</v>
      </c>
      <c r="AC179" s="258">
        <v>2005</v>
      </c>
      <c r="AD179" s="258" t="s">
        <v>1927</v>
      </c>
      <c r="AE179" s="259" t="s">
        <v>2180</v>
      </c>
      <c r="AF179"/>
      <c r="AG179"/>
      <c r="AH179" s="260" t="s">
        <v>1973</v>
      </c>
      <c r="AI179" s="379" t="s">
        <v>1899</v>
      </c>
    </row>
    <row r="180" spans="1:35" ht="16.05" customHeight="1" thickBot="1">
      <c r="A180" s="4" t="s">
        <v>990</v>
      </c>
      <c r="B180" s="150">
        <v>9</v>
      </c>
      <c r="C180" s="2"/>
      <c r="D180" s="4" t="s">
        <v>976</v>
      </c>
      <c r="E180" s="150">
        <v>7.5</v>
      </c>
      <c r="F180" s="2"/>
      <c r="G180" s="4" t="s">
        <v>1012</v>
      </c>
      <c r="H180" s="150">
        <v>9</v>
      </c>
      <c r="I180" s="2"/>
      <c r="J180" s="7" t="s">
        <v>1009</v>
      </c>
      <c r="K180" s="151">
        <v>10.5</v>
      </c>
      <c r="L180" s="2"/>
      <c r="M180" s="7" t="s">
        <v>930</v>
      </c>
      <c r="N180" s="151">
        <v>10.5</v>
      </c>
      <c r="O180" s="17"/>
      <c r="R180" s="267">
        <v>178</v>
      </c>
      <c r="S180" s="260" t="s">
        <v>337</v>
      </c>
      <c r="T180" s="261" t="s">
        <v>691</v>
      </c>
      <c r="U180" s="261">
        <v>8.07</v>
      </c>
      <c r="V180" s="355">
        <v>7.95</v>
      </c>
      <c r="W180" s="261">
        <v>8</v>
      </c>
      <c r="X180" s="261">
        <v>1.07</v>
      </c>
      <c r="Y180" s="261">
        <v>2</v>
      </c>
      <c r="Z180" s="261">
        <v>16</v>
      </c>
      <c r="AA180" s="261">
        <v>2</v>
      </c>
      <c r="AB180" s="260" t="s">
        <v>758</v>
      </c>
      <c r="AC180" s="261">
        <v>1997</v>
      </c>
      <c r="AD180" s="261" t="s">
        <v>1921</v>
      </c>
      <c r="AE180" s="262" t="s">
        <v>2168</v>
      </c>
      <c r="AF180"/>
      <c r="AG180"/>
      <c r="AH180" s="257" t="s">
        <v>1974</v>
      </c>
      <c r="AI180" s="380" t="s">
        <v>2100</v>
      </c>
    </row>
    <row r="181" spans="1:35" ht="16.05" customHeight="1" thickBot="1">
      <c r="A181" s="4" t="s">
        <v>991</v>
      </c>
      <c r="B181" s="150">
        <v>8</v>
      </c>
      <c r="C181" s="2"/>
      <c r="D181" s="4" t="s">
        <v>977</v>
      </c>
      <c r="E181" s="150">
        <v>7</v>
      </c>
      <c r="F181" s="2"/>
      <c r="G181" s="4" t="s">
        <v>1013</v>
      </c>
      <c r="H181" s="150">
        <v>8</v>
      </c>
      <c r="I181" s="2"/>
      <c r="J181" s="16"/>
      <c r="K181" s="16"/>
      <c r="L181" s="2"/>
      <c r="M181" s="16"/>
      <c r="N181" s="16"/>
      <c r="O181" s="17"/>
      <c r="R181" s="267">
        <v>179</v>
      </c>
      <c r="S181" s="257" t="s">
        <v>1408</v>
      </c>
      <c r="T181" s="258" t="s">
        <v>1409</v>
      </c>
      <c r="U181" s="258">
        <v>8.0500000000000007</v>
      </c>
      <c r="V181" s="355">
        <v>7.95</v>
      </c>
      <c r="W181" s="258">
        <v>8</v>
      </c>
      <c r="X181" s="258">
        <v>0.72</v>
      </c>
      <c r="Y181" s="258">
        <v>0</v>
      </c>
      <c r="Z181" s="258">
        <v>10</v>
      </c>
      <c r="AA181" s="258">
        <v>0</v>
      </c>
      <c r="AB181" s="257" t="s">
        <v>752</v>
      </c>
      <c r="AC181" s="258">
        <v>2026</v>
      </c>
      <c r="AD181" s="258" t="s">
        <v>1927</v>
      </c>
      <c r="AE181" s="259" t="s">
        <v>2142</v>
      </c>
      <c r="AF181"/>
      <c r="AG181"/>
      <c r="AH181" s="260" t="s">
        <v>1975</v>
      </c>
      <c r="AI181" s="379" t="s">
        <v>3066</v>
      </c>
    </row>
    <row r="182" spans="1:35" ht="16.05" customHeight="1" thickBot="1">
      <c r="A182" s="4" t="s">
        <v>992</v>
      </c>
      <c r="B182" s="150">
        <v>8</v>
      </c>
      <c r="C182" s="2"/>
      <c r="D182" s="4" t="s">
        <v>978</v>
      </c>
      <c r="E182" s="150">
        <v>6.5</v>
      </c>
      <c r="F182" s="2"/>
      <c r="G182" s="4" t="s">
        <v>1014</v>
      </c>
      <c r="H182" s="150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67">
        <v>180</v>
      </c>
      <c r="S182" s="260" t="s">
        <v>334</v>
      </c>
      <c r="T182" s="261" t="s">
        <v>1752</v>
      </c>
      <c r="U182" s="261">
        <v>8.06</v>
      </c>
      <c r="V182" s="355">
        <v>7.95</v>
      </c>
      <c r="W182" s="261">
        <v>8</v>
      </c>
      <c r="X182" s="261">
        <v>0.81</v>
      </c>
      <c r="Y182" s="261">
        <v>0</v>
      </c>
      <c r="Z182" s="261">
        <v>8</v>
      </c>
      <c r="AA182" s="261">
        <v>0</v>
      </c>
      <c r="AB182" s="260" t="s">
        <v>1075</v>
      </c>
      <c r="AC182" s="261">
        <v>2014</v>
      </c>
      <c r="AD182" s="261" t="s">
        <v>1936</v>
      </c>
      <c r="AE182" s="262" t="s">
        <v>2127</v>
      </c>
      <c r="AF182"/>
      <c r="AG182"/>
      <c r="AH182"/>
      <c r="AI182"/>
    </row>
    <row r="183" spans="1:35" ht="16.05" customHeight="1" thickBot="1">
      <c r="A183" s="7" t="s">
        <v>993</v>
      </c>
      <c r="B183" s="151">
        <v>7.5</v>
      </c>
      <c r="C183" s="2"/>
      <c r="D183" s="4" t="s">
        <v>979</v>
      </c>
      <c r="E183" s="150">
        <v>6.5</v>
      </c>
      <c r="F183" s="2"/>
      <c r="G183" s="4" t="s">
        <v>1015</v>
      </c>
      <c r="H183" s="150">
        <v>8</v>
      </c>
      <c r="I183" s="17"/>
      <c r="J183" s="11" t="s">
        <v>1024</v>
      </c>
      <c r="K183" s="149">
        <v>10.5</v>
      </c>
      <c r="L183" s="2"/>
      <c r="M183" s="155" t="s">
        <v>994</v>
      </c>
      <c r="N183" s="156">
        <v>10.5</v>
      </c>
      <c r="O183" s="17"/>
      <c r="R183" s="267">
        <v>181</v>
      </c>
      <c r="S183" s="257" t="s">
        <v>2303</v>
      </c>
      <c r="T183" s="258" t="s">
        <v>2304</v>
      </c>
      <c r="U183" s="258">
        <v>8</v>
      </c>
      <c r="V183" s="356">
        <v>7.94</v>
      </c>
      <c r="W183" s="258">
        <v>8</v>
      </c>
      <c r="X183" s="258">
        <v>0.45</v>
      </c>
      <c r="Y183" s="258">
        <v>0</v>
      </c>
      <c r="Z183" s="258">
        <v>10</v>
      </c>
      <c r="AA183" s="258">
        <v>0</v>
      </c>
      <c r="AB183" s="257" t="s">
        <v>1086</v>
      </c>
      <c r="AC183" s="258">
        <v>2025</v>
      </c>
      <c r="AD183" s="258" t="s">
        <v>1930</v>
      </c>
      <c r="AE183" s="259" t="s">
        <v>2275</v>
      </c>
      <c r="AF183"/>
      <c r="AG183"/>
      <c r="AH183" s="378" t="s">
        <v>1976</v>
      </c>
      <c r="AI183" s="378"/>
    </row>
    <row r="184" spans="1:35" ht="16.05" customHeight="1" thickBot="1">
      <c r="A184" s="16"/>
      <c r="B184" s="16"/>
      <c r="C184" s="2"/>
      <c r="D184" s="7" t="s">
        <v>980</v>
      </c>
      <c r="E184" s="151">
        <v>8</v>
      </c>
      <c r="F184" s="2"/>
      <c r="G184" s="4" t="s">
        <v>1016</v>
      </c>
      <c r="H184" s="150">
        <v>7.5</v>
      </c>
      <c r="I184" s="17"/>
      <c r="J184" s="4" t="s">
        <v>1025</v>
      </c>
      <c r="K184" s="150">
        <v>9</v>
      </c>
      <c r="L184" s="2"/>
      <c r="M184" s="16"/>
      <c r="N184" s="16"/>
      <c r="O184" s="17"/>
      <c r="R184" s="267">
        <v>182</v>
      </c>
      <c r="S184" s="260" t="s">
        <v>326</v>
      </c>
      <c r="T184" s="261" t="s">
        <v>3234</v>
      </c>
      <c r="U184" s="261">
        <v>7.92</v>
      </c>
      <c r="V184" s="394">
        <v>7.84</v>
      </c>
      <c r="W184" s="261">
        <v>8</v>
      </c>
      <c r="X184" s="261">
        <v>0.79</v>
      </c>
      <c r="Y184" s="261">
        <v>0</v>
      </c>
      <c r="Z184" s="261">
        <v>6</v>
      </c>
      <c r="AA184" s="261">
        <v>0</v>
      </c>
      <c r="AB184" s="260" t="s">
        <v>772</v>
      </c>
      <c r="AC184" s="261"/>
      <c r="AD184" s="261"/>
      <c r="AE184" s="262" t="s">
        <v>3225</v>
      </c>
      <c r="AF184"/>
      <c r="AG184"/>
      <c r="AH184" s="257" t="s">
        <v>1977</v>
      </c>
      <c r="AI184" s="380"/>
    </row>
    <row r="185" spans="1:35" ht="16.05" customHeight="1" thickBot="1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0">
        <v>8</v>
      </c>
      <c r="I185" s="17"/>
      <c r="J185" s="4" t="s">
        <v>1026</v>
      </c>
      <c r="K185" s="150">
        <v>10</v>
      </c>
      <c r="L185" s="17"/>
      <c r="M185" s="128" t="s">
        <v>1522</v>
      </c>
      <c r="N185" s="12">
        <f>ROUND(SUM(N186:N209)/COUNT(N186:N209), 2)</f>
        <v>8.7200000000000006</v>
      </c>
      <c r="O185" s="17"/>
      <c r="R185" s="267">
        <v>183</v>
      </c>
      <c r="S185" s="257" t="s">
        <v>337</v>
      </c>
      <c r="T185" s="258" t="s">
        <v>1554</v>
      </c>
      <c r="U185" s="258">
        <v>8</v>
      </c>
      <c r="V185" s="357">
        <v>7.79</v>
      </c>
      <c r="W185" s="258">
        <v>7.5</v>
      </c>
      <c r="X185" s="258">
        <v>0.88</v>
      </c>
      <c r="Y185" s="258">
        <v>0</v>
      </c>
      <c r="Z185" s="258">
        <v>10</v>
      </c>
      <c r="AA185" s="258">
        <v>1</v>
      </c>
      <c r="AB185" s="257" t="s">
        <v>1565</v>
      </c>
      <c r="AC185" s="258">
        <v>2005</v>
      </c>
      <c r="AD185" s="258" t="s">
        <v>1919</v>
      </c>
      <c r="AE185" s="259" t="s">
        <v>2136</v>
      </c>
      <c r="AF185"/>
      <c r="AG185"/>
      <c r="AH185" s="260" t="s">
        <v>1034</v>
      </c>
      <c r="AI185" s="379" t="s">
        <v>3240</v>
      </c>
    </row>
    <row r="186" spans="1:35" ht="16.05" customHeight="1" thickBot="1">
      <c r="A186" s="11" t="s">
        <v>1125</v>
      </c>
      <c r="B186" s="149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0">
        <v>9.5</v>
      </c>
      <c r="I186" s="17"/>
      <c r="J186" s="4" t="s">
        <v>1027</v>
      </c>
      <c r="K186" s="150">
        <v>10.5</v>
      </c>
      <c r="L186" s="2"/>
      <c r="M186" s="11" t="s">
        <v>1152</v>
      </c>
      <c r="N186" s="149">
        <v>8</v>
      </c>
      <c r="O186" s="17"/>
      <c r="R186" s="267">
        <v>184</v>
      </c>
      <c r="S186" s="260" t="s">
        <v>327</v>
      </c>
      <c r="T186" s="261" t="s">
        <v>942</v>
      </c>
      <c r="U186" s="261">
        <v>7.88</v>
      </c>
      <c r="V186" s="358">
        <v>7.74</v>
      </c>
      <c r="W186" s="261">
        <v>7.75</v>
      </c>
      <c r="X186" s="261">
        <v>0.86</v>
      </c>
      <c r="Y186" s="261">
        <v>0</v>
      </c>
      <c r="Z186" s="261">
        <v>8</v>
      </c>
      <c r="AA186" s="261">
        <v>0</v>
      </c>
      <c r="AB186" s="260" t="s">
        <v>943</v>
      </c>
      <c r="AC186" s="261">
        <v>2011</v>
      </c>
      <c r="AD186" s="261" t="s">
        <v>1930</v>
      </c>
      <c r="AE186" s="262" t="s">
        <v>2157</v>
      </c>
      <c r="AF186"/>
      <c r="AG186"/>
      <c r="AH186" s="257" t="s">
        <v>1978</v>
      </c>
      <c r="AI186" s="380" t="s">
        <v>3241</v>
      </c>
    </row>
    <row r="187" spans="1:35" ht="16.05" customHeight="1" thickBot="1">
      <c r="A187" s="4" t="s">
        <v>1126</v>
      </c>
      <c r="B187" s="150">
        <v>9</v>
      </c>
      <c r="C187" s="2"/>
      <c r="D187" s="11" t="s">
        <v>1136</v>
      </c>
      <c r="E187" s="149">
        <v>9</v>
      </c>
      <c r="F187" s="2"/>
      <c r="G187" s="4" t="s">
        <v>1019</v>
      </c>
      <c r="H187" s="150">
        <v>10</v>
      </c>
      <c r="I187" s="17"/>
      <c r="J187" s="7" t="s">
        <v>1028</v>
      </c>
      <c r="K187" s="151">
        <v>10</v>
      </c>
      <c r="L187" s="2"/>
      <c r="M187" s="4" t="s">
        <v>1153</v>
      </c>
      <c r="N187" s="150">
        <v>8.5</v>
      </c>
      <c r="O187" s="17"/>
      <c r="R187" s="267">
        <v>185</v>
      </c>
      <c r="S187" s="257" t="s">
        <v>647</v>
      </c>
      <c r="T187" s="258" t="s">
        <v>648</v>
      </c>
      <c r="U187" s="258">
        <v>7.72</v>
      </c>
      <c r="V187" s="359">
        <v>7.7</v>
      </c>
      <c r="W187" s="258">
        <v>8</v>
      </c>
      <c r="X187" s="258">
        <v>0.57999999999999996</v>
      </c>
      <c r="Y187" s="258">
        <v>0</v>
      </c>
      <c r="Z187" s="258">
        <v>18</v>
      </c>
      <c r="AA187" s="258">
        <v>0</v>
      </c>
      <c r="AB187" s="257" t="s">
        <v>780</v>
      </c>
      <c r="AC187" s="258">
        <v>2026</v>
      </c>
      <c r="AD187" s="258" t="s">
        <v>1918</v>
      </c>
      <c r="AE187" s="259" t="s">
        <v>2170</v>
      </c>
      <c r="AF187"/>
      <c r="AG187"/>
      <c r="AH187" s="260" t="s">
        <v>1037</v>
      </c>
      <c r="AI187" s="379" t="s">
        <v>3211</v>
      </c>
    </row>
    <row r="188" spans="1:35" ht="16.05" customHeight="1" thickBot="1">
      <c r="A188" s="4" t="s">
        <v>1127</v>
      </c>
      <c r="B188" s="150">
        <v>10</v>
      </c>
      <c r="C188" s="2"/>
      <c r="D188" s="4" t="s">
        <v>1137</v>
      </c>
      <c r="E188" s="150">
        <v>8</v>
      </c>
      <c r="F188" s="2"/>
      <c r="G188" s="4" t="s">
        <v>1020</v>
      </c>
      <c r="H188" s="150">
        <v>8.5</v>
      </c>
      <c r="I188" s="2"/>
      <c r="J188" s="16"/>
      <c r="K188" s="16"/>
      <c r="L188" s="2"/>
      <c r="M188" s="4" t="s">
        <v>1154</v>
      </c>
      <c r="N188" s="150">
        <v>10</v>
      </c>
      <c r="O188" s="17"/>
      <c r="R188" s="267">
        <v>186</v>
      </c>
      <c r="S188" s="260" t="s">
        <v>495</v>
      </c>
      <c r="T188" s="261" t="s">
        <v>496</v>
      </c>
      <c r="U188" s="261">
        <v>7.67</v>
      </c>
      <c r="V188" s="360">
        <v>7.66</v>
      </c>
      <c r="W188" s="261">
        <v>8</v>
      </c>
      <c r="X188" s="261">
        <v>0.59</v>
      </c>
      <c r="Y188" s="261">
        <v>0</v>
      </c>
      <c r="Z188" s="261">
        <v>12</v>
      </c>
      <c r="AA188" s="261">
        <v>0</v>
      </c>
      <c r="AB188" s="260" t="s">
        <v>766</v>
      </c>
      <c r="AC188" s="261">
        <v>2021</v>
      </c>
      <c r="AD188" s="261" t="s">
        <v>1933</v>
      </c>
      <c r="AE188" s="262" t="s">
        <v>2175</v>
      </c>
      <c r="AF188"/>
      <c r="AG188"/>
      <c r="AH188" s="257" t="s">
        <v>1043</v>
      </c>
      <c r="AI188" s="380" t="s">
        <v>3272</v>
      </c>
    </row>
    <row r="189" spans="1:35" ht="16.05" customHeight="1" thickBot="1">
      <c r="A189" s="4" t="s">
        <v>1128</v>
      </c>
      <c r="B189" s="150">
        <v>10.5</v>
      </c>
      <c r="C189" s="2"/>
      <c r="D189" s="4" t="s">
        <v>1138</v>
      </c>
      <c r="E189" s="150">
        <v>10</v>
      </c>
      <c r="F189" s="2"/>
      <c r="G189" s="7" t="s">
        <v>1021</v>
      </c>
      <c r="H189" s="151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0"/>
      <c r="O189" s="17"/>
      <c r="R189" s="267">
        <v>187</v>
      </c>
      <c r="S189" s="257" t="s">
        <v>338</v>
      </c>
      <c r="T189" s="258" t="s">
        <v>338</v>
      </c>
      <c r="U189" s="258">
        <v>7.77</v>
      </c>
      <c r="V189" s="361">
        <v>7.64</v>
      </c>
      <c r="W189" s="258">
        <v>7.5</v>
      </c>
      <c r="X189" s="258">
        <v>0.62</v>
      </c>
      <c r="Y189" s="258">
        <v>0</v>
      </c>
      <c r="Z189" s="258">
        <v>11</v>
      </c>
      <c r="AA189" s="258">
        <v>0</v>
      </c>
      <c r="AB189" s="257" t="s">
        <v>775</v>
      </c>
      <c r="AC189" s="258">
        <v>2026</v>
      </c>
      <c r="AD189" s="258" t="s">
        <v>1904</v>
      </c>
      <c r="AE189" s="259" t="s">
        <v>2177</v>
      </c>
      <c r="AF189"/>
      <c r="AG189"/>
      <c r="AH189" s="260" t="s">
        <v>323</v>
      </c>
      <c r="AI189" s="379" t="s">
        <v>3242</v>
      </c>
    </row>
    <row r="190" spans="1:35" ht="16.05" customHeight="1" thickBot="1">
      <c r="A190" s="4" t="s">
        <v>1129</v>
      </c>
      <c r="B190" s="150">
        <v>8</v>
      </c>
      <c r="C190" s="2"/>
      <c r="D190" s="4" t="s">
        <v>1139</v>
      </c>
      <c r="E190" s="150">
        <v>7.5</v>
      </c>
      <c r="F190" s="2"/>
      <c r="G190" s="16"/>
      <c r="H190" s="16"/>
      <c r="I190" s="2"/>
      <c r="J190" s="11" t="s">
        <v>1185</v>
      </c>
      <c r="K190" s="149"/>
      <c r="L190" s="2"/>
      <c r="M190" s="4" t="s">
        <v>1156</v>
      </c>
      <c r="N190" s="150">
        <v>10.5</v>
      </c>
      <c r="O190" s="17"/>
      <c r="R190" s="267">
        <v>188</v>
      </c>
      <c r="S190" s="260" t="s">
        <v>1193</v>
      </c>
      <c r="T190" s="261" t="s">
        <v>1194</v>
      </c>
      <c r="U190" s="261">
        <v>7.71</v>
      </c>
      <c r="V190" s="362">
        <v>7.61</v>
      </c>
      <c r="W190" s="261">
        <v>7.5</v>
      </c>
      <c r="X190" s="261">
        <v>0.45</v>
      </c>
      <c r="Y190" s="261">
        <v>0</v>
      </c>
      <c r="Z190" s="261">
        <v>8</v>
      </c>
      <c r="AA190" s="261">
        <v>1</v>
      </c>
      <c r="AB190" s="260" t="s">
        <v>1196</v>
      </c>
      <c r="AC190" s="261">
        <v>2020</v>
      </c>
      <c r="AD190" s="261" t="s">
        <v>1938</v>
      </c>
      <c r="AE190" s="262" t="s">
        <v>2149</v>
      </c>
      <c r="AF190"/>
      <c r="AG190"/>
      <c r="AH190" s="257" t="s">
        <v>1979</v>
      </c>
      <c r="AI190" s="380" t="s">
        <v>3243</v>
      </c>
    </row>
    <row r="191" spans="1:35" ht="16.05" customHeight="1" thickBot="1">
      <c r="A191" s="4" t="s">
        <v>1130</v>
      </c>
      <c r="B191" s="150">
        <v>8.5</v>
      </c>
      <c r="C191" s="2"/>
      <c r="D191" s="4" t="s">
        <v>1140</v>
      </c>
      <c r="E191" s="150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0">
        <v>7</v>
      </c>
      <c r="L191" s="2"/>
      <c r="M191" s="4" t="s">
        <v>1157</v>
      </c>
      <c r="N191" s="150">
        <v>10</v>
      </c>
      <c r="O191" s="17"/>
      <c r="R191" s="267">
        <v>189</v>
      </c>
      <c r="S191" s="257" t="s">
        <v>327</v>
      </c>
      <c r="T191" s="258" t="s">
        <v>981</v>
      </c>
      <c r="U191" s="258">
        <v>7.5</v>
      </c>
      <c r="V191" s="363">
        <v>7.4</v>
      </c>
      <c r="W191" s="258">
        <v>7.5</v>
      </c>
      <c r="X191" s="258">
        <v>0.76</v>
      </c>
      <c r="Y191" s="258">
        <v>0</v>
      </c>
      <c r="Z191" s="258">
        <v>12</v>
      </c>
      <c r="AA191" s="258">
        <v>0</v>
      </c>
      <c r="AB191" s="257" t="s">
        <v>773</v>
      </c>
      <c r="AC191" s="258">
        <v>1993</v>
      </c>
      <c r="AD191" s="258" t="s">
        <v>1896</v>
      </c>
      <c r="AE191" s="259" t="s">
        <v>2155</v>
      </c>
      <c r="AF191"/>
      <c r="AG191"/>
      <c r="AH191" s="260" t="s">
        <v>1980</v>
      </c>
      <c r="AI191" s="379" t="s">
        <v>3244</v>
      </c>
    </row>
    <row r="192" spans="1:35" ht="16.05" customHeight="1">
      <c r="A192" s="4" t="s">
        <v>1131</v>
      </c>
      <c r="B192" s="150">
        <v>8</v>
      </c>
      <c r="C192" s="2"/>
      <c r="D192" s="4" t="s">
        <v>1141</v>
      </c>
      <c r="E192" s="150">
        <v>9.5</v>
      </c>
      <c r="F192" s="2"/>
      <c r="G192" s="11" t="s">
        <v>1198</v>
      </c>
      <c r="H192" s="149">
        <v>9</v>
      </c>
      <c r="I192" s="2"/>
      <c r="J192" s="4" t="s">
        <v>1187</v>
      </c>
      <c r="K192" s="150">
        <v>7.5</v>
      </c>
      <c r="L192" s="2"/>
      <c r="M192" s="4" t="s">
        <v>1158</v>
      </c>
      <c r="N192" s="150">
        <v>9</v>
      </c>
      <c r="O192" s="17"/>
      <c r="R192" s="267">
        <v>190</v>
      </c>
      <c r="S192" s="260" t="s">
        <v>816</v>
      </c>
      <c r="T192" s="261" t="s">
        <v>1880</v>
      </c>
      <c r="U192" s="261">
        <v>7.31</v>
      </c>
      <c r="V192" s="364">
        <v>7.2</v>
      </c>
      <c r="W192" s="261">
        <v>7.25</v>
      </c>
      <c r="X192" s="261">
        <v>0.73</v>
      </c>
      <c r="Y192" s="261">
        <v>0</v>
      </c>
      <c r="Z192" s="261">
        <v>18</v>
      </c>
      <c r="AA192" s="261">
        <v>0</v>
      </c>
      <c r="AB192" s="260" t="s">
        <v>1118</v>
      </c>
      <c r="AC192" s="261">
        <v>2026</v>
      </c>
      <c r="AD192" s="261" t="s">
        <v>1896</v>
      </c>
      <c r="AE192" s="262" t="s">
        <v>2122</v>
      </c>
      <c r="AF192"/>
      <c r="AG192"/>
      <c r="AH192"/>
      <c r="AI192"/>
    </row>
    <row r="193" spans="1:35" ht="16.05" customHeight="1">
      <c r="A193" s="4" t="s">
        <v>1132</v>
      </c>
      <c r="B193" s="150">
        <v>9.5</v>
      </c>
      <c r="C193" s="2"/>
      <c r="D193" s="4" t="s">
        <v>1142</v>
      </c>
      <c r="E193" s="150">
        <v>8</v>
      </c>
      <c r="F193" s="2"/>
      <c r="G193" s="4" t="s">
        <v>1199</v>
      </c>
      <c r="H193" s="150">
        <v>8.5</v>
      </c>
      <c r="I193" s="2"/>
      <c r="J193" s="4" t="s">
        <v>1188</v>
      </c>
      <c r="K193" s="150">
        <v>8</v>
      </c>
      <c r="L193" s="2"/>
      <c r="M193" s="4" t="s">
        <v>1159</v>
      </c>
      <c r="N193" s="150">
        <v>9</v>
      </c>
      <c r="O193" s="17"/>
      <c r="R193" s="267">
        <v>191</v>
      </c>
      <c r="S193" s="257" t="s">
        <v>417</v>
      </c>
      <c r="T193" s="258" t="s">
        <v>418</v>
      </c>
      <c r="U193" s="258">
        <v>7.29</v>
      </c>
      <c r="V193" s="365">
        <v>7.16</v>
      </c>
      <c r="W193" s="258">
        <v>7</v>
      </c>
      <c r="X193" s="258">
        <v>0.52</v>
      </c>
      <c r="Y193" s="258">
        <v>0</v>
      </c>
      <c r="Z193" s="258">
        <v>7</v>
      </c>
      <c r="AA193" s="258">
        <v>0</v>
      </c>
      <c r="AB193" s="257" t="s">
        <v>781</v>
      </c>
      <c r="AC193" s="258">
        <v>2021</v>
      </c>
      <c r="AD193" s="258" t="s">
        <v>1939</v>
      </c>
      <c r="AE193" s="259" t="s">
        <v>2178</v>
      </c>
      <c r="AF193"/>
      <c r="AG193"/>
      <c r="AH193" s="260" t="s">
        <v>1981</v>
      </c>
      <c r="AI193" s="379" t="s">
        <v>3245</v>
      </c>
    </row>
    <row r="194" spans="1:35" ht="16.05" customHeight="1" thickBot="1">
      <c r="A194" s="7" t="s">
        <v>1133</v>
      </c>
      <c r="B194" s="151">
        <v>8</v>
      </c>
      <c r="C194" s="2"/>
      <c r="D194" s="4" t="s">
        <v>1143</v>
      </c>
      <c r="E194" s="150">
        <v>7.5</v>
      </c>
      <c r="F194" s="2"/>
      <c r="G194" s="4" t="s">
        <v>1200</v>
      </c>
      <c r="H194" s="150">
        <v>8.5</v>
      </c>
      <c r="I194" s="2"/>
      <c r="J194" s="4" t="s">
        <v>1189</v>
      </c>
      <c r="K194" s="150">
        <v>7.5</v>
      </c>
      <c r="L194" s="2"/>
      <c r="M194" s="4" t="s">
        <v>1160</v>
      </c>
      <c r="N194" s="150">
        <v>8.5</v>
      </c>
      <c r="O194" s="17"/>
      <c r="R194" s="267">
        <v>192</v>
      </c>
      <c r="S194" s="260" t="s">
        <v>2479</v>
      </c>
      <c r="T194" s="261" t="s">
        <v>2480</v>
      </c>
      <c r="U194" s="261">
        <v>7.17</v>
      </c>
      <c r="V194" s="366">
        <v>7.04</v>
      </c>
      <c r="W194" s="261">
        <v>7</v>
      </c>
      <c r="X194" s="261">
        <v>0.72</v>
      </c>
      <c r="Y194" s="261">
        <v>0</v>
      </c>
      <c r="Z194" s="261">
        <v>12</v>
      </c>
      <c r="AA194" s="261">
        <v>0</v>
      </c>
      <c r="AB194" s="260" t="s">
        <v>2484</v>
      </c>
      <c r="AC194" s="261">
        <v>2013</v>
      </c>
      <c r="AD194" s="261" t="s">
        <v>1901</v>
      </c>
      <c r="AE194" s="262" t="s">
        <v>2483</v>
      </c>
      <c r="AF194"/>
      <c r="AG194"/>
      <c r="AH194" s="257" t="s">
        <v>1982</v>
      </c>
      <c r="AI194" s="380" t="s">
        <v>3246</v>
      </c>
    </row>
    <row r="195" spans="1:35" ht="16.05" customHeight="1" thickBot="1">
      <c r="A195" s="16"/>
      <c r="B195" s="16"/>
      <c r="C195" s="2"/>
      <c r="D195" s="4" t="s">
        <v>1144</v>
      </c>
      <c r="E195" s="150">
        <v>10</v>
      </c>
      <c r="F195" s="2"/>
      <c r="G195" s="4" t="s">
        <v>1201</v>
      </c>
      <c r="H195" s="150">
        <v>10</v>
      </c>
      <c r="I195" s="2"/>
      <c r="J195" s="4" t="s">
        <v>1190</v>
      </c>
      <c r="K195" s="150">
        <v>8.5</v>
      </c>
      <c r="L195" s="2"/>
      <c r="M195" s="4" t="s">
        <v>1161</v>
      </c>
      <c r="N195" s="150">
        <v>8</v>
      </c>
      <c r="O195" s="17"/>
      <c r="R195" s="267">
        <v>193</v>
      </c>
      <c r="S195" s="257" t="s">
        <v>668</v>
      </c>
      <c r="T195" s="258" t="s">
        <v>669</v>
      </c>
      <c r="U195" s="258">
        <v>7.06</v>
      </c>
      <c r="V195" s="367">
        <v>6.99</v>
      </c>
      <c r="W195" s="258">
        <v>7</v>
      </c>
      <c r="X195" s="258">
        <v>0.44</v>
      </c>
      <c r="Y195" s="258">
        <v>0</v>
      </c>
      <c r="Z195" s="258">
        <v>10</v>
      </c>
      <c r="AA195" s="258">
        <v>1</v>
      </c>
      <c r="AB195" s="257" t="s">
        <v>774</v>
      </c>
      <c r="AC195" s="258">
        <v>2026</v>
      </c>
      <c r="AD195" s="258" t="s">
        <v>1940</v>
      </c>
      <c r="AE195" s="259" t="s">
        <v>2169</v>
      </c>
      <c r="AF195"/>
      <c r="AG195"/>
      <c r="AH195"/>
      <c r="AI195"/>
    </row>
    <row r="196" spans="1:35" ht="16.05" customHeight="1" thickBot="1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0">
        <v>8</v>
      </c>
      <c r="F196" s="2"/>
      <c r="G196" s="4" t="s">
        <v>1202</v>
      </c>
      <c r="H196" s="150">
        <v>8</v>
      </c>
      <c r="I196" s="2"/>
      <c r="J196" s="4" t="s">
        <v>1191</v>
      </c>
      <c r="K196" s="150">
        <v>8</v>
      </c>
      <c r="L196" s="2"/>
      <c r="M196" s="4" t="s">
        <v>1162</v>
      </c>
      <c r="N196" s="150">
        <v>10.5</v>
      </c>
      <c r="O196" s="17"/>
      <c r="R196" s="267">
        <v>194</v>
      </c>
      <c r="S196" s="260" t="s">
        <v>335</v>
      </c>
      <c r="T196" s="261" t="s">
        <v>1785</v>
      </c>
      <c r="U196" s="261">
        <v>3.68</v>
      </c>
      <c r="V196" s="368">
        <v>3.37</v>
      </c>
      <c r="W196" s="261">
        <v>3</v>
      </c>
      <c r="X196" s="261">
        <v>1.37</v>
      </c>
      <c r="Y196" s="261">
        <v>0</v>
      </c>
      <c r="Z196" s="261">
        <v>11</v>
      </c>
      <c r="AA196" s="261">
        <v>0</v>
      </c>
      <c r="AB196" s="260" t="s">
        <v>772</v>
      </c>
      <c r="AC196" s="261">
        <v>2003</v>
      </c>
      <c r="AD196" s="261" t="s">
        <v>1897</v>
      </c>
      <c r="AE196" s="262" t="s">
        <v>2126</v>
      </c>
      <c r="AF196"/>
      <c r="AG196"/>
      <c r="AH196"/>
      <c r="AI196"/>
    </row>
    <row r="197" spans="1:35" ht="16.05" customHeight="1" thickBot="1">
      <c r="A197" s="157">
        <v>360</v>
      </c>
      <c r="B197" s="149">
        <v>10</v>
      </c>
      <c r="C197" s="2"/>
      <c r="D197" s="4" t="s">
        <v>1146</v>
      </c>
      <c r="E197" s="150">
        <v>7</v>
      </c>
      <c r="F197" s="2"/>
      <c r="G197" s="4" t="s">
        <v>1203</v>
      </c>
      <c r="H197" s="150">
        <v>10.5</v>
      </c>
      <c r="I197" s="2"/>
      <c r="J197" s="7" t="s">
        <v>1192</v>
      </c>
      <c r="K197" s="151">
        <v>7.5</v>
      </c>
      <c r="L197" s="2"/>
      <c r="M197" s="4" t="s">
        <v>1163</v>
      </c>
      <c r="N197" s="150">
        <v>8.5</v>
      </c>
      <c r="O197" s="17"/>
      <c r="R197" s="267">
        <v>195</v>
      </c>
      <c r="S197" s="257" t="s">
        <v>2601</v>
      </c>
      <c r="T197" s="258" t="s">
        <v>2602</v>
      </c>
      <c r="U197" s="258">
        <v>2.5</v>
      </c>
      <c r="V197" s="368">
        <v>2.39</v>
      </c>
      <c r="W197" s="258">
        <v>2.75</v>
      </c>
      <c r="X197" s="258">
        <v>1.3</v>
      </c>
      <c r="Y197" s="258">
        <v>0</v>
      </c>
      <c r="Z197" s="258">
        <v>10</v>
      </c>
      <c r="AA197" s="258">
        <v>0</v>
      </c>
      <c r="AB197" s="257" t="s">
        <v>1099</v>
      </c>
      <c r="AC197" s="258">
        <v>2025</v>
      </c>
      <c r="AD197" s="258" t="s">
        <v>2608</v>
      </c>
      <c r="AE197" s="259" t="s">
        <v>2607</v>
      </c>
      <c r="AF197"/>
      <c r="AG197"/>
      <c r="AH197"/>
      <c r="AI197"/>
    </row>
    <row r="198" spans="1:35" ht="16.05" customHeight="1" thickBot="1">
      <c r="A198" s="4" t="s">
        <v>1209</v>
      </c>
      <c r="B198" s="150">
        <v>8.5</v>
      </c>
      <c r="C198" s="2"/>
      <c r="D198" s="4" t="s">
        <v>1147</v>
      </c>
      <c r="E198" s="150"/>
      <c r="F198" s="2"/>
      <c r="G198" s="4" t="s">
        <v>1204</v>
      </c>
      <c r="H198" s="150">
        <v>8</v>
      </c>
      <c r="I198" s="2"/>
      <c r="J198" s="16"/>
      <c r="K198" s="16"/>
      <c r="L198" s="2"/>
      <c r="M198" s="4" t="s">
        <v>1164</v>
      </c>
      <c r="N198" s="150">
        <v>9</v>
      </c>
      <c r="O198" s="17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>
      <c r="A199" s="4" t="s">
        <v>1210</v>
      </c>
      <c r="B199" s="150">
        <v>8.5</v>
      </c>
      <c r="C199" s="2"/>
      <c r="D199" s="7" t="s">
        <v>1148</v>
      </c>
      <c r="E199" s="151">
        <v>10</v>
      </c>
      <c r="F199" s="2"/>
      <c r="G199" s="4" t="s">
        <v>1205</v>
      </c>
      <c r="H199" s="150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0">
        <v>8</v>
      </c>
      <c r="O199" s="17"/>
      <c r="R199" s="391" t="s">
        <v>1335</v>
      </c>
      <c r="S199" s="391"/>
      <c r="T199" s="391"/>
      <c r="U199" s="391"/>
      <c r="V199" s="391"/>
      <c r="W199" s="391"/>
      <c r="X199" s="391"/>
      <c r="Y199" s="391"/>
      <c r="Z199" s="391"/>
      <c r="AA199" s="391"/>
      <c r="AB199" s="391"/>
      <c r="AC199" s="391"/>
      <c r="AD199" s="391"/>
      <c r="AE199" s="391"/>
      <c r="AF199"/>
      <c r="AG199"/>
      <c r="AH199"/>
      <c r="AI199"/>
    </row>
    <row r="200" spans="1:35" ht="16.05" customHeight="1" thickBot="1">
      <c r="A200" s="4" t="s">
        <v>1211</v>
      </c>
      <c r="B200" s="150">
        <v>7.5</v>
      </c>
      <c r="C200" s="2"/>
      <c r="D200" s="14"/>
      <c r="E200" s="16"/>
      <c r="F200" s="2"/>
      <c r="G200" s="7" t="s">
        <v>1206</v>
      </c>
      <c r="H200" s="151">
        <v>8.5</v>
      </c>
      <c r="I200" s="2"/>
      <c r="J200" s="11" t="s">
        <v>1230</v>
      </c>
      <c r="K200" s="149">
        <v>10</v>
      </c>
      <c r="L200" s="2"/>
      <c r="M200" s="4" t="s">
        <v>1166</v>
      </c>
      <c r="N200" s="150">
        <v>9</v>
      </c>
      <c r="O200" s="17"/>
      <c r="R200" s="256" t="s">
        <v>352</v>
      </c>
      <c r="S200" s="256" t="s">
        <v>319</v>
      </c>
      <c r="T200" s="256" t="s">
        <v>515</v>
      </c>
      <c r="U200" s="256" t="s">
        <v>321</v>
      </c>
      <c r="V200" s="256" t="s">
        <v>2004</v>
      </c>
      <c r="W200" s="256" t="s">
        <v>513</v>
      </c>
      <c r="X200" s="256" t="s">
        <v>322</v>
      </c>
      <c r="Y200" s="256" t="s">
        <v>323</v>
      </c>
      <c r="Z200" s="256" t="s">
        <v>324</v>
      </c>
      <c r="AA200" s="256" t="s">
        <v>325</v>
      </c>
      <c r="AB200" s="256" t="s">
        <v>910</v>
      </c>
      <c r="AC200" s="256" t="s">
        <v>1941</v>
      </c>
      <c r="AD200" s="256" t="s">
        <v>1942</v>
      </c>
      <c r="AE200" s="256" t="s">
        <v>2114</v>
      </c>
      <c r="AF200"/>
      <c r="AG200"/>
      <c r="AH200"/>
      <c r="AI200"/>
    </row>
    <row r="201" spans="1:35" ht="16.05" customHeight="1" thickBot="1">
      <c r="A201" s="4" t="s">
        <v>1212</v>
      </c>
      <c r="B201" s="150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0">
        <v>8</v>
      </c>
      <c r="L201" s="2"/>
      <c r="M201" s="4" t="s">
        <v>1167</v>
      </c>
      <c r="N201" s="150">
        <v>6</v>
      </c>
      <c r="O201" s="17"/>
      <c r="R201" s="263">
        <v>1</v>
      </c>
      <c r="S201" s="257" t="s">
        <v>332</v>
      </c>
      <c r="T201" s="258">
        <v>5</v>
      </c>
      <c r="U201" s="258">
        <v>9.35</v>
      </c>
      <c r="V201" s="369">
        <v>9.58</v>
      </c>
      <c r="W201" s="258">
        <v>9.35</v>
      </c>
      <c r="X201" s="258">
        <v>0.76</v>
      </c>
      <c r="Y201" s="258">
        <v>16</v>
      </c>
      <c r="Z201" s="258">
        <v>52</v>
      </c>
      <c r="AA201" s="258">
        <v>5</v>
      </c>
      <c r="AB201" s="257" t="s">
        <v>3172</v>
      </c>
      <c r="AC201" s="258" t="s">
        <v>3019</v>
      </c>
      <c r="AD201" s="258" t="s">
        <v>1907</v>
      </c>
      <c r="AE201" s="259" t="s">
        <v>2184</v>
      </c>
      <c r="AF201"/>
      <c r="AG201"/>
      <c r="AH201"/>
      <c r="AI201"/>
    </row>
    <row r="202" spans="1:35" ht="16.05" customHeight="1" thickBot="1">
      <c r="A202" s="4" t="s">
        <v>1213</v>
      </c>
      <c r="B202" s="150">
        <v>10</v>
      </c>
      <c r="C202" s="17"/>
      <c r="D202" s="11" t="s">
        <v>1242</v>
      </c>
      <c r="E202" s="149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0">
        <v>9.5</v>
      </c>
      <c r="L202" s="2"/>
      <c r="M202" s="4" t="s">
        <v>1168</v>
      </c>
      <c r="N202" s="150">
        <v>7</v>
      </c>
      <c r="O202" s="17"/>
      <c r="R202" s="265">
        <v>2</v>
      </c>
      <c r="S202" s="260" t="s">
        <v>2661</v>
      </c>
      <c r="T202" s="261">
        <v>2</v>
      </c>
      <c r="U202" s="261">
        <v>9.36</v>
      </c>
      <c r="V202" s="273">
        <v>9.5299999999999994</v>
      </c>
      <c r="W202" s="261">
        <v>9.5</v>
      </c>
      <c r="X202" s="261">
        <v>0.45</v>
      </c>
      <c r="Y202" s="261">
        <v>2</v>
      </c>
      <c r="Z202" s="261">
        <v>7</v>
      </c>
      <c r="AA202" s="261">
        <v>0</v>
      </c>
      <c r="AB202" s="260" t="s">
        <v>1097</v>
      </c>
      <c r="AC202" s="261" t="s">
        <v>2677</v>
      </c>
      <c r="AD202" s="261" t="s">
        <v>1897</v>
      </c>
      <c r="AE202" s="262" t="s">
        <v>2184</v>
      </c>
      <c r="AF202"/>
      <c r="AG202"/>
      <c r="AH202"/>
      <c r="AI202"/>
    </row>
    <row r="203" spans="1:35" ht="16.05" customHeight="1">
      <c r="A203" s="4" t="s">
        <v>1214</v>
      </c>
      <c r="B203" s="150">
        <v>8</v>
      </c>
      <c r="C203" s="17"/>
      <c r="D203" s="4" t="s">
        <v>1243</v>
      </c>
      <c r="E203" s="150">
        <v>10.5</v>
      </c>
      <c r="F203" s="2"/>
      <c r="G203" s="11" t="s">
        <v>1256</v>
      </c>
      <c r="H203" s="149">
        <v>8.5</v>
      </c>
      <c r="I203" s="2"/>
      <c r="J203" s="4" t="s">
        <v>1233</v>
      </c>
      <c r="K203" s="150">
        <v>8</v>
      </c>
      <c r="L203" s="2"/>
      <c r="M203" s="4" t="s">
        <v>1169</v>
      </c>
      <c r="N203" s="150">
        <v>10</v>
      </c>
      <c r="O203" s="17"/>
      <c r="R203" s="266">
        <v>3</v>
      </c>
      <c r="S203" s="257" t="s">
        <v>326</v>
      </c>
      <c r="T203" s="258">
        <v>7</v>
      </c>
      <c r="U203" s="258">
        <v>9.17</v>
      </c>
      <c r="V203" s="395">
        <v>9.4499999999999993</v>
      </c>
      <c r="W203" s="258">
        <v>9.4600000000000009</v>
      </c>
      <c r="X203" s="258">
        <v>0.89</v>
      </c>
      <c r="Y203" s="258">
        <v>27</v>
      </c>
      <c r="Z203" s="258">
        <v>72</v>
      </c>
      <c r="AA203" s="258">
        <v>16</v>
      </c>
      <c r="AB203" s="257" t="s">
        <v>3171</v>
      </c>
      <c r="AC203" s="258" t="s">
        <v>1943</v>
      </c>
      <c r="AD203" s="258" t="s">
        <v>1894</v>
      </c>
      <c r="AE203" s="259" t="s">
        <v>2184</v>
      </c>
      <c r="AF203"/>
      <c r="AG203"/>
      <c r="AH203"/>
      <c r="AI203"/>
    </row>
    <row r="204" spans="1:35" ht="16.05" customHeight="1">
      <c r="A204" s="4" t="s">
        <v>1215</v>
      </c>
      <c r="B204" s="150">
        <v>8.5</v>
      </c>
      <c r="C204" s="17"/>
      <c r="D204" s="4" t="s">
        <v>1244</v>
      </c>
      <c r="E204" s="150"/>
      <c r="F204" s="2"/>
      <c r="G204" s="4" t="s">
        <v>1257</v>
      </c>
      <c r="H204" s="150">
        <v>8.5</v>
      </c>
      <c r="I204" s="2"/>
      <c r="J204" s="4" t="s">
        <v>1234</v>
      </c>
      <c r="K204" s="150">
        <v>9</v>
      </c>
      <c r="L204" s="2"/>
      <c r="M204" s="4" t="s">
        <v>1170</v>
      </c>
      <c r="N204" s="150">
        <v>9</v>
      </c>
      <c r="O204" s="17"/>
      <c r="R204" s="267">
        <v>4</v>
      </c>
      <c r="S204" s="260" t="s">
        <v>331</v>
      </c>
      <c r="T204" s="261">
        <v>4</v>
      </c>
      <c r="U204" s="261">
        <v>9.1</v>
      </c>
      <c r="V204" s="284">
        <v>9.1</v>
      </c>
      <c r="W204" s="261">
        <v>8.94</v>
      </c>
      <c r="X204" s="261">
        <v>0.69</v>
      </c>
      <c r="Y204" s="261">
        <v>5</v>
      </c>
      <c r="Z204" s="261">
        <v>23</v>
      </c>
      <c r="AA204" s="261">
        <v>0</v>
      </c>
      <c r="AB204" s="260" t="s">
        <v>2424</v>
      </c>
      <c r="AC204" s="261" t="s">
        <v>1944</v>
      </c>
      <c r="AD204" s="261" t="s">
        <v>1919</v>
      </c>
      <c r="AE204" s="262" t="s">
        <v>2184</v>
      </c>
      <c r="AF204"/>
      <c r="AG204"/>
      <c r="AH204"/>
      <c r="AI204"/>
    </row>
    <row r="205" spans="1:35" ht="16.05" customHeight="1">
      <c r="A205" s="4" t="s">
        <v>1216</v>
      </c>
      <c r="B205" s="150">
        <v>7.5</v>
      </c>
      <c r="C205" s="17"/>
      <c r="D205" s="4" t="s">
        <v>1245</v>
      </c>
      <c r="E205" s="150">
        <v>10</v>
      </c>
      <c r="F205" s="2"/>
      <c r="G205" s="4" t="s">
        <v>1258</v>
      </c>
      <c r="H205" s="150">
        <v>9</v>
      </c>
      <c r="I205" s="2"/>
      <c r="J205" s="4" t="s">
        <v>1235</v>
      </c>
      <c r="K205" s="150"/>
      <c r="L205" s="2"/>
      <c r="M205" s="4" t="s">
        <v>1171</v>
      </c>
      <c r="N205" s="150">
        <v>8.5</v>
      </c>
      <c r="O205" s="17"/>
      <c r="R205" s="267">
        <v>5</v>
      </c>
      <c r="S205" s="257" t="s">
        <v>330</v>
      </c>
      <c r="T205" s="258">
        <v>2</v>
      </c>
      <c r="U205" s="258">
        <v>8.99</v>
      </c>
      <c r="V205" s="286">
        <v>9.0399999999999991</v>
      </c>
      <c r="W205" s="258">
        <v>8.75</v>
      </c>
      <c r="X205" s="258">
        <v>0.9</v>
      </c>
      <c r="Y205" s="258">
        <v>5</v>
      </c>
      <c r="Z205" s="258">
        <v>18</v>
      </c>
      <c r="AA205" s="258">
        <v>0</v>
      </c>
      <c r="AB205" s="257" t="s">
        <v>3173</v>
      </c>
      <c r="AC205" s="258" t="s">
        <v>2102</v>
      </c>
      <c r="AD205" s="258" t="s">
        <v>1932</v>
      </c>
      <c r="AE205" s="259" t="s">
        <v>2184</v>
      </c>
      <c r="AF205"/>
      <c r="AG205"/>
      <c r="AH205"/>
      <c r="AI205"/>
    </row>
    <row r="206" spans="1:35" ht="16.05" customHeight="1" thickBot="1">
      <c r="A206" s="4" t="s">
        <v>1217</v>
      </c>
      <c r="B206" s="150">
        <v>8.5</v>
      </c>
      <c r="C206" s="17"/>
      <c r="D206" s="4" t="s">
        <v>1246</v>
      </c>
      <c r="E206" s="150"/>
      <c r="F206" s="2"/>
      <c r="G206" s="4" t="s">
        <v>1259</v>
      </c>
      <c r="H206" s="150">
        <v>10</v>
      </c>
      <c r="I206" s="2"/>
      <c r="J206" s="7" t="s">
        <v>1236</v>
      </c>
      <c r="K206" s="151">
        <v>8</v>
      </c>
      <c r="L206" s="2"/>
      <c r="M206" s="4" t="s">
        <v>1172</v>
      </c>
      <c r="N206" s="150">
        <v>8.5</v>
      </c>
      <c r="O206" s="17"/>
      <c r="R206" s="267">
        <v>6</v>
      </c>
      <c r="S206" s="260" t="s">
        <v>480</v>
      </c>
      <c r="T206" s="261">
        <v>4</v>
      </c>
      <c r="U206" s="261">
        <v>8.91</v>
      </c>
      <c r="V206" s="290">
        <v>8.9700000000000006</v>
      </c>
      <c r="W206" s="261">
        <v>8.75</v>
      </c>
      <c r="X206" s="261">
        <v>0.81</v>
      </c>
      <c r="Y206" s="261">
        <v>7</v>
      </c>
      <c r="Z206" s="261">
        <v>37</v>
      </c>
      <c r="AA206" s="261">
        <v>0</v>
      </c>
      <c r="AB206" s="260" t="s">
        <v>3174</v>
      </c>
      <c r="AC206" s="261" t="s">
        <v>2514</v>
      </c>
      <c r="AD206" s="261" t="s">
        <v>1911</v>
      </c>
      <c r="AE206" s="262" t="s">
        <v>2184</v>
      </c>
      <c r="AF206"/>
      <c r="AG206"/>
      <c r="AH206"/>
      <c r="AI206"/>
    </row>
    <row r="207" spans="1:35" ht="16.05" customHeight="1" thickBot="1">
      <c r="A207" s="4" t="s">
        <v>1218</v>
      </c>
      <c r="B207" s="150">
        <v>10</v>
      </c>
      <c r="C207" s="17"/>
      <c r="D207" s="4" t="s">
        <v>1247</v>
      </c>
      <c r="E207" s="150">
        <v>10</v>
      </c>
      <c r="F207" s="2"/>
      <c r="G207" s="4" t="s">
        <v>1260</v>
      </c>
      <c r="H207" s="150">
        <v>9</v>
      </c>
      <c r="I207" s="2"/>
      <c r="J207" s="16"/>
      <c r="K207" s="16"/>
      <c r="L207" s="2"/>
      <c r="M207" s="4" t="s">
        <v>1173</v>
      </c>
      <c r="N207" s="150">
        <v>8.5</v>
      </c>
      <c r="O207" s="17"/>
      <c r="R207" s="267">
        <v>7</v>
      </c>
      <c r="S207" s="257" t="s">
        <v>2931</v>
      </c>
      <c r="T207" s="258">
        <v>2</v>
      </c>
      <c r="U207" s="258">
        <v>8.8699999999999992</v>
      </c>
      <c r="V207" s="293">
        <v>8.93</v>
      </c>
      <c r="W207" s="258">
        <v>8.75</v>
      </c>
      <c r="X207" s="258">
        <v>0.83</v>
      </c>
      <c r="Y207" s="258">
        <v>7</v>
      </c>
      <c r="Z207" s="258">
        <v>41</v>
      </c>
      <c r="AA207" s="258">
        <v>11</v>
      </c>
      <c r="AB207" s="257" t="s">
        <v>2937</v>
      </c>
      <c r="AC207" s="258" t="s">
        <v>2939</v>
      </c>
      <c r="AD207" s="258" t="s">
        <v>1910</v>
      </c>
      <c r="AE207" s="259" t="s">
        <v>2184</v>
      </c>
      <c r="AF207"/>
      <c r="AG207"/>
      <c r="AH207"/>
      <c r="AI207"/>
    </row>
    <row r="208" spans="1:35" ht="16.05" customHeight="1" thickBot="1">
      <c r="A208" s="4" t="s">
        <v>1219</v>
      </c>
      <c r="B208" s="150">
        <v>9</v>
      </c>
      <c r="C208" s="17"/>
      <c r="D208" s="4" t="s">
        <v>1248</v>
      </c>
      <c r="E208" s="150">
        <v>8</v>
      </c>
      <c r="F208" s="2"/>
      <c r="G208" s="4" t="s">
        <v>1261</v>
      </c>
      <c r="H208" s="150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0">
        <v>8</v>
      </c>
      <c r="O208" s="17"/>
      <c r="R208" s="267">
        <v>8</v>
      </c>
      <c r="S208" s="260" t="s">
        <v>346</v>
      </c>
      <c r="T208" s="261">
        <v>2</v>
      </c>
      <c r="U208" s="261">
        <v>8.8699999999999992</v>
      </c>
      <c r="V208" s="295">
        <v>8.91</v>
      </c>
      <c r="W208" s="261">
        <v>9</v>
      </c>
      <c r="X208" s="261">
        <v>0.73</v>
      </c>
      <c r="Y208" s="261">
        <v>4</v>
      </c>
      <c r="Z208" s="261">
        <v>25</v>
      </c>
      <c r="AA208" s="261">
        <v>0</v>
      </c>
      <c r="AB208" s="260" t="s">
        <v>1842</v>
      </c>
      <c r="AC208" s="261" t="s">
        <v>1945</v>
      </c>
      <c r="AD208" s="261" t="s">
        <v>1910</v>
      </c>
      <c r="AE208" s="262" t="s">
        <v>2184</v>
      </c>
      <c r="AF208"/>
      <c r="AG208"/>
      <c r="AH208"/>
      <c r="AI208"/>
    </row>
    <row r="209" spans="1:35" ht="16.05" customHeight="1" thickBot="1">
      <c r="A209" s="4" t="s">
        <v>1220</v>
      </c>
      <c r="B209" s="150">
        <v>8.5</v>
      </c>
      <c r="C209" s="17"/>
      <c r="D209" s="4" t="s">
        <v>1249</v>
      </c>
      <c r="E209" s="150">
        <v>8</v>
      </c>
      <c r="F209" s="2"/>
      <c r="G209" s="4" t="s">
        <v>1262</v>
      </c>
      <c r="H209" s="150">
        <v>9</v>
      </c>
      <c r="I209" s="2"/>
      <c r="J209" s="11" t="s">
        <v>1269</v>
      </c>
      <c r="K209" s="149">
        <v>9</v>
      </c>
      <c r="L209" s="2"/>
      <c r="M209" s="7" t="s">
        <v>1175</v>
      </c>
      <c r="N209" s="151">
        <v>8.5</v>
      </c>
      <c r="O209" s="17"/>
      <c r="R209" s="267">
        <v>9</v>
      </c>
      <c r="S209" s="257" t="s">
        <v>341</v>
      </c>
      <c r="T209" s="258">
        <v>3</v>
      </c>
      <c r="U209" s="258">
        <v>8.86</v>
      </c>
      <c r="V209" s="295">
        <v>8.9</v>
      </c>
      <c r="W209" s="258">
        <v>8.67</v>
      </c>
      <c r="X209" s="258">
        <v>0.9</v>
      </c>
      <c r="Y209" s="258">
        <v>5</v>
      </c>
      <c r="Z209" s="258">
        <v>23</v>
      </c>
      <c r="AA209" s="258">
        <v>0</v>
      </c>
      <c r="AB209" s="257" t="s">
        <v>3175</v>
      </c>
      <c r="AC209" s="258" t="s">
        <v>1946</v>
      </c>
      <c r="AD209" s="258" t="s">
        <v>1919</v>
      </c>
      <c r="AE209" s="259" t="s">
        <v>2184</v>
      </c>
      <c r="AF209"/>
      <c r="AG209"/>
      <c r="AH209"/>
      <c r="AI209"/>
    </row>
    <row r="210" spans="1:35" ht="16.05" customHeight="1" thickBot="1">
      <c r="A210" s="4" t="s">
        <v>1221</v>
      </c>
      <c r="B210" s="150">
        <v>6.5</v>
      </c>
      <c r="C210" s="17"/>
      <c r="D210" s="4" t="s">
        <v>1250</v>
      </c>
      <c r="E210" s="150">
        <v>10</v>
      </c>
      <c r="F210" s="2"/>
      <c r="G210" s="4" t="s">
        <v>1263</v>
      </c>
      <c r="H210" s="150">
        <v>8</v>
      </c>
      <c r="I210" s="2"/>
      <c r="J210" s="4" t="s">
        <v>1270</v>
      </c>
      <c r="K210" s="150">
        <v>8</v>
      </c>
      <c r="L210" s="2"/>
      <c r="M210" s="16"/>
      <c r="N210" s="16"/>
      <c r="O210" s="17"/>
      <c r="R210" s="267">
        <v>10</v>
      </c>
      <c r="S210" s="260" t="s">
        <v>1176</v>
      </c>
      <c r="T210" s="261">
        <v>2</v>
      </c>
      <c r="U210" s="261">
        <v>8.7200000000000006</v>
      </c>
      <c r="V210" s="295">
        <v>8.9</v>
      </c>
      <c r="W210" s="261">
        <v>8.5</v>
      </c>
      <c r="X210" s="261">
        <v>0.94</v>
      </c>
      <c r="Y210" s="261">
        <v>10</v>
      </c>
      <c r="Z210" s="261">
        <v>54</v>
      </c>
      <c r="AA210" s="261">
        <v>2</v>
      </c>
      <c r="AB210" s="260" t="s">
        <v>1552</v>
      </c>
      <c r="AC210" s="261" t="s">
        <v>2097</v>
      </c>
      <c r="AD210" s="261" t="s">
        <v>2098</v>
      </c>
      <c r="AE210" s="262" t="s">
        <v>2184</v>
      </c>
      <c r="AF210"/>
      <c r="AG210"/>
      <c r="AH210"/>
      <c r="AI210"/>
    </row>
    <row r="211" spans="1:35" ht="16.05" customHeight="1" thickBot="1">
      <c r="A211" s="158">
        <v>365</v>
      </c>
      <c r="B211" s="151">
        <v>9</v>
      </c>
      <c r="C211" s="2"/>
      <c r="D211" s="7" t="s">
        <v>1251</v>
      </c>
      <c r="E211" s="151"/>
      <c r="F211" s="2"/>
      <c r="G211" s="4" t="s">
        <v>1264</v>
      </c>
      <c r="H211" s="150">
        <v>7.5</v>
      </c>
      <c r="I211" s="2"/>
      <c r="J211" s="4" t="s">
        <v>1271</v>
      </c>
      <c r="K211" s="150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67">
        <v>11</v>
      </c>
      <c r="S211" s="257" t="s">
        <v>327</v>
      </c>
      <c r="T211" s="258">
        <v>9</v>
      </c>
      <c r="U211" s="258">
        <v>8.6999999999999993</v>
      </c>
      <c r="V211" s="301">
        <v>8.83</v>
      </c>
      <c r="W211" s="258">
        <v>8.7799999999999994</v>
      </c>
      <c r="X211" s="258">
        <v>0.86</v>
      </c>
      <c r="Y211" s="258">
        <v>23</v>
      </c>
      <c r="Z211" s="258">
        <v>101</v>
      </c>
      <c r="AA211" s="258">
        <v>4</v>
      </c>
      <c r="AB211" s="257" t="s">
        <v>944</v>
      </c>
      <c r="AC211" s="258" t="s">
        <v>1949</v>
      </c>
      <c r="AD211" s="258" t="s">
        <v>1904</v>
      </c>
      <c r="AE211" s="259" t="s">
        <v>2184</v>
      </c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1265</v>
      </c>
      <c r="H212" s="150">
        <v>8</v>
      </c>
      <c r="I212" s="2"/>
      <c r="J212" s="4" t="s">
        <v>1272</v>
      </c>
      <c r="K212" s="150">
        <v>7.5</v>
      </c>
      <c r="L212" s="2"/>
      <c r="M212" s="11" t="s">
        <v>1285</v>
      </c>
      <c r="N212" s="149">
        <v>8</v>
      </c>
      <c r="O212" s="17"/>
      <c r="R212" s="267">
        <v>12</v>
      </c>
      <c r="S212" s="260" t="s">
        <v>1603</v>
      </c>
      <c r="T212" s="261">
        <v>2</v>
      </c>
      <c r="U212" s="261">
        <v>8.91</v>
      </c>
      <c r="V212" s="302">
        <v>8.82</v>
      </c>
      <c r="W212" s="261">
        <v>8.75</v>
      </c>
      <c r="X212" s="261">
        <v>0.8</v>
      </c>
      <c r="Y212" s="261">
        <v>4</v>
      </c>
      <c r="Z212" s="261">
        <v>17</v>
      </c>
      <c r="AA212" s="261">
        <v>0</v>
      </c>
      <c r="AB212" s="260" t="s">
        <v>1606</v>
      </c>
      <c r="AC212" s="261" t="s">
        <v>2359</v>
      </c>
      <c r="AD212" s="261" t="s">
        <v>1919</v>
      </c>
      <c r="AE212" s="262" t="s">
        <v>2184</v>
      </c>
      <c r="AF212"/>
      <c r="AG212"/>
      <c r="AH212"/>
      <c r="AI212"/>
    </row>
    <row r="213" spans="1:35" ht="16.05" customHeight="1" thickBot="1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1">
        <v>7</v>
      </c>
      <c r="I213" s="2"/>
      <c r="J213" s="4" t="s">
        <v>1273</v>
      </c>
      <c r="K213" s="150">
        <v>9</v>
      </c>
      <c r="L213" s="2"/>
      <c r="M213" s="4" t="s">
        <v>1286</v>
      </c>
      <c r="N213" s="150">
        <v>7.5</v>
      </c>
      <c r="O213" s="17"/>
      <c r="R213" s="267">
        <v>13</v>
      </c>
      <c r="S213" s="257" t="s">
        <v>345</v>
      </c>
      <c r="T213" s="258">
        <v>3</v>
      </c>
      <c r="U213" s="258">
        <v>8.77</v>
      </c>
      <c r="V213" s="304">
        <v>8.7899999999999991</v>
      </c>
      <c r="W213" s="258">
        <v>8.67</v>
      </c>
      <c r="X213" s="258">
        <v>0.81</v>
      </c>
      <c r="Y213" s="258">
        <v>6</v>
      </c>
      <c r="Z213" s="258">
        <v>34</v>
      </c>
      <c r="AA213" s="258">
        <v>1</v>
      </c>
      <c r="AB213" s="257" t="s">
        <v>1644</v>
      </c>
      <c r="AC213" s="258" t="s">
        <v>1947</v>
      </c>
      <c r="AD213" s="258" t="s">
        <v>1923</v>
      </c>
      <c r="AE213" s="259" t="s">
        <v>2184</v>
      </c>
      <c r="AF213"/>
      <c r="AG213"/>
      <c r="AH213"/>
      <c r="AI213"/>
    </row>
    <row r="214" spans="1:35" ht="16.05" customHeight="1" thickBot="1">
      <c r="A214" s="11" t="s">
        <v>1320</v>
      </c>
      <c r="B214" s="149">
        <v>8.5</v>
      </c>
      <c r="C214" s="2"/>
      <c r="D214" s="11" t="s">
        <v>1305</v>
      </c>
      <c r="E214" s="149">
        <v>9</v>
      </c>
      <c r="F214" s="2"/>
      <c r="G214" s="16"/>
      <c r="H214" s="16"/>
      <c r="I214" s="2"/>
      <c r="J214" s="4" t="s">
        <v>1274</v>
      </c>
      <c r="K214" s="150">
        <v>7</v>
      </c>
      <c r="L214" s="2"/>
      <c r="M214" s="4" t="s">
        <v>1287</v>
      </c>
      <c r="N214" s="150">
        <v>9</v>
      </c>
      <c r="O214" s="17"/>
      <c r="R214" s="267">
        <v>14</v>
      </c>
      <c r="S214" s="260" t="s">
        <v>1692</v>
      </c>
      <c r="T214" s="261">
        <v>2</v>
      </c>
      <c r="U214" s="261">
        <v>8.81</v>
      </c>
      <c r="V214" s="306">
        <v>8.77</v>
      </c>
      <c r="W214" s="261">
        <v>8.5</v>
      </c>
      <c r="X214" s="261">
        <v>0.81</v>
      </c>
      <c r="Y214" s="261">
        <v>3</v>
      </c>
      <c r="Z214" s="261">
        <v>16</v>
      </c>
      <c r="AA214" s="261">
        <v>0</v>
      </c>
      <c r="AB214" s="260" t="s">
        <v>1354</v>
      </c>
      <c r="AC214" s="261" t="s">
        <v>2115</v>
      </c>
      <c r="AD214" s="261" t="s">
        <v>1896</v>
      </c>
      <c r="AE214" s="262" t="s">
        <v>2184</v>
      </c>
      <c r="AF214"/>
      <c r="AG214"/>
      <c r="AH214"/>
      <c r="AI214"/>
    </row>
    <row r="215" spans="1:35" ht="16.05" customHeight="1" thickBot="1">
      <c r="A215" s="4" t="s">
        <v>1321</v>
      </c>
      <c r="B215" s="150">
        <v>10</v>
      </c>
      <c r="C215" s="2"/>
      <c r="D215" s="4" t="s">
        <v>1306</v>
      </c>
      <c r="E215" s="150">
        <v>10</v>
      </c>
      <c r="F215" s="17"/>
      <c r="G215" s="121" t="s">
        <v>1341</v>
      </c>
      <c r="H215" s="12">
        <f>ROUND(SUM(H216:H227)/COUNT(H216:H227), 2)</f>
        <v>8.4600000000000009</v>
      </c>
      <c r="I215" s="2"/>
      <c r="J215" s="4" t="s">
        <v>1275</v>
      </c>
      <c r="K215" s="150">
        <v>8</v>
      </c>
      <c r="L215" s="2"/>
      <c r="M215" s="4" t="s">
        <v>1288</v>
      </c>
      <c r="N215" s="150"/>
      <c r="O215" s="17"/>
      <c r="R215" s="267">
        <v>15</v>
      </c>
      <c r="S215" s="257" t="s">
        <v>2331</v>
      </c>
      <c r="T215" s="258">
        <v>3</v>
      </c>
      <c r="U215" s="258">
        <v>8.66</v>
      </c>
      <c r="V215" s="370">
        <v>8.69</v>
      </c>
      <c r="W215" s="258">
        <v>8.42</v>
      </c>
      <c r="X215" s="258">
        <v>0.77</v>
      </c>
      <c r="Y215" s="258">
        <v>5</v>
      </c>
      <c r="Z215" s="258">
        <v>44</v>
      </c>
      <c r="AA215" s="258">
        <v>2</v>
      </c>
      <c r="AB215" s="257" t="s">
        <v>2499</v>
      </c>
      <c r="AC215" s="258" t="s">
        <v>3012</v>
      </c>
      <c r="AD215" s="258" t="s">
        <v>1909</v>
      </c>
      <c r="AE215" s="259" t="s">
        <v>2184</v>
      </c>
      <c r="AF215"/>
      <c r="AG215"/>
      <c r="AH215"/>
      <c r="AI215"/>
    </row>
    <row r="216" spans="1:35" ht="16.05" customHeight="1">
      <c r="A216" s="4" t="s">
        <v>1322</v>
      </c>
      <c r="B216" s="150">
        <v>10</v>
      </c>
      <c r="C216" s="2"/>
      <c r="D216" s="4" t="s">
        <v>1307</v>
      </c>
      <c r="E216" s="150">
        <v>9.5</v>
      </c>
      <c r="F216" s="2"/>
      <c r="G216" s="11" t="s">
        <v>1342</v>
      </c>
      <c r="H216" s="149">
        <v>10</v>
      </c>
      <c r="I216" s="2"/>
      <c r="J216" s="4" t="s">
        <v>1276</v>
      </c>
      <c r="K216" s="150">
        <v>9</v>
      </c>
      <c r="L216" s="2"/>
      <c r="M216" s="4" t="s">
        <v>1289</v>
      </c>
      <c r="N216" s="150">
        <v>9</v>
      </c>
      <c r="O216" s="17"/>
      <c r="R216" s="267">
        <v>16</v>
      </c>
      <c r="S216" s="260" t="s">
        <v>1740</v>
      </c>
      <c r="T216" s="261">
        <v>2</v>
      </c>
      <c r="U216" s="261">
        <v>8.7100000000000009</v>
      </c>
      <c r="V216" s="313">
        <v>8.68</v>
      </c>
      <c r="W216" s="261">
        <v>8.5</v>
      </c>
      <c r="X216" s="261">
        <v>0.74</v>
      </c>
      <c r="Y216" s="261">
        <v>3</v>
      </c>
      <c r="Z216" s="261">
        <v>22</v>
      </c>
      <c r="AA216" s="261">
        <v>0</v>
      </c>
      <c r="AB216" s="260" t="s">
        <v>3176</v>
      </c>
      <c r="AC216" s="261" t="s">
        <v>2825</v>
      </c>
      <c r="AD216" s="261" t="s">
        <v>1918</v>
      </c>
      <c r="AE216" s="262" t="s">
        <v>2184</v>
      </c>
      <c r="AF216"/>
      <c r="AG216"/>
      <c r="AH216"/>
      <c r="AI216"/>
    </row>
    <row r="217" spans="1:35" ht="16.05" customHeight="1" thickBot="1">
      <c r="A217" s="4" t="s">
        <v>1323</v>
      </c>
      <c r="B217" s="150">
        <v>9</v>
      </c>
      <c r="C217" s="2"/>
      <c r="D217" s="4" t="s">
        <v>1308</v>
      </c>
      <c r="E217" s="150">
        <v>10</v>
      </c>
      <c r="F217" s="2"/>
      <c r="G217" s="4" t="s">
        <v>1343</v>
      </c>
      <c r="H217" s="150">
        <v>9</v>
      </c>
      <c r="I217" s="2"/>
      <c r="J217" s="7" t="s">
        <v>1277</v>
      </c>
      <c r="K217" s="151">
        <v>10</v>
      </c>
      <c r="L217" s="2"/>
      <c r="M217" s="4" t="s">
        <v>1290</v>
      </c>
      <c r="N217" s="150">
        <v>7.5</v>
      </c>
      <c r="O217" s="17"/>
      <c r="R217" s="267">
        <v>17</v>
      </c>
      <c r="S217" s="257" t="s">
        <v>349</v>
      </c>
      <c r="T217" s="258">
        <v>2</v>
      </c>
      <c r="U217" s="258">
        <v>8.67</v>
      </c>
      <c r="V217" s="314">
        <v>8.67</v>
      </c>
      <c r="W217" s="258">
        <v>8.75</v>
      </c>
      <c r="X217" s="258">
        <v>0.97</v>
      </c>
      <c r="Y217" s="258">
        <v>4</v>
      </c>
      <c r="Z217" s="258">
        <v>26</v>
      </c>
      <c r="AA217" s="258">
        <v>2</v>
      </c>
      <c r="AB217" s="257" t="s">
        <v>765</v>
      </c>
      <c r="AC217" s="258" t="s">
        <v>2411</v>
      </c>
      <c r="AD217" s="258" t="s">
        <v>1930</v>
      </c>
      <c r="AE217" s="259" t="s">
        <v>2184</v>
      </c>
      <c r="AF217"/>
      <c r="AG217"/>
      <c r="AH217"/>
      <c r="AI217"/>
    </row>
    <row r="218" spans="1:35" ht="16.05" customHeight="1" thickBot="1">
      <c r="A218" s="4" t="s">
        <v>1324</v>
      </c>
      <c r="B218" s="150">
        <v>9</v>
      </c>
      <c r="C218" s="2"/>
      <c r="D218" s="4" t="s">
        <v>1309</v>
      </c>
      <c r="E218" s="150">
        <v>8.5</v>
      </c>
      <c r="F218" s="2"/>
      <c r="G218" s="4" t="s">
        <v>1344</v>
      </c>
      <c r="H218" s="150">
        <v>8.5</v>
      </c>
      <c r="I218" s="2"/>
      <c r="J218" s="16"/>
      <c r="K218" s="16"/>
      <c r="L218" s="2"/>
      <c r="M218" s="4" t="s">
        <v>1291</v>
      </c>
      <c r="N218" s="150">
        <v>9</v>
      </c>
      <c r="O218" s="17"/>
      <c r="R218" s="267">
        <v>18</v>
      </c>
      <c r="S218" s="260" t="s">
        <v>1438</v>
      </c>
      <c r="T218" s="261">
        <v>2</v>
      </c>
      <c r="U218" s="261">
        <v>8.77</v>
      </c>
      <c r="V218" s="314">
        <v>8.67</v>
      </c>
      <c r="W218" s="261">
        <v>8.5</v>
      </c>
      <c r="X218" s="261">
        <v>0.62</v>
      </c>
      <c r="Y218" s="261">
        <v>2</v>
      </c>
      <c r="Z218" s="261">
        <v>17</v>
      </c>
      <c r="AA218" s="261">
        <v>1</v>
      </c>
      <c r="AB218" s="260" t="s">
        <v>3177</v>
      </c>
      <c r="AC218" s="261" t="s">
        <v>2253</v>
      </c>
      <c r="AD218" s="261" t="s">
        <v>1948</v>
      </c>
      <c r="AE218" s="262" t="s">
        <v>2184</v>
      </c>
      <c r="AF218"/>
      <c r="AG218"/>
      <c r="AH218"/>
      <c r="AI218"/>
    </row>
    <row r="219" spans="1:35" ht="16.05" customHeight="1" thickBot="1">
      <c r="A219" s="4" t="s">
        <v>1325</v>
      </c>
      <c r="B219" s="150">
        <v>8.5</v>
      </c>
      <c r="C219" s="2"/>
      <c r="D219" s="4" t="s">
        <v>1310</v>
      </c>
      <c r="E219" s="150"/>
      <c r="F219" s="2"/>
      <c r="G219" s="4" t="s">
        <v>1345</v>
      </c>
      <c r="H219" s="150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0">
        <v>9</v>
      </c>
      <c r="O219" s="17"/>
      <c r="R219" s="267">
        <v>19</v>
      </c>
      <c r="S219" s="257" t="s">
        <v>1477</v>
      </c>
      <c r="T219" s="258">
        <v>3</v>
      </c>
      <c r="U219" s="258">
        <v>8.68</v>
      </c>
      <c r="V219" s="315">
        <v>8.66</v>
      </c>
      <c r="W219" s="258">
        <v>8.42</v>
      </c>
      <c r="X219" s="258">
        <v>0.9</v>
      </c>
      <c r="Y219" s="258">
        <v>6</v>
      </c>
      <c r="Z219" s="258">
        <v>33</v>
      </c>
      <c r="AA219" s="258">
        <v>0</v>
      </c>
      <c r="AB219" s="257" t="s">
        <v>3178</v>
      </c>
      <c r="AC219" s="258" t="s">
        <v>2683</v>
      </c>
      <c r="AD219" s="258" t="s">
        <v>1926</v>
      </c>
      <c r="AE219" s="259" t="s">
        <v>2184</v>
      </c>
      <c r="AF219"/>
      <c r="AG219"/>
      <c r="AH219"/>
      <c r="AI219"/>
    </row>
    <row r="220" spans="1:35" ht="16.05" customHeight="1">
      <c r="A220" s="4" t="s">
        <v>1326</v>
      </c>
      <c r="B220" s="150">
        <v>8</v>
      </c>
      <c r="C220" s="2"/>
      <c r="D220" s="4" t="s">
        <v>1311</v>
      </c>
      <c r="E220" s="150">
        <v>8</v>
      </c>
      <c r="F220" s="2"/>
      <c r="G220" s="4" t="s">
        <v>1346</v>
      </c>
      <c r="H220" s="150">
        <v>8.5</v>
      </c>
      <c r="I220" s="2"/>
      <c r="J220" s="11" t="s">
        <v>1356</v>
      </c>
      <c r="K220" s="149">
        <v>10</v>
      </c>
      <c r="L220" s="2"/>
      <c r="M220" s="4" t="s">
        <v>1293</v>
      </c>
      <c r="N220" s="150">
        <v>7.5</v>
      </c>
      <c r="O220" s="17"/>
      <c r="R220" s="267">
        <v>20</v>
      </c>
      <c r="S220" s="260" t="s">
        <v>837</v>
      </c>
      <c r="T220" s="261">
        <v>2</v>
      </c>
      <c r="U220" s="261">
        <v>8.64</v>
      </c>
      <c r="V220" s="318">
        <v>8.6300000000000008</v>
      </c>
      <c r="W220" s="261">
        <v>8.5</v>
      </c>
      <c r="X220" s="261">
        <v>0.68</v>
      </c>
      <c r="Y220" s="261">
        <v>3</v>
      </c>
      <c r="Z220" s="261">
        <v>29</v>
      </c>
      <c r="AA220" s="261">
        <v>0</v>
      </c>
      <c r="AB220" s="260" t="s">
        <v>838</v>
      </c>
      <c r="AC220" s="261" t="s">
        <v>2288</v>
      </c>
      <c r="AD220" s="261" t="s">
        <v>1927</v>
      </c>
      <c r="AE220" s="262" t="s">
        <v>2184</v>
      </c>
      <c r="AF220"/>
      <c r="AG220"/>
      <c r="AH220"/>
      <c r="AI220"/>
    </row>
    <row r="221" spans="1:35" ht="16.05" customHeight="1">
      <c r="A221" s="4" t="s">
        <v>1327</v>
      </c>
      <c r="B221" s="150">
        <v>9.5</v>
      </c>
      <c r="C221" s="2"/>
      <c r="D221" s="4" t="s">
        <v>1312</v>
      </c>
      <c r="E221" s="150">
        <v>9.5</v>
      </c>
      <c r="F221" s="2"/>
      <c r="G221" s="4" t="s">
        <v>1347</v>
      </c>
      <c r="H221" s="150">
        <v>9</v>
      </c>
      <c r="I221" s="2"/>
      <c r="J221" s="4" t="s">
        <v>1357</v>
      </c>
      <c r="K221" s="150"/>
      <c r="L221" s="2"/>
      <c r="M221" s="4" t="s">
        <v>1294</v>
      </c>
      <c r="N221" s="150">
        <v>8</v>
      </c>
      <c r="O221" s="17"/>
      <c r="R221" s="267">
        <v>21</v>
      </c>
      <c r="S221" s="257" t="s">
        <v>1520</v>
      </c>
      <c r="T221" s="258">
        <v>2</v>
      </c>
      <c r="U221" s="258">
        <v>8.6300000000000008</v>
      </c>
      <c r="V221" s="371">
        <v>8.59</v>
      </c>
      <c r="W221" s="258">
        <v>8.5</v>
      </c>
      <c r="X221" s="258">
        <v>1.05</v>
      </c>
      <c r="Y221" s="258">
        <v>4</v>
      </c>
      <c r="Z221" s="258">
        <v>22</v>
      </c>
      <c r="AA221" s="258">
        <v>2</v>
      </c>
      <c r="AB221" s="257" t="s">
        <v>3179</v>
      </c>
      <c r="AC221" s="258" t="s">
        <v>1950</v>
      </c>
      <c r="AD221" s="258" t="s">
        <v>1936</v>
      </c>
      <c r="AE221" s="259" t="s">
        <v>2184</v>
      </c>
      <c r="AF221"/>
      <c r="AG221"/>
      <c r="AH221"/>
      <c r="AI221"/>
    </row>
    <row r="222" spans="1:35" ht="16.05" customHeight="1">
      <c r="A222" s="4" t="s">
        <v>1328</v>
      </c>
      <c r="B222" s="150">
        <v>9</v>
      </c>
      <c r="C222" s="2"/>
      <c r="D222" s="4" t="s">
        <v>1313</v>
      </c>
      <c r="E222" s="150">
        <v>8</v>
      </c>
      <c r="F222" s="2"/>
      <c r="G222" s="4" t="s">
        <v>1348</v>
      </c>
      <c r="H222" s="150">
        <v>7.5</v>
      </c>
      <c r="I222" s="2"/>
      <c r="J222" s="4" t="s">
        <v>1358</v>
      </c>
      <c r="K222" s="150">
        <v>10.5</v>
      </c>
      <c r="L222" s="2"/>
      <c r="M222" s="4" t="s">
        <v>1295</v>
      </c>
      <c r="N222" s="150">
        <v>9</v>
      </c>
      <c r="O222" s="17"/>
      <c r="R222" s="267">
        <v>22</v>
      </c>
      <c r="S222" s="260" t="s">
        <v>337</v>
      </c>
      <c r="T222" s="261">
        <v>5</v>
      </c>
      <c r="U222" s="261">
        <v>8.58</v>
      </c>
      <c r="V222" s="324">
        <v>8.56</v>
      </c>
      <c r="W222" s="261">
        <v>8.4</v>
      </c>
      <c r="X222" s="261">
        <v>0.9</v>
      </c>
      <c r="Y222" s="261">
        <v>11</v>
      </c>
      <c r="Z222" s="261">
        <v>66</v>
      </c>
      <c r="AA222" s="261">
        <v>4</v>
      </c>
      <c r="AB222" s="260" t="s">
        <v>3180</v>
      </c>
      <c r="AC222" s="261" t="s">
        <v>1954</v>
      </c>
      <c r="AD222" s="261" t="s">
        <v>1922</v>
      </c>
      <c r="AE222" s="262" t="s">
        <v>2184</v>
      </c>
      <c r="AF222"/>
      <c r="AG222"/>
      <c r="AH222"/>
      <c r="AI222"/>
    </row>
    <row r="223" spans="1:35" ht="16.05" customHeight="1">
      <c r="A223" s="4" t="s">
        <v>1329</v>
      </c>
      <c r="B223" s="150">
        <v>9</v>
      </c>
      <c r="C223" s="2"/>
      <c r="D223" s="4" t="s">
        <v>1314</v>
      </c>
      <c r="E223" s="150">
        <v>8</v>
      </c>
      <c r="F223" s="2"/>
      <c r="G223" s="4" t="s">
        <v>1349</v>
      </c>
      <c r="H223" s="150">
        <v>10.5</v>
      </c>
      <c r="I223" s="2"/>
      <c r="J223" s="4" t="s">
        <v>1359</v>
      </c>
      <c r="K223" s="150">
        <v>8.5</v>
      </c>
      <c r="L223" s="2"/>
      <c r="M223" s="4" t="s">
        <v>1296</v>
      </c>
      <c r="N223" s="150">
        <v>8</v>
      </c>
      <c r="O223" s="17"/>
      <c r="R223" s="267">
        <v>23</v>
      </c>
      <c r="S223" s="257" t="s">
        <v>334</v>
      </c>
      <c r="T223" s="258">
        <v>11</v>
      </c>
      <c r="U223" s="258">
        <v>8.59</v>
      </c>
      <c r="V223" s="325">
        <v>8.5500000000000007</v>
      </c>
      <c r="W223" s="258">
        <v>8.4499999999999993</v>
      </c>
      <c r="X223" s="258">
        <v>0.73</v>
      </c>
      <c r="Y223" s="258">
        <v>9</v>
      </c>
      <c r="Z223" s="258">
        <v>84</v>
      </c>
      <c r="AA223" s="258">
        <v>5</v>
      </c>
      <c r="AB223" s="257" t="s">
        <v>2002</v>
      </c>
      <c r="AC223" s="258" t="s">
        <v>2003</v>
      </c>
      <c r="AD223" s="258" t="s">
        <v>1933</v>
      </c>
      <c r="AE223" s="259" t="s">
        <v>2184</v>
      </c>
      <c r="AF223"/>
      <c r="AG223"/>
      <c r="AH223"/>
      <c r="AI223"/>
    </row>
    <row r="224" spans="1:35" ht="16.05" customHeight="1" thickBot="1">
      <c r="A224" s="7" t="s">
        <v>1330</v>
      </c>
      <c r="B224" s="151">
        <v>8.5</v>
      </c>
      <c r="C224" s="2"/>
      <c r="D224" s="4" t="s">
        <v>1315</v>
      </c>
      <c r="E224" s="150">
        <v>8</v>
      </c>
      <c r="F224" s="2"/>
      <c r="G224" s="4" t="s">
        <v>1350</v>
      </c>
      <c r="H224" s="150">
        <v>7</v>
      </c>
      <c r="I224" s="2"/>
      <c r="J224" s="4" t="s">
        <v>1360</v>
      </c>
      <c r="K224" s="150">
        <v>9</v>
      </c>
      <c r="L224" s="2"/>
      <c r="M224" s="4" t="s">
        <v>1297</v>
      </c>
      <c r="N224" s="150">
        <v>7</v>
      </c>
      <c r="O224" s="17"/>
      <c r="R224" s="267">
        <v>24</v>
      </c>
      <c r="S224" s="260" t="s">
        <v>717</v>
      </c>
      <c r="T224" s="261">
        <v>4</v>
      </c>
      <c r="U224" s="261">
        <v>8.48</v>
      </c>
      <c r="V224" s="331">
        <v>8.4700000000000006</v>
      </c>
      <c r="W224" s="261">
        <v>8.1300000000000008</v>
      </c>
      <c r="X224" s="261">
        <v>0.91</v>
      </c>
      <c r="Y224" s="261">
        <v>9</v>
      </c>
      <c r="Z224" s="261">
        <v>63</v>
      </c>
      <c r="AA224" s="261">
        <v>4</v>
      </c>
      <c r="AB224" s="260" t="s">
        <v>3181</v>
      </c>
      <c r="AC224" s="261" t="s">
        <v>2656</v>
      </c>
      <c r="AD224" s="261" t="s">
        <v>1911</v>
      </c>
      <c r="AE224" s="262" t="s">
        <v>2184</v>
      </c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1316</v>
      </c>
      <c r="E225" s="150">
        <v>8</v>
      </c>
      <c r="F225" s="2"/>
      <c r="G225" s="4" t="s">
        <v>1351</v>
      </c>
      <c r="H225" s="150">
        <v>7.5</v>
      </c>
      <c r="I225" s="2"/>
      <c r="J225" s="4" t="s">
        <v>1361</v>
      </c>
      <c r="K225" s="150">
        <v>8</v>
      </c>
      <c r="L225" s="2"/>
      <c r="M225" s="4" t="s">
        <v>1298</v>
      </c>
      <c r="N225" s="150">
        <v>7.5</v>
      </c>
      <c r="O225" s="17"/>
      <c r="R225" s="267">
        <v>25</v>
      </c>
      <c r="S225" s="257" t="s">
        <v>339</v>
      </c>
      <c r="T225" s="258">
        <v>2</v>
      </c>
      <c r="U225" s="258">
        <v>8.5399999999999991</v>
      </c>
      <c r="V225" s="331">
        <v>8.4700000000000006</v>
      </c>
      <c r="W225" s="258">
        <v>8.5</v>
      </c>
      <c r="X225" s="258">
        <v>0.78</v>
      </c>
      <c r="Y225" s="258">
        <v>3</v>
      </c>
      <c r="Z225" s="258">
        <v>20</v>
      </c>
      <c r="AA225" s="258">
        <v>0</v>
      </c>
      <c r="AB225" s="257" t="s">
        <v>3182</v>
      </c>
      <c r="AC225" s="258" t="s">
        <v>1951</v>
      </c>
      <c r="AD225" s="258" t="s">
        <v>1909</v>
      </c>
      <c r="AE225" s="259" t="s">
        <v>2184</v>
      </c>
      <c r="AF225"/>
      <c r="AG225"/>
      <c r="AH225"/>
      <c r="AI225"/>
    </row>
    <row r="226" spans="1:35" ht="16.05" customHeight="1" thickBot="1">
      <c r="A226" s="122" t="s">
        <v>1375</v>
      </c>
      <c r="B226" s="12">
        <f>ROUND(SUM(B227:B233)/COUNT(B227:B233), 2)</f>
        <v>8.86</v>
      </c>
      <c r="C226" s="34"/>
      <c r="D226" s="3" t="s">
        <v>1317</v>
      </c>
      <c r="E226" s="150">
        <v>8.5</v>
      </c>
      <c r="F226" s="2"/>
      <c r="G226" s="4" t="s">
        <v>1352</v>
      </c>
      <c r="H226" s="150">
        <v>6.5</v>
      </c>
      <c r="I226" s="2"/>
      <c r="J226" s="4" t="s">
        <v>1362</v>
      </c>
      <c r="K226" s="150">
        <v>9.5</v>
      </c>
      <c r="L226" s="2"/>
      <c r="M226" s="7" t="s">
        <v>1299</v>
      </c>
      <c r="N226" s="151">
        <v>7.5</v>
      </c>
      <c r="O226" s="17"/>
      <c r="R226" s="267">
        <v>26</v>
      </c>
      <c r="S226" s="260" t="s">
        <v>1149</v>
      </c>
      <c r="T226" s="261">
        <v>2</v>
      </c>
      <c r="U226" s="261">
        <v>8.52</v>
      </c>
      <c r="V226" s="333">
        <v>8.4499999999999993</v>
      </c>
      <c r="W226" s="261">
        <v>8.25</v>
      </c>
      <c r="X226" s="261">
        <v>0.96</v>
      </c>
      <c r="Y226" s="261">
        <v>6</v>
      </c>
      <c r="Z226" s="261">
        <v>41</v>
      </c>
      <c r="AA226" s="261">
        <v>2</v>
      </c>
      <c r="AB226" s="260" t="s">
        <v>1742</v>
      </c>
      <c r="AC226" s="261" t="s">
        <v>1952</v>
      </c>
      <c r="AD226" s="261" t="s">
        <v>1953</v>
      </c>
      <c r="AE226" s="262" t="s">
        <v>2184</v>
      </c>
      <c r="AF226"/>
      <c r="AG226"/>
      <c r="AH226"/>
      <c r="AI226"/>
    </row>
    <row r="227" spans="1:35" ht="16.05" customHeight="1" thickBot="1">
      <c r="A227" s="11" t="s">
        <v>1376</v>
      </c>
      <c r="B227" s="149">
        <v>10</v>
      </c>
      <c r="C227" s="2"/>
      <c r="D227" s="7" t="s">
        <v>1318</v>
      </c>
      <c r="E227" s="151">
        <v>9</v>
      </c>
      <c r="F227" s="2"/>
      <c r="G227" s="7" t="s">
        <v>1353</v>
      </c>
      <c r="H227" s="151">
        <v>7</v>
      </c>
      <c r="I227" s="2"/>
      <c r="J227" s="4" t="s">
        <v>1363</v>
      </c>
      <c r="K227" s="150"/>
      <c r="L227" s="2"/>
      <c r="M227" s="16"/>
      <c r="N227" s="16"/>
      <c r="O227" s="17"/>
      <c r="R227" s="267">
        <v>27</v>
      </c>
      <c r="S227" s="257" t="s">
        <v>338</v>
      </c>
      <c r="T227" s="258">
        <v>2</v>
      </c>
      <c r="U227" s="258">
        <v>8.39</v>
      </c>
      <c r="V227" s="338">
        <v>8.3699999999999992</v>
      </c>
      <c r="W227" s="258">
        <v>8.25</v>
      </c>
      <c r="X227" s="258">
        <v>0.72</v>
      </c>
      <c r="Y227" s="258">
        <v>2</v>
      </c>
      <c r="Z227" s="258">
        <v>20</v>
      </c>
      <c r="AA227" s="258">
        <v>0</v>
      </c>
      <c r="AB227" s="257" t="s">
        <v>775</v>
      </c>
      <c r="AC227" s="258" t="s">
        <v>1955</v>
      </c>
      <c r="AD227" s="258" t="s">
        <v>1895</v>
      </c>
      <c r="AE227" s="259" t="s">
        <v>2184</v>
      </c>
      <c r="AF227"/>
      <c r="AG227"/>
      <c r="AH227"/>
      <c r="AI227"/>
    </row>
    <row r="228" spans="1:35" ht="16.05" customHeight="1" thickBot="1">
      <c r="A228" s="4" t="s">
        <v>1377</v>
      </c>
      <c r="B228" s="150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0">
        <v>8</v>
      </c>
      <c r="L228" s="17"/>
      <c r="M228" s="120" t="s">
        <v>1410</v>
      </c>
      <c r="N228" s="12">
        <f>ROUND(SUM(N229:N238)/COUNT(N229:N238), 2)</f>
        <v>8.0500000000000007</v>
      </c>
      <c r="O228" s="17"/>
      <c r="R228" s="267">
        <v>28</v>
      </c>
      <c r="S228" s="260" t="s">
        <v>816</v>
      </c>
      <c r="T228" s="261">
        <v>3</v>
      </c>
      <c r="U228" s="261">
        <v>8.2899999999999991</v>
      </c>
      <c r="V228" s="346">
        <v>8.1999999999999993</v>
      </c>
      <c r="W228" s="261">
        <v>8.25</v>
      </c>
      <c r="X228" s="261">
        <v>0.72</v>
      </c>
      <c r="Y228" s="261">
        <v>4</v>
      </c>
      <c r="Z228" s="261">
        <v>52</v>
      </c>
      <c r="AA228" s="261">
        <v>8</v>
      </c>
      <c r="AB228" s="260" t="s">
        <v>3183</v>
      </c>
      <c r="AC228" s="261" t="s">
        <v>2877</v>
      </c>
      <c r="AD228" s="261" t="s">
        <v>1929</v>
      </c>
      <c r="AE228" s="262" t="s">
        <v>2184</v>
      </c>
      <c r="AF228"/>
      <c r="AG228"/>
      <c r="AH228"/>
      <c r="AI228"/>
    </row>
    <row r="229" spans="1:35" ht="16.05" customHeight="1" thickBot="1">
      <c r="A229" s="4" t="s">
        <v>1378</v>
      </c>
      <c r="B229" s="150">
        <v>9</v>
      </c>
      <c r="C229" s="2"/>
      <c r="D229" s="252" t="s">
        <v>1386</v>
      </c>
      <c r="E229" s="12">
        <f>ROUND(SUM(E230:E235)/COUNT(E230:E235), 2)</f>
        <v>8.83</v>
      </c>
      <c r="F229" s="17"/>
      <c r="G229" s="119" t="s">
        <v>1411</v>
      </c>
      <c r="H229" s="12">
        <f>ROUND(SUM(H230:H244)/COUNT(H230:H244), 2)</f>
        <v>8.8800000000000008</v>
      </c>
      <c r="I229" s="2"/>
      <c r="J229" s="4" t="s">
        <v>1365</v>
      </c>
      <c r="K229" s="150">
        <v>8</v>
      </c>
      <c r="L229" s="2"/>
      <c r="M229" s="11" t="s">
        <v>1398</v>
      </c>
      <c r="N229" s="149">
        <v>8</v>
      </c>
      <c r="O229" s="17"/>
      <c r="R229" s="267">
        <v>29</v>
      </c>
      <c r="S229" s="257" t="s">
        <v>335</v>
      </c>
      <c r="T229" s="258">
        <v>6</v>
      </c>
      <c r="U229" s="258">
        <v>8.0399999999999991</v>
      </c>
      <c r="V229" s="372">
        <v>8.0500000000000007</v>
      </c>
      <c r="W229" s="258">
        <v>7.88</v>
      </c>
      <c r="X229" s="258">
        <v>1.02</v>
      </c>
      <c r="Y229" s="258">
        <v>13</v>
      </c>
      <c r="Z229" s="258">
        <v>58</v>
      </c>
      <c r="AA229" s="258">
        <v>0</v>
      </c>
      <c r="AB229" s="257" t="s">
        <v>3184</v>
      </c>
      <c r="AC229" s="258" t="s">
        <v>2291</v>
      </c>
      <c r="AD229" s="258" t="s">
        <v>1911</v>
      </c>
      <c r="AE229" s="259" t="s">
        <v>2184</v>
      </c>
      <c r="AF229"/>
      <c r="AG229"/>
      <c r="AH229"/>
      <c r="AI229"/>
    </row>
    <row r="230" spans="1:35" ht="16.05" customHeight="1">
      <c r="A230" s="4" t="s">
        <v>1379</v>
      </c>
      <c r="B230" s="150">
        <v>8</v>
      </c>
      <c r="C230" s="2"/>
      <c r="D230" s="11" t="s">
        <v>1387</v>
      </c>
      <c r="E230" s="149">
        <v>8.5</v>
      </c>
      <c r="F230" s="2"/>
      <c r="G230" s="11" t="s">
        <v>1412</v>
      </c>
      <c r="H230" s="149"/>
      <c r="I230" s="2"/>
      <c r="J230" s="4" t="s">
        <v>1366</v>
      </c>
      <c r="K230" s="150">
        <v>10</v>
      </c>
      <c r="L230" s="2"/>
      <c r="M230" s="4" t="s">
        <v>1399</v>
      </c>
      <c r="N230" s="150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1380</v>
      </c>
      <c r="B231" s="150">
        <v>9</v>
      </c>
      <c r="C231" s="2"/>
      <c r="D231" s="4" t="s">
        <v>1388</v>
      </c>
      <c r="E231" s="150">
        <v>8.5</v>
      </c>
      <c r="F231" s="2"/>
      <c r="G231" s="4" t="s">
        <v>1413</v>
      </c>
      <c r="H231" s="150">
        <v>8.5</v>
      </c>
      <c r="I231" s="2"/>
      <c r="J231" s="4" t="s">
        <v>1367</v>
      </c>
      <c r="K231" s="150">
        <v>7.5</v>
      </c>
      <c r="L231" s="2"/>
      <c r="M231" s="4" t="s">
        <v>1400</v>
      </c>
      <c r="N231" s="150">
        <v>9.5</v>
      </c>
      <c r="O231" s="17"/>
      <c r="R231" s="391" t="s">
        <v>2768</v>
      </c>
      <c r="S231" s="391"/>
      <c r="T231" s="391"/>
      <c r="U231" s="391"/>
      <c r="V231" s="39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1381</v>
      </c>
      <c r="B232" s="150">
        <v>8.5</v>
      </c>
      <c r="C232" s="2"/>
      <c r="D232" s="4" t="s">
        <v>1389</v>
      </c>
      <c r="E232" s="150">
        <v>8</v>
      </c>
      <c r="F232" s="2"/>
      <c r="G232" s="4" t="s">
        <v>1414</v>
      </c>
      <c r="H232" s="150">
        <v>9.5</v>
      </c>
      <c r="I232" s="2"/>
      <c r="J232" s="4" t="s">
        <v>1368</v>
      </c>
      <c r="K232" s="150">
        <v>9.5</v>
      </c>
      <c r="L232" s="2"/>
      <c r="M232" s="4" t="s">
        <v>1401</v>
      </c>
      <c r="N232" s="150">
        <v>8.5</v>
      </c>
      <c r="O232" s="17"/>
      <c r="R232" s="256" t="s">
        <v>352</v>
      </c>
      <c r="S232" s="256" t="s">
        <v>319</v>
      </c>
      <c r="T232" s="256" t="s">
        <v>320</v>
      </c>
      <c r="U232" s="256" t="s">
        <v>321</v>
      </c>
      <c r="V232" s="256" t="s">
        <v>1002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1382</v>
      </c>
      <c r="B233" s="151">
        <v>8</v>
      </c>
      <c r="C233" s="2"/>
      <c r="D233" s="4" t="s">
        <v>1390</v>
      </c>
      <c r="E233" s="150">
        <v>9</v>
      </c>
      <c r="F233" s="2"/>
      <c r="G233" s="4" t="s">
        <v>1415</v>
      </c>
      <c r="H233" s="150">
        <v>8.5</v>
      </c>
      <c r="I233" s="2"/>
      <c r="J233" s="4" t="s">
        <v>1369</v>
      </c>
      <c r="K233" s="150">
        <v>8</v>
      </c>
      <c r="L233" s="2"/>
      <c r="M233" s="4" t="s">
        <v>1402</v>
      </c>
      <c r="N233" s="150">
        <v>7</v>
      </c>
      <c r="O233" s="17"/>
      <c r="R233" s="263">
        <v>1</v>
      </c>
      <c r="S233" s="257" t="s">
        <v>326</v>
      </c>
      <c r="T233" s="257" t="s">
        <v>7</v>
      </c>
      <c r="U233" s="258">
        <v>10.11</v>
      </c>
      <c r="V233" s="264">
        <v>10.99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1391</v>
      </c>
      <c r="E234" s="150">
        <v>9</v>
      </c>
      <c r="F234" s="2"/>
      <c r="G234" s="4" t="s">
        <v>1416</v>
      </c>
      <c r="H234" s="150">
        <v>10</v>
      </c>
      <c r="I234" s="2"/>
      <c r="J234" s="4" t="s">
        <v>1370</v>
      </c>
      <c r="K234" s="150">
        <v>9</v>
      </c>
      <c r="L234" s="2"/>
      <c r="M234" s="4" t="s">
        <v>1403</v>
      </c>
      <c r="N234" s="150">
        <v>8</v>
      </c>
      <c r="O234" s="17"/>
      <c r="R234" s="265">
        <v>2</v>
      </c>
      <c r="S234" s="260" t="s">
        <v>996</v>
      </c>
      <c r="T234" s="260" t="s">
        <v>994</v>
      </c>
      <c r="U234" s="261">
        <v>10.5</v>
      </c>
      <c r="V234" s="264">
        <v>10.85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4" t="s">
        <v>1428</v>
      </c>
      <c r="B235" s="12">
        <f>ROUND(SUM(B236:B244)/COUNT(B236:B244), 2)</f>
        <v>8.83</v>
      </c>
      <c r="C235" s="2"/>
      <c r="D235" s="7" t="s">
        <v>1392</v>
      </c>
      <c r="E235" s="151">
        <v>10</v>
      </c>
      <c r="F235" s="2"/>
      <c r="G235" s="4" t="s">
        <v>1417</v>
      </c>
      <c r="H235" s="152">
        <v>10.5</v>
      </c>
      <c r="I235" s="2"/>
      <c r="J235" s="7" t="s">
        <v>1371</v>
      </c>
      <c r="K235" s="151">
        <v>8</v>
      </c>
      <c r="L235" s="2"/>
      <c r="M235" s="4" t="s">
        <v>1404</v>
      </c>
      <c r="N235" s="150">
        <v>8.5</v>
      </c>
      <c r="O235" s="17"/>
      <c r="R235" s="266">
        <v>3</v>
      </c>
      <c r="S235" s="257" t="s">
        <v>332</v>
      </c>
      <c r="T235" s="257" t="s">
        <v>1027</v>
      </c>
      <c r="U235" s="258">
        <v>10</v>
      </c>
      <c r="V235" s="264">
        <v>10.39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1429</v>
      </c>
      <c r="B236" s="149">
        <v>9</v>
      </c>
      <c r="C236" s="2"/>
      <c r="D236" s="16"/>
      <c r="E236" s="16"/>
      <c r="F236" s="2"/>
      <c r="G236" s="4" t="s">
        <v>1418</v>
      </c>
      <c r="H236" s="150">
        <v>9</v>
      </c>
      <c r="I236" s="2"/>
      <c r="J236" s="16"/>
      <c r="K236" s="16"/>
      <c r="L236" s="2"/>
      <c r="M236" s="4" t="s">
        <v>1405</v>
      </c>
      <c r="N236" s="150">
        <v>7</v>
      </c>
      <c r="O236" s="17"/>
      <c r="R236" s="267">
        <v>4</v>
      </c>
      <c r="S236" s="260" t="s">
        <v>327</v>
      </c>
      <c r="T236" s="260" t="s">
        <v>328</v>
      </c>
      <c r="U236" s="261">
        <v>9.6999999999999993</v>
      </c>
      <c r="V236" s="264">
        <v>10.37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1430</v>
      </c>
      <c r="B237" s="150">
        <v>10</v>
      </c>
      <c r="C237" s="2"/>
      <c r="D237" s="123" t="s">
        <v>1461</v>
      </c>
      <c r="E237" s="1">
        <f>ROUND(SUM(E238:E252)/COUNT(E238:E252), 2)</f>
        <v>8.8000000000000007</v>
      </c>
      <c r="F237" s="2"/>
      <c r="G237" s="4" t="s">
        <v>1419</v>
      </c>
      <c r="H237" s="150">
        <v>8.5</v>
      </c>
      <c r="I237" s="17"/>
      <c r="J237" s="125" t="s">
        <v>1463</v>
      </c>
      <c r="K237" s="12">
        <f>ROUND(SUM(K238:K250)/COUNT(K238:K250), 2)</f>
        <v>8.73</v>
      </c>
      <c r="L237" s="2"/>
      <c r="M237" s="4" t="s">
        <v>1406</v>
      </c>
      <c r="N237" s="150">
        <v>8</v>
      </c>
      <c r="O237" s="17"/>
      <c r="R237" s="267">
        <v>5</v>
      </c>
      <c r="S237" s="257" t="s">
        <v>2661</v>
      </c>
      <c r="T237" s="257" t="s">
        <v>674</v>
      </c>
      <c r="U237" s="258">
        <v>9.8800000000000008</v>
      </c>
      <c r="V237" s="264">
        <v>10.220000000000001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1431</v>
      </c>
      <c r="B238" s="150">
        <v>8.5</v>
      </c>
      <c r="C238" s="2"/>
      <c r="D238" s="11" t="s">
        <v>1442</v>
      </c>
      <c r="E238" s="149">
        <v>8</v>
      </c>
      <c r="F238" s="2"/>
      <c r="G238" s="4" t="s">
        <v>1420</v>
      </c>
      <c r="H238" s="150">
        <v>8.5</v>
      </c>
      <c r="I238" s="2"/>
      <c r="J238" s="11" t="s">
        <v>1476</v>
      </c>
      <c r="K238" s="149">
        <v>10.5</v>
      </c>
      <c r="L238" s="2"/>
      <c r="M238" s="7" t="s">
        <v>1407</v>
      </c>
      <c r="N238" s="151">
        <v>7.5</v>
      </c>
      <c r="O238" s="17"/>
      <c r="R238" s="267">
        <v>6</v>
      </c>
      <c r="S238" s="260" t="s">
        <v>2465</v>
      </c>
      <c r="T238" s="260" t="s">
        <v>2449</v>
      </c>
      <c r="U238" s="261">
        <v>9.67</v>
      </c>
      <c r="V238" s="270">
        <v>9.91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1432</v>
      </c>
      <c r="B239" s="150">
        <v>8.5</v>
      </c>
      <c r="C239" s="2"/>
      <c r="D239" s="4" t="s">
        <v>1443</v>
      </c>
      <c r="E239" s="150">
        <v>8.5</v>
      </c>
      <c r="F239" s="2"/>
      <c r="G239" s="4" t="s">
        <v>1421</v>
      </c>
      <c r="H239" s="150">
        <v>8</v>
      </c>
      <c r="I239" s="2"/>
      <c r="J239" s="4" t="s">
        <v>1464</v>
      </c>
      <c r="K239" s="150">
        <v>9.5</v>
      </c>
      <c r="L239" s="2"/>
      <c r="M239" s="16"/>
      <c r="N239" s="16"/>
      <c r="O239" s="17"/>
      <c r="R239" s="267">
        <v>7</v>
      </c>
      <c r="S239" s="257" t="s">
        <v>330</v>
      </c>
      <c r="T239" s="257" t="s">
        <v>269</v>
      </c>
      <c r="U239" s="258">
        <v>9.3800000000000008</v>
      </c>
      <c r="V239" s="273">
        <v>9.5299999999999994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1433</v>
      </c>
      <c r="B240" s="150">
        <v>9.5</v>
      </c>
      <c r="C240" s="2"/>
      <c r="D240" s="4" t="s">
        <v>1444</v>
      </c>
      <c r="E240" s="150">
        <v>9.5</v>
      </c>
      <c r="F240" s="2"/>
      <c r="G240" s="4" t="s">
        <v>1422</v>
      </c>
      <c r="H240" s="150"/>
      <c r="I240" s="2"/>
      <c r="J240" s="4" t="s">
        <v>1465</v>
      </c>
      <c r="K240" s="150">
        <v>9</v>
      </c>
      <c r="L240" s="2"/>
      <c r="M240" s="159" t="s">
        <v>1480</v>
      </c>
      <c r="N240" s="1">
        <f>ROUND(SUM(N241:N247)/COUNT(N241:N247), 2)</f>
        <v>8.93</v>
      </c>
      <c r="O240" s="17"/>
      <c r="R240" s="267">
        <v>8</v>
      </c>
      <c r="S240" s="260" t="s">
        <v>331</v>
      </c>
      <c r="T240" s="260" t="s">
        <v>1180</v>
      </c>
      <c r="U240" s="261">
        <v>9.4</v>
      </c>
      <c r="V240" s="274">
        <v>9.4600000000000009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1434</v>
      </c>
      <c r="B241" s="150">
        <v>8</v>
      </c>
      <c r="C241" s="2"/>
      <c r="D241" s="4" t="s">
        <v>1445</v>
      </c>
      <c r="E241" s="150">
        <v>10</v>
      </c>
      <c r="F241" s="2"/>
      <c r="G241" s="4" t="s">
        <v>1423</v>
      </c>
      <c r="H241" s="150">
        <v>9.5</v>
      </c>
      <c r="I241" s="2"/>
      <c r="J241" s="4" t="s">
        <v>1466</v>
      </c>
      <c r="K241" s="150">
        <v>9.5</v>
      </c>
      <c r="L241" s="2"/>
      <c r="M241" s="11" t="s">
        <v>1481</v>
      </c>
      <c r="N241" s="149">
        <v>9.5</v>
      </c>
      <c r="O241" s="17"/>
      <c r="R241" s="267">
        <v>9</v>
      </c>
      <c r="S241" s="257" t="s">
        <v>2026</v>
      </c>
      <c r="T241" s="257" t="s">
        <v>2019</v>
      </c>
      <c r="U241" s="258">
        <v>9.31</v>
      </c>
      <c r="V241" s="275">
        <v>9.43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1435</v>
      </c>
      <c r="B242" s="150">
        <v>8.5</v>
      </c>
      <c r="C242" s="2"/>
      <c r="D242" s="4" t="s">
        <v>1446</v>
      </c>
      <c r="E242" s="150">
        <v>8.5</v>
      </c>
      <c r="F242" s="2"/>
      <c r="G242" s="4" t="s">
        <v>1424</v>
      </c>
      <c r="H242" s="150">
        <v>8</v>
      </c>
      <c r="I242" s="2"/>
      <c r="J242" s="4" t="s">
        <v>1467</v>
      </c>
      <c r="K242" s="150">
        <v>9</v>
      </c>
      <c r="L242" s="2"/>
      <c r="M242" s="4" t="s">
        <v>1482</v>
      </c>
      <c r="N242" s="150">
        <v>8</v>
      </c>
      <c r="O242" s="17"/>
      <c r="R242" s="267">
        <v>10</v>
      </c>
      <c r="S242" s="260" t="s">
        <v>335</v>
      </c>
      <c r="T242" s="260" t="s">
        <v>56</v>
      </c>
      <c r="U242" s="261">
        <v>9.25</v>
      </c>
      <c r="V242" s="276">
        <v>9.3699999999999992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1436</v>
      </c>
      <c r="B243" s="150">
        <v>9</v>
      </c>
      <c r="C243" s="2"/>
      <c r="D243" s="4" t="s">
        <v>1447</v>
      </c>
      <c r="E243" s="150">
        <v>9.5</v>
      </c>
      <c r="F243" s="2"/>
      <c r="G243" s="4" t="s">
        <v>1425</v>
      </c>
      <c r="H243" s="150">
        <v>8.5</v>
      </c>
      <c r="I243" s="2"/>
      <c r="J243" s="4" t="s">
        <v>1468</v>
      </c>
      <c r="K243" s="150">
        <v>8</v>
      </c>
      <c r="L243" s="2"/>
      <c r="M243" s="4" t="s">
        <v>1483</v>
      </c>
      <c r="N243" s="150">
        <v>10</v>
      </c>
      <c r="O243" s="17"/>
      <c r="R243" s="267">
        <v>11</v>
      </c>
      <c r="S243" s="257" t="s">
        <v>336</v>
      </c>
      <c r="T243" s="257" t="s">
        <v>188</v>
      </c>
      <c r="U243" s="258">
        <v>9.2100000000000009</v>
      </c>
      <c r="V243" s="278">
        <v>9.34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1437</v>
      </c>
      <c r="B244" s="151">
        <v>8.5</v>
      </c>
      <c r="C244" s="2"/>
      <c r="D244" s="4" t="s">
        <v>1448</v>
      </c>
      <c r="E244" s="150">
        <v>9.5</v>
      </c>
      <c r="F244" s="2"/>
      <c r="G244" s="7" t="s">
        <v>1426</v>
      </c>
      <c r="H244" s="151">
        <v>8.5</v>
      </c>
      <c r="I244" s="2"/>
      <c r="J244" s="4" t="s">
        <v>1469</v>
      </c>
      <c r="K244" s="150">
        <v>9</v>
      </c>
      <c r="L244" s="2"/>
      <c r="M244" s="4" t="s">
        <v>1484</v>
      </c>
      <c r="N244" s="150">
        <v>8</v>
      </c>
      <c r="O244" s="17"/>
      <c r="R244" s="267">
        <v>12</v>
      </c>
      <c r="S244" s="260" t="s">
        <v>334</v>
      </c>
      <c r="T244" s="260" t="s">
        <v>132</v>
      </c>
      <c r="U244" s="261">
        <v>9.2100000000000009</v>
      </c>
      <c r="V244" s="279">
        <v>9.2799999999999994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1449</v>
      </c>
      <c r="E245" s="150">
        <v>8</v>
      </c>
      <c r="F245" s="2"/>
      <c r="G245" s="16"/>
      <c r="H245" s="16"/>
      <c r="I245" s="2"/>
      <c r="J245" s="4" t="s">
        <v>1470</v>
      </c>
      <c r="K245" s="150">
        <v>8.5</v>
      </c>
      <c r="L245" s="2"/>
      <c r="M245" s="4" t="s">
        <v>1485</v>
      </c>
      <c r="N245" s="150">
        <v>9</v>
      </c>
      <c r="O245" s="17"/>
      <c r="R245" s="267">
        <v>13</v>
      </c>
      <c r="S245" s="257" t="s">
        <v>444</v>
      </c>
      <c r="T245" s="257" t="s">
        <v>36</v>
      </c>
      <c r="U245" s="258">
        <v>9.15</v>
      </c>
      <c r="V245" s="280">
        <v>9.23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7" t="s">
        <v>1519</v>
      </c>
      <c r="B246" s="12">
        <f>ROUND(SUM(B247:B258)/COUNT(B247:B258), 2)</f>
        <v>8.82</v>
      </c>
      <c r="C246" s="2"/>
      <c r="D246" s="4" t="s">
        <v>1450</v>
      </c>
      <c r="E246" s="150">
        <v>8</v>
      </c>
      <c r="F246" s="2"/>
      <c r="G246" s="126" t="s">
        <v>1502</v>
      </c>
      <c r="H246" s="1">
        <f>ROUND(SUM(H247:H256)/COUNT(H247:H256), 2)</f>
        <v>8.75</v>
      </c>
      <c r="I246" s="2"/>
      <c r="J246" s="4" t="s">
        <v>1471</v>
      </c>
      <c r="K246" s="150">
        <v>8</v>
      </c>
      <c r="L246" s="2"/>
      <c r="M246" s="4" t="s">
        <v>1486</v>
      </c>
      <c r="N246" s="150">
        <v>8.5</v>
      </c>
      <c r="O246" s="17"/>
      <c r="R246" s="267">
        <v>14</v>
      </c>
      <c r="S246" s="260" t="s">
        <v>480</v>
      </c>
      <c r="T246" s="260" t="s">
        <v>498</v>
      </c>
      <c r="U246" s="261">
        <v>9.17</v>
      </c>
      <c r="V246" s="280">
        <v>9.23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1507</v>
      </c>
      <c r="B247" s="149">
        <v>9.5</v>
      </c>
      <c r="C247" s="2"/>
      <c r="D247" s="4" t="s">
        <v>1451</v>
      </c>
      <c r="E247" s="150">
        <v>8.5</v>
      </c>
      <c r="F247" s="2"/>
      <c r="G247" s="4" t="s">
        <v>1493</v>
      </c>
      <c r="H247" s="150">
        <v>10</v>
      </c>
      <c r="I247" s="2"/>
      <c r="J247" s="4" t="s">
        <v>1472</v>
      </c>
      <c r="K247" s="150">
        <v>8</v>
      </c>
      <c r="L247" s="2"/>
      <c r="M247" s="7" t="s">
        <v>1487</v>
      </c>
      <c r="N247" s="151">
        <v>9.5</v>
      </c>
      <c r="O247" s="17"/>
      <c r="R247" s="267">
        <v>15</v>
      </c>
      <c r="S247" s="257" t="s">
        <v>908</v>
      </c>
      <c r="T247" s="257" t="s">
        <v>899</v>
      </c>
      <c r="U247" s="258">
        <v>9.06</v>
      </c>
      <c r="V247" s="284">
        <v>9.1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1508</v>
      </c>
      <c r="B248" s="150">
        <v>8.5</v>
      </c>
      <c r="C248" s="2"/>
      <c r="D248" s="4" t="s">
        <v>1452</v>
      </c>
      <c r="E248" s="150">
        <v>10</v>
      </c>
      <c r="F248" s="2"/>
      <c r="G248" s="4" t="s">
        <v>1494</v>
      </c>
      <c r="H248" s="150">
        <v>9</v>
      </c>
      <c r="I248" s="2"/>
      <c r="J248" s="4" t="s">
        <v>1473</v>
      </c>
      <c r="K248" s="150">
        <v>8</v>
      </c>
      <c r="L248" s="2"/>
      <c r="M248" s="2"/>
      <c r="N248" s="2"/>
      <c r="O248" s="17"/>
      <c r="R248" s="267">
        <v>16</v>
      </c>
      <c r="S248" s="260" t="s">
        <v>337</v>
      </c>
      <c r="T248" s="260" t="s">
        <v>159</v>
      </c>
      <c r="U248" s="261">
        <v>9</v>
      </c>
      <c r="V248" s="284">
        <v>9.09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1509</v>
      </c>
      <c r="B249" s="150">
        <v>8.5</v>
      </c>
      <c r="C249" s="2"/>
      <c r="D249" s="4" t="s">
        <v>1453</v>
      </c>
      <c r="E249" s="150">
        <v>8.5</v>
      </c>
      <c r="F249" s="2"/>
      <c r="G249" s="4" t="s">
        <v>15</v>
      </c>
      <c r="H249" s="150">
        <v>10</v>
      </c>
      <c r="I249" s="2"/>
      <c r="J249" s="4" t="s">
        <v>1474</v>
      </c>
      <c r="K249" s="150">
        <v>8.5</v>
      </c>
      <c r="L249" s="2"/>
      <c r="M249" s="160" t="s">
        <v>1524</v>
      </c>
      <c r="N249" s="12">
        <f>ROUND(SUM(N250:N275)/COUNT(N250:N275), 2)</f>
        <v>8.67</v>
      </c>
      <c r="O249" s="17"/>
      <c r="R249" s="267">
        <v>17</v>
      </c>
      <c r="S249" s="257" t="s">
        <v>338</v>
      </c>
      <c r="T249" s="257" t="s">
        <v>259</v>
      </c>
      <c r="U249" s="258">
        <v>9</v>
      </c>
      <c r="V249" s="284">
        <v>9.09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1510</v>
      </c>
      <c r="B250" s="150"/>
      <c r="C250" s="2"/>
      <c r="D250" s="4" t="s">
        <v>1454</v>
      </c>
      <c r="E250" s="150">
        <v>9</v>
      </c>
      <c r="F250" s="2"/>
      <c r="G250" s="4" t="s">
        <v>1495</v>
      </c>
      <c r="H250" s="150">
        <v>9</v>
      </c>
      <c r="I250" s="2"/>
      <c r="J250" s="7" t="s">
        <v>1475</v>
      </c>
      <c r="K250" s="151">
        <v>8</v>
      </c>
      <c r="L250" s="2"/>
      <c r="M250" s="11" t="s">
        <v>1523</v>
      </c>
      <c r="N250" s="149">
        <v>10</v>
      </c>
      <c r="O250" s="17"/>
      <c r="R250" s="267">
        <v>18</v>
      </c>
      <c r="S250" s="260" t="s">
        <v>341</v>
      </c>
      <c r="T250" s="260" t="s">
        <v>95</v>
      </c>
      <c r="U250" s="261">
        <v>8.94</v>
      </c>
      <c r="V250" s="287">
        <v>9.0299999999999994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1511</v>
      </c>
      <c r="B251" s="150">
        <v>8</v>
      </c>
      <c r="C251" s="2"/>
      <c r="D251" s="4" t="s">
        <v>1455</v>
      </c>
      <c r="E251" s="150">
        <v>8.5</v>
      </c>
      <c r="F251" s="2"/>
      <c r="G251" s="4" t="s">
        <v>1496</v>
      </c>
      <c r="H251" s="150">
        <v>8.5</v>
      </c>
      <c r="I251" s="2"/>
      <c r="J251" s="2"/>
      <c r="K251" s="2"/>
      <c r="L251" s="2"/>
      <c r="M251" s="4" t="s">
        <v>1525</v>
      </c>
      <c r="N251" s="150">
        <v>9</v>
      </c>
      <c r="O251" s="17"/>
      <c r="R251" s="267">
        <v>19</v>
      </c>
      <c r="S251" s="257" t="s">
        <v>1603</v>
      </c>
      <c r="T251" s="257" t="s">
        <v>2357</v>
      </c>
      <c r="U251" s="258">
        <v>9.07</v>
      </c>
      <c r="V251" s="288">
        <v>9.02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1512</v>
      </c>
      <c r="B252" s="150">
        <v>10</v>
      </c>
      <c r="C252" s="2"/>
      <c r="D252" s="7" t="s">
        <v>1456</v>
      </c>
      <c r="E252" s="151">
        <v>8</v>
      </c>
      <c r="F252" s="2"/>
      <c r="G252" s="4" t="s">
        <v>1497</v>
      </c>
      <c r="H252" s="150">
        <v>8</v>
      </c>
      <c r="I252" s="2"/>
      <c r="J252" s="129" t="s">
        <v>1564</v>
      </c>
      <c r="K252" s="1">
        <f>ROUND(SUM(K253:K262)/COUNT(K253:K262), 2)</f>
        <v>8</v>
      </c>
      <c r="L252" s="2"/>
      <c r="M252" s="4" t="s">
        <v>1526</v>
      </c>
      <c r="N252" s="150">
        <v>8.5</v>
      </c>
      <c r="O252" s="17"/>
      <c r="R252" s="267">
        <v>20</v>
      </c>
      <c r="S252" s="260" t="s">
        <v>2746</v>
      </c>
      <c r="T252" s="260" t="s">
        <v>2739</v>
      </c>
      <c r="U252" s="261">
        <v>9.06</v>
      </c>
      <c r="V252" s="288">
        <v>9.02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1513</v>
      </c>
      <c r="B253" s="150">
        <v>10.5</v>
      </c>
      <c r="C253" s="2"/>
      <c r="D253" s="2"/>
      <c r="E253" s="2"/>
      <c r="F253" s="2"/>
      <c r="G253" s="4" t="s">
        <v>1498</v>
      </c>
      <c r="H253" s="150">
        <v>9</v>
      </c>
      <c r="I253" s="2"/>
      <c r="J253" s="11" t="s">
        <v>1554</v>
      </c>
      <c r="K253" s="149">
        <v>8.5</v>
      </c>
      <c r="L253" s="2"/>
      <c r="M253" s="4" t="s">
        <v>1527</v>
      </c>
      <c r="N253" s="150">
        <v>8</v>
      </c>
      <c r="O253" s="17"/>
      <c r="R253" s="267">
        <v>21</v>
      </c>
      <c r="S253" s="257" t="s">
        <v>2931</v>
      </c>
      <c r="T253" s="257" t="s">
        <v>2932</v>
      </c>
      <c r="U253" s="258">
        <v>8.85</v>
      </c>
      <c r="V253" s="288">
        <v>9.02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1514</v>
      </c>
      <c r="B254" s="150">
        <v>9</v>
      </c>
      <c r="C254" s="2"/>
      <c r="D254" s="130" t="s">
        <v>1569</v>
      </c>
      <c r="E254" s="1">
        <f>ROUND(SUM(E255:E264)/COUNT(E255:E264), 2)</f>
        <v>8.44</v>
      </c>
      <c r="F254" s="2"/>
      <c r="G254" s="4" t="s">
        <v>1499</v>
      </c>
      <c r="H254" s="150">
        <v>8</v>
      </c>
      <c r="I254" s="2"/>
      <c r="J254" s="4" t="s">
        <v>1555</v>
      </c>
      <c r="K254" s="150">
        <v>7.5</v>
      </c>
      <c r="L254" s="2"/>
      <c r="M254" s="4" t="s">
        <v>1528</v>
      </c>
      <c r="N254" s="150">
        <v>10.5</v>
      </c>
      <c r="O254" s="17"/>
      <c r="R254" s="267">
        <v>22</v>
      </c>
      <c r="S254" s="260" t="s">
        <v>349</v>
      </c>
      <c r="T254" s="260" t="s">
        <v>2374</v>
      </c>
      <c r="U254" s="261">
        <v>8.92</v>
      </c>
      <c r="V254" s="289">
        <v>9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1515</v>
      </c>
      <c r="B255" s="150">
        <v>8</v>
      </c>
      <c r="C255" s="2"/>
      <c r="D255" s="11" t="s">
        <v>1570</v>
      </c>
      <c r="E255" s="149">
        <v>8.5</v>
      </c>
      <c r="F255" s="2"/>
      <c r="G255" s="4" t="s">
        <v>1500</v>
      </c>
      <c r="H255" s="150">
        <v>8</v>
      </c>
      <c r="I255" s="2"/>
      <c r="J255" s="4" t="s">
        <v>1556</v>
      </c>
      <c r="K255" s="150">
        <v>9.5</v>
      </c>
      <c r="L255" s="2"/>
      <c r="M255" s="4" t="s">
        <v>1529</v>
      </c>
      <c r="N255" s="150">
        <v>9.5</v>
      </c>
      <c r="O255" s="17"/>
      <c r="R255" s="267">
        <v>23</v>
      </c>
      <c r="S255" s="257" t="s">
        <v>2847</v>
      </c>
      <c r="T255" s="257" t="s">
        <v>2843</v>
      </c>
      <c r="U255" s="258">
        <v>8.83</v>
      </c>
      <c r="V255" s="289">
        <v>9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1516</v>
      </c>
      <c r="B256" s="150">
        <v>8</v>
      </c>
      <c r="C256" s="2"/>
      <c r="D256" s="4" t="s">
        <v>1571</v>
      </c>
      <c r="E256" s="150">
        <v>10</v>
      </c>
      <c r="F256" s="2"/>
      <c r="G256" s="7" t="s">
        <v>1501</v>
      </c>
      <c r="H256" s="151">
        <v>8</v>
      </c>
      <c r="I256" s="2"/>
      <c r="J256" s="4" t="s">
        <v>1557</v>
      </c>
      <c r="K256" s="150">
        <v>7.5</v>
      </c>
      <c r="L256" s="2"/>
      <c r="M256" s="4" t="s">
        <v>9</v>
      </c>
      <c r="N256" s="150">
        <v>8</v>
      </c>
      <c r="O256" s="17"/>
      <c r="R256" s="267">
        <v>24</v>
      </c>
      <c r="S256" s="260" t="s">
        <v>1332</v>
      </c>
      <c r="T256" s="260" t="s">
        <v>1323</v>
      </c>
      <c r="U256" s="261">
        <v>9</v>
      </c>
      <c r="V256" s="291">
        <v>8.9600000000000009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1517</v>
      </c>
      <c r="B257" s="150">
        <v>8.5</v>
      </c>
      <c r="C257" s="2"/>
      <c r="D257" s="4" t="s">
        <v>1572</v>
      </c>
      <c r="E257" s="150">
        <v>9.5</v>
      </c>
      <c r="F257" s="2"/>
      <c r="G257" s="2"/>
      <c r="H257" s="2"/>
      <c r="I257" s="2"/>
      <c r="J257" s="4" t="s">
        <v>1558</v>
      </c>
      <c r="K257" s="150">
        <v>9</v>
      </c>
      <c r="L257" s="2"/>
      <c r="M257" s="4" t="s">
        <v>1530</v>
      </c>
      <c r="N257" s="150">
        <v>10.5</v>
      </c>
      <c r="O257" s="17"/>
      <c r="R257" s="267">
        <v>25</v>
      </c>
      <c r="S257" s="257" t="s">
        <v>345</v>
      </c>
      <c r="T257" s="257" t="s">
        <v>1615</v>
      </c>
      <c r="U257" s="258">
        <v>8.94</v>
      </c>
      <c r="V257" s="292">
        <v>8.9499999999999993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1518</v>
      </c>
      <c r="B258" s="151">
        <v>8.5</v>
      </c>
      <c r="C258" s="2"/>
      <c r="D258" s="4" t="s">
        <v>1573</v>
      </c>
      <c r="E258" s="150">
        <v>10</v>
      </c>
      <c r="F258" s="2"/>
      <c r="G258" s="131" t="s">
        <v>1583</v>
      </c>
      <c r="H258" s="12">
        <f>ROUND(SUM(H259:H263)/COUNT(H259:H263), 2)</f>
        <v>8.9</v>
      </c>
      <c r="I258" s="2"/>
      <c r="J258" s="4" t="s">
        <v>1559</v>
      </c>
      <c r="K258" s="150">
        <v>6.5</v>
      </c>
      <c r="L258" s="2"/>
      <c r="M258" s="4" t="s">
        <v>1531</v>
      </c>
      <c r="N258" s="150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1574</v>
      </c>
      <c r="E259" s="150"/>
      <c r="F259" s="2"/>
      <c r="G259" s="11" t="s">
        <v>1584</v>
      </c>
      <c r="H259" s="149">
        <v>9</v>
      </c>
      <c r="I259" s="2"/>
      <c r="J259" s="4" t="s">
        <v>1560</v>
      </c>
      <c r="K259" s="150"/>
      <c r="L259" s="2"/>
      <c r="M259" s="4" t="s">
        <v>1532</v>
      </c>
      <c r="N259" s="150">
        <v>9</v>
      </c>
      <c r="O259" s="17"/>
      <c r="R259" s="391" t="s">
        <v>2769</v>
      </c>
      <c r="S259" s="391"/>
      <c r="T259" s="391"/>
      <c r="U259" s="391"/>
      <c r="V259" s="391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2" t="s">
        <v>1592</v>
      </c>
      <c r="B260" s="1">
        <f>ROUND(SUM(B261:B270)/COUNT(B261:B270), 2)</f>
        <v>8.75</v>
      </c>
      <c r="C260" s="2"/>
      <c r="D260" s="4" t="s">
        <v>1575</v>
      </c>
      <c r="E260" s="150">
        <v>8</v>
      </c>
      <c r="F260" s="2"/>
      <c r="G260" s="4" t="s">
        <v>1585</v>
      </c>
      <c r="H260" s="150">
        <v>8.5</v>
      </c>
      <c r="I260" s="2"/>
      <c r="J260" s="4" t="s">
        <v>1561</v>
      </c>
      <c r="K260" s="150">
        <v>7.5</v>
      </c>
      <c r="L260" s="2"/>
      <c r="M260" s="4" t="s">
        <v>1533</v>
      </c>
      <c r="N260" s="150">
        <v>8.5</v>
      </c>
      <c r="O260" s="17"/>
      <c r="R260" s="256" t="s">
        <v>352</v>
      </c>
      <c r="S260" s="256" t="s">
        <v>319</v>
      </c>
      <c r="T260" s="256" t="s">
        <v>320</v>
      </c>
      <c r="U260" s="256" t="s">
        <v>321</v>
      </c>
      <c r="V260" s="256" t="s">
        <v>1002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1593</v>
      </c>
      <c r="B261" s="150">
        <v>8</v>
      </c>
      <c r="C261" s="2"/>
      <c r="D261" s="4" t="s">
        <v>1576</v>
      </c>
      <c r="E261" s="150">
        <v>9</v>
      </c>
      <c r="F261" s="2"/>
      <c r="G261" s="4" t="s">
        <v>1586</v>
      </c>
      <c r="H261" s="150">
        <v>9</v>
      </c>
      <c r="I261" s="2"/>
      <c r="J261" s="4" t="s">
        <v>1562</v>
      </c>
      <c r="K261" s="150">
        <v>8.5</v>
      </c>
      <c r="L261" s="2"/>
      <c r="M261" s="4" t="s">
        <v>1534</v>
      </c>
      <c r="N261" s="150">
        <v>8</v>
      </c>
      <c r="O261" s="17"/>
      <c r="R261" s="263">
        <v>1</v>
      </c>
      <c r="S261" s="257" t="s">
        <v>326</v>
      </c>
      <c r="T261" s="257" t="s">
        <v>7</v>
      </c>
      <c r="U261" s="258">
        <v>10.11</v>
      </c>
      <c r="V261" s="264">
        <v>10.99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1594</v>
      </c>
      <c r="B262" s="150">
        <v>9.5</v>
      </c>
      <c r="C262" s="2"/>
      <c r="D262" s="4" t="s">
        <v>1577</v>
      </c>
      <c r="E262" s="150">
        <v>8</v>
      </c>
      <c r="F262" s="2"/>
      <c r="G262" s="4" t="s">
        <v>1587</v>
      </c>
      <c r="H262" s="150">
        <v>8</v>
      </c>
      <c r="I262" s="2"/>
      <c r="J262" s="7" t="s">
        <v>1563</v>
      </c>
      <c r="K262" s="151">
        <v>7.5</v>
      </c>
      <c r="L262" s="2"/>
      <c r="M262" s="4" t="s">
        <v>1535</v>
      </c>
      <c r="N262" s="150">
        <v>8</v>
      </c>
      <c r="O262" s="17"/>
      <c r="R262" s="265">
        <v>2</v>
      </c>
      <c r="S262" s="260" t="s">
        <v>996</v>
      </c>
      <c r="T262" s="260" t="s">
        <v>994</v>
      </c>
      <c r="U262" s="261">
        <v>10.5</v>
      </c>
      <c r="V262" s="264">
        <v>10.85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1595</v>
      </c>
      <c r="B263" s="150">
        <v>10</v>
      </c>
      <c r="C263" s="2"/>
      <c r="D263" s="4" t="s">
        <v>1578</v>
      </c>
      <c r="E263" s="150">
        <v>7</v>
      </c>
      <c r="F263" s="2"/>
      <c r="G263" s="7" t="s">
        <v>1588</v>
      </c>
      <c r="H263" s="151">
        <v>10</v>
      </c>
      <c r="I263" s="2"/>
      <c r="J263" s="2"/>
      <c r="K263" s="2"/>
      <c r="L263" s="2"/>
      <c r="M263" s="4" t="s">
        <v>1536</v>
      </c>
      <c r="N263" s="150">
        <v>7.5</v>
      </c>
      <c r="O263" s="17"/>
      <c r="R263" s="266">
        <v>3</v>
      </c>
      <c r="S263" s="257" t="s">
        <v>332</v>
      </c>
      <c r="T263" s="257" t="s">
        <v>1027</v>
      </c>
      <c r="U263" s="258">
        <v>10</v>
      </c>
      <c r="V263" s="264">
        <v>10.39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1596</v>
      </c>
      <c r="B264" s="150">
        <v>9.5</v>
      </c>
      <c r="C264" s="2"/>
      <c r="D264" s="7" t="s">
        <v>1579</v>
      </c>
      <c r="E264" s="151">
        <v>6</v>
      </c>
      <c r="F264" s="2"/>
      <c r="G264" s="2"/>
      <c r="H264" s="2"/>
      <c r="I264" s="2"/>
      <c r="J264" s="133" t="s">
        <v>1608</v>
      </c>
      <c r="K264" s="1">
        <f>ROUND(SUM(K265:K274)/COUNT(K265:K274), 2)</f>
        <v>8.94</v>
      </c>
      <c r="L264" s="2"/>
      <c r="M264" s="4" t="s">
        <v>1537</v>
      </c>
      <c r="N264" s="150">
        <v>8</v>
      </c>
      <c r="O264" s="17"/>
      <c r="R264" s="267">
        <v>4</v>
      </c>
      <c r="S264" s="260" t="s">
        <v>327</v>
      </c>
      <c r="T264" s="260" t="s">
        <v>328</v>
      </c>
      <c r="U264" s="261">
        <v>9.6999999999999993</v>
      </c>
      <c r="V264" s="264">
        <v>10.37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1597</v>
      </c>
      <c r="B265" s="150">
        <v>8</v>
      </c>
      <c r="C265" s="2"/>
      <c r="D265" s="2"/>
      <c r="E265" s="2"/>
      <c r="F265" s="2"/>
      <c r="G265" s="135" t="s">
        <v>1642</v>
      </c>
      <c r="H265" s="12">
        <f>ROUND(SUM(H266:H274)/COUNT(H266:H274), 2)</f>
        <v>8.75</v>
      </c>
      <c r="I265" s="2"/>
      <c r="J265" s="11" t="s">
        <v>1609</v>
      </c>
      <c r="K265" s="149">
        <v>8</v>
      </c>
      <c r="L265" s="2"/>
      <c r="M265" s="4" t="s">
        <v>1538</v>
      </c>
      <c r="N265" s="150">
        <v>9</v>
      </c>
      <c r="O265" s="17"/>
      <c r="R265" s="267">
        <v>5</v>
      </c>
      <c r="S265" s="257" t="s">
        <v>2661</v>
      </c>
      <c r="T265" s="257" t="s">
        <v>674</v>
      </c>
      <c r="U265" s="258">
        <v>9.8800000000000008</v>
      </c>
      <c r="V265" s="264">
        <v>10.220000000000001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1598</v>
      </c>
      <c r="B266" s="150">
        <v>8.5</v>
      </c>
      <c r="C266" s="2"/>
      <c r="D266" s="134" t="s">
        <v>1619</v>
      </c>
      <c r="E266" s="12">
        <f>ROUND(SUM(E267:E276)/COUNT(E267:E276), 2)</f>
        <v>8.6</v>
      </c>
      <c r="F266" s="2"/>
      <c r="G266" s="11" t="s">
        <v>1633</v>
      </c>
      <c r="H266" s="149">
        <v>8.5</v>
      </c>
      <c r="I266" s="2"/>
      <c r="J266" s="4" t="s">
        <v>1610</v>
      </c>
      <c r="K266" s="150">
        <v>8.5</v>
      </c>
      <c r="L266" s="2"/>
      <c r="M266" s="4" t="s">
        <v>1539</v>
      </c>
      <c r="N266" s="150">
        <v>8</v>
      </c>
      <c r="O266" s="17"/>
      <c r="R266" s="267">
        <v>6</v>
      </c>
      <c r="S266" s="260" t="s">
        <v>327</v>
      </c>
      <c r="T266" s="260" t="s">
        <v>329</v>
      </c>
      <c r="U266" s="261">
        <v>9.68</v>
      </c>
      <c r="V266" s="264">
        <v>10.07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1599</v>
      </c>
      <c r="B267" s="150">
        <v>8.5</v>
      </c>
      <c r="C267" s="2"/>
      <c r="D267" s="11" t="s">
        <v>1620</v>
      </c>
      <c r="E267" s="149">
        <v>9.5</v>
      </c>
      <c r="F267" s="2"/>
      <c r="G267" s="4" t="s">
        <v>1634</v>
      </c>
      <c r="H267" s="150">
        <v>10</v>
      </c>
      <c r="I267" s="2"/>
      <c r="J267" s="4" t="s">
        <v>1611</v>
      </c>
      <c r="K267" s="150">
        <v>8.5</v>
      </c>
      <c r="L267" s="2"/>
      <c r="M267" s="4" t="s">
        <v>1540</v>
      </c>
      <c r="N267" s="150">
        <v>7.5</v>
      </c>
      <c r="O267" s="17"/>
      <c r="R267" s="267">
        <v>7</v>
      </c>
      <c r="S267" s="257" t="s">
        <v>332</v>
      </c>
      <c r="T267" s="257" t="s">
        <v>333</v>
      </c>
      <c r="U267" s="258">
        <v>9.61</v>
      </c>
      <c r="V267" s="264">
        <v>10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1600</v>
      </c>
      <c r="B268" s="150">
        <v>8</v>
      </c>
      <c r="C268" s="2"/>
      <c r="D268" s="4" t="s">
        <v>1621</v>
      </c>
      <c r="E268" s="150">
        <v>8.5</v>
      </c>
      <c r="F268" s="2"/>
      <c r="G268" s="4" t="s">
        <v>1641</v>
      </c>
      <c r="H268" s="150">
        <v>9</v>
      </c>
      <c r="I268" s="2"/>
      <c r="J268" s="4" t="s">
        <v>1612</v>
      </c>
      <c r="K268" s="150">
        <v>9</v>
      </c>
      <c r="L268" s="2"/>
      <c r="M268" s="4" t="s">
        <v>1541</v>
      </c>
      <c r="N268" s="150">
        <v>8</v>
      </c>
      <c r="O268" s="17"/>
      <c r="R268" s="267">
        <v>8</v>
      </c>
      <c r="S268" s="260" t="s">
        <v>326</v>
      </c>
      <c r="T268" s="260" t="s">
        <v>557</v>
      </c>
      <c r="U268" s="261">
        <v>9.61</v>
      </c>
      <c r="V268" s="268">
        <v>9.99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1601</v>
      </c>
      <c r="B269" s="150">
        <v>7.5</v>
      </c>
      <c r="C269" s="2"/>
      <c r="D269" s="4" t="s">
        <v>1622</v>
      </c>
      <c r="E269" s="150">
        <v>8.5</v>
      </c>
      <c r="F269" s="2"/>
      <c r="G269" s="4" t="s">
        <v>1635</v>
      </c>
      <c r="H269" s="150">
        <v>8.5</v>
      </c>
      <c r="I269" s="2"/>
      <c r="J269" s="4" t="s">
        <v>1613</v>
      </c>
      <c r="K269" s="150">
        <v>10</v>
      </c>
      <c r="L269" s="2"/>
      <c r="M269" s="4" t="s">
        <v>1542</v>
      </c>
      <c r="N269" s="150">
        <v>7.5</v>
      </c>
      <c r="O269" s="17"/>
      <c r="R269" s="267">
        <v>9</v>
      </c>
      <c r="S269" s="257" t="s">
        <v>326</v>
      </c>
      <c r="T269" s="257" t="s">
        <v>158</v>
      </c>
      <c r="U269" s="258">
        <v>9.61</v>
      </c>
      <c r="V269" s="269">
        <v>9.9600000000000009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1602</v>
      </c>
      <c r="B270" s="151">
        <v>10</v>
      </c>
      <c r="C270" s="2"/>
      <c r="D270" s="4" t="s">
        <v>1623</v>
      </c>
      <c r="E270" s="150">
        <v>8</v>
      </c>
      <c r="F270" s="2"/>
      <c r="G270" s="4" t="s">
        <v>1636</v>
      </c>
      <c r="H270" s="150">
        <v>8.5</v>
      </c>
      <c r="I270" s="2"/>
      <c r="J270" s="4" t="s">
        <v>1614</v>
      </c>
      <c r="K270" s="150">
        <v>10.5</v>
      </c>
      <c r="L270" s="2"/>
      <c r="M270" s="4" t="s">
        <v>1543</v>
      </c>
      <c r="N270" s="150">
        <v>7.5</v>
      </c>
      <c r="O270" s="17"/>
      <c r="R270" s="267">
        <v>10</v>
      </c>
      <c r="S270" s="260" t="s">
        <v>2465</v>
      </c>
      <c r="T270" s="260" t="s">
        <v>2449</v>
      </c>
      <c r="U270" s="261">
        <v>9.67</v>
      </c>
      <c r="V270" s="270">
        <v>9.91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1624</v>
      </c>
      <c r="E271" s="150">
        <v>7.5</v>
      </c>
      <c r="F271" s="2"/>
      <c r="G271" s="4" t="s">
        <v>1637</v>
      </c>
      <c r="H271" s="150"/>
      <c r="I271" s="2"/>
      <c r="J271" s="4" t="s">
        <v>1615</v>
      </c>
      <c r="K271" s="150"/>
      <c r="L271" s="2"/>
      <c r="M271" s="4" t="s">
        <v>1544</v>
      </c>
      <c r="N271" s="150">
        <v>7.5</v>
      </c>
      <c r="O271" s="17"/>
      <c r="R271" s="267">
        <v>11</v>
      </c>
      <c r="S271" s="257" t="s">
        <v>326</v>
      </c>
      <c r="T271" s="257" t="s">
        <v>1242</v>
      </c>
      <c r="U271" s="258">
        <v>9.36</v>
      </c>
      <c r="V271" s="271">
        <v>9.6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6" t="s">
        <v>1649</v>
      </c>
      <c r="B272" s="12">
        <f>ROUND(SUM(B273:B277)/COUNT(B273:B277), 2)</f>
        <v>8.4</v>
      </c>
      <c r="C272" s="2"/>
      <c r="D272" s="4" t="s">
        <v>1625</v>
      </c>
      <c r="E272" s="150">
        <v>9.5</v>
      </c>
      <c r="F272" s="2"/>
      <c r="G272" s="4" t="s">
        <v>1638</v>
      </c>
      <c r="H272" s="150">
        <v>8.5</v>
      </c>
      <c r="I272" s="2"/>
      <c r="J272" s="4" t="s">
        <v>1616</v>
      </c>
      <c r="K272" s="150">
        <v>9</v>
      </c>
      <c r="L272" s="2"/>
      <c r="M272" s="4" t="s">
        <v>1545</v>
      </c>
      <c r="N272" s="150">
        <v>9</v>
      </c>
      <c r="O272" s="17"/>
      <c r="R272" s="267">
        <v>12</v>
      </c>
      <c r="S272" s="260" t="s">
        <v>332</v>
      </c>
      <c r="T272" s="260" t="s">
        <v>767</v>
      </c>
      <c r="U272" s="261">
        <v>9.4</v>
      </c>
      <c r="V272" s="272">
        <v>9.5500000000000007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1650</v>
      </c>
      <c r="B273" s="150">
        <v>8.5</v>
      </c>
      <c r="C273" s="2"/>
      <c r="D273" s="4" t="s">
        <v>1626</v>
      </c>
      <c r="E273" s="150">
        <v>10</v>
      </c>
      <c r="F273" s="2"/>
      <c r="G273" s="4" t="s">
        <v>1639</v>
      </c>
      <c r="H273" s="150">
        <v>9</v>
      </c>
      <c r="I273" s="2"/>
      <c r="J273" s="4" t="s">
        <v>1617</v>
      </c>
      <c r="K273" s="150">
        <v>8.5</v>
      </c>
      <c r="L273" s="2"/>
      <c r="M273" s="4" t="s">
        <v>1546</v>
      </c>
      <c r="N273" s="150">
        <v>10</v>
      </c>
      <c r="O273" s="17"/>
      <c r="R273" s="267">
        <v>13</v>
      </c>
      <c r="S273" s="257" t="s">
        <v>330</v>
      </c>
      <c r="T273" s="257" t="s">
        <v>269</v>
      </c>
      <c r="U273" s="258">
        <v>9.3800000000000008</v>
      </c>
      <c r="V273" s="273">
        <v>9.5299999999999994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1651</v>
      </c>
      <c r="B274" s="150">
        <v>9</v>
      </c>
      <c r="C274" s="2"/>
      <c r="D274" s="4" t="s">
        <v>1627</v>
      </c>
      <c r="E274" s="150">
        <v>8</v>
      </c>
      <c r="F274" s="2"/>
      <c r="G274" s="7" t="s">
        <v>1640</v>
      </c>
      <c r="H274" s="151">
        <v>8</v>
      </c>
      <c r="I274" s="2"/>
      <c r="J274" s="7" t="s">
        <v>1618</v>
      </c>
      <c r="K274" s="151">
        <v>8.5</v>
      </c>
      <c r="L274" s="2"/>
      <c r="M274" s="4" t="s">
        <v>1547</v>
      </c>
      <c r="N274" s="150">
        <v>9</v>
      </c>
      <c r="O274" s="17"/>
      <c r="R274" s="267">
        <v>14</v>
      </c>
      <c r="S274" s="260" t="s">
        <v>326</v>
      </c>
      <c r="T274" s="260" t="s">
        <v>2540</v>
      </c>
      <c r="U274" s="261">
        <v>9.25</v>
      </c>
      <c r="V274" s="273">
        <v>9.5299999999999994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1652</v>
      </c>
      <c r="B275" s="150">
        <v>8.5</v>
      </c>
      <c r="C275" s="2"/>
      <c r="D275" s="4" t="s">
        <v>1628</v>
      </c>
      <c r="E275" s="150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1">
        <v>9</v>
      </c>
      <c r="O275" s="17"/>
      <c r="R275" s="267">
        <v>15</v>
      </c>
      <c r="S275" s="257" t="s">
        <v>331</v>
      </c>
      <c r="T275" s="257" t="s">
        <v>1180</v>
      </c>
      <c r="U275" s="258">
        <v>9.4</v>
      </c>
      <c r="V275" s="274">
        <v>9.4600000000000009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1653</v>
      </c>
      <c r="B276" s="150">
        <v>8</v>
      </c>
      <c r="C276" s="2"/>
      <c r="D276" s="7" t="s">
        <v>1629</v>
      </c>
      <c r="E276" s="151">
        <v>9</v>
      </c>
      <c r="F276" s="2"/>
      <c r="G276" s="137" t="s">
        <v>1659</v>
      </c>
      <c r="H276" s="1">
        <f>ROUND(SUM(H277:H286)/COUNT(H277:H286), 2)</f>
        <v>8.85</v>
      </c>
      <c r="I276" s="2"/>
      <c r="J276" s="138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 s="267">
        <v>16</v>
      </c>
      <c r="S276" s="260" t="s">
        <v>2026</v>
      </c>
      <c r="T276" s="260" t="s">
        <v>2019</v>
      </c>
      <c r="U276" s="261">
        <v>9.31</v>
      </c>
      <c r="V276" s="275">
        <v>9.43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1654</v>
      </c>
      <c r="B277" s="151">
        <v>8</v>
      </c>
      <c r="C277" s="2"/>
      <c r="D277" s="2"/>
      <c r="E277" s="2"/>
      <c r="F277" s="2"/>
      <c r="G277" s="11" t="s">
        <v>1660</v>
      </c>
      <c r="H277" s="149">
        <v>9.5</v>
      </c>
      <c r="I277" s="2"/>
      <c r="J277" s="11" t="s">
        <v>1672</v>
      </c>
      <c r="K277" s="149">
        <v>8.5</v>
      </c>
      <c r="L277" s="2"/>
      <c r="M277" s="140" t="s">
        <v>1693</v>
      </c>
      <c r="N277" s="1">
        <f>ROUND(SUM(N278:N282)/COUNT(N278:N282), 2)</f>
        <v>8.4</v>
      </c>
      <c r="O277" s="17"/>
      <c r="R277" s="267">
        <v>17</v>
      </c>
      <c r="S277" s="257" t="s">
        <v>335</v>
      </c>
      <c r="T277" s="257" t="s">
        <v>56</v>
      </c>
      <c r="U277" s="258">
        <v>9.25</v>
      </c>
      <c r="V277" s="276">
        <v>9.3699999999999992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39" t="s">
        <v>1683</v>
      </c>
      <c r="E278" s="12">
        <f>ROUND(SUM(E279:E286)/COUNT(E279:E286), 2)</f>
        <v>8.81</v>
      </c>
      <c r="F278" s="2"/>
      <c r="G278" s="4" t="s">
        <v>1661</v>
      </c>
      <c r="H278" s="150">
        <v>9</v>
      </c>
      <c r="I278" s="2"/>
      <c r="J278" s="4" t="s">
        <v>1673</v>
      </c>
      <c r="K278" s="150">
        <v>9</v>
      </c>
      <c r="L278" s="2"/>
      <c r="M278" s="4" t="s">
        <v>1694</v>
      </c>
      <c r="N278" s="150">
        <v>8</v>
      </c>
      <c r="O278" s="17"/>
      <c r="R278" s="267">
        <v>18</v>
      </c>
      <c r="S278" s="260" t="s">
        <v>327</v>
      </c>
      <c r="T278" s="260" t="s">
        <v>285</v>
      </c>
      <c r="U278" s="261">
        <v>9.15</v>
      </c>
      <c r="V278" s="276">
        <v>9.3699999999999992</v>
      </c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1" t="s">
        <v>1700</v>
      </c>
      <c r="B279" s="12">
        <f>ROUND(SUM(B280:B307)/COUNT(B280:B307), 2)</f>
        <v>8.57</v>
      </c>
      <c r="C279" s="2"/>
      <c r="D279" s="11" t="s">
        <v>1684</v>
      </c>
      <c r="E279" s="149">
        <v>8</v>
      </c>
      <c r="F279" s="2"/>
      <c r="G279" s="4" t="s">
        <v>1662</v>
      </c>
      <c r="H279" s="150">
        <v>10</v>
      </c>
      <c r="I279" s="2"/>
      <c r="J279" s="4" t="s">
        <v>1674</v>
      </c>
      <c r="K279" s="150"/>
      <c r="L279" s="2"/>
      <c r="M279" s="4" t="s">
        <v>1695</v>
      </c>
      <c r="N279" s="150">
        <v>7.5</v>
      </c>
      <c r="O279" s="17"/>
      <c r="R279" s="267">
        <v>19</v>
      </c>
      <c r="S279" s="257" t="s">
        <v>331</v>
      </c>
      <c r="T279" s="257" t="s">
        <v>1005</v>
      </c>
      <c r="U279" s="258">
        <v>9.3000000000000007</v>
      </c>
      <c r="V279" s="277">
        <v>9.36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1701</v>
      </c>
      <c r="B280" s="149"/>
      <c r="C280" s="2"/>
      <c r="D280" s="4" t="s">
        <v>1685</v>
      </c>
      <c r="E280" s="150">
        <v>8.5</v>
      </c>
      <c r="F280" s="2"/>
      <c r="G280" s="4" t="s">
        <v>1663</v>
      </c>
      <c r="H280" s="150">
        <v>8.5</v>
      </c>
      <c r="I280" s="2"/>
      <c r="J280" s="4" t="s">
        <v>1675</v>
      </c>
      <c r="K280" s="150">
        <v>8.5</v>
      </c>
      <c r="L280" s="2"/>
      <c r="M280" s="4" t="s">
        <v>1696</v>
      </c>
      <c r="N280" s="150">
        <v>8</v>
      </c>
      <c r="O280" s="17"/>
      <c r="R280" s="267">
        <v>20</v>
      </c>
      <c r="S280" s="260" t="s">
        <v>336</v>
      </c>
      <c r="T280" s="260" t="s">
        <v>188</v>
      </c>
      <c r="U280" s="261">
        <v>9.2100000000000009</v>
      </c>
      <c r="V280" s="278">
        <v>9.34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1702</v>
      </c>
      <c r="B281" s="150">
        <v>10</v>
      </c>
      <c r="C281" s="2"/>
      <c r="D281" s="4" t="s">
        <v>1686</v>
      </c>
      <c r="E281" s="150">
        <v>8</v>
      </c>
      <c r="F281" s="2"/>
      <c r="G281" s="4" t="s">
        <v>1664</v>
      </c>
      <c r="H281" s="150">
        <v>8</v>
      </c>
      <c r="I281" s="2"/>
      <c r="J281" s="4" t="s">
        <v>1676</v>
      </c>
      <c r="K281" s="150">
        <v>10</v>
      </c>
      <c r="L281" s="2"/>
      <c r="M281" s="4" t="s">
        <v>1697</v>
      </c>
      <c r="N281" s="150">
        <v>8.5</v>
      </c>
      <c r="O281" s="17"/>
      <c r="R281" s="267">
        <v>21</v>
      </c>
      <c r="S281" s="257" t="s">
        <v>334</v>
      </c>
      <c r="T281" s="257" t="s">
        <v>132</v>
      </c>
      <c r="U281" s="258">
        <v>9.2100000000000009</v>
      </c>
      <c r="V281" s="279">
        <v>9.2799999999999994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1703</v>
      </c>
      <c r="B282" s="150">
        <v>8</v>
      </c>
      <c r="C282" s="2"/>
      <c r="D282" s="4" t="s">
        <v>1687</v>
      </c>
      <c r="E282" s="150">
        <v>8.5</v>
      </c>
      <c r="F282" s="2"/>
      <c r="G282" s="4" t="s">
        <v>1665</v>
      </c>
      <c r="H282" s="150">
        <v>8.5</v>
      </c>
      <c r="I282" s="2"/>
      <c r="J282" s="4" t="s">
        <v>1677</v>
      </c>
      <c r="K282" s="150">
        <v>8</v>
      </c>
      <c r="L282" s="2"/>
      <c r="M282" s="7" t="s">
        <v>1698</v>
      </c>
      <c r="N282" s="151">
        <v>10</v>
      </c>
      <c r="O282" s="17"/>
      <c r="R282" s="267">
        <v>22</v>
      </c>
      <c r="S282" s="260" t="s">
        <v>444</v>
      </c>
      <c r="T282" s="260" t="s">
        <v>36</v>
      </c>
      <c r="U282" s="261">
        <v>9.15</v>
      </c>
      <c r="V282" s="280">
        <v>9.23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1704</v>
      </c>
      <c r="B283" s="150">
        <v>9.5</v>
      </c>
      <c r="C283" s="2"/>
      <c r="D283" s="4" t="s">
        <v>1688</v>
      </c>
      <c r="E283" s="150">
        <v>10</v>
      </c>
      <c r="F283" s="2"/>
      <c r="G283" s="4" t="s">
        <v>1666</v>
      </c>
      <c r="H283" s="150">
        <v>8.5</v>
      </c>
      <c r="I283" s="2"/>
      <c r="J283" s="4" t="s">
        <v>1678</v>
      </c>
      <c r="K283" s="150">
        <v>9</v>
      </c>
      <c r="L283" s="2"/>
      <c r="M283" s="2"/>
      <c r="N283" s="2"/>
      <c r="O283" s="17"/>
      <c r="R283" s="267">
        <v>23</v>
      </c>
      <c r="S283" s="257" t="s">
        <v>480</v>
      </c>
      <c r="T283" s="257" t="s">
        <v>498</v>
      </c>
      <c r="U283" s="258">
        <v>9.17</v>
      </c>
      <c r="V283" s="280">
        <v>9.23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1705</v>
      </c>
      <c r="B284" s="150">
        <v>8</v>
      </c>
      <c r="C284" s="2"/>
      <c r="D284" s="4" t="s">
        <v>1689</v>
      </c>
      <c r="E284" s="150">
        <v>9.5</v>
      </c>
      <c r="F284" s="2"/>
      <c r="G284" s="4" t="s">
        <v>1667</v>
      </c>
      <c r="H284" s="150">
        <v>9</v>
      </c>
      <c r="I284" s="2"/>
      <c r="J284" s="7" t="s">
        <v>1679</v>
      </c>
      <c r="K284" s="151">
        <v>8</v>
      </c>
      <c r="L284" s="2"/>
      <c r="M284" s="148" t="s">
        <v>1729</v>
      </c>
      <c r="N284" s="142">
        <f>ROUND(SUM(N285:N295)/COUNT(N285:N295), 2)</f>
        <v>8.91</v>
      </c>
      <c r="O284" s="17"/>
      <c r="R284" s="267">
        <v>24</v>
      </c>
      <c r="S284" s="260" t="s">
        <v>335</v>
      </c>
      <c r="T284" s="260" t="s">
        <v>693</v>
      </c>
      <c r="U284" s="261">
        <v>9.1300000000000008</v>
      </c>
      <c r="V284" s="281">
        <v>9.2100000000000009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1706</v>
      </c>
      <c r="B285" s="150">
        <v>10</v>
      </c>
      <c r="C285" s="2"/>
      <c r="D285" s="4" t="s">
        <v>1690</v>
      </c>
      <c r="E285" s="150">
        <v>8</v>
      </c>
      <c r="F285" s="2"/>
      <c r="G285" s="4" t="s">
        <v>1668</v>
      </c>
      <c r="H285" s="150">
        <v>8.5</v>
      </c>
      <c r="I285" s="2"/>
      <c r="J285" s="2"/>
      <c r="K285" s="2"/>
      <c r="L285" s="2"/>
      <c r="M285" s="11" t="s">
        <v>1730</v>
      </c>
      <c r="N285" s="149">
        <v>9</v>
      </c>
      <c r="O285" s="17"/>
      <c r="R285" s="267">
        <v>25</v>
      </c>
      <c r="S285" s="257" t="s">
        <v>337</v>
      </c>
      <c r="T285" s="257" t="s">
        <v>2539</v>
      </c>
      <c r="U285" s="258">
        <v>9.08</v>
      </c>
      <c r="V285" s="282">
        <v>9.17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1707</v>
      </c>
      <c r="B286" s="150">
        <v>9</v>
      </c>
      <c r="C286" s="2"/>
      <c r="D286" s="7" t="s">
        <v>1691</v>
      </c>
      <c r="E286" s="151">
        <v>10</v>
      </c>
      <c r="F286" s="2"/>
      <c r="G286" s="7" t="s">
        <v>1669</v>
      </c>
      <c r="H286" s="151">
        <v>9</v>
      </c>
      <c r="I286" s="2"/>
      <c r="J286" s="143" t="s">
        <v>1751</v>
      </c>
      <c r="K286" s="1">
        <f>ROUND(SUM(K287:K294)/COUNT(K287:K294), 2)</f>
        <v>8.06</v>
      </c>
      <c r="L286" s="2"/>
      <c r="M286" s="4" t="s">
        <v>1731</v>
      </c>
      <c r="N286" s="150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1708</v>
      </c>
      <c r="B287" s="150">
        <v>8.5</v>
      </c>
      <c r="C287" s="2"/>
      <c r="D287" s="2"/>
      <c r="E287" s="2"/>
      <c r="F287" s="2"/>
      <c r="G287" s="2"/>
      <c r="H287" s="2"/>
      <c r="I287" s="2"/>
      <c r="J287" s="4" t="s">
        <v>1743</v>
      </c>
      <c r="K287" s="150">
        <v>9</v>
      </c>
      <c r="L287" s="2"/>
      <c r="M287" s="4" t="s">
        <v>1732</v>
      </c>
      <c r="N287" s="150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1709</v>
      </c>
      <c r="B288" s="150">
        <v>7.5</v>
      </c>
      <c r="C288" s="2"/>
      <c r="D288" s="144" t="s">
        <v>1753</v>
      </c>
      <c r="E288" s="12">
        <f>ROUND(SUM(E289:E297)/COUNT(E289:E297), 2)</f>
        <v>8.5</v>
      </c>
      <c r="F288" s="2"/>
      <c r="G288" s="147" t="s">
        <v>1765</v>
      </c>
      <c r="H288" s="12">
        <f>ROUND(SUM(H289:H294)/COUNT(H289:H294), 2)</f>
        <v>8.83</v>
      </c>
      <c r="I288" s="2"/>
      <c r="J288" s="4" t="s">
        <v>1744</v>
      </c>
      <c r="K288" s="150">
        <v>9</v>
      </c>
      <c r="L288" s="2"/>
      <c r="M288" s="4" t="s">
        <v>1733</v>
      </c>
      <c r="N288" s="150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1710</v>
      </c>
      <c r="B289" s="150">
        <v>8.5</v>
      </c>
      <c r="C289" s="2"/>
      <c r="D289" s="11" t="s">
        <v>1754</v>
      </c>
      <c r="E289" s="149">
        <v>8</v>
      </c>
      <c r="F289" s="2"/>
      <c r="G289" s="11" t="s">
        <v>1766</v>
      </c>
      <c r="H289" s="149">
        <v>9</v>
      </c>
      <c r="I289" s="2"/>
      <c r="J289" s="4" t="s">
        <v>1745</v>
      </c>
      <c r="K289" s="150">
        <v>8</v>
      </c>
      <c r="L289" s="2"/>
      <c r="M289" s="4" t="s">
        <v>1734</v>
      </c>
      <c r="N289" s="150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1711</v>
      </c>
      <c r="B290" s="150">
        <v>8.5</v>
      </c>
      <c r="C290" s="2"/>
      <c r="D290" s="4" t="s">
        <v>1755</v>
      </c>
      <c r="E290" s="150">
        <v>9</v>
      </c>
      <c r="F290" s="2"/>
      <c r="G290" s="4" t="s">
        <v>1767</v>
      </c>
      <c r="H290" s="150">
        <v>8.5</v>
      </c>
      <c r="I290" s="2"/>
      <c r="J290" s="4" t="s">
        <v>1746</v>
      </c>
      <c r="K290" s="150">
        <v>7</v>
      </c>
      <c r="L290" s="2"/>
      <c r="M290" s="4" t="s">
        <v>1735</v>
      </c>
      <c r="N290" s="150">
        <v>9</v>
      </c>
      <c r="O290" s="17"/>
      <c r="R290" s="391" t="s">
        <v>2790</v>
      </c>
      <c r="S290" s="391"/>
      <c r="T290" s="391"/>
      <c r="U290" s="391"/>
      <c r="V290" s="391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1712</v>
      </c>
      <c r="B291" s="150">
        <v>8</v>
      </c>
      <c r="C291" s="2"/>
      <c r="D291" s="4" t="s">
        <v>1756</v>
      </c>
      <c r="E291" s="150">
        <v>8.5</v>
      </c>
      <c r="F291" s="2"/>
      <c r="G291" s="4" t="s">
        <v>1768</v>
      </c>
      <c r="H291" s="150">
        <v>8</v>
      </c>
      <c r="I291" s="2"/>
      <c r="J291" s="4" t="s">
        <v>1747</v>
      </c>
      <c r="K291" s="150">
        <v>7.5</v>
      </c>
      <c r="L291" s="2"/>
      <c r="M291" s="4" t="s">
        <v>565</v>
      </c>
      <c r="N291" s="150">
        <v>8</v>
      </c>
      <c r="O291" s="17"/>
      <c r="R291" s="256" t="s">
        <v>352</v>
      </c>
      <c r="S291" s="256" t="s">
        <v>319</v>
      </c>
      <c r="T291" s="256" t="s">
        <v>320</v>
      </c>
      <c r="U291" s="256" t="s">
        <v>321</v>
      </c>
      <c r="V291" s="256" t="s">
        <v>1002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1713</v>
      </c>
      <c r="B292" s="150">
        <v>9</v>
      </c>
      <c r="C292" s="2"/>
      <c r="D292" s="4" t="s">
        <v>1757</v>
      </c>
      <c r="E292" s="150">
        <v>8.5</v>
      </c>
      <c r="F292" s="2"/>
      <c r="G292" s="4" t="s">
        <v>1769</v>
      </c>
      <c r="H292" s="150">
        <v>9</v>
      </c>
      <c r="I292" s="2"/>
      <c r="J292" s="4" t="s">
        <v>1748</v>
      </c>
      <c r="K292" s="150">
        <v>8</v>
      </c>
      <c r="L292" s="2"/>
      <c r="M292" s="4" t="s">
        <v>1736</v>
      </c>
      <c r="N292" s="150">
        <v>10</v>
      </c>
      <c r="O292" s="17"/>
      <c r="R292" s="263">
        <v>1</v>
      </c>
      <c r="S292" s="257" t="s">
        <v>326</v>
      </c>
      <c r="T292" s="257" t="s">
        <v>2770</v>
      </c>
      <c r="U292" s="258">
        <v>9.59</v>
      </c>
      <c r="V292" s="264">
        <v>10.01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1714</v>
      </c>
      <c r="B293" s="150">
        <v>8.5</v>
      </c>
      <c r="C293" s="2"/>
      <c r="D293" s="4" t="s">
        <v>1758</v>
      </c>
      <c r="E293" s="150">
        <v>9</v>
      </c>
      <c r="F293" s="2"/>
      <c r="G293" s="4" t="s">
        <v>1770</v>
      </c>
      <c r="H293" s="150">
        <v>8.5</v>
      </c>
      <c r="I293" s="2"/>
      <c r="J293" s="4" t="s">
        <v>1749</v>
      </c>
      <c r="K293" s="150">
        <v>7</v>
      </c>
      <c r="L293" s="2"/>
      <c r="M293" s="4" t="s">
        <v>1737</v>
      </c>
      <c r="N293" s="150">
        <v>8</v>
      </c>
      <c r="O293" s="17"/>
      <c r="R293" s="265">
        <v>2</v>
      </c>
      <c r="S293" s="260" t="s">
        <v>334</v>
      </c>
      <c r="T293" s="260" t="s">
        <v>2771</v>
      </c>
      <c r="U293" s="261">
        <v>8.92</v>
      </c>
      <c r="V293" s="293">
        <v>8.93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1715</v>
      </c>
      <c r="B294" s="150">
        <v>8</v>
      </c>
      <c r="C294" s="2"/>
      <c r="D294" s="4" t="s">
        <v>1759</v>
      </c>
      <c r="E294" s="150">
        <v>8</v>
      </c>
      <c r="F294" s="2"/>
      <c r="G294" s="7" t="s">
        <v>1771</v>
      </c>
      <c r="H294" s="151">
        <v>10</v>
      </c>
      <c r="I294" s="2"/>
      <c r="J294" s="7" t="s">
        <v>1750</v>
      </c>
      <c r="K294" s="151">
        <v>9</v>
      </c>
      <c r="L294" s="2"/>
      <c r="M294" s="4" t="s">
        <v>1738</v>
      </c>
      <c r="N294" s="150">
        <v>8.5</v>
      </c>
      <c r="O294" s="17"/>
      <c r="R294" s="266">
        <v>3</v>
      </c>
      <c r="S294" s="257" t="s">
        <v>480</v>
      </c>
      <c r="T294" s="257" t="s">
        <v>2772</v>
      </c>
      <c r="U294" s="258">
        <v>8.9700000000000006</v>
      </c>
      <c r="V294" s="287">
        <v>9.0299999999999994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1716</v>
      </c>
      <c r="B295" s="150">
        <v>8</v>
      </c>
      <c r="C295" s="2"/>
      <c r="D295" s="4" t="s">
        <v>1760</v>
      </c>
      <c r="E295" s="150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1">
        <v>10</v>
      </c>
      <c r="O295" s="17"/>
      <c r="R295" s="267">
        <v>4</v>
      </c>
      <c r="S295" s="260" t="s">
        <v>1520</v>
      </c>
      <c r="T295" s="260" t="s">
        <v>1521</v>
      </c>
      <c r="U295" s="261">
        <v>8.82</v>
      </c>
      <c r="V295" s="301">
        <v>8.84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1717</v>
      </c>
      <c r="B296" s="150">
        <v>9</v>
      </c>
      <c r="C296" s="2"/>
      <c r="D296" s="4" t="s">
        <v>1761</v>
      </c>
      <c r="E296" s="150">
        <v>8.5</v>
      </c>
      <c r="F296" s="2"/>
      <c r="G296" s="145" t="s">
        <v>1783</v>
      </c>
      <c r="H296" s="12">
        <f>ROUND(SUM(H297:H307)/COUNT(H297:H307), 2)</f>
        <v>3.68</v>
      </c>
      <c r="I296" s="2"/>
      <c r="J296" s="162" t="s">
        <v>1797</v>
      </c>
      <c r="K296" s="12">
        <f>ROUND(SUM(K297:K302)/COUNT(K297:K302), 2)</f>
        <v>8.92</v>
      </c>
      <c r="L296" s="2"/>
      <c r="M296" s="2"/>
      <c r="N296" s="2"/>
      <c r="O296" s="17"/>
      <c r="R296" s="267">
        <v>5</v>
      </c>
      <c r="S296" s="257" t="s">
        <v>1278</v>
      </c>
      <c r="T296" s="257" t="s">
        <v>1279</v>
      </c>
      <c r="U296" s="258">
        <v>8.67</v>
      </c>
      <c r="V296" s="304">
        <v>8.7899999999999991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1718</v>
      </c>
      <c r="B297" s="150">
        <v>8</v>
      </c>
      <c r="C297" s="2"/>
      <c r="D297" s="7" t="s">
        <v>1762</v>
      </c>
      <c r="E297" s="151">
        <v>8</v>
      </c>
      <c r="F297" s="2"/>
      <c r="G297" s="11" t="s">
        <v>1784</v>
      </c>
      <c r="H297" s="149">
        <v>6.5</v>
      </c>
      <c r="I297" s="2"/>
      <c r="J297" s="11" t="s">
        <v>1798</v>
      </c>
      <c r="K297" s="149">
        <v>9</v>
      </c>
      <c r="L297" s="2"/>
      <c r="M297" s="163" t="s">
        <v>1812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1">
        <v>1979</v>
      </c>
      <c r="B298" s="150">
        <v>10.5</v>
      </c>
      <c r="C298" s="2"/>
      <c r="D298" s="2"/>
      <c r="E298" s="2"/>
      <c r="F298" s="2"/>
      <c r="G298" s="4" t="s">
        <v>1785</v>
      </c>
      <c r="H298" s="150">
        <v>5</v>
      </c>
      <c r="I298" s="2"/>
      <c r="J298" s="4" t="s">
        <v>1799</v>
      </c>
      <c r="K298" s="150">
        <v>8.5</v>
      </c>
      <c r="L298" s="2"/>
      <c r="M298" s="11" t="s">
        <v>1805</v>
      </c>
      <c r="N298" s="149">
        <v>8</v>
      </c>
      <c r="O298" s="17"/>
      <c r="R298" s="391" t="s">
        <v>2791</v>
      </c>
      <c r="S298" s="391"/>
      <c r="T298" s="391"/>
      <c r="U298" s="391"/>
      <c r="V298" s="391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1719</v>
      </c>
      <c r="B299" s="150">
        <v>7</v>
      </c>
      <c r="C299" s="2"/>
      <c r="D299" s="164" t="s">
        <v>1815</v>
      </c>
      <c r="E299" s="12">
        <f>ROUND(SUM(E300:E309)/COUNT(E300:E309), 2)</f>
        <v>8.2899999999999991</v>
      </c>
      <c r="F299" s="2"/>
      <c r="G299" s="4" t="s">
        <v>1786</v>
      </c>
      <c r="H299" s="150">
        <v>5.5</v>
      </c>
      <c r="I299" s="2"/>
      <c r="J299" s="4" t="s">
        <v>1800</v>
      </c>
      <c r="K299" s="150">
        <v>9</v>
      </c>
      <c r="L299" s="2"/>
      <c r="M299" s="4" t="s">
        <v>1806</v>
      </c>
      <c r="N299" s="150">
        <v>7.5</v>
      </c>
      <c r="O299" s="17"/>
      <c r="R299" s="256" t="s">
        <v>352</v>
      </c>
      <c r="S299" s="256" t="s">
        <v>319</v>
      </c>
      <c r="T299" s="256" t="s">
        <v>320</v>
      </c>
      <c r="U299" s="256" t="s">
        <v>321</v>
      </c>
      <c r="V299" s="256" t="s">
        <v>1002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1720</v>
      </c>
      <c r="B300" s="150">
        <v>8.5</v>
      </c>
      <c r="C300" s="2"/>
      <c r="D300" s="11" t="s">
        <v>1816</v>
      </c>
      <c r="E300" s="149"/>
      <c r="F300" s="2"/>
      <c r="G300" s="4" t="s">
        <v>1787</v>
      </c>
      <c r="H300" s="150">
        <v>4</v>
      </c>
      <c r="I300" s="2"/>
      <c r="J300" s="4" t="s">
        <v>1801</v>
      </c>
      <c r="K300" s="150">
        <v>8.5</v>
      </c>
      <c r="L300" s="2"/>
      <c r="M300" s="4" t="s">
        <v>1807</v>
      </c>
      <c r="N300" s="150">
        <v>9</v>
      </c>
      <c r="O300" s="17"/>
      <c r="R300" s="263">
        <v>1</v>
      </c>
      <c r="S300" s="257" t="s">
        <v>332</v>
      </c>
      <c r="T300" s="257" t="s">
        <v>2773</v>
      </c>
      <c r="U300" s="258">
        <v>9.48</v>
      </c>
      <c r="V300" s="373">
        <v>9.73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1721</v>
      </c>
      <c r="B301" s="150">
        <v>8.5</v>
      </c>
      <c r="C301" s="2"/>
      <c r="D301" s="4" t="s">
        <v>1817</v>
      </c>
      <c r="E301" s="150">
        <v>8.5</v>
      </c>
      <c r="F301" s="2"/>
      <c r="G301" s="4" t="s">
        <v>1788</v>
      </c>
      <c r="H301" s="150">
        <v>3</v>
      </c>
      <c r="I301" s="2"/>
      <c r="J301" s="4" t="s">
        <v>1802</v>
      </c>
      <c r="K301" s="150">
        <v>8</v>
      </c>
      <c r="L301" s="2"/>
      <c r="M301" s="4" t="s">
        <v>1808</v>
      </c>
      <c r="N301" s="150">
        <v>8</v>
      </c>
      <c r="O301" s="17"/>
      <c r="R301" s="265">
        <v>2</v>
      </c>
      <c r="S301" s="260" t="s">
        <v>2465</v>
      </c>
      <c r="T301" s="260" t="s">
        <v>2449</v>
      </c>
      <c r="U301" s="261">
        <v>9.67</v>
      </c>
      <c r="V301" s="270">
        <v>9.91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1722</v>
      </c>
      <c r="B302" s="150">
        <v>7.5</v>
      </c>
      <c r="C302" s="2"/>
      <c r="D302" s="4" t="s">
        <v>1818</v>
      </c>
      <c r="E302" s="150">
        <v>9</v>
      </c>
      <c r="F302" s="2"/>
      <c r="G302" s="4" t="s">
        <v>1789</v>
      </c>
      <c r="H302" s="150">
        <v>3</v>
      </c>
      <c r="I302" s="2"/>
      <c r="J302" s="7" t="s">
        <v>1803</v>
      </c>
      <c r="K302" s="151">
        <v>10.5</v>
      </c>
      <c r="L302" s="2"/>
      <c r="M302" s="4" t="s">
        <v>1809</v>
      </c>
      <c r="N302" s="150">
        <v>8.5</v>
      </c>
      <c r="O302" s="17"/>
      <c r="R302" s="266">
        <v>3</v>
      </c>
      <c r="S302" s="257" t="s">
        <v>331</v>
      </c>
      <c r="T302" s="257" t="s">
        <v>2774</v>
      </c>
      <c r="U302" s="258">
        <v>9.35</v>
      </c>
      <c r="V302" s="374">
        <v>9.41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1723</v>
      </c>
      <c r="B303" s="150">
        <v>8.5</v>
      </c>
      <c r="C303" s="2"/>
      <c r="D303" s="4" t="s">
        <v>1819</v>
      </c>
      <c r="E303" s="150"/>
      <c r="F303" s="2"/>
      <c r="G303" s="4" t="s">
        <v>1790</v>
      </c>
      <c r="H303" s="150">
        <v>3</v>
      </c>
      <c r="I303" s="2"/>
      <c r="J303" s="2"/>
      <c r="K303" s="2"/>
      <c r="L303" s="2"/>
      <c r="M303" s="4" t="s">
        <v>1810</v>
      </c>
      <c r="N303" s="150">
        <v>8</v>
      </c>
      <c r="O303" s="17"/>
      <c r="R303" s="267">
        <v>4</v>
      </c>
      <c r="S303" s="260" t="s">
        <v>444</v>
      </c>
      <c r="T303" s="260" t="s">
        <v>36</v>
      </c>
      <c r="U303" s="261">
        <v>9.15</v>
      </c>
      <c r="V303" s="280">
        <v>9.23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1724</v>
      </c>
      <c r="B304" s="150">
        <v>9</v>
      </c>
      <c r="C304" s="2"/>
      <c r="D304" s="4" t="s">
        <v>1820</v>
      </c>
      <c r="E304" s="150">
        <v>7.5</v>
      </c>
      <c r="F304" s="2"/>
      <c r="G304" s="4" t="s">
        <v>1791</v>
      </c>
      <c r="H304" s="150">
        <v>3.5</v>
      </c>
      <c r="I304" s="2"/>
      <c r="J304" s="165" t="s">
        <v>1839</v>
      </c>
      <c r="K304" s="12">
        <f>ROUND(SUM(K305:K316)/COUNT(K305:K316), 2)</f>
        <v>8.9600000000000009</v>
      </c>
      <c r="L304" s="2"/>
      <c r="M304" s="7" t="s">
        <v>1811</v>
      </c>
      <c r="N304" s="151">
        <v>9</v>
      </c>
      <c r="O304" s="17"/>
      <c r="R304" s="267">
        <v>5</v>
      </c>
      <c r="S304" s="257" t="s">
        <v>480</v>
      </c>
      <c r="T304" s="257" t="s">
        <v>2775</v>
      </c>
      <c r="U304" s="258">
        <v>9.06</v>
      </c>
      <c r="V304" s="283">
        <v>9.14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1725</v>
      </c>
      <c r="B305" s="150">
        <v>8.5</v>
      </c>
      <c r="C305" s="2"/>
      <c r="D305" s="4" t="s">
        <v>1821</v>
      </c>
      <c r="E305" s="150">
        <v>8.5</v>
      </c>
      <c r="F305" s="2"/>
      <c r="G305" s="4" t="s">
        <v>1792</v>
      </c>
      <c r="H305" s="150">
        <v>3</v>
      </c>
      <c r="I305" s="2"/>
      <c r="J305" s="11" t="s">
        <v>1827</v>
      </c>
      <c r="K305" s="149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1726</v>
      </c>
      <c r="B306" s="150">
        <v>9</v>
      </c>
      <c r="C306" s="2"/>
      <c r="D306" s="4" t="s">
        <v>1822</v>
      </c>
      <c r="E306" s="150">
        <v>8</v>
      </c>
      <c r="F306" s="2"/>
      <c r="G306" s="4" t="s">
        <v>1793</v>
      </c>
      <c r="H306" s="150">
        <v>2</v>
      </c>
      <c r="I306" s="2"/>
      <c r="J306" s="4" t="s">
        <v>1828</v>
      </c>
      <c r="K306" s="150">
        <v>10</v>
      </c>
      <c r="L306" s="2"/>
      <c r="M306" s="166" t="s">
        <v>1844</v>
      </c>
      <c r="N306" s="12">
        <f>ROUND(SUM(N307:N316)/COUNT(N307:N316), 2)</f>
        <v>8.6</v>
      </c>
      <c r="O306" s="17"/>
      <c r="R306" s="391" t="s">
        <v>3020</v>
      </c>
      <c r="S306" s="391"/>
      <c r="T306" s="391"/>
      <c r="U306" s="391"/>
      <c r="V306" s="391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1727</v>
      </c>
      <c r="B307" s="151">
        <v>8.5</v>
      </c>
      <c r="C307" s="2"/>
      <c r="D307" s="4" t="s">
        <v>1823</v>
      </c>
      <c r="E307" s="150">
        <v>8</v>
      </c>
      <c r="F307" s="2"/>
      <c r="G307" s="7" t="s">
        <v>1794</v>
      </c>
      <c r="H307" s="151">
        <v>2</v>
      </c>
      <c r="I307" s="2"/>
      <c r="J307" s="4" t="s">
        <v>1829</v>
      </c>
      <c r="K307" s="150">
        <v>9</v>
      </c>
      <c r="L307" s="2"/>
      <c r="M307" s="11" t="s">
        <v>1845</v>
      </c>
      <c r="N307" s="149">
        <v>8</v>
      </c>
      <c r="O307" s="17"/>
      <c r="R307" s="256" t="s">
        <v>352</v>
      </c>
      <c r="S307" s="256" t="s">
        <v>319</v>
      </c>
      <c r="T307" s="256" t="s">
        <v>320</v>
      </c>
      <c r="U307" s="256" t="s">
        <v>321</v>
      </c>
      <c r="V307" s="256" t="s">
        <v>1002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1824</v>
      </c>
      <c r="E308" s="151">
        <v>8.5</v>
      </c>
      <c r="F308" s="2"/>
      <c r="G308" s="2"/>
      <c r="H308" s="2"/>
      <c r="I308" s="2"/>
      <c r="J308" s="4" t="s">
        <v>1830</v>
      </c>
      <c r="K308" s="150">
        <v>9</v>
      </c>
      <c r="L308" s="2"/>
      <c r="M308" s="4" t="s">
        <v>1846</v>
      </c>
      <c r="N308" s="150">
        <v>9</v>
      </c>
      <c r="O308" s="17"/>
      <c r="R308" s="263">
        <v>1</v>
      </c>
      <c r="S308" s="257" t="s">
        <v>332</v>
      </c>
      <c r="T308" s="257" t="s">
        <v>3021</v>
      </c>
      <c r="U308" s="258">
        <v>9.4</v>
      </c>
      <c r="V308" s="375">
        <v>9.68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7" t="s">
        <v>1860</v>
      </c>
      <c r="B309" s="12">
        <f>ROUND(SUM(B310:B320)/COUNT(B310:B320), 2)</f>
        <v>8.18</v>
      </c>
      <c r="C309" s="2"/>
      <c r="D309" s="2"/>
      <c r="E309" s="2"/>
      <c r="F309" s="2"/>
      <c r="G309" s="168" t="s">
        <v>1890</v>
      </c>
      <c r="H309" s="12">
        <f>ROUND(SUM(H310:H327)/COUNT(H310:H327), 2)</f>
        <v>7.31</v>
      </c>
      <c r="I309" s="2"/>
      <c r="J309" s="4" t="s">
        <v>1831</v>
      </c>
      <c r="K309" s="150">
        <v>9</v>
      </c>
      <c r="L309" s="2"/>
      <c r="M309" s="4" t="s">
        <v>1847</v>
      </c>
      <c r="N309" s="150">
        <v>9</v>
      </c>
      <c r="O309" s="17"/>
      <c r="R309" s="265">
        <v>2</v>
      </c>
      <c r="S309" s="260" t="s">
        <v>327</v>
      </c>
      <c r="T309" s="260" t="s">
        <v>2776</v>
      </c>
      <c r="U309" s="261">
        <v>9.51</v>
      </c>
      <c r="V309" s="376">
        <v>9.94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1861</v>
      </c>
      <c r="B310" s="149">
        <v>7.5</v>
      </c>
      <c r="C310" s="2"/>
      <c r="D310" s="169" t="s">
        <v>1983</v>
      </c>
      <c r="E310" s="12">
        <f>ROUND(SUM(E311:E318)/COUNT(E311:E318), 2)</f>
        <v>8.5</v>
      </c>
      <c r="F310" s="2"/>
      <c r="G310" s="11" t="s">
        <v>1872</v>
      </c>
      <c r="H310" s="149">
        <v>8.5</v>
      </c>
      <c r="I310" s="2"/>
      <c r="J310" s="4" t="s">
        <v>1832</v>
      </c>
      <c r="K310" s="150">
        <v>10</v>
      </c>
      <c r="L310" s="2"/>
      <c r="M310" s="4" t="s">
        <v>1848</v>
      </c>
      <c r="N310" s="150">
        <v>10</v>
      </c>
      <c r="O310" s="17"/>
      <c r="R310" s="266">
        <v>3</v>
      </c>
      <c r="S310" s="257" t="s">
        <v>331</v>
      </c>
      <c r="T310" s="257" t="s">
        <v>2774</v>
      </c>
      <c r="U310" s="258">
        <v>9.35</v>
      </c>
      <c r="V310" s="374">
        <v>9.41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1862</v>
      </c>
      <c r="B311" s="150">
        <v>8.5</v>
      </c>
      <c r="C311" s="2"/>
      <c r="D311" s="11" t="s">
        <v>1984</v>
      </c>
      <c r="E311" s="149">
        <v>8.5</v>
      </c>
      <c r="F311" s="2"/>
      <c r="G311" s="4" t="s">
        <v>1873</v>
      </c>
      <c r="H311" s="150">
        <v>7.5</v>
      </c>
      <c r="I311" s="2"/>
      <c r="J311" s="4" t="s">
        <v>1833</v>
      </c>
      <c r="K311" s="150">
        <v>8</v>
      </c>
      <c r="L311" s="2"/>
      <c r="M311" s="4" t="s">
        <v>1849</v>
      </c>
      <c r="N311" s="150">
        <v>8.5</v>
      </c>
      <c r="O311" s="17"/>
      <c r="R311" s="267">
        <v>4</v>
      </c>
      <c r="S311" s="260" t="s">
        <v>444</v>
      </c>
      <c r="T311" s="260" t="s">
        <v>36</v>
      </c>
      <c r="U311" s="261">
        <v>9.15</v>
      </c>
      <c r="V311" s="280">
        <v>9.23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1142</v>
      </c>
      <c r="B312" s="150">
        <v>8</v>
      </c>
      <c r="C312" s="2"/>
      <c r="D312" s="4" t="s">
        <v>1985</v>
      </c>
      <c r="E312" s="150">
        <v>8.5</v>
      </c>
      <c r="F312" s="2"/>
      <c r="G312" s="4" t="s">
        <v>1874</v>
      </c>
      <c r="H312" s="150">
        <v>8.5</v>
      </c>
      <c r="I312" s="2"/>
      <c r="J312" s="4" t="s">
        <v>1834</v>
      </c>
      <c r="K312" s="150">
        <v>8.5</v>
      </c>
      <c r="L312" s="2"/>
      <c r="M312" s="4" t="s">
        <v>1850</v>
      </c>
      <c r="N312" s="150">
        <v>8.5</v>
      </c>
      <c r="O312" s="17"/>
      <c r="R312" s="267">
        <v>5</v>
      </c>
      <c r="S312" s="257" t="s">
        <v>1332</v>
      </c>
      <c r="T312" s="257" t="s">
        <v>1323</v>
      </c>
      <c r="U312" s="258">
        <v>9</v>
      </c>
      <c r="V312" s="291">
        <v>8.9600000000000009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1863</v>
      </c>
      <c r="B313" s="150">
        <v>8</v>
      </c>
      <c r="C313" s="2"/>
      <c r="D313" s="4" t="s">
        <v>1986</v>
      </c>
      <c r="E313" s="150">
        <v>9</v>
      </c>
      <c r="F313" s="2"/>
      <c r="G313" s="4" t="s">
        <v>1875</v>
      </c>
      <c r="H313" s="150">
        <v>8.5</v>
      </c>
      <c r="I313" s="2"/>
      <c r="J313" s="4" t="s">
        <v>1835</v>
      </c>
      <c r="K313" s="150">
        <v>8.5</v>
      </c>
      <c r="L313" s="2"/>
      <c r="M313" s="4" t="s">
        <v>1851</v>
      </c>
      <c r="N313" s="150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1864</v>
      </c>
      <c r="B314" s="150">
        <v>9.5</v>
      </c>
      <c r="C314" s="2"/>
      <c r="D314" s="4" t="s">
        <v>1987</v>
      </c>
      <c r="E314" s="150">
        <v>9</v>
      </c>
      <c r="F314" s="2"/>
      <c r="G314" s="4" t="s">
        <v>1876</v>
      </c>
      <c r="H314" s="150">
        <v>7.5</v>
      </c>
      <c r="I314" s="2"/>
      <c r="J314" s="4" t="s">
        <v>1836</v>
      </c>
      <c r="K314" s="150">
        <v>9</v>
      </c>
      <c r="L314" s="2"/>
      <c r="M314" s="4" t="s">
        <v>1852</v>
      </c>
      <c r="N314" s="150">
        <v>8.5</v>
      </c>
      <c r="O314" s="17"/>
      <c r="R314" s="391" t="s">
        <v>3085</v>
      </c>
      <c r="S314" s="391"/>
      <c r="T314" s="391"/>
      <c r="U314" s="391"/>
      <c r="V314" s="391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1865</v>
      </c>
      <c r="B315" s="150">
        <v>7</v>
      </c>
      <c r="C315" s="2"/>
      <c r="D315" s="4" t="s">
        <v>1988</v>
      </c>
      <c r="E315" s="150">
        <v>8</v>
      </c>
      <c r="F315" s="2"/>
      <c r="G315" s="4" t="s">
        <v>1877</v>
      </c>
      <c r="H315" s="150">
        <v>7</v>
      </c>
      <c r="I315" s="2"/>
      <c r="J315" s="4" t="s">
        <v>1837</v>
      </c>
      <c r="K315" s="150">
        <v>9.5</v>
      </c>
      <c r="L315" s="2"/>
      <c r="M315" s="4" t="s">
        <v>1853</v>
      </c>
      <c r="N315" s="150">
        <v>7.5</v>
      </c>
      <c r="O315" s="17"/>
      <c r="R315" s="256" t="s">
        <v>352</v>
      </c>
      <c r="S315" s="256" t="s">
        <v>319</v>
      </c>
      <c r="T315" s="256" t="s">
        <v>320</v>
      </c>
      <c r="U315" s="256" t="s">
        <v>321</v>
      </c>
      <c r="V315" s="256" t="s">
        <v>1002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1866</v>
      </c>
      <c r="B316" s="150">
        <v>10</v>
      </c>
      <c r="C316" s="2"/>
      <c r="D316" s="4" t="s">
        <v>1989</v>
      </c>
      <c r="E316" s="150">
        <v>8</v>
      </c>
      <c r="F316" s="2"/>
      <c r="G316" s="4" t="s">
        <v>1878</v>
      </c>
      <c r="H316" s="150">
        <v>7</v>
      </c>
      <c r="I316" s="2"/>
      <c r="J316" s="7" t="s">
        <v>1838</v>
      </c>
      <c r="K316" s="151">
        <v>8.5</v>
      </c>
      <c r="L316" s="2"/>
      <c r="M316" s="7" t="s">
        <v>1854</v>
      </c>
      <c r="N316" s="151">
        <v>9</v>
      </c>
      <c r="O316" s="17"/>
      <c r="R316" s="263">
        <v>1</v>
      </c>
      <c r="S316" s="257" t="s">
        <v>327</v>
      </c>
      <c r="T316" s="257" t="s">
        <v>2777</v>
      </c>
      <c r="U316" s="258">
        <v>9.3000000000000007</v>
      </c>
      <c r="V316" s="369">
        <v>9.58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1867</v>
      </c>
      <c r="B317" s="150">
        <v>8.5</v>
      </c>
      <c r="C317" s="2"/>
      <c r="D317" s="4" t="s">
        <v>1990</v>
      </c>
      <c r="E317" s="150">
        <v>8.5</v>
      </c>
      <c r="F317" s="2"/>
      <c r="G317" s="4" t="s">
        <v>1879</v>
      </c>
      <c r="H317" s="150">
        <v>7.5</v>
      </c>
      <c r="I317" s="2"/>
      <c r="J317" s="2"/>
      <c r="K317" s="2"/>
      <c r="L317" s="2"/>
      <c r="M317" s="2"/>
      <c r="N317" s="2"/>
      <c r="O317" s="17"/>
      <c r="R317" s="265">
        <v>2</v>
      </c>
      <c r="S317" s="260" t="s">
        <v>717</v>
      </c>
      <c r="T317" s="260" t="s">
        <v>1426</v>
      </c>
      <c r="U317" s="261">
        <v>8.8800000000000008</v>
      </c>
      <c r="V317" s="296">
        <v>8.89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1868</v>
      </c>
      <c r="B318" s="150">
        <v>7.5</v>
      </c>
      <c r="C318" s="2"/>
      <c r="D318" s="7" t="s">
        <v>1991</v>
      </c>
      <c r="E318" s="151">
        <v>8.5</v>
      </c>
      <c r="F318" s="2"/>
      <c r="G318" s="4" t="s">
        <v>1880</v>
      </c>
      <c r="H318" s="150">
        <v>7</v>
      </c>
      <c r="I318" s="2"/>
      <c r="J318" s="171" t="s">
        <v>2005</v>
      </c>
      <c r="K318" s="12">
        <f>ROUND(SUM(K319:K326)/COUNT(K319:K326), 2)</f>
        <v>8.43</v>
      </c>
      <c r="L318" s="2"/>
      <c r="M318" s="172" t="s">
        <v>2017</v>
      </c>
      <c r="N318" s="12">
        <f>ROUND(SUM(N319:N326)/COUNT(N319:N326), 2)</f>
        <v>9.31</v>
      </c>
      <c r="O318" s="17"/>
      <c r="R318" s="266">
        <v>3</v>
      </c>
      <c r="S318" s="257" t="s">
        <v>2560</v>
      </c>
      <c r="T318" s="257" t="s">
        <v>2561</v>
      </c>
      <c r="U318" s="258">
        <v>8.86</v>
      </c>
      <c r="V318" s="297">
        <v>8.8800000000000008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1869</v>
      </c>
      <c r="B319" s="150">
        <v>7.5</v>
      </c>
      <c r="C319" s="2"/>
      <c r="D319" s="2"/>
      <c r="E319" s="2"/>
      <c r="F319" s="2"/>
      <c r="G319" s="4" t="s">
        <v>1881</v>
      </c>
      <c r="H319" s="150">
        <v>7</v>
      </c>
      <c r="I319" s="2"/>
      <c r="J319" s="11" t="s">
        <v>2006</v>
      </c>
      <c r="K319" s="149"/>
      <c r="L319" s="2"/>
      <c r="M319" s="11" t="s">
        <v>2018</v>
      </c>
      <c r="N319" s="149">
        <v>10</v>
      </c>
      <c r="O319" s="17"/>
      <c r="R319" s="267">
        <v>4</v>
      </c>
      <c r="S319" s="260" t="s">
        <v>2407</v>
      </c>
      <c r="T319" s="260" t="s">
        <v>2397</v>
      </c>
      <c r="U319" s="261">
        <v>8.86</v>
      </c>
      <c r="V319" s="309">
        <v>8.74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1870</v>
      </c>
      <c r="B320" s="151">
        <v>8</v>
      </c>
      <c r="C320" s="2"/>
      <c r="D320" s="170" t="s">
        <v>1993</v>
      </c>
      <c r="E320" s="12">
        <f>ROUND(SUM(E321:E326)/COUNT(E321:E326), 2)</f>
        <v>8.67</v>
      </c>
      <c r="F320" s="2"/>
      <c r="G320" s="4" t="s">
        <v>1882</v>
      </c>
      <c r="H320" s="150">
        <v>7.5</v>
      </c>
      <c r="I320" s="2"/>
      <c r="J320" s="4" t="s">
        <v>2007</v>
      </c>
      <c r="K320" s="150">
        <v>8.5</v>
      </c>
      <c r="L320" s="2"/>
      <c r="M320" s="4" t="s">
        <v>2019</v>
      </c>
      <c r="N320" s="150">
        <v>10.5</v>
      </c>
      <c r="O320" s="17"/>
      <c r="R320" s="267">
        <v>5</v>
      </c>
      <c r="S320" s="257" t="s">
        <v>1333</v>
      </c>
      <c r="T320" s="257" t="s">
        <v>1334</v>
      </c>
      <c r="U320" s="258">
        <v>8.77</v>
      </c>
      <c r="V320" s="316">
        <v>8.65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1994</v>
      </c>
      <c r="E321" s="149">
        <v>8.5</v>
      </c>
      <c r="F321" s="2"/>
      <c r="G321" s="4" t="s">
        <v>1883</v>
      </c>
      <c r="H321" s="150">
        <v>6</v>
      </c>
      <c r="I321" s="2"/>
      <c r="J321" s="4" t="s">
        <v>2008</v>
      </c>
      <c r="K321" s="150">
        <v>9</v>
      </c>
      <c r="L321" s="2"/>
      <c r="M321" s="4" t="s">
        <v>2020</v>
      </c>
      <c r="N321" s="150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3" t="s">
        <v>2029</v>
      </c>
      <c r="B322" s="12">
        <f>ROUND(SUM(B323:B341)/COUNT(B323:B341), 2)</f>
        <v>8.3800000000000008</v>
      </c>
      <c r="C322" s="2"/>
      <c r="D322" s="4" t="s">
        <v>1995</v>
      </c>
      <c r="E322" s="150">
        <v>9</v>
      </c>
      <c r="F322" s="2"/>
      <c r="G322" s="4" t="s">
        <v>1884</v>
      </c>
      <c r="H322" s="150">
        <v>7</v>
      </c>
      <c r="I322" s="2"/>
      <c r="J322" s="4" t="s">
        <v>2009</v>
      </c>
      <c r="K322" s="150">
        <v>8.5</v>
      </c>
      <c r="L322" s="2"/>
      <c r="M322" s="4" t="s">
        <v>2021</v>
      </c>
      <c r="N322" s="150">
        <v>10</v>
      </c>
      <c r="O322" s="17"/>
      <c r="R322" s="391" t="s">
        <v>3262</v>
      </c>
      <c r="S322" s="391"/>
      <c r="T322" s="391"/>
      <c r="U322" s="391"/>
      <c r="V322" s="391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1412</v>
      </c>
      <c r="B323" s="149"/>
      <c r="C323" s="2"/>
      <c r="D323" s="4" t="s">
        <v>1996</v>
      </c>
      <c r="E323" s="150">
        <v>8.5</v>
      </c>
      <c r="F323" s="2"/>
      <c r="G323" s="4" t="s">
        <v>1885</v>
      </c>
      <c r="H323" s="150">
        <v>8</v>
      </c>
      <c r="I323" s="2"/>
      <c r="J323" s="4" t="s">
        <v>2010</v>
      </c>
      <c r="K323" s="150">
        <v>8.5</v>
      </c>
      <c r="L323" s="2"/>
      <c r="M323" s="4" t="s">
        <v>2022</v>
      </c>
      <c r="N323" s="150">
        <v>9</v>
      </c>
      <c r="O323" s="17"/>
      <c r="R323" s="256" t="s">
        <v>352</v>
      </c>
      <c r="S323" s="256" t="s">
        <v>319</v>
      </c>
      <c r="T323" s="256" t="s">
        <v>320</v>
      </c>
      <c r="U323" s="256" t="s">
        <v>321</v>
      </c>
      <c r="V323" s="256" t="s">
        <v>1002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2030</v>
      </c>
      <c r="B324" s="150">
        <v>8</v>
      </c>
      <c r="C324" s="2"/>
      <c r="D324" s="4" t="s">
        <v>1997</v>
      </c>
      <c r="E324" s="150">
        <v>7.5</v>
      </c>
      <c r="F324" s="2"/>
      <c r="G324" s="4" t="s">
        <v>1886</v>
      </c>
      <c r="H324" s="150">
        <v>7.5</v>
      </c>
      <c r="I324" s="2"/>
      <c r="J324" s="4" t="s">
        <v>2011</v>
      </c>
      <c r="K324" s="150">
        <v>7.5</v>
      </c>
      <c r="L324" s="2"/>
      <c r="M324" s="4" t="s">
        <v>2023</v>
      </c>
      <c r="N324" s="150">
        <v>8.5</v>
      </c>
      <c r="O324" s="17"/>
      <c r="R324" s="263">
        <v>1</v>
      </c>
      <c r="S324" s="257" t="s">
        <v>326</v>
      </c>
      <c r="T324" s="257" t="s">
        <v>3263</v>
      </c>
      <c r="U324" s="258">
        <v>9.14</v>
      </c>
      <c r="V324" s="397">
        <v>9.42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2031</v>
      </c>
      <c r="B325" s="150">
        <v>8</v>
      </c>
      <c r="C325" s="2"/>
      <c r="D325" s="4" t="s">
        <v>1998</v>
      </c>
      <c r="E325" s="150">
        <v>9</v>
      </c>
      <c r="F325" s="2"/>
      <c r="G325" s="4" t="s">
        <v>1887</v>
      </c>
      <c r="H325" s="150">
        <v>7</v>
      </c>
      <c r="I325" s="2"/>
      <c r="J325" s="4" t="s">
        <v>2012</v>
      </c>
      <c r="K325" s="150">
        <v>8</v>
      </c>
      <c r="L325" s="2"/>
      <c r="M325" s="4" t="s">
        <v>2024</v>
      </c>
      <c r="N325" s="150">
        <v>8.5</v>
      </c>
      <c r="O325" s="17"/>
      <c r="R325" s="265">
        <v>2</v>
      </c>
      <c r="S325" s="260" t="s">
        <v>2847</v>
      </c>
      <c r="T325" s="260" t="s">
        <v>2843</v>
      </c>
      <c r="U325" s="261">
        <v>8.83</v>
      </c>
      <c r="V325" s="289">
        <v>9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2032</v>
      </c>
      <c r="B326" s="150">
        <v>8.5</v>
      </c>
      <c r="C326" s="2"/>
      <c r="D326" s="7" t="s">
        <v>1999</v>
      </c>
      <c r="E326" s="151">
        <v>9.5</v>
      </c>
      <c r="F326" s="2"/>
      <c r="G326" s="4" t="s">
        <v>1888</v>
      </c>
      <c r="H326" s="150">
        <v>6</v>
      </c>
      <c r="I326" s="2"/>
      <c r="J326" s="7" t="s">
        <v>2013</v>
      </c>
      <c r="K326" s="151">
        <v>9</v>
      </c>
      <c r="L326" s="2"/>
      <c r="M326" s="7" t="s">
        <v>2025</v>
      </c>
      <c r="N326" s="151">
        <v>8.5</v>
      </c>
      <c r="O326" s="17"/>
      <c r="R326" s="266">
        <v>3</v>
      </c>
      <c r="S326" s="257" t="s">
        <v>3099</v>
      </c>
      <c r="T326" s="257" t="s">
        <v>3100</v>
      </c>
      <c r="U326" s="258">
        <v>8.9600000000000009</v>
      </c>
      <c r="V326" s="294">
        <v>8.92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2033</v>
      </c>
      <c r="B327" s="150">
        <v>8</v>
      </c>
      <c r="C327" s="2"/>
      <c r="D327" s="2"/>
      <c r="E327" s="2"/>
      <c r="F327" s="2"/>
      <c r="G327" s="7" t="s">
        <v>1889</v>
      </c>
      <c r="H327" s="151">
        <v>6.5</v>
      </c>
      <c r="I327" s="2"/>
      <c r="J327" s="2"/>
      <c r="K327" s="2"/>
      <c r="L327" s="2"/>
      <c r="M327" s="2"/>
      <c r="N327" s="2"/>
      <c r="O327" s="17"/>
      <c r="R327" s="267">
        <v>4</v>
      </c>
      <c r="S327" s="260" t="s">
        <v>3080</v>
      </c>
      <c r="T327" s="260" t="s">
        <v>3081</v>
      </c>
      <c r="U327" s="261">
        <v>8.41</v>
      </c>
      <c r="V327" s="343">
        <v>8.24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2034</v>
      </c>
      <c r="B328" s="150">
        <v>9</v>
      </c>
      <c r="C328" s="2"/>
      <c r="D328" s="175" t="s">
        <v>2052</v>
      </c>
      <c r="E328" s="12">
        <f>ROUND(SUM(E329:E358)/COUNT(E329:E358), 2)</f>
        <v>8.7200000000000006</v>
      </c>
      <c r="F328" s="2"/>
      <c r="G328" s="2"/>
      <c r="H328" s="2"/>
      <c r="I328" s="2"/>
      <c r="J328" s="177" t="s">
        <v>2186</v>
      </c>
      <c r="K328" s="12">
        <f>ROUND(SUM(K329:K338)/COUNT(K329:K338), 2)</f>
        <v>8.6</v>
      </c>
      <c r="L328" s="2"/>
      <c r="M328" s="176" t="s">
        <v>2104</v>
      </c>
      <c r="N328" s="12">
        <f>ROUND(SUM(N329:N336)/COUNT(N329:N336), 2)</f>
        <v>8.81</v>
      </c>
      <c r="O328" s="17"/>
      <c r="R328" s="267">
        <v>5</v>
      </c>
      <c r="S328" s="257" t="s">
        <v>1408</v>
      </c>
      <c r="T328" s="257" t="s">
        <v>1409</v>
      </c>
      <c r="U328" s="258">
        <v>8.0500000000000007</v>
      </c>
      <c r="V328" s="355">
        <v>7.95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2035</v>
      </c>
      <c r="B329" s="150">
        <v>8.5</v>
      </c>
      <c r="C329" s="2"/>
      <c r="D329" s="11" t="s">
        <v>2053</v>
      </c>
      <c r="E329" s="149">
        <v>8.5</v>
      </c>
      <c r="F329" s="2"/>
      <c r="G329" s="178" t="s">
        <v>2185</v>
      </c>
      <c r="H329" s="12">
        <f>ROUND(SUM(H330:H337)/COUNT(H330:H337), 2)</f>
        <v>8.75</v>
      </c>
      <c r="I329" s="2"/>
      <c r="J329" s="11" t="s">
        <v>2086</v>
      </c>
      <c r="K329" s="149">
        <v>10.5</v>
      </c>
      <c r="L329" s="2"/>
      <c r="M329" s="11" t="s">
        <v>111</v>
      </c>
      <c r="N329" s="149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2036</v>
      </c>
      <c r="B330" s="150"/>
      <c r="C330" s="2"/>
      <c r="D330" s="4" t="s">
        <v>2054</v>
      </c>
      <c r="E330" s="150">
        <v>10.5</v>
      </c>
      <c r="F330" s="2"/>
      <c r="G330" s="11" t="s">
        <v>2187</v>
      </c>
      <c r="H330" s="149">
        <v>9.5</v>
      </c>
      <c r="I330" s="2"/>
      <c r="J330" s="4" t="s">
        <v>2087</v>
      </c>
      <c r="K330" s="150">
        <v>8</v>
      </c>
      <c r="L330" s="2"/>
      <c r="M330" s="4" t="s">
        <v>2105</v>
      </c>
      <c r="N330" s="150">
        <v>8.5</v>
      </c>
      <c r="O330" s="17"/>
      <c r="R330" s="391" t="s">
        <v>3208</v>
      </c>
      <c r="S330" s="391"/>
      <c r="T330" s="391"/>
      <c r="U330" s="391"/>
      <c r="V330" s="391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2037</v>
      </c>
      <c r="B331" s="150">
        <v>8.5</v>
      </c>
      <c r="C331" s="2"/>
      <c r="D331" s="4" t="s">
        <v>2055</v>
      </c>
      <c r="E331" s="150">
        <v>9.5</v>
      </c>
      <c r="F331" s="2"/>
      <c r="G331" s="4" t="s">
        <v>2188</v>
      </c>
      <c r="H331" s="150">
        <v>8.5</v>
      </c>
      <c r="I331" s="2"/>
      <c r="J331" s="4" t="s">
        <v>2088</v>
      </c>
      <c r="K331" s="150">
        <v>7.5</v>
      </c>
      <c r="L331" s="2"/>
      <c r="M331" s="4" t="s">
        <v>2106</v>
      </c>
      <c r="N331" s="150">
        <v>9.5</v>
      </c>
      <c r="O331" s="17"/>
      <c r="R331" s="256" t="s">
        <v>352</v>
      </c>
      <c r="S331" s="256" t="s">
        <v>319</v>
      </c>
      <c r="T331" s="256" t="s">
        <v>320</v>
      </c>
      <c r="U331" s="256" t="s">
        <v>321</v>
      </c>
      <c r="V331" s="256" t="s">
        <v>1002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2038</v>
      </c>
      <c r="B332" s="150">
        <v>10</v>
      </c>
      <c r="C332" s="2"/>
      <c r="D332" s="4" t="s">
        <v>2056</v>
      </c>
      <c r="E332" s="150">
        <v>9</v>
      </c>
      <c r="F332" s="2"/>
      <c r="G332" s="4" t="s">
        <v>2189</v>
      </c>
      <c r="H332" s="150">
        <v>8.5</v>
      </c>
      <c r="I332" s="2"/>
      <c r="J332" s="4" t="s">
        <v>2089</v>
      </c>
      <c r="K332" s="150">
        <v>9.5</v>
      </c>
      <c r="L332" s="2"/>
      <c r="M332" s="4" t="s">
        <v>2107</v>
      </c>
      <c r="N332" s="150">
        <v>10.5</v>
      </c>
      <c r="O332" s="17"/>
      <c r="R332" s="263">
        <v>1</v>
      </c>
      <c r="S332" s="257" t="s">
        <v>334</v>
      </c>
      <c r="T332" s="257" t="s">
        <v>2778</v>
      </c>
      <c r="U332" s="258">
        <v>8.81</v>
      </c>
      <c r="V332" s="302">
        <v>8.82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2039</v>
      </c>
      <c r="B333" s="150">
        <v>8.5</v>
      </c>
      <c r="C333" s="2"/>
      <c r="D333" s="4" t="s">
        <v>2057</v>
      </c>
      <c r="E333" s="150">
        <v>8.5</v>
      </c>
      <c r="F333" s="2"/>
      <c r="G333" s="4" t="s">
        <v>2190</v>
      </c>
      <c r="H333" s="150">
        <v>8</v>
      </c>
      <c r="I333" s="2"/>
      <c r="J333" s="4" t="s">
        <v>2090</v>
      </c>
      <c r="K333" s="150">
        <v>7.5</v>
      </c>
      <c r="L333" s="2"/>
      <c r="M333" s="4" t="s">
        <v>2108</v>
      </c>
      <c r="N333" s="150">
        <v>8.5</v>
      </c>
      <c r="O333" s="17"/>
      <c r="R333" s="265">
        <v>2</v>
      </c>
      <c r="S333" s="260" t="s">
        <v>1520</v>
      </c>
      <c r="T333" s="260" t="s">
        <v>1521</v>
      </c>
      <c r="U333" s="261">
        <v>8.82</v>
      </c>
      <c r="V333" s="301">
        <v>8.84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2040</v>
      </c>
      <c r="B334" s="150">
        <v>7.5</v>
      </c>
      <c r="C334" s="2"/>
      <c r="D334" s="4" t="s">
        <v>2058</v>
      </c>
      <c r="E334" s="150">
        <v>9</v>
      </c>
      <c r="F334" s="2"/>
      <c r="G334" s="4" t="s">
        <v>2191</v>
      </c>
      <c r="H334" s="150">
        <v>9</v>
      </c>
      <c r="I334" s="2"/>
      <c r="J334" s="4" t="s">
        <v>2091</v>
      </c>
      <c r="K334" s="150">
        <v>8</v>
      </c>
      <c r="L334" s="2"/>
      <c r="M334" s="4" t="s">
        <v>2109</v>
      </c>
      <c r="N334" s="150">
        <v>8</v>
      </c>
      <c r="O334" s="17"/>
      <c r="R334" s="266">
        <v>3</v>
      </c>
      <c r="S334" s="257" t="s">
        <v>768</v>
      </c>
      <c r="T334" s="257" t="s">
        <v>769</v>
      </c>
      <c r="U334" s="258">
        <v>8.67</v>
      </c>
      <c r="V334" s="323">
        <v>8.57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2041</v>
      </c>
      <c r="B335" s="150">
        <v>10</v>
      </c>
      <c r="C335" s="2"/>
      <c r="D335" s="4" t="s">
        <v>2059</v>
      </c>
      <c r="E335" s="150">
        <v>8.5</v>
      </c>
      <c r="F335" s="2"/>
      <c r="G335" s="4" t="s">
        <v>2192</v>
      </c>
      <c r="H335" s="150">
        <v>8.5</v>
      </c>
      <c r="I335" s="2"/>
      <c r="J335" s="4" t="s">
        <v>2092</v>
      </c>
      <c r="K335" s="150">
        <v>10</v>
      </c>
      <c r="L335" s="2"/>
      <c r="M335" s="4" t="s">
        <v>2110</v>
      </c>
      <c r="N335" s="150">
        <v>8.5</v>
      </c>
      <c r="O335" s="17"/>
      <c r="R335" s="267">
        <v>4</v>
      </c>
      <c r="S335" s="260" t="s">
        <v>1155</v>
      </c>
      <c r="T335" s="260" t="s">
        <v>2464</v>
      </c>
      <c r="U335" s="261">
        <v>8.61</v>
      </c>
      <c r="V335" s="327">
        <v>8.5299999999999994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2042</v>
      </c>
      <c r="B336" s="150">
        <v>8</v>
      </c>
      <c r="C336" s="2"/>
      <c r="D336" s="4" t="s">
        <v>2060</v>
      </c>
      <c r="E336" s="150">
        <v>8.5</v>
      </c>
      <c r="F336" s="2"/>
      <c r="G336" s="4" t="s">
        <v>2193</v>
      </c>
      <c r="H336" s="150">
        <v>10</v>
      </c>
      <c r="I336" s="2"/>
      <c r="J336" s="4" t="s">
        <v>2093</v>
      </c>
      <c r="K336" s="150">
        <v>9</v>
      </c>
      <c r="L336" s="2"/>
      <c r="M336" s="7" t="s">
        <v>2111</v>
      </c>
      <c r="N336" s="151">
        <v>8</v>
      </c>
      <c r="O336" s="17"/>
      <c r="R336" s="267">
        <v>5</v>
      </c>
      <c r="S336" s="257" t="s">
        <v>3205</v>
      </c>
      <c r="T336" s="257" t="s">
        <v>3206</v>
      </c>
      <c r="U336" s="258">
        <v>8.4</v>
      </c>
      <c r="V336" s="390">
        <v>8.3000000000000007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2043</v>
      </c>
      <c r="B337" s="150">
        <v>7</v>
      </c>
      <c r="C337" s="2"/>
      <c r="D337" s="4" t="s">
        <v>2061</v>
      </c>
      <c r="E337" s="150">
        <v>10</v>
      </c>
      <c r="F337" s="2"/>
      <c r="G337" s="7" t="s">
        <v>2194</v>
      </c>
      <c r="H337" s="151">
        <v>8</v>
      </c>
      <c r="I337" s="2"/>
      <c r="J337" s="4" t="s">
        <v>2094</v>
      </c>
      <c r="K337" s="150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2044</v>
      </c>
      <c r="B338" s="150">
        <v>8</v>
      </c>
      <c r="C338" s="2"/>
      <c r="D338" s="4" t="s">
        <v>2062</v>
      </c>
      <c r="E338" s="150">
        <v>8.5</v>
      </c>
      <c r="F338" s="2"/>
      <c r="G338" s="2"/>
      <c r="H338" s="2"/>
      <c r="I338" s="2"/>
      <c r="J338" s="7" t="s">
        <v>2095</v>
      </c>
      <c r="K338" s="151">
        <v>8</v>
      </c>
      <c r="L338" s="2"/>
      <c r="M338" s="179" t="s">
        <v>2198</v>
      </c>
      <c r="N338" s="12">
        <f>ROUND(SUM(N339:N353)/COUNT(N339:N353), 2)</f>
        <v>8.73</v>
      </c>
      <c r="O338" s="17"/>
      <c r="R338" s="391" t="s">
        <v>3013</v>
      </c>
      <c r="S338" s="391"/>
      <c r="T338" s="391"/>
      <c r="U338" s="391"/>
      <c r="V338" s="391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2045</v>
      </c>
      <c r="B339" s="150">
        <v>9</v>
      </c>
      <c r="C339" s="2"/>
      <c r="D339" s="4" t="s">
        <v>2063</v>
      </c>
      <c r="E339" s="150">
        <v>8.5</v>
      </c>
      <c r="F339" s="2"/>
      <c r="G339" s="180" t="s">
        <v>2218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2199</v>
      </c>
      <c r="N339" s="149">
        <v>8</v>
      </c>
      <c r="O339" s="17"/>
      <c r="R339" s="256" t="s">
        <v>352</v>
      </c>
      <c r="S339" s="256" t="s">
        <v>319</v>
      </c>
      <c r="T339" s="256" t="s">
        <v>320</v>
      </c>
      <c r="U339" s="256" t="s">
        <v>321</v>
      </c>
      <c r="V339" s="256" t="s">
        <v>1002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2046</v>
      </c>
      <c r="B340" s="150">
        <v>8.5</v>
      </c>
      <c r="C340" s="2"/>
      <c r="D340" s="4" t="s">
        <v>2064</v>
      </c>
      <c r="E340" s="150">
        <v>7.5</v>
      </c>
      <c r="F340" s="2"/>
      <c r="G340" s="11" t="s">
        <v>2219</v>
      </c>
      <c r="H340" s="149">
        <v>8</v>
      </c>
      <c r="I340" s="2"/>
      <c r="J340" s="181" t="s">
        <v>2250</v>
      </c>
      <c r="K340" s="12">
        <f>ROUND(SUM(K341:K354)/COUNT(K341:K354), 2)</f>
        <v>8.5399999999999991</v>
      </c>
      <c r="L340" s="2"/>
      <c r="M340" s="4" t="s">
        <v>2200</v>
      </c>
      <c r="N340" s="150">
        <v>9</v>
      </c>
      <c r="O340" s="17"/>
      <c r="R340" s="263">
        <v>1</v>
      </c>
      <c r="S340" s="257" t="s">
        <v>1603</v>
      </c>
      <c r="T340" s="257" t="s">
        <v>2779</v>
      </c>
      <c r="U340" s="258">
        <v>8.91</v>
      </c>
      <c r="V340" s="302">
        <v>8.82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2047</v>
      </c>
      <c r="B341" s="151">
        <v>7.5</v>
      </c>
      <c r="C341" s="2"/>
      <c r="D341" s="4" t="s">
        <v>2065</v>
      </c>
      <c r="E341" s="150">
        <v>10.5</v>
      </c>
      <c r="F341" s="2"/>
      <c r="G341" s="4" t="s">
        <v>2220</v>
      </c>
      <c r="H341" s="150">
        <v>9</v>
      </c>
      <c r="I341" s="2"/>
      <c r="J341" s="11" t="s">
        <v>2236</v>
      </c>
      <c r="K341" s="149">
        <v>8.5</v>
      </c>
      <c r="L341" s="2"/>
      <c r="M341" s="4" t="s">
        <v>2201</v>
      </c>
      <c r="N341" s="150"/>
      <c r="O341" s="17"/>
      <c r="R341" s="265">
        <v>2</v>
      </c>
      <c r="S341" s="260" t="s">
        <v>345</v>
      </c>
      <c r="T341" s="260" t="s">
        <v>2780</v>
      </c>
      <c r="U341" s="261">
        <v>8.8000000000000007</v>
      </c>
      <c r="V341" s="308">
        <v>8.75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2066</v>
      </c>
      <c r="E342" s="150">
        <v>8</v>
      </c>
      <c r="F342" s="2"/>
      <c r="G342" s="4" t="s">
        <v>2221</v>
      </c>
      <c r="H342" s="150">
        <v>9.5</v>
      </c>
      <c r="I342" s="2"/>
      <c r="J342" s="4" t="s">
        <v>2237</v>
      </c>
      <c r="K342" s="150">
        <v>9</v>
      </c>
      <c r="L342" s="2"/>
      <c r="M342" s="4" t="s">
        <v>2202</v>
      </c>
      <c r="N342" s="150">
        <v>10</v>
      </c>
      <c r="O342" s="17"/>
      <c r="R342" s="266">
        <v>3</v>
      </c>
      <c r="S342" s="257" t="s">
        <v>2331</v>
      </c>
      <c r="T342" s="257" t="s">
        <v>3014</v>
      </c>
      <c r="U342" s="258">
        <v>8.66</v>
      </c>
      <c r="V342" s="370">
        <v>8.69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3" t="s">
        <v>2256</v>
      </c>
      <c r="B343" s="12">
        <f>ROUND(SUM(B344:B358)/COUNT(B344:B358), 2)</f>
        <v>8.57</v>
      </c>
      <c r="C343" s="2"/>
      <c r="D343" s="4" t="s">
        <v>2067</v>
      </c>
      <c r="E343" s="150">
        <v>7.5</v>
      </c>
      <c r="F343" s="2"/>
      <c r="G343" s="4" t="s">
        <v>2222</v>
      </c>
      <c r="H343" s="150">
        <v>8.5</v>
      </c>
      <c r="I343" s="2"/>
      <c r="J343" s="4" t="s">
        <v>2238</v>
      </c>
      <c r="K343" s="150">
        <v>8</v>
      </c>
      <c r="L343" s="2"/>
      <c r="M343" s="4" t="s">
        <v>2203</v>
      </c>
      <c r="N343" s="150">
        <v>8</v>
      </c>
      <c r="O343" s="17"/>
      <c r="R343" s="267">
        <v>4</v>
      </c>
      <c r="S343" s="260" t="s">
        <v>344</v>
      </c>
      <c r="T343" s="260" t="s">
        <v>161</v>
      </c>
      <c r="U343" s="261">
        <v>8.7100000000000009</v>
      </c>
      <c r="V343" s="316">
        <v>8.65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2257</v>
      </c>
      <c r="B344" s="149">
        <v>9</v>
      </c>
      <c r="C344" s="2"/>
      <c r="D344" s="4" t="s">
        <v>2068</v>
      </c>
      <c r="E344" s="150">
        <v>10</v>
      </c>
      <c r="F344" s="2"/>
      <c r="G344" s="4" t="s">
        <v>2223</v>
      </c>
      <c r="H344" s="150">
        <v>9</v>
      </c>
      <c r="I344" s="2"/>
      <c r="J344" s="4" t="s">
        <v>2239</v>
      </c>
      <c r="K344" s="150">
        <v>8.5</v>
      </c>
      <c r="L344" s="2"/>
      <c r="M344" s="4" t="s">
        <v>2204</v>
      </c>
      <c r="N344" s="150">
        <v>8.5</v>
      </c>
      <c r="O344" s="17"/>
      <c r="R344" s="267">
        <v>5</v>
      </c>
      <c r="S344" s="257" t="s">
        <v>2479</v>
      </c>
      <c r="T344" s="257" t="s">
        <v>2480</v>
      </c>
      <c r="U344" s="258">
        <v>7.17</v>
      </c>
      <c r="V344" s="366">
        <v>7.04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2258</v>
      </c>
      <c r="B345" s="150">
        <v>8</v>
      </c>
      <c r="C345" s="2"/>
      <c r="D345" s="4" t="s">
        <v>2069</v>
      </c>
      <c r="E345" s="150">
        <v>9.5</v>
      </c>
      <c r="F345" s="2"/>
      <c r="G345" s="4" t="s">
        <v>2224</v>
      </c>
      <c r="H345" s="150">
        <v>10</v>
      </c>
      <c r="I345" s="2"/>
      <c r="J345" s="4" t="s">
        <v>2240</v>
      </c>
      <c r="K345" s="150">
        <v>9</v>
      </c>
      <c r="L345" s="2"/>
      <c r="M345" s="4" t="s">
        <v>2205</v>
      </c>
      <c r="N345" s="150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2259</v>
      </c>
      <c r="B346" s="150">
        <v>10</v>
      </c>
      <c r="C346" s="2"/>
      <c r="D346" s="4" t="s">
        <v>2070</v>
      </c>
      <c r="E346" s="150">
        <v>10</v>
      </c>
      <c r="F346" s="2"/>
      <c r="G346" s="4" t="s">
        <v>2225</v>
      </c>
      <c r="H346" s="150">
        <v>8.5</v>
      </c>
      <c r="I346" s="2"/>
      <c r="J346" s="4" t="s">
        <v>2241</v>
      </c>
      <c r="K346" s="150">
        <v>8</v>
      </c>
      <c r="L346" s="2"/>
      <c r="M346" s="4" t="s">
        <v>2206</v>
      </c>
      <c r="N346" s="150">
        <v>9</v>
      </c>
      <c r="O346" s="17"/>
      <c r="R346" s="391" t="s">
        <v>3062</v>
      </c>
      <c r="S346" s="391"/>
      <c r="T346" s="391"/>
      <c r="U346" s="391"/>
      <c r="V346" s="391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2260</v>
      </c>
      <c r="B347" s="150">
        <v>9</v>
      </c>
      <c r="C347" s="2"/>
      <c r="D347" s="4" t="s">
        <v>2071</v>
      </c>
      <c r="E347" s="150">
        <v>8</v>
      </c>
      <c r="F347" s="2"/>
      <c r="G347" s="4" t="s">
        <v>2226</v>
      </c>
      <c r="H347" s="150">
        <v>8.5</v>
      </c>
      <c r="I347" s="2"/>
      <c r="J347" s="4" t="s">
        <v>2242</v>
      </c>
      <c r="K347" s="150">
        <v>8</v>
      </c>
      <c r="L347" s="2"/>
      <c r="M347" s="4" t="s">
        <v>2207</v>
      </c>
      <c r="N347" s="150">
        <v>8.5</v>
      </c>
      <c r="O347" s="17"/>
      <c r="R347" s="256" t="s">
        <v>352</v>
      </c>
      <c r="S347" s="256" t="s">
        <v>319</v>
      </c>
      <c r="T347" s="256" t="s">
        <v>320</v>
      </c>
      <c r="U347" s="256" t="s">
        <v>321</v>
      </c>
      <c r="V347" s="256" t="s">
        <v>1002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2261</v>
      </c>
      <c r="B348" s="150">
        <v>9</v>
      </c>
      <c r="C348" s="2"/>
      <c r="D348" s="4" t="s">
        <v>2072</v>
      </c>
      <c r="E348" s="150">
        <v>8.5</v>
      </c>
      <c r="F348" s="2"/>
      <c r="G348" s="4" t="s">
        <v>2227</v>
      </c>
      <c r="H348" s="150">
        <v>8</v>
      </c>
      <c r="I348" s="2"/>
      <c r="J348" s="4" t="s">
        <v>2243</v>
      </c>
      <c r="K348" s="150">
        <v>7.5</v>
      </c>
      <c r="L348" s="2"/>
      <c r="M348" s="4" t="s">
        <v>2208</v>
      </c>
      <c r="N348" s="150">
        <v>8</v>
      </c>
      <c r="O348" s="17"/>
      <c r="R348" s="263">
        <v>1</v>
      </c>
      <c r="S348" s="257" t="s">
        <v>996</v>
      </c>
      <c r="T348" s="257" t="s">
        <v>994</v>
      </c>
      <c r="U348" s="258">
        <v>10.5</v>
      </c>
      <c r="V348" s="264">
        <v>10.85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2262</v>
      </c>
      <c r="B349" s="150">
        <v>8.5</v>
      </c>
      <c r="C349" s="2"/>
      <c r="D349" s="4" t="s">
        <v>2073</v>
      </c>
      <c r="E349" s="150">
        <v>8</v>
      </c>
      <c r="F349" s="2"/>
      <c r="G349" s="4" t="s">
        <v>2228</v>
      </c>
      <c r="H349" s="150">
        <v>8</v>
      </c>
      <c r="I349" s="2"/>
      <c r="J349" s="4" t="s">
        <v>2244</v>
      </c>
      <c r="K349" s="150">
        <v>9.5</v>
      </c>
      <c r="L349" s="2"/>
      <c r="M349" s="4" t="s">
        <v>2209</v>
      </c>
      <c r="N349" s="150"/>
      <c r="O349" s="17"/>
      <c r="R349" s="265">
        <v>2</v>
      </c>
      <c r="S349" s="260" t="s">
        <v>346</v>
      </c>
      <c r="T349" s="260" t="s">
        <v>2782</v>
      </c>
      <c r="U349" s="261">
        <v>8.8699999999999992</v>
      </c>
      <c r="V349" s="295">
        <v>8.91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2263</v>
      </c>
      <c r="B350" s="150">
        <v>9</v>
      </c>
      <c r="C350" s="2"/>
      <c r="D350" s="4" t="s">
        <v>2074</v>
      </c>
      <c r="E350" s="150">
        <v>7.5</v>
      </c>
      <c r="F350" s="2"/>
      <c r="G350" s="4" t="s">
        <v>2229</v>
      </c>
      <c r="H350" s="150">
        <v>8.5</v>
      </c>
      <c r="I350" s="2"/>
      <c r="J350" s="4" t="s">
        <v>2245</v>
      </c>
      <c r="K350" s="150">
        <v>8</v>
      </c>
      <c r="L350" s="2"/>
      <c r="M350" s="4" t="s">
        <v>2210</v>
      </c>
      <c r="N350" s="150">
        <v>9</v>
      </c>
      <c r="O350" s="17"/>
      <c r="R350" s="266">
        <v>3</v>
      </c>
      <c r="S350" s="257" t="s">
        <v>1488</v>
      </c>
      <c r="T350" s="257" t="s">
        <v>1489</v>
      </c>
      <c r="U350" s="258">
        <v>8.93</v>
      </c>
      <c r="V350" s="297">
        <v>8.8800000000000008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2264</v>
      </c>
      <c r="B351" s="150">
        <v>8.5</v>
      </c>
      <c r="C351" s="2"/>
      <c r="D351" s="4" t="s">
        <v>2075</v>
      </c>
      <c r="E351" s="150">
        <v>9</v>
      </c>
      <c r="F351" s="2"/>
      <c r="G351" s="7" t="s">
        <v>2230</v>
      </c>
      <c r="H351" s="151">
        <v>7.5</v>
      </c>
      <c r="I351" s="2"/>
      <c r="J351" s="4" t="s">
        <v>2246</v>
      </c>
      <c r="K351" s="150">
        <v>10</v>
      </c>
      <c r="L351" s="2"/>
      <c r="M351" s="4" t="s">
        <v>2211</v>
      </c>
      <c r="N351" s="150">
        <v>10</v>
      </c>
      <c r="O351" s="17"/>
      <c r="R351" s="267">
        <v>4</v>
      </c>
      <c r="S351" s="260" t="s">
        <v>396</v>
      </c>
      <c r="T351" s="260" t="s">
        <v>390</v>
      </c>
      <c r="U351" s="261">
        <v>8.8000000000000007</v>
      </c>
      <c r="V351" s="303">
        <v>8.81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2265</v>
      </c>
      <c r="B352" s="150">
        <v>8</v>
      </c>
      <c r="C352" s="2"/>
      <c r="D352" s="4" t="s">
        <v>2076</v>
      </c>
      <c r="E352" s="150">
        <v>8</v>
      </c>
      <c r="F352" s="2"/>
      <c r="G352" s="2"/>
      <c r="H352" s="2"/>
      <c r="I352" s="2"/>
      <c r="J352" s="4" t="s">
        <v>2247</v>
      </c>
      <c r="K352" s="150">
        <v>8</v>
      </c>
      <c r="L352" s="2"/>
      <c r="M352" s="4" t="s">
        <v>2212</v>
      </c>
      <c r="N352" s="150">
        <v>8</v>
      </c>
      <c r="O352" s="17"/>
      <c r="R352" s="267">
        <v>5</v>
      </c>
      <c r="S352" s="257" t="s">
        <v>3044</v>
      </c>
      <c r="T352" s="257" t="s">
        <v>3044</v>
      </c>
      <c r="U352" s="258">
        <v>8.8000000000000007</v>
      </c>
      <c r="V352" s="312">
        <v>8.6999999999999993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2266</v>
      </c>
      <c r="B353" s="150">
        <v>8</v>
      </c>
      <c r="C353" s="2"/>
      <c r="D353" s="4" t="s">
        <v>2077</v>
      </c>
      <c r="E353" s="150"/>
      <c r="F353" s="2"/>
      <c r="G353" s="184" t="s">
        <v>2276</v>
      </c>
      <c r="H353" s="12">
        <f>ROUND(SUM(H354:H363)/COUNT(H354:H363), 2)</f>
        <v>8.6999999999999993</v>
      </c>
      <c r="I353" s="2"/>
      <c r="J353" s="4" t="s">
        <v>2248</v>
      </c>
      <c r="K353" s="150">
        <v>7.5</v>
      </c>
      <c r="L353" s="2"/>
      <c r="M353" s="7" t="s">
        <v>2213</v>
      </c>
      <c r="N353" s="151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2267</v>
      </c>
      <c r="B354" s="150">
        <v>7.5</v>
      </c>
      <c r="C354" s="2"/>
      <c r="D354" s="4" t="s">
        <v>2078</v>
      </c>
      <c r="E354" s="150">
        <v>8</v>
      </c>
      <c r="F354" s="2"/>
      <c r="G354" s="11" t="s">
        <v>2277</v>
      </c>
      <c r="H354" s="149">
        <v>9</v>
      </c>
      <c r="I354" s="2"/>
      <c r="J354" s="7" t="s">
        <v>2249</v>
      </c>
      <c r="K354" s="151">
        <v>10</v>
      </c>
      <c r="L354" s="2"/>
      <c r="M354" s="2"/>
      <c r="N354" s="2"/>
      <c r="O354" s="17"/>
      <c r="R354" s="391" t="s">
        <v>3063</v>
      </c>
      <c r="S354" s="391"/>
      <c r="T354" s="391"/>
      <c r="U354" s="391"/>
      <c r="V354" s="391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2268</v>
      </c>
      <c r="B355" s="150">
        <v>8.5</v>
      </c>
      <c r="C355" s="2"/>
      <c r="D355" s="4" t="s">
        <v>2079</v>
      </c>
      <c r="E355" s="150">
        <v>8.5</v>
      </c>
      <c r="F355" s="2"/>
      <c r="G355" s="4" t="s">
        <v>2278</v>
      </c>
      <c r="H355" s="150">
        <v>10</v>
      </c>
      <c r="I355" s="2"/>
      <c r="J355" s="2"/>
      <c r="K355" s="2"/>
      <c r="L355" s="2"/>
      <c r="M355" s="185" t="s">
        <v>2302</v>
      </c>
      <c r="N355" s="12">
        <f>ROUND(SUM(N356:N365)/COUNT(N356:N365), 2)</f>
        <v>8</v>
      </c>
      <c r="O355" s="17"/>
      <c r="R355" s="256" t="s">
        <v>352</v>
      </c>
      <c r="S355" s="256" t="s">
        <v>319</v>
      </c>
      <c r="T355" s="256" t="s">
        <v>320</v>
      </c>
      <c r="U355" s="256" t="s">
        <v>321</v>
      </c>
      <c r="V355" s="256" t="s">
        <v>1002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2269</v>
      </c>
      <c r="B356" s="150">
        <v>8</v>
      </c>
      <c r="C356" s="2"/>
      <c r="D356" s="4" t="s">
        <v>2080</v>
      </c>
      <c r="E356" s="150">
        <v>8</v>
      </c>
      <c r="F356" s="2"/>
      <c r="G356" s="4" t="s">
        <v>2279</v>
      </c>
      <c r="H356" s="150">
        <v>8</v>
      </c>
      <c r="I356" s="2"/>
      <c r="J356" s="186" t="s">
        <v>2305</v>
      </c>
      <c r="K356" s="12">
        <f>ROUND(SUM(K357:K363)/COUNT(K357:K363), 2)</f>
        <v>8.5</v>
      </c>
      <c r="L356" s="2"/>
      <c r="M356" s="11" t="s">
        <v>2292</v>
      </c>
      <c r="N356" s="149">
        <v>9</v>
      </c>
      <c r="O356" s="17"/>
      <c r="R356" s="263">
        <v>1</v>
      </c>
      <c r="S356" s="257" t="s">
        <v>336</v>
      </c>
      <c r="T356" s="257" t="s">
        <v>188</v>
      </c>
      <c r="U356" s="258">
        <v>9.2100000000000009</v>
      </c>
      <c r="V356" s="278">
        <v>9.34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2270</v>
      </c>
      <c r="B357" s="150">
        <v>9</v>
      </c>
      <c r="C357" s="2"/>
      <c r="D357" s="4" t="s">
        <v>2081</v>
      </c>
      <c r="E357" s="150">
        <v>8.5</v>
      </c>
      <c r="F357" s="2"/>
      <c r="G357" s="4" t="s">
        <v>2280</v>
      </c>
      <c r="H357" s="150">
        <v>9</v>
      </c>
      <c r="I357" s="2"/>
      <c r="J357" s="11" t="s">
        <v>2306</v>
      </c>
      <c r="K357" s="149">
        <v>8</v>
      </c>
      <c r="L357" s="2"/>
      <c r="M357" s="4" t="s">
        <v>2293</v>
      </c>
      <c r="N357" s="150">
        <v>8.5</v>
      </c>
      <c r="O357" s="17"/>
      <c r="R357" s="265">
        <v>2</v>
      </c>
      <c r="S357" s="260" t="s">
        <v>396</v>
      </c>
      <c r="T357" s="260" t="s">
        <v>390</v>
      </c>
      <c r="U357" s="261">
        <v>8.8000000000000007</v>
      </c>
      <c r="V357" s="303">
        <v>8.81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2271</v>
      </c>
      <c r="B358" s="151">
        <v>8.5</v>
      </c>
      <c r="C358" s="2"/>
      <c r="D358" s="7" t="s">
        <v>1412</v>
      </c>
      <c r="E358" s="151">
        <v>9</v>
      </c>
      <c r="F358" s="2"/>
      <c r="G358" s="4" t="s">
        <v>2281</v>
      </c>
      <c r="H358" s="150">
        <v>8</v>
      </c>
      <c r="I358" s="2"/>
      <c r="J358" s="4" t="s">
        <v>2307</v>
      </c>
      <c r="K358" s="150">
        <v>9</v>
      </c>
      <c r="L358" s="2"/>
      <c r="M358" s="4" t="s">
        <v>2294</v>
      </c>
      <c r="N358" s="150">
        <v>8</v>
      </c>
      <c r="O358" s="17"/>
      <c r="R358" s="266">
        <v>3</v>
      </c>
      <c r="S358" s="257" t="s">
        <v>2599</v>
      </c>
      <c r="T358" s="257" t="s">
        <v>2600</v>
      </c>
      <c r="U358" s="258">
        <v>8.8800000000000008</v>
      </c>
      <c r="V358" s="306">
        <v>8.77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2282</v>
      </c>
      <c r="H359" s="150">
        <v>8.5</v>
      </c>
      <c r="I359" s="2"/>
      <c r="J359" s="4" t="s">
        <v>2308</v>
      </c>
      <c r="K359" s="150">
        <v>8.5</v>
      </c>
      <c r="L359" s="2"/>
      <c r="M359" s="4" t="s">
        <v>2295</v>
      </c>
      <c r="N359" s="150">
        <v>7.5</v>
      </c>
      <c r="O359" s="17"/>
      <c r="R359" s="267">
        <v>4</v>
      </c>
      <c r="S359" s="260" t="s">
        <v>3044</v>
      </c>
      <c r="T359" s="260" t="s">
        <v>3044</v>
      </c>
      <c r="U359" s="261">
        <v>8.8000000000000007</v>
      </c>
      <c r="V359" s="312">
        <v>8.6999999999999993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7" t="s">
        <v>2314</v>
      </c>
      <c r="B360" s="12">
        <f>ROUND(SUM(B361:B377)/COUNT(B361:B377), 2)</f>
        <v>8.81</v>
      </c>
      <c r="C360" s="2"/>
      <c r="D360" s="189" t="s">
        <v>2334</v>
      </c>
      <c r="E360" s="12">
        <f>ROUND(SUM(E361:E370)/COUNT(E361:E370), 2)</f>
        <v>8.61</v>
      </c>
      <c r="F360" s="2"/>
      <c r="G360" s="4" t="s">
        <v>2283</v>
      </c>
      <c r="H360" s="150">
        <v>8</v>
      </c>
      <c r="I360" s="2"/>
      <c r="J360" s="4" t="s">
        <v>2309</v>
      </c>
      <c r="K360" s="150">
        <v>10</v>
      </c>
      <c r="L360" s="2"/>
      <c r="M360" s="4" t="s">
        <v>2296</v>
      </c>
      <c r="N360" s="150">
        <v>7.5</v>
      </c>
      <c r="O360" s="17"/>
      <c r="R360" s="267">
        <v>5</v>
      </c>
      <c r="S360" s="257" t="s">
        <v>2713</v>
      </c>
      <c r="T360" s="257" t="s">
        <v>2714</v>
      </c>
      <c r="U360" s="258">
        <v>8.75</v>
      </c>
      <c r="V360" s="314">
        <v>8.67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2315</v>
      </c>
      <c r="B361" s="149">
        <v>10</v>
      </c>
      <c r="C361" s="2"/>
      <c r="D361" s="11" t="s">
        <v>2335</v>
      </c>
      <c r="E361" s="149">
        <v>8.5</v>
      </c>
      <c r="F361" s="2"/>
      <c r="G361" s="4" t="s">
        <v>2284</v>
      </c>
      <c r="H361" s="150">
        <v>8</v>
      </c>
      <c r="I361" s="2"/>
      <c r="J361" s="4" t="s">
        <v>2310</v>
      </c>
      <c r="K361" s="150">
        <v>8</v>
      </c>
      <c r="L361" s="2"/>
      <c r="M361" s="4" t="s">
        <v>2297</v>
      </c>
      <c r="N361" s="150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2316</v>
      </c>
      <c r="B362" s="150">
        <v>9</v>
      </c>
      <c r="C362" s="2"/>
      <c r="D362" s="4" t="s">
        <v>2336</v>
      </c>
      <c r="E362" s="150">
        <v>8</v>
      </c>
      <c r="F362" s="2"/>
      <c r="G362" s="4" t="s">
        <v>2285</v>
      </c>
      <c r="H362" s="150">
        <v>10</v>
      </c>
      <c r="I362" s="2"/>
      <c r="J362" s="4" t="s">
        <v>2311</v>
      </c>
      <c r="K362" s="150">
        <v>8.5</v>
      </c>
      <c r="L362" s="2"/>
      <c r="M362" s="4" t="s">
        <v>2298</v>
      </c>
      <c r="N362" s="150">
        <v>8</v>
      </c>
      <c r="O362" s="17"/>
      <c r="R362" s="391" t="s">
        <v>2792</v>
      </c>
      <c r="S362" s="391"/>
      <c r="T362" s="391"/>
      <c r="U362" s="391"/>
      <c r="V362" s="391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2317</v>
      </c>
      <c r="B363" s="150">
        <v>8.5</v>
      </c>
      <c r="C363" s="2"/>
      <c r="D363" s="4" t="s">
        <v>2337</v>
      </c>
      <c r="E363" s="150">
        <v>10</v>
      </c>
      <c r="F363" s="2"/>
      <c r="G363" s="7" t="s">
        <v>2286</v>
      </c>
      <c r="H363" s="151">
        <v>8.5</v>
      </c>
      <c r="I363" s="2"/>
      <c r="J363" s="7" t="s">
        <v>2312</v>
      </c>
      <c r="K363" s="151">
        <v>7.5</v>
      </c>
      <c r="L363" s="2"/>
      <c r="M363" s="4" t="s">
        <v>2299</v>
      </c>
      <c r="N363" s="150">
        <v>8</v>
      </c>
      <c r="O363" s="17"/>
      <c r="R363" s="256" t="s">
        <v>352</v>
      </c>
      <c r="S363" s="256" t="s">
        <v>319</v>
      </c>
      <c r="T363" s="256" t="s">
        <v>320</v>
      </c>
      <c r="U363" s="256" t="s">
        <v>321</v>
      </c>
      <c r="V363" s="256" t="s">
        <v>1002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2318</v>
      </c>
      <c r="B364" s="150">
        <v>9.5</v>
      </c>
      <c r="C364" s="2"/>
      <c r="D364" s="4" t="s">
        <v>2338</v>
      </c>
      <c r="E364" s="150">
        <v>8.5</v>
      </c>
      <c r="F364" s="2"/>
      <c r="G364" s="2"/>
      <c r="H364" s="2"/>
      <c r="I364" s="2"/>
      <c r="J364" s="2"/>
      <c r="K364" s="2"/>
      <c r="L364" s="2"/>
      <c r="M364" s="4" t="s">
        <v>2300</v>
      </c>
      <c r="N364" s="150">
        <v>7.5</v>
      </c>
      <c r="O364" s="17"/>
      <c r="R364" s="263">
        <v>1</v>
      </c>
      <c r="S364" s="257" t="s">
        <v>1332</v>
      </c>
      <c r="T364" s="257" t="s">
        <v>1323</v>
      </c>
      <c r="U364" s="258">
        <v>9</v>
      </c>
      <c r="V364" s="291">
        <v>8.9600000000000009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2319</v>
      </c>
      <c r="B365" s="150">
        <v>8.5</v>
      </c>
      <c r="C365" s="2"/>
      <c r="D365" s="4" t="s">
        <v>2339</v>
      </c>
      <c r="E365" s="150">
        <v>7.5</v>
      </c>
      <c r="F365" s="2"/>
      <c r="G365" s="190" t="s">
        <v>2349</v>
      </c>
      <c r="H365" s="12">
        <f>ROUND(SUM(H366:H372)/COUNT(H366:H372), 2)</f>
        <v>9.07</v>
      </c>
      <c r="I365" s="2"/>
      <c r="J365" s="191" t="s">
        <v>2361</v>
      </c>
      <c r="K365" s="12">
        <f>ROUND(SUM(K366:K378)/COUNT(K366:K378), 2)</f>
        <v>8.92</v>
      </c>
      <c r="L365" s="2"/>
      <c r="M365" s="7" t="s">
        <v>2301</v>
      </c>
      <c r="N365" s="151">
        <v>8</v>
      </c>
      <c r="O365" s="17"/>
      <c r="R365" s="265">
        <v>2</v>
      </c>
      <c r="S365" s="260" t="s">
        <v>739</v>
      </c>
      <c r="T365" s="260" t="s">
        <v>740</v>
      </c>
      <c r="U365" s="261">
        <v>8.91</v>
      </c>
      <c r="V365" s="293">
        <v>8.93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2320</v>
      </c>
      <c r="B366" s="150">
        <v>9.5</v>
      </c>
      <c r="C366" s="2"/>
      <c r="D366" s="4" t="s">
        <v>2340</v>
      </c>
      <c r="E366" s="150">
        <v>7.5</v>
      </c>
      <c r="F366" s="2"/>
      <c r="G366" s="11" t="s">
        <v>2350</v>
      </c>
      <c r="H366" s="149">
        <v>10</v>
      </c>
      <c r="I366" s="2"/>
      <c r="J366" s="11" t="s">
        <v>2362</v>
      </c>
      <c r="K366" s="149"/>
      <c r="L366" s="2"/>
      <c r="M366" s="2"/>
      <c r="N366" s="2"/>
      <c r="O366" s="17"/>
      <c r="R366" s="266">
        <v>3</v>
      </c>
      <c r="S366" s="257" t="s">
        <v>1488</v>
      </c>
      <c r="T366" s="257" t="s">
        <v>1489</v>
      </c>
      <c r="U366" s="258">
        <v>8.93</v>
      </c>
      <c r="V366" s="297">
        <v>8.8800000000000008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2321</v>
      </c>
      <c r="B367" s="150">
        <v>10.5</v>
      </c>
      <c r="C367" s="2"/>
      <c r="D367" s="4" t="s">
        <v>2341</v>
      </c>
      <c r="E367" s="150">
        <v>9</v>
      </c>
      <c r="F367" s="2"/>
      <c r="G367" s="4" t="s">
        <v>2351</v>
      </c>
      <c r="H367" s="150">
        <v>8.5</v>
      </c>
      <c r="I367" s="2"/>
      <c r="J367" s="4" t="s">
        <v>2363</v>
      </c>
      <c r="K367" s="150">
        <v>8.5</v>
      </c>
      <c r="L367" s="2"/>
      <c r="M367" s="192" t="s">
        <v>2375</v>
      </c>
      <c r="N367" s="12">
        <f>ROUND(SUM(N368:N372)/COUNT(N368:N372), 2)</f>
        <v>8.1999999999999993</v>
      </c>
      <c r="O367" s="17"/>
      <c r="R367" s="267">
        <v>4</v>
      </c>
      <c r="S367" s="260" t="s">
        <v>339</v>
      </c>
      <c r="T367" s="260" t="s">
        <v>2781</v>
      </c>
      <c r="U367" s="261">
        <v>8.5399999999999991</v>
      </c>
      <c r="V367" s="331">
        <v>8.4700000000000006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2322</v>
      </c>
      <c r="B368" s="150">
        <v>9</v>
      </c>
      <c r="C368" s="2"/>
      <c r="D368" s="4" t="s">
        <v>2342</v>
      </c>
      <c r="E368" s="150">
        <v>8.5</v>
      </c>
      <c r="F368" s="2"/>
      <c r="G368" s="4" t="s">
        <v>2352</v>
      </c>
      <c r="H368" s="150">
        <v>9.5</v>
      </c>
      <c r="I368" s="2"/>
      <c r="J368" s="4" t="s">
        <v>2364</v>
      </c>
      <c r="K368" s="150">
        <v>10.5</v>
      </c>
      <c r="L368" s="2"/>
      <c r="M368" s="11" t="s">
        <v>2376</v>
      </c>
      <c r="N368" s="149">
        <v>8.5</v>
      </c>
      <c r="O368" s="17"/>
      <c r="R368" s="267">
        <v>5</v>
      </c>
      <c r="S368" s="257" t="s">
        <v>2392</v>
      </c>
      <c r="T368" s="257" t="s">
        <v>2393</v>
      </c>
      <c r="U368" s="258">
        <v>8.1999999999999993</v>
      </c>
      <c r="V368" s="349">
        <v>8.1300000000000008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2323</v>
      </c>
      <c r="B369" s="150">
        <v>8</v>
      </c>
      <c r="C369" s="2"/>
      <c r="D369" s="4" t="s">
        <v>2343</v>
      </c>
      <c r="E369" s="150"/>
      <c r="F369" s="2"/>
      <c r="G369" s="4" t="s">
        <v>2353</v>
      </c>
      <c r="H369" s="150">
        <v>8</v>
      </c>
      <c r="I369" s="2"/>
      <c r="J369" s="4" t="s">
        <v>2365</v>
      </c>
      <c r="K369" s="150">
        <v>9.5</v>
      </c>
      <c r="L369" s="2"/>
      <c r="M369" s="4" t="s">
        <v>2377</v>
      </c>
      <c r="N369" s="150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2324</v>
      </c>
      <c r="B370" s="150">
        <v>8</v>
      </c>
      <c r="C370" s="2"/>
      <c r="D370" s="7" t="s">
        <v>2344</v>
      </c>
      <c r="E370" s="151">
        <v>10</v>
      </c>
      <c r="F370" s="2"/>
      <c r="G370" s="4" t="s">
        <v>2354</v>
      </c>
      <c r="H370" s="150">
        <v>8.5</v>
      </c>
      <c r="I370" s="2"/>
      <c r="J370" s="4" t="s">
        <v>2366</v>
      </c>
      <c r="K370" s="150">
        <v>8.5</v>
      </c>
      <c r="L370" s="2"/>
      <c r="M370" s="4" t="s">
        <v>2378</v>
      </c>
      <c r="N370" s="150">
        <v>8</v>
      </c>
      <c r="O370" s="17"/>
      <c r="R370" s="391" t="s">
        <v>2793</v>
      </c>
      <c r="S370" s="391"/>
      <c r="T370" s="391"/>
      <c r="U370" s="391"/>
      <c r="V370" s="391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2325</v>
      </c>
      <c r="B371" s="150">
        <v>8.5</v>
      </c>
      <c r="C371" s="2"/>
      <c r="D371" s="2"/>
      <c r="E371" s="2"/>
      <c r="F371" s="2"/>
      <c r="G371" s="4" t="s">
        <v>2355</v>
      </c>
      <c r="H371" s="150">
        <v>9</v>
      </c>
      <c r="I371" s="2"/>
      <c r="J371" s="4" t="s">
        <v>2367</v>
      </c>
      <c r="K371" s="150">
        <v>7.5</v>
      </c>
      <c r="L371" s="2"/>
      <c r="M371" s="4" t="s">
        <v>2379</v>
      </c>
      <c r="N371" s="150">
        <v>8</v>
      </c>
      <c r="O371" s="17"/>
      <c r="R371" s="256" t="s">
        <v>352</v>
      </c>
      <c r="S371" s="256" t="s">
        <v>319</v>
      </c>
      <c r="T371" s="256" t="s">
        <v>320</v>
      </c>
      <c r="U371" s="256" t="s">
        <v>321</v>
      </c>
      <c r="V371" s="256" t="s">
        <v>1002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2326</v>
      </c>
      <c r="B372" s="150">
        <v>8</v>
      </c>
      <c r="C372" s="2"/>
      <c r="D372" s="136" t="s">
        <v>2381</v>
      </c>
      <c r="E372" s="12">
        <f>ROUND(SUM(E373:E381)/COUNT(E373:E381), 2)</f>
        <v>8.61</v>
      </c>
      <c r="F372" s="2"/>
      <c r="G372" s="7" t="s">
        <v>2356</v>
      </c>
      <c r="H372" s="151">
        <v>10</v>
      </c>
      <c r="I372" s="2"/>
      <c r="J372" s="4" t="s">
        <v>2368</v>
      </c>
      <c r="K372" s="150">
        <v>10</v>
      </c>
      <c r="L372" s="2"/>
      <c r="M372" s="7" t="s">
        <v>2380</v>
      </c>
      <c r="N372" s="151">
        <v>8.5</v>
      </c>
      <c r="O372" s="17"/>
      <c r="R372" s="263">
        <v>1</v>
      </c>
      <c r="S372" s="257" t="s">
        <v>2661</v>
      </c>
      <c r="T372" s="257" t="s">
        <v>2783</v>
      </c>
      <c r="U372" s="258">
        <v>9.36</v>
      </c>
      <c r="V372" s="273">
        <v>9.5299999999999994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8" t="s">
        <v>2327</v>
      </c>
      <c r="B373" s="150">
        <v>8</v>
      </c>
      <c r="C373" s="2"/>
      <c r="D373" s="11" t="s">
        <v>2382</v>
      </c>
      <c r="E373" s="149">
        <v>9</v>
      </c>
      <c r="F373" s="2"/>
      <c r="G373" s="2"/>
      <c r="H373" s="2"/>
      <c r="I373" s="2"/>
      <c r="J373" s="4" t="s">
        <v>2369</v>
      </c>
      <c r="K373" s="150">
        <v>9.5</v>
      </c>
      <c r="L373" s="2"/>
      <c r="M373" s="2"/>
      <c r="N373" s="2"/>
      <c r="O373" s="17"/>
      <c r="R373" s="265">
        <v>2</v>
      </c>
      <c r="S373" s="260" t="s">
        <v>2682</v>
      </c>
      <c r="T373" s="260" t="s">
        <v>2681</v>
      </c>
      <c r="U373" s="261">
        <v>8.8800000000000008</v>
      </c>
      <c r="V373" s="303">
        <v>8.81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2328</v>
      </c>
      <c r="B374" s="150">
        <v>8.5</v>
      </c>
      <c r="C374" s="2"/>
      <c r="D374" s="4" t="s">
        <v>2383</v>
      </c>
      <c r="E374" s="150">
        <v>7</v>
      </c>
      <c r="F374" s="2"/>
      <c r="G374" s="193" t="s">
        <v>2395</v>
      </c>
      <c r="H374" s="12">
        <f>ROUND(SUM(H375:H385)/COUNT(H375:H385), 2)</f>
        <v>8.86</v>
      </c>
      <c r="I374" s="2"/>
      <c r="J374" s="4" t="s">
        <v>2370</v>
      </c>
      <c r="K374" s="150">
        <v>9</v>
      </c>
      <c r="L374" s="2"/>
      <c r="M374" s="194" t="s">
        <v>2421</v>
      </c>
      <c r="N374" s="12">
        <f>ROUND(SUM(N375:N387)/COUNT(N375:N387), 2)</f>
        <v>8.56</v>
      </c>
      <c r="O374" s="17"/>
      <c r="R374" s="266">
        <v>3</v>
      </c>
      <c r="S374" s="257" t="s">
        <v>1670</v>
      </c>
      <c r="T374" s="257" t="s">
        <v>1669</v>
      </c>
      <c r="U374" s="258">
        <v>8.85</v>
      </c>
      <c r="V374" s="305">
        <v>8.7799999999999994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2329</v>
      </c>
      <c r="B375" s="150">
        <v>9</v>
      </c>
      <c r="C375" s="2"/>
      <c r="D375" s="4" t="s">
        <v>2384</v>
      </c>
      <c r="E375" s="150">
        <v>10</v>
      </c>
      <c r="F375" s="2"/>
      <c r="G375" s="11" t="s">
        <v>2396</v>
      </c>
      <c r="H375" s="149">
        <v>8.5</v>
      </c>
      <c r="I375" s="2"/>
      <c r="J375" s="4" t="s">
        <v>2371</v>
      </c>
      <c r="K375" s="150">
        <v>9</v>
      </c>
      <c r="L375" s="2"/>
      <c r="M375" s="11" t="s">
        <v>2413</v>
      </c>
      <c r="N375" s="149">
        <v>9.5</v>
      </c>
      <c r="O375" s="17"/>
      <c r="R375" s="267">
        <v>4</v>
      </c>
      <c r="S375" s="260" t="s">
        <v>1772</v>
      </c>
      <c r="T375" s="260" t="s">
        <v>1773</v>
      </c>
      <c r="U375" s="261">
        <v>8.83</v>
      </c>
      <c r="V375" s="306">
        <v>8.77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2071</v>
      </c>
      <c r="B376" s="150">
        <v>8.5</v>
      </c>
      <c r="C376" s="2"/>
      <c r="D376" s="4" t="s">
        <v>651</v>
      </c>
      <c r="E376" s="150">
        <v>8</v>
      </c>
      <c r="F376" s="2"/>
      <c r="G376" s="4" t="s">
        <v>2397</v>
      </c>
      <c r="H376" s="150">
        <v>9.5</v>
      </c>
      <c r="I376" s="2"/>
      <c r="J376" s="4" t="s">
        <v>2372</v>
      </c>
      <c r="K376" s="150">
        <v>8</v>
      </c>
      <c r="L376" s="2"/>
      <c r="M376" s="228" t="s">
        <v>2414</v>
      </c>
      <c r="N376" s="150">
        <v>10</v>
      </c>
      <c r="O376" s="17"/>
      <c r="R376" s="267">
        <v>5</v>
      </c>
      <c r="S376" s="257" t="s">
        <v>956</v>
      </c>
      <c r="T376" s="257" t="s">
        <v>954</v>
      </c>
      <c r="U376" s="258">
        <v>8.67</v>
      </c>
      <c r="V376" s="324">
        <v>8.56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2330</v>
      </c>
      <c r="B377" s="151"/>
      <c r="C377" s="2"/>
      <c r="D377" s="4" t="s">
        <v>2385</v>
      </c>
      <c r="E377" s="150">
        <v>7</v>
      </c>
      <c r="F377" s="2"/>
      <c r="G377" s="4" t="s">
        <v>2398</v>
      </c>
      <c r="H377" s="150">
        <v>8</v>
      </c>
      <c r="I377" s="2"/>
      <c r="J377" s="4" t="s">
        <v>2373</v>
      </c>
      <c r="K377" s="150">
        <v>7</v>
      </c>
      <c r="L377" s="2"/>
      <c r="M377" s="228" t="s">
        <v>2415</v>
      </c>
      <c r="N377" s="150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2386</v>
      </c>
      <c r="E378" s="150">
        <v>10</v>
      </c>
      <c r="F378" s="2"/>
      <c r="G378" s="4" t="s">
        <v>2399</v>
      </c>
      <c r="H378" s="150">
        <v>8</v>
      </c>
      <c r="I378" s="2"/>
      <c r="J378" s="7" t="s">
        <v>565</v>
      </c>
      <c r="K378" s="151">
        <v>10</v>
      </c>
      <c r="L378" s="2"/>
      <c r="M378" s="228" t="s">
        <v>2416</v>
      </c>
      <c r="N378" s="150">
        <v>9.5</v>
      </c>
      <c r="O378" s="17"/>
      <c r="R378" s="391" t="s">
        <v>3236</v>
      </c>
      <c r="S378" s="391"/>
      <c r="T378" s="391"/>
      <c r="U378" s="391"/>
      <c r="V378" s="391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5" t="s">
        <v>2538</v>
      </c>
      <c r="B379" s="1">
        <f>ROUND(SUM(B380:B390)/COUNT(B380:B390), 2)</f>
        <v>9.16</v>
      </c>
      <c r="C379" s="2"/>
      <c r="D379" s="4" t="s">
        <v>2387</v>
      </c>
      <c r="E379" s="150">
        <v>10.5</v>
      </c>
      <c r="F379" s="2"/>
      <c r="G379" s="4" t="s">
        <v>2400</v>
      </c>
      <c r="H379" s="150">
        <v>8.5</v>
      </c>
      <c r="I379" s="2"/>
      <c r="J379" s="2"/>
      <c r="K379" s="2"/>
      <c r="L379" s="2"/>
      <c r="M379" s="4" t="s">
        <v>2417</v>
      </c>
      <c r="N379" s="150">
        <v>8</v>
      </c>
      <c r="O379" s="17"/>
      <c r="R379" s="256" t="s">
        <v>352</v>
      </c>
      <c r="S379" s="256" t="s">
        <v>319</v>
      </c>
      <c r="T379" s="256" t="s">
        <v>320</v>
      </c>
      <c r="U379" s="256" t="s">
        <v>321</v>
      </c>
      <c r="V379" s="256" t="s">
        <v>1002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2427</v>
      </c>
      <c r="B380" s="149">
        <v>9</v>
      </c>
      <c r="C380" s="2"/>
      <c r="D380" s="4" t="s">
        <v>2388</v>
      </c>
      <c r="E380" s="150">
        <v>8</v>
      </c>
      <c r="F380" s="2"/>
      <c r="G380" s="4" t="s">
        <v>2401</v>
      </c>
      <c r="H380" s="150">
        <v>10</v>
      </c>
      <c r="I380" s="2"/>
      <c r="J380" s="196" t="s">
        <v>2438</v>
      </c>
      <c r="K380" s="12">
        <f>ROUND(SUM(K381:K391)/COUNT(K381:K391), 2)</f>
        <v>8.64</v>
      </c>
      <c r="L380" s="2"/>
      <c r="M380" s="228" t="s">
        <v>2418</v>
      </c>
      <c r="N380" s="150">
        <v>8</v>
      </c>
      <c r="O380" s="17"/>
      <c r="R380" s="263">
        <v>1</v>
      </c>
      <c r="S380" s="257" t="s">
        <v>335</v>
      </c>
      <c r="T380" s="257" t="s">
        <v>2785</v>
      </c>
      <c r="U380" s="258">
        <v>9.02</v>
      </c>
      <c r="V380" s="377">
        <v>9.07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2428</v>
      </c>
      <c r="B381" s="150">
        <v>8</v>
      </c>
      <c r="C381" s="2"/>
      <c r="D381" s="7" t="s">
        <v>2389</v>
      </c>
      <c r="E381" s="151">
        <v>8</v>
      </c>
      <c r="F381" s="2"/>
      <c r="G381" s="4" t="s">
        <v>2402</v>
      </c>
      <c r="H381" s="150">
        <v>10</v>
      </c>
      <c r="I381" s="2"/>
      <c r="J381" s="11" t="s">
        <v>2439</v>
      </c>
      <c r="K381" s="149">
        <v>8</v>
      </c>
      <c r="L381" s="2"/>
      <c r="M381" s="228" t="s">
        <v>2419</v>
      </c>
      <c r="N381" s="150">
        <v>8</v>
      </c>
      <c r="O381" s="17"/>
      <c r="R381" s="265">
        <v>2</v>
      </c>
      <c r="S381" s="260" t="s">
        <v>338</v>
      </c>
      <c r="T381" s="260" t="s">
        <v>2786</v>
      </c>
      <c r="U381" s="261">
        <v>8.39</v>
      </c>
      <c r="V381" s="338">
        <v>8.3699999999999992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2433</v>
      </c>
      <c r="B382" s="150">
        <v>10.5</v>
      </c>
      <c r="C382" s="2"/>
      <c r="D382" s="2"/>
      <c r="E382" s="2"/>
      <c r="F382" s="2"/>
      <c r="G382" s="4" t="s">
        <v>2403</v>
      </c>
      <c r="H382" s="150">
        <v>7.5</v>
      </c>
      <c r="I382" s="2"/>
      <c r="J382" s="4" t="s">
        <v>2440</v>
      </c>
      <c r="K382" s="150">
        <v>9</v>
      </c>
      <c r="L382" s="2"/>
      <c r="M382" s="7" t="s">
        <v>2420</v>
      </c>
      <c r="N382" s="151">
        <v>8.5</v>
      </c>
      <c r="O382" s="17"/>
      <c r="R382" s="266">
        <v>3</v>
      </c>
      <c r="S382" s="257" t="s">
        <v>3223</v>
      </c>
      <c r="T382" s="257" t="s">
        <v>3224</v>
      </c>
      <c r="U382" s="258">
        <v>8.4499999999999993</v>
      </c>
      <c r="V382" s="339">
        <v>8.34</v>
      </c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2429</v>
      </c>
      <c r="B383" s="150"/>
      <c r="C383" s="2"/>
      <c r="D383" s="197" t="s">
        <v>2448</v>
      </c>
      <c r="E383" s="12">
        <f>ROUND(SUM(E384:E386)/COUNT(E384:E386), 2)</f>
        <v>9.67</v>
      </c>
      <c r="F383" s="2"/>
      <c r="G383" s="4" t="s">
        <v>2404</v>
      </c>
      <c r="H383" s="150">
        <v>9</v>
      </c>
      <c r="I383" s="2"/>
      <c r="J383" s="4" t="s">
        <v>2441</v>
      </c>
      <c r="K383" s="150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2430</v>
      </c>
      <c r="B384" s="150">
        <v>10</v>
      </c>
      <c r="C384" s="2"/>
      <c r="D384" s="11" t="s">
        <v>2449</v>
      </c>
      <c r="E384" s="149">
        <v>10.5</v>
      </c>
      <c r="F384" s="2"/>
      <c r="G384" s="4" t="s">
        <v>2405</v>
      </c>
      <c r="H384" s="150">
        <v>8.5</v>
      </c>
      <c r="I384" s="2"/>
      <c r="J384" s="4" t="s">
        <v>2442</v>
      </c>
      <c r="K384" s="150">
        <v>8.5</v>
      </c>
      <c r="L384" s="2"/>
      <c r="M384" s="198" t="s">
        <v>2452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2431</v>
      </c>
      <c r="B385" s="150">
        <v>7.5</v>
      </c>
      <c r="C385" s="2"/>
      <c r="D385" s="4" t="s">
        <v>2450</v>
      </c>
      <c r="E385" s="150">
        <v>8.5</v>
      </c>
      <c r="F385" s="2"/>
      <c r="G385" s="7" t="s">
        <v>2406</v>
      </c>
      <c r="H385" s="151">
        <v>10</v>
      </c>
      <c r="I385" s="2"/>
      <c r="J385" s="4" t="s">
        <v>2443</v>
      </c>
      <c r="K385" s="150">
        <v>8.5</v>
      </c>
      <c r="L385" s="2"/>
      <c r="M385" s="4" t="s">
        <v>2453</v>
      </c>
      <c r="N385" s="150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2432</v>
      </c>
      <c r="B386" s="150">
        <v>10.5</v>
      </c>
      <c r="C386" s="2"/>
      <c r="D386" s="7" t="s">
        <v>2451</v>
      </c>
      <c r="E386" s="151">
        <v>10</v>
      </c>
      <c r="F386" s="2"/>
      <c r="G386" s="2"/>
      <c r="H386" s="2"/>
      <c r="I386" s="2"/>
      <c r="J386" s="4" t="s">
        <v>2444</v>
      </c>
      <c r="K386" s="150">
        <v>10</v>
      </c>
      <c r="L386" s="2"/>
      <c r="M386" s="4" t="s">
        <v>2454</v>
      </c>
      <c r="N386" s="150">
        <v>8</v>
      </c>
      <c r="O386" s="17"/>
      <c r="R386" s="391" t="s">
        <v>2794</v>
      </c>
      <c r="S386" s="391"/>
      <c r="T386" s="391"/>
      <c r="U386" s="391"/>
      <c r="V386" s="391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2434</v>
      </c>
      <c r="B387" s="151"/>
      <c r="C387" s="2"/>
      <c r="D387" s="2"/>
      <c r="E387" s="2"/>
      <c r="F387" s="2"/>
      <c r="G387" s="199" t="s">
        <v>2466</v>
      </c>
      <c r="H387" s="12">
        <f>ROUND(SUM(H388:H399)/COUNT(H388:H399), 2)</f>
        <v>7.17</v>
      </c>
      <c r="I387" s="2"/>
      <c r="J387" s="4" t="s">
        <v>2445</v>
      </c>
      <c r="K387" s="150">
        <v>8.5</v>
      </c>
      <c r="L387" s="2"/>
      <c r="M387" s="4" t="s">
        <v>2455</v>
      </c>
      <c r="N387" s="150">
        <v>8.5</v>
      </c>
      <c r="O387" s="17"/>
      <c r="R387" s="256" t="s">
        <v>352</v>
      </c>
      <c r="S387" s="256" t="s">
        <v>319</v>
      </c>
      <c r="T387" s="256" t="s">
        <v>320</v>
      </c>
      <c r="U387" s="256" t="s">
        <v>321</v>
      </c>
      <c r="V387" s="256" t="s">
        <v>1002</v>
      </c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0" t="s">
        <v>2485</v>
      </c>
      <c r="E388" s="12">
        <f>ROUND(SUM(E389:E401)/COUNT(E389:E401), 2)</f>
        <v>8.7899999999999991</v>
      </c>
      <c r="F388" s="2"/>
      <c r="G388" s="11" t="s">
        <v>2467</v>
      </c>
      <c r="H388" s="149">
        <v>8.5</v>
      </c>
      <c r="I388" s="2"/>
      <c r="J388" s="4" t="s">
        <v>2446</v>
      </c>
      <c r="K388" s="150">
        <v>7.5</v>
      </c>
      <c r="L388" s="2"/>
      <c r="M388" s="4" t="s">
        <v>2456</v>
      </c>
      <c r="N388" s="150">
        <v>8</v>
      </c>
      <c r="O388" s="17"/>
      <c r="R388" s="263">
        <v>1</v>
      </c>
      <c r="S388" s="257" t="s">
        <v>326</v>
      </c>
      <c r="T388" s="257" t="s">
        <v>1242</v>
      </c>
      <c r="U388" s="258">
        <v>9.36</v>
      </c>
      <c r="V388" s="271">
        <v>9.6</v>
      </c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1" t="s">
        <v>2512</v>
      </c>
      <c r="B389" s="12">
        <f>ROUND(SUM(B390:B399)/COUNT(B390:B399), 2)</f>
        <v>8.75</v>
      </c>
      <c r="C389" s="2"/>
      <c r="D389" s="11" t="s">
        <v>2486</v>
      </c>
      <c r="E389" s="149">
        <v>8.5</v>
      </c>
      <c r="F389" s="2"/>
      <c r="G389" s="4" t="s">
        <v>2468</v>
      </c>
      <c r="H389" s="150">
        <v>7.5</v>
      </c>
      <c r="I389" s="2"/>
      <c r="J389" s="7" t="s">
        <v>2447</v>
      </c>
      <c r="K389" s="151">
        <v>9</v>
      </c>
      <c r="L389" s="2"/>
      <c r="M389" s="4" t="s">
        <v>2457</v>
      </c>
      <c r="N389" s="150">
        <v>8</v>
      </c>
      <c r="O389" s="17"/>
      <c r="R389" s="265">
        <v>2</v>
      </c>
      <c r="S389" s="260" t="s">
        <v>1438</v>
      </c>
      <c r="T389" s="260" t="s">
        <v>2784</v>
      </c>
      <c r="U389" s="261">
        <v>8.77</v>
      </c>
      <c r="V389" s="314">
        <v>8.67</v>
      </c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2502</v>
      </c>
      <c r="B390" s="149">
        <v>9</v>
      </c>
      <c r="C390" s="2"/>
      <c r="D390" s="4" t="s">
        <v>2487</v>
      </c>
      <c r="E390" s="150">
        <v>9.5</v>
      </c>
      <c r="F390" s="2"/>
      <c r="G390" s="4" t="s">
        <v>2469</v>
      </c>
      <c r="H390" s="150">
        <v>7</v>
      </c>
      <c r="I390" s="2"/>
      <c r="J390" s="2"/>
      <c r="K390" s="2"/>
      <c r="L390" s="2"/>
      <c r="M390" s="4" t="s">
        <v>2458</v>
      </c>
      <c r="N390" s="150">
        <v>7.5</v>
      </c>
      <c r="O390" s="17"/>
      <c r="R390" s="266">
        <v>3</v>
      </c>
      <c r="S390" s="257" t="s">
        <v>1237</v>
      </c>
      <c r="T390" s="257" t="s">
        <v>1232</v>
      </c>
      <c r="U390" s="258">
        <v>8.75</v>
      </c>
      <c r="V390" s="318">
        <v>8.6300000000000008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2503</v>
      </c>
      <c r="B391" s="150">
        <v>8</v>
      </c>
      <c r="C391" s="2"/>
      <c r="D391" s="4" t="s">
        <v>2488</v>
      </c>
      <c r="E391" s="150">
        <v>8.5</v>
      </c>
      <c r="F391" s="2"/>
      <c r="G391" s="4" t="s">
        <v>2470</v>
      </c>
      <c r="H391" s="150">
        <v>6.5</v>
      </c>
      <c r="I391" s="2"/>
      <c r="J391" s="202" t="s">
        <v>2516</v>
      </c>
      <c r="K391" s="12">
        <f>ROUND(SUM(K392:K397)/COUNT(K392:K397), 2)</f>
        <v>8.9</v>
      </c>
      <c r="L391" s="2"/>
      <c r="M391" s="4" t="s">
        <v>2459</v>
      </c>
      <c r="N391" s="150">
        <v>8</v>
      </c>
      <c r="O391" s="17"/>
      <c r="R391" s="267">
        <v>4</v>
      </c>
      <c r="S391" s="260" t="s">
        <v>2345</v>
      </c>
      <c r="T391" s="260" t="s">
        <v>2344</v>
      </c>
      <c r="U391" s="261">
        <v>8.61</v>
      </c>
      <c r="V391" s="328">
        <v>8.52</v>
      </c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2504</v>
      </c>
      <c r="B392" s="150">
        <v>9</v>
      </c>
      <c r="C392" s="2"/>
      <c r="D392" s="4" t="s">
        <v>2489</v>
      </c>
      <c r="E392" s="150">
        <v>8</v>
      </c>
      <c r="F392" s="2"/>
      <c r="G392" s="4" t="s">
        <v>2471</v>
      </c>
      <c r="H392" s="150">
        <v>7</v>
      </c>
      <c r="I392" s="2"/>
      <c r="J392" s="11" t="s">
        <v>2517</v>
      </c>
      <c r="K392" s="149">
        <v>8.5</v>
      </c>
      <c r="L392" s="2"/>
      <c r="M392" s="4" t="s">
        <v>2460</v>
      </c>
      <c r="N392" s="150">
        <v>7.5</v>
      </c>
      <c r="O392" s="17"/>
      <c r="R392" s="267">
        <v>5</v>
      </c>
      <c r="S392" s="257" t="s">
        <v>1655</v>
      </c>
      <c r="T392" s="257" t="s">
        <v>1656</v>
      </c>
      <c r="U392" s="258">
        <v>8.4</v>
      </c>
      <c r="V392" s="338">
        <v>8.3699999999999992</v>
      </c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2505</v>
      </c>
      <c r="B393" s="150">
        <v>10.5</v>
      </c>
      <c r="C393" s="2"/>
      <c r="D393" s="4" t="s">
        <v>2490</v>
      </c>
      <c r="E393" s="150">
        <v>8</v>
      </c>
      <c r="F393" s="2"/>
      <c r="G393" s="4" t="s">
        <v>2472</v>
      </c>
      <c r="H393" s="150">
        <v>7.5</v>
      </c>
      <c r="I393" s="2"/>
      <c r="J393" s="4" t="s">
        <v>2518</v>
      </c>
      <c r="K393" s="150">
        <v>10.5</v>
      </c>
      <c r="L393" s="2"/>
      <c r="M393" s="4" t="s">
        <v>2461</v>
      </c>
      <c r="N393" s="150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2506</v>
      </c>
      <c r="B394" s="150">
        <v>8.5</v>
      </c>
      <c r="C394" s="2"/>
      <c r="D394" s="4" t="s">
        <v>2491</v>
      </c>
      <c r="E394" s="150">
        <v>9.5</v>
      </c>
      <c r="F394" s="2"/>
      <c r="G394" s="4" t="s">
        <v>2473</v>
      </c>
      <c r="H394" s="150">
        <v>6.5</v>
      </c>
      <c r="I394" s="2"/>
      <c r="J394" s="4" t="s">
        <v>2519</v>
      </c>
      <c r="K394" s="150">
        <v>9</v>
      </c>
      <c r="L394" s="2"/>
      <c r="M394" s="4" t="s">
        <v>2462</v>
      </c>
      <c r="N394" s="150">
        <v>9</v>
      </c>
      <c r="O394" s="17"/>
      <c r="R394" s="391" t="s">
        <v>2826</v>
      </c>
      <c r="S394" s="391"/>
      <c r="T394" s="391"/>
      <c r="U394" s="391"/>
      <c r="V394" s="391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2507</v>
      </c>
      <c r="B395" s="150">
        <v>8.5</v>
      </c>
      <c r="C395" s="2"/>
      <c r="D395" s="4" t="s">
        <v>2492</v>
      </c>
      <c r="E395" s="150">
        <v>8</v>
      </c>
      <c r="F395" s="2"/>
      <c r="G395" s="4" t="s">
        <v>2474</v>
      </c>
      <c r="H395" s="150">
        <v>6</v>
      </c>
      <c r="I395" s="2"/>
      <c r="J395" s="4" t="s">
        <v>2520</v>
      </c>
      <c r="K395" s="150"/>
      <c r="L395" s="2"/>
      <c r="M395" s="7" t="s">
        <v>2463</v>
      </c>
      <c r="N395" s="151"/>
      <c r="O395" s="17"/>
      <c r="R395" s="256" t="s">
        <v>352</v>
      </c>
      <c r="S395" s="256" t="s">
        <v>319</v>
      </c>
      <c r="T395" s="256" t="s">
        <v>320</v>
      </c>
      <c r="U395" s="256" t="s">
        <v>321</v>
      </c>
      <c r="V395" s="256" t="s">
        <v>1002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2508</v>
      </c>
      <c r="B396" s="150">
        <v>8</v>
      </c>
      <c r="C396" s="2"/>
      <c r="D396" s="4" t="s">
        <v>2493</v>
      </c>
      <c r="E396" s="150">
        <v>9</v>
      </c>
      <c r="F396" s="2"/>
      <c r="G396" s="4" t="s">
        <v>2475</v>
      </c>
      <c r="H396" s="150">
        <v>8</v>
      </c>
      <c r="I396" s="2"/>
      <c r="J396" s="4" t="s">
        <v>2521</v>
      </c>
      <c r="K396" s="150">
        <v>8.5</v>
      </c>
      <c r="L396" s="2"/>
      <c r="M396" s="2"/>
      <c r="N396" s="2"/>
      <c r="O396" s="17"/>
      <c r="R396" s="263">
        <v>1</v>
      </c>
      <c r="S396" s="257" t="s">
        <v>327</v>
      </c>
      <c r="T396" s="257" t="s">
        <v>2787</v>
      </c>
      <c r="U396" s="258">
        <v>8.52</v>
      </c>
      <c r="V396" s="324">
        <v>8.56</v>
      </c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2509</v>
      </c>
      <c r="B397" s="150">
        <v>8.5</v>
      </c>
      <c r="C397" s="2"/>
      <c r="D397" s="4" t="s">
        <v>2494</v>
      </c>
      <c r="E397" s="150">
        <v>9</v>
      </c>
      <c r="F397" s="2"/>
      <c r="G397" s="4" t="s">
        <v>2476</v>
      </c>
      <c r="H397" s="150">
        <v>7</v>
      </c>
      <c r="I397" s="2"/>
      <c r="J397" s="7" t="s">
        <v>2522</v>
      </c>
      <c r="K397" s="151">
        <v>8</v>
      </c>
      <c r="L397" s="2"/>
      <c r="M397" s="212" t="s">
        <v>2537</v>
      </c>
      <c r="N397" s="12">
        <f>ROUND(SUM(N398:N410)/COUNT(N398:N410), 2)</f>
        <v>9.08</v>
      </c>
      <c r="O397" s="17"/>
      <c r="R397" s="265">
        <v>2</v>
      </c>
      <c r="S397" s="260" t="s">
        <v>337</v>
      </c>
      <c r="T397" s="260" t="s">
        <v>2788</v>
      </c>
      <c r="U397" s="261">
        <v>8.61</v>
      </c>
      <c r="V397" s="320">
        <v>8.61</v>
      </c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2510</v>
      </c>
      <c r="B398" s="150">
        <v>8.5</v>
      </c>
      <c r="C398" s="2"/>
      <c r="D398" s="4" t="s">
        <v>2495</v>
      </c>
      <c r="E398" s="150">
        <v>9</v>
      </c>
      <c r="F398" s="2"/>
      <c r="G398" s="4" t="s">
        <v>2477</v>
      </c>
      <c r="H398" s="150">
        <v>6.5</v>
      </c>
      <c r="I398" s="2"/>
      <c r="J398" s="2"/>
      <c r="K398" s="2"/>
      <c r="L398" s="2"/>
      <c r="M398" s="11" t="s">
        <v>2524</v>
      </c>
      <c r="N398" s="149">
        <v>9.5</v>
      </c>
      <c r="O398" s="17"/>
      <c r="R398" s="266">
        <v>3</v>
      </c>
      <c r="S398" s="257" t="s">
        <v>1740</v>
      </c>
      <c r="T398" s="257" t="s">
        <v>2807</v>
      </c>
      <c r="U398" s="258">
        <v>8.5</v>
      </c>
      <c r="V398" s="331">
        <v>8.4700000000000006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2511</v>
      </c>
      <c r="B399" s="151">
        <v>9</v>
      </c>
      <c r="C399" s="2"/>
      <c r="D399" s="4" t="s">
        <v>2496</v>
      </c>
      <c r="E399" s="150">
        <v>8</v>
      </c>
      <c r="F399" s="2"/>
      <c r="G399" s="7" t="s">
        <v>2478</v>
      </c>
      <c r="H399" s="151">
        <v>8</v>
      </c>
      <c r="I399" s="2"/>
      <c r="J399" s="203" t="s">
        <v>2548</v>
      </c>
      <c r="K399" s="12">
        <f>ROUND(SUM(K400:K410)/COUNT(K400:K410), 2)</f>
        <v>8.86</v>
      </c>
      <c r="L399" s="2"/>
      <c r="M399" s="4" t="s">
        <v>2525</v>
      </c>
      <c r="N399" s="150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2497</v>
      </c>
      <c r="E400" s="150"/>
      <c r="F400" s="2"/>
      <c r="G400" s="2"/>
      <c r="H400" s="2"/>
      <c r="I400" s="2"/>
      <c r="J400" s="11" t="s">
        <v>2549</v>
      </c>
      <c r="K400" s="149">
        <v>8.5</v>
      </c>
      <c r="L400" s="2"/>
      <c r="M400" s="4" t="s">
        <v>2526</v>
      </c>
      <c r="N400" s="150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4" t="s">
        <v>2567</v>
      </c>
      <c r="B401" s="12">
        <f>ROUND(SUM(B402:B411)/COUNT(B402:B411), 2)</f>
        <v>8.75</v>
      </c>
      <c r="C401" s="2"/>
      <c r="D401" s="7" t="s">
        <v>2498</v>
      </c>
      <c r="E401" s="151">
        <v>10.5</v>
      </c>
      <c r="F401" s="2"/>
      <c r="G401" s="205" t="s">
        <v>2574</v>
      </c>
      <c r="H401" s="12">
        <f>ROUND(SUM(H402:H413)/COUNT(H402:H413), 2)</f>
        <v>8.6300000000000008</v>
      </c>
      <c r="I401" s="2"/>
      <c r="J401" s="4" t="s">
        <v>2550</v>
      </c>
      <c r="K401" s="150">
        <v>10</v>
      </c>
      <c r="L401" s="2"/>
      <c r="M401" s="4" t="s">
        <v>2527</v>
      </c>
      <c r="N401" s="150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2568</v>
      </c>
      <c r="B402" s="149"/>
      <c r="C402" s="2"/>
      <c r="D402" s="2"/>
      <c r="E402" s="2"/>
      <c r="F402" s="2"/>
      <c r="G402" s="11" t="s">
        <v>2575</v>
      </c>
      <c r="H402" s="149">
        <v>10.5</v>
      </c>
      <c r="I402" s="2"/>
      <c r="J402" s="4" t="s">
        <v>689</v>
      </c>
      <c r="K402" s="150">
        <v>10</v>
      </c>
      <c r="L402" s="2"/>
      <c r="M402" s="4" t="s">
        <v>2528</v>
      </c>
      <c r="N402" s="150">
        <v>10.5</v>
      </c>
      <c r="O402" s="17"/>
      <c r="R402" s="391" t="s">
        <v>3135</v>
      </c>
      <c r="S402" s="391"/>
      <c r="T402" s="391"/>
      <c r="U402" s="391"/>
      <c r="V402" s="391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2569</v>
      </c>
      <c r="B403" s="150">
        <v>10</v>
      </c>
      <c r="C403" s="2"/>
      <c r="D403" s="210" t="s">
        <v>2597</v>
      </c>
      <c r="E403" s="12">
        <f>ROUND(SUM(E404:E413)/COUNT(E404:E413), 2)</f>
        <v>2.5</v>
      </c>
      <c r="F403" s="2"/>
      <c r="G403" s="4" t="s">
        <v>2576</v>
      </c>
      <c r="H403" s="150">
        <v>9</v>
      </c>
      <c r="I403" s="2"/>
      <c r="J403" s="4" t="s">
        <v>2551</v>
      </c>
      <c r="K403" s="150">
        <v>8.5</v>
      </c>
      <c r="L403" s="2"/>
      <c r="M403" s="4" t="s">
        <v>2529</v>
      </c>
      <c r="N403" s="150">
        <v>8.5</v>
      </c>
      <c r="O403" s="17"/>
      <c r="R403" s="256" t="s">
        <v>352</v>
      </c>
      <c r="S403" s="256" t="s">
        <v>319</v>
      </c>
      <c r="T403" s="256" t="s">
        <v>320</v>
      </c>
      <c r="U403" s="256" t="s">
        <v>321</v>
      </c>
      <c r="V403" s="256" t="s">
        <v>1002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2570</v>
      </c>
      <c r="B404" s="150">
        <v>9.5</v>
      </c>
      <c r="C404" s="2"/>
      <c r="D404" s="11" t="s">
        <v>2587</v>
      </c>
      <c r="E404" s="149">
        <v>3.5</v>
      </c>
      <c r="F404" s="2"/>
      <c r="G404" s="4" t="s">
        <v>2577</v>
      </c>
      <c r="H404" s="150">
        <v>8.5</v>
      </c>
      <c r="I404" s="2"/>
      <c r="J404" s="4" t="s">
        <v>2552</v>
      </c>
      <c r="K404" s="150">
        <v>10.5</v>
      </c>
      <c r="L404" s="2"/>
      <c r="M404" s="4" t="s">
        <v>2530</v>
      </c>
      <c r="N404" s="150">
        <v>8.5</v>
      </c>
      <c r="O404" s="17"/>
      <c r="R404" s="263">
        <v>1</v>
      </c>
      <c r="S404" s="257" t="s">
        <v>2026</v>
      </c>
      <c r="T404" s="257" t="s">
        <v>2019</v>
      </c>
      <c r="U404" s="258">
        <v>9.31</v>
      </c>
      <c r="V404" s="275">
        <v>9.43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2571</v>
      </c>
      <c r="B405" s="150">
        <v>8</v>
      </c>
      <c r="C405" s="2"/>
      <c r="D405" s="4" t="s">
        <v>2588</v>
      </c>
      <c r="E405" s="150">
        <v>0</v>
      </c>
      <c r="F405" s="2"/>
      <c r="G405" s="4" t="s">
        <v>2578</v>
      </c>
      <c r="H405" s="150">
        <v>8.5</v>
      </c>
      <c r="I405" s="2"/>
      <c r="J405" s="4" t="s">
        <v>2553</v>
      </c>
      <c r="K405" s="150">
        <v>9.5</v>
      </c>
      <c r="L405" s="2"/>
      <c r="M405" s="4" t="s">
        <v>2531</v>
      </c>
      <c r="N405" s="150">
        <v>10</v>
      </c>
      <c r="O405" s="17"/>
      <c r="R405" s="265">
        <v>2</v>
      </c>
      <c r="S405" s="260" t="s">
        <v>1692</v>
      </c>
      <c r="T405" s="260" t="s">
        <v>3136</v>
      </c>
      <c r="U405" s="261">
        <v>8.81</v>
      </c>
      <c r="V405" s="306">
        <v>8.77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2572</v>
      </c>
      <c r="B406" s="150"/>
      <c r="C406" s="2"/>
      <c r="D406" s="4" t="s">
        <v>2589</v>
      </c>
      <c r="E406" s="150">
        <v>3</v>
      </c>
      <c r="F406" s="2"/>
      <c r="G406" s="4" t="s">
        <v>2579</v>
      </c>
      <c r="H406" s="150">
        <v>8</v>
      </c>
      <c r="I406" s="2"/>
      <c r="J406" s="4" t="s">
        <v>2554</v>
      </c>
      <c r="K406" s="150">
        <v>8</v>
      </c>
      <c r="L406" s="2"/>
      <c r="M406" s="4" t="s">
        <v>2532</v>
      </c>
      <c r="N406" s="150">
        <v>8.5</v>
      </c>
      <c r="O406" s="17"/>
      <c r="R406" s="266">
        <v>3</v>
      </c>
      <c r="S406" s="257" t="s">
        <v>335</v>
      </c>
      <c r="T406" s="257" t="s">
        <v>335</v>
      </c>
      <c r="U406" s="258">
        <v>8.4600000000000009</v>
      </c>
      <c r="V406" s="316">
        <v>8.65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2573</v>
      </c>
      <c r="B407" s="151">
        <v>8</v>
      </c>
      <c r="C407" s="2"/>
      <c r="D407" s="4" t="s">
        <v>2590</v>
      </c>
      <c r="E407" s="150">
        <v>2</v>
      </c>
      <c r="F407" s="2"/>
      <c r="G407" s="4" t="s">
        <v>2580</v>
      </c>
      <c r="H407" s="150">
        <v>7.5</v>
      </c>
      <c r="I407" s="2"/>
      <c r="J407" s="4" t="s">
        <v>2555</v>
      </c>
      <c r="K407" s="150">
        <v>8.5</v>
      </c>
      <c r="L407" s="2"/>
      <c r="M407" s="4" t="s">
        <v>2533</v>
      </c>
      <c r="N407" s="150">
        <v>8</v>
      </c>
      <c r="O407" s="17"/>
      <c r="R407" s="267">
        <v>4</v>
      </c>
      <c r="S407" s="260" t="s">
        <v>3131</v>
      </c>
      <c r="T407" s="260" t="s">
        <v>3132</v>
      </c>
      <c r="U407" s="261">
        <v>8.58</v>
      </c>
      <c r="V407" s="329">
        <v>8.5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2591</v>
      </c>
      <c r="E408" s="150">
        <v>3</v>
      </c>
      <c r="F408" s="2"/>
      <c r="G408" s="4" t="s">
        <v>2581</v>
      </c>
      <c r="H408" s="150">
        <v>8</v>
      </c>
      <c r="I408" s="2"/>
      <c r="J408" s="4" t="s">
        <v>2556</v>
      </c>
      <c r="K408" s="150">
        <v>7.5</v>
      </c>
      <c r="L408" s="2"/>
      <c r="M408" s="4" t="s">
        <v>2534</v>
      </c>
      <c r="N408" s="150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8" t="s">
        <v>2628</v>
      </c>
      <c r="B409" s="12">
        <f>ROUND(SUM(B410:B426)/COUNT(B410:B426), 2)</f>
        <v>8.24</v>
      </c>
      <c r="C409" s="2"/>
      <c r="D409" s="4" t="s">
        <v>2592</v>
      </c>
      <c r="E409" s="152">
        <v>5</v>
      </c>
      <c r="F409" s="2"/>
      <c r="G409" s="4" t="s">
        <v>2582</v>
      </c>
      <c r="H409" s="150">
        <v>7.5</v>
      </c>
      <c r="I409" s="2"/>
      <c r="J409" s="4" t="s">
        <v>2557</v>
      </c>
      <c r="K409" s="150">
        <v>8</v>
      </c>
      <c r="L409" s="2"/>
      <c r="M409" s="4" t="s">
        <v>2535</v>
      </c>
      <c r="N409" s="150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2629</v>
      </c>
      <c r="B410" s="206">
        <v>7.5</v>
      </c>
      <c r="C410" s="2"/>
      <c r="D410" s="4" t="s">
        <v>2593</v>
      </c>
      <c r="E410" s="150">
        <v>2.5</v>
      </c>
      <c r="F410" s="2"/>
      <c r="G410" s="4" t="s">
        <v>2583</v>
      </c>
      <c r="H410" s="150">
        <v>9</v>
      </c>
      <c r="I410" s="2"/>
      <c r="J410" s="7" t="s">
        <v>2558</v>
      </c>
      <c r="K410" s="151">
        <v>8.5</v>
      </c>
      <c r="L410" s="2"/>
      <c r="M410" s="7" t="s">
        <v>2536</v>
      </c>
      <c r="N410" s="151">
        <v>9</v>
      </c>
      <c r="O410" s="17"/>
      <c r="R410" s="391" t="s">
        <v>2940</v>
      </c>
      <c r="S410" s="391"/>
      <c r="T410" s="391"/>
      <c r="U410" s="391"/>
      <c r="V410" s="391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1" t="s">
        <v>2630</v>
      </c>
      <c r="B411" s="152">
        <v>10</v>
      </c>
      <c r="C411" s="2"/>
      <c r="D411" s="4" t="s">
        <v>2594</v>
      </c>
      <c r="E411" s="150">
        <v>3</v>
      </c>
      <c r="F411" s="2"/>
      <c r="G411" s="4" t="s">
        <v>2584</v>
      </c>
      <c r="H411" s="150">
        <v>10</v>
      </c>
      <c r="I411" s="2"/>
      <c r="J411" s="2"/>
      <c r="K411" s="2"/>
      <c r="L411" s="2"/>
      <c r="M411" s="2"/>
      <c r="N411" s="2"/>
      <c r="O411" s="17"/>
      <c r="R411" s="256" t="s">
        <v>352</v>
      </c>
      <c r="S411" s="256" t="s">
        <v>319</v>
      </c>
      <c r="T411" s="256" t="s">
        <v>320</v>
      </c>
      <c r="U411" s="256" t="s">
        <v>321</v>
      </c>
      <c r="V411" s="256" t="s">
        <v>1002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2631</v>
      </c>
      <c r="B412" s="152">
        <v>9</v>
      </c>
      <c r="C412" s="2"/>
      <c r="D412" s="4" t="s">
        <v>2595</v>
      </c>
      <c r="E412" s="150">
        <v>2</v>
      </c>
      <c r="F412" s="2"/>
      <c r="G412" s="4" t="s">
        <v>2585</v>
      </c>
      <c r="H412" s="150">
        <v>9</v>
      </c>
      <c r="I412" s="2"/>
      <c r="J412" s="211" t="s">
        <v>2648</v>
      </c>
      <c r="K412" s="12">
        <f>ROUND(SUM(K413:K419)/COUNT(K413:K419), 2)</f>
        <v>8.86</v>
      </c>
      <c r="L412" s="2"/>
      <c r="M412" s="230" t="s">
        <v>2658</v>
      </c>
      <c r="N412" s="12">
        <f>ROUND(SUM(N413:N419)/COUNT(N413:N419), 2)</f>
        <v>8.7899999999999991</v>
      </c>
      <c r="O412" s="17"/>
      <c r="R412" s="263">
        <v>1</v>
      </c>
      <c r="S412" s="257" t="s">
        <v>2931</v>
      </c>
      <c r="T412" s="257" t="s">
        <v>2941</v>
      </c>
      <c r="U412" s="258">
        <v>8.8699999999999992</v>
      </c>
      <c r="V412" s="293">
        <v>8.93</v>
      </c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2632</v>
      </c>
      <c r="B413" s="152">
        <v>8</v>
      </c>
      <c r="C413" s="2"/>
      <c r="D413" s="7" t="s">
        <v>2596</v>
      </c>
      <c r="E413" s="151">
        <v>1</v>
      </c>
      <c r="F413" s="2"/>
      <c r="G413" s="7" t="s">
        <v>2586</v>
      </c>
      <c r="H413" s="151">
        <v>8</v>
      </c>
      <c r="I413" s="2"/>
      <c r="J413" s="11" t="s">
        <v>2649</v>
      </c>
      <c r="K413" s="149">
        <v>8.5</v>
      </c>
      <c r="L413" s="2"/>
      <c r="M413" s="11" t="s">
        <v>2659</v>
      </c>
      <c r="N413" s="149">
        <v>9</v>
      </c>
      <c r="O413" s="17"/>
      <c r="R413" s="265">
        <v>2</v>
      </c>
      <c r="S413" s="260" t="s">
        <v>346</v>
      </c>
      <c r="T413" s="260" t="s">
        <v>1840</v>
      </c>
      <c r="U413" s="261">
        <v>8.9600000000000009</v>
      </c>
      <c r="V413" s="293">
        <v>8.93</v>
      </c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2633</v>
      </c>
      <c r="B414" s="152">
        <v>10.5</v>
      </c>
      <c r="C414" s="2"/>
      <c r="D414" s="2"/>
      <c r="E414" s="2"/>
      <c r="F414" s="2"/>
      <c r="G414" s="2"/>
      <c r="H414" s="2"/>
      <c r="I414" s="2"/>
      <c r="J414" s="4" t="s">
        <v>2650</v>
      </c>
      <c r="K414" s="150">
        <v>9.5</v>
      </c>
      <c r="L414" s="2"/>
      <c r="M414" s="4" t="s">
        <v>2660</v>
      </c>
      <c r="N414" s="150">
        <v>9</v>
      </c>
      <c r="O414" s="17"/>
      <c r="R414" s="266">
        <v>3</v>
      </c>
      <c r="S414" s="257" t="s">
        <v>1477</v>
      </c>
      <c r="T414" s="257" t="s">
        <v>2942</v>
      </c>
      <c r="U414" s="258">
        <v>8.66</v>
      </c>
      <c r="V414" s="320">
        <v>8.61</v>
      </c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2634</v>
      </c>
      <c r="B415" s="152">
        <v>7.5</v>
      </c>
      <c r="C415" s="2"/>
      <c r="D415" s="232" t="s">
        <v>2668</v>
      </c>
      <c r="E415" s="12">
        <f>ROUND(SUM(E416:E423)/COUNT(E416:E423), 2)</f>
        <v>8.69</v>
      </c>
      <c r="F415" s="2"/>
      <c r="G415" s="233" t="s">
        <v>2680</v>
      </c>
      <c r="H415" s="12">
        <f>ROUND(SUM(H416:H419)/COUNT(H416:H419), 2)</f>
        <v>8.8800000000000008</v>
      </c>
      <c r="I415" s="2"/>
      <c r="J415" s="4" t="s">
        <v>2651</v>
      </c>
      <c r="K415" s="150">
        <v>9.5</v>
      </c>
      <c r="L415" s="2"/>
      <c r="M415" s="7" t="s">
        <v>1008</v>
      </c>
      <c r="N415" s="151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2635</v>
      </c>
      <c r="B416" s="152">
        <v>6</v>
      </c>
      <c r="C416" s="2"/>
      <c r="D416" s="11" t="s">
        <v>2669</v>
      </c>
      <c r="E416" s="149">
        <v>10</v>
      </c>
      <c r="F416" s="2"/>
      <c r="G416" s="11" t="s">
        <v>2685</v>
      </c>
      <c r="H416" s="149">
        <v>8</v>
      </c>
      <c r="I416" s="2"/>
      <c r="J416" s="4" t="s">
        <v>2652</v>
      </c>
      <c r="K416" s="150">
        <v>9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2636</v>
      </c>
      <c r="B417" s="152">
        <v>7.5</v>
      </c>
      <c r="C417" s="2"/>
      <c r="D417" s="4" t="s">
        <v>2670</v>
      </c>
      <c r="E417" s="150">
        <v>10</v>
      </c>
      <c r="F417" s="2"/>
      <c r="G417" s="4" t="s">
        <v>2686</v>
      </c>
      <c r="H417" s="150">
        <v>9</v>
      </c>
      <c r="I417" s="2"/>
      <c r="J417" s="4" t="s">
        <v>2653</v>
      </c>
      <c r="K417" s="150">
        <v>9</v>
      </c>
      <c r="L417" s="2"/>
      <c r="M417" s="234" t="s">
        <v>2689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2637</v>
      </c>
      <c r="B418" s="152">
        <v>7</v>
      </c>
      <c r="C418" s="2"/>
      <c r="D418" s="4" t="s">
        <v>2671</v>
      </c>
      <c r="E418" s="150">
        <v>7.5</v>
      </c>
      <c r="F418" s="2"/>
      <c r="G418" s="4" t="s">
        <v>2687</v>
      </c>
      <c r="H418" s="150">
        <v>10</v>
      </c>
      <c r="I418" s="2"/>
      <c r="J418" s="4" t="s">
        <v>2654</v>
      </c>
      <c r="K418" s="150">
        <v>8.5</v>
      </c>
      <c r="L418" s="2"/>
      <c r="M418" s="11" t="s">
        <v>2690</v>
      </c>
      <c r="N418" s="149">
        <v>9.5</v>
      </c>
      <c r="O418" s="17"/>
      <c r="R418" s="391" t="s">
        <v>2943</v>
      </c>
      <c r="S418" s="391"/>
      <c r="T418" s="391"/>
      <c r="U418" s="391"/>
      <c r="V418" s="391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2638</v>
      </c>
      <c r="B419" s="152">
        <v>8.5</v>
      </c>
      <c r="C419" s="2"/>
      <c r="D419" s="4" t="s">
        <v>2672</v>
      </c>
      <c r="E419" s="150">
        <v>8.5</v>
      </c>
      <c r="F419" s="2"/>
      <c r="G419" s="7" t="s">
        <v>2688</v>
      </c>
      <c r="H419" s="151">
        <v>8.5</v>
      </c>
      <c r="I419" s="2"/>
      <c r="J419" s="7" t="s">
        <v>2655</v>
      </c>
      <c r="K419" s="151">
        <v>8</v>
      </c>
      <c r="L419" s="2"/>
      <c r="M419" s="4" t="s">
        <v>2691</v>
      </c>
      <c r="N419" s="150">
        <v>8</v>
      </c>
      <c r="O419" s="17"/>
      <c r="R419" s="256" t="s">
        <v>352</v>
      </c>
      <c r="S419" s="256" t="s">
        <v>319</v>
      </c>
      <c r="T419" s="256" t="s">
        <v>320</v>
      </c>
      <c r="U419" s="256" t="s">
        <v>321</v>
      </c>
      <c r="V419" s="256" t="s">
        <v>1002</v>
      </c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2639</v>
      </c>
      <c r="B420" s="152">
        <v>10</v>
      </c>
      <c r="C420" s="2"/>
      <c r="D420" s="4" t="s">
        <v>2673</v>
      </c>
      <c r="E420" s="150">
        <v>8</v>
      </c>
      <c r="F420" s="2"/>
      <c r="G420" s="2"/>
      <c r="H420" s="2"/>
      <c r="I420" s="2"/>
      <c r="J420" s="2"/>
      <c r="K420" s="2"/>
      <c r="L420" s="2"/>
      <c r="M420" s="4" t="s">
        <v>2692</v>
      </c>
      <c r="N420" s="150"/>
      <c r="O420" s="17"/>
      <c r="R420" s="263">
        <v>1</v>
      </c>
      <c r="S420" s="257" t="s">
        <v>2931</v>
      </c>
      <c r="T420" s="257" t="s">
        <v>2941</v>
      </c>
      <c r="U420" s="258">
        <v>8.8699999999999992</v>
      </c>
      <c r="V420" s="293">
        <v>8.93</v>
      </c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2640</v>
      </c>
      <c r="B421" s="152">
        <v>8</v>
      </c>
      <c r="C421" s="2"/>
      <c r="D421" s="4" t="s">
        <v>2674</v>
      </c>
      <c r="E421" s="150">
        <v>8</v>
      </c>
      <c r="F421" s="2"/>
      <c r="G421" s="235" t="s">
        <v>2712</v>
      </c>
      <c r="H421" s="12">
        <f>ROUND(SUM(H422:H432)/COUNT(H422:H432), 2)</f>
        <v>8.5500000000000007</v>
      </c>
      <c r="I421" s="2"/>
      <c r="J421" s="236" t="s">
        <v>2724</v>
      </c>
      <c r="K421" s="12">
        <f>ROUND(SUM(K422:K429)/COUNT(K422:K429), 2)</f>
        <v>8.31</v>
      </c>
      <c r="L421" s="2"/>
      <c r="M421" s="4" t="s">
        <v>2693</v>
      </c>
      <c r="N421" s="150">
        <v>7.5</v>
      </c>
      <c r="O421" s="17"/>
      <c r="R421" s="265">
        <v>2</v>
      </c>
      <c r="S421" s="260" t="s">
        <v>1503</v>
      </c>
      <c r="T421" s="260" t="s">
        <v>1504</v>
      </c>
      <c r="U421" s="261">
        <v>8.75</v>
      </c>
      <c r="V421" s="312">
        <v>8.6999999999999993</v>
      </c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2641</v>
      </c>
      <c r="B422" s="152">
        <v>8</v>
      </c>
      <c r="C422" s="2"/>
      <c r="D422" s="4" t="s">
        <v>2675</v>
      </c>
      <c r="E422" s="150">
        <v>7.5</v>
      </c>
      <c r="F422" s="2"/>
      <c r="G422" s="11" t="s">
        <v>2701</v>
      </c>
      <c r="H422" s="149">
        <v>9</v>
      </c>
      <c r="I422" s="2"/>
      <c r="J422" s="11" t="s">
        <v>2725</v>
      </c>
      <c r="K422" s="149">
        <v>9.5</v>
      </c>
      <c r="L422" s="2"/>
      <c r="M422" s="4" t="s">
        <v>2694</v>
      </c>
      <c r="N422" s="150">
        <v>10</v>
      </c>
      <c r="O422" s="17"/>
      <c r="R422" s="266">
        <v>3</v>
      </c>
      <c r="S422" s="257" t="s">
        <v>343</v>
      </c>
      <c r="T422" s="257" t="s">
        <v>245</v>
      </c>
      <c r="U422" s="258">
        <v>8.77</v>
      </c>
      <c r="V422" s="315">
        <v>8.66</v>
      </c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2642</v>
      </c>
      <c r="B423" s="152">
        <v>8</v>
      </c>
      <c r="C423" s="2"/>
      <c r="D423" s="7" t="s">
        <v>2676</v>
      </c>
      <c r="E423" s="151">
        <v>10</v>
      </c>
      <c r="F423" s="2"/>
      <c r="G423" s="4" t="s">
        <v>2702</v>
      </c>
      <c r="H423" s="150">
        <v>8.5</v>
      </c>
      <c r="I423" s="2"/>
      <c r="J423" s="4" t="s">
        <v>2726</v>
      </c>
      <c r="K423" s="150">
        <v>8.5</v>
      </c>
      <c r="L423" s="2"/>
      <c r="M423" s="4" t="s">
        <v>2695</v>
      </c>
      <c r="N423" s="150">
        <v>9</v>
      </c>
      <c r="O423" s="17"/>
      <c r="R423" s="267">
        <v>4</v>
      </c>
      <c r="S423" s="260" t="s">
        <v>2934</v>
      </c>
      <c r="T423" s="260" t="s">
        <v>2935</v>
      </c>
      <c r="U423" s="261">
        <v>8.4</v>
      </c>
      <c r="V423" s="338">
        <v>8.3699999999999992</v>
      </c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2643</v>
      </c>
      <c r="B424" s="152">
        <v>8</v>
      </c>
      <c r="C424" s="2"/>
      <c r="D424" s="2"/>
      <c r="E424" s="2"/>
      <c r="F424" s="2"/>
      <c r="G424" s="4" t="s">
        <v>2703</v>
      </c>
      <c r="H424" s="150">
        <v>10</v>
      </c>
      <c r="I424" s="2"/>
      <c r="J424" s="4" t="s">
        <v>2727</v>
      </c>
      <c r="K424" s="150">
        <v>8</v>
      </c>
      <c r="L424" s="2"/>
      <c r="M424" s="4" t="s">
        <v>2696</v>
      </c>
      <c r="N424" s="150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2644</v>
      </c>
      <c r="B425" s="152">
        <v>7.5</v>
      </c>
      <c r="C425" s="2"/>
      <c r="D425" s="237" t="s">
        <v>2745</v>
      </c>
      <c r="E425" s="12">
        <f>ROUND(SUM(E426:E434)/COUNT(E426:E434), 2)</f>
        <v>9.06</v>
      </c>
      <c r="F425" s="2"/>
      <c r="G425" s="4" t="s">
        <v>2704</v>
      </c>
      <c r="H425" s="150">
        <v>8.5</v>
      </c>
      <c r="I425" s="2"/>
      <c r="J425" s="4" t="s">
        <v>2728</v>
      </c>
      <c r="K425" s="150">
        <v>7.5</v>
      </c>
      <c r="L425" s="2"/>
      <c r="M425" s="4" t="s">
        <v>2697</v>
      </c>
      <c r="N425" s="150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2645</v>
      </c>
      <c r="B426" s="207">
        <v>9</v>
      </c>
      <c r="C426" s="2"/>
      <c r="D426" s="11" t="s">
        <v>2736</v>
      </c>
      <c r="E426" s="206">
        <v>8.5</v>
      </c>
      <c r="F426" s="2"/>
      <c r="G426" s="4" t="s">
        <v>2705</v>
      </c>
      <c r="H426" s="150">
        <v>8</v>
      </c>
      <c r="I426" s="2"/>
      <c r="J426" s="4" t="s">
        <v>2729</v>
      </c>
      <c r="K426" s="150">
        <v>8</v>
      </c>
      <c r="L426" s="2"/>
      <c r="M426" s="4" t="s">
        <v>2698</v>
      </c>
      <c r="N426" s="150">
        <v>8</v>
      </c>
      <c r="O426" s="17"/>
      <c r="R426" s="391" t="s">
        <v>2795</v>
      </c>
      <c r="S426" s="391"/>
      <c r="T426" s="391"/>
      <c r="U426" s="391"/>
      <c r="V426" s="391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2737</v>
      </c>
      <c r="E427" s="152">
        <v>8</v>
      </c>
      <c r="F427" s="2"/>
      <c r="G427" s="4" t="s">
        <v>2706</v>
      </c>
      <c r="H427" s="150">
        <v>7.5</v>
      </c>
      <c r="I427" s="2"/>
      <c r="J427" s="4" t="s">
        <v>2730</v>
      </c>
      <c r="K427" s="150">
        <v>7</v>
      </c>
      <c r="L427" s="2"/>
      <c r="M427" s="4" t="s">
        <v>2699</v>
      </c>
      <c r="N427" s="150">
        <v>8.5</v>
      </c>
      <c r="O427" s="17"/>
      <c r="R427" s="256" t="s">
        <v>352</v>
      </c>
      <c r="S427" s="256" t="s">
        <v>319</v>
      </c>
      <c r="T427" s="256" t="s">
        <v>320</v>
      </c>
      <c r="U427" s="256" t="s">
        <v>321</v>
      </c>
      <c r="V427" s="256" t="s">
        <v>1002</v>
      </c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238" t="s">
        <v>2750</v>
      </c>
      <c r="B428" s="12">
        <f>ROUND(SUM(B429:B439)/COUNT(B429:B439), 2)</f>
        <v>8.91</v>
      </c>
      <c r="C428" s="2"/>
      <c r="D428" s="4" t="s">
        <v>2738</v>
      </c>
      <c r="E428" s="152">
        <v>8.5</v>
      </c>
      <c r="F428" s="2"/>
      <c r="G428" s="4" t="s">
        <v>2707</v>
      </c>
      <c r="H428" s="150">
        <v>8</v>
      </c>
      <c r="I428" s="2"/>
      <c r="J428" s="4" t="s">
        <v>2731</v>
      </c>
      <c r="K428" s="150">
        <v>10</v>
      </c>
      <c r="L428" s="2"/>
      <c r="M428" s="7" t="s">
        <v>2700</v>
      </c>
      <c r="N428" s="151">
        <v>9</v>
      </c>
      <c r="O428" s="17"/>
      <c r="R428" s="263">
        <v>1</v>
      </c>
      <c r="S428" s="257" t="s">
        <v>1372</v>
      </c>
      <c r="T428" s="257" t="s">
        <v>1373</v>
      </c>
      <c r="U428" s="258">
        <v>8.82</v>
      </c>
      <c r="V428" s="297">
        <v>8.8800000000000008</v>
      </c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2751</v>
      </c>
      <c r="B429" s="206">
        <v>9.5</v>
      </c>
      <c r="C429" s="2"/>
      <c r="D429" s="4" t="s">
        <v>2739</v>
      </c>
      <c r="E429" s="152">
        <v>10</v>
      </c>
      <c r="F429" s="2"/>
      <c r="G429" s="4" t="s">
        <v>2708</v>
      </c>
      <c r="H429" s="150">
        <v>8</v>
      </c>
      <c r="I429" s="2"/>
      <c r="J429" s="7" t="s">
        <v>2732</v>
      </c>
      <c r="K429" s="151">
        <v>8</v>
      </c>
      <c r="L429" s="2"/>
      <c r="M429" s="2"/>
      <c r="N429" s="2"/>
      <c r="O429" s="17"/>
      <c r="R429" s="265">
        <v>2</v>
      </c>
      <c r="S429" s="260" t="s">
        <v>837</v>
      </c>
      <c r="T429" s="260" t="s">
        <v>2789</v>
      </c>
      <c r="U429" s="261">
        <v>8.64</v>
      </c>
      <c r="V429" s="318">
        <v>8.6300000000000008</v>
      </c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2752</v>
      </c>
      <c r="B430" s="152">
        <v>8</v>
      </c>
      <c r="C430" s="2"/>
      <c r="D430" s="4" t="s">
        <v>2740</v>
      </c>
      <c r="E430" s="152">
        <v>10</v>
      </c>
      <c r="F430" s="2"/>
      <c r="G430" s="4" t="s">
        <v>2709</v>
      </c>
      <c r="H430" s="150">
        <v>8</v>
      </c>
      <c r="I430" s="2"/>
      <c r="J430" s="2"/>
      <c r="K430" s="2"/>
      <c r="L430" s="2"/>
      <c r="M430" s="239" t="s">
        <v>2797</v>
      </c>
      <c r="N430" s="12">
        <f>ROUND(SUM(N431:N441)/COUNT(N431:N441), 2)</f>
        <v>8.5</v>
      </c>
      <c r="O430" s="17"/>
      <c r="R430" s="266">
        <v>3</v>
      </c>
      <c r="S430" s="257" t="s">
        <v>1457</v>
      </c>
      <c r="T430" s="257" t="s">
        <v>1462</v>
      </c>
      <c r="U430" s="258">
        <v>8.8000000000000007</v>
      </c>
      <c r="V430" s="313">
        <v>8.68</v>
      </c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2753</v>
      </c>
      <c r="B431" s="152">
        <v>8</v>
      </c>
      <c r="C431" s="2"/>
      <c r="D431" s="4" t="s">
        <v>2741</v>
      </c>
      <c r="E431" s="152">
        <v>10</v>
      </c>
      <c r="F431" s="2"/>
      <c r="G431" s="4" t="s">
        <v>2710</v>
      </c>
      <c r="H431" s="150">
        <v>10</v>
      </c>
      <c r="I431" s="2"/>
      <c r="J431" s="240" t="s">
        <v>2812</v>
      </c>
      <c r="K431" s="12">
        <f>ROUND(SUM(K432:K443)/COUNT(K432:K443), 2)</f>
        <v>8.6300000000000008</v>
      </c>
      <c r="L431" s="2"/>
      <c r="M431" s="11" t="s">
        <v>2798</v>
      </c>
      <c r="N431" s="149">
        <v>8.5</v>
      </c>
      <c r="O431" s="17"/>
      <c r="R431" s="267">
        <v>4</v>
      </c>
      <c r="S431" s="260" t="s">
        <v>2251</v>
      </c>
      <c r="T431" s="260" t="s">
        <v>2252</v>
      </c>
      <c r="U431" s="261">
        <v>8.5399999999999991</v>
      </c>
      <c r="V431" s="335">
        <v>8.41</v>
      </c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2754</v>
      </c>
      <c r="B432" s="152">
        <v>10</v>
      </c>
      <c r="C432" s="2"/>
      <c r="D432" s="4" t="s">
        <v>2742</v>
      </c>
      <c r="E432" s="152">
        <v>9</v>
      </c>
      <c r="F432" s="2"/>
      <c r="G432" s="7" t="s">
        <v>2711</v>
      </c>
      <c r="H432" s="151">
        <v>8.5</v>
      </c>
      <c r="I432" s="2"/>
      <c r="J432" s="11" t="s">
        <v>2813</v>
      </c>
      <c r="K432" s="149">
        <v>10</v>
      </c>
      <c r="L432" s="2"/>
      <c r="M432" s="4" t="s">
        <v>178</v>
      </c>
      <c r="N432" s="150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2755</v>
      </c>
      <c r="B433" s="152">
        <v>8.5</v>
      </c>
      <c r="C433" s="2"/>
      <c r="D433" s="4" t="s">
        <v>2743</v>
      </c>
      <c r="E433" s="152">
        <v>9</v>
      </c>
      <c r="F433" s="2"/>
      <c r="G433" s="2"/>
      <c r="H433" s="2"/>
      <c r="I433" s="2"/>
      <c r="J433" s="4" t="s">
        <v>2814</v>
      </c>
      <c r="K433" s="150">
        <v>9</v>
      </c>
      <c r="L433" s="2"/>
      <c r="M433" s="4" t="s">
        <v>2799</v>
      </c>
      <c r="N433" s="150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2756</v>
      </c>
      <c r="B434" s="152">
        <v>9.5</v>
      </c>
      <c r="C434" s="2"/>
      <c r="D434" s="7" t="s">
        <v>2744</v>
      </c>
      <c r="E434" s="207">
        <v>8.5</v>
      </c>
      <c r="F434" s="2"/>
      <c r="G434" s="241" t="s">
        <v>2831</v>
      </c>
      <c r="H434" s="12">
        <f>ROUND(SUM(H435:H449)/COUNT(H435:H449), 2)</f>
        <v>8.83</v>
      </c>
      <c r="I434" s="2"/>
      <c r="J434" s="4" t="s">
        <v>2815</v>
      </c>
      <c r="K434" s="150">
        <v>10</v>
      </c>
      <c r="L434" s="2"/>
      <c r="M434" s="4" t="s">
        <v>2800</v>
      </c>
      <c r="N434" s="150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2757</v>
      </c>
      <c r="B435" s="152">
        <v>9</v>
      </c>
      <c r="C435" s="2"/>
      <c r="D435" s="2"/>
      <c r="E435" s="2"/>
      <c r="F435" s="2"/>
      <c r="G435" s="11" t="s">
        <v>2832</v>
      </c>
      <c r="H435" s="206">
        <v>9</v>
      </c>
      <c r="I435" s="2"/>
      <c r="J435" s="4" t="s">
        <v>2816</v>
      </c>
      <c r="K435" s="150">
        <v>8.5</v>
      </c>
      <c r="L435" s="2"/>
      <c r="M435" s="4" t="s">
        <v>2801</v>
      </c>
      <c r="N435" s="150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2758</v>
      </c>
      <c r="B436" s="152">
        <v>9</v>
      </c>
      <c r="C436" s="2"/>
      <c r="D436" s="242" t="s">
        <v>2849</v>
      </c>
      <c r="E436" s="12">
        <f>ROUND(SUM(E437:E457)/COUNT(E437:E457), 2)</f>
        <v>8.73</v>
      </c>
      <c r="F436" s="2"/>
      <c r="G436" s="4" t="s">
        <v>2833</v>
      </c>
      <c r="H436" s="152">
        <v>9</v>
      </c>
      <c r="I436" s="2"/>
      <c r="J436" s="4" t="s">
        <v>2817</v>
      </c>
      <c r="K436" s="150">
        <v>8</v>
      </c>
      <c r="L436" s="2"/>
      <c r="M436" s="4" t="s">
        <v>2802</v>
      </c>
      <c r="N436" s="150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2759</v>
      </c>
      <c r="B437" s="152">
        <v>8.5</v>
      </c>
      <c r="C437" s="2"/>
      <c r="D437" s="11" t="s">
        <v>1412</v>
      </c>
      <c r="E437" s="206"/>
      <c r="F437" s="2"/>
      <c r="G437" s="4" t="s">
        <v>2834</v>
      </c>
      <c r="H437" s="152">
        <v>8</v>
      </c>
      <c r="I437" s="2"/>
      <c r="J437" s="4" t="s">
        <v>2818</v>
      </c>
      <c r="K437" s="150">
        <v>9</v>
      </c>
      <c r="L437" s="2"/>
      <c r="M437" s="4" t="s">
        <v>2803</v>
      </c>
      <c r="N437" s="150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2760</v>
      </c>
      <c r="B438" s="152">
        <v>8.5</v>
      </c>
      <c r="C438" s="2"/>
      <c r="D438" s="4" t="s">
        <v>2850</v>
      </c>
      <c r="E438" s="152">
        <v>9.5</v>
      </c>
      <c r="F438" s="2"/>
      <c r="G438" s="4" t="s">
        <v>2835</v>
      </c>
      <c r="H438" s="152">
        <v>7.5</v>
      </c>
      <c r="I438" s="2"/>
      <c r="J438" s="4" t="s">
        <v>2819</v>
      </c>
      <c r="K438" s="150">
        <v>8</v>
      </c>
      <c r="L438" s="2"/>
      <c r="M438" s="4" t="s">
        <v>1621</v>
      </c>
      <c r="N438" s="150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2761</v>
      </c>
      <c r="B439" s="207">
        <v>9.5</v>
      </c>
      <c r="C439" s="2"/>
      <c r="D439" s="4" t="s">
        <v>2851</v>
      </c>
      <c r="E439" s="152">
        <v>8.5</v>
      </c>
      <c r="F439" s="2"/>
      <c r="G439" s="4" t="s">
        <v>2836</v>
      </c>
      <c r="H439" s="152">
        <v>8</v>
      </c>
      <c r="I439" s="2"/>
      <c r="J439" s="4" t="s">
        <v>2820</v>
      </c>
      <c r="K439" s="150">
        <v>8.5</v>
      </c>
      <c r="L439" s="2"/>
      <c r="M439" s="4" t="s">
        <v>2804</v>
      </c>
      <c r="N439" s="150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2852</v>
      </c>
      <c r="E440" s="152">
        <v>10</v>
      </c>
      <c r="F440" s="2"/>
      <c r="G440" s="4" t="s">
        <v>2837</v>
      </c>
      <c r="H440" s="152">
        <v>10.5</v>
      </c>
      <c r="I440" s="2"/>
      <c r="J440" s="4" t="s">
        <v>2821</v>
      </c>
      <c r="K440" s="150">
        <v>8.5</v>
      </c>
      <c r="L440" s="2"/>
      <c r="M440" s="4" t="s">
        <v>2805</v>
      </c>
      <c r="N440" s="150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255" t="s">
        <v>3108</v>
      </c>
      <c r="B441" s="12">
        <f>ROUND(SUM(B442:B446)/COUNT(B442:B446), 2)</f>
        <v>8.8000000000000007</v>
      </c>
      <c r="C441" s="2"/>
      <c r="D441" s="4" t="s">
        <v>2853</v>
      </c>
      <c r="E441" s="152"/>
      <c r="F441" s="2"/>
      <c r="G441" s="4" t="s">
        <v>2838</v>
      </c>
      <c r="H441" s="152">
        <v>8.5</v>
      </c>
      <c r="I441" s="2"/>
      <c r="J441" s="4" t="s">
        <v>2822</v>
      </c>
      <c r="K441" s="150">
        <v>8</v>
      </c>
      <c r="L441" s="2"/>
      <c r="M441" s="7" t="s">
        <v>2806</v>
      </c>
      <c r="N441" s="151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2872</v>
      </c>
      <c r="B442" s="206">
        <v>10.5</v>
      </c>
      <c r="C442" s="2"/>
      <c r="D442" s="4" t="s">
        <v>2854</v>
      </c>
      <c r="E442" s="152">
        <v>9</v>
      </c>
      <c r="F442" s="2"/>
      <c r="G442" s="4" t="s">
        <v>2839</v>
      </c>
      <c r="H442" s="152">
        <v>9</v>
      </c>
      <c r="I442" s="2"/>
      <c r="J442" s="4" t="s">
        <v>2823</v>
      </c>
      <c r="K442" s="150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2873</v>
      </c>
      <c r="B443" s="152">
        <v>9</v>
      </c>
      <c r="C443" s="2"/>
      <c r="D443" s="4" t="s">
        <v>2855</v>
      </c>
      <c r="E443" s="152">
        <v>8</v>
      </c>
      <c r="F443" s="2"/>
      <c r="G443" s="4" t="s">
        <v>2840</v>
      </c>
      <c r="H443" s="152">
        <v>9</v>
      </c>
      <c r="I443" s="2"/>
      <c r="J443" s="7" t="s">
        <v>567</v>
      </c>
      <c r="K443" s="151">
        <v>8</v>
      </c>
      <c r="L443" s="2"/>
      <c r="M443" s="243" t="s">
        <v>2881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>
      <c r="A444" s="4" t="s">
        <v>2874</v>
      </c>
      <c r="B444" s="152">
        <v>8.5</v>
      </c>
      <c r="C444" s="2"/>
      <c r="D444" s="4" t="s">
        <v>2856</v>
      </c>
      <c r="E444" s="152">
        <v>9.5</v>
      </c>
      <c r="F444" s="2"/>
      <c r="G444" s="4" t="s">
        <v>2841</v>
      </c>
      <c r="H444" s="152">
        <v>8</v>
      </c>
      <c r="I444" s="2"/>
      <c r="J444" s="2"/>
      <c r="K444" s="2"/>
      <c r="L444" s="2"/>
      <c r="M444" s="11" t="s">
        <v>2882</v>
      </c>
      <c r="N444" s="149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>
      <c r="A445" s="4" t="s">
        <v>2875</v>
      </c>
      <c r="B445" s="152">
        <v>8</v>
      </c>
      <c r="C445" s="2"/>
      <c r="D445" s="4" t="s">
        <v>2857</v>
      </c>
      <c r="E445" s="152">
        <v>8</v>
      </c>
      <c r="F445" s="2"/>
      <c r="G445" s="4" t="s">
        <v>2842</v>
      </c>
      <c r="H445" s="152">
        <v>8.5</v>
      </c>
      <c r="I445" s="2"/>
      <c r="J445" s="245" t="s">
        <v>2912</v>
      </c>
      <c r="K445" s="12">
        <f>ROUND(SUM(K446:K463)/COUNT(K446:K463), 2)</f>
        <v>8.85</v>
      </c>
      <c r="L445" s="2"/>
      <c r="M445" s="4" t="s">
        <v>2883</v>
      </c>
      <c r="N445" s="150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2876</v>
      </c>
      <c r="B446" s="207">
        <v>8</v>
      </c>
      <c r="C446" s="2"/>
      <c r="D446" s="4" t="s">
        <v>2858</v>
      </c>
      <c r="E446" s="152"/>
      <c r="F446" s="2"/>
      <c r="G446" s="4" t="s">
        <v>2843</v>
      </c>
      <c r="H446" s="152">
        <v>10</v>
      </c>
      <c r="I446" s="2"/>
      <c r="J446" s="11" t="s">
        <v>2913</v>
      </c>
      <c r="K446" s="149">
        <v>9</v>
      </c>
      <c r="L446" s="2"/>
      <c r="M446" s="4" t="s">
        <v>2884</v>
      </c>
      <c r="N446" s="150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>
      <c r="A447" s="2"/>
      <c r="B447" s="2"/>
      <c r="C447" s="2"/>
      <c r="D447" s="4" t="s">
        <v>2859</v>
      </c>
      <c r="E447" s="152">
        <v>8.5</v>
      </c>
      <c r="F447" s="2"/>
      <c r="G447" s="4" t="s">
        <v>2844</v>
      </c>
      <c r="H447" s="152">
        <v>8.5</v>
      </c>
      <c r="I447" s="2"/>
      <c r="J447" s="4" t="s">
        <v>2914</v>
      </c>
      <c r="K447" s="150">
        <v>10</v>
      </c>
      <c r="L447" s="2"/>
      <c r="M447" s="4" t="s">
        <v>2885</v>
      </c>
      <c r="N447" s="150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>
      <c r="A448" s="244" t="s">
        <v>2904</v>
      </c>
      <c r="B448" s="12">
        <f>ROUND(SUM(B449:B455)/COUNT(B449:B455), 2)</f>
        <v>8.4</v>
      </c>
      <c r="C448" s="2"/>
      <c r="D448" s="4" t="s">
        <v>2860</v>
      </c>
      <c r="E448" s="152">
        <v>9</v>
      </c>
      <c r="F448" s="2"/>
      <c r="G448" s="4" t="s">
        <v>2845</v>
      </c>
      <c r="H448" s="152">
        <v>10.5</v>
      </c>
      <c r="I448" s="2"/>
      <c r="J448" s="4" t="s">
        <v>2915</v>
      </c>
      <c r="K448" s="150">
        <v>8</v>
      </c>
      <c r="L448" s="2"/>
      <c r="M448" s="4" t="s">
        <v>2886</v>
      </c>
      <c r="N448" s="150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>
      <c r="A449" s="11" t="s">
        <v>2905</v>
      </c>
      <c r="B449" s="206"/>
      <c r="C449" s="2"/>
      <c r="D449" s="4" t="s">
        <v>2861</v>
      </c>
      <c r="E449" s="152">
        <v>8.5</v>
      </c>
      <c r="F449" s="2"/>
      <c r="G449" s="7" t="s">
        <v>2846</v>
      </c>
      <c r="H449" s="207">
        <v>8.5</v>
      </c>
      <c r="I449" s="2"/>
      <c r="J449" s="4" t="s">
        <v>2916</v>
      </c>
      <c r="K449" s="150">
        <v>10</v>
      </c>
      <c r="L449" s="2"/>
      <c r="M449" s="4" t="s">
        <v>2887</v>
      </c>
      <c r="N449" s="150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>
      <c r="A450" s="4" t="s">
        <v>2906</v>
      </c>
      <c r="B450" s="152">
        <v>9</v>
      </c>
      <c r="C450" s="2"/>
      <c r="D450" s="4" t="s">
        <v>2862</v>
      </c>
      <c r="E450" s="152"/>
      <c r="F450" s="2"/>
      <c r="G450" s="2"/>
      <c r="H450" s="2"/>
      <c r="I450" s="2"/>
      <c r="J450" s="4" t="s">
        <v>2917</v>
      </c>
      <c r="K450" s="150">
        <v>8.5</v>
      </c>
      <c r="L450" s="2"/>
      <c r="M450" s="4" t="s">
        <v>2888</v>
      </c>
      <c r="N450" s="150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>
      <c r="A451" s="4" t="s">
        <v>2907</v>
      </c>
      <c r="B451" s="152">
        <v>8</v>
      </c>
      <c r="C451" s="2"/>
      <c r="D451" s="4" t="s">
        <v>2863</v>
      </c>
      <c r="E451" s="152">
        <v>8.5</v>
      </c>
      <c r="F451" s="2"/>
      <c r="G451" s="246" t="s">
        <v>2947</v>
      </c>
      <c r="H451" s="12">
        <f>ROUND(SUM(H452:H465)/COUNT(H452:H465), 2)</f>
        <v>8.65</v>
      </c>
      <c r="I451" s="2"/>
      <c r="J451" s="4" t="s">
        <v>2918</v>
      </c>
      <c r="K451" s="150">
        <v>8.5</v>
      </c>
      <c r="L451" s="2"/>
      <c r="M451" s="4" t="s">
        <v>2889</v>
      </c>
      <c r="N451" s="150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>
      <c r="A452" s="4" t="s">
        <v>2908</v>
      </c>
      <c r="B452" s="152">
        <v>8.5</v>
      </c>
      <c r="C452" s="2"/>
      <c r="D452" s="4" t="s">
        <v>2864</v>
      </c>
      <c r="E452" s="152"/>
      <c r="F452" s="2"/>
      <c r="G452" s="11" t="s">
        <v>2948</v>
      </c>
      <c r="H452" s="206">
        <v>9.5</v>
      </c>
      <c r="I452" s="2"/>
      <c r="J452" s="4" t="s">
        <v>2919</v>
      </c>
      <c r="K452" s="150">
        <v>9</v>
      </c>
      <c r="L452" s="2"/>
      <c r="M452" s="4" t="s">
        <v>2890</v>
      </c>
      <c r="N452" s="150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>
      <c r="A453" s="4" t="s">
        <v>2909</v>
      </c>
      <c r="B453" s="152"/>
      <c r="C453" s="2"/>
      <c r="D453" s="4" t="s">
        <v>2865</v>
      </c>
      <c r="E453" s="152"/>
      <c r="F453" s="2"/>
      <c r="G453" s="4" t="s">
        <v>2949</v>
      </c>
      <c r="H453" s="152">
        <v>10</v>
      </c>
      <c r="I453" s="2"/>
      <c r="J453" s="4" t="s">
        <v>2920</v>
      </c>
      <c r="K453" s="150">
        <v>8</v>
      </c>
      <c r="L453" s="2"/>
      <c r="M453" s="161">
        <v>1969</v>
      </c>
      <c r="N453" s="150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>
      <c r="A454" s="4" t="s">
        <v>2910</v>
      </c>
      <c r="B454" s="152">
        <v>8</v>
      </c>
      <c r="C454" s="2"/>
      <c r="D454" s="4" t="s">
        <v>2866</v>
      </c>
      <c r="E454" s="152">
        <v>9</v>
      </c>
      <c r="F454" s="2"/>
      <c r="G454" s="4" t="s">
        <v>2950</v>
      </c>
      <c r="H454" s="152">
        <v>9</v>
      </c>
      <c r="I454" s="2"/>
      <c r="J454" s="4" t="s">
        <v>2921</v>
      </c>
      <c r="K454" s="150">
        <v>7.5</v>
      </c>
      <c r="L454" s="2"/>
      <c r="M454" s="4" t="s">
        <v>2891</v>
      </c>
      <c r="N454" s="150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>
      <c r="A455" s="7" t="s">
        <v>2911</v>
      </c>
      <c r="B455" s="207">
        <v>8.5</v>
      </c>
      <c r="C455" s="2"/>
      <c r="D455" s="4" t="s">
        <v>2867</v>
      </c>
      <c r="E455" s="152">
        <v>8.5</v>
      </c>
      <c r="F455" s="2"/>
      <c r="G455" s="4" t="s">
        <v>2951</v>
      </c>
      <c r="H455" s="152">
        <v>8.5</v>
      </c>
      <c r="I455" s="2"/>
      <c r="J455" s="4" t="s">
        <v>2922</v>
      </c>
      <c r="K455" s="150">
        <v>10.5</v>
      </c>
      <c r="L455" s="2"/>
      <c r="M455" s="4" t="s">
        <v>2892</v>
      </c>
      <c r="N455" s="150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>
      <c r="A456" s="2"/>
      <c r="B456" s="2"/>
      <c r="C456" s="2"/>
      <c r="D456" s="4" t="s">
        <v>2868</v>
      </c>
      <c r="E456" s="152">
        <v>8.5</v>
      </c>
      <c r="F456" s="2"/>
      <c r="G456" s="4" t="s">
        <v>2952</v>
      </c>
      <c r="H456" s="152">
        <v>10</v>
      </c>
      <c r="I456" s="2"/>
      <c r="J456" s="4" t="s">
        <v>2923</v>
      </c>
      <c r="K456" s="150">
        <v>8</v>
      </c>
      <c r="L456" s="2"/>
      <c r="M456" s="4" t="s">
        <v>2893</v>
      </c>
      <c r="N456" s="150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>
      <c r="A457" s="247" t="s">
        <v>2967</v>
      </c>
      <c r="B457" s="12">
        <f>ROUND(SUM(B458:B471)/COUNT(B458:B471), 2)</f>
        <v>8.39</v>
      </c>
      <c r="C457" s="2"/>
      <c r="D457" s="7" t="s">
        <v>2869</v>
      </c>
      <c r="E457" s="207">
        <v>8</v>
      </c>
      <c r="F457" s="2"/>
      <c r="G457" s="4" t="s">
        <v>2953</v>
      </c>
      <c r="H457" s="152">
        <v>8</v>
      </c>
      <c r="I457" s="2"/>
      <c r="J457" s="4" t="s">
        <v>2924</v>
      </c>
      <c r="K457" s="150">
        <v>8.5</v>
      </c>
      <c r="L457" s="2"/>
      <c r="M457" s="4" t="s">
        <v>2894</v>
      </c>
      <c r="N457" s="150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>
      <c r="A458" s="11" t="s">
        <v>2968</v>
      </c>
      <c r="B458" s="206">
        <v>8</v>
      </c>
      <c r="C458" s="2"/>
      <c r="D458" s="2"/>
      <c r="E458" s="2"/>
      <c r="F458" s="2"/>
      <c r="G458" s="4" t="s">
        <v>2954</v>
      </c>
      <c r="H458" s="152">
        <v>7.5</v>
      </c>
      <c r="I458" s="2"/>
      <c r="J458" s="4" t="s">
        <v>2925</v>
      </c>
      <c r="K458" s="150">
        <v>10.5</v>
      </c>
      <c r="L458" s="2"/>
      <c r="M458" s="4" t="s">
        <v>2895</v>
      </c>
      <c r="N458" s="150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>
      <c r="A459" s="4" t="s">
        <v>2969</v>
      </c>
      <c r="B459" s="152">
        <v>10</v>
      </c>
      <c r="C459" s="2"/>
      <c r="D459" s="248" t="s">
        <v>2984</v>
      </c>
      <c r="E459" s="12">
        <f>ROUND(SUM(E460:E485)/COUNT(E460:E485), 2)</f>
        <v>8.8000000000000007</v>
      </c>
      <c r="F459" s="2"/>
      <c r="G459" s="4" t="s">
        <v>2955</v>
      </c>
      <c r="H459" s="152">
        <v>8.5</v>
      </c>
      <c r="I459" s="2"/>
      <c r="J459" s="4" t="s">
        <v>2926</v>
      </c>
      <c r="K459" s="150">
        <v>8.5</v>
      </c>
      <c r="L459" s="2"/>
      <c r="M459" s="4" t="s">
        <v>2896</v>
      </c>
      <c r="N459" s="150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>
      <c r="A460" s="4" t="s">
        <v>2970</v>
      </c>
      <c r="B460" s="152">
        <v>8</v>
      </c>
      <c r="C460" s="2"/>
      <c r="D460" s="11" t="s">
        <v>2985</v>
      </c>
      <c r="E460" s="206">
        <v>9</v>
      </c>
      <c r="F460" s="2"/>
      <c r="G460" s="4" t="s">
        <v>2960</v>
      </c>
      <c r="H460" s="152">
        <v>8</v>
      </c>
      <c r="I460" s="2"/>
      <c r="J460" s="4" t="s">
        <v>2927</v>
      </c>
      <c r="K460" s="150">
        <v>8.5</v>
      </c>
      <c r="L460" s="2"/>
      <c r="M460" s="4" t="s">
        <v>2897</v>
      </c>
      <c r="N460" s="150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>
      <c r="A461" s="4" t="s">
        <v>2971</v>
      </c>
      <c r="B461" s="152">
        <v>8</v>
      </c>
      <c r="C461" s="2"/>
      <c r="D461" s="4" t="s">
        <v>2986</v>
      </c>
      <c r="E461" s="152">
        <v>8.5</v>
      </c>
      <c r="F461" s="2"/>
      <c r="G461" s="4" t="s">
        <v>2956</v>
      </c>
      <c r="H461" s="152">
        <v>8</v>
      </c>
      <c r="I461" s="2"/>
      <c r="J461" s="4" t="s">
        <v>2928</v>
      </c>
      <c r="K461" s="150">
        <v>8.5</v>
      </c>
      <c r="L461" s="2"/>
      <c r="M461" s="4" t="s">
        <v>2898</v>
      </c>
      <c r="N461" s="150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>
      <c r="A462" s="4" t="s">
        <v>2972</v>
      </c>
      <c r="B462" s="152">
        <v>8.5</v>
      </c>
      <c r="C462" s="2"/>
      <c r="D462" s="4" t="s">
        <v>2987</v>
      </c>
      <c r="E462" s="152">
        <v>9</v>
      </c>
      <c r="F462" s="2"/>
      <c r="G462" s="4" t="s">
        <v>2957</v>
      </c>
      <c r="H462" s="152">
        <v>8.5</v>
      </c>
      <c r="I462" s="2"/>
      <c r="J462" s="4" t="s">
        <v>2929</v>
      </c>
      <c r="K462" s="150"/>
      <c r="L462" s="2"/>
      <c r="M462" s="4" t="s">
        <v>2899</v>
      </c>
      <c r="N462" s="150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>
      <c r="A463" s="4" t="s">
        <v>2973</v>
      </c>
      <c r="B463" s="152">
        <v>10.5</v>
      </c>
      <c r="C463" s="2"/>
      <c r="D463" s="4" t="s">
        <v>2988</v>
      </c>
      <c r="E463" s="152">
        <v>8.5</v>
      </c>
      <c r="F463" s="2"/>
      <c r="G463" s="4" t="s">
        <v>2958</v>
      </c>
      <c r="H463" s="152">
        <v>8</v>
      </c>
      <c r="I463" s="2"/>
      <c r="J463" s="7" t="s">
        <v>2930</v>
      </c>
      <c r="K463" s="151">
        <v>9</v>
      </c>
      <c r="L463" s="2"/>
      <c r="M463" s="4" t="s">
        <v>2900</v>
      </c>
      <c r="N463" s="150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>
      <c r="A464" s="4" t="s">
        <v>2974</v>
      </c>
      <c r="B464" s="152">
        <v>8.5</v>
      </c>
      <c r="C464" s="2"/>
      <c r="D464" s="4" t="s">
        <v>2989</v>
      </c>
      <c r="E464" s="152">
        <v>10.5</v>
      </c>
      <c r="F464" s="2"/>
      <c r="G464" s="4" t="s">
        <v>3016</v>
      </c>
      <c r="H464" s="152"/>
      <c r="I464" s="2"/>
      <c r="J464" s="2"/>
      <c r="K464" s="2"/>
      <c r="L464" s="2"/>
      <c r="M464" s="4" t="s">
        <v>2901</v>
      </c>
      <c r="N464" s="150">
        <v>8.5</v>
      </c>
      <c r="O464" s="17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>
      <c r="A465" s="4" t="s">
        <v>2975</v>
      </c>
      <c r="B465" s="152">
        <v>8</v>
      </c>
      <c r="C465" s="2"/>
      <c r="D465" s="4" t="s">
        <v>2990</v>
      </c>
      <c r="E465" s="152">
        <v>9.5</v>
      </c>
      <c r="F465" s="2"/>
      <c r="G465" s="7" t="s">
        <v>2959</v>
      </c>
      <c r="H465" s="207">
        <v>9</v>
      </c>
      <c r="I465" s="2"/>
      <c r="J465" s="249" t="s">
        <v>3024</v>
      </c>
      <c r="K465" s="12">
        <f>ROUND(SUM(K466:K477)/COUNT(K466:K477), 2)</f>
        <v>8.25</v>
      </c>
      <c r="L465" s="2"/>
      <c r="M465" s="4" t="s">
        <v>2902</v>
      </c>
      <c r="N465" s="150">
        <v>7.5</v>
      </c>
      <c r="O465" s="17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>
      <c r="A466" s="4" t="s">
        <v>2976</v>
      </c>
      <c r="B466" s="152">
        <v>8.5</v>
      </c>
      <c r="C466" s="2"/>
      <c r="D466" s="4" t="s">
        <v>2991</v>
      </c>
      <c r="E466" s="152">
        <v>8.5</v>
      </c>
      <c r="F466" s="2"/>
      <c r="G466" s="2"/>
      <c r="H466" s="2"/>
      <c r="I466" s="2"/>
      <c r="J466" s="11" t="s">
        <v>3025</v>
      </c>
      <c r="K466" s="206">
        <v>8.5</v>
      </c>
      <c r="L466" s="2"/>
      <c r="M466" s="7" t="s">
        <v>2903</v>
      </c>
      <c r="N466" s="151"/>
      <c r="O466" s="17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>
      <c r="A467" s="4" t="s">
        <v>2977</v>
      </c>
      <c r="B467" s="152">
        <v>8.5</v>
      </c>
      <c r="C467" s="2"/>
      <c r="D467" s="4" t="s">
        <v>2992</v>
      </c>
      <c r="E467" s="152"/>
      <c r="F467" s="2"/>
      <c r="G467" s="250" t="s">
        <v>3039</v>
      </c>
      <c r="H467" s="12">
        <f>ROUND(SUM(H468:H472)/COUNT(H468:H472), 2)</f>
        <v>8.8000000000000007</v>
      </c>
      <c r="I467" s="2"/>
      <c r="J467" s="4" t="s">
        <v>3026</v>
      </c>
      <c r="K467" s="152">
        <v>9</v>
      </c>
      <c r="L467" s="2"/>
      <c r="M467" s="2"/>
      <c r="N467" s="2"/>
      <c r="O467" s="1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>
      <c r="A468" s="4" t="s">
        <v>2978</v>
      </c>
      <c r="B468" s="152">
        <v>8</v>
      </c>
      <c r="C468" s="2"/>
      <c r="D468" s="4" t="s">
        <v>2993</v>
      </c>
      <c r="E468" s="152">
        <v>9</v>
      </c>
      <c r="F468" s="2"/>
      <c r="G468" s="11" t="s">
        <v>3040</v>
      </c>
      <c r="H468" s="206">
        <v>8</v>
      </c>
      <c r="I468" s="2"/>
      <c r="J468" s="4" t="s">
        <v>3027</v>
      </c>
      <c r="K468" s="152">
        <v>7.5</v>
      </c>
      <c r="L468" s="2"/>
      <c r="M468" s="251" t="s">
        <v>3050</v>
      </c>
      <c r="N468" s="12">
        <f>ROUND(SUM(N469:N478)/COUNT(N469:N478), 2)</f>
        <v>8.44</v>
      </c>
      <c r="O468" s="17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>
      <c r="A469" s="4" t="s">
        <v>2979</v>
      </c>
      <c r="B469" s="152">
        <v>7.5</v>
      </c>
      <c r="C469" s="2"/>
      <c r="D469" s="4" t="s">
        <v>2994</v>
      </c>
      <c r="E469" s="152">
        <v>8</v>
      </c>
      <c r="F469" s="2"/>
      <c r="G469" s="4" t="s">
        <v>420</v>
      </c>
      <c r="H469" s="152">
        <v>9</v>
      </c>
      <c r="I469" s="2"/>
      <c r="J469" s="4" t="s">
        <v>3028</v>
      </c>
      <c r="K469" s="152">
        <v>8</v>
      </c>
      <c r="L469" s="2"/>
      <c r="M469" s="11" t="s">
        <v>3051</v>
      </c>
      <c r="N469" s="206">
        <v>8.5</v>
      </c>
      <c r="O469" s="17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>
      <c r="A470" s="4" t="s">
        <v>2980</v>
      </c>
      <c r="B470" s="152">
        <v>8</v>
      </c>
      <c r="C470" s="2"/>
      <c r="D470" s="4" t="s">
        <v>2995</v>
      </c>
      <c r="E470" s="152">
        <v>8.5</v>
      </c>
      <c r="F470" s="2"/>
      <c r="G470" s="4" t="s">
        <v>3041</v>
      </c>
      <c r="H470" s="152">
        <v>8.5</v>
      </c>
      <c r="I470" s="2"/>
      <c r="J470" s="4" t="s">
        <v>3029</v>
      </c>
      <c r="K470" s="152">
        <v>8</v>
      </c>
      <c r="L470" s="2"/>
      <c r="M470" s="4" t="s">
        <v>3052</v>
      </c>
      <c r="N470" s="152">
        <v>9.5</v>
      </c>
      <c r="O470" s="17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>
      <c r="A471" s="7" t="s">
        <v>2981</v>
      </c>
      <c r="B471" s="207">
        <v>7.5</v>
      </c>
      <c r="C471" s="2"/>
      <c r="D471" s="4" t="s">
        <v>2996</v>
      </c>
      <c r="E471" s="152">
        <v>8</v>
      </c>
      <c r="F471" s="2"/>
      <c r="G471" s="4" t="s">
        <v>3042</v>
      </c>
      <c r="H471" s="152">
        <v>10</v>
      </c>
      <c r="I471" s="2"/>
      <c r="J471" s="4" t="s">
        <v>3030</v>
      </c>
      <c r="K471" s="152">
        <v>8</v>
      </c>
      <c r="L471" s="2"/>
      <c r="M471" s="4" t="s">
        <v>3053</v>
      </c>
      <c r="N471" s="152">
        <v>8.5</v>
      </c>
      <c r="O471" s="17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>
      <c r="A472" s="2"/>
      <c r="B472" s="2"/>
      <c r="C472" s="2"/>
      <c r="D472" s="4" t="s">
        <v>2997</v>
      </c>
      <c r="E472" s="152"/>
      <c r="F472" s="2"/>
      <c r="G472" s="7" t="s">
        <v>2641</v>
      </c>
      <c r="H472" s="207">
        <v>8.5</v>
      </c>
      <c r="I472" s="2"/>
      <c r="J472" s="4" t="s">
        <v>3031</v>
      </c>
      <c r="K472" s="152">
        <v>9</v>
      </c>
      <c r="L472" s="2"/>
      <c r="M472" s="4" t="s">
        <v>3054</v>
      </c>
      <c r="N472" s="152">
        <v>9</v>
      </c>
      <c r="O472" s="17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>
      <c r="A473" s="253" t="s">
        <v>3079</v>
      </c>
      <c r="B473" s="12">
        <f>ROUND(SUM(B474:B485)/COUNT(B474:B485), 2)</f>
        <v>8.41</v>
      </c>
      <c r="C473" s="2"/>
      <c r="D473" s="4" t="s">
        <v>2998</v>
      </c>
      <c r="E473" s="152">
        <v>10</v>
      </c>
      <c r="F473" s="2"/>
      <c r="G473" s="2"/>
      <c r="H473" s="2"/>
      <c r="I473" s="2"/>
      <c r="J473" s="4" t="s">
        <v>3032</v>
      </c>
      <c r="K473" s="152">
        <v>8.5</v>
      </c>
      <c r="L473" s="2"/>
      <c r="M473" s="4" t="s">
        <v>3055</v>
      </c>
      <c r="N473" s="152">
        <v>8.5</v>
      </c>
      <c r="O473" s="17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>
      <c r="A474" s="11" t="s">
        <v>3068</v>
      </c>
      <c r="B474" s="206">
        <v>10</v>
      </c>
      <c r="C474" s="2"/>
      <c r="D474" s="4" t="s">
        <v>2999</v>
      </c>
      <c r="E474" s="152">
        <v>8.5</v>
      </c>
      <c r="F474" s="2"/>
      <c r="G474" s="254" t="s">
        <v>3098</v>
      </c>
      <c r="H474" s="12">
        <f>ROUND(SUM(H475:H486)/COUNT(H475:H486), 2)</f>
        <v>8.9600000000000009</v>
      </c>
      <c r="I474" s="2"/>
      <c r="J474" s="4" t="s">
        <v>3033</v>
      </c>
      <c r="K474" s="152">
        <v>8</v>
      </c>
      <c r="L474" s="2"/>
      <c r="M474" s="4" t="s">
        <v>3056</v>
      </c>
      <c r="N474" s="152"/>
      <c r="O474" s="17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>
      <c r="A475" s="4" t="s">
        <v>3069</v>
      </c>
      <c r="B475" s="152">
        <v>8.5</v>
      </c>
      <c r="C475" s="2"/>
      <c r="D475" s="4" t="s">
        <v>3000</v>
      </c>
      <c r="E475" s="152">
        <v>9</v>
      </c>
      <c r="F475" s="2"/>
      <c r="G475" s="11" t="s">
        <v>3086</v>
      </c>
      <c r="H475" s="206">
        <v>9.5</v>
      </c>
      <c r="I475" s="2"/>
      <c r="J475" s="4" t="s">
        <v>3034</v>
      </c>
      <c r="K475" s="152">
        <v>9</v>
      </c>
      <c r="L475" s="2"/>
      <c r="M475" s="4" t="s">
        <v>3057</v>
      </c>
      <c r="N475" s="152">
        <v>8</v>
      </c>
      <c r="O475" s="17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>
      <c r="A476" s="4" t="s">
        <v>3070</v>
      </c>
      <c r="B476" s="152">
        <v>8.5</v>
      </c>
      <c r="C476" s="2"/>
      <c r="D476" s="4" t="s">
        <v>3001</v>
      </c>
      <c r="E476" s="152">
        <v>8.5</v>
      </c>
      <c r="F476" s="2"/>
      <c r="G476" s="4" t="s">
        <v>3087</v>
      </c>
      <c r="H476" s="152">
        <v>8</v>
      </c>
      <c r="I476" s="2"/>
      <c r="J476" s="4" t="s">
        <v>3035</v>
      </c>
      <c r="K476" s="152">
        <v>8.5</v>
      </c>
      <c r="L476" s="2"/>
      <c r="M476" s="4" t="s">
        <v>3058</v>
      </c>
      <c r="N476" s="152">
        <v>7.5</v>
      </c>
      <c r="O476" s="17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>
      <c r="A477" s="4" t="s">
        <v>3071</v>
      </c>
      <c r="B477" s="152">
        <v>8</v>
      </c>
      <c r="C477" s="2"/>
      <c r="D477" s="4" t="s">
        <v>3002</v>
      </c>
      <c r="E477" s="152"/>
      <c r="F477" s="2"/>
      <c r="G477" s="4" t="s">
        <v>3088</v>
      </c>
      <c r="H477" s="152">
        <v>10</v>
      </c>
      <c r="I477" s="2"/>
      <c r="J477" s="7" t="s">
        <v>3036</v>
      </c>
      <c r="K477" s="207">
        <v>7</v>
      </c>
      <c r="L477" s="2"/>
      <c r="M477" s="4" t="s">
        <v>3059</v>
      </c>
      <c r="N477" s="152">
        <v>8.5</v>
      </c>
      <c r="O477" s="1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>
      <c r="A478" s="4" t="s">
        <v>3072</v>
      </c>
      <c r="B478" s="152">
        <v>7.5</v>
      </c>
      <c r="C478" s="2"/>
      <c r="D478" s="4" t="s">
        <v>3003</v>
      </c>
      <c r="E478" s="152">
        <v>10.5</v>
      </c>
      <c r="F478" s="2"/>
      <c r="G478" s="4" t="s">
        <v>3089</v>
      </c>
      <c r="H478" s="152">
        <v>8.5</v>
      </c>
      <c r="I478" s="2"/>
      <c r="J478" s="2"/>
      <c r="K478" s="2"/>
      <c r="L478" s="2"/>
      <c r="M478" s="7" t="s">
        <v>3060</v>
      </c>
      <c r="N478" s="207">
        <v>8</v>
      </c>
      <c r="O478" s="17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6" customHeight="1" thickBot="1">
      <c r="A479" s="4" t="s">
        <v>3073</v>
      </c>
      <c r="B479" s="152">
        <v>7.5</v>
      </c>
      <c r="C479" s="2"/>
      <c r="D479" s="4" t="s">
        <v>3004</v>
      </c>
      <c r="E479" s="152">
        <v>8.5</v>
      </c>
      <c r="F479" s="2"/>
      <c r="G479" s="4" t="s">
        <v>3090</v>
      </c>
      <c r="H479" s="152">
        <v>9</v>
      </c>
      <c r="I479" s="2"/>
      <c r="J479" s="383" t="s">
        <v>3111</v>
      </c>
      <c r="K479" s="12">
        <f>ROUND(SUM(K480:K489)/COUNT(K480:K489), 2)</f>
        <v>8.6</v>
      </c>
      <c r="L479" s="2"/>
      <c r="M479" s="2"/>
      <c r="N479" s="2"/>
      <c r="O479" s="17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6" customHeight="1" thickBot="1">
      <c r="A480" s="4" t="s">
        <v>3074</v>
      </c>
      <c r="B480" s="152">
        <v>9.5</v>
      </c>
      <c r="C480" s="2"/>
      <c r="D480" s="4" t="s">
        <v>3005</v>
      </c>
      <c r="E480" s="152">
        <v>8.5</v>
      </c>
      <c r="F480" s="2"/>
      <c r="G480" s="4" t="s">
        <v>3091</v>
      </c>
      <c r="H480" s="152">
        <v>8</v>
      </c>
      <c r="I480" s="2"/>
      <c r="J480" s="11" t="s">
        <v>3112</v>
      </c>
      <c r="K480" s="206">
        <v>8</v>
      </c>
      <c r="L480" s="2"/>
      <c r="M480" s="384" t="s">
        <v>3125</v>
      </c>
      <c r="N480" s="12">
        <f>ROUND(SUM(N481:N486)/COUNT(N481:N486), 2)</f>
        <v>8.58</v>
      </c>
      <c r="O480" s="17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>
      <c r="A481" s="4" t="s">
        <v>3075</v>
      </c>
      <c r="B481" s="152">
        <v>8</v>
      </c>
      <c r="C481" s="2"/>
      <c r="D481" s="4" t="s">
        <v>3006</v>
      </c>
      <c r="E481" s="152">
        <v>9</v>
      </c>
      <c r="F481" s="2"/>
      <c r="G481" s="4" t="s">
        <v>3092</v>
      </c>
      <c r="H481" s="152">
        <v>8</v>
      </c>
      <c r="I481" s="2"/>
      <c r="J481" s="4" t="s">
        <v>3113</v>
      </c>
      <c r="K481" s="152">
        <v>9</v>
      </c>
      <c r="L481" s="2"/>
      <c r="M481" s="11" t="s">
        <v>3126</v>
      </c>
      <c r="N481" s="206">
        <v>8</v>
      </c>
      <c r="O481" s="17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>
      <c r="A482" s="4" t="s">
        <v>3076</v>
      </c>
      <c r="B482" s="152">
        <v>7.5</v>
      </c>
      <c r="C482" s="2"/>
      <c r="D482" s="4" t="s">
        <v>3007</v>
      </c>
      <c r="E482" s="152">
        <v>8</v>
      </c>
      <c r="F482" s="2"/>
      <c r="G482" s="4" t="s">
        <v>3093</v>
      </c>
      <c r="H482" s="152">
        <v>9</v>
      </c>
      <c r="I482" s="2"/>
      <c r="J482" s="4" t="s">
        <v>3114</v>
      </c>
      <c r="K482" s="152">
        <v>9</v>
      </c>
      <c r="L482" s="2"/>
      <c r="M482" s="4" t="s">
        <v>3127</v>
      </c>
      <c r="N482" s="152">
        <v>8.5</v>
      </c>
      <c r="O482" s="17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>
      <c r="A483" s="4" t="s">
        <v>3077</v>
      </c>
      <c r="B483" s="152">
        <v>10</v>
      </c>
      <c r="C483" s="2"/>
      <c r="D483" s="4" t="s">
        <v>3008</v>
      </c>
      <c r="E483" s="152"/>
      <c r="F483" s="2"/>
      <c r="G483" s="4" t="s">
        <v>3094</v>
      </c>
      <c r="H483" s="152">
        <v>8.5</v>
      </c>
      <c r="I483" s="2"/>
      <c r="J483" s="4" t="s">
        <v>3115</v>
      </c>
      <c r="K483" s="152">
        <v>10</v>
      </c>
      <c r="L483" s="2"/>
      <c r="M483" s="4" t="s">
        <v>3128</v>
      </c>
      <c r="N483" s="152">
        <v>8.5</v>
      </c>
      <c r="O483" s="17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>
      <c r="A484" s="4" t="s">
        <v>403</v>
      </c>
      <c r="B484" s="152"/>
      <c r="C484" s="2"/>
      <c r="D484" s="4" t="s">
        <v>3009</v>
      </c>
      <c r="E484" s="152">
        <v>8</v>
      </c>
      <c r="F484" s="2"/>
      <c r="G484" s="4" t="s">
        <v>3095</v>
      </c>
      <c r="H484" s="152">
        <v>10</v>
      </c>
      <c r="I484" s="2"/>
      <c r="J484" s="4" t="s">
        <v>3116</v>
      </c>
      <c r="K484" s="152">
        <v>7.5</v>
      </c>
      <c r="L484" s="2"/>
      <c r="M484" s="4" t="s">
        <v>3129</v>
      </c>
      <c r="N484" s="152">
        <v>7.5</v>
      </c>
      <c r="O484" s="17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>
      <c r="A485" s="7" t="s">
        <v>3078</v>
      </c>
      <c r="B485" s="207">
        <v>7.5</v>
      </c>
      <c r="C485" s="2"/>
      <c r="D485" s="7" t="s">
        <v>3010</v>
      </c>
      <c r="E485" s="207">
        <v>8</v>
      </c>
      <c r="F485" s="2"/>
      <c r="G485" s="4" t="s">
        <v>3096</v>
      </c>
      <c r="H485" s="152">
        <v>10</v>
      </c>
      <c r="I485" s="2"/>
      <c r="J485" s="4" t="s">
        <v>3117</v>
      </c>
      <c r="K485" s="152">
        <v>10.5</v>
      </c>
      <c r="L485" s="2"/>
      <c r="M485" s="4" t="s">
        <v>2573</v>
      </c>
      <c r="N485" s="152">
        <v>10</v>
      </c>
      <c r="O485" s="17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>
      <c r="A486" s="2"/>
      <c r="B486" s="2"/>
      <c r="C486" s="2"/>
      <c r="D486" s="2"/>
      <c r="E486" s="2"/>
      <c r="F486" s="2"/>
      <c r="G486" s="7" t="s">
        <v>3097</v>
      </c>
      <c r="H486" s="207">
        <v>9</v>
      </c>
      <c r="I486" s="2"/>
      <c r="J486" s="4" t="s">
        <v>3118</v>
      </c>
      <c r="K486" s="152">
        <v>8</v>
      </c>
      <c r="L486" s="2"/>
      <c r="M486" s="7" t="s">
        <v>3130</v>
      </c>
      <c r="N486" s="207">
        <v>9</v>
      </c>
      <c r="O486" s="17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6" customHeight="1" thickBot="1">
      <c r="A487" s="388" t="s">
        <v>3188</v>
      </c>
      <c r="B487" s="12">
        <f>ROUND(SUM(B488:B501)/COUNT(B488:B501), 2)</f>
        <v>8.85</v>
      </c>
      <c r="C487" s="2"/>
      <c r="D487" s="387" t="s">
        <v>3158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3119</v>
      </c>
      <c r="K487" s="152">
        <v>8</v>
      </c>
      <c r="L487" s="2"/>
      <c r="M487" s="2"/>
      <c r="N487" s="2"/>
      <c r="O487" s="1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6" customHeight="1" thickBot="1">
      <c r="A488" s="11" t="s">
        <v>1816</v>
      </c>
      <c r="B488" s="206">
        <v>8.5</v>
      </c>
      <c r="C488" s="2"/>
      <c r="D488" s="11" t="s">
        <v>3159</v>
      </c>
      <c r="E488" s="206">
        <v>9</v>
      </c>
      <c r="F488" s="2"/>
      <c r="G488" s="389" t="s">
        <v>3195</v>
      </c>
      <c r="H488" s="12">
        <f>ROUND(SUM(H489:H498)/COUNT(H489:H498), 2)</f>
        <v>8.4</v>
      </c>
      <c r="I488" s="2"/>
      <c r="J488" s="4" t="s">
        <v>3120</v>
      </c>
      <c r="K488" s="152">
        <v>8.5</v>
      </c>
      <c r="L488" s="2"/>
      <c r="M488" s="392" t="s">
        <v>3213</v>
      </c>
      <c r="N488" s="12">
        <f>ROUND(SUM(N489:N498)/COUNT(N489:N498), 2)</f>
        <v>8.4499999999999993</v>
      </c>
      <c r="O488" s="17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>
      <c r="A489" s="4" t="s">
        <v>3145</v>
      </c>
      <c r="B489" s="152">
        <v>9</v>
      </c>
      <c r="C489" s="2"/>
      <c r="D489" s="4" t="s">
        <v>3160</v>
      </c>
      <c r="E489" s="152">
        <v>8.5</v>
      </c>
      <c r="F489" s="2"/>
      <c r="G489" s="11" t="s">
        <v>3196</v>
      </c>
      <c r="H489" s="206">
        <v>10</v>
      </c>
      <c r="I489" s="2"/>
      <c r="J489" s="7" t="s">
        <v>3121</v>
      </c>
      <c r="K489" s="207">
        <v>7.5</v>
      </c>
      <c r="L489" s="2"/>
      <c r="M489" s="11" t="s">
        <v>3214</v>
      </c>
      <c r="N489" s="206">
        <v>9</v>
      </c>
      <c r="O489" s="17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>
      <c r="A490" s="4" t="s">
        <v>3146</v>
      </c>
      <c r="B490" s="152">
        <v>8.5</v>
      </c>
      <c r="C490" s="2"/>
      <c r="D490" s="4" t="s">
        <v>3161</v>
      </c>
      <c r="E490" s="152">
        <v>9</v>
      </c>
      <c r="F490" s="2"/>
      <c r="G490" s="4" t="s">
        <v>3197</v>
      </c>
      <c r="H490" s="152">
        <v>8.5</v>
      </c>
      <c r="I490" s="2"/>
      <c r="J490" s="2"/>
      <c r="K490" s="2"/>
      <c r="L490" s="2"/>
      <c r="M490" s="4" t="s">
        <v>3215</v>
      </c>
      <c r="N490" s="152">
        <v>8</v>
      </c>
      <c r="O490" s="17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6" customHeight="1" thickBot="1">
      <c r="A491" s="4" t="s">
        <v>3147</v>
      </c>
      <c r="B491" s="152">
        <v>8</v>
      </c>
      <c r="C491" s="2"/>
      <c r="D491" s="4" t="s">
        <v>3162</v>
      </c>
      <c r="E491" s="152">
        <v>8</v>
      </c>
      <c r="F491" s="2"/>
      <c r="G491" s="4" t="s">
        <v>3198</v>
      </c>
      <c r="H491" s="152">
        <v>8</v>
      </c>
      <c r="I491" s="2"/>
      <c r="J491" s="393" t="s">
        <v>3235</v>
      </c>
      <c r="K491" s="12">
        <f>ROUND(SUM(K492:K497)/COUNT(K492:K497), 2)</f>
        <v>7.92</v>
      </c>
      <c r="L491" s="2"/>
      <c r="M491" s="4" t="s">
        <v>3216</v>
      </c>
      <c r="N491" s="152">
        <v>8</v>
      </c>
      <c r="O491" s="17"/>
      <c r="P491"/>
      <c r="Q491"/>
      <c r="R491"/>
      <c r="T491"/>
      <c r="U491"/>
      <c r="V491"/>
      <c r="W491"/>
      <c r="X491"/>
      <c r="Y491"/>
      <c r="Z491" s="3"/>
    </row>
    <row r="492" spans="1:35">
      <c r="A492" s="4" t="s">
        <v>3148</v>
      </c>
      <c r="B492" s="152">
        <v>8.5</v>
      </c>
      <c r="C492" s="2"/>
      <c r="D492" s="4" t="s">
        <v>3163</v>
      </c>
      <c r="E492" s="152">
        <v>8.5</v>
      </c>
      <c r="F492" s="2"/>
      <c r="G492" s="4" t="s">
        <v>3199</v>
      </c>
      <c r="H492" s="152">
        <v>9</v>
      </c>
      <c r="I492" s="2"/>
      <c r="J492" s="11" t="s">
        <v>3229</v>
      </c>
      <c r="K492" s="206">
        <v>8.5</v>
      </c>
      <c r="L492" s="2"/>
      <c r="M492" s="4" t="s">
        <v>3217</v>
      </c>
      <c r="N492" s="152">
        <v>8.5</v>
      </c>
      <c r="O492" s="17"/>
      <c r="P492"/>
      <c r="Q492"/>
      <c r="R492"/>
      <c r="T492"/>
      <c r="U492"/>
      <c r="V492"/>
      <c r="W492"/>
      <c r="X492"/>
      <c r="Y492"/>
      <c r="Z492" s="3"/>
    </row>
    <row r="493" spans="1:35">
      <c r="A493" s="4" t="s">
        <v>3149</v>
      </c>
      <c r="B493" s="152">
        <v>9.5</v>
      </c>
      <c r="C493" s="2"/>
      <c r="D493" s="4" t="s">
        <v>3164</v>
      </c>
      <c r="E493" s="152">
        <v>10</v>
      </c>
      <c r="F493" s="2"/>
      <c r="G493" s="4" t="s">
        <v>3200</v>
      </c>
      <c r="H493" s="152">
        <v>8</v>
      </c>
      <c r="I493" s="2"/>
      <c r="J493" s="4" t="s">
        <v>3230</v>
      </c>
      <c r="K493" s="152">
        <v>8</v>
      </c>
      <c r="L493" s="2"/>
      <c r="M493" s="4" t="s">
        <v>3218</v>
      </c>
      <c r="N493" s="152">
        <v>9</v>
      </c>
      <c r="O493" s="17"/>
      <c r="P493"/>
      <c r="Q493"/>
      <c r="R493"/>
      <c r="T493"/>
      <c r="U493"/>
      <c r="V493"/>
      <c r="W493"/>
      <c r="X493"/>
      <c r="Y493"/>
      <c r="Z493" s="3"/>
    </row>
    <row r="494" spans="1:35">
      <c r="A494" s="4" t="s">
        <v>3150</v>
      </c>
      <c r="B494" s="152"/>
      <c r="C494" s="2"/>
      <c r="D494" s="4" t="s">
        <v>3165</v>
      </c>
      <c r="E494" s="152">
        <v>9</v>
      </c>
      <c r="F494" s="2"/>
      <c r="G494" s="4" t="s">
        <v>3201</v>
      </c>
      <c r="H494" s="152">
        <v>9</v>
      </c>
      <c r="I494" s="2"/>
      <c r="J494" s="4" t="s">
        <v>3231</v>
      </c>
      <c r="K494" s="152">
        <v>7.5</v>
      </c>
      <c r="L494" s="2"/>
      <c r="M494" s="4" t="s">
        <v>3219</v>
      </c>
      <c r="N494" s="152">
        <v>8.5</v>
      </c>
      <c r="O494" s="17"/>
      <c r="P494"/>
      <c r="Q494"/>
      <c r="R494"/>
      <c r="T494"/>
      <c r="U494"/>
      <c r="V494"/>
      <c r="W494"/>
      <c r="X494"/>
      <c r="Y494"/>
      <c r="Z494" s="3"/>
    </row>
    <row r="495" spans="1:35">
      <c r="A495" s="4" t="s">
        <v>3151</v>
      </c>
      <c r="B495" s="152">
        <v>9.5</v>
      </c>
      <c r="C495" s="2"/>
      <c r="D495" s="4" t="s">
        <v>3166</v>
      </c>
      <c r="E495" s="152">
        <v>7.5</v>
      </c>
      <c r="F495" s="2"/>
      <c r="G495" s="4" t="s">
        <v>3202</v>
      </c>
      <c r="H495" s="152">
        <v>7.5</v>
      </c>
      <c r="I495" s="2"/>
      <c r="J495" s="4" t="s">
        <v>3232</v>
      </c>
      <c r="K495" s="152">
        <v>8</v>
      </c>
      <c r="L495" s="2"/>
      <c r="M495" s="4" t="s">
        <v>1809</v>
      </c>
      <c r="N495" s="152">
        <v>8</v>
      </c>
      <c r="O495" s="17"/>
      <c r="P495"/>
      <c r="Q495"/>
      <c r="R495"/>
      <c r="T495"/>
      <c r="U495"/>
      <c r="V495"/>
      <c r="W495"/>
      <c r="X495"/>
      <c r="Y495"/>
      <c r="Z495" s="3"/>
    </row>
    <row r="496" spans="1:35">
      <c r="A496" s="4" t="s">
        <v>3152</v>
      </c>
      <c r="B496" s="152">
        <v>8.5</v>
      </c>
      <c r="C496" s="2"/>
      <c r="D496" s="4" t="s">
        <v>3167</v>
      </c>
      <c r="E496" s="152">
        <v>10.5</v>
      </c>
      <c r="F496" s="2"/>
      <c r="G496" s="4" t="s">
        <v>512</v>
      </c>
      <c r="H496" s="152">
        <v>8.5</v>
      </c>
      <c r="I496" s="2"/>
      <c r="J496" s="4" t="s">
        <v>3233</v>
      </c>
      <c r="K496" s="152">
        <v>6.5</v>
      </c>
      <c r="L496" s="2"/>
      <c r="M496" s="4" t="s">
        <v>3220</v>
      </c>
      <c r="N496" s="152">
        <v>7.5</v>
      </c>
      <c r="O496" s="17"/>
      <c r="P496"/>
      <c r="Q496"/>
      <c r="R496"/>
      <c r="S496"/>
      <c r="T496"/>
      <c r="U496"/>
      <c r="V496"/>
      <c r="W496"/>
      <c r="X496"/>
      <c r="Y496"/>
      <c r="Z496" s="3"/>
    </row>
    <row r="497" spans="1:25" s="3" customFormat="1" ht="16.2" thickBot="1">
      <c r="A497" s="4" t="s">
        <v>3153</v>
      </c>
      <c r="B497" s="152">
        <v>10</v>
      </c>
      <c r="C497" s="2"/>
      <c r="D497" s="7" t="s">
        <v>3168</v>
      </c>
      <c r="E497" s="207">
        <v>8</v>
      </c>
      <c r="F497" s="2"/>
      <c r="G497" s="4" t="s">
        <v>3203</v>
      </c>
      <c r="H497" s="152">
        <v>8</v>
      </c>
      <c r="I497" s="2"/>
      <c r="J497" s="7" t="s">
        <v>3234</v>
      </c>
      <c r="K497" s="207">
        <v>9</v>
      </c>
      <c r="L497" s="2"/>
      <c r="M497" s="4" t="s">
        <v>3221</v>
      </c>
      <c r="N497" s="152">
        <v>8</v>
      </c>
      <c r="O497" s="17"/>
      <c r="P497"/>
      <c r="Q497"/>
      <c r="R497"/>
      <c r="T497"/>
      <c r="U497"/>
      <c r="V497"/>
      <c r="W497"/>
      <c r="X497"/>
      <c r="Y497"/>
    </row>
    <row r="498" spans="1:25" s="3" customFormat="1" ht="16.2" thickBot="1">
      <c r="A498" s="4" t="s">
        <v>3154</v>
      </c>
      <c r="B498" s="152">
        <v>8.5</v>
      </c>
      <c r="C498" s="2"/>
      <c r="D498" s="2"/>
      <c r="E498" s="2"/>
      <c r="F498" s="2"/>
      <c r="G498" s="7" t="s">
        <v>3204</v>
      </c>
      <c r="H498" s="207">
        <v>7.5</v>
      </c>
      <c r="I498" s="2"/>
      <c r="J498" s="2"/>
      <c r="K498" s="2"/>
      <c r="L498" s="2"/>
      <c r="M498" s="7" t="s">
        <v>3222</v>
      </c>
      <c r="N498" s="207">
        <v>10</v>
      </c>
      <c r="O498" s="17"/>
      <c r="P498"/>
      <c r="Q498"/>
      <c r="R498"/>
      <c r="T498"/>
      <c r="U498"/>
      <c r="V498"/>
      <c r="W498"/>
      <c r="X498"/>
      <c r="Y498"/>
    </row>
    <row r="499" spans="1:25" s="3" customFormat="1" ht="15.6" customHeight="1" thickBot="1">
      <c r="A499" s="4" t="s">
        <v>3155</v>
      </c>
      <c r="B499" s="152">
        <v>10</v>
      </c>
      <c r="C499" s="2"/>
      <c r="D499" s="396" t="s">
        <v>3247</v>
      </c>
      <c r="E499" s="12">
        <f>ROUND(SUM(E500:E512)/COUNT(E500:E512), 2)</f>
        <v>8.6300000000000008</v>
      </c>
      <c r="F499" s="2"/>
      <c r="G499" s="2"/>
      <c r="H499" s="2"/>
      <c r="I499" s="2"/>
      <c r="L499" s="2"/>
      <c r="M499" s="2"/>
      <c r="N499" s="2"/>
      <c r="O499" s="17"/>
      <c r="P499"/>
      <c r="Q499"/>
      <c r="R499"/>
      <c r="T499"/>
      <c r="U499"/>
      <c r="V499"/>
      <c r="W499"/>
      <c r="X499"/>
      <c r="Y499"/>
    </row>
    <row r="500" spans="1:25" s="3" customFormat="1">
      <c r="A500" s="4" t="s">
        <v>3156</v>
      </c>
      <c r="B500" s="152">
        <v>8</v>
      </c>
      <c r="C500" s="2"/>
      <c r="D500" s="11" t="s">
        <v>3248</v>
      </c>
      <c r="E500" s="206">
        <v>8.5</v>
      </c>
      <c r="F500" s="2"/>
      <c r="P500"/>
      <c r="Q500"/>
      <c r="R500"/>
      <c r="T500"/>
      <c r="U500"/>
      <c r="V500"/>
      <c r="W500"/>
      <c r="X500"/>
      <c r="Y500"/>
    </row>
    <row r="501" spans="1:25" s="3" customFormat="1" ht="16.2" thickBot="1">
      <c r="A501" s="7" t="s">
        <v>3157</v>
      </c>
      <c r="B501" s="207">
        <v>8.5</v>
      </c>
      <c r="C501" s="2"/>
      <c r="D501" s="4" t="s">
        <v>3249</v>
      </c>
      <c r="E501" s="152">
        <v>8.5</v>
      </c>
      <c r="F501" s="2"/>
      <c r="P501"/>
      <c r="Q501"/>
      <c r="R501"/>
      <c r="T501"/>
      <c r="U501"/>
      <c r="V501"/>
      <c r="W501"/>
      <c r="X501"/>
      <c r="Y501"/>
    </row>
    <row r="502" spans="1:25" s="3" customFormat="1">
      <c r="A502" s="2"/>
      <c r="B502" s="2"/>
      <c r="C502" s="2"/>
      <c r="D502" s="4" t="s">
        <v>3250</v>
      </c>
      <c r="E502" s="152">
        <v>8</v>
      </c>
      <c r="F502" s="2"/>
      <c r="P502"/>
      <c r="Q502"/>
      <c r="R502"/>
      <c r="T502"/>
      <c r="U502"/>
      <c r="V502"/>
      <c r="W502"/>
      <c r="X502"/>
      <c r="Y502"/>
    </row>
    <row r="503" spans="1:25" s="3" customFormat="1">
      <c r="C503" s="2"/>
      <c r="D503" s="4" t="s">
        <v>3251</v>
      </c>
      <c r="E503" s="152">
        <v>9.5</v>
      </c>
      <c r="F503" s="2"/>
      <c r="P503"/>
      <c r="Q503"/>
      <c r="R503"/>
      <c r="S503"/>
      <c r="T503"/>
      <c r="U503"/>
      <c r="V503"/>
      <c r="W503"/>
      <c r="X503"/>
      <c r="Y503"/>
    </row>
    <row r="504" spans="1:25" s="3" customFormat="1">
      <c r="C504" s="2"/>
      <c r="D504" s="4" t="s">
        <v>3252</v>
      </c>
      <c r="E504" s="152">
        <v>8</v>
      </c>
      <c r="F504" s="2"/>
      <c r="P504"/>
      <c r="Q504"/>
      <c r="R504"/>
      <c r="S504"/>
      <c r="T504"/>
      <c r="U504"/>
      <c r="V504"/>
      <c r="W504"/>
      <c r="X504"/>
      <c r="Y504"/>
    </row>
    <row r="505" spans="1:25" s="3" customFormat="1">
      <c r="C505" s="2"/>
      <c r="D505" s="4" t="s">
        <v>3253</v>
      </c>
      <c r="E505" s="152">
        <v>10</v>
      </c>
      <c r="F505" s="2"/>
      <c r="P505"/>
      <c r="Q505"/>
      <c r="R505"/>
      <c r="S505"/>
      <c r="T505"/>
      <c r="U505"/>
      <c r="V505"/>
      <c r="W505"/>
      <c r="X505"/>
      <c r="Y505"/>
    </row>
    <row r="506" spans="1:25" s="3" customFormat="1">
      <c r="C506" s="2"/>
      <c r="D506" s="4" t="s">
        <v>3254</v>
      </c>
      <c r="E506" s="152"/>
      <c r="F506" s="2"/>
      <c r="P506"/>
      <c r="Q506"/>
      <c r="R506"/>
      <c r="S506"/>
      <c r="T506"/>
      <c r="U506"/>
      <c r="V506"/>
      <c r="W506"/>
      <c r="X506"/>
      <c r="Y506"/>
    </row>
    <row r="507" spans="1:25" s="3" customFormat="1">
      <c r="C507" s="2"/>
      <c r="D507" s="4" t="s">
        <v>3255</v>
      </c>
      <c r="E507" s="152">
        <v>8</v>
      </c>
      <c r="F507" s="2"/>
      <c r="P507"/>
      <c r="Q507"/>
      <c r="R507"/>
      <c r="S507"/>
      <c r="T507"/>
      <c r="U507"/>
      <c r="V507"/>
      <c r="W507"/>
      <c r="X507"/>
      <c r="Y507"/>
    </row>
    <row r="508" spans="1:25" s="3" customFormat="1">
      <c r="C508" s="2"/>
      <c r="D508" s="4" t="s">
        <v>3256</v>
      </c>
      <c r="E508" s="152">
        <v>8</v>
      </c>
      <c r="F508" s="2"/>
      <c r="P508"/>
      <c r="Q508"/>
      <c r="R508"/>
      <c r="S508"/>
      <c r="T508"/>
      <c r="U508"/>
      <c r="V508"/>
      <c r="W508"/>
      <c r="X508"/>
      <c r="Y508"/>
    </row>
    <row r="509" spans="1:25" s="3" customFormat="1">
      <c r="C509" s="2"/>
      <c r="D509" s="4" t="s">
        <v>3257</v>
      </c>
      <c r="E509" s="152">
        <v>8.5</v>
      </c>
      <c r="F509" s="2"/>
      <c r="P509"/>
      <c r="Q509"/>
      <c r="R509"/>
      <c r="S509"/>
      <c r="T509"/>
      <c r="U509"/>
      <c r="V509"/>
      <c r="W509"/>
      <c r="X509"/>
      <c r="Y509"/>
    </row>
    <row r="510" spans="1:25" s="3" customFormat="1">
      <c r="C510" s="2"/>
      <c r="D510" s="4" t="s">
        <v>3258</v>
      </c>
      <c r="E510" s="152">
        <v>9</v>
      </c>
      <c r="F510" s="2"/>
      <c r="P510"/>
      <c r="Q510"/>
      <c r="R510"/>
      <c r="S510"/>
      <c r="T510"/>
      <c r="U510"/>
      <c r="V510"/>
      <c r="W510"/>
      <c r="X510"/>
      <c r="Y510"/>
    </row>
    <row r="511" spans="1:25" s="3" customFormat="1">
      <c r="C511" s="2"/>
      <c r="D511" s="4" t="s">
        <v>3259</v>
      </c>
      <c r="E511" s="152">
        <v>9.5</v>
      </c>
      <c r="F511" s="2"/>
      <c r="P511"/>
      <c r="Q511"/>
      <c r="R511"/>
      <c r="S511"/>
      <c r="T511"/>
      <c r="U511"/>
      <c r="V511"/>
      <c r="W511"/>
      <c r="X511"/>
      <c r="Y511"/>
    </row>
    <row r="512" spans="1:25" s="3" customFormat="1" ht="16.2" thickBot="1">
      <c r="C512" s="2"/>
      <c r="D512" s="7" t="s">
        <v>3260</v>
      </c>
      <c r="E512" s="207">
        <v>8</v>
      </c>
      <c r="F512" s="2"/>
      <c r="P512"/>
      <c r="Q512"/>
      <c r="R512"/>
      <c r="S512"/>
      <c r="T512"/>
      <c r="U512"/>
      <c r="V512"/>
      <c r="W512"/>
      <c r="X512"/>
      <c r="Y512"/>
    </row>
    <row r="513" spans="3:25" s="3" customFormat="1">
      <c r="C513" s="2"/>
      <c r="D513" s="2"/>
      <c r="E513" s="2"/>
      <c r="F513" s="2"/>
      <c r="P513"/>
      <c r="Q513"/>
      <c r="R513"/>
      <c r="S513"/>
      <c r="T513"/>
      <c r="U513"/>
      <c r="V513"/>
      <c r="W513"/>
      <c r="X513"/>
      <c r="Y513"/>
    </row>
    <row r="514" spans="3:25" s="3" customFormat="1">
      <c r="P514"/>
      <c r="Q514"/>
      <c r="R514"/>
      <c r="S514"/>
      <c r="T514"/>
      <c r="U514"/>
      <c r="V514"/>
      <c r="W514"/>
      <c r="X514"/>
      <c r="Y514"/>
    </row>
    <row r="515" spans="3:25" s="3" customFormat="1">
      <c r="P515"/>
      <c r="Q515"/>
      <c r="R515"/>
      <c r="S515"/>
      <c r="T515"/>
      <c r="U515"/>
      <c r="V515"/>
      <c r="W515"/>
      <c r="X515"/>
      <c r="Y515"/>
    </row>
    <row r="516" spans="3:25" s="3" customFormat="1">
      <c r="P516"/>
      <c r="Q516"/>
      <c r="R516"/>
      <c r="S516"/>
      <c r="T516"/>
      <c r="U516"/>
      <c r="V516"/>
      <c r="W516"/>
      <c r="X516"/>
      <c r="Y516"/>
    </row>
    <row r="517" spans="3:25" s="3" customFormat="1">
      <c r="P517"/>
      <c r="Q517"/>
      <c r="R517"/>
      <c r="S517"/>
      <c r="T517"/>
      <c r="U517"/>
      <c r="V517"/>
      <c r="W517"/>
      <c r="X517"/>
      <c r="Y517"/>
    </row>
    <row r="518" spans="3:25" s="3" customFormat="1">
      <c r="P518"/>
      <c r="Q518"/>
      <c r="R518"/>
      <c r="S518"/>
      <c r="T518"/>
      <c r="U518"/>
      <c r="V518"/>
      <c r="W518"/>
      <c r="X518"/>
      <c r="Y518"/>
    </row>
    <row r="519" spans="3:25" s="3" customFormat="1">
      <c r="P519"/>
      <c r="Q519"/>
      <c r="R519"/>
      <c r="S519"/>
      <c r="T519"/>
      <c r="U519"/>
      <c r="V519"/>
      <c r="W519"/>
      <c r="X519"/>
      <c r="Y519"/>
    </row>
    <row r="520" spans="3:25" s="3" customFormat="1">
      <c r="P520"/>
      <c r="Q520"/>
      <c r="R520"/>
      <c r="S520"/>
      <c r="T520"/>
      <c r="U520"/>
      <c r="V520"/>
      <c r="W520"/>
      <c r="X520"/>
      <c r="Y520"/>
    </row>
    <row r="521" spans="3:25" s="3" customFormat="1">
      <c r="P521"/>
      <c r="Q521"/>
      <c r="R521"/>
      <c r="S521"/>
      <c r="T521"/>
      <c r="U521"/>
      <c r="V521"/>
      <c r="W521"/>
      <c r="X521"/>
      <c r="Y521"/>
    </row>
    <row r="522" spans="3:25" s="3" customFormat="1">
      <c r="P522"/>
      <c r="Q522"/>
      <c r="R522"/>
      <c r="S522"/>
      <c r="T522"/>
      <c r="U522"/>
      <c r="V522"/>
      <c r="W522"/>
      <c r="X522"/>
      <c r="Y522"/>
    </row>
    <row r="523" spans="3:25" s="3" customFormat="1">
      <c r="P523"/>
      <c r="Q523"/>
      <c r="R523"/>
      <c r="S523"/>
      <c r="T523"/>
      <c r="U523"/>
      <c r="V523"/>
      <c r="W523"/>
      <c r="X523"/>
      <c r="Y523"/>
    </row>
    <row r="524" spans="3:25" s="3" customFormat="1">
      <c r="P524"/>
      <c r="Q524"/>
      <c r="R524"/>
      <c r="S524"/>
      <c r="T524"/>
      <c r="U524"/>
      <c r="V524"/>
      <c r="W524"/>
      <c r="X524"/>
      <c r="Y524"/>
    </row>
    <row r="525" spans="3:25" s="3" customFormat="1">
      <c r="P525"/>
      <c r="Q525"/>
      <c r="R525"/>
      <c r="S525"/>
      <c r="T525"/>
      <c r="U525"/>
      <c r="V525"/>
      <c r="W525"/>
      <c r="X525"/>
      <c r="Y525"/>
    </row>
    <row r="526" spans="3:25" s="3" customFormat="1">
      <c r="P526"/>
      <c r="Q526"/>
      <c r="R526"/>
      <c r="S526"/>
      <c r="T526"/>
      <c r="U526"/>
      <c r="V526"/>
      <c r="W526"/>
      <c r="X526"/>
      <c r="Y526"/>
    </row>
    <row r="527" spans="3:25" s="3" customFormat="1">
      <c r="P527"/>
      <c r="Q527"/>
      <c r="R527"/>
      <c r="S527"/>
      <c r="T527"/>
      <c r="U527"/>
      <c r="V527"/>
      <c r="W527"/>
      <c r="X527"/>
      <c r="Y527"/>
    </row>
    <row r="528" spans="3:25" s="3" customFormat="1">
      <c r="P528"/>
      <c r="Q528"/>
      <c r="R528"/>
      <c r="S528"/>
      <c r="T528"/>
      <c r="U528"/>
      <c r="V528"/>
      <c r="W528"/>
      <c r="X528"/>
      <c r="Y528"/>
    </row>
    <row r="529" spans="16:25" s="3" customFormat="1">
      <c r="P529"/>
      <c r="Q529"/>
      <c r="R529"/>
      <c r="S529"/>
      <c r="T529"/>
      <c r="U529"/>
      <c r="V529"/>
      <c r="W529"/>
      <c r="X529"/>
      <c r="Y529"/>
    </row>
    <row r="530" spans="16:25" s="3" customFormat="1">
      <c r="P530"/>
      <c r="Q530"/>
      <c r="R530"/>
      <c r="S530"/>
      <c r="T530"/>
      <c r="U530"/>
      <c r="V530"/>
      <c r="W530"/>
      <c r="X530"/>
      <c r="Y530"/>
    </row>
    <row r="531" spans="16:25" s="3" customFormat="1">
      <c r="P531"/>
      <c r="Q531"/>
      <c r="R531"/>
      <c r="S531"/>
      <c r="T531"/>
      <c r="U531"/>
      <c r="V531"/>
      <c r="W531"/>
      <c r="X531"/>
      <c r="Y531"/>
    </row>
    <row r="532" spans="16:25" s="3" customFormat="1">
      <c r="P532"/>
      <c r="Q532"/>
      <c r="R532"/>
      <c r="S532"/>
      <c r="T532"/>
      <c r="U532"/>
      <c r="V532"/>
      <c r="W532"/>
      <c r="X532"/>
      <c r="Y532"/>
    </row>
    <row r="533" spans="16:25" s="3" customFormat="1">
      <c r="P533"/>
      <c r="Q533"/>
      <c r="R533"/>
      <c r="S533"/>
      <c r="T533"/>
      <c r="U533"/>
      <c r="V533"/>
      <c r="W533"/>
      <c r="X533"/>
      <c r="Y533"/>
    </row>
    <row r="534" spans="16:25" s="3" customFormat="1">
      <c r="P534"/>
      <c r="Q534"/>
      <c r="R534"/>
      <c r="S534"/>
      <c r="T534"/>
      <c r="U534"/>
      <c r="V534"/>
      <c r="W534"/>
      <c r="X534"/>
      <c r="Y534"/>
    </row>
    <row r="535" spans="16:25" s="3" customFormat="1">
      <c r="P535"/>
      <c r="Q535"/>
      <c r="R535"/>
      <c r="S535"/>
      <c r="T535"/>
      <c r="U535"/>
      <c r="V535"/>
      <c r="W535"/>
      <c r="X535"/>
      <c r="Y535"/>
    </row>
    <row r="536" spans="16:25" s="3" customFormat="1">
      <c r="P536"/>
      <c r="Q536"/>
      <c r="R536"/>
      <c r="S536"/>
      <c r="T536"/>
      <c r="U536"/>
      <c r="V536"/>
      <c r="W536"/>
      <c r="X536"/>
      <c r="Y536"/>
    </row>
    <row r="537" spans="16:25" s="3" customFormat="1">
      <c r="P537"/>
      <c r="Q537"/>
      <c r="R537"/>
      <c r="S537"/>
      <c r="T537"/>
      <c r="U537"/>
      <c r="V537"/>
      <c r="W537"/>
      <c r="X537"/>
      <c r="Y537"/>
    </row>
    <row r="538" spans="16:25" s="3" customFormat="1">
      <c r="P538"/>
      <c r="Q538"/>
      <c r="R538"/>
      <c r="S538"/>
      <c r="T538"/>
      <c r="U538"/>
      <c r="V538"/>
      <c r="W538"/>
      <c r="X538"/>
      <c r="Y538"/>
    </row>
    <row r="539" spans="16:25" s="3" customFormat="1">
      <c r="P539"/>
      <c r="Q539"/>
      <c r="R539"/>
      <c r="S539"/>
      <c r="T539"/>
      <c r="U539"/>
      <c r="V539"/>
      <c r="W539"/>
      <c r="X539"/>
      <c r="Y539"/>
    </row>
    <row r="540" spans="16:25" s="3" customFormat="1">
      <c r="P540"/>
      <c r="Q540"/>
      <c r="R540"/>
      <c r="S540"/>
      <c r="T540"/>
      <c r="U540"/>
      <c r="V540"/>
      <c r="W540"/>
      <c r="X540"/>
      <c r="Y540"/>
    </row>
    <row r="541" spans="16:25" s="3" customFormat="1">
      <c r="P541"/>
      <c r="Q541"/>
      <c r="R541"/>
      <c r="S541"/>
      <c r="T541"/>
      <c r="U541"/>
      <c r="V541"/>
      <c r="W541"/>
      <c r="X541"/>
      <c r="Y541"/>
    </row>
    <row r="542" spans="16:25" s="3" customFormat="1">
      <c r="P542"/>
      <c r="Q542"/>
      <c r="R542"/>
      <c r="S542"/>
      <c r="T542"/>
      <c r="U542"/>
      <c r="V542"/>
      <c r="W542"/>
      <c r="X542"/>
      <c r="Y542"/>
    </row>
    <row r="543" spans="16:25" s="3" customFormat="1">
      <c r="P543"/>
      <c r="Q543"/>
      <c r="R543"/>
      <c r="S543"/>
      <c r="T543"/>
      <c r="U543"/>
      <c r="V543"/>
      <c r="W543"/>
      <c r="X543"/>
      <c r="Y543"/>
    </row>
    <row r="544" spans="16:25" s="3" customFormat="1">
      <c r="P544"/>
      <c r="Q544"/>
      <c r="R544"/>
      <c r="S544"/>
      <c r="T544"/>
      <c r="U544"/>
      <c r="V544"/>
      <c r="W544"/>
      <c r="X544"/>
      <c r="Y544"/>
    </row>
    <row r="545" spans="16:25" s="3" customFormat="1">
      <c r="P545"/>
      <c r="Q545"/>
      <c r="R545"/>
      <c r="S545"/>
      <c r="T545"/>
      <c r="U545"/>
      <c r="V545"/>
      <c r="W545"/>
      <c r="X545"/>
      <c r="Y545"/>
    </row>
    <row r="546" spans="16:25" s="3" customFormat="1">
      <c r="P546"/>
      <c r="Q546"/>
      <c r="R546"/>
      <c r="S546"/>
      <c r="T546"/>
      <c r="U546"/>
      <c r="V546"/>
      <c r="W546"/>
      <c r="X546"/>
      <c r="Y546"/>
    </row>
    <row r="547" spans="16:25" s="3" customFormat="1">
      <c r="P547"/>
      <c r="Q547"/>
      <c r="R547"/>
      <c r="S547"/>
      <c r="T547"/>
      <c r="U547"/>
      <c r="V547"/>
      <c r="W547"/>
      <c r="X547"/>
      <c r="Y547"/>
    </row>
    <row r="548" spans="16:25" s="3" customFormat="1">
      <c r="P548"/>
      <c r="Q548"/>
      <c r="R548"/>
      <c r="S548"/>
      <c r="T548"/>
      <c r="U548"/>
      <c r="V548"/>
      <c r="W548"/>
      <c r="X548"/>
      <c r="Y548"/>
    </row>
    <row r="549" spans="16:25" s="3" customFormat="1">
      <c r="P549"/>
      <c r="Q549"/>
      <c r="R549"/>
      <c r="S549"/>
      <c r="T549"/>
      <c r="U549"/>
      <c r="V549"/>
      <c r="W549"/>
      <c r="X549"/>
      <c r="Y549"/>
    </row>
    <row r="550" spans="16:25" s="3" customFormat="1">
      <c r="P550"/>
      <c r="Q550"/>
      <c r="R550"/>
      <c r="S550"/>
      <c r="T550"/>
      <c r="U550"/>
      <c r="V550"/>
      <c r="W550"/>
      <c r="X550"/>
      <c r="Y550"/>
    </row>
    <row r="551" spans="16:25" s="3" customFormat="1">
      <c r="P551"/>
      <c r="Q551"/>
      <c r="R551"/>
      <c r="S551"/>
      <c r="T551"/>
      <c r="U551"/>
      <c r="V551"/>
      <c r="W551"/>
      <c r="X551"/>
      <c r="Y551"/>
    </row>
    <row r="552" spans="16:25" s="3" customFormat="1">
      <c r="P552"/>
      <c r="Q552"/>
      <c r="R552"/>
      <c r="S552"/>
      <c r="T552"/>
      <c r="U552"/>
      <c r="V552"/>
      <c r="W552"/>
      <c r="X552"/>
      <c r="Y552"/>
    </row>
    <row r="553" spans="16:25" s="3" customFormat="1">
      <c r="P553"/>
      <c r="Q553"/>
      <c r="R553"/>
      <c r="S553"/>
      <c r="T553"/>
      <c r="U553"/>
      <c r="V553"/>
      <c r="W553"/>
      <c r="X553"/>
      <c r="Y553"/>
    </row>
    <row r="554" spans="16:25" s="3" customFormat="1">
      <c r="P554"/>
      <c r="Q554"/>
      <c r="R554"/>
      <c r="S554"/>
      <c r="T554"/>
      <c r="U554"/>
      <c r="V554"/>
      <c r="W554"/>
      <c r="X554"/>
      <c r="Y554"/>
    </row>
    <row r="555" spans="16:25" s="3" customFormat="1">
      <c r="P555"/>
      <c r="Q555"/>
      <c r="R555"/>
      <c r="S555"/>
      <c r="T555"/>
      <c r="U555"/>
      <c r="V555"/>
      <c r="W555"/>
      <c r="X555"/>
      <c r="Y555"/>
    </row>
    <row r="556" spans="16:25" s="3" customFormat="1">
      <c r="P556"/>
      <c r="Q556"/>
      <c r="R556"/>
      <c r="S556"/>
      <c r="T556"/>
      <c r="U556"/>
      <c r="V556"/>
      <c r="W556"/>
      <c r="X556"/>
      <c r="Y556"/>
    </row>
    <row r="557" spans="16:25" s="3" customFormat="1">
      <c r="P557"/>
      <c r="Q557"/>
      <c r="R557"/>
      <c r="S557"/>
      <c r="T557"/>
      <c r="U557"/>
      <c r="V557"/>
      <c r="W557"/>
      <c r="X557"/>
      <c r="Y557"/>
    </row>
    <row r="558" spans="16:25" s="3" customFormat="1">
      <c r="P558"/>
      <c r="Q558"/>
      <c r="R558"/>
      <c r="S558"/>
      <c r="T558"/>
      <c r="U558"/>
      <c r="V558"/>
      <c r="W558"/>
      <c r="X558"/>
      <c r="Y558"/>
    </row>
    <row r="559" spans="16:25" s="3" customFormat="1">
      <c r="P559"/>
      <c r="Q559"/>
      <c r="R559"/>
      <c r="S559"/>
      <c r="T559"/>
      <c r="U559"/>
      <c r="V559"/>
      <c r="W559"/>
      <c r="X559"/>
      <c r="Y559"/>
    </row>
    <row r="560" spans="16:25" s="3" customFormat="1">
      <c r="P560"/>
      <c r="Q560"/>
      <c r="R560"/>
      <c r="S560"/>
      <c r="T560"/>
      <c r="U560"/>
      <c r="V560"/>
      <c r="W560"/>
      <c r="X560"/>
      <c r="Y560"/>
    </row>
    <row r="561" spans="16:25" s="3" customFormat="1">
      <c r="P561"/>
      <c r="Q561"/>
      <c r="R561"/>
      <c r="S561"/>
      <c r="T561"/>
      <c r="U561"/>
      <c r="V561"/>
      <c r="W561"/>
      <c r="X561"/>
      <c r="Y561"/>
    </row>
    <row r="562" spans="16:25" s="3" customFormat="1">
      <c r="P562"/>
      <c r="Q562"/>
      <c r="R562"/>
      <c r="S562"/>
      <c r="T562"/>
      <c r="U562"/>
      <c r="V562"/>
      <c r="W562"/>
      <c r="X562"/>
      <c r="Y562"/>
    </row>
    <row r="563" spans="16:25" s="3" customFormat="1">
      <c r="P563"/>
      <c r="Q563"/>
      <c r="R563"/>
      <c r="S563"/>
      <c r="T563"/>
      <c r="U563"/>
      <c r="V563"/>
      <c r="W563"/>
      <c r="X563"/>
      <c r="Y563"/>
    </row>
    <row r="564" spans="16:25" s="3" customFormat="1">
      <c r="P564"/>
      <c r="Q564"/>
      <c r="R564"/>
      <c r="S564"/>
      <c r="T564"/>
      <c r="U564"/>
      <c r="V564"/>
      <c r="W564"/>
      <c r="X564"/>
      <c r="Y564"/>
    </row>
    <row r="565" spans="16:25" s="3" customFormat="1">
      <c r="P565"/>
      <c r="Q565"/>
      <c r="R565"/>
      <c r="S565"/>
      <c r="T565"/>
      <c r="U565"/>
      <c r="V565"/>
      <c r="W565"/>
      <c r="X565"/>
      <c r="Y565"/>
    </row>
    <row r="566" spans="16:25" s="3" customFormat="1">
      <c r="P566"/>
      <c r="Q566"/>
      <c r="R566"/>
      <c r="S566"/>
      <c r="T566"/>
      <c r="U566"/>
      <c r="V566"/>
      <c r="W566"/>
      <c r="X566"/>
      <c r="Y566"/>
    </row>
    <row r="567" spans="16:25" s="3" customFormat="1">
      <c r="P567"/>
      <c r="Q567"/>
      <c r="R567"/>
      <c r="S567"/>
      <c r="T567"/>
      <c r="U567"/>
      <c r="V567"/>
      <c r="W567"/>
      <c r="X567"/>
      <c r="Y567"/>
    </row>
    <row r="568" spans="16:25" s="3" customFormat="1">
      <c r="P568"/>
      <c r="Q568"/>
      <c r="R568"/>
      <c r="S568"/>
      <c r="T568"/>
      <c r="U568"/>
      <c r="V568"/>
      <c r="W568"/>
      <c r="X568"/>
      <c r="Y568"/>
    </row>
    <row r="569" spans="16:25" s="3" customFormat="1">
      <c r="P569"/>
      <c r="Q569"/>
      <c r="R569"/>
      <c r="S569"/>
      <c r="T569"/>
      <c r="U569"/>
      <c r="V569"/>
      <c r="W569"/>
      <c r="X569"/>
      <c r="Y569"/>
    </row>
    <row r="570" spans="16:25" s="3" customFormat="1">
      <c r="P570"/>
      <c r="Q570"/>
      <c r="R570"/>
      <c r="S570"/>
      <c r="T570"/>
      <c r="U570"/>
      <c r="V570"/>
      <c r="W570"/>
      <c r="X570"/>
      <c r="Y570"/>
    </row>
    <row r="571" spans="16:25" s="3" customFormat="1">
      <c r="P571"/>
      <c r="Q571"/>
      <c r="R571"/>
      <c r="S571"/>
      <c r="T571"/>
      <c r="U571"/>
      <c r="V571"/>
      <c r="W571"/>
      <c r="X571"/>
      <c r="Y571"/>
    </row>
    <row r="572" spans="16:25" s="3" customFormat="1">
      <c r="P572"/>
      <c r="Q572"/>
      <c r="R572"/>
      <c r="S572"/>
      <c r="T572"/>
      <c r="U572"/>
      <c r="V572"/>
      <c r="W572"/>
      <c r="X572"/>
      <c r="Y572"/>
    </row>
    <row r="573" spans="16:25" s="3" customFormat="1">
      <c r="P573"/>
      <c r="Q573"/>
      <c r="R573"/>
      <c r="S573"/>
      <c r="T573"/>
      <c r="U573"/>
      <c r="V573"/>
      <c r="W573"/>
      <c r="X573"/>
      <c r="Y573"/>
    </row>
    <row r="574" spans="16:25" s="3" customFormat="1">
      <c r="P574"/>
      <c r="Q574"/>
      <c r="R574"/>
      <c r="S574"/>
      <c r="T574"/>
      <c r="U574"/>
      <c r="V574"/>
      <c r="W574"/>
      <c r="X574"/>
      <c r="Y574"/>
    </row>
    <row r="575" spans="16:25" s="3" customFormat="1">
      <c r="P575"/>
      <c r="Q575"/>
      <c r="R575"/>
      <c r="S575"/>
      <c r="T575"/>
      <c r="U575"/>
      <c r="V575"/>
      <c r="W575"/>
      <c r="X575"/>
      <c r="Y575"/>
    </row>
    <row r="576" spans="16:25" s="3" customFormat="1">
      <c r="P576"/>
      <c r="Q576"/>
      <c r="R576"/>
      <c r="S576"/>
      <c r="T576"/>
      <c r="U576"/>
      <c r="V576"/>
      <c r="W576"/>
      <c r="X576"/>
      <c r="Y576"/>
    </row>
    <row r="577" spans="16:25" s="3" customFormat="1">
      <c r="P577"/>
      <c r="Q577"/>
      <c r="R577"/>
      <c r="S577"/>
      <c r="T577"/>
      <c r="U577"/>
      <c r="V577"/>
      <c r="W577"/>
      <c r="X577"/>
      <c r="Y577"/>
    </row>
    <row r="578" spans="16:25" s="3" customFormat="1">
      <c r="P578"/>
      <c r="Q578"/>
      <c r="R578"/>
      <c r="S578"/>
      <c r="T578"/>
      <c r="U578"/>
      <c r="V578"/>
      <c r="W578"/>
      <c r="X578"/>
      <c r="Y578"/>
    </row>
    <row r="579" spans="16:25" s="3" customFormat="1">
      <c r="P579"/>
      <c r="Q579"/>
      <c r="R579"/>
      <c r="S579"/>
      <c r="T579"/>
      <c r="U579"/>
      <c r="V579"/>
      <c r="W579"/>
      <c r="X579"/>
      <c r="Y579"/>
    </row>
    <row r="580" spans="16:25" s="3" customFormat="1">
      <c r="P580"/>
      <c r="Q580"/>
      <c r="R580"/>
      <c r="S580"/>
      <c r="T580"/>
      <c r="U580"/>
      <c r="V580"/>
      <c r="W580"/>
      <c r="X580"/>
      <c r="Y580"/>
    </row>
    <row r="581" spans="16:25" s="3" customFormat="1">
      <c r="P581"/>
      <c r="Q581"/>
      <c r="R581"/>
      <c r="S581"/>
      <c r="T581"/>
      <c r="U581"/>
      <c r="V581"/>
      <c r="W581"/>
      <c r="X581"/>
      <c r="Y581"/>
    </row>
    <row r="582" spans="16:25" s="3" customFormat="1">
      <c r="P582"/>
      <c r="Q582"/>
      <c r="R582"/>
      <c r="S582"/>
      <c r="T582"/>
      <c r="U582"/>
      <c r="V582"/>
      <c r="W582"/>
      <c r="X582"/>
      <c r="Y582"/>
    </row>
    <row r="583" spans="16:25" s="3" customFormat="1">
      <c r="P583"/>
      <c r="Q583"/>
      <c r="R583"/>
      <c r="S583"/>
      <c r="T583"/>
      <c r="U583"/>
      <c r="V583"/>
      <c r="W583"/>
      <c r="X583"/>
      <c r="Y583"/>
    </row>
    <row r="584" spans="16:25" s="3" customFormat="1">
      <c r="P584"/>
      <c r="Q584"/>
      <c r="R584"/>
      <c r="S584"/>
      <c r="T584"/>
      <c r="U584"/>
      <c r="V584"/>
      <c r="W584"/>
      <c r="X584"/>
      <c r="Y584"/>
    </row>
    <row r="585" spans="16:25" s="3" customFormat="1">
      <c r="P585"/>
      <c r="Q585"/>
      <c r="R585"/>
      <c r="S585"/>
      <c r="T585"/>
      <c r="U585"/>
      <c r="V585"/>
      <c r="W585"/>
      <c r="X585"/>
      <c r="Y585"/>
    </row>
    <row r="586" spans="16:25" s="3" customFormat="1">
      <c r="P586"/>
      <c r="Q586"/>
      <c r="R586"/>
      <c r="S586"/>
      <c r="T586"/>
      <c r="U586"/>
      <c r="V586"/>
      <c r="W586"/>
      <c r="X586"/>
      <c r="Y586"/>
    </row>
    <row r="587" spans="16:25" s="3" customFormat="1">
      <c r="P587"/>
      <c r="Q587"/>
      <c r="R587"/>
      <c r="S587"/>
      <c r="T587"/>
      <c r="U587"/>
      <c r="V587"/>
      <c r="W587"/>
      <c r="X587"/>
      <c r="Y587"/>
    </row>
    <row r="588" spans="16:25" s="3" customFormat="1">
      <c r="P588"/>
      <c r="Q588"/>
      <c r="R588"/>
      <c r="S588"/>
      <c r="T588"/>
      <c r="U588"/>
      <c r="V588"/>
      <c r="W588"/>
      <c r="X588"/>
      <c r="Y588"/>
    </row>
    <row r="589" spans="16:25" s="3" customFormat="1">
      <c r="P589"/>
      <c r="Q589"/>
      <c r="R589"/>
      <c r="S589"/>
      <c r="T589"/>
      <c r="U589"/>
      <c r="V589"/>
      <c r="W589"/>
      <c r="X589"/>
      <c r="Y589"/>
    </row>
    <row r="590" spans="16:25" s="3" customFormat="1">
      <c r="P590"/>
      <c r="Q590"/>
      <c r="R590"/>
      <c r="S590"/>
      <c r="T590"/>
      <c r="U590"/>
      <c r="V590"/>
      <c r="W590"/>
      <c r="X590"/>
      <c r="Y590"/>
    </row>
    <row r="591" spans="16:25" s="3" customFormat="1">
      <c r="P591"/>
      <c r="Q591"/>
      <c r="R591"/>
      <c r="S591"/>
      <c r="T591"/>
      <c r="U591"/>
      <c r="V591"/>
      <c r="W591"/>
      <c r="X591"/>
      <c r="Y591"/>
    </row>
    <row r="592" spans="16:25" s="3" customFormat="1">
      <c r="P592"/>
      <c r="Q592"/>
      <c r="R592"/>
      <c r="S592"/>
      <c r="T592"/>
      <c r="U592"/>
      <c r="V592"/>
      <c r="W592"/>
      <c r="X592"/>
      <c r="Y592"/>
    </row>
    <row r="593" spans="16:25" s="3" customFormat="1">
      <c r="P593"/>
      <c r="Q593"/>
      <c r="R593"/>
      <c r="S593"/>
      <c r="T593"/>
      <c r="U593"/>
      <c r="V593"/>
      <c r="W593"/>
      <c r="X593"/>
      <c r="Y593"/>
    </row>
    <row r="594" spans="16:25" s="3" customFormat="1">
      <c r="P594"/>
      <c r="Q594"/>
      <c r="R594"/>
      <c r="S594"/>
      <c r="T594"/>
      <c r="U594"/>
      <c r="V594"/>
      <c r="W594"/>
      <c r="X594"/>
      <c r="Y594"/>
    </row>
    <row r="595" spans="16:25" s="3" customFormat="1">
      <c r="P595"/>
      <c r="Q595"/>
      <c r="R595"/>
      <c r="S595"/>
      <c r="T595"/>
      <c r="U595"/>
      <c r="V595"/>
      <c r="W595"/>
      <c r="X595"/>
      <c r="Y595"/>
    </row>
    <row r="596" spans="16:25" s="3" customFormat="1">
      <c r="P596"/>
      <c r="Q596"/>
      <c r="R596"/>
      <c r="S596"/>
      <c r="T596"/>
      <c r="U596"/>
      <c r="V596"/>
      <c r="W596"/>
      <c r="X596"/>
      <c r="Y596"/>
    </row>
    <row r="597" spans="16:25" s="3" customFormat="1">
      <c r="P597"/>
      <c r="Q597"/>
      <c r="R597"/>
      <c r="S597"/>
      <c r="T597"/>
      <c r="U597"/>
      <c r="V597"/>
      <c r="W597"/>
      <c r="X597"/>
      <c r="Y597"/>
    </row>
    <row r="598" spans="16:25" s="3" customFormat="1">
      <c r="P598"/>
      <c r="Q598"/>
      <c r="R598"/>
      <c r="S598"/>
      <c r="T598"/>
      <c r="U598"/>
      <c r="V598"/>
      <c r="W598"/>
      <c r="X598"/>
      <c r="Y598"/>
    </row>
    <row r="599" spans="16:25" s="3" customFormat="1">
      <c r="P599"/>
      <c r="Q599"/>
      <c r="R599"/>
      <c r="S599"/>
      <c r="T599"/>
      <c r="U599"/>
      <c r="V599"/>
      <c r="W599"/>
      <c r="X599"/>
      <c r="Y599"/>
    </row>
    <row r="600" spans="16:25" s="3" customFormat="1">
      <c r="P600"/>
      <c r="Q600"/>
      <c r="R600"/>
      <c r="S600"/>
      <c r="T600"/>
      <c r="U600"/>
      <c r="V600"/>
      <c r="W600"/>
      <c r="X600"/>
      <c r="Y600"/>
    </row>
    <row r="601" spans="16:25" s="3" customFormat="1">
      <c r="P601"/>
      <c r="Q601"/>
      <c r="R601"/>
      <c r="S601"/>
      <c r="T601"/>
      <c r="U601"/>
      <c r="V601"/>
      <c r="W601"/>
      <c r="X601"/>
      <c r="Y601"/>
    </row>
    <row r="602" spans="16:25" s="3" customFormat="1">
      <c r="P602"/>
      <c r="Q602"/>
      <c r="R602"/>
      <c r="S602"/>
      <c r="T602"/>
      <c r="U602"/>
      <c r="V602"/>
      <c r="W602"/>
      <c r="X602"/>
      <c r="Y602"/>
    </row>
    <row r="603" spans="16:25" s="3" customFormat="1">
      <c r="P603"/>
      <c r="Q603"/>
      <c r="R603"/>
      <c r="S603"/>
      <c r="T603"/>
      <c r="U603"/>
      <c r="V603"/>
      <c r="W603"/>
      <c r="X603"/>
      <c r="Y603"/>
    </row>
    <row r="604" spans="16:25" s="3" customFormat="1">
      <c r="P604"/>
      <c r="Q604"/>
      <c r="R604"/>
      <c r="S604"/>
      <c r="T604"/>
      <c r="U604"/>
      <c r="V604"/>
      <c r="W604"/>
      <c r="X604"/>
      <c r="Y604"/>
    </row>
    <row r="605" spans="16:25" s="3" customFormat="1">
      <c r="P605"/>
      <c r="Q605"/>
      <c r="R605"/>
      <c r="S605"/>
      <c r="T605"/>
      <c r="U605"/>
      <c r="V605"/>
      <c r="W605"/>
      <c r="X605"/>
      <c r="Y605"/>
    </row>
    <row r="606" spans="16:25" s="3" customFormat="1">
      <c r="P606"/>
      <c r="Q606"/>
      <c r="R606"/>
      <c r="S606"/>
      <c r="T606"/>
      <c r="U606"/>
      <c r="V606"/>
      <c r="W606"/>
      <c r="X606"/>
      <c r="Y606"/>
    </row>
    <row r="607" spans="16:25" s="3" customFormat="1">
      <c r="P607"/>
      <c r="Q607"/>
      <c r="R607"/>
      <c r="S607"/>
      <c r="T607"/>
      <c r="U607"/>
      <c r="V607"/>
      <c r="W607"/>
      <c r="X607"/>
      <c r="Y607"/>
    </row>
    <row r="608" spans="16:25" s="3" customFormat="1">
      <c r="P608"/>
      <c r="Q608"/>
      <c r="R608"/>
      <c r="S608"/>
      <c r="T608"/>
      <c r="U608"/>
      <c r="V608"/>
      <c r="W608"/>
      <c r="X608"/>
      <c r="Y608"/>
    </row>
    <row r="609" spans="16:25" s="3" customFormat="1">
      <c r="P609"/>
      <c r="Q609"/>
      <c r="R609"/>
      <c r="S609"/>
      <c r="T609"/>
      <c r="U609"/>
      <c r="V609"/>
      <c r="W609"/>
      <c r="X609"/>
      <c r="Y609"/>
    </row>
    <row r="610" spans="16:25" s="3" customFormat="1">
      <c r="P610"/>
      <c r="Q610"/>
      <c r="R610"/>
      <c r="S610"/>
      <c r="T610"/>
      <c r="U610"/>
      <c r="V610"/>
      <c r="W610"/>
      <c r="X610"/>
      <c r="Y610"/>
    </row>
    <row r="611" spans="16:25" s="3" customFormat="1">
      <c r="P611"/>
      <c r="Q611"/>
      <c r="R611"/>
      <c r="S611"/>
      <c r="T611"/>
      <c r="U611"/>
      <c r="V611"/>
      <c r="W611"/>
      <c r="X611"/>
      <c r="Y611"/>
    </row>
    <row r="612" spans="16:25" s="3" customFormat="1"/>
    <row r="613" spans="16:25" s="3" customFormat="1"/>
    <row r="614" spans="16:25" s="3" customFormat="1"/>
    <row r="615" spans="16:25" s="3" customFormat="1"/>
    <row r="616" spans="16:25" s="3" customFormat="1"/>
    <row r="617" spans="16:25" s="3" customFormat="1"/>
    <row r="618" spans="16:25" s="3" customFormat="1"/>
    <row r="619" spans="16:25" s="3" customFormat="1"/>
    <row r="620" spans="16:25" s="3" customFormat="1"/>
    <row r="621" spans="16:25" s="3" customFormat="1"/>
    <row r="622" spans="16:25" s="3" customFormat="1"/>
    <row r="623" spans="16:25" s="3" customFormat="1"/>
    <row r="624" spans="16:25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3">
    <mergeCell ref="R418:V418"/>
    <mergeCell ref="R426:V426"/>
    <mergeCell ref="R378:V378"/>
    <mergeCell ref="R386:V386"/>
    <mergeCell ref="R394:V394"/>
    <mergeCell ref="R402:V402"/>
    <mergeCell ref="R410:V410"/>
    <mergeCell ref="R199:AE199"/>
    <mergeCell ref="R231:V231"/>
    <mergeCell ref="R259:V259"/>
    <mergeCell ref="R290:V290"/>
    <mergeCell ref="R298:V298"/>
    <mergeCell ref="R306:V306"/>
    <mergeCell ref="R314:V314"/>
    <mergeCell ref="R322:V322"/>
    <mergeCell ref="R330:V330"/>
    <mergeCell ref="R338:V338"/>
    <mergeCell ref="R346:V346"/>
    <mergeCell ref="R354:V354"/>
    <mergeCell ref="R362:V362"/>
    <mergeCell ref="R370:V370"/>
    <mergeCell ref="AH1:AI1"/>
    <mergeCell ref="R1:AE1"/>
  </mergeCells>
  <phoneticPr fontId="204" type="noConversion"/>
  <conditionalFormatting sqref="A2:B2 D2:E2 G2:H2 J2:K2 M2:N2 A16:B16 A26:B26 D14:E14 G17:H17 J14:K14 M14:N14 D30:E30 J25:K25 AK24:AK26">
    <cfRule type="colorScale" priority="2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1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89" priority="1899" operator="between">
      <formula>10.1</formula>
      <formula>10.6</formula>
    </cfRule>
    <cfRule type="cellIs" dxfId="1488" priority="1937" operator="between">
      <formula>7</formula>
      <formula>7.9</formula>
    </cfRule>
    <cfRule type="cellIs" dxfId="1487" priority="1938" stopIfTrue="1" operator="between">
      <formula>8</formula>
      <formula>8.9</formula>
    </cfRule>
    <cfRule type="cellIs" dxfId="1486" priority="1939" operator="between">
      <formula>9</formula>
      <formula>9.9</formula>
    </cfRule>
    <cfRule type="cellIs" dxfId="1485" priority="1940" stopIfTrue="1" operator="between">
      <formula>10</formula>
      <formula>10</formula>
    </cfRule>
    <cfRule type="containsBlanks" dxfId="1484" priority="1941" stopIfTrue="1">
      <formula>LEN(TRIM(B3))=0</formula>
    </cfRule>
  </conditionalFormatting>
  <conditionalFormatting sqref="B17:B24">
    <cfRule type="cellIs" dxfId="1483" priority="1875" operator="between">
      <formula>10.1</formula>
      <formula>10.6</formula>
    </cfRule>
    <cfRule type="cellIs" dxfId="1482" priority="1876" operator="between">
      <formula>7</formula>
      <formula>7.9</formula>
    </cfRule>
    <cfRule type="cellIs" dxfId="1481" priority="1877" stopIfTrue="1" operator="between">
      <formula>8</formula>
      <formula>8.9</formula>
    </cfRule>
    <cfRule type="cellIs" dxfId="1480" priority="1878" operator="between">
      <formula>9</formula>
      <formula>9.9</formula>
    </cfRule>
    <cfRule type="cellIs" dxfId="1479" priority="1879" stopIfTrue="1" operator="between">
      <formula>10</formula>
      <formula>10</formula>
    </cfRule>
    <cfRule type="containsBlanks" dxfId="1478" priority="1880" stopIfTrue="1">
      <formula>LEN(TRIM(B17))=0</formula>
    </cfRule>
  </conditionalFormatting>
  <conditionalFormatting sqref="B27:B31">
    <cfRule type="cellIs" dxfId="1477" priority="1869" operator="between">
      <formula>10.1</formula>
      <formula>10.6</formula>
    </cfRule>
    <cfRule type="cellIs" dxfId="1476" priority="1870" operator="between">
      <formula>7</formula>
      <formula>7.9</formula>
    </cfRule>
    <cfRule type="cellIs" dxfId="1475" priority="1871" stopIfTrue="1" operator="between">
      <formula>8</formula>
      <formula>8.9</formula>
    </cfRule>
    <cfRule type="cellIs" dxfId="1474" priority="1872" operator="between">
      <formula>9</formula>
      <formula>9.9</formula>
    </cfRule>
    <cfRule type="cellIs" dxfId="1473" priority="1873" stopIfTrue="1" operator="between">
      <formula>10</formula>
      <formula>10</formula>
    </cfRule>
    <cfRule type="containsBlanks" dxfId="1472" priority="1874" stopIfTrue="1">
      <formula>LEN(TRIM(B27))=0</formula>
    </cfRule>
  </conditionalFormatting>
  <conditionalFormatting sqref="B33">
    <cfRule type="colorScale" priority="22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2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71" priority="1863" operator="between">
      <formula>10.1</formula>
      <formula>10.6</formula>
    </cfRule>
    <cfRule type="cellIs" dxfId="1470" priority="1864" operator="between">
      <formula>7</formula>
      <formula>7.9</formula>
    </cfRule>
    <cfRule type="cellIs" dxfId="1469" priority="1865" stopIfTrue="1" operator="between">
      <formula>8</formula>
      <formula>8.9</formula>
    </cfRule>
    <cfRule type="cellIs" dxfId="1468" priority="1866" operator="between">
      <formula>9</formula>
      <formula>9.9</formula>
    </cfRule>
    <cfRule type="cellIs" dxfId="1467" priority="1867" stopIfTrue="1" operator="between">
      <formula>10</formula>
      <formula>10</formula>
    </cfRule>
    <cfRule type="containsBlanks" dxfId="1466" priority="1868" stopIfTrue="1">
      <formula>LEN(TRIM(B34))=0</formula>
    </cfRule>
  </conditionalFormatting>
  <conditionalFormatting sqref="B47">
    <cfRule type="colorScale" priority="1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8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65" priority="1833" operator="between">
      <formula>10.1</formula>
      <formula>10.6</formula>
    </cfRule>
    <cfRule type="cellIs" dxfId="1464" priority="1834" operator="between">
      <formula>7</formula>
      <formula>7.9</formula>
    </cfRule>
    <cfRule type="cellIs" dxfId="1463" priority="1835" stopIfTrue="1" operator="between">
      <formula>8</formula>
      <formula>8.9</formula>
    </cfRule>
    <cfRule type="cellIs" dxfId="1462" priority="1836" operator="between">
      <formula>9</formula>
      <formula>9.9</formula>
    </cfRule>
    <cfRule type="cellIs" dxfId="1461" priority="1837" stopIfTrue="1" operator="between">
      <formula>10</formula>
      <formula>10</formula>
    </cfRule>
    <cfRule type="containsBlanks" dxfId="1460" priority="1838" stopIfTrue="1">
      <formula>LEN(TRIM(B48))=0</formula>
    </cfRule>
  </conditionalFormatting>
  <conditionalFormatting sqref="B59">
    <cfRule type="colorScale" priority="1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8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59" priority="1811" operator="between">
      <formula>10.1</formula>
      <formula>10.6</formula>
    </cfRule>
    <cfRule type="cellIs" dxfId="1458" priority="1812" operator="between">
      <formula>7</formula>
      <formula>7.9</formula>
    </cfRule>
    <cfRule type="cellIs" dxfId="1457" priority="1813" stopIfTrue="1" operator="between">
      <formula>8</formula>
      <formula>8.9</formula>
    </cfRule>
    <cfRule type="cellIs" dxfId="1456" priority="1814" operator="between">
      <formula>9</formula>
      <formula>9.9</formula>
    </cfRule>
    <cfRule type="cellIs" dxfId="1455" priority="1815" stopIfTrue="1" operator="between">
      <formula>10</formula>
      <formula>10</formula>
    </cfRule>
    <cfRule type="containsBlanks" dxfId="1454" priority="1816" stopIfTrue="1">
      <formula>LEN(TRIM(B60))=0</formula>
    </cfRule>
  </conditionalFormatting>
  <conditionalFormatting sqref="B70">
    <cfRule type="colorScale" priority="1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5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53" priority="1725" operator="between">
      <formula>10.1</formula>
      <formula>10.6</formula>
    </cfRule>
    <cfRule type="cellIs" dxfId="1452" priority="1726" operator="between">
      <formula>7</formula>
      <formula>7.9</formula>
    </cfRule>
    <cfRule type="cellIs" dxfId="1451" priority="1727" stopIfTrue="1" operator="between">
      <formula>8</formula>
      <formula>8.9</formula>
    </cfRule>
    <cfRule type="cellIs" dxfId="1450" priority="1728" operator="between">
      <formula>9</formula>
      <formula>9.9</formula>
    </cfRule>
    <cfRule type="cellIs" dxfId="1449" priority="1729" stopIfTrue="1" operator="between">
      <formula>10</formula>
      <formula>10</formula>
    </cfRule>
    <cfRule type="containsBlanks" dxfId="1448" priority="1730" stopIfTrue="1">
      <formula>LEN(TRIM(B71))=0</formula>
    </cfRule>
  </conditionalFormatting>
  <conditionalFormatting sqref="B73">
    <cfRule type="cellIs" dxfId="1447" priority="1724" operator="between">
      <formula>6</formula>
      <formula>6.9</formula>
    </cfRule>
  </conditionalFormatting>
  <conditionalFormatting sqref="B79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46" priority="1701" operator="between">
      <formula>10.1</formula>
      <formula>10.6</formula>
    </cfRule>
    <cfRule type="cellIs" dxfId="1445" priority="1702" operator="between">
      <formula>7</formula>
      <formula>7.9</formula>
    </cfRule>
    <cfRule type="cellIs" dxfId="1444" priority="1703" stopIfTrue="1" operator="between">
      <formula>8</formula>
      <formula>8.9</formula>
    </cfRule>
    <cfRule type="cellIs" dxfId="1443" priority="1704" operator="between">
      <formula>9</formula>
      <formula>9.9</formula>
    </cfRule>
    <cfRule type="cellIs" dxfId="1442" priority="1705" stopIfTrue="1" operator="between">
      <formula>10</formula>
      <formula>10</formula>
    </cfRule>
    <cfRule type="containsBlanks" dxfId="1441" priority="1706" stopIfTrue="1">
      <formula>LEN(TRIM(B80))=0</formula>
    </cfRule>
  </conditionalFormatting>
  <conditionalFormatting sqref="B93">
    <cfRule type="colorScale" priority="1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1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40" priority="1654" operator="between">
      <formula>10.1</formula>
      <formula>10.6</formula>
    </cfRule>
    <cfRule type="cellIs" dxfId="1439" priority="1655" operator="between">
      <formula>7</formula>
      <formula>7.9</formula>
    </cfRule>
    <cfRule type="cellIs" dxfId="1438" priority="1656" stopIfTrue="1" operator="between">
      <formula>8</formula>
      <formula>8.9</formula>
    </cfRule>
    <cfRule type="cellIs" dxfId="1437" priority="1657" operator="between">
      <formula>9</formula>
      <formula>9.9</formula>
    </cfRule>
    <cfRule type="cellIs" dxfId="1436" priority="1658" stopIfTrue="1" operator="between">
      <formula>10</formula>
      <formula>10</formula>
    </cfRule>
    <cfRule type="containsBlanks" dxfId="1435" priority="1659" stopIfTrue="1">
      <formula>LEN(TRIM(B94))=0</formula>
    </cfRule>
  </conditionalFormatting>
  <conditionalFormatting sqref="B103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34" priority="1605" operator="between">
      <formula>10.1</formula>
      <formula>10.6</formula>
    </cfRule>
    <cfRule type="cellIs" dxfId="1433" priority="1606" operator="between">
      <formula>7</formula>
      <formula>7.9</formula>
    </cfRule>
    <cfRule type="cellIs" dxfId="1432" priority="1607" stopIfTrue="1" operator="between">
      <formula>8</formula>
      <formula>8.9</formula>
    </cfRule>
    <cfRule type="cellIs" dxfId="1431" priority="1608" operator="between">
      <formula>9</formula>
      <formula>9.9</formula>
    </cfRule>
    <cfRule type="cellIs" dxfId="1430" priority="1609" stopIfTrue="1" operator="between">
      <formula>10</formula>
      <formula>10</formula>
    </cfRule>
    <cfRule type="containsBlanks" dxfId="1429" priority="1610" stopIfTrue="1">
      <formula>LEN(TRIM(B104))=0</formula>
    </cfRule>
  </conditionalFormatting>
  <conditionalFormatting sqref="B114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28" priority="1559" operator="between">
      <formula>6</formula>
      <formula>6.9</formula>
    </cfRule>
    <cfRule type="cellIs" dxfId="1427" priority="1560" operator="between">
      <formula>10.1</formula>
      <formula>10.6</formula>
    </cfRule>
    <cfRule type="cellIs" dxfId="1426" priority="1561" operator="between">
      <formula>7</formula>
      <formula>7.9</formula>
    </cfRule>
    <cfRule type="cellIs" dxfId="1425" priority="1562" stopIfTrue="1" operator="between">
      <formula>8</formula>
      <formula>8.9</formula>
    </cfRule>
    <cfRule type="cellIs" dxfId="1424" priority="1563" operator="between">
      <formula>9</formula>
      <formula>9.9</formula>
    </cfRule>
    <cfRule type="cellIs" dxfId="1423" priority="1564" stopIfTrue="1" operator="between">
      <formula>10</formula>
      <formula>10</formula>
    </cfRule>
    <cfRule type="containsBlanks" dxfId="1422" priority="1565" stopIfTrue="1">
      <formula>LEN(TRIM(B115))=0</formula>
    </cfRule>
  </conditionalFormatting>
  <conditionalFormatting sqref="B134"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0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21" priority="1482" operator="between">
      <formula>6</formula>
      <formula>6.9</formula>
    </cfRule>
    <cfRule type="cellIs" dxfId="1420" priority="1483" operator="between">
      <formula>10.1</formula>
      <formula>10.6</formula>
    </cfRule>
    <cfRule type="cellIs" dxfId="1419" priority="1484" operator="between">
      <formula>7</formula>
      <formula>7.9</formula>
    </cfRule>
    <cfRule type="cellIs" dxfId="1418" priority="1485" stopIfTrue="1" operator="between">
      <formula>8</formula>
      <formula>8.9</formula>
    </cfRule>
    <cfRule type="cellIs" dxfId="1417" priority="1486" operator="between">
      <formula>9</formula>
      <formula>9.9</formula>
    </cfRule>
    <cfRule type="cellIs" dxfId="1416" priority="1487" stopIfTrue="1" operator="between">
      <formula>10</formula>
      <formula>10</formula>
    </cfRule>
    <cfRule type="containsBlanks" dxfId="1415" priority="1488" stopIfTrue="1">
      <formula>LEN(TRIM(B135))=0</formula>
    </cfRule>
  </conditionalFormatting>
  <conditionalFormatting sqref="B145"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5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14" priority="1437" operator="between">
      <formula>6</formula>
      <formula>6.9</formula>
    </cfRule>
    <cfRule type="cellIs" dxfId="1413" priority="1438" operator="between">
      <formula>10.1</formula>
      <formula>10.6</formula>
    </cfRule>
    <cfRule type="cellIs" dxfId="1412" priority="1439" operator="between">
      <formula>7</formula>
      <formula>7.9</formula>
    </cfRule>
    <cfRule type="cellIs" dxfId="1411" priority="1440" stopIfTrue="1" operator="between">
      <formula>8</formula>
      <formula>8.9</formula>
    </cfRule>
    <cfRule type="cellIs" dxfId="1410" priority="1441" operator="between">
      <formula>9</formula>
      <formula>9.9</formula>
    </cfRule>
    <cfRule type="cellIs" dxfId="1409" priority="1442" stopIfTrue="1" operator="between">
      <formula>10</formula>
      <formula>10</formula>
    </cfRule>
    <cfRule type="containsBlanks" dxfId="1408" priority="1443" stopIfTrue="1">
      <formula>LEN(TRIM(B146))=0</formula>
    </cfRule>
  </conditionalFormatting>
  <conditionalFormatting sqref="B162"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5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07" priority="1376" operator="between">
      <formula>6</formula>
      <formula>6.9</formula>
    </cfRule>
    <cfRule type="cellIs" dxfId="1406" priority="1377" operator="between">
      <formula>10.1</formula>
      <formula>10.6</formula>
    </cfRule>
    <cfRule type="cellIs" dxfId="1405" priority="1378" operator="between">
      <formula>7</formula>
      <formula>7.9</formula>
    </cfRule>
    <cfRule type="cellIs" dxfId="1404" priority="1379" stopIfTrue="1" operator="between">
      <formula>8</formula>
      <formula>8.9</formula>
    </cfRule>
    <cfRule type="cellIs" dxfId="1403" priority="1380" operator="between">
      <formula>9</formula>
      <formula>9.9</formula>
    </cfRule>
    <cfRule type="cellIs" dxfId="1402" priority="1381" stopIfTrue="1" operator="between">
      <formula>10</formula>
      <formula>10</formula>
    </cfRule>
    <cfRule type="containsBlanks" dxfId="1401" priority="1382" stopIfTrue="1">
      <formula>LEN(TRIM(B163))=0</formula>
    </cfRule>
  </conditionalFormatting>
  <conditionalFormatting sqref="B172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00" priority="1338" operator="between">
      <formula>6</formula>
      <formula>6.9</formula>
    </cfRule>
    <cfRule type="cellIs" dxfId="1399" priority="1339" operator="between">
      <formula>10.1</formula>
      <formula>10.6</formula>
    </cfRule>
    <cfRule type="cellIs" dxfId="1398" priority="1340" operator="between">
      <formula>7</formula>
      <formula>7.9</formula>
    </cfRule>
    <cfRule type="cellIs" dxfId="1397" priority="1341" stopIfTrue="1" operator="between">
      <formula>8</formula>
      <formula>8.9</formula>
    </cfRule>
    <cfRule type="cellIs" dxfId="1396" priority="1342" operator="between">
      <formula>9</formula>
      <formula>9.9</formula>
    </cfRule>
    <cfRule type="cellIs" dxfId="1395" priority="1343" stopIfTrue="1" operator="between">
      <formula>10</formula>
      <formula>10</formula>
    </cfRule>
    <cfRule type="containsBlanks" dxfId="1394" priority="1344" stopIfTrue="1">
      <formula>LEN(TRIM(B173))=0</formula>
    </cfRule>
  </conditionalFormatting>
  <conditionalFormatting sqref="B185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93" priority="1300" operator="between">
      <formula>6</formula>
      <formula>6.9</formula>
    </cfRule>
    <cfRule type="cellIs" dxfId="1392" priority="1301" operator="between">
      <formula>10.1</formula>
      <formula>10.6</formula>
    </cfRule>
    <cfRule type="cellIs" dxfId="1391" priority="1302" operator="between">
      <formula>7</formula>
      <formula>7.9</formula>
    </cfRule>
    <cfRule type="cellIs" dxfId="1390" priority="1303" stopIfTrue="1" operator="between">
      <formula>8</formula>
      <formula>8.9</formula>
    </cfRule>
    <cfRule type="cellIs" dxfId="1389" priority="1304" operator="between">
      <formula>9</formula>
      <formula>9.9</formula>
    </cfRule>
    <cfRule type="cellIs" dxfId="1388" priority="1305" stopIfTrue="1" operator="between">
      <formula>10</formula>
      <formula>10</formula>
    </cfRule>
    <cfRule type="containsBlanks" dxfId="1387" priority="1306" stopIfTrue="1">
      <formula>LEN(TRIM(B186))=0</formula>
    </cfRule>
  </conditionalFormatting>
  <conditionalFormatting sqref="B196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86" priority="1251" operator="between">
      <formula>6</formula>
      <formula>6.9</formula>
    </cfRule>
    <cfRule type="cellIs" dxfId="1385" priority="1252" operator="between">
      <formula>10.1</formula>
      <formula>10.6</formula>
    </cfRule>
    <cfRule type="cellIs" dxfId="1384" priority="1253" operator="between">
      <formula>7</formula>
      <formula>7.9</formula>
    </cfRule>
    <cfRule type="cellIs" dxfId="1383" priority="1254" stopIfTrue="1" operator="between">
      <formula>8</formula>
      <formula>8.9</formula>
    </cfRule>
    <cfRule type="cellIs" dxfId="1382" priority="1255" operator="between">
      <formula>9</formula>
      <formula>9.9</formula>
    </cfRule>
    <cfRule type="cellIs" dxfId="1381" priority="1256" stopIfTrue="1" operator="between">
      <formula>10</formula>
      <formula>10</formula>
    </cfRule>
    <cfRule type="containsBlanks" dxfId="1380" priority="1257" stopIfTrue="1">
      <formula>LEN(TRIM(B197))=0</formula>
    </cfRule>
  </conditionalFormatting>
  <conditionalFormatting sqref="B213">
    <cfRule type="colorScale" priority="11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3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79" priority="1175" operator="between">
      <formula>6</formula>
      <formula>6.9</formula>
    </cfRule>
    <cfRule type="cellIs" dxfId="1378" priority="1176" operator="between">
      <formula>10.1</formula>
      <formula>10.6</formula>
    </cfRule>
    <cfRule type="cellIs" dxfId="1377" priority="1177" operator="between">
      <formula>7</formula>
      <formula>7.9</formula>
    </cfRule>
    <cfRule type="cellIs" dxfId="1376" priority="1178" stopIfTrue="1" operator="between">
      <formula>8</formula>
      <formula>8.9</formula>
    </cfRule>
    <cfRule type="cellIs" dxfId="1375" priority="1179" operator="between">
      <formula>9</formula>
      <formula>9.9</formula>
    </cfRule>
    <cfRule type="cellIs" dxfId="1374" priority="1180" stopIfTrue="1" operator="between">
      <formula>10</formula>
      <formula>10</formula>
    </cfRule>
    <cfRule type="containsBlanks" dxfId="1373" priority="1181" stopIfTrue="1">
      <formula>LEN(TRIM(B214))=0</formula>
    </cfRule>
  </conditionalFormatting>
  <conditionalFormatting sqref="B226"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6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72" priority="1112" operator="between">
      <formula>6</formula>
      <formula>6.9</formula>
    </cfRule>
    <cfRule type="cellIs" dxfId="1371" priority="1113" operator="between">
      <formula>10.1</formula>
      <formula>10.6</formula>
    </cfRule>
    <cfRule type="cellIs" dxfId="1370" priority="1114" operator="between">
      <formula>7</formula>
      <formula>7.9</formula>
    </cfRule>
    <cfRule type="cellIs" dxfId="1369" priority="1115" stopIfTrue="1" operator="between">
      <formula>8</formula>
      <formula>8.9</formula>
    </cfRule>
    <cfRule type="cellIs" dxfId="1368" priority="1116" operator="between">
      <formula>9</formula>
      <formula>9.9</formula>
    </cfRule>
    <cfRule type="cellIs" dxfId="1367" priority="1117" stopIfTrue="1" operator="between">
      <formula>10</formula>
      <formula>10</formula>
    </cfRule>
    <cfRule type="containsBlanks" dxfId="1366" priority="1118" stopIfTrue="1">
      <formula>LEN(TRIM(B236))=0</formula>
    </cfRule>
  </conditionalFormatting>
  <conditionalFormatting sqref="B246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65" priority="1067" operator="between">
      <formula>6</formula>
      <formula>6.9</formula>
    </cfRule>
    <cfRule type="cellIs" dxfId="1364" priority="1068" operator="between">
      <formula>10.1</formula>
      <formula>10.6</formula>
    </cfRule>
    <cfRule type="cellIs" dxfId="1363" priority="1069" operator="between">
      <formula>7</formula>
      <formula>7.9</formula>
    </cfRule>
    <cfRule type="cellIs" dxfId="1362" priority="1070" stopIfTrue="1" operator="between">
      <formula>8</formula>
      <formula>8.9</formula>
    </cfRule>
    <cfRule type="cellIs" dxfId="1361" priority="1071" operator="between">
      <formula>9</formula>
      <formula>9.9</formula>
    </cfRule>
    <cfRule type="cellIs" dxfId="1360" priority="1072" stopIfTrue="1" operator="between">
      <formula>10</formula>
      <formula>10</formula>
    </cfRule>
    <cfRule type="containsBlanks" dxfId="1359" priority="1073" stopIfTrue="1">
      <formula>LEN(TRIM(B247))=0</formula>
    </cfRule>
  </conditionalFormatting>
  <conditionalFormatting sqref="B260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58" priority="1029" operator="between">
      <formula>6</formula>
      <formula>6.9</formula>
    </cfRule>
    <cfRule type="cellIs" dxfId="1357" priority="1030" operator="between">
      <formula>10.1</formula>
      <formula>10.6</formula>
    </cfRule>
    <cfRule type="cellIs" dxfId="1356" priority="1031" operator="between">
      <formula>7</formula>
      <formula>7.9</formula>
    </cfRule>
    <cfRule type="cellIs" dxfId="1355" priority="1032" stopIfTrue="1" operator="between">
      <formula>8</formula>
      <formula>8.9</formula>
    </cfRule>
    <cfRule type="cellIs" dxfId="1354" priority="1033" operator="between">
      <formula>9</formula>
      <formula>9.9</formula>
    </cfRule>
    <cfRule type="cellIs" dxfId="1353" priority="1034" stopIfTrue="1" operator="between">
      <formula>10</formula>
      <formula>10</formula>
    </cfRule>
    <cfRule type="containsBlanks" dxfId="1352" priority="1035" stopIfTrue="1">
      <formula>LEN(TRIM(B261))=0</formula>
    </cfRule>
  </conditionalFormatting>
  <conditionalFormatting sqref="B272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51" priority="987" operator="between">
      <formula>6</formula>
      <formula>6.9</formula>
    </cfRule>
    <cfRule type="cellIs" dxfId="1350" priority="988" operator="between">
      <formula>10.1</formula>
      <formula>10.6</formula>
    </cfRule>
    <cfRule type="cellIs" dxfId="1349" priority="989" operator="between">
      <formula>7</formula>
      <formula>7.9</formula>
    </cfRule>
    <cfRule type="cellIs" dxfId="1348" priority="990" stopIfTrue="1" operator="between">
      <formula>8</formula>
      <formula>8.9</formula>
    </cfRule>
    <cfRule type="cellIs" dxfId="1347" priority="991" operator="between">
      <formula>9</formula>
      <formula>9.9</formula>
    </cfRule>
    <cfRule type="cellIs" dxfId="1346" priority="992" stopIfTrue="1" operator="between">
      <formula>10</formula>
      <formula>10</formula>
    </cfRule>
    <cfRule type="containsBlanks" dxfId="1345" priority="993" stopIfTrue="1">
      <formula>LEN(TRIM(B273))=0</formula>
    </cfRule>
  </conditionalFormatting>
  <conditionalFormatting sqref="B279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44" priority="939" operator="between">
      <formula>6</formula>
      <formula>6.9</formula>
    </cfRule>
    <cfRule type="cellIs" dxfId="1343" priority="940" operator="between">
      <formula>10.1</formula>
      <formula>10.6</formula>
    </cfRule>
    <cfRule type="cellIs" dxfId="1342" priority="941" operator="between">
      <formula>7</formula>
      <formula>7.9</formula>
    </cfRule>
    <cfRule type="cellIs" dxfId="1341" priority="942" stopIfTrue="1" operator="between">
      <formula>8</formula>
      <formula>8.9</formula>
    </cfRule>
    <cfRule type="cellIs" dxfId="1340" priority="943" operator="between">
      <formula>9</formula>
      <formula>9.9</formula>
    </cfRule>
    <cfRule type="cellIs" dxfId="1339" priority="944" stopIfTrue="1" operator="between">
      <formula>10</formula>
      <formula>10</formula>
    </cfRule>
    <cfRule type="containsBlanks" dxfId="1338" priority="945" stopIfTrue="1">
      <formula>LEN(TRIM(B280))=0</formula>
    </cfRule>
  </conditionalFormatting>
  <conditionalFormatting sqref="B309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37" priority="828" operator="between">
      <formula>6</formula>
      <formula>6.9</formula>
    </cfRule>
    <cfRule type="cellIs" dxfId="1336" priority="829" operator="between">
      <formula>10.1</formula>
      <formula>10.6</formula>
    </cfRule>
    <cfRule type="cellIs" dxfId="1335" priority="830" operator="between">
      <formula>7</formula>
      <formula>7.9</formula>
    </cfRule>
    <cfRule type="cellIs" dxfId="1334" priority="831" stopIfTrue="1" operator="between">
      <formula>8</formula>
      <formula>8.9</formula>
    </cfRule>
    <cfRule type="cellIs" dxfId="1333" priority="832" operator="between">
      <formula>9</formula>
      <formula>9.9</formula>
    </cfRule>
    <cfRule type="cellIs" dxfId="1332" priority="833" stopIfTrue="1" operator="between">
      <formula>10</formula>
      <formula>10</formula>
    </cfRule>
    <cfRule type="containsBlanks" dxfId="1331" priority="834" stopIfTrue="1">
      <formula>LEN(TRIM(B310))=0</formula>
    </cfRule>
  </conditionalFormatting>
  <conditionalFormatting sqref="B322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30" priority="762" stopIfTrue="1">
      <formula>LEN(TRIM(B323))=0</formula>
    </cfRule>
    <cfRule type="cellIs" dxfId="1329" priority="763" operator="lessThan">
      <formula>2</formula>
    </cfRule>
    <cfRule type="cellIs" dxfId="1328" priority="764" operator="between">
      <formula>2</formula>
      <formula>4.9</formula>
    </cfRule>
    <cfRule type="cellIs" dxfId="1327" priority="765" operator="between">
      <formula>5</formula>
      <formula>6.9</formula>
    </cfRule>
    <cfRule type="cellIs" dxfId="1326" priority="766" operator="between">
      <formula>10.1</formula>
      <formula>10.6</formula>
    </cfRule>
    <cfRule type="cellIs" dxfId="1325" priority="767" operator="between">
      <formula>7</formula>
      <formula>7.9</formula>
    </cfRule>
    <cfRule type="cellIs" dxfId="1324" priority="768" stopIfTrue="1" operator="between">
      <formula>8</formula>
      <formula>8.9</formula>
    </cfRule>
    <cfRule type="cellIs" dxfId="1323" priority="769" operator="between">
      <formula>9</formula>
      <formula>9.9</formula>
    </cfRule>
    <cfRule type="cellIs" dxfId="1322" priority="770" stopIfTrue="1" operator="between">
      <formula>10</formula>
      <formula>10</formula>
    </cfRule>
  </conditionalFormatting>
  <conditionalFormatting sqref="B343">
    <cfRule type="colorScale" priority="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5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21" priority="676" stopIfTrue="1">
      <formula>LEN(TRIM(B344))=0</formula>
    </cfRule>
    <cfRule type="cellIs" dxfId="1320" priority="677" operator="lessThan">
      <formula>2</formula>
    </cfRule>
    <cfRule type="cellIs" dxfId="1319" priority="678" operator="between">
      <formula>2</formula>
      <formula>4.9</formula>
    </cfRule>
    <cfRule type="cellIs" dxfId="1318" priority="679" operator="between">
      <formula>5</formula>
      <formula>6.9</formula>
    </cfRule>
    <cfRule type="cellIs" dxfId="1317" priority="680" operator="between">
      <formula>10.1</formula>
      <formula>10.6</formula>
    </cfRule>
    <cfRule type="cellIs" dxfId="1316" priority="681" operator="between">
      <formula>7</formula>
      <formula>7.9</formula>
    </cfRule>
    <cfRule type="cellIs" dxfId="1315" priority="682" stopIfTrue="1" operator="between">
      <formula>8</formula>
      <formula>8.9</formula>
    </cfRule>
    <cfRule type="cellIs" dxfId="1314" priority="683" operator="between">
      <formula>9</formula>
      <formula>9.9</formula>
    </cfRule>
    <cfRule type="cellIs" dxfId="1313" priority="684" stopIfTrue="1" operator="between">
      <formula>10</formula>
      <formula>10</formula>
    </cfRule>
  </conditionalFormatting>
  <conditionalFormatting sqref="B360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12" priority="539" stopIfTrue="1">
      <formula>LEN(TRIM(B380))=0</formula>
    </cfRule>
    <cfRule type="cellIs" dxfId="1311" priority="540" operator="lessThan">
      <formula>2</formula>
    </cfRule>
    <cfRule type="cellIs" dxfId="1310" priority="541" operator="between">
      <formula>2</formula>
      <formula>4.9</formula>
    </cfRule>
    <cfRule type="cellIs" dxfId="1309" priority="542" operator="between">
      <formula>5</formula>
      <formula>6.9</formula>
    </cfRule>
    <cfRule type="cellIs" dxfId="1308" priority="543" operator="between">
      <formula>10.1</formula>
      <formula>10.6</formula>
    </cfRule>
    <cfRule type="cellIs" dxfId="1307" priority="544" operator="between">
      <formula>7</formula>
      <formula>7.9</formula>
    </cfRule>
    <cfRule type="cellIs" dxfId="1306" priority="545" stopIfTrue="1" operator="between">
      <formula>8</formula>
      <formula>8.9</formula>
    </cfRule>
    <cfRule type="cellIs" dxfId="1305" priority="546" operator="between">
      <formula>9</formula>
      <formula>9.9</formula>
    </cfRule>
    <cfRule type="cellIs" dxfId="1304" priority="547" stopIfTrue="1" operator="between">
      <formula>10</formula>
      <formula>10</formula>
    </cfRule>
  </conditionalFormatting>
  <conditionalFormatting sqref="B389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03" priority="475" stopIfTrue="1">
      <formula>LEN(TRIM(B390))=0</formula>
    </cfRule>
    <cfRule type="cellIs" dxfId="1302" priority="476" operator="lessThan">
      <formula>2</formula>
    </cfRule>
    <cfRule type="cellIs" dxfId="1301" priority="477" operator="between">
      <formula>2</formula>
      <formula>4.9</formula>
    </cfRule>
    <cfRule type="cellIs" dxfId="1300" priority="478" operator="between">
      <formula>5</formula>
      <formula>6.9</formula>
    </cfRule>
    <cfRule type="cellIs" dxfId="1299" priority="479" operator="between">
      <formula>10.1</formula>
      <formula>10.6</formula>
    </cfRule>
    <cfRule type="cellIs" dxfId="1298" priority="480" operator="between">
      <formula>7</formula>
      <formula>7.9</formula>
    </cfRule>
    <cfRule type="cellIs" dxfId="1297" priority="481" stopIfTrue="1" operator="between">
      <formula>8</formula>
      <formula>8.9</formula>
    </cfRule>
    <cfRule type="cellIs" dxfId="1296" priority="482" operator="between">
      <formula>9</formula>
      <formula>9.9</formula>
    </cfRule>
    <cfRule type="cellIs" dxfId="1295" priority="483" stopIfTrue="1" operator="between">
      <formula>10</formula>
      <formula>10</formula>
    </cfRule>
  </conditionalFormatting>
  <conditionalFormatting sqref="B401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294" priority="429" stopIfTrue="1">
      <formula>LEN(TRIM(B402))=0</formula>
    </cfRule>
    <cfRule type="cellIs" dxfId="1293" priority="430" operator="lessThan">
      <formula>2</formula>
    </cfRule>
    <cfRule type="cellIs" dxfId="1292" priority="431" operator="between">
      <formula>2</formula>
      <formula>4.9</formula>
    </cfRule>
    <cfRule type="cellIs" dxfId="1291" priority="432" operator="between">
      <formula>5</formula>
      <formula>6.9</formula>
    </cfRule>
    <cfRule type="cellIs" dxfId="1290" priority="433" operator="between">
      <formula>10.1</formula>
      <formula>10.6</formula>
    </cfRule>
    <cfRule type="cellIs" dxfId="1289" priority="434" operator="between">
      <formula>7</formula>
      <formula>7.9</formula>
    </cfRule>
    <cfRule type="cellIs" dxfId="1288" priority="435" stopIfTrue="1" operator="between">
      <formula>8</formula>
      <formula>8.9</formula>
    </cfRule>
    <cfRule type="cellIs" dxfId="1287" priority="436" operator="between">
      <formula>9</formula>
      <formula>9.9</formula>
    </cfRule>
    <cfRule type="cellIs" dxfId="1286" priority="437" stopIfTrue="1" operator="between">
      <formula>10</formula>
      <formula>10</formula>
    </cfRule>
  </conditionalFormatting>
  <conditionalFormatting sqref="B409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85" priority="398" stopIfTrue="1">
      <formula>LEN(TRIM(B410))=0</formula>
    </cfRule>
    <cfRule type="cellIs" dxfId="1284" priority="399" operator="lessThan">
      <formula>2</formula>
    </cfRule>
    <cfRule type="cellIs" dxfId="1283" priority="400" operator="between">
      <formula>2</formula>
      <formula>4.9</formula>
    </cfRule>
    <cfRule type="cellIs" dxfId="1282" priority="401" operator="between">
      <formula>5</formula>
      <formula>6.9</formula>
    </cfRule>
    <cfRule type="cellIs" dxfId="1281" priority="402" operator="between">
      <formula>10.1</formula>
      <formula>10.6</formula>
    </cfRule>
    <cfRule type="cellIs" dxfId="1280" priority="403" operator="between">
      <formula>7</formula>
      <formula>7.9</formula>
    </cfRule>
    <cfRule type="cellIs" dxfId="1279" priority="404" stopIfTrue="1" operator="between">
      <formula>8</formula>
      <formula>8.9</formula>
    </cfRule>
    <cfRule type="cellIs" dxfId="1278" priority="405" operator="between">
      <formula>9</formula>
      <formula>9.9</formula>
    </cfRule>
    <cfRule type="cellIs" dxfId="1277" priority="406" stopIfTrue="1" operator="between">
      <formula>10</formula>
      <formula>10</formula>
    </cfRule>
  </conditionalFormatting>
  <conditionalFormatting sqref="B428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76" priority="287" stopIfTrue="1">
      <formula>LEN(TRIM(B429))=0</formula>
    </cfRule>
    <cfRule type="cellIs" dxfId="1275" priority="288" operator="lessThan">
      <formula>2</formula>
    </cfRule>
    <cfRule type="cellIs" dxfId="1274" priority="289" operator="between">
      <formula>2</formula>
      <formula>4.9</formula>
    </cfRule>
    <cfRule type="cellIs" dxfId="1273" priority="290" operator="between">
      <formula>5</formula>
      <formula>6.9</formula>
    </cfRule>
    <cfRule type="cellIs" dxfId="1272" priority="291" operator="between">
      <formula>10.1</formula>
      <formula>10.6</formula>
    </cfRule>
    <cfRule type="cellIs" dxfId="1271" priority="292" operator="between">
      <formula>7</formula>
      <formula>7.9</formula>
    </cfRule>
    <cfRule type="cellIs" dxfId="1270" priority="293" stopIfTrue="1" operator="between">
      <formula>8</formula>
      <formula>8.9</formula>
    </cfRule>
    <cfRule type="cellIs" dxfId="1269" priority="294" operator="between">
      <formula>9</formula>
      <formula>9.9</formula>
    </cfRule>
    <cfRule type="cellIs" dxfId="1268" priority="295" stopIfTrue="1" operator="between">
      <formula>10</formula>
      <formula>10</formula>
    </cfRule>
  </conditionalFormatting>
  <conditionalFormatting sqref="B441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67" priority="232" stopIfTrue="1">
      <formula>LEN(TRIM(B442))=0</formula>
    </cfRule>
    <cfRule type="cellIs" dxfId="1266" priority="233" operator="lessThan">
      <formula>2</formula>
    </cfRule>
    <cfRule type="cellIs" dxfId="1265" priority="234" operator="between">
      <formula>2</formula>
      <formula>4.9</formula>
    </cfRule>
    <cfRule type="cellIs" dxfId="1264" priority="235" operator="between">
      <formula>5</formula>
      <formula>6.9</formula>
    </cfRule>
    <cfRule type="cellIs" dxfId="1263" priority="236" operator="between">
      <formula>10.1</formula>
      <formula>10.6</formula>
    </cfRule>
    <cfRule type="cellIs" dxfId="1262" priority="237" operator="between">
      <formula>7</formula>
      <formula>7.9</formula>
    </cfRule>
    <cfRule type="cellIs" dxfId="1261" priority="238" stopIfTrue="1" operator="between">
      <formula>8</formula>
      <formula>8.9</formula>
    </cfRule>
    <cfRule type="cellIs" dxfId="1260" priority="239" operator="between">
      <formula>9</formula>
      <formula>9.9</formula>
    </cfRule>
    <cfRule type="cellIs" dxfId="1259" priority="240" stopIfTrue="1" operator="between">
      <formula>10</formula>
      <formula>10</formula>
    </cfRule>
  </conditionalFormatting>
  <conditionalFormatting sqref="B448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58" priority="210" stopIfTrue="1">
      <formula>LEN(TRIM(B449))=0</formula>
    </cfRule>
    <cfRule type="cellIs" dxfId="1257" priority="211" operator="lessThan">
      <formula>2</formula>
    </cfRule>
    <cfRule type="cellIs" dxfId="1256" priority="212" operator="between">
      <formula>2</formula>
      <formula>4.9</formula>
    </cfRule>
    <cfRule type="cellIs" dxfId="1255" priority="213" operator="between">
      <formula>5</formula>
      <formula>6.9</formula>
    </cfRule>
    <cfRule type="cellIs" dxfId="1254" priority="214" operator="between">
      <formula>10.1</formula>
      <formula>10.6</formula>
    </cfRule>
    <cfRule type="cellIs" dxfId="1253" priority="215" operator="between">
      <formula>7</formula>
      <formula>7.9</formula>
    </cfRule>
    <cfRule type="cellIs" dxfId="1252" priority="216" stopIfTrue="1" operator="between">
      <formula>8</formula>
      <formula>8.9</formula>
    </cfRule>
    <cfRule type="cellIs" dxfId="1251" priority="217" operator="between">
      <formula>9</formula>
      <formula>9.9</formula>
    </cfRule>
    <cfRule type="cellIs" dxfId="1250" priority="218" stopIfTrue="1" operator="between">
      <formula>10</formula>
      <formula>10</formula>
    </cfRule>
  </conditionalFormatting>
  <conditionalFormatting sqref="B45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49" priority="157" stopIfTrue="1">
      <formula>LEN(TRIM(B458))=0</formula>
    </cfRule>
    <cfRule type="cellIs" dxfId="1248" priority="158" operator="lessThan">
      <formula>2</formula>
    </cfRule>
    <cfRule type="cellIs" dxfId="1247" priority="159" operator="between">
      <formula>2</formula>
      <formula>4.9</formula>
    </cfRule>
    <cfRule type="cellIs" dxfId="1246" priority="160" operator="between">
      <formula>5</formula>
      <formula>6.9</formula>
    </cfRule>
    <cfRule type="cellIs" dxfId="1245" priority="161" operator="between">
      <formula>10.1</formula>
      <formula>10.6</formula>
    </cfRule>
    <cfRule type="cellIs" dxfId="1244" priority="162" operator="between">
      <formula>7</formula>
      <formula>7.9</formula>
    </cfRule>
    <cfRule type="cellIs" dxfId="1243" priority="163" stopIfTrue="1" operator="between">
      <formula>8</formula>
      <formula>8.9</formula>
    </cfRule>
    <cfRule type="cellIs" dxfId="1242" priority="164" operator="between">
      <formula>9</formula>
      <formula>9.9</formula>
    </cfRule>
    <cfRule type="cellIs" dxfId="1241" priority="165" stopIfTrue="1" operator="between">
      <formula>10</formula>
      <formula>10</formula>
    </cfRule>
  </conditionalFormatting>
  <conditionalFormatting sqref="B473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40" priority="102" stopIfTrue="1">
      <formula>LEN(TRIM(B474))=0</formula>
    </cfRule>
    <cfRule type="cellIs" dxfId="1239" priority="103" operator="lessThan">
      <formula>2</formula>
    </cfRule>
    <cfRule type="cellIs" dxfId="1238" priority="104" operator="between">
      <formula>2</formula>
      <formula>4.9</formula>
    </cfRule>
    <cfRule type="cellIs" dxfId="1237" priority="105" operator="between">
      <formula>5</formula>
      <formula>6.9</formula>
    </cfRule>
    <cfRule type="cellIs" dxfId="1236" priority="106" operator="between">
      <formula>10.1</formula>
      <formula>10.6</formula>
    </cfRule>
    <cfRule type="cellIs" dxfId="1235" priority="107" operator="between">
      <formula>7</formula>
      <formula>7.9</formula>
    </cfRule>
    <cfRule type="cellIs" dxfId="1234" priority="108" stopIfTrue="1" operator="between">
      <formula>8</formula>
      <formula>8.9</formula>
    </cfRule>
    <cfRule type="cellIs" dxfId="1233" priority="109" operator="between">
      <formula>9</formula>
      <formula>9.9</formula>
    </cfRule>
    <cfRule type="cellIs" dxfId="1232" priority="110" stopIfTrue="1" operator="between">
      <formula>10</formula>
      <formula>10</formula>
    </cfRule>
  </conditionalFormatting>
  <conditionalFormatting sqref="B487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31" priority="58" stopIfTrue="1">
      <formula>LEN(TRIM(B488))=0</formula>
    </cfRule>
    <cfRule type="cellIs" dxfId="1230" priority="59" operator="lessThan">
      <formula>2</formula>
    </cfRule>
    <cfRule type="cellIs" dxfId="1229" priority="60" operator="between">
      <formula>2</formula>
      <formula>4.9</formula>
    </cfRule>
    <cfRule type="cellIs" dxfId="1228" priority="61" operator="between">
      <formula>5</formula>
      <formula>6.9</formula>
    </cfRule>
    <cfRule type="cellIs" dxfId="1227" priority="62" operator="between">
      <formula>10.1</formula>
      <formula>10.6</formula>
    </cfRule>
    <cfRule type="cellIs" dxfId="1226" priority="63" operator="between">
      <formula>7</formula>
      <formula>7.9</formula>
    </cfRule>
    <cfRule type="cellIs" dxfId="1225" priority="64" stopIfTrue="1" operator="between">
      <formula>8</formula>
      <formula>8.9</formula>
    </cfRule>
    <cfRule type="cellIs" dxfId="1224" priority="65" operator="between">
      <formula>9</formula>
      <formula>9.9</formula>
    </cfRule>
    <cfRule type="cellIs" dxfId="1223" priority="66" stopIfTrue="1" operator="between">
      <formula>10</formula>
      <formula>10</formula>
    </cfRule>
  </conditionalFormatting>
  <conditionalFormatting sqref="E3:E12">
    <cfRule type="cellIs" dxfId="1222" priority="1893" operator="between">
      <formula>10.1</formula>
      <formula>10.6</formula>
    </cfRule>
    <cfRule type="cellIs" dxfId="1221" priority="1894" operator="between">
      <formula>7</formula>
      <formula>7.9</formula>
    </cfRule>
    <cfRule type="cellIs" dxfId="1220" priority="1895" stopIfTrue="1" operator="between">
      <formula>8</formula>
      <formula>8.9</formula>
    </cfRule>
    <cfRule type="cellIs" dxfId="1219" priority="1896" operator="between">
      <formula>9</formula>
      <formula>9.9</formula>
    </cfRule>
    <cfRule type="cellIs" dxfId="1218" priority="1897" stopIfTrue="1" operator="between">
      <formula>10</formula>
      <formula>10</formula>
    </cfRule>
    <cfRule type="containsBlanks" dxfId="1217" priority="1898" stopIfTrue="1">
      <formula>LEN(TRIM(E3))=0</formula>
    </cfRule>
  </conditionalFormatting>
  <conditionalFormatting sqref="E15:E28">
    <cfRule type="cellIs" dxfId="1216" priority="1203" operator="between">
      <formula>7</formula>
      <formula>7.9</formula>
    </cfRule>
    <cfRule type="cellIs" dxfId="1215" priority="1204" stopIfTrue="1" operator="between">
      <formula>8</formula>
      <formula>8.9</formula>
    </cfRule>
    <cfRule type="cellIs" dxfId="1214" priority="1205" operator="between">
      <formula>9</formula>
      <formula>9.9</formula>
    </cfRule>
    <cfRule type="cellIs" dxfId="1213" priority="1206" stopIfTrue="1" operator="between">
      <formula>10</formula>
      <formula>10</formula>
    </cfRule>
    <cfRule type="containsBlanks" dxfId="1212" priority="1207" stopIfTrue="1">
      <formula>LEN(TRIM(E15))=0</formula>
    </cfRule>
  </conditionalFormatting>
  <conditionalFormatting sqref="E16">
    <cfRule type="cellIs" dxfId="1211" priority="1202" operator="between">
      <formula>10.1</formula>
      <formula>10.6</formula>
    </cfRule>
  </conditionalFormatting>
  <conditionalFormatting sqref="E31:E37">
    <cfRule type="cellIs" dxfId="1210" priority="1857" operator="between">
      <formula>10.1</formula>
      <formula>10.6</formula>
    </cfRule>
    <cfRule type="cellIs" dxfId="1209" priority="1858" operator="between">
      <formula>7</formula>
      <formula>7.9</formula>
    </cfRule>
    <cfRule type="cellIs" dxfId="1208" priority="1859" stopIfTrue="1" operator="between">
      <formula>8</formula>
      <formula>8.9</formula>
    </cfRule>
    <cfRule type="cellIs" dxfId="1207" priority="1860" operator="between">
      <formula>9</formula>
      <formula>9.9</formula>
    </cfRule>
    <cfRule type="cellIs" dxfId="1206" priority="1861" stopIfTrue="1" operator="between">
      <formula>10</formula>
      <formula>10</formula>
    </cfRule>
    <cfRule type="containsBlanks" dxfId="1205" priority="1862" stopIfTrue="1">
      <formula>LEN(TRIM(E31))=0</formula>
    </cfRule>
  </conditionalFormatting>
  <conditionalFormatting sqref="E39">
    <cfRule type="colorScale" priority="2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8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04" priority="1969" operator="between">
      <formula>7</formula>
      <formula>7.9</formula>
    </cfRule>
    <cfRule type="cellIs" dxfId="1203" priority="1970" stopIfTrue="1" operator="between">
      <formula>8</formula>
      <formula>8.9</formula>
    </cfRule>
    <cfRule type="cellIs" dxfId="1202" priority="1971" operator="between">
      <formula>9</formula>
      <formula>9.9</formula>
    </cfRule>
    <cfRule type="cellIs" dxfId="1201" priority="1972" stopIfTrue="1" operator="between">
      <formula>10</formula>
      <formula>10</formula>
    </cfRule>
  </conditionalFormatting>
  <conditionalFormatting sqref="E54">
    <cfRule type="colorScale" priority="1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1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00" priority="1839" operator="between">
      <formula>10.1</formula>
      <formula>10.6</formula>
    </cfRule>
    <cfRule type="cellIs" dxfId="1199" priority="1840" operator="between">
      <formula>7</formula>
      <formula>7.9</formula>
    </cfRule>
    <cfRule type="cellIs" dxfId="1198" priority="1841" stopIfTrue="1" operator="between">
      <formula>8</formula>
      <formula>8.9</formula>
    </cfRule>
    <cfRule type="cellIs" dxfId="1197" priority="1842" operator="between">
      <formula>9</formula>
      <formula>9.9</formula>
    </cfRule>
    <cfRule type="cellIs" dxfId="1196" priority="1843" stopIfTrue="1" operator="between">
      <formula>10</formula>
      <formula>10</formula>
    </cfRule>
    <cfRule type="containsBlanks" dxfId="1195" priority="1844" stopIfTrue="1">
      <formula>LEN(TRIM(E55))=0</formula>
    </cfRule>
  </conditionalFormatting>
  <conditionalFormatting sqref="E65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94" priority="1772" operator="between">
      <formula>10.1</formula>
      <formula>10.6</formula>
    </cfRule>
    <cfRule type="cellIs" dxfId="1193" priority="1773" operator="between">
      <formula>7</formula>
      <formula>7.9</formula>
    </cfRule>
    <cfRule type="cellIs" dxfId="1192" priority="1774" stopIfTrue="1" operator="between">
      <formula>8</formula>
      <formula>8.9</formula>
    </cfRule>
    <cfRule type="cellIs" dxfId="1191" priority="1775" operator="between">
      <formula>9</formula>
      <formula>9.9</formula>
    </cfRule>
    <cfRule type="cellIs" dxfId="1190" priority="1776" stopIfTrue="1" operator="between">
      <formula>10</formula>
      <formula>10</formula>
    </cfRule>
    <cfRule type="containsBlanks" dxfId="1189" priority="1777" stopIfTrue="1">
      <formula>LEN(TRIM(E66))=0</formula>
    </cfRule>
  </conditionalFormatting>
  <conditionalFormatting sqref="E80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88" priority="1693" operator="between">
      <formula>10.1</formula>
      <formula>10.6</formula>
    </cfRule>
    <cfRule type="cellIs" dxfId="1187" priority="1694" operator="between">
      <formula>7</formula>
      <formula>7.9</formula>
    </cfRule>
    <cfRule type="cellIs" dxfId="1186" priority="1695" stopIfTrue="1" operator="between">
      <formula>8</formula>
      <formula>8.9</formula>
    </cfRule>
    <cfRule type="cellIs" dxfId="1185" priority="1696" operator="between">
      <formula>9</formula>
      <formula>9.9</formula>
    </cfRule>
    <cfRule type="cellIs" dxfId="1184" priority="1697" stopIfTrue="1" operator="between">
      <formula>10</formula>
      <formula>10</formula>
    </cfRule>
    <cfRule type="containsBlanks" dxfId="1183" priority="1698" stopIfTrue="1">
      <formula>LEN(TRIM(E81))=0</formula>
    </cfRule>
  </conditionalFormatting>
  <conditionalFormatting sqref="E101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82" priority="1615" operator="between">
      <formula>10.1</formula>
      <formula>10.6</formula>
    </cfRule>
    <cfRule type="cellIs" dxfId="1181" priority="1616" operator="between">
      <formula>7</formula>
      <formula>7.9</formula>
    </cfRule>
    <cfRule type="cellIs" dxfId="1180" priority="1617" stopIfTrue="1" operator="between">
      <formula>8</formula>
      <formula>8.9</formula>
    </cfRule>
    <cfRule type="cellIs" dxfId="1179" priority="1618" operator="between">
      <formula>9</formula>
      <formula>9.9</formula>
    </cfRule>
    <cfRule type="cellIs" dxfId="1178" priority="1619" stopIfTrue="1" operator="between">
      <formula>10</formula>
      <formula>10</formula>
    </cfRule>
    <cfRule type="containsBlanks" dxfId="1177" priority="1620" stopIfTrue="1">
      <formula>LEN(TRIM(E102))=0</formula>
    </cfRule>
  </conditionalFormatting>
  <conditionalFormatting sqref="E117"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6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76" priority="1548" operator="between">
      <formula>6</formula>
      <formula>6.9</formula>
    </cfRule>
    <cfRule type="cellIs" dxfId="1175" priority="1549" operator="between">
      <formula>10.1</formula>
      <formula>10.6</formula>
    </cfRule>
    <cfRule type="cellIs" dxfId="1174" priority="1550" operator="between">
      <formula>7</formula>
      <formula>7.9</formula>
    </cfRule>
    <cfRule type="cellIs" dxfId="1173" priority="1551" stopIfTrue="1" operator="between">
      <formula>8</formula>
      <formula>8.9</formula>
    </cfRule>
    <cfRule type="cellIs" dxfId="1172" priority="1552" operator="between">
      <formula>9</formula>
      <formula>9.9</formula>
    </cfRule>
    <cfRule type="cellIs" dxfId="1171" priority="1553" stopIfTrue="1" operator="between">
      <formula>10</formula>
      <formula>10</formula>
    </cfRule>
    <cfRule type="containsBlanks" dxfId="1170" priority="1554" stopIfTrue="1">
      <formula>LEN(TRIM(E118))=0</formula>
    </cfRule>
  </conditionalFormatting>
  <conditionalFormatting sqref="E128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69" priority="1515" operator="between">
      <formula>6</formula>
      <formula>6.9</formula>
    </cfRule>
    <cfRule type="cellIs" dxfId="1168" priority="1516" operator="between">
      <formula>10.1</formula>
      <formula>10.6</formula>
    </cfRule>
    <cfRule type="cellIs" dxfId="1167" priority="1517" operator="between">
      <formula>7</formula>
      <formula>7.9</formula>
    </cfRule>
    <cfRule type="cellIs" dxfId="1166" priority="1518" stopIfTrue="1" operator="between">
      <formula>8</formula>
      <formula>8.9</formula>
    </cfRule>
    <cfRule type="cellIs" dxfId="1165" priority="1519" operator="between">
      <formula>9</formula>
      <formula>9.9</formula>
    </cfRule>
    <cfRule type="cellIs" dxfId="1164" priority="1520" stopIfTrue="1" operator="between">
      <formula>10</formula>
      <formula>10</formula>
    </cfRule>
    <cfRule type="containsBlanks" dxfId="1163" priority="1521" stopIfTrue="1">
      <formula>LEN(TRIM(E129))=0</formula>
    </cfRule>
  </conditionalFormatting>
  <conditionalFormatting sqref="E146"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6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62" priority="1428" operator="between">
      <formula>6</formula>
      <formula>6.9</formula>
    </cfRule>
    <cfRule type="cellIs" dxfId="1161" priority="1429" operator="between">
      <formula>10.1</formula>
      <formula>10.6</formula>
    </cfRule>
    <cfRule type="cellIs" dxfId="1160" priority="1430" operator="between">
      <formula>7</formula>
      <formula>7.9</formula>
    </cfRule>
    <cfRule type="cellIs" dxfId="1159" priority="1431" stopIfTrue="1" operator="between">
      <formula>8</formula>
      <formula>8.9</formula>
    </cfRule>
    <cfRule type="cellIs" dxfId="1158" priority="1432" operator="between">
      <formula>9</formula>
      <formula>9.9</formula>
    </cfRule>
    <cfRule type="cellIs" dxfId="1157" priority="1433" stopIfTrue="1" operator="between">
      <formula>10</formula>
      <formula>10</formula>
    </cfRule>
    <cfRule type="containsBlanks" dxfId="1156" priority="1434" stopIfTrue="1">
      <formula>LEN(TRIM(E147))=0</formula>
    </cfRule>
  </conditionalFormatting>
  <conditionalFormatting sqref="E161"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0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55" priority="1392" operator="between">
      <formula>6</formula>
      <formula>6.9</formula>
    </cfRule>
    <cfRule type="cellIs" dxfId="1154" priority="1393" operator="between">
      <formula>10.1</formula>
      <formula>10.6</formula>
    </cfRule>
    <cfRule type="cellIs" dxfId="1153" priority="1394" operator="between">
      <formula>7</formula>
      <formula>7.9</formula>
    </cfRule>
    <cfRule type="cellIs" dxfId="1152" priority="1395" stopIfTrue="1" operator="between">
      <formula>8</formula>
      <formula>8.9</formula>
    </cfRule>
    <cfRule type="cellIs" dxfId="1151" priority="1396" operator="between">
      <formula>9</formula>
      <formula>9.9</formula>
    </cfRule>
    <cfRule type="cellIs" dxfId="1150" priority="1397" stopIfTrue="1" operator="between">
      <formula>10</formula>
      <formula>10</formula>
    </cfRule>
    <cfRule type="containsBlanks" dxfId="1149" priority="1398" stopIfTrue="1">
      <formula>LEN(TRIM(E162))=0</formula>
    </cfRule>
  </conditionalFormatting>
  <conditionalFormatting sqref="E172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48" priority="1347" operator="between">
      <formula>6</formula>
      <formula>6.9</formula>
    </cfRule>
    <cfRule type="cellIs" dxfId="1147" priority="1348" operator="between">
      <formula>10.1</formula>
      <formula>10.6</formula>
    </cfRule>
    <cfRule type="cellIs" dxfId="1146" priority="1349" operator="between">
      <formula>7</formula>
      <formula>7.9</formula>
    </cfRule>
    <cfRule type="cellIs" dxfId="1145" priority="1350" stopIfTrue="1" operator="between">
      <formula>8</formula>
      <formula>8.9</formula>
    </cfRule>
    <cfRule type="cellIs" dxfId="1144" priority="1351" operator="between">
      <formula>9</formula>
      <formula>9.9</formula>
    </cfRule>
    <cfRule type="cellIs" dxfId="1143" priority="1352" stopIfTrue="1" operator="between">
      <formula>10</formula>
      <formula>10</formula>
    </cfRule>
    <cfRule type="containsBlanks" dxfId="1142" priority="1353" stopIfTrue="1">
      <formula>LEN(TRIM(E173))=0</formula>
    </cfRule>
  </conditionalFormatting>
  <conditionalFormatting sqref="E186">
    <cfRule type="colorScale" priority="12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3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41" priority="1285" operator="between">
      <formula>6</formula>
      <formula>6.9</formula>
    </cfRule>
    <cfRule type="cellIs" dxfId="1140" priority="1286" operator="between">
      <formula>10.1</formula>
      <formula>10.6</formula>
    </cfRule>
    <cfRule type="cellIs" dxfId="1139" priority="1287" operator="between">
      <formula>7</formula>
      <formula>7.9</formula>
    </cfRule>
    <cfRule type="cellIs" dxfId="1138" priority="1288" stopIfTrue="1" operator="between">
      <formula>8</formula>
      <formula>8.9</formula>
    </cfRule>
    <cfRule type="cellIs" dxfId="1137" priority="1289" operator="between">
      <formula>9</formula>
      <formula>9.9</formula>
    </cfRule>
    <cfRule type="cellIs" dxfId="1136" priority="1290" stopIfTrue="1" operator="between">
      <formula>10</formula>
      <formula>10</formula>
    </cfRule>
    <cfRule type="containsBlanks" dxfId="1135" priority="1291" stopIfTrue="1">
      <formula>LEN(TRIM(E187))=0</formula>
    </cfRule>
  </conditionalFormatting>
  <conditionalFormatting sqref="E201">
    <cfRule type="colorScale" priority="1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9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34" priority="1231" operator="between">
      <formula>6</formula>
      <formula>6.9</formula>
    </cfRule>
    <cfRule type="cellIs" dxfId="1133" priority="1232" operator="between">
      <formula>10.1</formula>
      <formula>11</formula>
    </cfRule>
    <cfRule type="cellIs" dxfId="1132" priority="1233" operator="between">
      <formula>7</formula>
      <formula>7.9</formula>
    </cfRule>
    <cfRule type="cellIs" dxfId="1131" priority="1234" stopIfTrue="1" operator="between">
      <formula>8</formula>
      <formula>8.9</formula>
    </cfRule>
    <cfRule type="cellIs" dxfId="1130" priority="1235" operator="between">
      <formula>9</formula>
      <formula>9.9</formula>
    </cfRule>
    <cfRule type="cellIs" dxfId="1129" priority="1236" stopIfTrue="1" operator="between">
      <formula>10</formula>
      <formula>10</formula>
    </cfRule>
    <cfRule type="containsBlanks" dxfId="1128" priority="1237" stopIfTrue="1">
      <formula>LEN(TRIM(E202))=0</formula>
    </cfRule>
  </conditionalFormatting>
  <conditionalFormatting sqref="E213">
    <cfRule type="colorScale" priority="1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5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27" priority="1186" operator="between">
      <formula>6</formula>
      <formula>6.9</formula>
    </cfRule>
    <cfRule type="cellIs" dxfId="1126" priority="1187" operator="between">
      <formula>10.1</formula>
      <formula>10.6</formula>
    </cfRule>
    <cfRule type="cellIs" dxfId="1125" priority="1188" operator="between">
      <formula>7</formula>
      <formula>7.9</formula>
    </cfRule>
    <cfRule type="cellIs" dxfId="1124" priority="1189" stopIfTrue="1" operator="between">
      <formula>8</formula>
      <formula>8.9</formula>
    </cfRule>
    <cfRule type="cellIs" dxfId="1123" priority="1190" operator="between">
      <formula>9</formula>
      <formula>9.9</formula>
    </cfRule>
    <cfRule type="cellIs" dxfId="1122" priority="1191" stopIfTrue="1" operator="between">
      <formula>10</formula>
      <formula>10</formula>
    </cfRule>
    <cfRule type="containsBlanks" dxfId="1121" priority="1192" stopIfTrue="1">
      <formula>LEN(TRIM(E214))=0</formula>
    </cfRule>
  </conditionalFormatting>
  <conditionalFormatting sqref="E229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20" priority="1146" operator="between">
      <formula>6</formula>
      <formula>6.9</formula>
    </cfRule>
    <cfRule type="cellIs" dxfId="1119" priority="1147" operator="between">
      <formula>10.1</formula>
      <formula>10.6</formula>
    </cfRule>
    <cfRule type="cellIs" dxfId="1118" priority="1148" operator="between">
      <formula>7</formula>
      <formula>7.9</formula>
    </cfRule>
    <cfRule type="cellIs" dxfId="1117" priority="1149" stopIfTrue="1" operator="between">
      <formula>8</formula>
      <formula>8.9</formula>
    </cfRule>
    <cfRule type="cellIs" dxfId="1116" priority="1150" operator="between">
      <formula>9</formula>
      <formula>9.9</formula>
    </cfRule>
    <cfRule type="cellIs" dxfId="1115" priority="1151" stopIfTrue="1" operator="between">
      <formula>10</formula>
      <formula>10</formula>
    </cfRule>
    <cfRule type="containsBlanks" dxfId="1114" priority="1152" stopIfTrue="1">
      <formula>LEN(TRIM(E230))=0</formula>
    </cfRule>
  </conditionalFormatting>
  <conditionalFormatting sqref="E237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13" priority="1105" operator="between">
      <formula>6</formula>
      <formula>6.9</formula>
    </cfRule>
    <cfRule type="cellIs" dxfId="1112" priority="1106" operator="between">
      <formula>10.1</formula>
      <formula>10.6</formula>
    </cfRule>
    <cfRule type="cellIs" dxfId="1111" priority="1107" operator="between">
      <formula>7</formula>
      <formula>7.9</formula>
    </cfRule>
    <cfRule type="cellIs" dxfId="1110" priority="1108" stopIfTrue="1" operator="between">
      <formula>8</formula>
      <formula>8.9</formula>
    </cfRule>
    <cfRule type="cellIs" dxfId="1109" priority="1109" operator="between">
      <formula>9</formula>
      <formula>9.9</formula>
    </cfRule>
    <cfRule type="cellIs" dxfId="1108" priority="1110" stopIfTrue="1" operator="between">
      <formula>10</formula>
      <formula>10</formula>
    </cfRule>
    <cfRule type="containsBlanks" dxfId="1107" priority="1111" stopIfTrue="1">
      <formula>LEN(TRIM(E238))=0</formula>
    </cfRule>
  </conditionalFormatting>
  <conditionalFormatting sqref="E254"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8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0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06" priority="1011" operator="between">
      <formula>6</formula>
      <formula>6.9</formula>
    </cfRule>
    <cfRule type="cellIs" dxfId="1105" priority="1012" operator="between">
      <formula>10.1</formula>
      <formula>10.6</formula>
    </cfRule>
    <cfRule type="cellIs" dxfId="1104" priority="1013" operator="between">
      <formula>7</formula>
      <formula>7.9</formula>
    </cfRule>
    <cfRule type="cellIs" dxfId="1103" priority="1014" stopIfTrue="1" operator="between">
      <formula>8</formula>
      <formula>8.9</formula>
    </cfRule>
    <cfRule type="cellIs" dxfId="1102" priority="1015" operator="between">
      <formula>9</formula>
      <formula>9.9</formula>
    </cfRule>
    <cfRule type="cellIs" dxfId="1101" priority="1016" stopIfTrue="1" operator="between">
      <formula>10</formula>
      <formula>10</formula>
    </cfRule>
    <cfRule type="containsBlanks" dxfId="1100" priority="1017" stopIfTrue="1">
      <formula>LEN(TRIM(E267))=0</formula>
    </cfRule>
  </conditionalFormatting>
  <conditionalFormatting sqref="E278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99" priority="958" operator="between">
      <formula>6</formula>
      <formula>6.9</formula>
    </cfRule>
    <cfRule type="cellIs" dxfId="1098" priority="959" operator="between">
      <formula>10.1</formula>
      <formula>10.6</formula>
    </cfRule>
    <cfRule type="cellIs" dxfId="1097" priority="960" operator="between">
      <formula>7</formula>
      <formula>7.9</formula>
    </cfRule>
    <cfRule type="cellIs" dxfId="1096" priority="961" stopIfTrue="1" operator="between">
      <formula>8</formula>
      <formula>8.9</formula>
    </cfRule>
    <cfRule type="cellIs" dxfId="1095" priority="962" operator="between">
      <formula>9</formula>
      <formula>9.9</formula>
    </cfRule>
    <cfRule type="cellIs" dxfId="1094" priority="963" stopIfTrue="1" operator="between">
      <formula>10</formula>
      <formula>10</formula>
    </cfRule>
    <cfRule type="containsBlanks" dxfId="1093" priority="964" stopIfTrue="1">
      <formula>LEN(TRIM(E279))=0</formula>
    </cfRule>
  </conditionalFormatting>
  <conditionalFormatting sqref="E288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92" priority="910" operator="between">
      <formula>6</formula>
      <formula>6.9</formula>
    </cfRule>
    <cfRule type="cellIs" dxfId="1091" priority="911" operator="between">
      <formula>10.1</formula>
      <formula>10.6</formula>
    </cfRule>
    <cfRule type="cellIs" dxfId="1090" priority="912" operator="between">
      <formula>7</formula>
      <formula>7.9</formula>
    </cfRule>
    <cfRule type="cellIs" dxfId="1089" priority="913" stopIfTrue="1" operator="between">
      <formula>8</formula>
      <formula>8.9</formula>
    </cfRule>
    <cfRule type="cellIs" dxfId="1088" priority="914" operator="between">
      <formula>9</formula>
      <formula>9.9</formula>
    </cfRule>
    <cfRule type="cellIs" dxfId="1087" priority="915" stopIfTrue="1" operator="between">
      <formula>10</formula>
      <formula>10</formula>
    </cfRule>
    <cfRule type="containsBlanks" dxfId="1086" priority="916" stopIfTrue="1">
      <formula>LEN(TRIM(E289))=0</formula>
    </cfRule>
  </conditionalFormatting>
  <conditionalFormatting sqref="E299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85" priority="859" operator="between">
      <formula>6</formula>
      <formula>6.9</formula>
    </cfRule>
    <cfRule type="cellIs" dxfId="1084" priority="860" operator="between">
      <formula>10.1</formula>
      <formula>10.6</formula>
    </cfRule>
    <cfRule type="cellIs" dxfId="1083" priority="861" operator="between">
      <formula>7</formula>
      <formula>7.9</formula>
    </cfRule>
    <cfRule type="cellIs" dxfId="1082" priority="862" stopIfTrue="1" operator="between">
      <formula>8</formula>
      <formula>8.9</formula>
    </cfRule>
    <cfRule type="cellIs" dxfId="1081" priority="863" operator="between">
      <formula>9</formula>
      <formula>9.9</formula>
    </cfRule>
    <cfRule type="cellIs" dxfId="1080" priority="864" stopIfTrue="1" operator="between">
      <formula>10</formula>
      <formula>10</formula>
    </cfRule>
    <cfRule type="containsBlanks" dxfId="1079" priority="865" stopIfTrue="1">
      <formula>LEN(TRIM(E300))=0</formula>
    </cfRule>
  </conditionalFormatting>
  <conditionalFormatting sqref="E310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78" priority="806" stopIfTrue="1">
      <formula>LEN(TRIM(E311))=0</formula>
    </cfRule>
    <cfRule type="cellIs" dxfId="1077" priority="807" operator="lessThan">
      <formula>2</formula>
    </cfRule>
    <cfRule type="cellIs" dxfId="1076" priority="808" operator="between">
      <formula>2</formula>
      <formula>4.9</formula>
    </cfRule>
    <cfRule type="cellIs" dxfId="1075" priority="809" operator="between">
      <formula>5</formula>
      <formula>6.9</formula>
    </cfRule>
    <cfRule type="cellIs" dxfId="1074" priority="810" operator="between">
      <formula>10.1</formula>
      <formula>10.6</formula>
    </cfRule>
    <cfRule type="cellIs" dxfId="1073" priority="811" operator="between">
      <formula>7</formula>
      <formula>7.9</formula>
    </cfRule>
    <cfRule type="cellIs" dxfId="1072" priority="812" stopIfTrue="1" operator="between">
      <formula>8</formula>
      <formula>8.9</formula>
    </cfRule>
    <cfRule type="cellIs" dxfId="1071" priority="813" operator="between">
      <formula>9</formula>
      <formula>9.9</formula>
    </cfRule>
    <cfRule type="cellIs" dxfId="1070" priority="814" stopIfTrue="1" operator="between">
      <formula>10</formula>
      <formula>10</formula>
    </cfRule>
  </conditionalFormatting>
  <conditionalFormatting sqref="E320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69" priority="797" stopIfTrue="1">
      <formula>LEN(TRIM(E321))=0</formula>
    </cfRule>
    <cfRule type="cellIs" dxfId="1068" priority="798" operator="lessThan">
      <formula>2</formula>
    </cfRule>
    <cfRule type="cellIs" dxfId="1067" priority="799" operator="between">
      <formula>2</formula>
      <formula>4.9</formula>
    </cfRule>
    <cfRule type="cellIs" dxfId="1066" priority="800" operator="between">
      <formula>5</formula>
      <formula>6.9</formula>
    </cfRule>
    <cfRule type="cellIs" dxfId="1065" priority="801" operator="between">
      <formula>10.1</formula>
      <formula>10.6</formula>
    </cfRule>
    <cfRule type="cellIs" dxfId="1064" priority="802" operator="between">
      <formula>7</formula>
      <formula>7.9</formula>
    </cfRule>
    <cfRule type="cellIs" dxfId="1063" priority="803" stopIfTrue="1" operator="between">
      <formula>8</formula>
      <formula>8.9</formula>
    </cfRule>
    <cfRule type="cellIs" dxfId="1062" priority="804" operator="between">
      <formula>9</formula>
      <formula>9.9</formula>
    </cfRule>
    <cfRule type="cellIs" dxfId="1061" priority="805" stopIfTrue="1" operator="between">
      <formula>10</formula>
      <formula>10</formula>
    </cfRule>
  </conditionalFormatting>
  <conditionalFormatting sqref="E328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60" priority="753" stopIfTrue="1">
      <formula>LEN(TRIM(E329))=0</formula>
    </cfRule>
    <cfRule type="cellIs" dxfId="1059" priority="754" operator="lessThan">
      <formula>2</formula>
    </cfRule>
    <cfRule type="cellIs" dxfId="1058" priority="755" operator="between">
      <formula>2</formula>
      <formula>4.9</formula>
    </cfRule>
    <cfRule type="cellIs" dxfId="1057" priority="756" operator="between">
      <formula>5</formula>
      <formula>6.9</formula>
    </cfRule>
    <cfRule type="cellIs" dxfId="1056" priority="757" operator="between">
      <formula>10.1</formula>
      <formula>10.6</formula>
    </cfRule>
    <cfRule type="cellIs" dxfId="1055" priority="758" operator="between">
      <formula>7</formula>
      <formula>7.9</formula>
    </cfRule>
    <cfRule type="cellIs" dxfId="1054" priority="759" stopIfTrue="1" operator="between">
      <formula>8</formula>
      <formula>8.9</formula>
    </cfRule>
    <cfRule type="cellIs" dxfId="1053" priority="760" operator="between">
      <formula>9</formula>
      <formula>9.9</formula>
    </cfRule>
    <cfRule type="cellIs" dxfId="1052" priority="761" stopIfTrue="1" operator="between">
      <formula>10</formula>
      <formula>10</formula>
    </cfRule>
  </conditionalFormatting>
  <conditionalFormatting sqref="E360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51" priority="630" stopIfTrue="1">
      <formula>LEN(TRIM(E361))=0</formula>
    </cfRule>
    <cfRule type="cellIs" dxfId="1050" priority="631" operator="lessThan">
      <formula>2</formula>
    </cfRule>
    <cfRule type="cellIs" dxfId="1049" priority="632" operator="between">
      <formula>2</formula>
      <formula>4.9</formula>
    </cfRule>
    <cfRule type="cellIs" dxfId="1048" priority="633" operator="between">
      <formula>5</formula>
      <formula>6.9</formula>
    </cfRule>
    <cfRule type="cellIs" dxfId="1047" priority="634" operator="between">
      <formula>10.1</formula>
      <formula>10.6</formula>
    </cfRule>
    <cfRule type="cellIs" dxfId="1046" priority="635" operator="between">
      <formula>7</formula>
      <formula>7.9</formula>
    </cfRule>
    <cfRule type="cellIs" dxfId="1045" priority="636" stopIfTrue="1" operator="between">
      <formula>8</formula>
      <formula>8.9</formula>
    </cfRule>
    <cfRule type="cellIs" dxfId="1044" priority="637" operator="between">
      <formula>9</formula>
      <formula>9.9</formula>
    </cfRule>
    <cfRule type="cellIs" dxfId="1043" priority="638" stopIfTrue="1" operator="between">
      <formula>10</formula>
      <formula>10</formula>
    </cfRule>
  </conditionalFormatting>
  <conditionalFormatting sqref="E372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42" priority="584" stopIfTrue="1">
      <formula>LEN(TRIM(E373))=0</formula>
    </cfRule>
    <cfRule type="cellIs" dxfId="1041" priority="585" operator="lessThan">
      <formula>2</formula>
    </cfRule>
    <cfRule type="cellIs" dxfId="1040" priority="586" operator="between">
      <formula>2</formula>
      <formula>4.9</formula>
    </cfRule>
    <cfRule type="cellIs" dxfId="1039" priority="587" operator="between">
      <formula>5</formula>
      <formula>6.9</formula>
    </cfRule>
    <cfRule type="cellIs" dxfId="1038" priority="588" operator="between">
      <formula>10.1</formula>
      <formula>10.6</formula>
    </cfRule>
    <cfRule type="cellIs" dxfId="1037" priority="589" operator="between">
      <formula>7</formula>
      <formula>7.9</formula>
    </cfRule>
    <cfRule type="cellIs" dxfId="1036" priority="590" stopIfTrue="1" operator="between">
      <formula>8</formula>
      <formula>8.9</formula>
    </cfRule>
    <cfRule type="cellIs" dxfId="1035" priority="591" operator="between">
      <formula>9</formula>
      <formula>9.9</formula>
    </cfRule>
    <cfRule type="cellIs" dxfId="1034" priority="592" stopIfTrue="1" operator="between">
      <formula>10</formula>
      <formula>10</formula>
    </cfRule>
  </conditionalFormatting>
  <conditionalFormatting sqref="E383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33" priority="517" stopIfTrue="1">
      <formula>LEN(TRIM(E384))=0</formula>
    </cfRule>
    <cfRule type="cellIs" dxfId="1032" priority="518" operator="lessThan">
      <formula>2</formula>
    </cfRule>
    <cfRule type="cellIs" dxfId="1031" priority="519" operator="between">
      <formula>2</formula>
      <formula>4.9</formula>
    </cfRule>
    <cfRule type="cellIs" dxfId="1030" priority="520" operator="between">
      <formula>5</formula>
      <formula>6.9</formula>
    </cfRule>
    <cfRule type="cellIs" dxfId="1029" priority="521" operator="between">
      <formula>10.1</formula>
      <formula>10.6</formula>
    </cfRule>
    <cfRule type="cellIs" dxfId="1028" priority="522" operator="between">
      <formula>7</formula>
      <formula>7.9</formula>
    </cfRule>
    <cfRule type="cellIs" dxfId="1027" priority="523" stopIfTrue="1" operator="between">
      <formula>8</formula>
      <formula>8.9</formula>
    </cfRule>
    <cfRule type="cellIs" dxfId="1026" priority="524" operator="between">
      <formula>9</formula>
      <formula>9.9</formula>
    </cfRule>
    <cfRule type="cellIs" dxfId="1025" priority="525" stopIfTrue="1" operator="between">
      <formula>10</formula>
      <formula>10</formula>
    </cfRule>
  </conditionalFormatting>
  <conditionalFormatting sqref="E388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24" priority="486" stopIfTrue="1">
      <formula>LEN(TRIM(E389))=0</formula>
    </cfRule>
    <cfRule type="cellIs" dxfId="1023" priority="487" operator="lessThan">
      <formula>2</formula>
    </cfRule>
    <cfRule type="cellIs" dxfId="1022" priority="488" operator="between">
      <formula>2</formula>
      <formula>4.9</formula>
    </cfRule>
    <cfRule type="cellIs" dxfId="1021" priority="489" operator="between">
      <formula>5</formula>
      <formula>6.9</formula>
    </cfRule>
    <cfRule type="cellIs" dxfId="1020" priority="490" operator="between">
      <formula>10.1</formula>
      <formula>10.6</formula>
    </cfRule>
    <cfRule type="cellIs" dxfId="1019" priority="491" operator="between">
      <formula>7</formula>
      <formula>7.9</formula>
    </cfRule>
    <cfRule type="cellIs" dxfId="1018" priority="492" stopIfTrue="1" operator="between">
      <formula>8</formula>
      <formula>8.9</formula>
    </cfRule>
    <cfRule type="cellIs" dxfId="1017" priority="493" operator="between">
      <formula>9</formula>
      <formula>9.9</formula>
    </cfRule>
    <cfRule type="cellIs" dxfId="1016" priority="494" stopIfTrue="1" operator="between">
      <formula>10</formula>
      <formula>10</formula>
    </cfRule>
  </conditionalFormatting>
  <conditionalFormatting sqref="E403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15" priority="409" stopIfTrue="1">
      <formula>LEN(TRIM(E404))=0</formula>
    </cfRule>
    <cfRule type="cellIs" dxfId="1014" priority="410" operator="lessThan">
      <formula>2</formula>
    </cfRule>
    <cfRule type="cellIs" dxfId="1013" priority="411" operator="between">
      <formula>2</formula>
      <formula>4.9</formula>
    </cfRule>
    <cfRule type="cellIs" dxfId="1012" priority="412" operator="between">
      <formula>5</formula>
      <formula>6.9</formula>
    </cfRule>
    <cfRule type="cellIs" dxfId="1011" priority="413" operator="between">
      <formula>10.1</formula>
      <formula>10.6</formula>
    </cfRule>
    <cfRule type="cellIs" dxfId="1010" priority="414" operator="between">
      <formula>7</formula>
      <formula>7.9</formula>
    </cfRule>
    <cfRule type="cellIs" dxfId="1009" priority="415" stopIfTrue="1" operator="between">
      <formula>8</formula>
      <formula>8.9</formula>
    </cfRule>
    <cfRule type="cellIs" dxfId="1008" priority="416" operator="between">
      <formula>9</formula>
      <formula>9.9</formula>
    </cfRule>
    <cfRule type="cellIs" dxfId="1007" priority="417" stopIfTrue="1" operator="between">
      <formula>10</formula>
      <formula>10</formula>
    </cfRule>
  </conditionalFormatting>
  <conditionalFormatting sqref="E415"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2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06" priority="362" stopIfTrue="1">
      <formula>LEN(TRIM(E416))=0</formula>
    </cfRule>
    <cfRule type="cellIs" dxfId="1005" priority="363" operator="lessThan">
      <formula>2</formula>
    </cfRule>
    <cfRule type="cellIs" dxfId="1004" priority="364" operator="between">
      <formula>2</formula>
      <formula>4.9</formula>
    </cfRule>
    <cfRule type="cellIs" dxfId="1003" priority="365" operator="between">
      <formula>5</formula>
      <formula>6.9</formula>
    </cfRule>
    <cfRule type="cellIs" dxfId="1002" priority="366" operator="between">
      <formula>10.1</formula>
      <formula>10.6</formula>
    </cfRule>
    <cfRule type="cellIs" dxfId="1001" priority="367" operator="between">
      <formula>7</formula>
      <formula>7.9</formula>
    </cfRule>
    <cfRule type="cellIs" dxfId="1000" priority="368" stopIfTrue="1" operator="between">
      <formula>8</formula>
      <formula>8.9</formula>
    </cfRule>
    <cfRule type="cellIs" dxfId="999" priority="369" operator="between">
      <formula>9</formula>
      <formula>9.9</formula>
    </cfRule>
    <cfRule type="cellIs" dxfId="998" priority="370" stopIfTrue="1" operator="between">
      <formula>10</formula>
      <formula>10</formula>
    </cfRule>
  </conditionalFormatting>
  <conditionalFormatting sqref="E425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97" priority="298" stopIfTrue="1">
      <formula>LEN(TRIM(E426))=0</formula>
    </cfRule>
    <cfRule type="cellIs" dxfId="996" priority="299" operator="lessThan">
      <formula>2</formula>
    </cfRule>
    <cfRule type="cellIs" dxfId="995" priority="300" operator="between">
      <formula>2</formula>
      <formula>4.9</formula>
    </cfRule>
    <cfRule type="cellIs" dxfId="994" priority="301" operator="between">
      <formula>5</formula>
      <formula>6.9</formula>
    </cfRule>
    <cfRule type="cellIs" dxfId="993" priority="302" operator="between">
      <formula>10.1</formula>
      <formula>10.6</formula>
    </cfRule>
    <cfRule type="cellIs" dxfId="992" priority="303" operator="between">
      <formula>7</formula>
      <formula>7.9</formula>
    </cfRule>
    <cfRule type="cellIs" dxfId="991" priority="304" stopIfTrue="1" operator="between">
      <formula>8</formula>
      <formula>8.9</formula>
    </cfRule>
    <cfRule type="cellIs" dxfId="990" priority="305" operator="between">
      <formula>9</formula>
      <formula>9.9</formula>
    </cfRule>
    <cfRule type="cellIs" dxfId="989" priority="306" stopIfTrue="1" operator="between">
      <formula>10</formula>
      <formula>10</formula>
    </cfRule>
  </conditionalFormatting>
  <conditionalFormatting sqref="E436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88" priority="243" stopIfTrue="1">
      <formula>LEN(TRIM(E437))=0</formula>
    </cfRule>
    <cfRule type="cellIs" dxfId="987" priority="244" operator="lessThan">
      <formula>2</formula>
    </cfRule>
    <cfRule type="cellIs" dxfId="986" priority="245" operator="between">
      <formula>2</formula>
      <formula>4.9</formula>
    </cfRule>
    <cfRule type="cellIs" dxfId="985" priority="246" operator="between">
      <formula>5</formula>
      <formula>6.9</formula>
    </cfRule>
    <cfRule type="cellIs" dxfId="984" priority="247" operator="between">
      <formula>10.1</formula>
      <formula>10.6</formula>
    </cfRule>
    <cfRule type="cellIs" dxfId="983" priority="248" operator="between">
      <formula>7</formula>
      <formula>7.9</formula>
    </cfRule>
    <cfRule type="cellIs" dxfId="982" priority="249" stopIfTrue="1" operator="between">
      <formula>8</formula>
      <formula>8.9</formula>
    </cfRule>
    <cfRule type="cellIs" dxfId="981" priority="250" operator="between">
      <formula>9</formula>
      <formula>9.9</formula>
    </cfRule>
    <cfRule type="cellIs" dxfId="980" priority="251" stopIfTrue="1" operator="between">
      <formula>10</formula>
      <formula>10</formula>
    </cfRule>
  </conditionalFormatting>
  <conditionalFormatting sqref="E459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79" priority="146" stopIfTrue="1">
      <formula>LEN(TRIM(E460))=0</formula>
    </cfRule>
    <cfRule type="cellIs" dxfId="978" priority="147" operator="lessThan">
      <formula>2</formula>
    </cfRule>
    <cfRule type="cellIs" dxfId="977" priority="148" operator="between">
      <formula>2</formula>
      <formula>4.9</formula>
    </cfRule>
    <cfRule type="cellIs" dxfId="976" priority="149" operator="between">
      <formula>5</formula>
      <formula>6.9</formula>
    </cfRule>
    <cfRule type="cellIs" dxfId="975" priority="150" operator="between">
      <formula>10.1</formula>
      <formula>10.6</formula>
    </cfRule>
    <cfRule type="cellIs" dxfId="974" priority="151" operator="between">
      <formula>7</formula>
      <formula>7.9</formula>
    </cfRule>
    <cfRule type="cellIs" dxfId="973" priority="152" stopIfTrue="1" operator="between">
      <formula>8</formula>
      <formula>8.9</formula>
    </cfRule>
    <cfRule type="cellIs" dxfId="972" priority="153" operator="between">
      <formula>9</formula>
      <formula>9.9</formula>
    </cfRule>
    <cfRule type="cellIs" dxfId="971" priority="154" stopIfTrue="1" operator="between">
      <formula>10</formula>
      <formula>10</formula>
    </cfRule>
  </conditionalFormatting>
  <conditionalFormatting sqref="E48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70" priority="45" stopIfTrue="1">
      <formula>LEN(TRIM(E488))=0</formula>
    </cfRule>
    <cfRule type="cellIs" dxfId="969" priority="46" operator="lessThan">
      <formula>2</formula>
    </cfRule>
    <cfRule type="cellIs" dxfId="968" priority="47" operator="between">
      <formula>2</formula>
      <formula>4.9</formula>
    </cfRule>
    <cfRule type="cellIs" dxfId="967" priority="48" operator="between">
      <formula>5</formula>
      <formula>6.9</formula>
    </cfRule>
    <cfRule type="cellIs" dxfId="966" priority="49" operator="between">
      <formula>10.1</formula>
      <formula>10.6</formula>
    </cfRule>
    <cfRule type="cellIs" dxfId="965" priority="50" operator="between">
      <formula>7</formula>
      <formula>7.9</formula>
    </cfRule>
    <cfRule type="cellIs" dxfId="964" priority="51" stopIfTrue="1" operator="between">
      <formula>8</formula>
      <formula>8.9</formula>
    </cfRule>
    <cfRule type="cellIs" dxfId="963" priority="52" operator="between">
      <formula>9</formula>
      <formula>9.9</formula>
    </cfRule>
    <cfRule type="cellIs" dxfId="962" priority="53" stopIfTrue="1" operator="between">
      <formula>10</formula>
      <formula>10</formula>
    </cfRule>
  </conditionalFormatting>
  <conditionalFormatting sqref="H3:H15">
    <cfRule type="cellIs" dxfId="961" priority="995" operator="between">
      <formula>7</formula>
      <formula>7.9</formula>
    </cfRule>
    <cfRule type="cellIs" dxfId="960" priority="996" stopIfTrue="1" operator="between">
      <formula>8</formula>
      <formula>8.9</formula>
    </cfRule>
    <cfRule type="cellIs" dxfId="959" priority="997" operator="between">
      <formula>9</formula>
      <formula>9.9</formula>
    </cfRule>
    <cfRule type="cellIs" dxfId="958" priority="998" stopIfTrue="1" operator="between">
      <formula>10</formula>
      <formula>10</formula>
    </cfRule>
  </conditionalFormatting>
  <conditionalFormatting sqref="H7">
    <cfRule type="cellIs" dxfId="957" priority="994" operator="between">
      <formula>10.1</formula>
      <formula>10.6</formula>
    </cfRule>
    <cfRule type="containsBlanks" dxfId="956" priority="999" stopIfTrue="1">
      <formula>LEN(TRIM(H7))=0</formula>
    </cfRule>
  </conditionalFormatting>
  <conditionalFormatting sqref="H18:H28">
    <cfRule type="cellIs" dxfId="955" priority="1989" operator="between">
      <formula>7</formula>
      <formula>7.9</formula>
    </cfRule>
    <cfRule type="cellIs" dxfId="954" priority="1990" stopIfTrue="1" operator="between">
      <formula>8</formula>
      <formula>8.9</formula>
    </cfRule>
    <cfRule type="cellIs" dxfId="953" priority="1991" operator="between">
      <formula>9</formula>
      <formula>9.9</formula>
    </cfRule>
    <cfRule type="cellIs" dxfId="952" priority="1992" stopIfTrue="1" operator="between">
      <formula>10</formula>
      <formula>10</formula>
    </cfRule>
  </conditionalFormatting>
  <conditionalFormatting sqref="H30">
    <cfRule type="colorScale" priority="2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4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51" priority="1851" operator="between">
      <formula>10.1</formula>
      <formula>10.6</formula>
    </cfRule>
    <cfRule type="cellIs" dxfId="950" priority="1852" operator="between">
      <formula>7</formula>
      <formula>7.9</formula>
    </cfRule>
    <cfRule type="cellIs" dxfId="949" priority="1853" stopIfTrue="1" operator="between">
      <formula>8</formula>
      <formula>8.9</formula>
    </cfRule>
    <cfRule type="cellIs" dxfId="948" priority="1854" operator="between">
      <formula>9</formula>
      <formula>9.9</formula>
    </cfRule>
    <cfRule type="cellIs" dxfId="947" priority="1855" stopIfTrue="1" operator="between">
      <formula>10</formula>
      <formula>10</formula>
    </cfRule>
    <cfRule type="containsBlanks" dxfId="946" priority="1856" stopIfTrue="1">
      <formula>LEN(TRIM(H31))=0</formula>
    </cfRule>
  </conditionalFormatting>
  <conditionalFormatting sqref="H47">
    <cfRule type="colorScale" priority="22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6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45" priority="1845" operator="between">
      <formula>10.1</formula>
      <formula>10.6</formula>
    </cfRule>
    <cfRule type="cellIs" dxfId="944" priority="1846" operator="between">
      <formula>7</formula>
      <formula>7.9</formula>
    </cfRule>
    <cfRule type="cellIs" dxfId="943" priority="1847" stopIfTrue="1" operator="between">
      <formula>8</formula>
      <formula>8.9</formula>
    </cfRule>
    <cfRule type="cellIs" dxfId="942" priority="1848" operator="between">
      <formula>9</formula>
      <formula>9.9</formula>
    </cfRule>
    <cfRule type="cellIs" dxfId="941" priority="1849" stopIfTrue="1" operator="between">
      <formula>10</formula>
      <formula>10</formula>
    </cfRule>
    <cfRule type="containsBlanks" dxfId="940" priority="1850" stopIfTrue="1">
      <formula>LEN(TRIM(H48))=0</formula>
    </cfRule>
  </conditionalFormatting>
  <conditionalFormatting sqref="H57">
    <cfRule type="colorScale" priority="17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8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39" priority="1717" operator="between">
      <formula>6</formula>
      <formula>6.9</formula>
    </cfRule>
    <cfRule type="cellIs" dxfId="938" priority="1718" operator="between">
      <formula>10.1</formula>
      <formula>10.6</formula>
    </cfRule>
    <cfRule type="cellIs" dxfId="937" priority="1719" operator="between">
      <formula>7</formula>
      <formula>7.9</formula>
    </cfRule>
    <cfRule type="cellIs" dxfId="936" priority="1720" stopIfTrue="1" operator="between">
      <formula>8</formula>
      <formula>8.9</formula>
    </cfRule>
    <cfRule type="cellIs" dxfId="935" priority="1721" operator="between">
      <formula>9</formula>
      <formula>9.9</formula>
    </cfRule>
    <cfRule type="cellIs" dxfId="934" priority="1722" stopIfTrue="1" operator="between">
      <formula>10</formula>
      <formula>10</formula>
    </cfRule>
    <cfRule type="containsBlanks" dxfId="933" priority="1723" stopIfTrue="1">
      <formula>LEN(TRIM(H58))=0</formula>
    </cfRule>
  </conditionalFormatting>
  <conditionalFormatting sqref="H69">
    <cfRule type="colorScale" priority="1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3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2" priority="1746" operator="between">
      <formula>10.1</formula>
      <formula>10.6</formula>
    </cfRule>
    <cfRule type="cellIs" dxfId="931" priority="1747" operator="between">
      <formula>7</formula>
      <formula>7.9</formula>
    </cfRule>
    <cfRule type="cellIs" dxfId="930" priority="1748" stopIfTrue="1" operator="between">
      <formula>8</formula>
      <formula>8.9</formula>
    </cfRule>
    <cfRule type="cellIs" dxfId="929" priority="1749" operator="between">
      <formula>9</formula>
      <formula>9.9</formula>
    </cfRule>
    <cfRule type="cellIs" dxfId="928" priority="1750" stopIfTrue="1" operator="between">
      <formula>10</formula>
      <formula>10</formula>
    </cfRule>
    <cfRule type="containsBlanks" dxfId="927" priority="1751" stopIfTrue="1">
      <formula>LEN(TRIM(H70))=0</formula>
    </cfRule>
  </conditionalFormatting>
  <conditionalFormatting sqref="H83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26" priority="1670" operator="between">
      <formula>6</formula>
      <formula>6.9</formula>
    </cfRule>
    <cfRule type="cellIs" dxfId="925" priority="1671" operator="between">
      <formula>10.1</formula>
      <formula>10.6</formula>
    </cfRule>
    <cfRule type="cellIs" dxfId="924" priority="1672" operator="between">
      <formula>7</formula>
      <formula>7.9</formula>
    </cfRule>
    <cfRule type="cellIs" dxfId="923" priority="1673" stopIfTrue="1" operator="between">
      <formula>8</formula>
      <formula>8.9</formula>
    </cfRule>
    <cfRule type="cellIs" dxfId="922" priority="1674" operator="between">
      <formula>9</formula>
      <formula>9.9</formula>
    </cfRule>
    <cfRule type="cellIs" dxfId="921" priority="1675" stopIfTrue="1" operator="between">
      <formula>10</formula>
      <formula>10</formula>
    </cfRule>
    <cfRule type="containsBlanks" dxfId="920" priority="1676" stopIfTrue="1">
      <formula>LEN(TRIM(H84))=0</formula>
    </cfRule>
  </conditionalFormatting>
  <conditionalFormatting sqref="H97"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8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19" priority="1621" operator="between">
      <formula>6</formula>
      <formula>6.9</formula>
    </cfRule>
    <cfRule type="cellIs" dxfId="918" priority="1622" operator="between">
      <formula>10.1</formula>
      <formula>10.6</formula>
    </cfRule>
    <cfRule type="cellIs" dxfId="917" priority="1623" operator="between">
      <formula>7</formula>
      <formula>7.9</formula>
    </cfRule>
    <cfRule type="cellIs" dxfId="916" priority="1624" stopIfTrue="1" operator="between">
      <formula>8</formula>
      <formula>8.9</formula>
    </cfRule>
    <cfRule type="cellIs" dxfId="915" priority="1625" operator="between">
      <formula>9</formula>
      <formula>9.9</formula>
    </cfRule>
    <cfRule type="cellIs" dxfId="914" priority="1626" stopIfTrue="1" operator="between">
      <formula>10</formula>
      <formula>10</formula>
    </cfRule>
    <cfRule type="containsBlanks" dxfId="913" priority="1627" stopIfTrue="1">
      <formula>LEN(TRIM(H98))=0</formula>
    </cfRule>
  </conditionalFormatting>
  <conditionalFormatting sqref="H110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2" priority="1597" operator="between">
      <formula>10.1</formula>
      <formula>10.6</formula>
    </cfRule>
    <cfRule type="cellIs" dxfId="911" priority="1598" operator="between">
      <formula>7</formula>
      <formula>7.9</formula>
    </cfRule>
    <cfRule type="cellIs" dxfId="910" priority="1599" stopIfTrue="1" operator="between">
      <formula>8</formula>
      <formula>8.9</formula>
    </cfRule>
    <cfRule type="cellIs" dxfId="909" priority="1600" operator="between">
      <formula>9</formula>
      <formula>9.9</formula>
    </cfRule>
    <cfRule type="cellIs" dxfId="908" priority="1601" stopIfTrue="1" operator="between">
      <formula>10</formula>
      <formula>10</formula>
    </cfRule>
    <cfRule type="containsBlanks" dxfId="907" priority="1602" stopIfTrue="1">
      <formula>LEN(TRIM(H111))=0</formula>
    </cfRule>
  </conditionalFormatting>
  <conditionalFormatting sqref="H125">
    <cfRule type="colorScale" priority="15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2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06" priority="1524" operator="between">
      <formula>6</formula>
      <formula>6.9</formula>
    </cfRule>
    <cfRule type="cellIs" dxfId="905" priority="1525" operator="between">
      <formula>10.1</formula>
      <formula>10.6</formula>
    </cfRule>
    <cfRule type="cellIs" dxfId="904" priority="1526" operator="between">
      <formula>7</formula>
      <formula>7.9</formula>
    </cfRule>
    <cfRule type="cellIs" dxfId="903" priority="1527" stopIfTrue="1" operator="between">
      <formula>8</formula>
      <formula>8.9</formula>
    </cfRule>
    <cfRule type="cellIs" dxfId="902" priority="1528" operator="between">
      <formula>9</formula>
      <formula>9.9</formula>
    </cfRule>
    <cfRule type="cellIs" dxfId="901" priority="1529" stopIfTrue="1" operator="between">
      <formula>10</formula>
      <formula>10</formula>
    </cfRule>
    <cfRule type="containsBlanks" dxfId="900" priority="1530" stopIfTrue="1">
      <formula>LEN(TRIM(H126))=0</formula>
    </cfRule>
  </conditionalFormatting>
  <conditionalFormatting sqref="H131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99" priority="1491" operator="between">
      <formula>6</formula>
      <formula>6.9</formula>
    </cfRule>
    <cfRule type="cellIs" dxfId="898" priority="1492" operator="between">
      <formula>10.1</formula>
      <formula>10.6</formula>
    </cfRule>
    <cfRule type="cellIs" dxfId="897" priority="1493" operator="between">
      <formula>7</formula>
      <formula>7.9</formula>
    </cfRule>
    <cfRule type="cellIs" dxfId="896" priority="1494" stopIfTrue="1" operator="between">
      <formula>8</formula>
      <formula>8.9</formula>
    </cfRule>
    <cfRule type="cellIs" dxfId="895" priority="1495" operator="between">
      <formula>9</formula>
      <formula>9.9</formula>
    </cfRule>
    <cfRule type="cellIs" dxfId="894" priority="1496" stopIfTrue="1" operator="between">
      <formula>10</formula>
      <formula>10</formula>
    </cfRule>
    <cfRule type="containsBlanks" dxfId="893" priority="1497" stopIfTrue="1">
      <formula>LEN(TRIM(H132))=0</formula>
    </cfRule>
  </conditionalFormatting>
  <conditionalFormatting sqref="H149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2" priority="1419" operator="between">
      <formula>6</formula>
      <formula>6.9</formula>
    </cfRule>
    <cfRule type="cellIs" dxfId="891" priority="1420" operator="between">
      <formula>10.1</formula>
      <formula>10.6</formula>
    </cfRule>
    <cfRule type="cellIs" dxfId="890" priority="1421" operator="between">
      <formula>7</formula>
      <formula>7.9</formula>
    </cfRule>
    <cfRule type="cellIs" dxfId="889" priority="1422" stopIfTrue="1" operator="between">
      <formula>8</formula>
      <formula>8.9</formula>
    </cfRule>
    <cfRule type="cellIs" dxfId="888" priority="1423" operator="between">
      <formula>9</formula>
      <formula>9.9</formula>
    </cfRule>
    <cfRule type="cellIs" dxfId="887" priority="1424" stopIfTrue="1" operator="between">
      <formula>10</formula>
      <formula>10</formula>
    </cfRule>
    <cfRule type="containsBlanks" dxfId="886" priority="1425" stopIfTrue="1">
      <formula>LEN(TRIM(H150))=0</formula>
    </cfRule>
  </conditionalFormatting>
  <conditionalFormatting sqref="H165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85" priority="1367" operator="between">
      <formula>6</formula>
      <formula>6.9</formula>
    </cfRule>
    <cfRule type="cellIs" dxfId="884" priority="1368" operator="between">
      <formula>10.1</formula>
      <formula>10.6</formula>
    </cfRule>
    <cfRule type="cellIs" dxfId="883" priority="1369" operator="between">
      <formula>7</formula>
      <formula>7.9</formula>
    </cfRule>
    <cfRule type="cellIs" dxfId="882" priority="1370" stopIfTrue="1" operator="between">
      <formula>8</formula>
      <formula>8.9</formula>
    </cfRule>
    <cfRule type="cellIs" dxfId="881" priority="1371" operator="between">
      <formula>9</formula>
      <formula>9.9</formula>
    </cfRule>
    <cfRule type="cellIs" dxfId="880" priority="1372" stopIfTrue="1" operator="between">
      <formula>10</formula>
      <formula>10</formula>
    </cfRule>
    <cfRule type="containsBlanks" dxfId="879" priority="1373" stopIfTrue="1">
      <formula>LEN(TRIM(H166))=0</formula>
    </cfRule>
  </conditionalFormatting>
  <conditionalFormatting sqref="H177">
    <cfRule type="colorScale" priority="13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6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78" priority="1318" operator="between">
      <formula>6</formula>
      <formula>6.9</formula>
    </cfRule>
    <cfRule type="cellIs" dxfId="877" priority="1319" operator="between">
      <formula>10.1</formula>
      <formula>10.6</formula>
    </cfRule>
    <cfRule type="cellIs" dxfId="876" priority="1320" operator="between">
      <formula>7</formula>
      <formula>7.9</formula>
    </cfRule>
    <cfRule type="cellIs" dxfId="875" priority="1321" stopIfTrue="1" operator="between">
      <formula>8</formula>
      <formula>8.9</formula>
    </cfRule>
    <cfRule type="cellIs" dxfId="874" priority="1322" operator="between">
      <formula>9</formula>
      <formula>9.9</formula>
    </cfRule>
    <cfRule type="cellIs" dxfId="873" priority="1323" stopIfTrue="1" operator="between">
      <formula>10</formula>
      <formula>10</formula>
    </cfRule>
    <cfRule type="containsBlanks" dxfId="872" priority="1324" stopIfTrue="1">
      <formula>LEN(TRIM(H178))=0</formula>
    </cfRule>
  </conditionalFormatting>
  <conditionalFormatting sqref="H191"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6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71" priority="1258" operator="between">
      <formula>6</formula>
      <formula>6.9</formula>
    </cfRule>
    <cfRule type="cellIs" dxfId="870" priority="1259" operator="between">
      <formula>10.1</formula>
      <formula>10.6</formula>
    </cfRule>
    <cfRule type="cellIs" dxfId="869" priority="1260" operator="between">
      <formula>7</formula>
      <formula>7.9</formula>
    </cfRule>
    <cfRule type="cellIs" dxfId="868" priority="1261" stopIfTrue="1" operator="between">
      <formula>8</formula>
      <formula>8.9</formula>
    </cfRule>
    <cfRule type="cellIs" dxfId="867" priority="1262" operator="between">
      <formula>9</formula>
      <formula>9.9</formula>
    </cfRule>
    <cfRule type="cellIs" dxfId="866" priority="1263" stopIfTrue="1" operator="between">
      <formula>10</formula>
      <formula>10</formula>
    </cfRule>
    <cfRule type="containsBlanks" dxfId="865" priority="1264" stopIfTrue="1">
      <formula>LEN(TRIM(H192))=0</formula>
    </cfRule>
  </conditionalFormatting>
  <conditionalFormatting sqref="H202"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8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64" priority="1219" operator="between">
      <formula>6</formula>
      <formula>6.9</formula>
    </cfRule>
    <cfRule type="cellIs" dxfId="863" priority="1220" operator="between">
      <formula>10.1</formula>
      <formula>11</formula>
    </cfRule>
    <cfRule type="cellIs" dxfId="862" priority="1221" operator="between">
      <formula>7</formula>
      <formula>7.9</formula>
    </cfRule>
    <cfRule type="cellIs" dxfId="861" priority="1222" stopIfTrue="1" operator="between">
      <formula>8</formula>
      <formula>8.9</formula>
    </cfRule>
    <cfRule type="cellIs" dxfId="860" priority="1223" operator="between">
      <formula>9</formula>
      <formula>9.9</formula>
    </cfRule>
    <cfRule type="cellIs" dxfId="859" priority="1224" stopIfTrue="1" operator="between">
      <formula>10</formula>
      <formula>10</formula>
    </cfRule>
    <cfRule type="containsBlanks" dxfId="858" priority="1225" stopIfTrue="1">
      <formula>LEN(TRIM(H203))=0</formula>
    </cfRule>
  </conditionalFormatting>
  <conditionalFormatting sqref="H215">
    <cfRule type="colorScale" priority="1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7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57" priority="1168" operator="between">
      <formula>6</formula>
      <formula>6.9</formula>
    </cfRule>
    <cfRule type="cellIs" dxfId="856" priority="1169" operator="between">
      <formula>10.1</formula>
      <formula>10.6</formula>
    </cfRule>
    <cfRule type="cellIs" dxfId="855" priority="1170" operator="between">
      <formula>7</formula>
      <formula>7.9</formula>
    </cfRule>
    <cfRule type="cellIs" dxfId="854" priority="1171" stopIfTrue="1" operator="between">
      <formula>8</formula>
      <formula>8.9</formula>
    </cfRule>
    <cfRule type="cellIs" dxfId="853" priority="1172" operator="between">
      <formula>9</formula>
      <formula>9.9</formula>
    </cfRule>
    <cfRule type="cellIs" dxfId="852" priority="1173" stopIfTrue="1" operator="between">
      <formula>10</formula>
      <formula>10</formula>
    </cfRule>
    <cfRule type="containsBlanks" dxfId="851" priority="1174" stopIfTrue="1">
      <formula>LEN(TRIM(H216))=0</formula>
    </cfRule>
  </conditionalFormatting>
  <conditionalFormatting sqref="H229"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6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50" priority="1128" operator="between">
      <formula>6</formula>
      <formula>6.9</formula>
    </cfRule>
    <cfRule type="cellIs" dxfId="849" priority="1129" operator="between">
      <formula>10.1</formula>
      <formula>10.6</formula>
    </cfRule>
    <cfRule type="cellIs" dxfId="848" priority="1130" operator="between">
      <formula>7</formula>
      <formula>7.9</formula>
    </cfRule>
    <cfRule type="cellIs" dxfId="847" priority="1131" stopIfTrue="1" operator="between">
      <formula>8</formula>
      <formula>8.9</formula>
    </cfRule>
    <cfRule type="cellIs" dxfId="846" priority="1132" operator="between">
      <formula>9</formula>
      <formula>9.9</formula>
    </cfRule>
    <cfRule type="cellIs" dxfId="845" priority="1133" stopIfTrue="1" operator="between">
      <formula>10</formula>
      <formula>10</formula>
    </cfRule>
    <cfRule type="containsBlanks" dxfId="844" priority="1134" stopIfTrue="1">
      <formula>LEN(TRIM(H230))=0</formula>
    </cfRule>
  </conditionalFormatting>
  <conditionalFormatting sqref="H246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43" priority="1078" operator="between">
      <formula>6</formula>
      <formula>6.9</formula>
    </cfRule>
    <cfRule type="cellIs" dxfId="842" priority="1079" operator="between">
      <formula>10.1</formula>
      <formula>10.6</formula>
    </cfRule>
    <cfRule type="cellIs" dxfId="841" priority="1080" operator="between">
      <formula>7</formula>
      <formula>7.9</formula>
    </cfRule>
    <cfRule type="cellIs" dxfId="840" priority="1081" stopIfTrue="1" operator="between">
      <formula>8</formula>
      <formula>8.9</formula>
    </cfRule>
    <cfRule type="cellIs" dxfId="839" priority="1082" operator="between">
      <formula>9</formula>
      <formula>9.9</formula>
    </cfRule>
    <cfRule type="cellIs" dxfId="838" priority="1083" stopIfTrue="1" operator="between">
      <formula>10</formula>
      <formula>10</formula>
    </cfRule>
    <cfRule type="containsBlanks" dxfId="837" priority="1084" stopIfTrue="1">
      <formula>LEN(TRIM(H247))=0</formula>
    </cfRule>
  </conditionalFormatting>
  <conditionalFormatting sqref="H258">
    <cfRule type="colorScale" priority="10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7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36" priority="1038" operator="between">
      <formula>6</formula>
      <formula>6.9</formula>
    </cfRule>
    <cfRule type="cellIs" dxfId="835" priority="1039" operator="between">
      <formula>10.1</formula>
      <formula>10.6</formula>
    </cfRule>
    <cfRule type="cellIs" dxfId="834" priority="1040" operator="between">
      <formula>7</formula>
      <formula>7.9</formula>
    </cfRule>
    <cfRule type="cellIs" dxfId="833" priority="1041" stopIfTrue="1" operator="between">
      <formula>8</formula>
      <formula>8.9</formula>
    </cfRule>
    <cfRule type="cellIs" dxfId="832" priority="1042" operator="between">
      <formula>9</formula>
      <formula>9.9</formula>
    </cfRule>
    <cfRule type="cellIs" dxfId="831" priority="1043" stopIfTrue="1" operator="between">
      <formula>10</formula>
      <formula>10</formula>
    </cfRule>
    <cfRule type="containsBlanks" dxfId="830" priority="1044" stopIfTrue="1">
      <formula>LEN(TRIM(H259))=0</formula>
    </cfRule>
  </conditionalFormatting>
  <conditionalFormatting sqref="H265"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8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29" priority="1000" operator="between">
      <formula>6</formula>
      <formula>6.9</formula>
    </cfRule>
    <cfRule type="cellIs" dxfId="828" priority="1001" operator="between">
      <formula>10.1</formula>
      <formula>10.6</formula>
    </cfRule>
    <cfRule type="cellIs" dxfId="827" priority="1002" operator="between">
      <formula>7</formula>
      <formula>7.9</formula>
    </cfRule>
    <cfRule type="cellIs" dxfId="826" priority="1003" stopIfTrue="1" operator="between">
      <formula>8</formula>
      <formula>8.9</formula>
    </cfRule>
    <cfRule type="cellIs" dxfId="825" priority="1004" operator="between">
      <formula>9</formula>
      <formula>9.9</formula>
    </cfRule>
    <cfRule type="cellIs" dxfId="824" priority="1005" stopIfTrue="1" operator="between">
      <formula>10</formula>
      <formula>10</formula>
    </cfRule>
    <cfRule type="containsBlanks" dxfId="823" priority="1006" stopIfTrue="1">
      <formula>LEN(TRIM(H266))=0</formula>
    </cfRule>
  </conditionalFormatting>
  <conditionalFormatting sqref="H276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2" priority="976" operator="between">
      <formula>6</formula>
      <formula>6.9</formula>
    </cfRule>
    <cfRule type="cellIs" dxfId="821" priority="977" operator="between">
      <formula>10.1</formula>
      <formula>10.6</formula>
    </cfRule>
    <cfRule type="cellIs" dxfId="820" priority="978" operator="between">
      <formula>7</formula>
      <formula>7.9</formula>
    </cfRule>
    <cfRule type="cellIs" dxfId="819" priority="979" stopIfTrue="1" operator="between">
      <formula>8</formula>
      <formula>8.9</formula>
    </cfRule>
    <cfRule type="cellIs" dxfId="818" priority="980" operator="between">
      <formula>9</formula>
      <formula>9.9</formula>
    </cfRule>
    <cfRule type="cellIs" dxfId="817" priority="981" stopIfTrue="1" operator="between">
      <formula>10</formula>
      <formula>10</formula>
    </cfRule>
    <cfRule type="containsBlanks" dxfId="816" priority="982" stopIfTrue="1">
      <formula>LEN(TRIM(H277))=0</formula>
    </cfRule>
  </conditionalFormatting>
  <conditionalFormatting sqref="H288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15" priority="901" operator="between">
      <formula>6</formula>
      <formula>6.9</formula>
    </cfRule>
    <cfRule type="cellIs" dxfId="814" priority="902" operator="between">
      <formula>10.1</formula>
      <formula>10.6</formula>
    </cfRule>
    <cfRule type="cellIs" dxfId="813" priority="903" operator="between">
      <formula>7</formula>
      <formula>7.9</formula>
    </cfRule>
    <cfRule type="cellIs" dxfId="812" priority="904" stopIfTrue="1" operator="between">
      <formula>8</formula>
      <formula>8.9</formula>
    </cfRule>
    <cfRule type="cellIs" dxfId="811" priority="905" operator="between">
      <formula>9</formula>
      <formula>9.9</formula>
    </cfRule>
    <cfRule type="cellIs" dxfId="810" priority="906" stopIfTrue="1" operator="between">
      <formula>10</formula>
      <formula>10</formula>
    </cfRule>
    <cfRule type="containsBlanks" dxfId="809" priority="907" stopIfTrue="1">
      <formula>LEN(TRIM(H289))=0</formula>
    </cfRule>
  </conditionalFormatting>
  <conditionalFormatting sqref="H296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08" priority="890" stopIfTrue="1">
      <formula>LEN(TRIM(H297))=0</formula>
    </cfRule>
    <cfRule type="cellIs" dxfId="807" priority="891" operator="lessThan">
      <formula>2</formula>
    </cfRule>
    <cfRule type="cellIs" dxfId="806" priority="892" operator="between">
      <formula>2</formula>
      <formula>4.9</formula>
    </cfRule>
    <cfRule type="cellIs" dxfId="805" priority="893" operator="between">
      <formula>5</formula>
      <formula>6.9</formula>
    </cfRule>
    <cfRule type="cellIs" dxfId="804" priority="894" operator="between">
      <formula>10.1</formula>
      <formula>10.6</formula>
    </cfRule>
    <cfRule type="cellIs" dxfId="803" priority="895" operator="between">
      <formula>7</formula>
      <formula>7.9</formula>
    </cfRule>
    <cfRule type="cellIs" dxfId="802" priority="896" stopIfTrue="1" operator="between">
      <formula>8</formula>
      <formula>8.9</formula>
    </cfRule>
    <cfRule type="cellIs" dxfId="801" priority="897" operator="between">
      <formula>9</formula>
      <formula>9.9</formula>
    </cfRule>
    <cfRule type="cellIs" dxfId="800" priority="898" stopIfTrue="1" operator="between">
      <formula>10</formula>
      <formula>10</formula>
    </cfRule>
  </conditionalFormatting>
  <conditionalFormatting sqref="H309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99" priority="817" stopIfTrue="1">
      <formula>LEN(TRIM(H310))=0</formula>
    </cfRule>
    <cfRule type="cellIs" dxfId="798" priority="818" operator="lessThan">
      <formula>2</formula>
    </cfRule>
    <cfRule type="cellIs" dxfId="797" priority="819" operator="between">
      <formula>2</formula>
      <formula>4.9</formula>
    </cfRule>
    <cfRule type="cellIs" dxfId="796" priority="820" operator="between">
      <formula>5</formula>
      <formula>6.9</formula>
    </cfRule>
    <cfRule type="cellIs" dxfId="795" priority="821" operator="between">
      <formula>10.1</formula>
      <formula>10.6</formula>
    </cfRule>
    <cfRule type="cellIs" dxfId="794" priority="822" operator="between">
      <formula>7</formula>
      <formula>7.9</formula>
    </cfRule>
    <cfRule type="cellIs" dxfId="793" priority="823" stopIfTrue="1" operator="between">
      <formula>8</formula>
      <formula>8.9</formula>
    </cfRule>
    <cfRule type="cellIs" dxfId="792" priority="824" operator="between">
      <formula>9</formula>
      <formula>9.9</formula>
    </cfRule>
    <cfRule type="cellIs" dxfId="791" priority="825" stopIfTrue="1" operator="between">
      <formula>10</formula>
      <formula>10</formula>
    </cfRule>
  </conditionalFormatting>
  <conditionalFormatting sqref="H329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90" priority="718" stopIfTrue="1">
      <formula>LEN(TRIM(H330))=0</formula>
    </cfRule>
    <cfRule type="cellIs" dxfId="789" priority="719" operator="lessThan">
      <formula>2</formula>
    </cfRule>
    <cfRule type="cellIs" dxfId="788" priority="720" operator="between">
      <formula>2</formula>
      <formula>4.9</formula>
    </cfRule>
    <cfRule type="cellIs" dxfId="787" priority="721" operator="between">
      <formula>5</formula>
      <formula>6.9</formula>
    </cfRule>
    <cfRule type="cellIs" dxfId="786" priority="722" operator="between">
      <formula>10.1</formula>
      <formula>10.6</formula>
    </cfRule>
    <cfRule type="cellIs" dxfId="785" priority="723" operator="between">
      <formula>7</formula>
      <formula>7.9</formula>
    </cfRule>
    <cfRule type="cellIs" dxfId="784" priority="724" stopIfTrue="1" operator="between">
      <formula>8</formula>
      <formula>8.9</formula>
    </cfRule>
    <cfRule type="cellIs" dxfId="783" priority="725" operator="between">
      <formula>9</formula>
      <formula>9.9</formula>
    </cfRule>
    <cfRule type="cellIs" dxfId="782" priority="726" stopIfTrue="1" operator="between">
      <formula>10</formula>
      <formula>10</formula>
    </cfRule>
  </conditionalFormatting>
  <conditionalFormatting sqref="H339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81" priority="698" stopIfTrue="1">
      <formula>LEN(TRIM(H340))=0</formula>
    </cfRule>
    <cfRule type="cellIs" dxfId="780" priority="699" operator="lessThan">
      <formula>2</formula>
    </cfRule>
    <cfRule type="cellIs" dxfId="779" priority="700" operator="between">
      <formula>2</formula>
      <formula>4.9</formula>
    </cfRule>
    <cfRule type="cellIs" dxfId="778" priority="701" operator="between">
      <formula>5</formula>
      <formula>6.9</formula>
    </cfRule>
    <cfRule type="cellIs" dxfId="777" priority="702" operator="between">
      <formula>10.1</formula>
      <formula>10.6</formula>
    </cfRule>
    <cfRule type="cellIs" dxfId="776" priority="703" operator="between">
      <formula>7</formula>
      <formula>7.9</formula>
    </cfRule>
    <cfRule type="cellIs" dxfId="775" priority="704" stopIfTrue="1" operator="between">
      <formula>8</formula>
      <formula>8.9</formula>
    </cfRule>
    <cfRule type="cellIs" dxfId="774" priority="705" operator="between">
      <formula>9</formula>
      <formula>9.9</formula>
    </cfRule>
    <cfRule type="cellIs" dxfId="773" priority="706" stopIfTrue="1" operator="between">
      <formula>10</formula>
      <formula>10</formula>
    </cfRule>
  </conditionalFormatting>
  <conditionalFormatting sqref="H353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2" priority="665" stopIfTrue="1">
      <formula>LEN(TRIM(H354))=0</formula>
    </cfRule>
    <cfRule type="cellIs" dxfId="771" priority="666" operator="lessThan">
      <formula>2</formula>
    </cfRule>
    <cfRule type="cellIs" dxfId="770" priority="667" operator="between">
      <formula>2</formula>
      <formula>4.9</formula>
    </cfRule>
    <cfRule type="cellIs" dxfId="769" priority="668" operator="between">
      <formula>5</formula>
      <formula>6.9</formula>
    </cfRule>
    <cfRule type="cellIs" dxfId="768" priority="669" operator="between">
      <formula>10.1</formula>
      <formula>10.6</formula>
    </cfRule>
    <cfRule type="cellIs" dxfId="767" priority="670" operator="between">
      <formula>7</formula>
      <formula>7.9</formula>
    </cfRule>
    <cfRule type="cellIs" dxfId="766" priority="671" stopIfTrue="1" operator="between">
      <formula>8</formula>
      <formula>8.9</formula>
    </cfRule>
    <cfRule type="cellIs" dxfId="765" priority="672" operator="between">
      <formula>9</formula>
      <formula>9.9</formula>
    </cfRule>
    <cfRule type="cellIs" dxfId="764" priority="673" stopIfTrue="1" operator="between">
      <formula>10</formula>
      <formula>10</formula>
    </cfRule>
  </conditionalFormatting>
  <conditionalFormatting sqref="H365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63" priority="619" stopIfTrue="1">
      <formula>LEN(TRIM(H366))=0</formula>
    </cfRule>
    <cfRule type="cellIs" dxfId="762" priority="620" operator="lessThan">
      <formula>2</formula>
    </cfRule>
    <cfRule type="cellIs" dxfId="761" priority="621" operator="between">
      <formula>2</formula>
      <formula>4.9</formula>
    </cfRule>
    <cfRule type="cellIs" dxfId="760" priority="622" operator="between">
      <formula>5</formula>
      <formula>6.9</formula>
    </cfRule>
    <cfRule type="cellIs" dxfId="759" priority="623" operator="between">
      <formula>10.1</formula>
      <formula>10.6</formula>
    </cfRule>
    <cfRule type="cellIs" dxfId="758" priority="624" operator="between">
      <formula>7</formula>
      <formula>7.9</formula>
    </cfRule>
    <cfRule type="cellIs" dxfId="757" priority="625" stopIfTrue="1" operator="between">
      <formula>8</formula>
      <formula>8.9</formula>
    </cfRule>
    <cfRule type="cellIs" dxfId="756" priority="626" operator="between">
      <formula>9</formula>
      <formula>9.9</formula>
    </cfRule>
    <cfRule type="cellIs" dxfId="755" priority="627" stopIfTrue="1" operator="between">
      <formula>10</formula>
      <formula>10</formula>
    </cfRule>
  </conditionalFormatting>
  <conditionalFormatting sqref="H374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54" priority="571" stopIfTrue="1">
      <formula>LEN(TRIM(H375))=0</formula>
    </cfRule>
    <cfRule type="cellIs" dxfId="753" priority="572" operator="lessThan">
      <formula>2</formula>
    </cfRule>
    <cfRule type="cellIs" dxfId="752" priority="573" operator="between">
      <formula>2</formula>
      <formula>4.9</formula>
    </cfRule>
    <cfRule type="cellIs" dxfId="751" priority="574" operator="between">
      <formula>5</formula>
      <formula>6.9</formula>
    </cfRule>
    <cfRule type="cellIs" dxfId="750" priority="575" operator="between">
      <formula>10.1</formula>
      <formula>10.6</formula>
    </cfRule>
    <cfRule type="cellIs" dxfId="749" priority="576" operator="between">
      <formula>7</formula>
      <formula>7.9</formula>
    </cfRule>
    <cfRule type="cellIs" dxfId="748" priority="577" stopIfTrue="1" operator="between">
      <formula>8</formula>
      <formula>8.9</formula>
    </cfRule>
    <cfRule type="cellIs" dxfId="747" priority="578" operator="between">
      <formula>9</formula>
      <formula>9.9</formula>
    </cfRule>
    <cfRule type="cellIs" dxfId="746" priority="579" stopIfTrue="1" operator="between">
      <formula>10</formula>
      <formula>10</formula>
    </cfRule>
  </conditionalFormatting>
  <conditionalFormatting sqref="H387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45" priority="495" stopIfTrue="1">
      <formula>LEN(TRIM(H388))=0</formula>
    </cfRule>
    <cfRule type="cellIs" dxfId="744" priority="496" operator="lessThan">
      <formula>2</formula>
    </cfRule>
    <cfRule type="cellIs" dxfId="743" priority="497" operator="between">
      <formula>2</formula>
      <formula>4.9</formula>
    </cfRule>
    <cfRule type="cellIs" dxfId="742" priority="498" operator="between">
      <formula>5</formula>
      <formula>6.9</formula>
    </cfRule>
    <cfRule type="cellIs" dxfId="741" priority="499" operator="between">
      <formula>10.1</formula>
      <formula>10.6</formula>
    </cfRule>
    <cfRule type="cellIs" dxfId="740" priority="500" operator="between">
      <formula>7</formula>
      <formula>7.9</formula>
    </cfRule>
    <cfRule type="cellIs" dxfId="739" priority="501" stopIfTrue="1" operator="between">
      <formula>8</formula>
      <formula>8.9</formula>
    </cfRule>
    <cfRule type="cellIs" dxfId="738" priority="502" operator="between">
      <formula>9</formula>
      <formula>9.9</formula>
    </cfRule>
    <cfRule type="cellIs" dxfId="737" priority="503" stopIfTrue="1" operator="between">
      <formula>10</formula>
      <formula>10</formula>
    </cfRule>
  </conditionalFormatting>
  <conditionalFormatting sqref="H401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36" priority="420" stopIfTrue="1">
      <formula>LEN(TRIM(H402))=0</formula>
    </cfRule>
    <cfRule type="cellIs" dxfId="735" priority="421" operator="lessThan">
      <formula>2</formula>
    </cfRule>
    <cfRule type="cellIs" dxfId="734" priority="422" operator="between">
      <formula>2</formula>
      <formula>4.9</formula>
    </cfRule>
    <cfRule type="cellIs" dxfId="733" priority="423" operator="between">
      <formula>5</formula>
      <formula>6.9</formula>
    </cfRule>
    <cfRule type="cellIs" dxfId="732" priority="424" operator="between">
      <formula>10.1</formula>
      <formula>10.6</formula>
    </cfRule>
    <cfRule type="cellIs" dxfId="731" priority="425" operator="between">
      <formula>7</formula>
      <formula>7.9</formula>
    </cfRule>
    <cfRule type="cellIs" dxfId="730" priority="426" stopIfTrue="1" operator="between">
      <formula>8</formula>
      <formula>8.9</formula>
    </cfRule>
    <cfRule type="cellIs" dxfId="729" priority="427" operator="between">
      <formula>9</formula>
      <formula>9.9</formula>
    </cfRule>
    <cfRule type="cellIs" dxfId="728" priority="428" stopIfTrue="1" operator="between">
      <formula>10</formula>
      <formula>10</formula>
    </cfRule>
  </conditionalFormatting>
  <conditionalFormatting sqref="H415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27" priority="342" stopIfTrue="1">
      <formula>LEN(TRIM(H416))=0</formula>
    </cfRule>
    <cfRule type="cellIs" dxfId="726" priority="343" operator="lessThan">
      <formula>2</formula>
    </cfRule>
    <cfRule type="cellIs" dxfId="725" priority="344" operator="between">
      <formula>2</formula>
      <formula>4.9</formula>
    </cfRule>
    <cfRule type="cellIs" dxfId="724" priority="345" operator="between">
      <formula>5</formula>
      <formula>6.9</formula>
    </cfRule>
    <cfRule type="cellIs" dxfId="723" priority="346" operator="between">
      <formula>10.1</formula>
      <formula>10.6</formula>
    </cfRule>
    <cfRule type="cellIs" dxfId="722" priority="347" operator="between">
      <formula>7</formula>
      <formula>7.9</formula>
    </cfRule>
    <cfRule type="cellIs" dxfId="721" priority="348" stopIfTrue="1" operator="between">
      <formula>8</formula>
      <formula>8.9</formula>
    </cfRule>
    <cfRule type="cellIs" dxfId="720" priority="349" operator="between">
      <formula>9</formula>
      <formula>9.9</formula>
    </cfRule>
    <cfRule type="cellIs" dxfId="719" priority="350" stopIfTrue="1" operator="between">
      <formula>10</formula>
      <formula>10</formula>
    </cfRule>
  </conditionalFormatting>
  <conditionalFormatting sqref="H42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18" priority="320" stopIfTrue="1">
      <formula>LEN(TRIM(H422))=0</formula>
    </cfRule>
    <cfRule type="cellIs" dxfId="717" priority="321" operator="lessThan">
      <formula>2</formula>
    </cfRule>
    <cfRule type="cellIs" dxfId="716" priority="322" operator="between">
      <formula>2</formula>
      <formula>4.9</formula>
    </cfRule>
    <cfRule type="cellIs" dxfId="715" priority="323" operator="between">
      <formula>5</formula>
      <formula>6.9</formula>
    </cfRule>
    <cfRule type="cellIs" dxfId="714" priority="324" operator="between">
      <formula>10.1</formula>
      <formula>10.6</formula>
    </cfRule>
    <cfRule type="cellIs" dxfId="713" priority="325" operator="between">
      <formula>7</formula>
      <formula>7.9</formula>
    </cfRule>
    <cfRule type="cellIs" dxfId="712" priority="326" stopIfTrue="1" operator="between">
      <formula>8</formula>
      <formula>8.9</formula>
    </cfRule>
    <cfRule type="cellIs" dxfId="711" priority="327" operator="between">
      <formula>9</formula>
      <formula>9.9</formula>
    </cfRule>
    <cfRule type="cellIs" dxfId="710" priority="328" stopIfTrue="1" operator="between">
      <formula>10</formula>
      <formula>10</formula>
    </cfRule>
  </conditionalFormatting>
  <conditionalFormatting sqref="H434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09" priority="254" stopIfTrue="1">
      <formula>LEN(TRIM(H435))=0</formula>
    </cfRule>
    <cfRule type="cellIs" dxfId="708" priority="255" operator="lessThan">
      <formula>2</formula>
    </cfRule>
    <cfRule type="cellIs" dxfId="707" priority="256" operator="between">
      <formula>2</formula>
      <formula>4.9</formula>
    </cfRule>
    <cfRule type="cellIs" dxfId="706" priority="257" operator="between">
      <formula>5</formula>
      <formula>6.9</formula>
    </cfRule>
    <cfRule type="cellIs" dxfId="705" priority="258" operator="between">
      <formula>10.1</formula>
      <formula>10.6</formula>
    </cfRule>
    <cfRule type="cellIs" dxfId="704" priority="259" operator="between">
      <formula>7</formula>
      <formula>7.9</formula>
    </cfRule>
    <cfRule type="cellIs" dxfId="703" priority="260" stopIfTrue="1" operator="between">
      <formula>8</formula>
      <formula>8.9</formula>
    </cfRule>
    <cfRule type="cellIs" dxfId="702" priority="261" operator="between">
      <formula>9</formula>
      <formula>9.9</formula>
    </cfRule>
    <cfRule type="cellIs" dxfId="701" priority="262" stopIfTrue="1" operator="between">
      <formula>10</formula>
      <formula>10</formula>
    </cfRule>
  </conditionalFormatting>
  <conditionalFormatting sqref="H451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00" priority="168" stopIfTrue="1">
      <formula>LEN(TRIM(H452))=0</formula>
    </cfRule>
    <cfRule type="cellIs" dxfId="699" priority="169" operator="lessThan">
      <formula>2</formula>
    </cfRule>
    <cfRule type="cellIs" dxfId="698" priority="170" operator="between">
      <formula>2</formula>
      <formula>4.9</formula>
    </cfRule>
    <cfRule type="cellIs" dxfId="697" priority="171" operator="between">
      <formula>5</formula>
      <formula>6.9</formula>
    </cfRule>
    <cfRule type="cellIs" dxfId="696" priority="172" operator="between">
      <formula>10.1</formula>
      <formula>10.6</formula>
    </cfRule>
    <cfRule type="cellIs" dxfId="695" priority="173" operator="between">
      <formula>7</formula>
      <formula>7.9</formula>
    </cfRule>
    <cfRule type="cellIs" dxfId="694" priority="174" stopIfTrue="1" operator="between">
      <formula>8</formula>
      <formula>8.9</formula>
    </cfRule>
    <cfRule type="cellIs" dxfId="693" priority="175" operator="between">
      <formula>9</formula>
      <formula>9.9</formula>
    </cfRule>
    <cfRule type="cellIs" dxfId="692" priority="176" stopIfTrue="1" operator="between">
      <formula>10</formula>
      <formula>10</formula>
    </cfRule>
  </conditionalFormatting>
  <conditionalFormatting sqref="H467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91" priority="124" stopIfTrue="1">
      <formula>LEN(TRIM(H468))=0</formula>
    </cfRule>
    <cfRule type="cellIs" dxfId="690" priority="125" operator="lessThan">
      <formula>2</formula>
    </cfRule>
    <cfRule type="cellIs" dxfId="689" priority="126" operator="between">
      <formula>2</formula>
      <formula>4.9</formula>
    </cfRule>
    <cfRule type="cellIs" dxfId="688" priority="127" operator="between">
      <formula>5</formula>
      <formula>6.9</formula>
    </cfRule>
    <cfRule type="cellIs" dxfId="687" priority="128" operator="between">
      <formula>10.1</formula>
      <formula>10.6</formula>
    </cfRule>
    <cfRule type="cellIs" dxfId="686" priority="129" operator="between">
      <formula>7</formula>
      <formula>7.9</formula>
    </cfRule>
    <cfRule type="cellIs" dxfId="685" priority="130" stopIfTrue="1" operator="between">
      <formula>8</formula>
      <formula>8.9</formula>
    </cfRule>
    <cfRule type="cellIs" dxfId="684" priority="131" operator="between">
      <formula>9</formula>
      <formula>9.9</formula>
    </cfRule>
    <cfRule type="cellIs" dxfId="683" priority="132" stopIfTrue="1" operator="between">
      <formula>10</formula>
      <formula>10</formula>
    </cfRule>
  </conditionalFormatting>
  <conditionalFormatting sqref="H474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2" priority="91" stopIfTrue="1">
      <formula>LEN(TRIM(H475))=0</formula>
    </cfRule>
    <cfRule type="cellIs" dxfId="681" priority="92" operator="lessThan">
      <formula>2</formula>
    </cfRule>
    <cfRule type="cellIs" dxfId="680" priority="93" operator="between">
      <formula>2</formula>
      <formula>4.9</formula>
    </cfRule>
    <cfRule type="cellIs" dxfId="679" priority="94" operator="between">
      <formula>5</formula>
      <formula>6.9</formula>
    </cfRule>
    <cfRule type="cellIs" dxfId="678" priority="95" operator="between">
      <formula>10.1</formula>
      <formula>10.6</formula>
    </cfRule>
    <cfRule type="cellIs" dxfId="677" priority="96" operator="between">
      <formula>7</formula>
      <formula>7.9</formula>
    </cfRule>
    <cfRule type="cellIs" dxfId="676" priority="97" stopIfTrue="1" operator="between">
      <formula>8</formula>
      <formula>8.9</formula>
    </cfRule>
    <cfRule type="cellIs" dxfId="675" priority="98" operator="between">
      <formula>9</formula>
      <formula>9.9</formula>
    </cfRule>
    <cfRule type="cellIs" dxfId="674" priority="99" stopIfTrue="1" operator="between">
      <formula>10</formula>
      <formula>10</formula>
    </cfRule>
  </conditionalFormatting>
  <conditionalFormatting sqref="H488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73" priority="34" stopIfTrue="1">
      <formula>LEN(TRIM(H489))=0</formula>
    </cfRule>
    <cfRule type="cellIs" dxfId="672" priority="35" operator="lessThan">
      <formula>2</formula>
    </cfRule>
    <cfRule type="cellIs" dxfId="671" priority="36" operator="between">
      <formula>2</formula>
      <formula>4.9</formula>
    </cfRule>
    <cfRule type="cellIs" dxfId="670" priority="37" operator="between">
      <formula>5</formula>
      <formula>6.9</formula>
    </cfRule>
    <cfRule type="cellIs" dxfId="669" priority="38" operator="between">
      <formula>10.1</formula>
      <formula>10.6</formula>
    </cfRule>
    <cfRule type="cellIs" dxfId="668" priority="39" operator="between">
      <formula>7</formula>
      <formula>7.9</formula>
    </cfRule>
    <cfRule type="cellIs" dxfId="667" priority="40" stopIfTrue="1" operator="between">
      <formula>8</formula>
      <formula>8.9</formula>
    </cfRule>
    <cfRule type="cellIs" dxfId="666" priority="41" operator="between">
      <formula>9</formula>
      <formula>9.9</formula>
    </cfRule>
    <cfRule type="cellIs" dxfId="665" priority="42" stopIfTrue="1" operator="between">
      <formula>10</formula>
      <formula>10</formula>
    </cfRule>
  </conditionalFormatting>
  <conditionalFormatting sqref="K3:K12">
    <cfRule type="cellIs" dxfId="664" priority="1887" operator="between">
      <formula>10.1</formula>
      <formula>10.6</formula>
    </cfRule>
    <cfRule type="cellIs" dxfId="663" priority="1888" operator="between">
      <formula>7</formula>
      <formula>7.9</formula>
    </cfRule>
    <cfRule type="cellIs" dxfId="662" priority="1889" stopIfTrue="1" operator="between">
      <formula>8</formula>
      <formula>8.9</formula>
    </cfRule>
    <cfRule type="cellIs" dxfId="661" priority="1890" operator="between">
      <formula>9</formula>
      <formula>9.9</formula>
    </cfRule>
    <cfRule type="cellIs" dxfId="660" priority="1891" stopIfTrue="1" operator="between">
      <formula>10</formula>
      <formula>10</formula>
    </cfRule>
    <cfRule type="containsBlanks" dxfId="659" priority="1892" stopIfTrue="1">
      <formula>LEN(TRIM(K3))=0</formula>
    </cfRule>
  </conditionalFormatting>
  <conditionalFormatting sqref="K15:K23">
    <cfRule type="cellIs" dxfId="658" priority="1295" operator="between">
      <formula>7</formula>
      <formula>7.9</formula>
    </cfRule>
    <cfRule type="cellIs" dxfId="657" priority="1296" stopIfTrue="1" operator="between">
      <formula>8</formula>
      <formula>8.9</formula>
    </cfRule>
    <cfRule type="cellIs" dxfId="656" priority="1297" operator="between">
      <formula>9</formula>
      <formula>9.9</formula>
    </cfRule>
    <cfRule type="cellIs" dxfId="655" priority="1298" stopIfTrue="1" operator="between">
      <formula>10</formula>
      <formula>10</formula>
    </cfRule>
  </conditionalFormatting>
  <conditionalFormatting sqref="K23">
    <cfRule type="cellIs" dxfId="654" priority="1294" operator="between">
      <formula>10.1</formula>
      <formula>10.6</formula>
    </cfRule>
    <cfRule type="containsBlanks" dxfId="653" priority="1299" stopIfTrue="1">
      <formula>LEN(TRIM(K23))=0</formula>
    </cfRule>
  </conditionalFormatting>
  <conditionalFormatting sqref="K26:K38">
    <cfRule type="cellIs" dxfId="652" priority="1922" operator="between">
      <formula>7</formula>
      <formula>7.9</formula>
    </cfRule>
    <cfRule type="cellIs" dxfId="651" priority="1923" stopIfTrue="1" operator="between">
      <formula>8</formula>
      <formula>8.9</formula>
    </cfRule>
    <cfRule type="cellIs" dxfId="650" priority="1924" operator="between">
      <formula>9</formula>
      <formula>9.9</formula>
    </cfRule>
    <cfRule type="cellIs" dxfId="649" priority="1925" stopIfTrue="1" operator="between">
      <formula>10</formula>
      <formula>10</formula>
    </cfRule>
    <cfRule type="containsBlanks" dxfId="648" priority="1926" stopIfTrue="1">
      <formula>LEN(TRIM(K26))=0</formula>
    </cfRule>
  </conditionalFormatting>
  <conditionalFormatting sqref="K40">
    <cfRule type="colorScale" priority="2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5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47" priority="1827" operator="between">
      <formula>10.1</formula>
      <formula>10.6</formula>
    </cfRule>
    <cfRule type="cellIs" dxfId="646" priority="1828" operator="between">
      <formula>7</formula>
      <formula>7.9</formula>
    </cfRule>
    <cfRule type="cellIs" dxfId="645" priority="1829" stopIfTrue="1" operator="between">
      <formula>8</formula>
      <formula>8.9</formula>
    </cfRule>
    <cfRule type="cellIs" dxfId="644" priority="1830" operator="between">
      <formula>9</formula>
      <formula>9.9</formula>
    </cfRule>
    <cfRule type="cellIs" dxfId="643" priority="1831" stopIfTrue="1" operator="between">
      <formula>10</formula>
      <formula>10</formula>
    </cfRule>
    <cfRule type="containsBlanks" dxfId="642" priority="1832" stopIfTrue="1">
      <formula>LEN(TRIM(K41))=0</formula>
    </cfRule>
  </conditionalFormatting>
  <conditionalFormatting sqref="K54">
    <cfRule type="colorScale" priority="1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6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41" priority="1789" operator="between">
      <formula>10.1</formula>
      <formula>10.6</formula>
    </cfRule>
    <cfRule type="cellIs" dxfId="640" priority="1790" operator="between">
      <formula>7</formula>
      <formula>7.9</formula>
    </cfRule>
    <cfRule type="cellIs" dxfId="639" priority="1791" stopIfTrue="1" operator="between">
      <formula>8</formula>
      <formula>8.9</formula>
    </cfRule>
    <cfRule type="cellIs" dxfId="638" priority="1792" operator="between">
      <formula>9</formula>
      <formula>9.9</formula>
    </cfRule>
    <cfRule type="cellIs" dxfId="637" priority="1793" stopIfTrue="1" operator="between">
      <formula>10</formula>
      <formula>10</formula>
    </cfRule>
    <cfRule type="containsBlanks" dxfId="636" priority="1794" stopIfTrue="1">
      <formula>LEN(TRIM(K55))=0</formula>
    </cfRule>
  </conditionalFormatting>
  <conditionalFormatting sqref="K66"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9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35" priority="1762" operator="between">
      <formula>10.1</formula>
      <formula>10.6</formula>
    </cfRule>
    <cfRule type="cellIs" dxfId="634" priority="1763" operator="between">
      <formula>7</formula>
      <formula>7.9</formula>
    </cfRule>
    <cfRule type="cellIs" dxfId="633" priority="1764" stopIfTrue="1" operator="between">
      <formula>8</formula>
      <formula>8.9</formula>
    </cfRule>
    <cfRule type="cellIs" dxfId="632" priority="1765" operator="between">
      <formula>9</formula>
      <formula>9.9</formula>
    </cfRule>
    <cfRule type="cellIs" dxfId="631" priority="1766" stopIfTrue="1" operator="between">
      <formula>10</formula>
      <formula>10</formula>
    </cfRule>
    <cfRule type="containsBlanks" dxfId="630" priority="1767" stopIfTrue="1">
      <formula>LEN(TRIM(K67))=0</formula>
    </cfRule>
  </conditionalFormatting>
  <conditionalFormatting sqref="K77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29" priority="1709" operator="between">
      <formula>10.1</formula>
      <formula>10.6</formula>
    </cfRule>
    <cfRule type="cellIs" dxfId="628" priority="1710" operator="between">
      <formula>7</formula>
      <formula>7.9</formula>
    </cfRule>
    <cfRule type="cellIs" dxfId="627" priority="1711" stopIfTrue="1" operator="between">
      <formula>8</formula>
      <formula>8.9</formula>
    </cfRule>
    <cfRule type="cellIs" dxfId="626" priority="1712" operator="between">
      <formula>9</formula>
      <formula>9.9</formula>
    </cfRule>
    <cfRule type="cellIs" dxfId="625" priority="1713" stopIfTrue="1" operator="between">
      <formula>10</formula>
      <formula>10</formula>
    </cfRule>
    <cfRule type="containsBlanks" dxfId="624" priority="1714" stopIfTrue="1">
      <formula>LEN(TRIM(K78))=0</formula>
    </cfRule>
  </conditionalFormatting>
  <conditionalFormatting sqref="K90"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3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23" priority="1664" operator="between">
      <formula>10.1</formula>
      <formula>10.6</formula>
    </cfRule>
    <cfRule type="cellIs" dxfId="622" priority="1665" operator="between">
      <formula>7</formula>
      <formula>7.9</formula>
    </cfRule>
    <cfRule type="cellIs" dxfId="621" priority="1666" stopIfTrue="1" operator="between">
      <formula>8</formula>
      <formula>8.9</formula>
    </cfRule>
    <cfRule type="cellIs" dxfId="620" priority="1667" operator="between">
      <formula>9</formula>
      <formula>9.9</formula>
    </cfRule>
    <cfRule type="cellIs" dxfId="619" priority="1668" stopIfTrue="1" operator="between">
      <formula>10</formula>
      <formula>10</formula>
    </cfRule>
    <cfRule type="containsBlanks" dxfId="618" priority="1669" stopIfTrue="1">
      <formula>LEN(TRIM(K91))=0</formula>
    </cfRule>
  </conditionalFormatting>
  <conditionalFormatting sqref="K98"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9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17" priority="1630" operator="between">
      <formula>6</formula>
      <formula>6.9</formula>
    </cfRule>
    <cfRule type="cellIs" dxfId="616" priority="1631" operator="between">
      <formula>10.1</formula>
      <formula>10.6</formula>
    </cfRule>
    <cfRule type="cellIs" dxfId="615" priority="1632" operator="between">
      <formula>7</formula>
      <formula>7.9</formula>
    </cfRule>
    <cfRule type="cellIs" dxfId="614" priority="1633" stopIfTrue="1" operator="between">
      <formula>8</formula>
      <formula>8.9</formula>
    </cfRule>
    <cfRule type="cellIs" dxfId="613" priority="1634" operator="between">
      <formula>9</formula>
      <formula>9.9</formula>
    </cfRule>
    <cfRule type="cellIs" dxfId="612" priority="1635" stopIfTrue="1" operator="between">
      <formula>10</formula>
      <formula>10</formula>
    </cfRule>
    <cfRule type="containsBlanks" dxfId="611" priority="1636" stopIfTrue="1">
      <formula>LEN(TRIM(K99))=0</formula>
    </cfRule>
  </conditionalFormatting>
  <conditionalFormatting sqref="K111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10" priority="1583" operator="between">
      <formula>10.1</formula>
      <formula>10.6</formula>
    </cfRule>
    <cfRule type="cellIs" dxfId="609" priority="1584" operator="between">
      <formula>7</formula>
      <formula>7.9</formula>
    </cfRule>
    <cfRule type="cellIs" dxfId="608" priority="1585" stopIfTrue="1" operator="between">
      <formula>8</formula>
      <formula>8.9</formula>
    </cfRule>
    <cfRule type="cellIs" dxfId="607" priority="1586" operator="between">
      <formula>9</formula>
      <formula>9.9</formula>
    </cfRule>
    <cfRule type="cellIs" dxfId="606" priority="1587" stopIfTrue="1" operator="between">
      <formula>10</formula>
      <formula>10</formula>
    </cfRule>
    <cfRule type="containsBlanks" dxfId="605" priority="1588" stopIfTrue="1">
      <formula>LEN(TRIM(K112))=0</formula>
    </cfRule>
  </conditionalFormatting>
  <conditionalFormatting sqref="K114">
    <cfRule type="cellIs" dxfId="604" priority="1582" operator="between">
      <formula>6</formula>
      <formula>6.9</formula>
    </cfRule>
  </conditionalFormatting>
  <conditionalFormatting sqref="K124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03" priority="1540" operator="between">
      <formula>10.1</formula>
      <formula>10.6</formula>
    </cfRule>
    <cfRule type="cellIs" dxfId="602" priority="1541" operator="between">
      <formula>7</formula>
      <formula>7.9</formula>
    </cfRule>
    <cfRule type="cellIs" dxfId="601" priority="1542" stopIfTrue="1" operator="between">
      <formula>8</formula>
      <formula>8.9</formula>
    </cfRule>
    <cfRule type="cellIs" dxfId="600" priority="1543" operator="between">
      <formula>9</formula>
      <formula>9.9</formula>
    </cfRule>
    <cfRule type="cellIs" dxfId="599" priority="1544" stopIfTrue="1" operator="between">
      <formula>10</formula>
      <formula>10</formula>
    </cfRule>
    <cfRule type="containsBlanks" dxfId="598" priority="1545" stopIfTrue="1">
      <formula>LEN(TRIM(K125))=0</formula>
    </cfRule>
  </conditionalFormatting>
  <conditionalFormatting sqref="K125:K134">
    <cfRule type="cellIs" dxfId="597" priority="1533" operator="between">
      <formula>6</formula>
      <formula>6.9</formula>
    </cfRule>
    <cfRule type="cellIs" dxfId="596" priority="1534" operator="between">
      <formula>10.1</formula>
      <formula>10.6</formula>
    </cfRule>
    <cfRule type="cellIs" dxfId="595" priority="1535" operator="between">
      <formula>7</formula>
      <formula>7.9</formula>
    </cfRule>
    <cfRule type="cellIs" dxfId="594" priority="1536" stopIfTrue="1" operator="between">
      <formula>8</formula>
      <formula>8.9</formula>
    </cfRule>
    <cfRule type="cellIs" dxfId="593" priority="1537" operator="between">
      <formula>9</formula>
      <formula>9.9</formula>
    </cfRule>
    <cfRule type="cellIs" dxfId="592" priority="1538" stopIfTrue="1" operator="between">
      <formula>10</formula>
      <formula>10</formula>
    </cfRule>
    <cfRule type="containsBlanks" dxfId="591" priority="1539" stopIfTrue="1">
      <formula>LEN(TRIM(K125))=0</formula>
    </cfRule>
  </conditionalFormatting>
  <conditionalFormatting sqref="K136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90" priority="1475" operator="between">
      <formula>6</formula>
      <formula>6.9</formula>
    </cfRule>
    <cfRule type="cellIs" dxfId="589" priority="1476" operator="between">
      <formula>10.1</formula>
      <formula>10.6</formula>
    </cfRule>
    <cfRule type="cellIs" dxfId="588" priority="1477" operator="between">
      <formula>7</formula>
      <formula>7.9</formula>
    </cfRule>
    <cfRule type="cellIs" dxfId="587" priority="1478" stopIfTrue="1" operator="between">
      <formula>8</formula>
      <formula>8.9</formula>
    </cfRule>
    <cfRule type="cellIs" dxfId="586" priority="1479" operator="between">
      <formula>9</formula>
      <formula>9.9</formula>
    </cfRule>
    <cfRule type="cellIs" dxfId="585" priority="1480" stopIfTrue="1" operator="between">
      <formula>10</formula>
      <formula>10</formula>
    </cfRule>
    <cfRule type="containsBlanks" dxfId="584" priority="1481" stopIfTrue="1">
      <formula>LEN(TRIM(K137))=0</formula>
    </cfRule>
  </conditionalFormatting>
  <conditionalFormatting sqref="K149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83" priority="1412" operator="between">
      <formula>6</formula>
      <formula>6.9</formula>
    </cfRule>
    <cfRule type="cellIs" dxfId="582" priority="1413" operator="between">
      <formula>10.1</formula>
      <formula>10.6</formula>
    </cfRule>
    <cfRule type="cellIs" dxfId="581" priority="1414" operator="between">
      <formula>7</formula>
      <formula>7.9</formula>
    </cfRule>
    <cfRule type="cellIs" dxfId="580" priority="1415" stopIfTrue="1" operator="between">
      <formula>8</formula>
      <formula>8.9</formula>
    </cfRule>
    <cfRule type="cellIs" dxfId="579" priority="1416" operator="between">
      <formula>9</formula>
      <formula>9.9</formula>
    </cfRule>
    <cfRule type="cellIs" dxfId="578" priority="1417" stopIfTrue="1" operator="between">
      <formula>10</formula>
      <formula>10</formula>
    </cfRule>
    <cfRule type="containsBlanks" dxfId="577" priority="1418" stopIfTrue="1">
      <formula>LEN(TRIM(K150))=0</formula>
    </cfRule>
  </conditionalFormatting>
  <conditionalFormatting sqref="K165"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4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76" priority="1356" operator="between">
      <formula>6</formula>
      <formula>6.9</formula>
    </cfRule>
    <cfRule type="cellIs" dxfId="575" priority="1357" operator="between">
      <formula>10.1</formula>
      <formula>10.6</formula>
    </cfRule>
    <cfRule type="cellIs" dxfId="574" priority="1358" operator="between">
      <formula>7</formula>
      <formula>7.9</formula>
    </cfRule>
    <cfRule type="cellIs" dxfId="573" priority="1359" stopIfTrue="1" operator="between">
      <formula>8</formula>
      <formula>8.9</formula>
    </cfRule>
    <cfRule type="cellIs" dxfId="572" priority="1360" operator="between">
      <formula>9</formula>
      <formula>9.9</formula>
    </cfRule>
    <cfRule type="cellIs" dxfId="571" priority="1361" stopIfTrue="1" operator="between">
      <formula>10</formula>
      <formula>10</formula>
    </cfRule>
    <cfRule type="containsBlanks" dxfId="570" priority="1362" stopIfTrue="1">
      <formula>LEN(TRIM(K166))=0</formula>
    </cfRule>
  </conditionalFormatting>
  <conditionalFormatting sqref="K175">
    <cfRule type="colorScale" priority="1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8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69" priority="1329" operator="between">
      <formula>6</formula>
      <formula>6.9</formula>
    </cfRule>
    <cfRule type="cellIs" dxfId="568" priority="1330" operator="between">
      <formula>10.1</formula>
      <formula>10.6</formula>
    </cfRule>
    <cfRule type="cellIs" dxfId="567" priority="1331" operator="between">
      <formula>7</formula>
      <formula>7.9</formula>
    </cfRule>
    <cfRule type="cellIs" dxfId="566" priority="1332" stopIfTrue="1" operator="between">
      <formula>8</formula>
      <formula>8.9</formula>
    </cfRule>
    <cfRule type="cellIs" dxfId="565" priority="1333" operator="between">
      <formula>9</formula>
      <formula>9.9</formula>
    </cfRule>
    <cfRule type="cellIs" dxfId="564" priority="1334" stopIfTrue="1" operator="between">
      <formula>10</formula>
      <formula>10</formula>
    </cfRule>
    <cfRule type="containsBlanks" dxfId="563" priority="1335" stopIfTrue="1">
      <formula>LEN(TRIM(K176))=0</formula>
    </cfRule>
  </conditionalFormatting>
  <conditionalFormatting sqref="K182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62" priority="1309" operator="between">
      <formula>6</formula>
      <formula>6.9</formula>
    </cfRule>
    <cfRule type="cellIs" dxfId="561" priority="1310" operator="between">
      <formula>10.1</formula>
      <formula>10.6</formula>
    </cfRule>
    <cfRule type="cellIs" dxfId="560" priority="1311" operator="between">
      <formula>7</formula>
      <formula>7.9</formula>
    </cfRule>
    <cfRule type="cellIs" dxfId="559" priority="1312" stopIfTrue="1" operator="between">
      <formula>8</formula>
      <formula>8.9</formula>
    </cfRule>
    <cfRule type="cellIs" dxfId="558" priority="1313" operator="between">
      <formula>9</formula>
      <formula>9.9</formula>
    </cfRule>
    <cfRule type="cellIs" dxfId="557" priority="1314" stopIfTrue="1" operator="between">
      <formula>10</formula>
      <formula>10</formula>
    </cfRule>
    <cfRule type="containsBlanks" dxfId="556" priority="1315" stopIfTrue="1">
      <formula>LEN(TRIM(K183))=0</formula>
    </cfRule>
  </conditionalFormatting>
  <conditionalFormatting sqref="K189">
    <cfRule type="colorScale" priority="12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8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55" priority="1269" operator="between">
      <formula>6</formula>
      <formula>6.9</formula>
    </cfRule>
    <cfRule type="cellIs" dxfId="554" priority="1270" operator="between">
      <formula>10.1</formula>
      <formula>10.6</formula>
    </cfRule>
    <cfRule type="cellIs" dxfId="553" priority="1271" operator="between">
      <formula>7</formula>
      <formula>7.9</formula>
    </cfRule>
    <cfRule type="cellIs" dxfId="552" priority="1272" stopIfTrue="1" operator="between">
      <formula>8</formula>
      <formula>8.9</formula>
    </cfRule>
    <cfRule type="cellIs" dxfId="551" priority="1273" operator="between">
      <formula>9</formula>
      <formula>9.9</formula>
    </cfRule>
    <cfRule type="cellIs" dxfId="550" priority="1274" stopIfTrue="1" operator="between">
      <formula>10</formula>
      <formula>10</formula>
    </cfRule>
    <cfRule type="containsBlanks" dxfId="549" priority="1275" stopIfTrue="1">
      <formula>LEN(TRIM(K190))=0</formula>
    </cfRule>
  </conditionalFormatting>
  <conditionalFormatting sqref="K199">
    <cfRule type="colorScale" priority="12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8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48" priority="1240" operator="between">
      <formula>6</formula>
      <formula>6.9</formula>
    </cfRule>
    <cfRule type="cellIs" dxfId="547" priority="1241" operator="between">
      <formula>10.1</formula>
      <formula>10.6</formula>
    </cfRule>
    <cfRule type="cellIs" dxfId="546" priority="1242" operator="between">
      <formula>7</formula>
      <formula>7.9</formula>
    </cfRule>
    <cfRule type="cellIs" dxfId="545" priority="1243" stopIfTrue="1" operator="between">
      <formula>8</formula>
      <formula>8.9</formula>
    </cfRule>
    <cfRule type="cellIs" dxfId="544" priority="1244" operator="between">
      <formula>9</formula>
      <formula>9.9</formula>
    </cfRule>
    <cfRule type="cellIs" dxfId="543" priority="1245" stopIfTrue="1" operator="between">
      <formula>10</formula>
      <formula>10</formula>
    </cfRule>
    <cfRule type="containsBlanks" dxfId="542" priority="1246" stopIfTrue="1">
      <formula>LEN(TRIM(K200))=0</formula>
    </cfRule>
  </conditionalFormatting>
  <conditionalFormatting sqref="K208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41" priority="1210" operator="between">
      <formula>6</formula>
      <formula>6.9</formula>
    </cfRule>
    <cfRule type="cellIs" dxfId="540" priority="1211" operator="between">
      <formula>10.1</formula>
      <formula>11</formula>
    </cfRule>
    <cfRule type="cellIs" dxfId="539" priority="1212" operator="between">
      <formula>7</formula>
      <formula>7.9</formula>
    </cfRule>
    <cfRule type="cellIs" dxfId="538" priority="1213" stopIfTrue="1" operator="between">
      <formula>8</formula>
      <formula>8.9</formula>
    </cfRule>
    <cfRule type="cellIs" dxfId="537" priority="1214" operator="between">
      <formula>9</formula>
      <formula>9.9</formula>
    </cfRule>
    <cfRule type="cellIs" dxfId="536" priority="1215" stopIfTrue="1" operator="between">
      <formula>10</formula>
      <formula>10</formula>
    </cfRule>
    <cfRule type="containsBlanks" dxfId="535" priority="1216" stopIfTrue="1">
      <formula>LEN(TRIM(K209))=0</formula>
    </cfRule>
  </conditionalFormatting>
  <conditionalFormatting sqref="K219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34" priority="1157" operator="between">
      <formula>6</formula>
      <formula>6.9</formula>
    </cfRule>
    <cfRule type="cellIs" dxfId="533" priority="1158" operator="between">
      <formula>10.1</formula>
      <formula>10.6</formula>
    </cfRule>
    <cfRule type="cellIs" dxfId="532" priority="1159" operator="between">
      <formula>7</formula>
      <formula>7.9</formula>
    </cfRule>
    <cfRule type="cellIs" dxfId="531" priority="1160" stopIfTrue="1" operator="between">
      <formula>8</formula>
      <formula>8.9</formula>
    </cfRule>
    <cfRule type="cellIs" dxfId="530" priority="1161" operator="between">
      <formula>9</formula>
      <formula>9.9</formula>
    </cfRule>
    <cfRule type="cellIs" dxfId="529" priority="1162" stopIfTrue="1" operator="between">
      <formula>10</formula>
      <formula>10</formula>
    </cfRule>
    <cfRule type="containsBlanks" dxfId="528" priority="1163" stopIfTrue="1">
      <formula>LEN(TRIM(K220))=0</formula>
    </cfRule>
  </conditionalFormatting>
  <conditionalFormatting sqref="K237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27" priority="1094" operator="between">
      <formula>6</formula>
      <formula>6.9</formula>
    </cfRule>
    <cfRule type="cellIs" dxfId="526" priority="1095" operator="between">
      <formula>10.1</formula>
      <formula>10.6</formula>
    </cfRule>
    <cfRule type="cellIs" dxfId="525" priority="1096" operator="between">
      <formula>7</formula>
      <formula>7.9</formula>
    </cfRule>
    <cfRule type="cellIs" dxfId="524" priority="1097" stopIfTrue="1" operator="between">
      <formula>8</formula>
      <formula>8.9</formula>
    </cfRule>
    <cfRule type="cellIs" dxfId="523" priority="1098" operator="between">
      <formula>9</formula>
      <formula>9.9</formula>
    </cfRule>
    <cfRule type="cellIs" dxfId="522" priority="1099" stopIfTrue="1" operator="between">
      <formula>10</formula>
      <formula>10</formula>
    </cfRule>
    <cfRule type="containsBlanks" dxfId="521" priority="1100" stopIfTrue="1">
      <formula>LEN(TRIM(K238))=0</formula>
    </cfRule>
  </conditionalFormatting>
  <conditionalFormatting sqref="K252">
    <cfRule type="colorScale" priority="10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7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20" priority="1049" operator="between">
      <formula>6</formula>
      <formula>6.9</formula>
    </cfRule>
    <cfRule type="cellIs" dxfId="519" priority="1050" operator="between">
      <formula>10.1</formula>
      <formula>10.6</formula>
    </cfRule>
    <cfRule type="cellIs" dxfId="518" priority="1051" operator="between">
      <formula>7</formula>
      <formula>7.9</formula>
    </cfRule>
    <cfRule type="cellIs" dxfId="517" priority="1052" stopIfTrue="1" operator="between">
      <formula>8</formula>
      <formula>8.9</formula>
    </cfRule>
    <cfRule type="cellIs" dxfId="516" priority="1053" operator="between">
      <formula>9</formula>
      <formula>9.9</formula>
    </cfRule>
    <cfRule type="cellIs" dxfId="515" priority="1054" stopIfTrue="1" operator="between">
      <formula>10</formula>
      <formula>10</formula>
    </cfRule>
    <cfRule type="containsBlanks" dxfId="514" priority="1055" stopIfTrue="1">
      <formula>LEN(TRIM(K253))=0</formula>
    </cfRule>
  </conditionalFormatting>
  <conditionalFormatting sqref="K264">
    <cfRule type="colorScale" priority="10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9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13" priority="1020" operator="between">
      <formula>6</formula>
      <formula>6.9</formula>
    </cfRule>
    <cfRule type="cellIs" dxfId="512" priority="1021" operator="between">
      <formula>10.1</formula>
      <formula>10.6</formula>
    </cfRule>
    <cfRule type="cellIs" dxfId="511" priority="1022" operator="between">
      <formula>7</formula>
      <formula>7.9</formula>
    </cfRule>
    <cfRule type="cellIs" dxfId="510" priority="1023" stopIfTrue="1" operator="between">
      <formula>8</formula>
      <formula>8.9</formula>
    </cfRule>
    <cfRule type="cellIs" dxfId="509" priority="1024" operator="between">
      <formula>9</formula>
      <formula>9.9</formula>
    </cfRule>
    <cfRule type="cellIs" dxfId="508" priority="1025" stopIfTrue="1" operator="between">
      <formula>10</formula>
      <formula>10</formula>
    </cfRule>
    <cfRule type="containsBlanks" dxfId="507" priority="1026" stopIfTrue="1">
      <formula>LEN(TRIM(K265))=0</formula>
    </cfRule>
  </conditionalFormatting>
  <conditionalFormatting sqref="K276">
    <cfRule type="colorScale" priority="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5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06" priority="967" operator="between">
      <formula>6</formula>
      <formula>6.9</formula>
    </cfRule>
    <cfRule type="cellIs" dxfId="505" priority="968" operator="between">
      <formula>10.1</formula>
      <formula>10.6</formula>
    </cfRule>
    <cfRule type="cellIs" dxfId="504" priority="969" operator="between">
      <formula>7</formula>
      <formula>7.9</formula>
    </cfRule>
    <cfRule type="cellIs" dxfId="503" priority="970" stopIfTrue="1" operator="between">
      <formula>8</formula>
      <formula>8.9</formula>
    </cfRule>
    <cfRule type="cellIs" dxfId="502" priority="971" operator="between">
      <formula>9</formula>
      <formula>9.9</formula>
    </cfRule>
    <cfRule type="cellIs" dxfId="501" priority="972" stopIfTrue="1" operator="between">
      <formula>10</formula>
      <formula>10</formula>
    </cfRule>
    <cfRule type="containsBlanks" dxfId="500" priority="973" stopIfTrue="1">
      <formula>LEN(TRIM(K277))=0</formula>
    </cfRule>
  </conditionalFormatting>
  <conditionalFormatting sqref="K286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99" priority="919" operator="between">
      <formula>6</formula>
      <formula>6.9</formula>
    </cfRule>
    <cfRule type="cellIs" dxfId="498" priority="920" operator="between">
      <formula>10.1</formula>
      <formula>10.6</formula>
    </cfRule>
    <cfRule type="cellIs" dxfId="497" priority="921" operator="between">
      <formula>7</formula>
      <formula>7.9</formula>
    </cfRule>
    <cfRule type="cellIs" dxfId="496" priority="922" stopIfTrue="1" operator="between">
      <formula>8</formula>
      <formula>8.9</formula>
    </cfRule>
    <cfRule type="cellIs" dxfId="495" priority="923" operator="between">
      <formula>9</formula>
      <formula>9.9</formula>
    </cfRule>
    <cfRule type="cellIs" dxfId="494" priority="924" stopIfTrue="1" operator="between">
      <formula>10</formula>
      <formula>10</formula>
    </cfRule>
    <cfRule type="containsBlanks" dxfId="493" priority="925" stopIfTrue="1">
      <formula>LEN(TRIM(K287))=0</formula>
    </cfRule>
  </conditionalFormatting>
  <conditionalFormatting sqref="K296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92" priority="879" stopIfTrue="1">
      <formula>LEN(TRIM(K297))=0</formula>
    </cfRule>
    <cfRule type="cellIs" dxfId="491" priority="880" operator="lessThan">
      <formula>2</formula>
    </cfRule>
    <cfRule type="cellIs" dxfId="490" priority="881" operator="between">
      <formula>2</formula>
      <formula>4.9</formula>
    </cfRule>
    <cfRule type="cellIs" dxfId="489" priority="882" operator="between">
      <formula>5</formula>
      <formula>6.9</formula>
    </cfRule>
    <cfRule type="cellIs" dxfId="488" priority="883" operator="between">
      <formula>10.1</formula>
      <formula>10.6</formula>
    </cfRule>
    <cfRule type="cellIs" dxfId="487" priority="884" operator="between">
      <formula>7</formula>
      <formula>7.9</formula>
    </cfRule>
    <cfRule type="cellIs" dxfId="486" priority="885" stopIfTrue="1" operator="between">
      <formula>8</formula>
      <formula>8.9</formula>
    </cfRule>
    <cfRule type="cellIs" dxfId="485" priority="886" operator="between">
      <formula>9</formula>
      <formula>9.9</formula>
    </cfRule>
    <cfRule type="cellIs" dxfId="484" priority="887" stopIfTrue="1" operator="between">
      <formula>10</formula>
      <formula>10</formula>
    </cfRule>
  </conditionalFormatting>
  <conditionalFormatting sqref="K304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83" priority="848" stopIfTrue="1">
      <formula>LEN(TRIM(K305))=0</formula>
    </cfRule>
    <cfRule type="cellIs" dxfId="482" priority="849" operator="lessThan">
      <formula>2</formula>
    </cfRule>
    <cfRule type="cellIs" dxfId="481" priority="850" operator="between">
      <formula>2</formula>
      <formula>4.9</formula>
    </cfRule>
    <cfRule type="cellIs" dxfId="480" priority="851" operator="between">
      <formula>5</formula>
      <formula>6.9</formula>
    </cfRule>
    <cfRule type="cellIs" dxfId="479" priority="852" operator="between">
      <formula>10.1</formula>
      <formula>10.6</formula>
    </cfRule>
    <cfRule type="cellIs" dxfId="478" priority="853" operator="between">
      <formula>7</formula>
      <formula>7.9</formula>
    </cfRule>
    <cfRule type="cellIs" dxfId="477" priority="854" stopIfTrue="1" operator="between">
      <formula>8</formula>
      <formula>8.9</formula>
    </cfRule>
    <cfRule type="cellIs" dxfId="476" priority="855" operator="between">
      <formula>9</formula>
      <formula>9.9</formula>
    </cfRule>
    <cfRule type="cellIs" dxfId="475" priority="856" stopIfTrue="1" operator="between">
      <formula>10</formula>
      <formula>10</formula>
    </cfRule>
  </conditionalFormatting>
  <conditionalFormatting sqref="K318"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5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74" priority="786" stopIfTrue="1">
      <formula>LEN(TRIM(K319))=0</formula>
    </cfRule>
    <cfRule type="cellIs" dxfId="473" priority="787" operator="lessThan">
      <formula>2</formula>
    </cfRule>
    <cfRule type="cellIs" dxfId="472" priority="788" operator="between">
      <formula>2</formula>
      <formula>4.9</formula>
    </cfRule>
    <cfRule type="cellIs" dxfId="471" priority="789" operator="between">
      <formula>5</formula>
      <formula>6.9</formula>
    </cfRule>
    <cfRule type="cellIs" dxfId="470" priority="790" operator="between">
      <formula>10.1</formula>
      <formula>10.6</formula>
    </cfRule>
    <cfRule type="cellIs" dxfId="469" priority="791" operator="between">
      <formula>7</formula>
      <formula>7.9</formula>
    </cfRule>
    <cfRule type="cellIs" dxfId="468" priority="792" stopIfTrue="1" operator="between">
      <formula>8</formula>
      <formula>8.9</formula>
    </cfRule>
    <cfRule type="cellIs" dxfId="467" priority="793" operator="between">
      <formula>9</formula>
      <formula>9.9</formula>
    </cfRule>
    <cfRule type="cellIs" dxfId="466" priority="794" stopIfTrue="1" operator="between">
      <formula>10</formula>
      <formula>10</formula>
    </cfRule>
  </conditionalFormatting>
  <conditionalFormatting sqref="K328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65" priority="742" stopIfTrue="1">
      <formula>LEN(TRIM(K329))=0</formula>
    </cfRule>
    <cfRule type="cellIs" dxfId="464" priority="743" operator="lessThan">
      <formula>2</formula>
    </cfRule>
    <cfRule type="cellIs" dxfId="463" priority="744" operator="between">
      <formula>2</formula>
      <formula>4.9</formula>
    </cfRule>
    <cfRule type="cellIs" dxfId="462" priority="745" operator="between">
      <formula>5</formula>
      <formula>6.9</formula>
    </cfRule>
    <cfRule type="cellIs" dxfId="461" priority="746" operator="between">
      <formula>10.1</formula>
      <formula>10.6</formula>
    </cfRule>
    <cfRule type="cellIs" dxfId="460" priority="747" operator="between">
      <formula>7</formula>
      <formula>7.9</formula>
    </cfRule>
    <cfRule type="cellIs" dxfId="459" priority="748" stopIfTrue="1" operator="between">
      <formula>8</formula>
      <formula>8.9</formula>
    </cfRule>
    <cfRule type="cellIs" dxfId="458" priority="749" operator="between">
      <formula>9</formula>
      <formula>9.9</formula>
    </cfRule>
    <cfRule type="cellIs" dxfId="457" priority="750" stopIfTrue="1" operator="between">
      <formula>10</formula>
      <formula>10</formula>
    </cfRule>
  </conditionalFormatting>
  <conditionalFormatting sqref="K340">
    <cfRule type="colorScale" priority="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6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56" priority="687" stopIfTrue="1">
      <formula>LEN(TRIM(K341))=0</formula>
    </cfRule>
    <cfRule type="cellIs" dxfId="455" priority="688" operator="lessThan">
      <formula>2</formula>
    </cfRule>
    <cfRule type="cellIs" dxfId="454" priority="689" operator="between">
      <formula>2</formula>
      <formula>4.9</formula>
    </cfRule>
    <cfRule type="cellIs" dxfId="453" priority="690" operator="between">
      <formula>5</formula>
      <formula>6.9</formula>
    </cfRule>
    <cfRule type="cellIs" dxfId="452" priority="691" operator="between">
      <formula>10.1</formula>
      <formula>10.6</formula>
    </cfRule>
    <cfRule type="cellIs" dxfId="451" priority="692" operator="between">
      <formula>7</formula>
      <formula>7.9</formula>
    </cfRule>
    <cfRule type="cellIs" dxfId="450" priority="693" stopIfTrue="1" operator="between">
      <formula>8</formula>
      <formula>8.9</formula>
    </cfRule>
    <cfRule type="cellIs" dxfId="449" priority="694" operator="between">
      <formula>9</formula>
      <formula>9.9</formula>
    </cfRule>
    <cfRule type="cellIs" dxfId="448" priority="695" stopIfTrue="1" operator="between">
      <formula>10</formula>
      <formula>10</formula>
    </cfRule>
  </conditionalFormatting>
  <conditionalFormatting sqref="K356">
    <cfRule type="colorScale" priority="6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2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47" priority="643" stopIfTrue="1">
      <formula>LEN(TRIM(K357))=0</formula>
    </cfRule>
    <cfRule type="cellIs" dxfId="446" priority="644" operator="lessThan">
      <formula>2</formula>
    </cfRule>
    <cfRule type="cellIs" dxfId="445" priority="645" operator="between">
      <formula>2</formula>
      <formula>4.9</formula>
    </cfRule>
    <cfRule type="cellIs" dxfId="444" priority="646" operator="between">
      <formula>5</formula>
      <formula>6.9</formula>
    </cfRule>
    <cfRule type="cellIs" dxfId="443" priority="647" operator="between">
      <formula>10.1</formula>
      <formula>10.6</formula>
    </cfRule>
    <cfRule type="cellIs" dxfId="442" priority="648" operator="between">
      <formula>7</formula>
      <formula>7.9</formula>
    </cfRule>
    <cfRule type="cellIs" dxfId="441" priority="649" stopIfTrue="1" operator="between">
      <formula>8</formula>
      <formula>8.9</formula>
    </cfRule>
    <cfRule type="cellIs" dxfId="440" priority="650" operator="between">
      <formula>9</formula>
      <formula>9.9</formula>
    </cfRule>
    <cfRule type="cellIs" dxfId="439" priority="651" stopIfTrue="1" operator="between">
      <formula>10</formula>
      <formula>10</formula>
    </cfRule>
  </conditionalFormatting>
  <conditionalFormatting sqref="K365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38" priority="606" stopIfTrue="1">
      <formula>LEN(TRIM(K366))=0</formula>
    </cfRule>
    <cfRule type="cellIs" dxfId="437" priority="607" operator="lessThan">
      <formula>2</formula>
    </cfRule>
    <cfRule type="cellIs" dxfId="436" priority="608" operator="between">
      <formula>2</formula>
      <formula>4.9</formula>
    </cfRule>
    <cfRule type="cellIs" dxfId="435" priority="609" operator="between">
      <formula>5</formula>
      <formula>6.9</formula>
    </cfRule>
    <cfRule type="cellIs" dxfId="434" priority="610" operator="between">
      <formula>10.1</formula>
      <formula>10.6</formula>
    </cfRule>
    <cfRule type="cellIs" dxfId="433" priority="611" operator="between">
      <formula>7</formula>
      <formula>7.9</formula>
    </cfRule>
    <cfRule type="cellIs" dxfId="432" priority="612" stopIfTrue="1" operator="between">
      <formula>8</formula>
      <formula>8.9</formula>
    </cfRule>
    <cfRule type="cellIs" dxfId="431" priority="613" operator="between">
      <formula>9</formula>
      <formula>9.9</formula>
    </cfRule>
    <cfRule type="cellIs" dxfId="430" priority="614" stopIfTrue="1" operator="between">
      <formula>10</formula>
      <formula>10</formula>
    </cfRule>
  </conditionalFormatting>
  <conditionalFormatting sqref="K380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29" priority="528" stopIfTrue="1">
      <formula>LEN(TRIM(K381))=0</formula>
    </cfRule>
    <cfRule type="cellIs" dxfId="428" priority="529" operator="lessThan">
      <formula>2</formula>
    </cfRule>
    <cfRule type="cellIs" dxfId="427" priority="530" operator="between">
      <formula>2</formula>
      <formula>4.9</formula>
    </cfRule>
    <cfRule type="cellIs" dxfId="426" priority="531" operator="between">
      <formula>5</formula>
      <formula>6.9</formula>
    </cfRule>
    <cfRule type="cellIs" dxfId="425" priority="532" operator="between">
      <formula>10.1</formula>
      <formula>10.6</formula>
    </cfRule>
    <cfRule type="cellIs" dxfId="424" priority="533" operator="between">
      <formula>7</formula>
      <formula>7.9</formula>
    </cfRule>
    <cfRule type="cellIs" dxfId="423" priority="534" stopIfTrue="1" operator="between">
      <formula>8</formula>
      <formula>8.9</formula>
    </cfRule>
    <cfRule type="cellIs" dxfId="422" priority="535" operator="between">
      <formula>9</formula>
      <formula>9.9</formula>
    </cfRule>
    <cfRule type="cellIs" dxfId="421" priority="536" stopIfTrue="1" operator="between">
      <formula>10</formula>
      <formula>10</formula>
    </cfRule>
  </conditionalFormatting>
  <conditionalFormatting sqref="K391">
    <cfRule type="colorScale" priority="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2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20" priority="462" stopIfTrue="1">
      <formula>LEN(TRIM(K392))=0</formula>
    </cfRule>
    <cfRule type="cellIs" dxfId="419" priority="463" operator="lessThan">
      <formula>2</formula>
    </cfRule>
    <cfRule type="cellIs" dxfId="418" priority="464" operator="between">
      <formula>2</formula>
      <formula>4.9</formula>
    </cfRule>
    <cfRule type="cellIs" dxfId="417" priority="465" operator="between">
      <formula>5</formula>
      <formula>6.9</formula>
    </cfRule>
    <cfRule type="cellIs" dxfId="416" priority="466" operator="between">
      <formula>10.1</formula>
      <formula>10.6</formula>
    </cfRule>
    <cfRule type="cellIs" dxfId="415" priority="467" operator="between">
      <formula>7</formula>
      <formula>7.9</formula>
    </cfRule>
    <cfRule type="cellIs" dxfId="414" priority="468" stopIfTrue="1" operator="between">
      <formula>8</formula>
      <formula>8.9</formula>
    </cfRule>
    <cfRule type="cellIs" dxfId="413" priority="469" operator="between">
      <formula>9</formula>
      <formula>9.9</formula>
    </cfRule>
    <cfRule type="cellIs" dxfId="412" priority="470" stopIfTrue="1" operator="between">
      <formula>10</formula>
      <formula>10</formula>
    </cfRule>
  </conditionalFormatting>
  <conditionalFormatting sqref="K399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11" priority="440" stopIfTrue="1">
      <formula>LEN(TRIM(K400))=0</formula>
    </cfRule>
    <cfRule type="cellIs" dxfId="410" priority="441" operator="lessThan">
      <formula>2</formula>
    </cfRule>
    <cfRule type="cellIs" dxfId="409" priority="442" operator="between">
      <formula>2</formula>
      <formula>4.9</formula>
    </cfRule>
    <cfRule type="cellIs" dxfId="408" priority="443" operator="between">
      <formula>5</formula>
      <formula>6.9</formula>
    </cfRule>
    <cfRule type="cellIs" dxfId="407" priority="444" operator="between">
      <formula>10.1</formula>
      <formula>10.6</formula>
    </cfRule>
    <cfRule type="cellIs" dxfId="406" priority="445" operator="between">
      <formula>7</formula>
      <formula>7.9</formula>
    </cfRule>
    <cfRule type="cellIs" dxfId="405" priority="446" stopIfTrue="1" operator="between">
      <formula>8</formula>
      <formula>8.9</formula>
    </cfRule>
    <cfRule type="cellIs" dxfId="404" priority="447" operator="between">
      <formula>9</formula>
      <formula>9.9</formula>
    </cfRule>
    <cfRule type="cellIs" dxfId="403" priority="448" stopIfTrue="1" operator="between">
      <formula>10</formula>
      <formula>10</formula>
    </cfRule>
  </conditionalFormatting>
  <conditionalFormatting sqref="K412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02" priority="387" stopIfTrue="1">
      <formula>LEN(TRIM(K413))=0</formula>
    </cfRule>
    <cfRule type="cellIs" dxfId="401" priority="388" operator="lessThan">
      <formula>2</formula>
    </cfRule>
    <cfRule type="cellIs" dxfId="400" priority="389" operator="between">
      <formula>2</formula>
      <formula>4.9</formula>
    </cfRule>
    <cfRule type="cellIs" dxfId="399" priority="390" operator="between">
      <formula>5</formula>
      <formula>6.9</formula>
    </cfRule>
    <cfRule type="cellIs" dxfId="398" priority="391" operator="between">
      <formula>10.1</formula>
      <formula>10.6</formula>
    </cfRule>
    <cfRule type="cellIs" dxfId="397" priority="392" operator="between">
      <formula>7</formula>
      <formula>7.9</formula>
    </cfRule>
    <cfRule type="cellIs" dxfId="396" priority="393" stopIfTrue="1" operator="between">
      <formula>8</formula>
      <formula>8.9</formula>
    </cfRule>
    <cfRule type="cellIs" dxfId="395" priority="394" operator="between">
      <formula>9</formula>
      <formula>9.9</formula>
    </cfRule>
    <cfRule type="cellIs" dxfId="394" priority="395" stopIfTrue="1" operator="between">
      <formula>10</formula>
      <formula>10</formula>
    </cfRule>
  </conditionalFormatting>
  <conditionalFormatting sqref="K421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93" priority="311" stopIfTrue="1">
      <formula>LEN(TRIM(K422))=0</formula>
    </cfRule>
    <cfRule type="cellIs" dxfId="392" priority="312" operator="lessThan">
      <formula>2</formula>
    </cfRule>
    <cfRule type="cellIs" dxfId="391" priority="313" operator="between">
      <formula>2</formula>
      <formula>4.9</formula>
    </cfRule>
    <cfRule type="cellIs" dxfId="390" priority="314" operator="between">
      <formula>5</formula>
      <formula>6.9</formula>
    </cfRule>
    <cfRule type="cellIs" dxfId="389" priority="315" operator="between">
      <formula>10.1</formula>
      <formula>10.6</formula>
    </cfRule>
    <cfRule type="cellIs" dxfId="388" priority="316" operator="between">
      <formula>7</formula>
      <formula>7.9</formula>
    </cfRule>
    <cfRule type="cellIs" dxfId="387" priority="317" stopIfTrue="1" operator="between">
      <formula>8</formula>
      <formula>8.9</formula>
    </cfRule>
    <cfRule type="cellIs" dxfId="386" priority="318" operator="between">
      <formula>9</formula>
      <formula>9.9</formula>
    </cfRule>
    <cfRule type="cellIs" dxfId="385" priority="319" stopIfTrue="1" operator="between">
      <formula>10</formula>
      <formula>10</formula>
    </cfRule>
  </conditionalFormatting>
  <conditionalFormatting sqref="K431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84" priority="199" stopIfTrue="1">
      <formula>LEN(TRIM(K432))=0</formula>
    </cfRule>
    <cfRule type="cellIs" dxfId="383" priority="200" operator="lessThan">
      <formula>2</formula>
    </cfRule>
    <cfRule type="cellIs" dxfId="382" priority="201" operator="between">
      <formula>2</formula>
      <formula>4.9</formula>
    </cfRule>
    <cfRule type="cellIs" dxfId="381" priority="202" operator="between">
      <formula>5</formula>
      <formula>6.9</formula>
    </cfRule>
    <cfRule type="cellIs" dxfId="380" priority="203" operator="between">
      <formula>10.1</formula>
      <formula>10.6</formula>
    </cfRule>
    <cfRule type="cellIs" dxfId="379" priority="204" operator="between">
      <formula>7</formula>
      <formula>7.9</formula>
    </cfRule>
    <cfRule type="cellIs" dxfId="378" priority="205" stopIfTrue="1" operator="between">
      <formula>8</formula>
      <formula>8.9</formula>
    </cfRule>
    <cfRule type="cellIs" dxfId="377" priority="206" operator="between">
      <formula>9</formula>
      <formula>9.9</formula>
    </cfRule>
    <cfRule type="cellIs" dxfId="376" priority="207" stopIfTrue="1" operator="between">
      <formula>10</formula>
      <formula>10</formula>
    </cfRule>
  </conditionalFormatting>
  <conditionalFormatting sqref="K445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75" priority="179" stopIfTrue="1">
      <formula>LEN(TRIM(K446))=0</formula>
    </cfRule>
    <cfRule type="cellIs" dxfId="374" priority="180" operator="lessThan">
      <formula>2</formula>
    </cfRule>
    <cfRule type="cellIs" dxfId="373" priority="181" operator="between">
      <formula>2</formula>
      <formula>4.9</formula>
    </cfRule>
    <cfRule type="cellIs" dxfId="372" priority="182" operator="between">
      <formula>5</formula>
      <formula>6.9</formula>
    </cfRule>
    <cfRule type="cellIs" dxfId="371" priority="183" operator="between">
      <formula>10.1</formula>
      <formula>10.6</formula>
    </cfRule>
    <cfRule type="cellIs" dxfId="370" priority="184" operator="between">
      <formula>7</formula>
      <formula>7.9</formula>
    </cfRule>
    <cfRule type="cellIs" dxfId="369" priority="185" stopIfTrue="1" operator="between">
      <formula>8</formula>
      <formula>8.9</formula>
    </cfRule>
    <cfRule type="cellIs" dxfId="368" priority="186" operator="between">
      <formula>9</formula>
      <formula>9.9</formula>
    </cfRule>
    <cfRule type="cellIs" dxfId="367" priority="187" stopIfTrue="1" operator="between">
      <formula>10</formula>
      <formula>10</formula>
    </cfRule>
  </conditionalFormatting>
  <conditionalFormatting sqref="K465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66" priority="135" stopIfTrue="1">
      <formula>LEN(TRIM(K466))=0</formula>
    </cfRule>
    <cfRule type="cellIs" dxfId="365" priority="136" operator="lessThan">
      <formula>2</formula>
    </cfRule>
    <cfRule type="cellIs" dxfId="364" priority="137" operator="between">
      <formula>2</formula>
      <formula>4.9</formula>
    </cfRule>
    <cfRule type="cellIs" dxfId="363" priority="138" operator="between">
      <formula>5</formula>
      <formula>6.9</formula>
    </cfRule>
    <cfRule type="cellIs" dxfId="362" priority="139" operator="between">
      <formula>10.1</formula>
      <formula>10.6</formula>
    </cfRule>
    <cfRule type="cellIs" dxfId="361" priority="140" operator="between">
      <formula>7</formula>
      <formula>7.9</formula>
    </cfRule>
    <cfRule type="cellIs" dxfId="360" priority="141" stopIfTrue="1" operator="between">
      <formula>8</formula>
      <formula>8.9</formula>
    </cfRule>
    <cfRule type="cellIs" dxfId="359" priority="142" operator="between">
      <formula>9</formula>
      <formula>9.9</formula>
    </cfRule>
    <cfRule type="cellIs" dxfId="358" priority="143" stopIfTrue="1" operator="between">
      <formula>10</formula>
      <formula>10</formula>
    </cfRule>
  </conditionalFormatting>
  <conditionalFormatting sqref="K47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57" priority="80" stopIfTrue="1">
      <formula>LEN(TRIM(K480))=0</formula>
    </cfRule>
    <cfRule type="cellIs" dxfId="356" priority="81" operator="lessThan">
      <formula>2</formula>
    </cfRule>
    <cfRule type="cellIs" dxfId="355" priority="82" operator="between">
      <formula>2</formula>
      <formula>4.9</formula>
    </cfRule>
    <cfRule type="cellIs" dxfId="354" priority="83" operator="between">
      <formula>5</formula>
      <formula>6.9</formula>
    </cfRule>
    <cfRule type="cellIs" dxfId="353" priority="84" operator="between">
      <formula>10.1</formula>
      <formula>10.6</formula>
    </cfRule>
    <cfRule type="cellIs" dxfId="352" priority="85" operator="between">
      <formula>7</formula>
      <formula>7.9</formula>
    </cfRule>
    <cfRule type="cellIs" dxfId="351" priority="86" stopIfTrue="1" operator="between">
      <formula>8</formula>
      <formula>8.9</formula>
    </cfRule>
    <cfRule type="cellIs" dxfId="350" priority="87" operator="between">
      <formula>9</formula>
      <formula>9.9</formula>
    </cfRule>
    <cfRule type="cellIs" dxfId="349" priority="88" stopIfTrue="1" operator="between">
      <formula>10</formula>
      <formula>10</formula>
    </cfRule>
  </conditionalFormatting>
  <conditionalFormatting sqref="M28">
    <cfRule type="colorScale" priority="2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5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6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48" priority="1881" operator="between">
      <formula>10.1</formula>
      <formula>10.6</formula>
    </cfRule>
    <cfRule type="cellIs" dxfId="347" priority="1882" operator="between">
      <formula>7</formula>
      <formula>7.9</formula>
    </cfRule>
    <cfRule type="cellIs" dxfId="346" priority="1883" stopIfTrue="1" operator="between">
      <formula>8</formula>
      <formula>8.9</formula>
    </cfRule>
    <cfRule type="cellIs" dxfId="345" priority="1884" operator="between">
      <formula>9</formula>
      <formula>9.9</formula>
    </cfRule>
    <cfRule type="cellIs" dxfId="344" priority="1885" stopIfTrue="1" operator="between">
      <formula>10</formula>
      <formula>10</formula>
    </cfRule>
    <cfRule type="containsBlanks" dxfId="343" priority="1886" stopIfTrue="1">
      <formula>LEN(TRIM(N3))=0</formula>
    </cfRule>
  </conditionalFormatting>
  <conditionalFormatting sqref="N15:N26">
    <cfRule type="cellIs" dxfId="342" priority="2013" operator="between">
      <formula>7</formula>
      <formula>7.9</formula>
    </cfRule>
    <cfRule type="cellIs" dxfId="341" priority="2014" stopIfTrue="1" operator="between">
      <formula>8</formula>
      <formula>8.9</formula>
    </cfRule>
    <cfRule type="cellIs" dxfId="340" priority="2015" operator="between">
      <formula>9</formula>
      <formula>9.9</formula>
    </cfRule>
    <cfRule type="cellIs" dxfId="339" priority="2016" stopIfTrue="1" operator="between">
      <formula>10</formula>
      <formula>10</formula>
    </cfRule>
  </conditionalFormatting>
  <conditionalFormatting sqref="N28">
    <cfRule type="colorScale" priority="1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9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38" priority="2017" operator="between">
      <formula>7</formula>
      <formula>7.9</formula>
    </cfRule>
    <cfRule type="cellIs" dxfId="337" priority="2018" stopIfTrue="1" operator="between">
      <formula>8</formula>
      <formula>8.9</formula>
    </cfRule>
    <cfRule type="cellIs" dxfId="336" priority="2019" operator="between">
      <formula>9</formula>
      <formula>9.9</formula>
    </cfRule>
    <cfRule type="cellIs" dxfId="335" priority="2020" stopIfTrue="1" operator="between">
      <formula>10</formula>
      <formula>10</formula>
    </cfRule>
  </conditionalFormatting>
  <conditionalFormatting sqref="N39"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2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34" priority="1821" operator="between">
      <formula>10.1</formula>
      <formula>10.6</formula>
    </cfRule>
    <cfRule type="cellIs" dxfId="333" priority="1822" operator="between">
      <formula>7</formula>
      <formula>7.9</formula>
    </cfRule>
    <cfRule type="cellIs" dxfId="332" priority="1823" stopIfTrue="1" operator="between">
      <formula>8</formula>
      <formula>8.9</formula>
    </cfRule>
    <cfRule type="cellIs" dxfId="331" priority="1824" operator="between">
      <formula>9</formula>
      <formula>9.9</formula>
    </cfRule>
    <cfRule type="cellIs" dxfId="330" priority="1825" stopIfTrue="1" operator="between">
      <formula>10</formula>
      <formula>10</formula>
    </cfRule>
    <cfRule type="containsBlanks" dxfId="329" priority="1826" stopIfTrue="1">
      <formula>LEN(TRIM(N40))=0</formula>
    </cfRule>
  </conditionalFormatting>
  <conditionalFormatting sqref="N54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28" priority="1803" operator="between">
      <formula>10.1</formula>
      <formula>10.6</formula>
    </cfRule>
    <cfRule type="cellIs" dxfId="327" priority="1804" operator="between">
      <formula>7</formula>
      <formula>7.9</formula>
    </cfRule>
    <cfRule type="cellIs" dxfId="326" priority="1805" stopIfTrue="1" operator="between">
      <formula>8</formula>
      <formula>8.9</formula>
    </cfRule>
    <cfRule type="cellIs" dxfId="325" priority="1806" operator="between">
      <formula>9</formula>
      <formula>9.9</formula>
    </cfRule>
    <cfRule type="cellIs" dxfId="324" priority="1807" stopIfTrue="1" operator="between">
      <formula>10</formula>
      <formula>10</formula>
    </cfRule>
    <cfRule type="containsBlanks" dxfId="323" priority="1808" stopIfTrue="1">
      <formula>LEN(TRIM(N55))=0</formula>
    </cfRule>
  </conditionalFormatting>
  <conditionalFormatting sqref="N67"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1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2" priority="1754" operator="between">
      <formula>10.1</formula>
      <formula>10.6</formula>
    </cfRule>
    <cfRule type="cellIs" dxfId="321" priority="1755" operator="between">
      <formula>7</formula>
      <formula>7.9</formula>
    </cfRule>
    <cfRule type="cellIs" dxfId="320" priority="1756" stopIfTrue="1" operator="between">
      <formula>8</formula>
      <formula>8.9</formula>
    </cfRule>
    <cfRule type="cellIs" dxfId="319" priority="1757" operator="between">
      <formula>9</formula>
      <formula>9.9</formula>
    </cfRule>
    <cfRule type="cellIs" dxfId="318" priority="1758" stopIfTrue="1" operator="between">
      <formula>10</formula>
      <formula>10</formula>
    </cfRule>
    <cfRule type="containsBlanks" dxfId="317" priority="1759" stopIfTrue="1">
      <formula>LEN(TRIM(N68))=0</formula>
    </cfRule>
  </conditionalFormatting>
  <conditionalFormatting sqref="N79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16" priority="1685" operator="between">
      <formula>10.1</formula>
      <formula>10.6</formula>
    </cfRule>
    <cfRule type="cellIs" dxfId="315" priority="1686" operator="between">
      <formula>7</formula>
      <formula>7.9</formula>
    </cfRule>
    <cfRule type="cellIs" dxfId="314" priority="1687" stopIfTrue="1" operator="between">
      <formula>8</formula>
      <formula>8.9</formula>
    </cfRule>
    <cfRule type="cellIs" dxfId="313" priority="1688" operator="between">
      <formula>9</formula>
      <formula>9.9</formula>
    </cfRule>
    <cfRule type="cellIs" dxfId="312" priority="1689" stopIfTrue="1" operator="between">
      <formula>10</formula>
      <formula>10</formula>
    </cfRule>
    <cfRule type="containsBlanks" dxfId="311" priority="1690" stopIfTrue="1">
      <formula>LEN(TRIM(N80))=0</formula>
    </cfRule>
  </conditionalFormatting>
  <conditionalFormatting sqref="N93"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7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10" priority="1648" operator="between">
      <formula>10.1</formula>
      <formula>10.6</formula>
    </cfRule>
    <cfRule type="cellIs" dxfId="309" priority="1649" operator="between">
      <formula>7</formula>
      <formula>7.9</formula>
    </cfRule>
    <cfRule type="cellIs" dxfId="308" priority="1650" stopIfTrue="1" operator="between">
      <formula>8</formula>
      <formula>8.9</formula>
    </cfRule>
    <cfRule type="cellIs" dxfId="307" priority="1651" operator="between">
      <formula>9</formula>
      <formula>9.9</formula>
    </cfRule>
    <cfRule type="cellIs" dxfId="306" priority="1652" stopIfTrue="1" operator="between">
      <formula>10</formula>
      <formula>10</formula>
    </cfRule>
    <cfRule type="containsBlanks" dxfId="305" priority="1653" stopIfTrue="1">
      <formula>LEN(TRIM(N94))=0</formula>
    </cfRule>
  </conditionalFormatting>
  <conditionalFormatting sqref="N112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04" priority="1574" operator="between">
      <formula>10.1</formula>
      <formula>10.6</formula>
    </cfRule>
    <cfRule type="cellIs" dxfId="303" priority="1575" operator="between">
      <formula>7</formula>
      <formula>7.9</formula>
    </cfRule>
    <cfRule type="cellIs" dxfId="302" priority="1576" stopIfTrue="1" operator="between">
      <formula>8</formula>
      <formula>8.9</formula>
    </cfRule>
    <cfRule type="cellIs" dxfId="301" priority="1577" operator="between">
      <formula>9</formula>
      <formula>9.9</formula>
    </cfRule>
    <cfRule type="cellIs" dxfId="300" priority="1578" stopIfTrue="1" operator="between">
      <formula>10</formula>
      <formula>10</formula>
    </cfRule>
    <cfRule type="containsBlanks" dxfId="299" priority="1579" stopIfTrue="1">
      <formula>LEN(TRIM(N113))=0</formula>
    </cfRule>
  </conditionalFormatting>
  <conditionalFormatting sqref="N127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98" priority="1500" operator="between">
      <formula>6</formula>
      <formula>6.9</formula>
    </cfRule>
    <cfRule type="cellIs" dxfId="297" priority="1501" operator="between">
      <formula>10.1</formula>
      <formula>10.6</formula>
    </cfRule>
    <cfRule type="cellIs" dxfId="296" priority="1502" operator="between">
      <formula>7</formula>
      <formula>7.9</formula>
    </cfRule>
    <cfRule type="cellIs" dxfId="295" priority="1503" stopIfTrue="1" operator="between">
      <formula>8</formula>
      <formula>8.9</formula>
    </cfRule>
    <cfRule type="cellIs" dxfId="294" priority="1504" operator="between">
      <formula>9</formula>
      <formula>9.9</formula>
    </cfRule>
    <cfRule type="cellIs" dxfId="293" priority="1505" stopIfTrue="1" operator="between">
      <formula>10</formula>
      <formula>10</formula>
    </cfRule>
    <cfRule type="containsBlanks" dxfId="292" priority="1506" stopIfTrue="1">
      <formula>LEN(TRIM(N128))=0</formula>
    </cfRule>
    <cfRule type="cellIs" dxfId="291" priority="1507" operator="between">
      <formula>10.1</formula>
      <formula>10.6</formula>
    </cfRule>
    <cfRule type="cellIs" dxfId="290" priority="1508" operator="between">
      <formula>7</formula>
      <formula>7.9</formula>
    </cfRule>
    <cfRule type="cellIs" dxfId="289" priority="1509" stopIfTrue="1" operator="between">
      <formula>8</formula>
      <formula>8.9</formula>
    </cfRule>
    <cfRule type="cellIs" dxfId="288" priority="1510" operator="between">
      <formula>9</formula>
      <formula>9.9</formula>
    </cfRule>
    <cfRule type="cellIs" dxfId="287" priority="1511" stopIfTrue="1" operator="between">
      <formula>10</formula>
      <formula>10</formula>
    </cfRule>
    <cfRule type="containsBlanks" dxfId="286" priority="1512" stopIfTrue="1">
      <formula>LEN(TRIM(N128))=0</formula>
    </cfRule>
  </conditionalFormatting>
  <conditionalFormatting sqref="N137">
    <cfRule type="colorScale" priority="14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2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85" priority="1464" operator="between">
      <formula>6</formula>
      <formula>6.9</formula>
    </cfRule>
    <cfRule type="cellIs" dxfId="284" priority="1465" operator="between">
      <formula>10.1</formula>
      <formula>10.6</formula>
    </cfRule>
    <cfRule type="cellIs" dxfId="283" priority="1466" operator="between">
      <formula>7</formula>
      <formula>7.9</formula>
    </cfRule>
    <cfRule type="cellIs" dxfId="282" priority="1467" stopIfTrue="1" operator="between">
      <formula>8</formula>
      <formula>8.9</formula>
    </cfRule>
    <cfRule type="cellIs" dxfId="281" priority="1468" operator="between">
      <formula>9</formula>
      <formula>9.9</formula>
    </cfRule>
    <cfRule type="cellIs" dxfId="280" priority="1469" stopIfTrue="1" operator="between">
      <formula>10</formula>
      <formula>10</formula>
    </cfRule>
    <cfRule type="containsBlanks" dxfId="279" priority="1470" stopIfTrue="1">
      <formula>LEN(TRIM(N138))=0</formula>
    </cfRule>
  </conditionalFormatting>
  <conditionalFormatting sqref="N144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78" priority="1455" operator="between">
      <formula>6</formula>
      <formula>6.9</formula>
    </cfRule>
    <cfRule type="cellIs" dxfId="277" priority="1456" operator="between">
      <formula>10.1</formula>
      <formula>10.6</formula>
    </cfRule>
    <cfRule type="cellIs" dxfId="276" priority="1457" operator="between">
      <formula>7</formula>
      <formula>7.9</formula>
    </cfRule>
    <cfRule type="cellIs" dxfId="275" priority="1458" stopIfTrue="1" operator="between">
      <formula>8</formula>
      <formula>8.9</formula>
    </cfRule>
    <cfRule type="cellIs" dxfId="274" priority="1459" operator="between">
      <formula>9</formula>
      <formula>9.9</formula>
    </cfRule>
    <cfRule type="cellIs" dxfId="273" priority="1460" stopIfTrue="1" operator="between">
      <formula>10</formula>
      <formula>10</formula>
    </cfRule>
    <cfRule type="containsBlanks" dxfId="272" priority="1461" stopIfTrue="1">
      <formula>LEN(TRIM(N145))=0</formula>
    </cfRule>
  </conditionalFormatting>
  <conditionalFormatting sqref="N152">
    <cfRule type="colorScale" priority="1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9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71" priority="1401" operator="between">
      <formula>6</formula>
      <formula>6.9</formula>
    </cfRule>
    <cfRule type="cellIs" dxfId="270" priority="1402" operator="between">
      <formula>10.1</formula>
      <formula>10.6</formula>
    </cfRule>
    <cfRule type="cellIs" dxfId="269" priority="1403" operator="between">
      <formula>7</formula>
      <formula>7.9</formula>
    </cfRule>
    <cfRule type="cellIs" dxfId="268" priority="1404" stopIfTrue="1" operator="between">
      <formula>8</formula>
      <formula>8.9</formula>
    </cfRule>
    <cfRule type="cellIs" dxfId="267" priority="1405" operator="between">
      <formula>9</formula>
      <formula>9.9</formula>
    </cfRule>
    <cfRule type="cellIs" dxfId="266" priority="1406" stopIfTrue="1" operator="between">
      <formula>10</formula>
      <formula>10</formula>
    </cfRule>
    <cfRule type="containsBlanks" dxfId="265" priority="1407" stopIfTrue="1">
      <formula>LEN(TRIM(N153))=0</formula>
    </cfRule>
  </conditionalFormatting>
  <conditionalFormatting sqref="N161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64" priority="1385" operator="between">
      <formula>6</formula>
      <formula>6.9</formula>
    </cfRule>
    <cfRule type="cellIs" dxfId="263" priority="1386" operator="between">
      <formula>10.1</formula>
      <formula>10.6</formula>
    </cfRule>
    <cfRule type="cellIs" dxfId="262" priority="1387" operator="between">
      <formula>7</formula>
      <formula>7.9</formula>
    </cfRule>
    <cfRule type="cellIs" dxfId="261" priority="1388" stopIfTrue="1" operator="between">
      <formula>8</formula>
      <formula>8.9</formula>
    </cfRule>
    <cfRule type="cellIs" dxfId="260" priority="1389" operator="between">
      <formula>9</formula>
      <formula>9.9</formula>
    </cfRule>
    <cfRule type="cellIs" dxfId="259" priority="1390" stopIfTrue="1" operator="between">
      <formula>10</formula>
      <formula>10</formula>
    </cfRule>
    <cfRule type="containsBlanks" dxfId="258" priority="1391" stopIfTrue="1">
      <formula>LEN(TRIM(N162))=0</formula>
    </cfRule>
  </conditionalFormatting>
  <conditionalFormatting sqref="N182">
    <cfRule type="colorScale" priority="13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7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4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57" priority="1276" operator="between">
      <formula>6</formula>
      <formula>6.9</formula>
    </cfRule>
    <cfRule type="cellIs" dxfId="256" priority="1277" operator="between">
      <formula>10.1</formula>
      <formula>10.6</formula>
    </cfRule>
    <cfRule type="cellIs" dxfId="255" priority="1278" operator="between">
      <formula>7</formula>
      <formula>7.9</formula>
    </cfRule>
    <cfRule type="cellIs" dxfId="254" priority="1279" stopIfTrue="1" operator="between">
      <formula>8</formula>
      <formula>8.9</formula>
    </cfRule>
    <cfRule type="cellIs" dxfId="253" priority="1280" operator="between">
      <formula>9</formula>
      <formula>9.9</formula>
    </cfRule>
    <cfRule type="cellIs" dxfId="252" priority="1281" stopIfTrue="1" operator="between">
      <formula>10</formula>
      <formula>10</formula>
    </cfRule>
    <cfRule type="containsBlanks" dxfId="251" priority="1282" stopIfTrue="1">
      <formula>LEN(TRIM(N186))=0</formula>
    </cfRule>
  </conditionalFormatting>
  <conditionalFormatting sqref="N211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50" priority="1193" operator="between">
      <formula>6</formula>
      <formula>6.9</formula>
    </cfRule>
    <cfRule type="cellIs" dxfId="249" priority="1194" operator="between">
      <formula>10.1</formula>
      <formula>11</formula>
    </cfRule>
    <cfRule type="cellIs" dxfId="248" priority="1195" operator="between">
      <formula>7</formula>
      <formula>7.9</formula>
    </cfRule>
    <cfRule type="cellIs" dxfId="247" priority="1196" stopIfTrue="1" operator="between">
      <formula>8</formula>
      <formula>8.9</formula>
    </cfRule>
    <cfRule type="cellIs" dxfId="246" priority="1197" operator="between">
      <formula>9</formula>
      <formula>9.9</formula>
    </cfRule>
    <cfRule type="cellIs" dxfId="245" priority="1198" stopIfTrue="1" operator="between">
      <formula>10</formula>
      <formula>10</formula>
    </cfRule>
    <cfRule type="containsBlanks" dxfId="244" priority="1199" stopIfTrue="1">
      <formula>LEN(TRIM(N212))=0</formula>
    </cfRule>
  </conditionalFormatting>
  <conditionalFormatting sqref="N228">
    <cfRule type="colorScale" priority="11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8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43" priority="1139" operator="between">
      <formula>6</formula>
      <formula>6.9</formula>
    </cfRule>
    <cfRule type="cellIs" dxfId="242" priority="1140" operator="between">
      <formula>10.1</formula>
      <formula>11</formula>
    </cfRule>
    <cfRule type="cellIs" dxfId="241" priority="1141" operator="between">
      <formula>7</formula>
      <formula>7.9</formula>
    </cfRule>
    <cfRule type="cellIs" dxfId="240" priority="1142" stopIfTrue="1" operator="between">
      <formula>8</formula>
      <formula>8.9</formula>
    </cfRule>
    <cfRule type="cellIs" dxfId="239" priority="1143" operator="between">
      <formula>9</formula>
      <formula>9.9</formula>
    </cfRule>
    <cfRule type="cellIs" dxfId="238" priority="1144" stopIfTrue="1" operator="between">
      <formula>10</formula>
      <formula>10</formula>
    </cfRule>
    <cfRule type="containsBlanks" dxfId="237" priority="1145" stopIfTrue="1">
      <formula>LEN(TRIM(N229))=0</formula>
    </cfRule>
  </conditionalFormatting>
  <conditionalFormatting sqref="N240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36" priority="1085" operator="between">
      <formula>6</formula>
      <formula>6.9</formula>
    </cfRule>
    <cfRule type="cellIs" dxfId="235" priority="1086" operator="between">
      <formula>10.1</formula>
      <formula>10.6</formula>
    </cfRule>
    <cfRule type="cellIs" dxfId="234" priority="1087" operator="between">
      <formula>7</formula>
      <formula>7.9</formula>
    </cfRule>
    <cfRule type="cellIs" dxfId="233" priority="1088" stopIfTrue="1" operator="between">
      <formula>8</formula>
      <formula>8.9</formula>
    </cfRule>
    <cfRule type="cellIs" dxfId="232" priority="1089" operator="between">
      <formula>9</formula>
      <formula>9.9</formula>
    </cfRule>
    <cfRule type="cellIs" dxfId="231" priority="1090" stopIfTrue="1" operator="between">
      <formula>10</formula>
      <formula>10</formula>
    </cfRule>
    <cfRule type="containsBlanks" dxfId="230" priority="1091" stopIfTrue="1">
      <formula>LEN(TRIM(N241))=0</formula>
    </cfRule>
  </conditionalFormatting>
  <conditionalFormatting sqref="N249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29" priority="1058" operator="between">
      <formula>6</formula>
      <formula>6.9</formula>
    </cfRule>
    <cfRule type="cellIs" dxfId="228" priority="1059" operator="between">
      <formula>10.1</formula>
      <formula>10.6</formula>
    </cfRule>
    <cfRule type="cellIs" dxfId="227" priority="1060" operator="between">
      <formula>7</formula>
      <formula>7.9</formula>
    </cfRule>
    <cfRule type="cellIs" dxfId="226" priority="1061" stopIfTrue="1" operator="between">
      <formula>8</formula>
      <formula>8.9</formula>
    </cfRule>
    <cfRule type="cellIs" dxfId="225" priority="1062" operator="between">
      <formula>9</formula>
      <formula>9.9</formula>
    </cfRule>
    <cfRule type="cellIs" dxfId="224" priority="1063" stopIfTrue="1" operator="between">
      <formula>10</formula>
      <formula>10</formula>
    </cfRule>
    <cfRule type="containsBlanks" dxfId="223" priority="1064" stopIfTrue="1">
      <formula>LEN(TRIM(N250))=0</formula>
    </cfRule>
  </conditionalFormatting>
  <conditionalFormatting sqref="N277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2" priority="948" operator="between">
      <formula>6</formula>
      <formula>6.9</formula>
    </cfRule>
    <cfRule type="cellIs" dxfId="221" priority="949" operator="between">
      <formula>10.1</formula>
      <formula>10.6</formula>
    </cfRule>
    <cfRule type="cellIs" dxfId="220" priority="950" operator="between">
      <formula>7</formula>
      <formula>7.9</formula>
    </cfRule>
    <cfRule type="cellIs" dxfId="219" priority="951" stopIfTrue="1" operator="between">
      <formula>8</formula>
      <formula>8.9</formula>
    </cfRule>
    <cfRule type="cellIs" dxfId="218" priority="952" operator="between">
      <formula>9</formula>
      <formula>9.9</formula>
    </cfRule>
    <cfRule type="cellIs" dxfId="217" priority="953" stopIfTrue="1" operator="between">
      <formula>10</formula>
      <formula>10</formula>
    </cfRule>
    <cfRule type="containsBlanks" dxfId="216" priority="954" stopIfTrue="1">
      <formula>LEN(TRIM(N278))=0</formula>
    </cfRule>
  </conditionalFormatting>
  <conditionalFormatting sqref="N284"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9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15" priority="930" operator="between">
      <formula>6</formula>
      <formula>6.9</formula>
    </cfRule>
    <cfRule type="cellIs" dxfId="214" priority="931" operator="between">
      <formula>10.1</formula>
      <formula>10.6</formula>
    </cfRule>
    <cfRule type="cellIs" dxfId="213" priority="932" operator="between">
      <formula>7</formula>
      <formula>7.9</formula>
    </cfRule>
    <cfRule type="cellIs" dxfId="212" priority="933" stopIfTrue="1" operator="between">
      <formula>8</formula>
      <formula>8.9</formula>
    </cfRule>
    <cfRule type="cellIs" dxfId="211" priority="934" operator="between">
      <formula>9</formula>
      <formula>9.9</formula>
    </cfRule>
    <cfRule type="cellIs" dxfId="210" priority="935" stopIfTrue="1" operator="between">
      <formula>10</formula>
      <formula>10</formula>
    </cfRule>
    <cfRule type="containsBlanks" dxfId="209" priority="936" stopIfTrue="1">
      <formula>LEN(TRIM(N285))=0</formula>
    </cfRule>
  </conditionalFormatting>
  <conditionalFormatting sqref="N297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08" priority="868" stopIfTrue="1">
      <formula>LEN(TRIM(N298))=0</formula>
    </cfRule>
    <cfRule type="cellIs" dxfId="207" priority="869" operator="lessThan">
      <formula>2</formula>
    </cfRule>
    <cfRule type="cellIs" dxfId="206" priority="870" operator="between">
      <formula>2</formula>
      <formula>4.9</formula>
    </cfRule>
    <cfRule type="cellIs" dxfId="205" priority="871" operator="between">
      <formula>5</formula>
      <formula>6.9</formula>
    </cfRule>
    <cfRule type="cellIs" dxfId="204" priority="872" operator="between">
      <formula>10.1</formula>
      <formula>10.6</formula>
    </cfRule>
    <cfRule type="cellIs" dxfId="203" priority="873" operator="between">
      <formula>7</formula>
      <formula>7.9</formula>
    </cfRule>
    <cfRule type="cellIs" dxfId="202" priority="874" stopIfTrue="1" operator="between">
      <formula>8</formula>
      <formula>8.9</formula>
    </cfRule>
    <cfRule type="cellIs" dxfId="201" priority="875" operator="between">
      <formula>9</formula>
      <formula>9.9</formula>
    </cfRule>
    <cfRule type="cellIs" dxfId="200" priority="876" stopIfTrue="1" operator="between">
      <formula>10</formula>
      <formula>10</formula>
    </cfRule>
  </conditionalFormatting>
  <conditionalFormatting sqref="N306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99" priority="837" stopIfTrue="1">
      <formula>LEN(TRIM(N307))=0</formula>
    </cfRule>
    <cfRule type="cellIs" dxfId="198" priority="838" operator="lessThan">
      <formula>2</formula>
    </cfRule>
    <cfRule type="cellIs" dxfId="197" priority="839" operator="between">
      <formula>2</formula>
      <formula>4.9</formula>
    </cfRule>
    <cfRule type="cellIs" dxfId="196" priority="840" operator="between">
      <formula>5</formula>
      <formula>6.9</formula>
    </cfRule>
    <cfRule type="cellIs" dxfId="195" priority="841" operator="between">
      <formula>10.1</formula>
      <formula>10.6</formula>
    </cfRule>
    <cfRule type="cellIs" dxfId="194" priority="842" operator="between">
      <formula>7</formula>
      <formula>7.9</formula>
    </cfRule>
    <cfRule type="cellIs" dxfId="193" priority="843" stopIfTrue="1" operator="between">
      <formula>8</formula>
      <formula>8.9</formula>
    </cfRule>
    <cfRule type="cellIs" dxfId="192" priority="844" operator="between">
      <formula>9</formula>
      <formula>9.9</formula>
    </cfRule>
    <cfRule type="cellIs" dxfId="191" priority="845" stopIfTrue="1" operator="between">
      <formula>10</formula>
      <formula>10</formula>
    </cfRule>
  </conditionalFormatting>
  <conditionalFormatting sqref="N318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90" priority="773" stopIfTrue="1">
      <formula>LEN(TRIM(N319))=0</formula>
    </cfRule>
    <cfRule type="cellIs" dxfId="189" priority="774" operator="lessThan">
      <formula>2</formula>
    </cfRule>
    <cfRule type="cellIs" dxfId="188" priority="775" operator="between">
      <formula>2</formula>
      <formula>4.9</formula>
    </cfRule>
    <cfRule type="cellIs" dxfId="187" priority="776" operator="between">
      <formula>5</formula>
      <formula>6.9</formula>
    </cfRule>
    <cfRule type="cellIs" dxfId="186" priority="777" operator="between">
      <formula>10.1</formula>
      <formula>10.6</formula>
    </cfRule>
    <cfRule type="cellIs" dxfId="185" priority="778" operator="between">
      <formula>7</formula>
      <formula>7.9</formula>
    </cfRule>
    <cfRule type="cellIs" dxfId="184" priority="779" stopIfTrue="1" operator="between">
      <formula>8</formula>
      <formula>8.9</formula>
    </cfRule>
    <cfRule type="cellIs" dxfId="183" priority="780" operator="between">
      <formula>9</formula>
      <formula>9.9</formula>
    </cfRule>
    <cfRule type="cellIs" dxfId="182" priority="781" stopIfTrue="1" operator="between">
      <formula>10</formula>
      <formula>10</formula>
    </cfRule>
  </conditionalFormatting>
  <conditionalFormatting sqref="N328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81" priority="729" stopIfTrue="1">
      <formula>LEN(TRIM(N329))=0</formula>
    </cfRule>
    <cfRule type="cellIs" dxfId="180" priority="730" operator="lessThan">
      <formula>2</formula>
    </cfRule>
    <cfRule type="cellIs" dxfId="179" priority="731" operator="between">
      <formula>2</formula>
      <formula>4.9</formula>
    </cfRule>
    <cfRule type="cellIs" dxfId="178" priority="732" operator="between">
      <formula>5</formula>
      <formula>6.9</formula>
    </cfRule>
    <cfRule type="cellIs" dxfId="177" priority="733" operator="between">
      <formula>10.1</formula>
      <formula>10.6</formula>
    </cfRule>
    <cfRule type="cellIs" dxfId="176" priority="734" operator="between">
      <formula>7</formula>
      <formula>7.9</formula>
    </cfRule>
    <cfRule type="cellIs" dxfId="175" priority="735" stopIfTrue="1" operator="between">
      <formula>8</formula>
      <formula>8.9</formula>
    </cfRule>
    <cfRule type="cellIs" dxfId="174" priority="736" operator="between">
      <formula>9</formula>
      <formula>9.9</formula>
    </cfRule>
    <cfRule type="cellIs" dxfId="173" priority="737" stopIfTrue="1" operator="between">
      <formula>10</formula>
      <formula>10</formula>
    </cfRule>
  </conditionalFormatting>
  <conditionalFormatting sqref="N338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72" priority="707" stopIfTrue="1">
      <formula>LEN(TRIM(N339))=0</formula>
    </cfRule>
    <cfRule type="cellIs" dxfId="171" priority="708" operator="lessThan">
      <formula>2</formula>
    </cfRule>
    <cfRule type="cellIs" dxfId="170" priority="709" operator="between">
      <formula>2</formula>
      <formula>4.9</formula>
    </cfRule>
    <cfRule type="cellIs" dxfId="169" priority="710" operator="between">
      <formula>5</formula>
      <formula>6.9</formula>
    </cfRule>
    <cfRule type="cellIs" dxfId="168" priority="711" operator="between">
      <formula>10.1</formula>
      <formula>10.6</formula>
    </cfRule>
    <cfRule type="cellIs" dxfId="167" priority="712" operator="between">
      <formula>7</formula>
      <formula>7.9</formula>
    </cfRule>
    <cfRule type="cellIs" dxfId="166" priority="713" stopIfTrue="1" operator="between">
      <formula>8</formula>
      <formula>8.9</formula>
    </cfRule>
    <cfRule type="cellIs" dxfId="165" priority="714" operator="between">
      <formula>9</formula>
      <formula>9.9</formula>
    </cfRule>
    <cfRule type="cellIs" dxfId="164" priority="715" stopIfTrue="1" operator="between">
      <formula>10</formula>
      <formula>10</formula>
    </cfRule>
  </conditionalFormatting>
  <conditionalFormatting sqref="N355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63" priority="654" stopIfTrue="1">
      <formula>LEN(TRIM(N356))=0</formula>
    </cfRule>
    <cfRule type="cellIs" dxfId="162" priority="655" operator="lessThan">
      <formula>2</formula>
    </cfRule>
    <cfRule type="cellIs" dxfId="161" priority="656" operator="between">
      <formula>2</formula>
      <formula>4.9</formula>
    </cfRule>
    <cfRule type="cellIs" dxfId="160" priority="657" operator="between">
      <formula>5</formula>
      <formula>6.9</formula>
    </cfRule>
    <cfRule type="cellIs" dxfId="159" priority="658" operator="between">
      <formula>10.1</formula>
      <formula>10.6</formula>
    </cfRule>
    <cfRule type="cellIs" dxfId="158" priority="659" operator="between">
      <formula>7</formula>
      <formula>7.9</formula>
    </cfRule>
    <cfRule type="cellIs" dxfId="157" priority="660" stopIfTrue="1" operator="between">
      <formula>8</formula>
      <formula>8.9</formula>
    </cfRule>
    <cfRule type="cellIs" dxfId="156" priority="661" operator="between">
      <formula>9</formula>
      <formula>9.9</formula>
    </cfRule>
    <cfRule type="cellIs" dxfId="155" priority="662" stopIfTrue="1" operator="between">
      <formula>10</formula>
      <formula>10</formula>
    </cfRule>
  </conditionalFormatting>
  <conditionalFormatting sqref="N367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54" priority="597" stopIfTrue="1">
      <formula>LEN(TRIM(N368))=0</formula>
    </cfRule>
    <cfRule type="cellIs" dxfId="153" priority="598" operator="lessThan">
      <formula>2</formula>
    </cfRule>
    <cfRule type="cellIs" dxfId="152" priority="599" operator="between">
      <formula>2</formula>
      <formula>4.9</formula>
    </cfRule>
    <cfRule type="cellIs" dxfId="151" priority="600" operator="between">
      <formula>5</formula>
      <formula>6.9</formula>
    </cfRule>
    <cfRule type="cellIs" dxfId="150" priority="601" operator="between">
      <formula>10.1</formula>
      <formula>10.6</formula>
    </cfRule>
    <cfRule type="cellIs" dxfId="149" priority="602" operator="between">
      <formula>7</formula>
      <formula>7.9</formula>
    </cfRule>
    <cfRule type="cellIs" dxfId="148" priority="603" stopIfTrue="1" operator="between">
      <formula>8</formula>
      <formula>8.9</formula>
    </cfRule>
    <cfRule type="cellIs" dxfId="147" priority="604" operator="between">
      <formula>9</formula>
      <formula>9.9</formula>
    </cfRule>
    <cfRule type="cellIs" dxfId="146" priority="605" stopIfTrue="1" operator="between">
      <formula>10</formula>
      <formula>10</formula>
    </cfRule>
  </conditionalFormatting>
  <conditionalFormatting sqref="N374">
    <cfRule type="colorScale" priority="5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0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45" priority="560" stopIfTrue="1">
      <formula>LEN(TRIM(N375))=0</formula>
    </cfRule>
    <cfRule type="cellIs" dxfId="144" priority="561" operator="lessThan">
      <formula>2</formula>
    </cfRule>
    <cfRule type="cellIs" dxfId="143" priority="562" operator="between">
      <formula>2</formula>
      <formula>4.9</formula>
    </cfRule>
    <cfRule type="cellIs" dxfId="142" priority="563" operator="between">
      <formula>5</formula>
      <formula>6.9</formula>
    </cfRule>
    <cfRule type="cellIs" dxfId="141" priority="564" operator="between">
      <formula>10.1</formula>
      <formula>10.6</formula>
    </cfRule>
    <cfRule type="cellIs" dxfId="140" priority="565" operator="between">
      <formula>7</formula>
      <formula>7.9</formula>
    </cfRule>
    <cfRule type="cellIs" dxfId="139" priority="566" stopIfTrue="1" operator="between">
      <formula>8</formula>
      <formula>8.9</formula>
    </cfRule>
    <cfRule type="cellIs" dxfId="138" priority="567" operator="between">
      <formula>9</formula>
      <formula>9.9</formula>
    </cfRule>
    <cfRule type="cellIs" dxfId="137" priority="568" stopIfTrue="1" operator="between">
      <formula>10</formula>
      <formula>10</formula>
    </cfRule>
  </conditionalFormatting>
  <conditionalFormatting sqref="N384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36" priority="506" stopIfTrue="1">
      <formula>LEN(TRIM(N385))=0</formula>
    </cfRule>
    <cfRule type="cellIs" dxfId="135" priority="507" operator="lessThan">
      <formula>2</formula>
    </cfRule>
    <cfRule type="cellIs" dxfId="134" priority="508" operator="between">
      <formula>2</formula>
      <formula>4.9</formula>
    </cfRule>
    <cfRule type="cellIs" dxfId="133" priority="509" operator="between">
      <formula>5</formula>
      <formula>6.9</formula>
    </cfRule>
    <cfRule type="cellIs" dxfId="132" priority="510" operator="between">
      <formula>10.1</formula>
      <formula>10.6</formula>
    </cfRule>
    <cfRule type="cellIs" dxfId="131" priority="511" operator="between">
      <formula>7</formula>
      <formula>7.9</formula>
    </cfRule>
    <cfRule type="cellIs" dxfId="130" priority="512" stopIfTrue="1" operator="between">
      <formula>8</formula>
      <formula>8.9</formula>
    </cfRule>
    <cfRule type="cellIs" dxfId="129" priority="513" operator="between">
      <formula>9</formula>
      <formula>9.9</formula>
    </cfRule>
    <cfRule type="cellIs" dxfId="128" priority="514" stopIfTrue="1" operator="between">
      <formula>10</formula>
      <formula>10</formula>
    </cfRule>
  </conditionalFormatting>
  <conditionalFormatting sqref="N397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27" priority="451" stopIfTrue="1">
      <formula>LEN(TRIM(N398))=0</formula>
    </cfRule>
    <cfRule type="cellIs" dxfId="126" priority="452" operator="lessThan">
      <formula>2</formula>
    </cfRule>
    <cfRule type="cellIs" dxfId="125" priority="453" operator="between">
      <formula>2</formula>
      <formula>4.9</formula>
    </cfRule>
    <cfRule type="cellIs" dxfId="124" priority="454" operator="between">
      <formula>5</formula>
      <formula>6.9</formula>
    </cfRule>
    <cfRule type="cellIs" dxfId="123" priority="455" operator="between">
      <formula>10.1</formula>
      <formula>10.6</formula>
    </cfRule>
    <cfRule type="cellIs" dxfId="122" priority="456" operator="between">
      <formula>7</formula>
      <formula>7.9</formula>
    </cfRule>
    <cfRule type="cellIs" dxfId="121" priority="457" stopIfTrue="1" operator="between">
      <formula>8</formula>
      <formula>8.9</formula>
    </cfRule>
    <cfRule type="cellIs" dxfId="120" priority="458" operator="between">
      <formula>9</formula>
      <formula>9.9</formula>
    </cfRule>
    <cfRule type="cellIs" dxfId="119" priority="459" stopIfTrue="1" operator="between">
      <formula>10</formula>
      <formula>10</formula>
    </cfRule>
  </conditionalFormatting>
  <conditionalFormatting sqref="N412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18" priority="375" stopIfTrue="1">
      <formula>LEN(TRIM(N413))=0</formula>
    </cfRule>
    <cfRule type="cellIs" dxfId="117" priority="376" operator="lessThan">
      <formula>2</formula>
    </cfRule>
    <cfRule type="cellIs" dxfId="116" priority="377" operator="between">
      <formula>2</formula>
      <formula>4.9</formula>
    </cfRule>
    <cfRule type="cellIs" dxfId="115" priority="378" operator="between">
      <formula>5</formula>
      <formula>6.9</formula>
    </cfRule>
    <cfRule type="cellIs" dxfId="114" priority="379" operator="between">
      <formula>10.1</formula>
      <formula>10.6</formula>
    </cfRule>
    <cfRule type="cellIs" dxfId="113" priority="380" operator="between">
      <formula>7</formula>
      <formula>7.9</formula>
    </cfRule>
    <cfRule type="cellIs" dxfId="112" priority="381" stopIfTrue="1" operator="between">
      <formula>8</formula>
      <formula>8.9</formula>
    </cfRule>
    <cfRule type="cellIs" dxfId="111" priority="382" operator="between">
      <formula>9</formula>
      <formula>9.9</formula>
    </cfRule>
    <cfRule type="cellIs" dxfId="110" priority="383" stopIfTrue="1" operator="between">
      <formula>10</formula>
      <formula>10</formula>
    </cfRule>
  </conditionalFormatting>
  <conditionalFormatting sqref="N41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09" priority="333" stopIfTrue="1">
      <formula>LEN(TRIM(N418))=0</formula>
    </cfRule>
    <cfRule type="cellIs" dxfId="108" priority="334" operator="lessThan">
      <formula>2</formula>
    </cfRule>
    <cfRule type="cellIs" dxfId="107" priority="335" operator="between">
      <formula>2</formula>
      <formula>4.9</formula>
    </cfRule>
    <cfRule type="cellIs" dxfId="106" priority="336" operator="between">
      <formula>5</formula>
      <formula>6.9</formula>
    </cfRule>
    <cfRule type="cellIs" dxfId="105" priority="337" operator="between">
      <formula>10.1</formula>
      <formula>10.6</formula>
    </cfRule>
    <cfRule type="cellIs" dxfId="104" priority="338" operator="between">
      <formula>7</formula>
      <formula>7.9</formula>
    </cfRule>
    <cfRule type="cellIs" dxfId="103" priority="339" stopIfTrue="1" operator="between">
      <formula>8</formula>
      <formula>8.9</formula>
    </cfRule>
    <cfRule type="cellIs" dxfId="102" priority="340" operator="between">
      <formula>9</formula>
      <formula>9.9</formula>
    </cfRule>
    <cfRule type="cellIs" dxfId="101" priority="341" stopIfTrue="1" operator="between">
      <formula>10</formula>
      <formula>10</formula>
    </cfRule>
  </conditionalFormatting>
  <conditionalFormatting sqref="N430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00" priority="274" stopIfTrue="1">
      <formula>LEN(TRIM(N431))=0</formula>
    </cfRule>
    <cfRule type="cellIs" dxfId="99" priority="275" operator="lessThan">
      <formula>2</formula>
    </cfRule>
    <cfRule type="cellIs" dxfId="98" priority="276" operator="between">
      <formula>2</formula>
      <formula>4.9</formula>
    </cfRule>
    <cfRule type="cellIs" dxfId="97" priority="277" operator="between">
      <formula>5</formula>
      <formula>6.9</formula>
    </cfRule>
    <cfRule type="cellIs" dxfId="96" priority="278" operator="between">
      <formula>10.1</formula>
      <formula>10.6</formula>
    </cfRule>
    <cfRule type="cellIs" dxfId="95" priority="279" operator="between">
      <formula>7</formula>
      <formula>7.9</formula>
    </cfRule>
    <cfRule type="cellIs" dxfId="94" priority="280" stopIfTrue="1" operator="between">
      <formula>8</formula>
      <formula>8.9</formula>
    </cfRule>
    <cfRule type="cellIs" dxfId="93" priority="281" operator="between">
      <formula>9</formula>
      <formula>9.9</formula>
    </cfRule>
    <cfRule type="cellIs" dxfId="92" priority="282" stopIfTrue="1" operator="between">
      <formula>10</formula>
      <formula>10</formula>
    </cfRule>
  </conditionalFormatting>
  <conditionalFormatting sqref="N44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91" priority="190" stopIfTrue="1">
      <formula>LEN(TRIM(N444))=0</formula>
    </cfRule>
    <cfRule type="cellIs" dxfId="90" priority="191" operator="lessThan">
      <formula>2</formula>
    </cfRule>
    <cfRule type="cellIs" dxfId="89" priority="192" operator="between">
      <formula>2</formula>
      <formula>4.9</formula>
    </cfRule>
    <cfRule type="cellIs" dxfId="88" priority="193" operator="between">
      <formula>5</formula>
      <formula>6.9</formula>
    </cfRule>
    <cfRule type="cellIs" dxfId="87" priority="194" operator="between">
      <formula>10.1</formula>
      <formula>10.6</formula>
    </cfRule>
    <cfRule type="cellIs" dxfId="86" priority="195" operator="between">
      <formula>7</formula>
      <formula>7.9</formula>
    </cfRule>
    <cfRule type="cellIs" dxfId="85" priority="196" stopIfTrue="1" operator="between">
      <formula>8</formula>
      <formula>8.9</formula>
    </cfRule>
    <cfRule type="cellIs" dxfId="84" priority="197" operator="between">
      <formula>9</formula>
      <formula>9.9</formula>
    </cfRule>
    <cfRule type="cellIs" dxfId="83" priority="198" stopIfTrue="1" operator="between">
      <formula>10</formula>
      <formula>10</formula>
    </cfRule>
  </conditionalFormatting>
  <conditionalFormatting sqref="N468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82" priority="113" stopIfTrue="1">
      <formula>LEN(TRIM(N469))=0</formula>
    </cfRule>
    <cfRule type="cellIs" dxfId="81" priority="114" operator="lessThan">
      <formula>2</formula>
    </cfRule>
    <cfRule type="cellIs" dxfId="80" priority="115" operator="between">
      <formula>2</formula>
      <formula>4.9</formula>
    </cfRule>
    <cfRule type="cellIs" dxfId="79" priority="116" operator="between">
      <formula>5</formula>
      <formula>6.9</formula>
    </cfRule>
    <cfRule type="cellIs" dxfId="78" priority="117" operator="between">
      <formula>10.1</formula>
      <formula>10.6</formula>
    </cfRule>
    <cfRule type="cellIs" dxfId="77" priority="118" operator="between">
      <formula>7</formula>
      <formula>7.9</formula>
    </cfRule>
    <cfRule type="cellIs" dxfId="76" priority="119" stopIfTrue="1" operator="between">
      <formula>8</formula>
      <formula>8.9</formula>
    </cfRule>
    <cfRule type="cellIs" dxfId="75" priority="120" operator="between">
      <formula>9</formula>
      <formula>9.9</formula>
    </cfRule>
    <cfRule type="cellIs" dxfId="74" priority="121" stopIfTrue="1" operator="between">
      <formula>10</formula>
      <formula>10</formula>
    </cfRule>
  </conditionalFormatting>
  <conditionalFormatting sqref="N48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73" priority="69" stopIfTrue="1">
      <formula>LEN(TRIM(N481))=0</formula>
    </cfRule>
    <cfRule type="cellIs" dxfId="72" priority="70" operator="lessThan">
      <formula>2</formula>
    </cfRule>
    <cfRule type="cellIs" dxfId="71" priority="71" operator="between">
      <formula>2</formula>
      <formula>4.9</formula>
    </cfRule>
    <cfRule type="cellIs" dxfId="70" priority="72" operator="between">
      <formula>5</formula>
      <formula>6.9</formula>
    </cfRule>
    <cfRule type="cellIs" dxfId="69" priority="73" operator="between">
      <formula>10.1</formula>
      <formula>10.6</formula>
    </cfRule>
    <cfRule type="cellIs" dxfId="68" priority="74" operator="between">
      <formula>7</formula>
      <formula>7.9</formula>
    </cfRule>
    <cfRule type="cellIs" dxfId="67" priority="75" stopIfTrue="1" operator="between">
      <formula>8</formula>
      <formula>8.9</formula>
    </cfRule>
    <cfRule type="cellIs" dxfId="66" priority="76" operator="between">
      <formula>9</formula>
      <formula>9.9</formula>
    </cfRule>
    <cfRule type="cellIs" dxfId="65" priority="77" stopIfTrue="1" operator="between">
      <formula>10</formula>
      <formula>10</formula>
    </cfRule>
  </conditionalFormatting>
  <conditionalFormatting sqref="AM3:AM11">
    <cfRule type="cellIs" dxfId="64" priority="1949" operator="between">
      <formula>7</formula>
      <formula>7.9</formula>
    </cfRule>
    <cfRule type="cellIs" dxfId="63" priority="1950" operator="between">
      <formula>8</formula>
      <formula>8.9</formula>
    </cfRule>
    <cfRule type="cellIs" dxfId="62" priority="1951" operator="between">
      <formula>9</formula>
      <formula>9.9</formula>
    </cfRule>
    <cfRule type="cellIs" dxfId="61" priority="1952" operator="between">
      <formula>10</formula>
      <formula>10</formula>
    </cfRule>
  </conditionalFormatting>
  <conditionalFormatting sqref="N489:N498">
    <cfRule type="containsBlanks" dxfId="60" priority="25" stopIfTrue="1">
      <formula>LEN(TRIM(N489))=0</formula>
    </cfRule>
    <cfRule type="cellIs" dxfId="59" priority="26" operator="lessThan">
      <formula>2</formula>
    </cfRule>
    <cfRule type="cellIs" dxfId="58" priority="27" operator="between">
      <formula>2</formula>
      <formula>4.9</formula>
    </cfRule>
    <cfRule type="cellIs" dxfId="57" priority="28" operator="between">
      <formula>5</formula>
      <formula>6.9</formula>
    </cfRule>
    <cfRule type="cellIs" dxfId="56" priority="29" operator="between">
      <formula>10.1</formula>
      <formula>10.6</formula>
    </cfRule>
    <cfRule type="cellIs" dxfId="55" priority="30" operator="between">
      <formula>7</formula>
      <formula>7.9</formula>
    </cfRule>
    <cfRule type="cellIs" dxfId="54" priority="31" stopIfTrue="1" operator="between">
      <formula>8</formula>
      <formula>8.9</formula>
    </cfRule>
    <cfRule type="cellIs" dxfId="53" priority="32" operator="between">
      <formula>9</formula>
      <formula>9.9</formula>
    </cfRule>
    <cfRule type="cellIs" dxfId="52" priority="33" stopIfTrue="1" operator="between">
      <formula>10</formula>
      <formula>10</formula>
    </cfRule>
  </conditionalFormatting>
  <conditionalFormatting sqref="N48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17" priority="14" stopIfTrue="1">
      <formula>LEN(TRIM(K492))=0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K49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8" priority="3" stopIfTrue="1">
      <formula>LEN(TRIM(E500))=0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499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topLeftCell="A11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1" priority="17" operator="equal">
      <formula>10</formula>
    </cfRule>
  </conditionalFormatting>
  <conditionalFormatting sqref="C6">
    <cfRule type="containsBlanks" dxfId="50" priority="18">
      <formula>LEN(TRIM(C6))=0</formula>
    </cfRule>
  </conditionalFormatting>
  <conditionalFormatting sqref="C8">
    <cfRule type="containsBlanks" dxfId="49" priority="20">
      <formula>LEN(TRIM(C8))=0</formula>
    </cfRule>
  </conditionalFormatting>
  <conditionalFormatting sqref="C10">
    <cfRule type="containsBlanks" dxfId="48" priority="22">
      <formula>LEN(TRIM(C10))=0</formula>
    </cfRule>
  </conditionalFormatting>
  <conditionalFormatting sqref="C12">
    <cfRule type="containsBlanks" dxfId="47" priority="24">
      <formula>LEN(TRIM(C12))=0</formula>
    </cfRule>
  </conditionalFormatting>
  <conditionalFormatting sqref="C14">
    <cfRule type="containsBlanks" dxfId="46" priority="26">
      <formula>LEN(TRIM(C14))=0</formula>
    </cfRule>
  </conditionalFormatting>
  <conditionalFormatting sqref="C16">
    <cfRule type="containsBlanks" dxfId="45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4" priority="3" operator="equal">
      <formula>10</formula>
    </cfRule>
  </conditionalFormatting>
  <conditionalFormatting sqref="C26">
    <cfRule type="containsBlanks" dxfId="43" priority="4">
      <formula>LEN(TRIM(C26))=0</formula>
    </cfRule>
  </conditionalFormatting>
  <conditionalFormatting sqref="C34:C42">
    <cfRule type="cellIs" dxfId="42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41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0" priority="15" operator="equal">
      <formula>10</formula>
    </cfRule>
  </conditionalFormatting>
  <conditionalFormatting sqref="F12">
    <cfRule type="containsBlanks" dxfId="39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8" priority="5" operator="equal">
      <formula>10</formula>
    </cfRule>
  </conditionalFormatting>
  <conditionalFormatting sqref="F28">
    <cfRule type="containsBlanks" dxfId="37" priority="6">
      <formula>LEN(TRIM(F28))=0</formula>
    </cfRule>
  </conditionalFormatting>
  <conditionalFormatting sqref="F33:F41">
    <cfRule type="cellIs" dxfId="36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35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34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33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32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31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0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9" priority="1" operator="equal">
      <formula>10</formula>
    </cfRule>
  </conditionalFormatting>
  <conditionalFormatting sqref="L23">
    <cfRule type="containsBlanks" dxfId="28" priority="2">
      <formula>LEN(TRIM(L23))=0</formula>
    </cfRule>
  </conditionalFormatting>
  <conditionalFormatting sqref="L33:L44">
    <cfRule type="cellIs" dxfId="27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26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5" priority="9" operator="equal">
      <formula>10</formula>
    </cfRule>
  </conditionalFormatting>
  <conditionalFormatting sqref="O4">
    <cfRule type="containsBlanks" dxfId="24" priority="12">
      <formula>LEN(TRIM(O4))=0</formula>
    </cfRule>
  </conditionalFormatting>
  <conditionalFormatting sqref="O6">
    <cfRule type="containsBlanks" dxfId="23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2" priority="10">
      <formula>LEN(TRIM(O14))=0</formula>
    </cfRule>
  </conditionalFormatting>
  <conditionalFormatting sqref="O17:O27">
    <cfRule type="cellIs" dxfId="21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0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9" priority="8">
      <formula>LEN(TRIM(O42))=0</formula>
    </cfRule>
  </conditionalFormatting>
  <conditionalFormatting sqref="O42:O51">
    <cfRule type="cellIs" dxfId="18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6FA0-858F-42BD-A68A-AE7FBAE299A1}">
  <dimension ref="A1:E12"/>
  <sheetViews>
    <sheetView zoomScaleNormal="100" workbookViewId="0">
      <selection activeCell="B23" sqref="B23"/>
    </sheetView>
  </sheetViews>
  <sheetFormatPr defaultRowHeight="15.6"/>
  <cols>
    <col min="1" max="1" width="26.796875" bestFit="1" customWidth="1"/>
  </cols>
  <sheetData>
    <row r="1" spans="1:5">
      <c r="A1" t="s">
        <v>3141</v>
      </c>
      <c r="B1" t="s">
        <v>3142</v>
      </c>
      <c r="C1" t="s">
        <v>3143</v>
      </c>
      <c r="D1" t="s">
        <v>3144</v>
      </c>
    </row>
    <row r="2" spans="1:5">
      <c r="A2" s="385" t="s">
        <v>2739</v>
      </c>
      <c r="B2" s="258">
        <v>9.06</v>
      </c>
      <c r="C2" s="288">
        <v>9.02</v>
      </c>
      <c r="D2">
        <v>11</v>
      </c>
      <c r="E2">
        <v>1</v>
      </c>
    </row>
    <row r="3" spans="1:5">
      <c r="A3" s="385" t="s">
        <v>2843</v>
      </c>
      <c r="B3" s="258">
        <v>8.83</v>
      </c>
      <c r="C3" s="289">
        <v>9</v>
      </c>
      <c r="D3">
        <v>10</v>
      </c>
      <c r="E3">
        <v>2</v>
      </c>
    </row>
    <row r="4" spans="1:5">
      <c r="A4" s="386" t="s">
        <v>3100</v>
      </c>
      <c r="B4" s="261">
        <v>8.9600000000000009</v>
      </c>
      <c r="C4" s="294">
        <v>8.92</v>
      </c>
      <c r="D4">
        <v>10</v>
      </c>
      <c r="E4">
        <v>3</v>
      </c>
    </row>
    <row r="5" spans="1:5">
      <c r="A5" s="385" t="s">
        <v>170</v>
      </c>
      <c r="B5" s="258">
        <v>8.91</v>
      </c>
      <c r="C5" s="298">
        <v>8.8699999999999992</v>
      </c>
      <c r="D5">
        <v>10</v>
      </c>
      <c r="E5">
        <v>4</v>
      </c>
    </row>
    <row r="6" spans="1:5">
      <c r="A6" s="385" t="s">
        <v>2875</v>
      </c>
      <c r="B6" s="258">
        <v>8.8000000000000007</v>
      </c>
      <c r="C6" s="303">
        <v>8.81</v>
      </c>
      <c r="D6">
        <v>10</v>
      </c>
      <c r="E6">
        <v>5</v>
      </c>
    </row>
    <row r="7" spans="1:5">
      <c r="A7" s="385" t="s">
        <v>3189</v>
      </c>
      <c r="B7" s="258">
        <v>8.85</v>
      </c>
      <c r="C7" s="303">
        <v>8.7200000000000006</v>
      </c>
      <c r="D7">
        <v>10</v>
      </c>
      <c r="E7">
        <v>6</v>
      </c>
    </row>
    <row r="8" spans="1:5">
      <c r="A8" s="386" t="s">
        <v>2932</v>
      </c>
      <c r="B8" s="261">
        <v>8.85</v>
      </c>
      <c r="C8" s="288">
        <v>9.02</v>
      </c>
      <c r="D8">
        <v>9</v>
      </c>
      <c r="E8">
        <v>7</v>
      </c>
    </row>
    <row r="9" spans="1:5">
      <c r="A9" s="385" t="s">
        <v>3011</v>
      </c>
      <c r="B9" s="258">
        <v>8.8000000000000007</v>
      </c>
      <c r="C9" s="290">
        <v>8.9700000000000006</v>
      </c>
      <c r="D9">
        <v>9</v>
      </c>
      <c r="E9">
        <v>8</v>
      </c>
    </row>
    <row r="10" spans="1:5">
      <c r="A10" s="386" t="s">
        <v>2662</v>
      </c>
      <c r="B10" s="261">
        <v>8.83</v>
      </c>
      <c r="C10" s="301">
        <v>8.84</v>
      </c>
      <c r="D10">
        <v>9</v>
      </c>
      <c r="E10">
        <v>9</v>
      </c>
    </row>
    <row r="11" spans="1:5">
      <c r="A11" s="385" t="s">
        <v>2655</v>
      </c>
      <c r="B11" s="258">
        <v>8.86</v>
      </c>
      <c r="C11" s="302">
        <v>8.82</v>
      </c>
      <c r="D11">
        <v>9</v>
      </c>
      <c r="E11">
        <v>10</v>
      </c>
    </row>
    <row r="12" spans="1:5">
      <c r="A12" s="385" t="s">
        <v>2681</v>
      </c>
      <c r="B12" s="258">
        <v>8.8800000000000008</v>
      </c>
      <c r="C12" s="303">
        <v>8.81</v>
      </c>
      <c r="D12">
        <v>9</v>
      </c>
    </row>
  </sheetData>
  <sortState xmlns:xlrd2="http://schemas.microsoft.com/office/spreadsheetml/2017/richdata2" ref="A2:D12">
    <sortCondition descending="1" ref="D2:D12"/>
    <sortCondition descending="1" ref="C2:C12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Hoja2</vt:lpstr>
      <vt:lpstr>Hoja3</vt:lpstr>
      <vt:lpstr>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2026-05-28T10:43:52Z</dcterms:modified>
</cp:coreProperties>
</file>