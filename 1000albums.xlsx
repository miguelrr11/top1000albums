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6047573A-1BEB-E440-A956-829933AD4267}" xr6:coauthVersionLast="47" xr6:coauthVersionMax="47" xr10:uidLastSave="{00000000-0000-0000-0000-000000000000}"/>
  <bookViews>
    <workbookView xWindow="-38400" yWindow="-1280" windowWidth="38400" windowHeight="21000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2" i="4" l="1"/>
  <c r="K798" i="4"/>
  <c r="B795" i="4"/>
  <c r="H786" i="4"/>
  <c r="E786" i="4"/>
  <c r="B786" i="4"/>
  <c r="K783" i="4"/>
  <c r="E780" i="4"/>
  <c r="H778" i="4"/>
  <c r="B773" i="4"/>
  <c r="N772" i="4"/>
  <c r="E770" i="4"/>
  <c r="K769" i="4"/>
  <c r="N765" i="4"/>
  <c r="G83" i="18"/>
  <c r="D83" i="18"/>
  <c r="D33" i="18"/>
  <c r="D2" i="18"/>
  <c r="D7" i="18"/>
  <c r="D9" i="18"/>
  <c r="D4" i="18"/>
  <c r="D11" i="18"/>
  <c r="D6" i="18"/>
  <c r="D12" i="18"/>
  <c r="D13" i="18"/>
  <c r="D5" i="18"/>
  <c r="D45" i="18"/>
  <c r="D31" i="18"/>
  <c r="D14" i="18"/>
  <c r="D107" i="18"/>
  <c r="D28" i="18"/>
  <c r="D15" i="18"/>
  <c r="D10" i="18"/>
  <c r="D8" i="18"/>
  <c r="D16" i="18"/>
  <c r="D72" i="18"/>
  <c r="D17" i="18"/>
  <c r="D24" i="18"/>
  <c r="D20" i="18"/>
  <c r="D23" i="18"/>
  <c r="D36" i="18"/>
  <c r="D21" i="18"/>
  <c r="D26" i="18"/>
  <c r="D25" i="18"/>
  <c r="D32" i="18"/>
  <c r="D96" i="18"/>
  <c r="D34" i="18"/>
  <c r="D118" i="18"/>
  <c r="D18" i="18"/>
  <c r="D19" i="18"/>
  <c r="D37" i="18"/>
  <c r="D38" i="18"/>
  <c r="D39" i="18"/>
  <c r="D41" i="18"/>
  <c r="D84" i="18"/>
  <c r="D42" i="18"/>
  <c r="D46" i="18"/>
  <c r="D47" i="18"/>
  <c r="D49" i="18"/>
  <c r="D50" i="18"/>
  <c r="D44" i="18"/>
  <c r="D52" i="18"/>
  <c r="D53" i="18"/>
  <c r="D55" i="18"/>
  <c r="D56" i="18"/>
  <c r="D76" i="18"/>
  <c r="D57" i="18"/>
  <c r="D58" i="18"/>
  <c r="D59" i="18"/>
  <c r="D29" i="18"/>
  <c r="D61" i="18"/>
  <c r="D62" i="18"/>
  <c r="D63" i="18"/>
  <c r="D65" i="18"/>
  <c r="D67" i="18"/>
  <c r="D70" i="18"/>
  <c r="D71" i="18"/>
  <c r="D73" i="18"/>
  <c r="D74" i="18"/>
  <c r="D75" i="18"/>
  <c r="D77" i="18"/>
  <c r="D78" i="18"/>
  <c r="D79" i="18"/>
  <c r="D43" i="18"/>
  <c r="D81" i="18"/>
  <c r="D22" i="18"/>
  <c r="D82" i="18"/>
  <c r="D64" i="18"/>
  <c r="D85" i="18"/>
  <c r="D86" i="18"/>
  <c r="D87" i="18"/>
  <c r="D88" i="18"/>
  <c r="D89" i="18"/>
  <c r="D48" i="18"/>
  <c r="D91" i="18"/>
  <c r="D94" i="18"/>
  <c r="D97" i="18"/>
  <c r="D98" i="18"/>
  <c r="D100" i="18"/>
  <c r="D101" i="18"/>
  <c r="D102" i="18"/>
  <c r="D103" i="18"/>
  <c r="D66" i="18"/>
  <c r="D104" i="18"/>
  <c r="D105" i="18"/>
  <c r="D106" i="18"/>
  <c r="D108" i="18"/>
  <c r="D109" i="18"/>
  <c r="D54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G82" i="18"/>
  <c r="G22" i="18"/>
  <c r="G101" i="18"/>
  <c r="G3" i="18"/>
  <c r="G33" i="18"/>
  <c r="G7" i="18"/>
  <c r="G9" i="18"/>
  <c r="G4" i="18"/>
  <c r="G11" i="18"/>
  <c r="G6" i="18"/>
  <c r="G12" i="18"/>
  <c r="G13" i="18"/>
  <c r="G5" i="18"/>
  <c r="G45" i="18"/>
  <c r="G31" i="18"/>
  <c r="G14" i="18"/>
  <c r="G107" i="18"/>
  <c r="G28" i="18"/>
  <c r="G15" i="18"/>
  <c r="G10" i="18"/>
  <c r="G8" i="18"/>
  <c r="G16" i="18"/>
  <c r="G72" i="18"/>
  <c r="G17" i="18"/>
  <c r="G24" i="18"/>
  <c r="G20" i="18"/>
  <c r="G23" i="18"/>
  <c r="G36" i="18"/>
  <c r="G21" i="18"/>
  <c r="G26" i="18"/>
  <c r="G25" i="18"/>
  <c r="G32" i="18"/>
  <c r="G96" i="18"/>
  <c r="G34" i="18"/>
  <c r="G118" i="18"/>
  <c r="G18" i="18"/>
  <c r="G19" i="18"/>
  <c r="G37" i="18"/>
  <c r="G38" i="18"/>
  <c r="G39" i="18"/>
  <c r="G41" i="18"/>
  <c r="G84" i="18"/>
  <c r="G42" i="18"/>
  <c r="G46" i="18"/>
  <c r="G47" i="18"/>
  <c r="G49" i="18"/>
  <c r="G50" i="18"/>
  <c r="G51" i="18"/>
  <c r="G44" i="18"/>
  <c r="G52" i="18"/>
  <c r="G53" i="18"/>
  <c r="G55" i="18"/>
  <c r="G56" i="18"/>
  <c r="G76" i="18"/>
  <c r="G57" i="18"/>
  <c r="G58" i="18"/>
  <c r="G59" i="18"/>
  <c r="G29" i="18"/>
  <c r="G61" i="18"/>
  <c r="G62" i="18"/>
  <c r="G63" i="18"/>
  <c r="G65" i="18"/>
  <c r="G67" i="18"/>
  <c r="G70" i="18"/>
  <c r="G71" i="18"/>
  <c r="G73" i="18"/>
  <c r="G74" i="18"/>
  <c r="G75" i="18"/>
  <c r="G77" i="18"/>
  <c r="G78" i="18"/>
  <c r="G79" i="18"/>
  <c r="G43" i="18"/>
  <c r="G80" i="18"/>
  <c r="G81" i="18"/>
  <c r="G64" i="18"/>
  <c r="G85" i="18"/>
  <c r="G86" i="18"/>
  <c r="G87" i="18"/>
  <c r="G88" i="18"/>
  <c r="G89" i="18"/>
  <c r="G48" i="18"/>
  <c r="G91" i="18"/>
  <c r="G94" i="18"/>
  <c r="G97" i="18"/>
  <c r="G98" i="18"/>
  <c r="G100" i="18"/>
  <c r="G102" i="18"/>
  <c r="G103" i="18"/>
  <c r="G66" i="18"/>
  <c r="G104" i="18"/>
  <c r="G105" i="18"/>
  <c r="G106" i="18"/>
  <c r="G108" i="18"/>
  <c r="G109" i="18"/>
  <c r="G54" i="18"/>
  <c r="G92" i="18"/>
  <c r="G93" i="18"/>
  <c r="G110" i="18"/>
  <c r="G112" i="18"/>
  <c r="G113" i="18"/>
  <c r="G114" i="18"/>
  <c r="G115" i="18"/>
  <c r="G116" i="18"/>
  <c r="G117" i="18"/>
  <c r="G119" i="18"/>
  <c r="G120" i="18"/>
  <c r="G121" i="18"/>
  <c r="G122" i="18"/>
  <c r="G123" i="18"/>
  <c r="G124" i="18"/>
  <c r="G125" i="18"/>
  <c r="G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<sst xmlns="http://schemas.openxmlformats.org/spreadsheetml/2006/main" count="9820" uniqueCount="5714">
  <si>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</si>
  <si>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</si>
  <si>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</si>
  <si>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</si>
  <si>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</si>
  <si>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</si>
  <si>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</si>
  <si>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</si>
  <si>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</si>
  <si>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</si>
  <si>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</si>
  <si>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</si>
  <si>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</si>
  <si>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</si>
  <si>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</si>
  <si>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</si>
  <si>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</si>
  <si>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</si>
  <si>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</si>
  <si>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</si>
  <si>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</si>
  <si>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</si>
  <si>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</si>
  <si>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</si>
  <si>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</si>
  <si>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</si>
  <si>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</si>
  <si>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</si>
  <si>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</si>
  <si>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</si>
  <si>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</si>
  <si>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</si>
  <si>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</si>
  <si>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</si>
  <si>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</si>
  <si>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</si>
  <si>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</si>
  <si>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</si>
  <si>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</si>
  <si>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</si>
  <si>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</si>
  <si>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</si>
  <si>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</si>
  <si>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</si>
  <si>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</si>
  <si>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</si>
  <si>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</si>
  <si>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</si>
  <si>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</si>
  <si>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</si>
  <si>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</si>
  <si>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</si>
  <si>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</si>
  <si>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</si>
  <si>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</si>
  <si>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</si>
  <si>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</si>
  <si>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</si>
  <si>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</si>
  <si>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</si>
  <si>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</si>
  <si>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</si>
  <si>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</si>
  <si>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</si>
  <si>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</si>
  <si>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</si>
  <si>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</si>
  <si>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</si>
  <si>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</si>
  <si>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</si>
  <si>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</si>
  <si>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</si>
  <si>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</si>
  <si>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</si>
  <si>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</si>
  <si>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</si>
  <si>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</si>
  <si>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</si>
  <si>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</si>
  <si>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</si>
  <si>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</si>
  <si>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</si>
  <si>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</si>
  <si>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</si>
  <si>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</si>
  <si>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</si>
  <si>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</si>
  <si>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</si>
  <si>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</si>
  <si>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</si>
  <si>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</si>
  <si>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</si>
  <si>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</si>
  <si>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</si>
  <si>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</si>
  <si>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</si>
  <si>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</si>
  <si>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</si>
  <si>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</si>
  <si>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</si>
  <si>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</si>
  <si>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</si>
  <si>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</si>
  <si>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</si>
  <si>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</si>
  <si>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</si>
  <si>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</si>
  <si>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</si>
  <si>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</si>
  <si>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</si>
  <si>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</si>
  <si>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</si>
  <si>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</si>
  <si>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</si>
  <si>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</si>
  <si>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</si>
  <si>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</si>
  <si>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</si>
  <si>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</si>
  <si>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</si>
  <si>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</si>
  <si>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</si>
  <si>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</si>
  <si>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</si>
  <si>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</si>
  <si>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</si>
  <si>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</si>
  <si>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</si>
  <si>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</si>
  <si>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</si>
  <si>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</si>
  <si>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</si>
  <si>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</si>
  <si>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</si>
  <si>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</si>
  <si>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</si>
  <si>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</si>
  <si>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</si>
  <si>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</si>
  <si>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</si>
  <si>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</si>
  <si>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</si>
  <si>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</si>
  <si>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</si>
  <si>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</si>
  <si>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</si>
  <si>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</si>
  <si>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</si>
  <si>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</si>
  <si>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</si>
  <si>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</si>
  <si>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</si>
  <si>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</si>
  <si>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</si>
  <si>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</si>
  <si>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</si>
  <si>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</si>
  <si>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</si>
  <si>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</si>
  <si>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</si>
  <si>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</si>
  <si>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</si>
  <si>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</si>
  <si>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</si>
  <si>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</si>
  <si>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</si>
  <si>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</si>
  <si>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</si>
  <si>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</si>
  <si>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</si>
  <si>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</si>
  <si>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</si>
  <si>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</si>
  <si>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</si>
  <si>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</si>
  <si>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</si>
  <si>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</si>
  <si>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</si>
  <si>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</si>
  <si>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</si>
  <si>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</si>
  <si>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</si>
  <si>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</si>
  <si>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</si>
  <si>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</si>
  <si>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</si>
  <si>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</si>
  <si>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</si>
  <si>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</si>
  <si>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</si>
  <si>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</si>
  <si>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</si>
  <si>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</si>
  <si>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</si>
  <si>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</si>
  <si>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</si>
  <si>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</si>
  <si>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</si>
  <si>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</si>
  <si>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</si>
  <si>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</si>
  <si>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</si>
  <si>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</si>
  <si>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</si>
  <si>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</si>
  <si>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</si>
  <si>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</si>
  <si>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</si>
  <si>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</si>
  <si>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</si>
  <si>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</si>
  <si>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</si>
  <si>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</si>
  <si>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</si>
  <si>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</si>
  <si>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</si>
  <si>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</si>
  <si>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</si>
  <si>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</si>
  <si>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</si>
  <si>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</si>
  <si>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</si>
  <si>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</si>
  <si>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</si>
  <si>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</si>
  <si>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</si>
  <si>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</si>
  <si>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</si>
  <si>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</si>
  <si>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</si>
  <si>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</si>
  <si>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</si>
  <si>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</si>
  <si>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</si>
  <si>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</si>
  <si>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</si>
  <si>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</si>
  <si>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</si>
  <si>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</si>
  <si>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</si>
  <si>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</si>
  <si>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</si>
  <si>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</si>
  <si>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</si>
  <si>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</si>
  <si>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</si>
  <si>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</si>
  <si>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</si>
  <si>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</si>
  <si>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</si>
  <si>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</si>
  <si>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</si>
  <si>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</si>
  <si>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</si>
  <si>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</si>
  <si>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</si>
  <si>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</si>
  <si>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</si>
  <si>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</si>
  <si>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</si>
  <si>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</si>
  <si>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</si>
  <si>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</si>
  <si>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</si>
  <si>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</si>
  <si>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</si>
  <si>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</si>
  <si>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</si>
  <si>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</si>
  <si>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</si>
  <si>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</si>
  <si>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</si>
  <si>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</si>
  <si>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</si>
  <si>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</si>
  <si>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</si>
  <si>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</si>
  <si>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</si>
  <si>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</si>
  <si>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</si>
  <si>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</si>
  <si>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</si>
  <si>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</si>
  <si>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</si>
  <si>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</si>
  <si>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</si>
  <si>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</si>
  <si>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</si>
  <si>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</si>
  <si>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</si>
  <si>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</si>
  <si>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</si>
  <si>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</si>
  <si>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</si>
  <si>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</si>
  <si>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</si>
  <si>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</si>
  <si>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</si>
  <si>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</si>
  <si>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</si>
  <si>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</si>
  <si>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</si>
  <si>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</si>
  <si>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</si>
  <si>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</si>
  <si>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</si>
  <si>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</si>
  <si>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</si>
  <si>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</si>
  <si>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</si>
  <si>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</si>
  <si>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</si>
  <si>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</si>
  <si>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</si>
  <si>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</si>
  <si>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</si>
  <si>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</si>
  <si>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</si>
  <si>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</si>
  <si>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</si>
  <si>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</si>
  <si>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</si>
  <si>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</si>
  <si>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</si>
  <si>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</si>
  <si>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</si>
  <si>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</si>
  <si>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</si>
  <si>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</si>
  <si>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</si>
  <si>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</si>
  <si>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</si>
  <si>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</si>
  <si>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</si>
  <si>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</si>
  <si>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</si>
  <si>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</si>
  <si>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</si>
  <si>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</si>
  <si>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</si>
  <si>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</si>
  <si>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</si>
  <si>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</si>
  <si>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</si>
  <si>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</si>
  <si>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</si>
  <si>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</si>
  <si>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</si>
  <si>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</si>
  <si>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</si>
  <si>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</si>
  <si>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</si>
  <si>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</si>
  <si>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</si>
  <si>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</si>
  <si>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</si>
  <si>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</si>
  <si>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</si>
  <si>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</si>
  <si>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</si>
  <si>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</si>
  <si>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</si>
  <si>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</si>
  <si>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</si>
  <si>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</si>
  <si>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</si>
  <si>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</si>
  <si>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</si>
  <si>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</si>
  <si>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</si>
  <si>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</si>
  <si>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</si>
  <si>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</si>
  <si>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</si>
  <si>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</si>
  <si>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</si>
  <si>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</si>
  <si>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</si>
  <si>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</si>
  <si>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</si>
  <si>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</si>
  <si>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</si>
  <si>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</si>
  <si>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</si>
  <si>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</si>
  <si>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</si>
  <si>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</si>
  <si>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</si>
  <si>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</si>
  <si>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</si>
  <si>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</si>
  <si>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</si>
  <si>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</si>
  <si>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</si>
  <si>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</si>
  <si>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</si>
  <si>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</si>
  <si>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</si>
  <si>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</si>
  <si>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</si>
  <si>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</si>
  <si>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</si>
  <si>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</si>
  <si>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</si>
  <si>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</si>
  <si>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</si>
  <si>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</si>
  <si>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</si>
  <si>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</si>
  <si>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</si>
  <si>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</si>
  <si>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</si>
  <si>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</si>
  <si>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</si>
  <si>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</si>
  <si>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</si>
  <si>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</si>
  <si>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</si>
  <si>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</si>
  <si>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</si>
  <si>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</si>
  <si>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</si>
  <si>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</si>
  <si>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</si>
  <si>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</si>
  <si>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</si>
  <si>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</si>
  <si>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</si>
  <si>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</si>
  <si>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</si>
  <si>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</si>
  <si>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</si>
  <si>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</si>
  <si>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</si>
  <si>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</si>
  <si>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</si>
  <si>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</si>
  <si>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</si>
  <si>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</si>
  <si>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</si>
  <si>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</si>
  <si>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</si>
  <si>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</si>
  <si>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</si>
  <si>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</si>
  <si>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</si>
  <si>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</si>
  <si>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</si>
  <si>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</si>
  <si>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</si>
  <si>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</si>
  <si>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</si>
  <si>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</si>
  <si>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</si>
  <si>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</si>
  <si>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</si>
  <si>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</si>
  <si>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</si>
  <si>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</si>
  <si>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</si>
  <si>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</si>
  <si>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</si>
  <si>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</si>
  <si>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</si>
  <si>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</si>
  <si>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</si>
  <si>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</si>
  <si>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</si>
  <si>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</si>
  <si>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</si>
  <si>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</si>
  <si>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</si>
  <si>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</si>
  <si>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</si>
  <si>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</si>
  <si>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</si>
  <si>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</si>
  <si>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</si>
  <si>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</si>
  <si>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</si>
  <si>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</si>
  <si>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</si>
  <si>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</si>
  <si>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</si>
  <si>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</si>
  <si>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</si>
  <si>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</si>
  <si>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</si>
  <si>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</si>
  <si>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</si>
  <si>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</si>
  <si>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</si>
  <si>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</si>
  <si>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</si>
  <si>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</si>
  <si>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</si>
  <si>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</si>
  <si>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</si>
  <si>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</si>
  <si>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</si>
  <si>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</si>
  <si>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</si>
  <si>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</si>
  <si>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</si>
  <si>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</si>
  <si>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</si>
  <si>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</si>
  <si>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</si>
  <si>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</si>
  <si>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</si>
  <si>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</si>
  <si>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</si>
  <si>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</si>
  <si>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</si>
  <si>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</si>
  <si>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</si>
  <si>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</si>
  <si>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</si>
  <si>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</si>
  <si>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</si>
  <si>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</si>
  <si>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</si>
  <si>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</si>
  <si>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</si>
  <si>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</si>
  <si>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</si>
  <si>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</si>
  <si>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</si>
  <si>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</si>
  <si>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</si>
  <si>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</si>
  <si>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</si>
  <si>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</si>
  <si>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</si>
  <si>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</si>
  <si>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</si>
  <si>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</si>
  <si>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</si>
  <si>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</si>
  <si>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</si>
  <si>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</si>
  <si>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</si>
  <si>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</si>
  <si>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</si>
  <si>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</si>
  <si>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</si>
  <si>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</si>
  <si>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</si>
  <si>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</si>
  <si>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</si>
  <si>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</si>
  <si>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</si>
  <si>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</si>
  <si>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</si>
  <si>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</si>
  <si>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</si>
  <si>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</si>
  <si>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</si>
  <si>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</si>
  <si>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</si>
  <si>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</si>
  <si>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</si>
  <si>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</si>
  <si>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</si>
  <si>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</si>
  <si>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</si>
  <si>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</si>
  <si>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</si>
  <si>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</si>
  <si>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</si>
  <si>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</si>
  <si>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</si>
  <si>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</si>
  <si>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</si>
  <si>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</si>
  <si>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</si>
  <si>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</si>
  <si>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</si>
  <si>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</si>
  <si>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</si>
  <si>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</si>
  <si>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</si>
  <si>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</si>
  <si>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</si>
  <si>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</si>
  <si>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</si>
  <si>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</si>
  <si>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</si>
  <si>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</si>
  <si>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</si>
  <si>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</si>
  <si>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</si>
  <si>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</si>
  <si>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</si>
  <si>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</si>
  <si>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</si>
  <si>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</si>
  <si>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</si>
  <si>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</si>
  <si>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</si>
  <si>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</si>
  <si>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</si>
  <si>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</si>
  <si>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</si>
  <si>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</si>
  <si>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</si>
  <si>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</si>
  <si>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</si>
  <si>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</si>
  <si>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</si>
  <si>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</si>
  <si>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</si>
  <si>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</si>
  <si>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</si>
  <si>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</si>
  <si>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</si>
  <si>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</si>
  <si>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</si>
  <si>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</si>
  <si>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</si>
  <si>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</si>
  <si>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</si>
  <si>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</si>
  <si>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</si>
  <si>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</si>
  <si>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</si>
  <si>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</si>
  <si>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</si>
  <si>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</si>
  <si>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</si>
  <si>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</si>
  <si>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</si>
  <si>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</si>
  <si>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</si>
  <si>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</si>
  <si>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</si>
  <si>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</si>
  <si>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</si>
  <si>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</si>
  <si>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</si>
  <si>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</si>
  <si>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</si>
  <si>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</si>
  <si>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</si>
  <si>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</si>
  <si>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</si>
  <si>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</si>
  <si>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</si>
  <si>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</si>
  <si>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</si>
  <si>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</si>
  <si>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</si>
  <si>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</si>
  <si>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</si>
  <si>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</si>
  <si>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</si>
  <si>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</si>
  <si>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</si>
  <si>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</si>
  <si>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</si>
  <si>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</si>
  <si>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</si>
  <si>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</si>
  <si>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</si>
  <si>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</si>
  <si>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</si>
  <si>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</si>
  <si>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</si>
  <si>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</si>
  <si>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</si>
  <si>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</si>
  <si>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</si>
  <si>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</si>
  <si>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</si>
  <si>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</si>
  <si>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</si>
  <si>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</si>
  <si>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</si>
  <si>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</si>
  <si>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</si>
  <si>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</si>
  <si>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</si>
  <si>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</si>
  <si>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</si>
  <si>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</si>
  <si>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</si>
  <si>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</si>
  <si>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</si>
  <si>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</si>
  <si>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</si>
  <si>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</si>
  <si>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</si>
  <si>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</si>
  <si>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</si>
  <si>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</si>
  <si>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</si>
  <si>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</si>
  <si>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</si>
  <si>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</si>
  <si>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</si>
  <si>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</si>
  <si>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</si>
  <si>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</si>
  <si>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</si>
  <si>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</si>
  <si>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</si>
  <si>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</si>
  <si>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</si>
  <si>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</si>
  <si>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</si>
  <si>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</si>
  <si>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</si>
  <si>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</si>
  <si>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</si>
  <si>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</si>
  <si>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</si>
  <si>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</si>
  <si>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</si>
  <si>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</si>
  <si>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</si>
  <si>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</si>
  <si>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</si>
  <si>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</si>
  <si>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</si>
  <si>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</si>
  <si>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</si>
  <si>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</si>
  <si>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</si>
  <si>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</si>
  <si>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</si>
  <si>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</si>
  <si>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</si>
  <si>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</si>
  <si>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</si>
  <si>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</si>
  <si>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</si>
  <si>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</si>
  <si>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</si>
  <si>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</si>
  <si>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</si>
  <si>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</si>
  <si>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</si>
  <si>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</si>
  <si>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</si>
  <si>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</si>
  <si>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</si>
  <si>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</si>
  <si>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</si>
  <si>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</si>
  <si>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</si>
  <si>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</si>
  <si>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</si>
  <si>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</si>
  <si>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</si>
  <si>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</si>
  <si>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</si>
  <si>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</si>
  <si>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</si>
  <si>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</si>
  <si>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</si>
  <si>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</si>
  <si>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</si>
  <si>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</si>
  <si>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</si>
  <si>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</si>
  <si>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</si>
  <si>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</si>
  <si>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</si>
  <si>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</si>
  <si>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</si>
  <si>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</si>
  <si>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</si>
  <si>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</si>
  <si>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</si>
  <si>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</si>
  <si>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</si>
  <si>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</si>
  <si>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</si>
  <si>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</si>
  <si>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</si>
  <si>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</si>
  <si>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</si>
  <si>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</si>
  <si>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</si>
  <si>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</si>
  <si>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</si>
  <si>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</si>
  <si>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</si>
  <si>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</si>
  <si>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</si>
  <si>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</si>
  <si>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</si>
  <si>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</si>
  <si>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</si>
  <si>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</si>
  <si>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</si>
  <si>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</si>
  <si>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</si>
  <si>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</si>
  <si>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</si>
  <si>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</si>
  <si>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</si>
  <si>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</si>
  <si>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</si>
  <si>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</si>
  <si>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</si>
  <si>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</si>
  <si>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</si>
  <si>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</si>
  <si>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</si>
  <si>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</si>
  <si>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</si>
  <si>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</si>
  <si>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</si>
  <si>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</si>
  <si>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</si>
  <si>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</si>
  <si>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</si>
  <si>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</si>
  <si>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</si>
  <si>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</si>
  <si>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</si>
  <si>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</si>
  <si>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</si>
  <si>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</si>
  <si>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</si>
  <si>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</si>
  <si>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</si>
  <si>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</si>
  <si>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</si>
  <si>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</si>
  <si>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</si>
  <si>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</si>
  <si>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</si>
  <si>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</si>
  <si>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</si>
  <si>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</si>
  <si>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</si>
  <si>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</si>
  <si>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</si>
  <si>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</si>
  <si>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</si>
  <si>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</si>
  <si>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</si>
  <si>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</si>
  <si>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</si>
  <si>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</si>
  <si>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</si>
  <si>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</si>
  <si>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</si>
  <si>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</si>
  <si>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</si>
  <si>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</si>
  <si>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</si>
  <si>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</si>
  <si>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</si>
  <si>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</si>
  <si>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</si>
  <si>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</si>
  <si>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</si>
  <si>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</si>
  <si>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</si>
  <si>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</si>
  <si>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</si>
  <si>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</si>
  <si>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</si>
  <si>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</si>
  <si>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</si>
  <si>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</si>
  <si>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</si>
  <si>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</si>
  <si>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</si>
  <si>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</si>
  <si>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</si>
  <si>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</si>
  <si>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</si>
  <si>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</si>
  <si>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</si>
  <si>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</si>
  <si>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</si>
  <si>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</si>
  <si>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</si>
  <si>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</si>
  <si>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</si>
  <si>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</si>
  <si>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</si>
  <si>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</si>
  <si>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</si>
  <si>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</si>
  <si>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</si>
  <si>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</si>
  <si>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</si>
  <si>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</si>
  <si>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</si>
  <si>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</si>
  <si>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</si>
  <si>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</si>
  <si>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</si>
  <si>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</si>
  <si>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</si>
  <si>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</si>
  <si>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</si>
  <si>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</si>
  <si>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</si>
  <si>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</si>
  <si>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</si>
  <si>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</si>
  <si>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</si>
  <si>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</si>
  <si>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</si>
  <si>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</si>
  <si>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</si>
  <si>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</si>
  <si>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</si>
  <si>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</si>
  <si>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</si>
  <si>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</si>
  <si>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</si>
  <si>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</si>
  <si>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</si>
  <si>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</si>
  <si>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</si>
  <si>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</si>
  <si>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</si>
  <si>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</si>
  <si>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</si>
  <si>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</si>
  <si>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</si>
  <si>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</si>
  <si>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</si>
  <si>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</si>
  <si>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</si>
  <si>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</si>
  <si>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</si>
  <si>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</si>
  <si>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</si>
  <si>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</si>
  <si>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</si>
  <si>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</si>
  <si>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</si>
  <si>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</si>
  <si>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</si>
  <si>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</si>
  <si>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</si>
  <si>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</si>
  <si>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</si>
  <si>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</si>
  <si>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</si>
  <si>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</si>
  <si>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</si>
  <si>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</si>
  <si>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</si>
  <si>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</si>
  <si>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</si>
  <si>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</si>
  <si>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</si>
  <si>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</si>
  <si>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</si>
  <si>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</si>
  <si>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</si>
  <si>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</si>
  <si>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</si>
  <si>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</si>
  <si>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</si>
  <si>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</si>
  <si>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</si>
  <si>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</si>
  <si>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</si>
  <si>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</si>
  <si>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</si>
  <si>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</si>
  <si>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</si>
  <si>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</si>
  <si>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</si>
  <si>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</si>
  <si>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</si>
  <si>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</si>
  <si>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</si>
  <si>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</si>
  <si>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</si>
  <si>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</si>
  <si>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</si>
  <si>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</si>
  <si>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</si>
  <si>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</si>
  <si>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</si>
  <si>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</si>
  <si>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</si>
  <si>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</si>
  <si>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</si>
  <si>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</si>
  <si>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</si>
  <si>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</si>
  <si>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</si>
  <si>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</si>
  <si>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</si>
  <si>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</si>
  <si>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</si>
  <si>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</si>
  <si>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</si>
  <si>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</si>
  <si>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</si>
  <si>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</si>
  <si>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</si>
  <si>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</si>
  <si>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</si>
  <si>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</si>
  <si>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</si>
  <si>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</si>
  <si>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</si>
  <si>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</si>
  <si>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</si>
  <si>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</si>
  <si>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</si>
  <si>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</si>
  <si>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</si>
  <si>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</si>
  <si>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</si>
  <si>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</si>
  <si>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</si>
  <si>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</si>
  <si>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</si>
  <si>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</si>
  <si>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</si>
  <si>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</si>
  <si>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</si>
  <si>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</si>
  <si>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</si>
  <si>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</si>
  <si>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</si>
  <si>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</si>
  <si>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</si>
  <si>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</si>
  <si>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</si>
  <si>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</si>
  <si>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</si>
  <si>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</si>
  <si>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</si>
  <si>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</si>
  <si>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</si>
  <si>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</si>
  <si>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</si>
  <si>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</si>
  <si>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</si>
  <si>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</si>
  <si>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</si>
  <si>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</si>
  <si>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</si>
  <si>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</si>
  <si>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</si>
  <si>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</si>
  <si>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</si>
  <si>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</si>
  <si>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</si>
  <si>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</si>
  <si>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</si>
  <si>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</si>
  <si>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</si>
  <si>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</si>
  <si>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</si>
  <si>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</si>
  <si>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</si>
  <si>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</si>
  <si>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</si>
  <si>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</si>
  <si>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</si>
  <si>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</si>
  <si>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</si>
  <si>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</si>
  <si>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</si>
  <si>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</si>
  <si>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</si>
  <si>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</si>
  <si>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</si>
  <si>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</si>
  <si>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</si>
  <si>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</si>
  <si>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</si>
  <si>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</si>
  <si>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</si>
  <si>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</si>
  <si>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</si>
  <si>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</si>
  <si>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</si>
  <si>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</si>
  <si>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</si>
  <si>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</si>
  <si>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</si>
  <si>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</si>
  <si>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</si>
  <si>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</si>
  <si>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</si>
  <si>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</si>
  <si>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</si>
  <si>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</si>
  <si>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</si>
  <si>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</si>
  <si>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</si>
  <si>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</si>
  <si>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</si>
  <si>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</si>
  <si>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</si>
  <si>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</si>
  <si>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</si>
  <si>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</si>
  <si>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</si>
  <si>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</si>
  <si>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</si>
  <si>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</si>
  <si>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</si>
  <si>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</si>
  <si>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</si>
  <si>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</si>
  <si>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</si>
  <si>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</si>
  <si>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</si>
  <si>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</si>
  <si>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</si>
  <si>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</si>
  <si>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</si>
  <si>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</si>
  <si>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</si>
  <si>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</si>
  <si>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</si>
  <si>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</si>
  <si>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</si>
  <si>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</si>
  <si>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</si>
  <si>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</si>
  <si>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</si>
  <si>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</si>
  <si>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</si>
  <si>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</si>
  <si>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</si>
  <si>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</si>
  <si>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</si>
  <si>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</si>
  <si>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</si>
  <si>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</si>
  <si>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</si>
  <si>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</si>
  <si>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</si>
  <si>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</si>
  <si>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</si>
  <si>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</si>
  <si>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</si>
  <si>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</si>
  <si>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</si>
  <si>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</si>
  <si>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</si>
  <si>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</si>
  <si>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</si>
  <si>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</si>
  <si>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</si>
  <si>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</si>
  <si>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</si>
  <si>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</si>
  <si>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</si>
  <si>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</si>
  <si>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</si>
  <si>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</si>
  <si>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</si>
  <si>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</si>
  <si>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</si>
  <si>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</si>
  <si>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</si>
  <si>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</si>
  <si>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</si>
  <si>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</si>
  <si>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</si>
  <si>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</si>
  <si>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</si>
  <si>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</si>
  <si>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</si>
  <si>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</si>
  <si>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</si>
  <si>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</si>
  <si>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</si>
  <si>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</si>
  <si>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</si>
  <si>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</si>
  <si>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</si>
  <si>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</si>
  <si>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</si>
  <si>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</si>
  <si>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</si>
  <si>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</si>
  <si>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</si>
  <si>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</si>
  <si>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</si>
  <si>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</si>
  <si>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</si>
  <si>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</si>
  <si>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</si>
  <si>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</si>
  <si>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</si>
  <si>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</si>
  <si>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</si>
  <si>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</si>
  <si>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</si>
  <si>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</si>
  <si>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</si>
  <si>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</si>
  <si>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</si>
  <si>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</si>
  <si>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</si>
  <si>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</si>
  <si>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</si>
  <si>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</si>
  <si>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</si>
  <si>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</si>
  <si>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</si>
  <si>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</si>
  <si>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</si>
  <si>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</si>
  <si>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</si>
  <si>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</si>
  <si>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</si>
  <si>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</si>
  <si>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</si>
  <si>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</si>
  <si>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</si>
  <si>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</si>
  <si>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</si>
  <si>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</si>
  <si>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</si>
  <si>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</si>
  <si>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</si>
  <si>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</si>
  <si>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</si>
  <si>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</si>
  <si>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</si>
  <si>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</si>
  <si>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</si>
  <si>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</si>
  <si>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</si>
  <si>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</si>
  <si>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</si>
  <si>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</si>
  <si>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</si>
  <si>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</si>
  <si>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</si>
  <si>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</si>
  <si>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</si>
  <si>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</si>
  <si>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</si>
  <si>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</si>
  <si>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</si>
  <si>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</si>
  <si>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</si>
  <si>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</si>
  <si>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</si>
  <si>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</si>
  <si>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</si>
  <si>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</si>
  <si>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</si>
  <si>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</si>
  <si>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</si>
  <si>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</si>
  <si>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</si>
  <si>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</si>
  <si>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</si>
  <si>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</si>
  <si>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</si>
  <si>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</si>
  <si>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</si>
  <si>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</si>
  <si>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</si>
  <si>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</si>
  <si>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</si>
  <si>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</si>
  <si>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</si>
  <si>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</si>
  <si>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</si>
  <si>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</si>
  <si>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</si>
  <si>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</si>
  <si>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</si>
  <si>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</si>
  <si>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</si>
  <si>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</si>
  <si>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</si>
  <si>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</si>
  <si>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</si>
  <si>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</si>
  <si>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</si>
  <si>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</si>
  <si>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</si>
  <si>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</si>
  <si>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</si>
  <si>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</si>
  <si>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</si>
  <si>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</si>
  <si>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</si>
  <si>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</si>
  <si>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</si>
  <si>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</si>
  <si>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</si>
  <si>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</si>
  <si>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</si>
  <si>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</si>
  <si>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</si>
  <si>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</si>
  <si>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</si>
  <si>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</si>
  <si>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</si>
  <si>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</si>
  <si>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</si>
  <si>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</si>
  <si>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</si>
  <si>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</si>
  <si>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</si>
  <si>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</si>
  <si>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</si>
  <si>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</si>
  <si>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</si>
  <si>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</si>
  <si>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</si>
  <si>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</si>
  <si>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</si>
  <si>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</si>
  <si>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</si>
  <si>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</si>
  <si>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</si>
  <si>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</si>
  <si>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</si>
  <si>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</si>
  <si>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</si>
  <si>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</si>
  <si>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</si>
  <si>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</si>
  <si>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</si>
  <si>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</si>
  <si>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</si>
  <si>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</si>
  <si>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</si>
  <si>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</si>
  <si>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</si>
  <si>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</si>
  <si>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</si>
  <si>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</si>
  <si>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</si>
  <si>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</si>
  <si>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</si>
  <si>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</si>
  <si>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</si>
  <si>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</si>
  <si>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</si>
  <si>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</si>
  <si>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</si>
  <si>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</si>
  <si>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</si>
  <si>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</si>
  <si>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</si>
  <si>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</si>
  <si>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</si>
  <si>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</si>
  <si>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</si>
  <si>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</si>
  <si>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</si>
  <si>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</si>
  <si>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</si>
  <si>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</si>
  <si>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</si>
  <si>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</si>
  <si>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</si>
  <si>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</si>
  <si>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</si>
  <si>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</si>
  <si>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</si>
  <si>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</si>
  <si>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</si>
  <si>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</si>
  <si>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</si>
  <si>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</si>
  <si>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</si>
  <si>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</si>
  <si>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</si>
  <si>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</si>
  <si>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</si>
  <si>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</si>
  <si>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</si>
  <si>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</si>
  <si>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</si>
  <si>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</si>
  <si>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</si>
  <si>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</si>
  <si>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</si>
  <si>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</si>
  <si>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</si>
  <si>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</si>
  <si>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</si>
  <si>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</si>
  <si>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</si>
  <si>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</si>
  <si>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</si>
  <si>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</si>
  <si>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</si>
  <si>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</si>
  <si>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</si>
  <si>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</si>
  <si>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</si>
  <si>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</si>
  <si>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</si>
  <si>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</si>
  <si>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</si>
  <si>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</si>
  <si>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</si>
  <si>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</si>
  <si>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</si>
  <si>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</si>
  <si>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</si>
  <si>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</si>
  <si>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</si>
  <si>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</si>
  <si>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</si>
  <si>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</si>
  <si>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</si>
  <si>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</si>
  <si>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</si>
  <si>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</si>
  <si>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</si>
  <si>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</si>
  <si>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</si>
  <si>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</si>
  <si>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</si>
  <si>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</si>
  <si>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</si>
  <si>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</si>
  <si>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</si>
  <si>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</si>
  <si>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</si>
  <si>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</si>
  <si>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</si>
  <si>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</si>
  <si>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</si>
  <si>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</si>
  <si>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</si>
  <si>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</si>
  <si>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</si>
  <si>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</si>
  <si>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</si>
  <si>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</si>
  <si>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</si>
  <si>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</si>
  <si>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</si>
  <si>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</si>
  <si>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</si>
  <si>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</si>
  <si>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</si>
  <si>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</si>
  <si>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</si>
  <si>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</si>
  <si>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</si>
  <si>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</si>
  <si>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</si>
  <si>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</si>
  <si>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</si>
  <si>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</si>
  <si>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</si>
  <si>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</si>
  <si>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</si>
  <si>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</si>
  <si>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</si>
  <si>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</si>
  <si>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</si>
  <si>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</si>
  <si>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</si>
  <si>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</si>
  <si>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</si>
  <si>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</si>
  <si>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</si>
  <si>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</si>
  <si>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</si>
  <si>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</si>
  <si>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</si>
  <si>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</si>
  <si>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</si>
  <si>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</si>
  <si>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</si>
  <si>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</si>
  <si>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</si>
  <si>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</si>
  <si>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</si>
  <si>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</si>
  <si>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</si>
  <si>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</si>
  <si>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</si>
  <si>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</si>
  <si>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</si>
  <si>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</si>
  <si>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</si>
  <si>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</si>
  <si>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</si>
  <si>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</si>
  <si>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</si>
  <si>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</si>
  <si>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</si>
  <si>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</si>
  <si>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</si>
  <si>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</si>
  <si>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</si>
  <si>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</si>
  <si>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</si>
  <si>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</si>
  <si>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</si>
  <si>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</si>
  <si>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</si>
  <si>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</si>
  <si>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</si>
  <si>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</si>
  <si>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</si>
  <si>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</si>
  <si>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</si>
  <si>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</si>
  <si>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</si>
  <si>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</si>
  <si>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</si>
  <si>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</si>
  <si>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</si>
  <si>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</si>
  <si>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</si>
  <si>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</si>
  <si>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</si>
  <si>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</si>
  <si>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</si>
  <si>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</si>
  <si>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</si>
  <si>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</si>
  <si>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</si>
  <si>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</si>
  <si>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</si>
  <si>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</si>
  <si>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</si>
  <si>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</si>
  <si>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</si>
  <si>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</si>
  <si>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</si>
  <si>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</si>
  <si>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</si>
  <si>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</si>
  <si>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</si>
  <si>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</si>
  <si>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</si>
  <si>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</si>
  <si>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</si>
  <si>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</si>
  <si>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</si>
  <si>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</si>
  <si>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</si>
  <si>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</si>
  <si>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</si>
  <si>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</si>
  <si>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</si>
  <si>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</si>
  <si>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</si>
  <si>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</si>
  <si>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</si>
  <si>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</si>
  <si>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</si>
  <si>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</si>
  <si>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</si>
  <si>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</si>
  <si>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</si>
  <si>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</si>
  <si>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</si>
  <si>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</si>
  <si>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</si>
  <si>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</si>
  <si>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</si>
  <si>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</si>
  <si>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</si>
  <si>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</si>
  <si>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</si>
  <si>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</si>
  <si>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</si>
  <si>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</si>
  <si>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</si>
  <si>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</si>
  <si>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</si>
  <si>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</si>
  <si>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</si>
  <si>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</si>
  <si>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</si>
  <si>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</si>
  <si>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</si>
  <si>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</si>
  <si>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</si>
  <si>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</si>
  <si>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</si>
  <si>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</si>
  <si>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</si>
  <si>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</si>
  <si>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</si>
  <si>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</si>
  <si>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</si>
  <si>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</si>
  <si>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</si>
  <si>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</si>
  <si>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</si>
  <si>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</si>
  <si>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</si>
  <si>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</si>
  <si>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</si>
  <si>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</si>
  <si>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</si>
  <si>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</si>
  <si>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</si>
  <si>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</si>
  <si>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</si>
  <si>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</si>
  <si>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</si>
  <si>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</si>
  <si>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</si>
  <si>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</si>
  <si>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</si>
  <si>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</si>
  <si>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</si>
  <si>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</si>
  <si>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</si>
  <si>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</si>
  <si>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</si>
  <si>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</si>
  <si>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</si>
  <si>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</si>
  <si>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</si>
  <si>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</si>
  <si>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</si>
  <si>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</si>
  <si>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</si>
  <si>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</si>
  <si>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</si>
  <si>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</si>
  <si>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</si>
  <si>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</si>
  <si>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</si>
  <si>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</si>
  <si>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</si>
  <si>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</si>
  <si>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</si>
  <si>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</si>
  <si>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</si>
  <si>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</si>
  <si>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</si>
  <si>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</si>
  <si>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</si>
  <si>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</si>
  <si>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</si>
  <si>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</si>
  <si>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</si>
  <si>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</si>
  <si>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</si>
  <si>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</si>
  <si>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</si>
  <si>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</si>
  <si>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</si>
  <si>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</si>
  <si>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</si>
  <si>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</si>
  <si>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</si>
  <si>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</si>
  <si>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</si>
  <si>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</si>
  <si>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</si>
  <si>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</si>
  <si>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</si>
  <si>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</si>
  <si>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</si>
  <si>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</si>
  <si>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</si>
  <si>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</si>
  <si>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</si>
  <si>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</si>
  <si>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</si>
  <si>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</si>
  <si>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</si>
  <si>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</si>
  <si>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</si>
  <si>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</si>
  <si>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</si>
  <si>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</si>
  <si>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</si>
  <si>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</si>
  <si>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</si>
  <si>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</si>
  <si>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</si>
  <si>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</si>
  <si>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</si>
  <si>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</si>
  <si>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</si>
  <si>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</si>
  <si>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</si>
  <si>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</si>
  <si>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</si>
  <si>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</si>
  <si>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</si>
  <si>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</si>
  <si>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</si>
  <si>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</si>
  <si>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</si>
  <si>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</si>
  <si>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</si>
  <si>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</si>
  <si>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</si>
  <si>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</si>
  <si>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</si>
  <si>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</si>
  <si>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</si>
  <si>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</si>
  <si>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</si>
  <si>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</si>
  <si>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</si>
  <si>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</si>
  <si>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</si>
  <si>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</si>
  <si>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</si>
  <si>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</si>
  <si>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</si>
  <si>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</si>
  <si>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</si>
  <si>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</si>
  <si>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</si>
  <si>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</si>
  <si>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</si>
  <si>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</si>
  <si>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</si>
  <si>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</si>
  <si>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</si>
  <si>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</si>
  <si>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</si>
  <si>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</si>
  <si>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</si>
  <si>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</si>
  <si>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</si>
  <si>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</si>
  <si>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</si>
  <si>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</si>
  <si>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</si>
  <si>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</si>
  <si>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</si>
  <si>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</si>
  <si>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</si>
  <si>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</si>
  <si>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</si>
  <si>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</si>
  <si>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</si>
  <si>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</si>
  <si>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</si>
  <si>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</si>
  <si>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</si>
  <si>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</si>
  <si>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</si>
  <si>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</si>
  <si>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</si>
  <si>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</si>
  <si>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</si>
  <si>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</si>
  <si>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</si>
  <si>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</si>
  <si>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</si>
  <si>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</si>
  <si>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</si>
  <si>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</si>
  <si>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</si>
  <si>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</si>
  <si>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</si>
  <si>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</si>
  <si>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</si>
  <si>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</si>
  <si>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</si>
  <si>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</si>
  <si>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</si>
  <si>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</si>
  <si>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</si>
  <si>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</si>
  <si>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</si>
  <si>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</si>
  <si>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</si>
  <si>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</si>
  <si>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</si>
  <si>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</si>
  <si>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</si>
  <si>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</si>
  <si>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</si>
  <si>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</si>
  <si>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</si>
  <si>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</si>
  <si>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</si>
  <si>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</si>
  <si>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</si>
  <si>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</si>
  <si>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</si>
  <si>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</si>
  <si>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</si>
  <si>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</si>
  <si>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</si>
  <si>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</si>
  <si>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</si>
  <si>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</si>
  <si>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</si>
  <si>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</si>
  <si>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</si>
  <si>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</si>
  <si>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</si>
  <si>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</si>
  <si>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</si>
  <si>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</si>
  <si>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</si>
  <si>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</si>
  <si>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</si>
  <si>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</si>
  <si>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</si>
  <si>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</si>
  <si>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</si>
  <si>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</si>
  <si>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</si>
  <si>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</si>
  <si>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</si>
  <si>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</si>
  <si>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</si>
  <si>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</si>
  <si>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</si>
  <si>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</si>
  <si>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</si>
  <si>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</si>
  <si>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</si>
  <si>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</si>
  <si>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</si>
  <si>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</si>
  <si>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</si>
  <si>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</si>
  <si>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</si>
  <si>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</si>
  <si>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</si>
  <si>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</si>
  <si>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</si>
  <si>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</si>
  <si>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</si>
  <si>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</si>
  <si>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</si>
  <si>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</si>
  <si>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</si>
  <si>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</si>
  <si>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</si>
  <si>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</si>
  <si>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</si>
  <si>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</si>
  <si>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</si>
  <si>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</si>
  <si>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</si>
  <si>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</si>
  <si>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</si>
  <si>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</si>
  <si>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</si>
  <si>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</si>
  <si>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</si>
  <si>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</si>
  <si>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</si>
  <si>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</si>
  <si>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</si>
  <si>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</si>
  <si>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</si>
  <si>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</si>
  <si>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</si>
  <si>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</si>
  <si>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</si>
  <si>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</si>
  <si>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</si>
  <si>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</si>
  <si>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</si>
  <si>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</si>
  <si>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</si>
  <si>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</si>
  <si>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</si>
  <si>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</si>
  <si>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</si>
  <si>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</si>
  <si>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</si>
  <si>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</si>
  <si>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</si>
  <si>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</si>
  <si>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</si>
  <si>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</si>
  <si>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</si>
  <si>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</si>
  <si>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</si>
  <si>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</si>
  <si>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</si>
  <si>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</si>
  <si>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</si>
  <si>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</si>
  <si>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</si>
  <si>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</si>
  <si>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</si>
  <si>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</si>
  <si>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</si>
  <si>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</si>
  <si>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</si>
  <si>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</si>
  <si>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</si>
  <si>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</si>
  <si>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</si>
  <si>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</si>
  <si>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</si>
  <si>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</si>
  <si>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</si>
  <si>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</si>
  <si>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</si>
  <si>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</si>
  <si>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</si>
  <si>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</si>
  <si>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</si>
  <si>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</si>
  <si>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</si>
  <si>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</si>
  <si>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</si>
  <si>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</si>
  <si>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</si>
  <si>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</si>
  <si>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</si>
  <si>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</si>
  <si>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</si>
  <si>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</si>
  <si>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</si>
  <si>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</si>
  <si>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</si>
  <si>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</si>
  <si>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</si>
  <si>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</si>
  <si>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</si>
  <si>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</si>
  <si>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</si>
  <si>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</si>
  <si>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</si>
  <si>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</si>
  <si>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</si>
  <si>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</si>
  <si>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</si>
  <si>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</si>
  <si>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</si>
  <si>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</si>
  <si>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</si>
  <si>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</si>
  <si>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</si>
  <si>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</si>
  <si>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</si>
  <si>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</si>
  <si>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</si>
  <si>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</si>
  <si>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</si>
  <si>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</si>
  <si>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</si>
  <si>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</si>
  <si>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</si>
  <si>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</si>
  <si>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</si>
  <si>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</si>
  <si>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</si>
  <si>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</si>
  <si>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</si>
  <si>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</si>
  <si>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</si>
  <si>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</si>
  <si>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</si>
  <si>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</si>
  <si>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</si>
  <si>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</si>
  <si>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</si>
  <si>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</si>
  <si>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</si>
  <si>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</si>
  <si>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</si>
  <si>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</si>
  <si>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</si>
  <si>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</si>
  <si>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</si>
  <si>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</si>
  <si>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</si>
  <si>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</si>
  <si>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</si>
  <si>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</si>
  <si>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</si>
  <si>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</si>
  <si>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</si>
  <si>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</si>
  <si>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</si>
  <si>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</si>
  <si>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</si>
  <si>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</si>
  <si>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</si>
  <si>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</si>
  <si>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</si>
  <si>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</si>
  <si>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</si>
  <si>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</si>
  <si>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</si>
  <si>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</si>
  <si>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</si>
  <si>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</si>
  <si>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</si>
  <si>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</si>
  <si>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</si>
  <si>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</si>
  <si>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</si>
  <si>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</si>
  <si>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</si>
  <si>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</si>
  <si>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</si>
  <si>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</si>
  <si>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</si>
  <si>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</si>
  <si>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</si>
  <si>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</si>
  <si>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</si>
  <si>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</si>
  <si>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</si>
  <si>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</si>
  <si>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</si>
  <si>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</si>
  <si>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</si>
  <si>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</si>
  <si>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</si>
  <si>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</si>
  <si>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</si>
  <si>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</si>
  <si>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</si>
  <si>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</si>
  <si>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</si>
  <si>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</si>
  <si>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</si>
  <si>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</si>
  <si>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</si>
  <si>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</si>
  <si>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</si>
  <si>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</si>
  <si>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</si>
  <si>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</si>
  <si>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</si>
  <si>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</si>
  <si>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</si>
  <si>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</si>
  <si>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</si>
  <si>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</si>
  <si>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</si>
  <si>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</si>
  <si>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</si>
  <si>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</si>
  <si>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</si>
  <si>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</si>
  <si>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</si>
  <si>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</si>
  <si>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</si>
  <si>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</si>
  <si>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</si>
  <si>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</si>
  <si>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</si>
  <si>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</si>
  <si>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</si>
  <si>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</si>
  <si>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</si>
  <si>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</si>
  <si>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</si>
  <si>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</si>
  <si>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</si>
  <si>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</si>
  <si>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</si>
  <si>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</si>
  <si>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</si>
  <si>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</si>
  <si>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</si>
  <si>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</si>
  <si>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</si>
  <si>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</si>
  <si>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</si>
  <si>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</si>
  <si>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</si>
  <si>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</si>
  <si>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</si>
  <si>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</si>
  <si>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</si>
  <si>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</si>
  <si>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</si>
  <si>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</si>
  <si>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</si>
  <si>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</si>
  <si>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</si>
  <si>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</si>
  <si>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</si>
  <si>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</si>
  <si>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</si>
  <si>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</si>
  <si>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</si>
  <si>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</si>
  <si>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</si>
  <si>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</si>
  <si>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</si>
  <si>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</si>
  <si>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</si>
  <si>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</si>
  <si>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</si>
  <si>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</si>
  <si>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</si>
  <si>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</si>
  <si>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</si>
  <si>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</si>
  <si>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</si>
  <si>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</si>
  <si>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</si>
  <si>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</si>
  <si>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</si>
  <si>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</si>
  <si>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</si>
  <si>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</si>
  <si>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</si>
  <si>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</si>
  <si>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</si>
  <si>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</si>
  <si>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</si>
  <si>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</si>
  <si>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</si>
  <si>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</si>
  <si>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</si>
  <si>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</si>
  <si>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</si>
  <si>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</si>
  <si>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</si>
  <si>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</si>
  <si>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</si>
  <si>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</si>
  <si>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</si>
  <si>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</si>
  <si>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</si>
  <si>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</si>
  <si>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</si>
  <si>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</si>
  <si>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</si>
  <si>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</si>
  <si>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</si>
  <si>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</si>
  <si>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</si>
  <si>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</si>
  <si>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</si>
  <si>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</si>
  <si>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</si>
  <si>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</si>
  <si>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</si>
  <si>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</si>
  <si>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</si>
  <si>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</si>
  <si>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</si>
  <si>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</si>
  <si>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</si>
  <si>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</si>
  <si>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</si>
  <si>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</si>
  <si>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</si>
  <si>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</si>
  <si>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</si>
  <si>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</si>
  <si>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</si>
  <si>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</si>
  <si>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</si>
  <si>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</si>
  <si>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</si>
  <si>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</si>
  <si>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</si>
  <si>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</si>
  <si>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</si>
  <si>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</si>
  <si>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</si>
  <si>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</si>
  <si>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</si>
  <si>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</si>
  <si>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</si>
  <si>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</si>
  <si>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</si>
  <si>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</si>
  <si>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</si>
  <si>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</si>
  <si>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</si>
  <si>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</si>
  <si>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</si>
  <si>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</si>
  <si>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</si>
  <si>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</si>
  <si>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</si>
  <si>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</si>
  <si>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</si>
  <si>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</si>
  <si>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</si>
  <si>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</si>
  <si>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</si>
  <si>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</si>
  <si>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</si>
  <si>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</si>
  <si>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</si>
  <si>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</si>
  <si>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</si>
  <si>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</si>
  <si>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</si>
  <si>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</si>
  <si>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</si>
  <si>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</si>
  <si>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</si>
  <si>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</si>
  <si>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</si>
  <si>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</si>
  <si>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</si>
  <si>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</si>
  <si>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</si>
  <si>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</si>
  <si>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</si>
  <si>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</si>
  <si>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</si>
  <si>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</si>
  <si>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</si>
  <si>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</si>
  <si>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</si>
  <si>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</si>
  <si>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</si>
  <si>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</si>
  <si>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</si>
  <si>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</si>
  <si>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</si>
  <si>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</si>
  <si>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</si>
  <si>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</si>
  <si>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</si>
  <si>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</si>
  <si>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</si>
  <si>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</si>
  <si>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</si>
  <si>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</si>
  <si>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</si>
  <si>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</si>
  <si>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</si>
  <si>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</si>
  <si>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</si>
  <si>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</si>
  <si>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</si>
  <si>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</si>
  <si>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</si>
  <si>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</si>
  <si>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</si>
  <si>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</si>
  <si>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</si>
  <si>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</si>
  <si>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</si>
  <si>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</si>
  <si>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</si>
  <si>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</si>
  <si>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</si>
  <si>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</si>
  <si>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</si>
  <si>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</si>
  <si>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</si>
  <si>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</si>
  <si>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</si>
  <si>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</si>
  <si>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</si>
  <si>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</si>
  <si>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</si>
  <si>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</si>
  <si>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</si>
  <si>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</si>
  <si>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</si>
  <si>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</si>
  <si>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</si>
  <si>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</si>
  <si>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</si>
  <si>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</si>
  <si>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</si>
  <si>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</si>
  <si>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</si>
  <si>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</si>
  <si>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</si>
  <si>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</si>
  <si>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</si>
  <si>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</si>
  <si>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</si>
  <si>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</si>
  <si>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</si>
  <si>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</si>
  <si>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</si>
  <si>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</si>
  <si>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</si>
  <si>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</si>
  <si>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</si>
  <si>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</si>
  <si>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</si>
  <si>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</si>
  <si>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</si>
  <si>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</si>
  <si>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</si>
  <si>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</si>
  <si>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</si>
  <si>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</si>
  <si>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</si>
  <si>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</si>
  <si>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</si>
  <si>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</si>
  <si>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</si>
  <si>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</si>
  <si>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</si>
  <si>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</si>
  <si>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</si>
  <si>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</si>
  <si>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</si>
  <si>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</si>
  <si>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</si>
  <si>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</si>
  <si>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</si>
  <si>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</si>
  <si>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</si>
  <si>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</si>
  <si>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</si>
  <si>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</si>
  <si>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</si>
  <si>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</si>
  <si>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</si>
  <si>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</si>
  <si>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</si>
  <si>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</si>
  <si>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</si>
  <si>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</si>
  <si>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</si>
  <si>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</si>
  <si>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</si>
  <si>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</si>
  <si>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</si>
  <si>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</si>
  <si>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</si>
  <si>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</si>
  <si>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</si>
  <si>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</si>
  <si>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</si>
  <si>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</si>
  <si>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</si>
  <si>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</si>
  <si>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</si>
  <si>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</si>
  <si>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</si>
  <si>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</si>
  <si>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</si>
  <si>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</si>
  <si>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</si>
  <si>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</si>
  <si>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</si>
  <si>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</si>
  <si>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</si>
  <si>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</si>
  <si>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</si>
  <si>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</si>
  <si>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</si>
  <si>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</si>
  <si>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</si>
  <si>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</si>
  <si>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</si>
  <si>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</si>
  <si>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</si>
  <si>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</si>
  <si>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</si>
  <si>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</si>
  <si>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</si>
  <si>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</si>
  <si>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</si>
  <si>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</si>
  <si>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</si>
  <si>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</si>
  <si>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</si>
  <si>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</si>
  <si>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</si>
  <si>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</si>
  <si>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</si>
  <si>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</si>
  <si>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</si>
  <si>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</si>
  <si>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</si>
  <si>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</si>
  <si>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</si>
  <si>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</si>
  <si>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</si>
  <si>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</si>
  <si>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</si>
  <si>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</si>
  <si>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</si>
  <si>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</si>
  <si>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</si>
  <si>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</si>
  <si>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</si>
  <si>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</si>
  <si>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</si>
  <si>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</si>
  <si>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</si>
  <si>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</si>
  <si>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</si>
  <si>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</si>
  <si>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</si>
  <si>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</si>
  <si>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</si>
  <si>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</si>
  <si>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</si>
  <si>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</si>
  <si>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</si>
  <si>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</si>
  <si>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</si>
  <si>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</si>
  <si>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</si>
  <si>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</si>
  <si>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</si>
  <si>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</si>
  <si>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</si>
  <si>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</si>
  <si>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</si>
  <si>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</si>
  <si>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</si>
  <si>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</si>
  <si>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</si>
  <si>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</si>
  <si>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</si>
  <si>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</si>
  <si>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</si>
  <si>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</si>
  <si>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</si>
  <si>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</si>
  <si>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</si>
  <si>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</si>
  <si>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</si>
  <si>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</si>
  <si>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</si>
  <si>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</si>
  <si>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</si>
  <si>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</si>
  <si>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</si>
  <si>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</si>
  <si>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</si>
  <si>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</si>
  <si>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</si>
  <si>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</si>
  <si>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</si>
  <si>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</si>
  <si>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</si>
  <si>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</si>
  <si>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</si>
  <si>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</si>
  <si>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</si>
  <si>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</si>
  <si>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</si>
  <si>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</si>
  <si>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</si>
  <si>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</si>
  <si>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</si>
  <si>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</si>
  <si>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</si>
  <si>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</si>
  <si>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</si>
  <si>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</si>
  <si>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</si>
  <si>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</si>
  <si>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</si>
  <si>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</si>
  <si>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</si>
  <si>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</si>
  <si>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</si>
  <si>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</si>
  <si>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</si>
  <si>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</si>
  <si>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</si>
  <si>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</si>
  <si>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</si>
  <si>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</si>
  <si>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</si>
  <si>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</si>
  <si>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</si>
  <si>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</si>
  <si>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</si>
  <si>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</si>
  <si>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</si>
  <si>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</si>
  <si>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</si>
  <si>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</si>
  <si>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</si>
  <si>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</si>
  <si>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</si>
  <si>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</si>
  <si>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</si>
  <si>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</si>
  <si>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</si>
  <si>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</si>
  <si>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</si>
  <si>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</si>
  <si>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</si>
  <si>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</si>
  <si>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</si>
  <si>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</si>
  <si>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</si>
  <si>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</si>
  <si>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</si>
  <si>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</si>
  <si>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</si>
  <si>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</si>
  <si>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</si>
  <si>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</si>
  <si>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</si>
  <si>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</si>
  <si>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</si>
  <si>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</si>
  <si>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</si>
  <si>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</si>
  <si>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</si>
  <si>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</si>
  <si>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</si>
  <si>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</si>
  <si>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</si>
  <si>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</si>
  <si>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</si>
  <si>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</si>
  <si>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</si>
  <si>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</si>
  <si>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</si>
  <si>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</si>
  <si>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</si>
  <si>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</si>
  <si>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</si>
  <si>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</si>
  <si>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</si>
  <si>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</si>
  <si>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</si>
  <si>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</si>
  <si>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</si>
  <si>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</si>
  <si>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</si>
  <si>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</si>
  <si>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</si>
  <si>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</si>
  <si>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</si>
  <si>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</si>
  <si>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</si>
  <si>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</si>
  <si>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</si>
  <si>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</si>
  <si>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</si>
  <si>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</si>
  <si>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</si>
  <si>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</si>
  <si>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</si>
  <si>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</si>
  <si>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</si>
  <si>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</si>
  <si>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</si>
  <si>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</si>
  <si>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</si>
  <si>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</si>
  <si>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</si>
  <si>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</si>
  <si>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</si>
  <si>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</si>
  <si>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</si>
  <si>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</si>
  <si>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</si>
  <si>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</si>
  <si>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</si>
  <si>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</si>
  <si>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</si>
  <si>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</si>
  <si>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</si>
  <si>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</si>
  <si>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</si>
  <si>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</si>
  <si>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</si>
  <si>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</si>
  <si>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</si>
  <si>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</si>
  <si>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</si>
  <si>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</si>
  <si>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</si>
  <si>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</si>
  <si>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</si>
  <si>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</si>
  <si>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</si>
  <si>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</si>
  <si>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</si>
  <si>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</si>
  <si>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</si>
  <si>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</si>
  <si>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</si>
  <si>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</si>
  <si>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</si>
  <si>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</si>
  <si>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</si>
  <si>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</si>
  <si>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</si>
  <si>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</si>
  <si>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</si>
  <si>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</si>
  <si>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</si>
  <si>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</si>
  <si>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</si>
  <si>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</si>
  <si>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</si>
  <si>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</si>
  <si>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</si>
  <si>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</si>
  <si>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</si>
  <si>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</si>
  <si>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</si>
  <si>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</si>
  <si>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</si>
  <si>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</si>
  <si>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</si>
  <si>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</si>
  <si>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</si>
  <si>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</si>
  <si>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</si>
  <si>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</si>
  <si>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</si>
  <si>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</si>
  <si>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</si>
  <si>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</si>
  <si>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</si>
  <si>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</si>
  <si>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</si>
  <si>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</si>
  <si>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</si>
  <si>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</si>
  <si>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</si>
  <si>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</si>
  <si>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</si>
  <si>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</si>
  <si>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</si>
  <si>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</si>
  <si>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</si>
  <si>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</si>
  <si>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</si>
  <si>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</si>
  <si>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</si>
  <si>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</si>
  <si>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</si>
  <si>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</si>
  <si>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</si>
  <si>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</si>
  <si>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</si>
  <si>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</si>
  <si>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</si>
  <si>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</si>
  <si>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</si>
  <si>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</si>
  <si>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</si>
  <si>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</si>
  <si>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</si>
  <si>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</si>
  <si>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</si>
  <si>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</si>
  <si>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</si>
  <si>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</si>
  <si>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</si>
  <si>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</si>
  <si>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</si>
  <si>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</si>
  <si>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</si>
  <si>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</si>
  <si>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</si>
  <si>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</si>
  <si>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</si>
  <si>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</si>
  <si>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</si>
  <si>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</si>
  <si>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</si>
  <si>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</si>
  <si>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</si>
  <si>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</si>
  <si>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</si>
  <si>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</si>
  <si>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</si>
  <si>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</si>
  <si>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</si>
  <si>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</si>
  <si>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</si>
  <si>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</si>
  <si>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</si>
  <si>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</si>
  <si>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</si>
  <si>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</si>
  <si>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</si>
  <si>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</si>
  <si>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</si>
  <si>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</si>
  <si>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</si>
  <si>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</si>
  <si>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</si>
  <si>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</si>
  <si>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</si>
  <si>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</si>
  <si>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</si>
  <si>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</si>
  <si>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</si>
  <si>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</si>
  <si>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</si>
  <si>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</si>
  <si>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</si>
  <si>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</si>
  <si>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</si>
  <si>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</si>
  <si>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</si>
  <si>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</si>
  <si>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</si>
  <si>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</si>
  <si>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</si>
  <si>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</si>
  <si>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</si>
  <si>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</si>
  <si>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</si>
  <si>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</si>
  <si>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</si>
  <si>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</si>
  <si>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</si>
  <si>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</si>
  <si>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</si>
  <si>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</si>
  <si>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</si>
  <si>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</si>
  <si>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</si>
  <si>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</si>
  <si>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</si>
  <si>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</si>
  <si>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</si>
  <si>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</si>
  <si>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</si>
  <si>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</si>
  <si>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</si>
  <si>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</si>
  <si>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</si>
  <si>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</si>
  <si>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</si>
  <si>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</si>
  <si>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</si>
  <si>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</si>
  <si>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</si>
  <si>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</si>
  <si>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</si>
  <si>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</si>
  <si>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</si>
  <si>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</si>
  <si>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</si>
  <si>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</si>
  <si>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</si>
  <si>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</si>
  <si>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</si>
  <si>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</si>
  <si>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</si>
  <si>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</si>
  <si>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</si>
  <si>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</si>
  <si>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</si>
  <si>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</si>
  <si>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</si>
  <si>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</si>
  <si>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</si>
  <si>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</si>
  <si>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</si>
  <si>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</si>
  <si>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</si>
  <si>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</si>
  <si>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</si>
  <si>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</si>
  <si>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</si>
  <si>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</si>
  <si>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</si>
  <si>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</si>
  <si>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</si>
  <si>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</si>
  <si>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</si>
  <si>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</si>
  <si>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</si>
  <si>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</si>
  <si>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</si>
  <si>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</si>
  <si>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</si>
  <si>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</si>
  <si>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</si>
  <si>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</si>
  <si>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</si>
  <si>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</si>
  <si>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</si>
  <si>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</si>
  <si>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</si>
  <si>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</si>
  <si>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</si>
  <si>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</si>
  <si>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</si>
  <si>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</si>
  <si>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</si>
  <si>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</si>
  <si>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</si>
  <si>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</si>
  <si>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</si>
  <si>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</si>
  <si>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</si>
  <si>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</si>
  <si>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</si>
  <si>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</si>
  <si>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</si>
  <si>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</si>
  <si>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</si>
  <si>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</si>
  <si>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</si>
  <si>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</si>
  <si>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</si>
  <si>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</si>
  <si>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</si>
  <si>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</si>
  <si>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</si>
  <si>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</si>
  <si>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</si>
  <si>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</si>
  <si>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</si>
  <si>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</si>
  <si>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</si>
  <si>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</si>
  <si>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</si>
  <si>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</si>
  <si>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</si>
  <si>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</si>
  <si>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</si>
  <si>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</si>
  <si>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</si>
  <si>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</si>
  <si>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</si>
  <si>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</si>
  <si>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</si>
  <si>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</si>
  <si>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</si>
  <si>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</si>
  <si>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</si>
  <si>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</si>
  <si>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</si>
  <si>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</si>
  <si>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</si>
  <si>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</si>
  <si>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</si>
  <si>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</si>
  <si>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</si>
  <si>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</si>
  <si>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</si>
  <si>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</si>
  <si>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</si>
  <si>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</si>
  <si>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</si>
  <si>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</si>
  <si>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</si>
  <si>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</si>
  <si>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</si>
  <si>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</si>
  <si>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</si>
  <si>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</si>
  <si>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</si>
  <si>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</si>
  <si>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</si>
  <si>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</si>
  <si>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</si>
  <si>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</si>
  <si>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</si>
  <si>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</si>
  <si>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</si>
  <si>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</si>
  <si>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</si>
  <si>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</si>
  <si>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</si>
  <si>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</si>
  <si>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</si>
  <si>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</si>
  <si>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</si>
  <si>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</si>
  <si>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</si>
  <si>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</si>
  <si>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</si>
  <si>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</si>
  <si>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</si>
  <si>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</si>
  <si>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</si>
  <si>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</si>
  <si>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</si>
  <si>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</si>
  <si>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</si>
  <si>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</si>
  <si>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</si>
  <si>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</si>
  <si>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</si>
  <si>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</si>
  <si>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</si>
  <si>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</si>
  <si>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</si>
  <si>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</si>
  <si>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</si>
  <si>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</si>
  <si>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</si>
  <si>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</si>
  <si>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</si>
  <si>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</si>
  <si>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</si>
  <si>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</si>
  <si>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</si>
  <si>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</si>
  <si>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</si>
  <si>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</si>
  <si>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</si>
  <si>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</si>
  <si>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</si>
  <si>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</si>
  <si>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</si>
  <si>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</si>
  <si>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</si>
  <si>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</si>
  <si>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</si>
  <si>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</si>
  <si>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</si>
  <si>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</si>
  <si>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</si>
  <si>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</si>
  <si>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</si>
  <si>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</si>
  <si>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</si>
  <si>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</si>
  <si>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</si>
  <si>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</si>
  <si>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</si>
  <si>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</si>
  <si>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</si>
  <si>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</si>
  <si>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</si>
  <si>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</si>
  <si>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</si>
  <si>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</si>
  <si>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</si>
  <si>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</si>
  <si>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</si>
  <si>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</si>
  <si>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</si>
  <si>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</si>
  <si>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</si>
  <si>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</si>
  <si>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</si>
  <si>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</si>
  <si>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</si>
  <si>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</si>
  <si>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</si>
  <si>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</si>
  <si>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</si>
  <si>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</si>
  <si>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</si>
  <si>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</si>
  <si>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</si>
  <si>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</si>
  <si>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</si>
  <si>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</si>
  <si>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</si>
  <si>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</si>
  <si>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</si>
  <si>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</si>
  <si>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</si>
  <si>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</si>
  <si>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</si>
  <si>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</si>
  <si>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</si>
  <si>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</si>
  <si>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</si>
  <si>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</si>
  <si>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</si>
  <si>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</si>
  <si>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</si>
  <si>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</si>
  <si>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</si>
  <si>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</si>
  <si>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</si>
  <si>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</si>
  <si>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</si>
  <si>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</si>
  <si>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</si>
  <si>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</si>
  <si>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</si>
  <si>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</si>
  <si>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</si>
  <si>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</si>
  <si>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</si>
  <si>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</si>
  <si>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</si>
  <si>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</si>
  <si>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</si>
  <si>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</si>
  <si>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</si>
  <si>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</si>
  <si>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</si>
  <si>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</si>
  <si>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</si>
  <si>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</si>
  <si>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</si>
  <si>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</si>
  <si>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</si>
  <si>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</si>
  <si>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</si>
  <si>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</si>
  <si>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</si>
  <si>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</si>
  <si>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</si>
  <si>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</si>
  <si>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</si>
  <si>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</si>
  <si>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</si>
  <si>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</si>
  <si>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</si>
  <si>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</si>
  <si>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</si>
  <si>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</si>
  <si>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</si>
  <si>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</si>
  <si>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</si>
  <si>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</si>
  <si>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</si>
  <si>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</si>
  <si>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</si>
  <si>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</si>
  <si>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</si>
  <si>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</si>
  <si>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</si>
  <si>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</si>
  <si>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</si>
  <si>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</si>
  <si>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</si>
  <si>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</si>
  <si>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</si>
  <si>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</si>
  <si>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</si>
  <si>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</si>
  <si>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</si>
  <si>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</si>
  <si>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</si>
  <si>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</si>
  <si>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</si>
  <si>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</si>
  <si>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</si>
  <si>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</si>
  <si>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</si>
  <si>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</si>
  <si>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</si>
  <si>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</si>
  <si>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</si>
  <si>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</si>
  <si>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</si>
  <si>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</si>
  <si>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</si>
  <si>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New Age (1 álbumes)</t>
  </si>
  <si>
    <t>TOP Industrial &amp; Noise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</si>
  <si>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</si>
  <si>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</si>
  <si>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</si>
  <si>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</si>
  <si>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</si>
  <si>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</si>
  <si>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</si>
  <si>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</si>
  <si>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</si>
  <si>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</si>
  <si>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</si>
  <si>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</si>
  <si>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</si>
  <si>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</si>
  <si>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</si>
  <si>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</si>
  <si>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</si>
  <si>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</si>
  <si>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</si>
  <si>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</si>
  <si>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</si>
  <si>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</si>
  <si>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</si>
  <si>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</si>
  <si>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</si>
  <si>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</si>
  <si>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</si>
  <si>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</si>
  <si>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</si>
  <si>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</si>
  <si>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</si>
  <si>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</si>
  <si>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</si>
  <si>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</si>
  <si>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</si>
  <si>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</si>
  <si>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</si>
  <si>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</si>
  <si>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</si>
  <si>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</si>
  <si>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</si>
  <si>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</si>
  <si>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</si>
  <si>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</si>
  <si>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</si>
  <si>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</si>
  <si>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</si>
  <si>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</si>
  <si>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</si>
  <si>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</si>
  <si>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</si>
  <si>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</si>
  <si>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</si>
  <si>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</si>
  <si>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</si>
  <si>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</si>
  <si>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</si>
  <si>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</si>
  <si>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</si>
  <si>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</si>
  <si>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</si>
  <si>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</si>
  <si>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</si>
  <si>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</si>
  <si>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</si>
  <si>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</si>
  <si>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</si>
  <si>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</si>
  <si>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</si>
  <si>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</si>
  <si>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</si>
  <si>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</si>
  <si>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</si>
  <si>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</si>
  <si>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</si>
  <si>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</si>
  <si>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</si>
  <si>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</si>
  <si>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</si>
  <si>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</si>
  <si>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</si>
  <si>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</si>
  <si>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</si>
  <si>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</si>
  <si>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</si>
  <si>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</si>
  <si>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</si>
  <si>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</si>
  <si>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</si>
  <si>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</si>
  <si>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</si>
  <si>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</si>
  <si>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</si>
  <si>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</si>
  <si>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</si>
  <si>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</si>
  <si>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</si>
  <si>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</si>
  <si>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</si>
  <si>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</si>
  <si>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</si>
  <si>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</si>
  <si>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</si>
  <si>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</si>
  <si>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</si>
  <si>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</si>
  <si>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</si>
  <si>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</si>
  <si>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</si>
  <si>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</si>
  <si>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</si>
  <si>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</si>
  <si>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</si>
  <si>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</si>
  <si>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</si>
  <si>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</si>
  <si>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</si>
  <si>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</si>
  <si>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</si>
  <si>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</si>
  <si>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</si>
  <si>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</si>
  <si>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</si>
  <si>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</si>
  <si>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</si>
  <si>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</si>
  <si>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</si>
  <si>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</si>
  <si>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</si>
  <si>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</si>
  <si>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</si>
  <si>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</si>
  <si>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</si>
  <si>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</si>
  <si>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</si>
  <si>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</si>
  <si>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</si>
  <si>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</si>
  <si>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</si>
  <si>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</si>
  <si>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</si>
  <si>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</si>
  <si>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</si>
  <si>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</si>
  <si>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</si>
  <si>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</si>
  <si>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</si>
  <si>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</si>
  <si>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</si>
  <si>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</si>
  <si>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</si>
  <si>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</si>
  <si>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</si>
  <si>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</si>
  <si>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</si>
  <si>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</si>
  <si>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</si>
  <si>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</si>
  <si>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</si>
  <si>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</si>
  <si>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</si>
  <si>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</si>
  <si>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</si>
  <si>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</si>
  <si>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</si>
  <si>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</si>
  <si>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</si>
  <si>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</si>
  <si>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</si>
  <si>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</si>
  <si>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</si>
  <si>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</si>
  <si>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</si>
  <si>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</si>
  <si>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</si>
  <si>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</si>
  <si>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</si>
  <si>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</si>
  <si>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</si>
  <si>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</si>
  <si>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</si>
  <si>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</si>
  <si>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</si>
  <si>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</si>
  <si>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</si>
  <si>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</si>
  <si>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</si>
  <si>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</si>
  <si>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</si>
  <si>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</si>
  <si>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</si>
  <si>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</si>
  <si>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</si>
  <si>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</si>
  <si>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</si>
  <si>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</si>
  <si>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</si>
  <si>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</si>
  <si>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</si>
  <si>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</si>
  <si>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</si>
  <si>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</si>
  <si>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</si>
  <si>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</si>
  <si>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</si>
  <si>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</si>
  <si>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</si>
  <si>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</si>
  <si>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</si>
  <si>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</si>
  <si>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</si>
  <si>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</si>
  <si>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</si>
  <si>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</si>
  <si>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</si>
  <si>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</si>
  <si>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</si>
  <si>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</si>
  <si>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</si>
  <si>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</si>
  <si>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</si>
  <si>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</si>
  <si>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</si>
  <si>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</si>
  <si>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</si>
  <si>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</si>
  <si>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</si>
  <si>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</si>
  <si>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</si>
  <si>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</si>
  <si>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</si>
  <si>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</si>
  <si>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</si>
  <si>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</si>
  <si>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</si>
  <si>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</si>
  <si>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</si>
  <si>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</si>
  <si>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</si>
  <si>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</si>
  <si>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</si>
  <si>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</si>
  <si>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</si>
  <si>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</si>
  <si>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</si>
  <si>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</si>
  <si>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</si>
  <si>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</si>
  <si>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</si>
  <si>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</si>
  <si>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</si>
  <si>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</si>
  <si>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</si>
  <si>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</si>
  <si>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</si>
  <si>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</si>
  <si>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</si>
  <si>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</si>
  <si>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</si>
  <si>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</si>
  <si>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</si>
  <si>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</si>
  <si>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</si>
  <si>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</si>
  <si>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</si>
  <si>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</si>
  <si>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</si>
  <si>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</si>
  <si>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</si>
  <si>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</si>
  <si>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</si>
  <si>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</si>
  <si>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</si>
  <si>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</si>
  <si>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</si>
  <si>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</si>
  <si>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</si>
  <si>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</si>
  <si>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</si>
  <si>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</si>
  <si>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</si>
  <si>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</si>
  <si>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</si>
  <si>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</si>
  <si>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</si>
  <si>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</si>
  <si>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</si>
  <si>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</si>
  <si>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</si>
  <si>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</si>
  <si>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</si>
  <si>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</si>
  <si>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</si>
  <si>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</si>
  <si>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</si>
  <si>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</si>
  <si>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</si>
  <si>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</si>
  <si>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</si>
  <si>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</si>
  <si>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</si>
  <si>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</si>
  <si>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</si>
  <si>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</si>
  <si>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</si>
  <si>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</si>
  <si>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</si>
  <si>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</si>
  <si>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</si>
  <si>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</si>
  <si>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</si>
  <si>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</si>
  <si>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</si>
  <si>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</si>
  <si>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</si>
  <si>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</si>
  <si>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</si>
  <si>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</si>
  <si>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</si>
  <si>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</si>
  <si>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</si>
  <si>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</si>
  <si>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</si>
  <si>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</si>
  <si>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</si>
  <si>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</si>
  <si>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</si>
  <si>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</si>
  <si>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</si>
  <si>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</si>
  <si>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</si>
  <si>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</si>
  <si>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</si>
  <si>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</si>
  <si>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</si>
  <si>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</si>
  <si>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</si>
  <si>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</si>
  <si>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</si>
  <si>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</si>
  <si>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</si>
  <si>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</si>
  <si>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</si>
  <si>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</si>
  <si>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</si>
  <si>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</si>
  <si>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</si>
  <si>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</si>
  <si>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</si>
  <si>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</si>
  <si>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</si>
  <si>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</si>
  <si>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</si>
  <si>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</si>
  <si>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</si>
  <si>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</si>
  <si>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</si>
  <si>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</si>
  <si>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</si>
  <si>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</si>
  <si>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</si>
  <si>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</si>
  <si>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</si>
  <si>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</si>
  <si>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</si>
  <si>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</si>
  <si>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</si>
  <si>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</si>
  <si>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</si>
  <si>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</si>
  <si>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</si>
  <si>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</si>
  <si>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</si>
  <si>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</si>
  <si>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</si>
  <si>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</si>
  <si>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</si>
  <si>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</si>
  <si>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</si>
  <si>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</si>
  <si>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</si>
  <si>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</si>
  <si>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</si>
  <si>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</si>
  <si>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</si>
  <si>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</si>
  <si>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</si>
  <si>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</si>
  <si>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</si>
  <si>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</si>
  <si>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</si>
  <si>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</si>
  <si>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</si>
  <si>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</si>
  <si>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</si>
  <si>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</si>
  <si>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</si>
  <si>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</si>
  <si>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</si>
  <si>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</si>
  <si>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</si>
  <si>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</si>
  <si>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</si>
  <si>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</si>
  <si>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</si>
  <si>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</si>
  <si>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</si>
  <si>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</si>
  <si>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</si>
  <si>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</si>
  <si>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</si>
  <si>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</si>
  <si>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</si>
  <si>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</si>
  <si>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</si>
  <si>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</si>
  <si>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</si>
  <si>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</si>
  <si>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</si>
  <si>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</si>
  <si>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</si>
  <si>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</si>
  <si>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</si>
  <si>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</si>
  <si>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</si>
  <si>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</si>
  <si>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</si>
  <si>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</si>
  <si>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</si>
  <si>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</si>
  <si>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</si>
  <si>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</si>
  <si>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</si>
  <si>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</si>
  <si>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</si>
  <si>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</si>
  <si>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</si>
  <si>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</si>
  <si>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</si>
  <si>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</si>
  <si>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</si>
  <si>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</si>
  <si>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</si>
  <si>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</si>
  <si>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</si>
  <si>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</si>
  <si>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</si>
  <si>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</si>
  <si>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</si>
  <si>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</si>
  <si>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</si>
  <si>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</si>
  <si>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</si>
  <si>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</si>
  <si>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</si>
  <si>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</si>
  <si>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</si>
  <si>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</si>
  <si>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</si>
  <si>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</si>
  <si>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</si>
  <si>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</si>
  <si>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</si>
  <si>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</si>
  <si>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</si>
  <si>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</si>
  <si>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</si>
  <si>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</si>
  <si>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</si>
  <si>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</si>
  <si>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</si>
  <si>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</si>
  <si>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</si>
  <si>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</si>
  <si>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</si>
  <si>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</si>
  <si>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</si>
  <si>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</si>
  <si>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</si>
  <si>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</si>
  <si>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</si>
  <si>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</si>
  <si>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</si>
  <si>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</si>
  <si>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</si>
  <si>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</si>
  <si>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</si>
  <si>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</si>
  <si>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</si>
  <si>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</si>
  <si>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</si>
  <si>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</si>
  <si>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</si>
  <si>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</si>
  <si>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</si>
  <si>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</si>
  <si>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</si>
  <si>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</si>
  <si>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</si>
  <si>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</si>
  <si>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</si>
  <si>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</si>
  <si>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</si>
  <si>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</si>
  <si>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</si>
  <si>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</si>
  <si>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</si>
  <si>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</si>
  <si>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</si>
  <si>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</si>
  <si>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</si>
  <si>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</si>
  <si>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</si>
  <si>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</si>
  <si>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</si>
  <si>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</si>
  <si>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</si>
  <si>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</si>
  <si>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</si>
  <si>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</si>
  <si>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</si>
  <si>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</si>
  <si>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</si>
  <si>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</si>
  <si>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</si>
  <si>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</si>
  <si>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</si>
  <si>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</si>
  <si>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</si>
  <si>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</si>
  <si>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</si>
  <si>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</si>
  <si>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</si>
  <si>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</si>
  <si>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</si>
  <si>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</si>
  <si>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</si>
  <si>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</si>
  <si>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</si>
  <si>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</si>
  <si>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</si>
  <si>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</si>
  <si>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</si>
  <si>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</si>
  <si>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</si>
  <si>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</si>
  <si>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</si>
  <si>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</si>
  <si>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</si>
  <si>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</si>
  <si>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</si>
  <si>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</si>
  <si>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</si>
  <si>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</si>
  <si>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</si>
  <si>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</si>
  <si>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</si>
  <si>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</si>
  <si>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</si>
  <si>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</si>
  <si>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</si>
  <si>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</si>
  <si>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</si>
  <si>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</si>
  <si>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</si>
  <si>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</si>
  <si>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</si>
  <si>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</si>
  <si>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</si>
  <si>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</si>
  <si>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</si>
  <si>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</si>
  <si>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</si>
  <si>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</si>
  <si>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</si>
  <si>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</si>
  <si>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</si>
  <si>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</si>
  <si>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</si>
  <si>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</si>
  <si>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</si>
  <si>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</si>
  <si>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</si>
  <si>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</si>
  <si>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</si>
  <si>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</si>
  <si>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</si>
  <si>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</si>
  <si>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</si>
  <si>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</si>
  <si>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</si>
  <si>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</si>
  <si>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</si>
  <si>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</si>
  <si>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</si>
  <si>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</si>
  <si>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</si>
  <si>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</si>
  <si>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</si>
  <si>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</si>
  <si>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</si>
  <si>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</si>
  <si>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</si>
  <si>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</si>
  <si>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</si>
  <si>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</si>
  <si>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</si>
  <si>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</si>
  <si>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</si>
  <si>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</si>
  <si>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</si>
  <si>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</si>
  <si>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</si>
  <si>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</si>
  <si>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</si>
  <si>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</si>
  <si>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</si>
  <si>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</si>
  <si>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</si>
  <si>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</si>
  <si>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</si>
  <si>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</si>
  <si>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</si>
  <si>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</si>
  <si>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</si>
  <si>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</si>
  <si>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</si>
  <si>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</si>
  <si>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</si>
  <si>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</si>
  <si>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</si>
  <si>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</si>
  <si>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</si>
  <si>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</si>
  <si>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</si>
  <si>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</si>
  <si>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</si>
  <si>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</si>
  <si>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</si>
  <si>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</si>
  <si>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</si>
  <si>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</si>
  <si>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</si>
  <si>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</si>
  <si>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</si>
  <si>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</si>
  <si>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</si>
  <si>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</si>
  <si>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</si>
  <si>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</si>
  <si>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</si>
  <si>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</si>
  <si>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</si>
  <si>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</si>
  <si>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</si>
  <si>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</si>
  <si>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</si>
  <si>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</si>
  <si>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</si>
  <si>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</si>
  <si>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</si>
  <si>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</si>
  <si>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</si>
  <si>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</si>
  <si>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</si>
  <si>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</si>
  <si>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</si>
  <si>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</si>
  <si>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</si>
  <si>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</si>
  <si>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</si>
  <si>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</si>
  <si>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</si>
  <si>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</si>
  <si>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</si>
  <si>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</si>
  <si>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</si>
  <si>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</si>
  <si>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</si>
  <si>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</si>
  <si>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</si>
  <si>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</si>
  <si>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</si>
  <si>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</si>
  <si>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</si>
  <si>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</si>
  <si>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</si>
  <si>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</si>
  <si>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</si>
  <si>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</si>
  <si>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</si>
  <si>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</si>
  <si>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</si>
  <si>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</si>
  <si>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</si>
  <si>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</si>
  <si>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</si>
  <si>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</si>
  <si>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</si>
  <si>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</si>
  <si>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</si>
  <si>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</si>
  <si>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</si>
  <si>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</si>
  <si>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</si>
  <si>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</si>
  <si>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</si>
  <si>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</si>
  <si>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</si>
  <si>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</si>
  <si>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</si>
  <si>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</si>
  <si>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</si>
  <si>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</si>
  <si>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</si>
  <si>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</si>
  <si>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</si>
  <si>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</si>
  <si>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</si>
  <si>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</si>
  <si>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</si>
  <si>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</si>
  <si>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</si>
  <si>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</si>
  <si>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</si>
  <si>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</si>
  <si>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</si>
  <si>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</si>
  <si>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</si>
  <si>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</si>
  <si>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</si>
  <si>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</si>
  <si>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</si>
  <si>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</si>
  <si>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</si>
  <si>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</si>
  <si>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</si>
  <si>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</si>
  <si>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</si>
  <si>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</si>
  <si>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</si>
  <si>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</si>
  <si>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</si>
  <si>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</si>
  <si>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</si>
  <si>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</si>
  <si>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</si>
  <si>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</si>
  <si>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</si>
  <si>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</si>
  <si>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</si>
  <si>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</si>
  <si>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</si>
  <si>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</si>
  <si>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</si>
  <si>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</si>
  <si>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</si>
  <si>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</si>
  <si>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</si>
  <si>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</si>
  <si>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</si>
  <si>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</si>
  <si>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</si>
  <si>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</si>
  <si>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</si>
  <si>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</si>
  <si>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</si>
  <si>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</si>
  <si>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</si>
  <si>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</si>
  <si>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</si>
  <si>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</si>
  <si>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</si>
  <si>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</si>
  <si>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</si>
  <si>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</si>
  <si>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</si>
  <si>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</si>
  <si>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</si>
  <si>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</si>
  <si>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</si>
  <si>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</si>
  <si>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</si>
  <si>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</si>
  <si>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</si>
  <si>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</si>
  <si>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</si>
  <si>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</si>
  <si>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</si>
  <si>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</si>
  <si>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</si>
  <si>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</si>
  <si>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</si>
  <si>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</si>
  <si>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</si>
  <si>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</si>
  <si>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</si>
  <si>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</si>
  <si>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</si>
  <si>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</si>
  <si>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</si>
  <si>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</si>
  <si>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</si>
  <si>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</si>
  <si>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</si>
  <si>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</si>
  <si>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</si>
  <si>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</si>
  <si>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</si>
  <si>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</si>
  <si>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</si>
  <si>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</si>
  <si>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</si>
  <si>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</si>
  <si>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</si>
  <si>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</si>
  <si>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</si>
  <si>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</si>
  <si>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</si>
  <si>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</si>
  <si>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</si>
  <si>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</si>
  <si>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</si>
  <si>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</si>
  <si>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</si>
  <si>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</si>
  <si>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</si>
  <si>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</si>
  <si>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</si>
  <si>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</si>
  <si>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</si>
  <si>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</si>
  <si>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</si>
  <si>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</si>
  <si>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</si>
  <si>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</si>
  <si>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</si>
  <si>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</si>
  <si>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</si>
  <si>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</si>
  <si>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</si>
  <si>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</si>
  <si>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</si>
  <si>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</si>
  <si>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</si>
  <si>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</si>
  <si>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</si>
  <si>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</si>
  <si>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</si>
  <si>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</si>
  <si>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</si>
  <si>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</si>
  <si>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</si>
  <si>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</si>
  <si>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</si>
  <si>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</si>
  <si>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</si>
  <si>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</si>
  <si>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</si>
  <si>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</si>
  <si>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</si>
  <si>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</si>
  <si>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</si>
  <si>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</si>
  <si>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</si>
  <si>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</si>
  <si>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</si>
  <si>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</si>
  <si>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</si>
  <si>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</si>
  <si>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</si>
  <si>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</si>
  <si>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</si>
  <si>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</si>
  <si>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</si>
  <si>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</si>
  <si>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</si>
  <si>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</si>
  <si>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</si>
  <si>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</si>
  <si>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</si>
  <si>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</si>
  <si>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</si>
  <si>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</si>
  <si>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</si>
  <si>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</si>
  <si>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</si>
  <si>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</si>
  <si>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</si>
  <si>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</si>
  <si>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</si>
  <si>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</si>
  <si>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</si>
  <si>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</si>
  <si>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</si>
  <si>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</si>
  <si>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</si>
  <si>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</si>
  <si>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</si>
  <si>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</si>
  <si>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</si>
  <si>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</si>
  <si>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</si>
  <si>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</si>
  <si>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</si>
  <si>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</si>
  <si>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</si>
  <si>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</si>
  <si>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</si>
  <si>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</si>
  <si>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</si>
  <si>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</si>
  <si>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</si>
  <si>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</si>
  <si>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</si>
  <si>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</si>
  <si>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</si>
  <si>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</si>
  <si>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</si>
  <si>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</si>
  <si>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</si>
  <si>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</si>
  <si>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</si>
  <si>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</si>
  <si>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</si>
  <si>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</si>
  <si>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</si>
  <si>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</si>
  <si>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</si>
  <si>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</si>
  <si>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</si>
  <si>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</si>
  <si>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</si>
  <si>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</si>
  <si>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</si>
  <si>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</si>
  <si>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</si>
  <si>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</si>
  <si>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</si>
  <si>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</si>
  <si>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</si>
  <si>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</si>
  <si>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</si>
  <si>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</si>
  <si>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</si>
  <si>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</si>
  <si>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</si>
  <si>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</si>
  <si>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</si>
  <si>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</si>
  <si>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</si>
  <si>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</si>
  <si>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</si>
  <si>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</si>
  <si>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</si>
  <si>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</si>
  <si>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</si>
  <si>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</si>
  <si>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</si>
  <si>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</si>
  <si>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</si>
  <si>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</si>
  <si>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</si>
  <si>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</si>
  <si>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</si>
  <si>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</si>
  <si>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</si>
  <si>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</si>
  <si>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</si>
  <si>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</si>
  <si>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</si>
  <si>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</si>
  <si>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</si>
  <si>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</si>
  <si>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</si>
  <si>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</si>
  <si>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</si>
  <si>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</si>
  <si>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</si>
  <si>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</si>
  <si>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</si>
  <si>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</si>
  <si>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</si>
  <si>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</si>
  <si>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</si>
  <si>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</si>
  <si>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</si>
  <si>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</si>
  <si>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</si>
  <si>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</si>
  <si>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</si>
  <si>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</si>
  <si>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</si>
  <si>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</si>
  <si>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</si>
  <si>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</si>
  <si>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</si>
  <si>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</si>
  <si>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</si>
  <si>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</si>
  <si>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</si>
  <si>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</si>
  <si>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</si>
  <si>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</si>
  <si>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</si>
  <si>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</si>
  <si>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</si>
  <si>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</si>
  <si>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</si>
  <si>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</si>
  <si>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</si>
  <si>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</si>
  <si>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</si>
  <si>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</si>
  <si>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</si>
  <si>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</si>
  <si>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</si>
  <si>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</si>
  <si>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</si>
  <si>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</si>
  <si>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</si>
  <si>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</si>
  <si>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</si>
  <si>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</si>
  <si>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</si>
  <si>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</si>
  <si>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</si>
  <si>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</si>
  <si>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</si>
  <si>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</si>
  <si>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</si>
  <si>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</si>
  <si>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</si>
  <si>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</si>
  <si>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</si>
  <si>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</si>
  <si>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</si>
  <si>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</si>
  <si>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</si>
  <si>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</si>
  <si>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</si>
  <si>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</si>
  <si>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</si>
  <si>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</si>
  <si>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</si>
  <si>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</si>
  <si>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</si>
  <si>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</si>
  <si>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</si>
  <si>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</si>
  <si>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</si>
  <si>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</si>
  <si>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</si>
  <si>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</si>
  <si>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</si>
  <si>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</si>
  <si>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</si>
  <si>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</si>
  <si>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</si>
  <si>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</si>
  <si>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</si>
  <si>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</si>
  <si>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</si>
  <si>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</si>
  <si>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</si>
  <si>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</si>
  <si>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</si>
  <si>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</si>
  <si>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</si>
  <si>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</si>
  <si>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</si>
  <si>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</si>
  <si>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</si>
  <si>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</si>
  <si>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</si>
  <si>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</si>
  <si>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</si>
  <si>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</si>
  <si>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</si>
  <si>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</si>
  <si>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</si>
  <si>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</si>
  <si>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</si>
  <si>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</si>
  <si>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</si>
  <si>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</si>
  <si>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</si>
  <si>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</si>
  <si>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</si>
  <si>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</si>
  <si>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</si>
  <si>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</si>
  <si>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</si>
  <si>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</si>
  <si>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</si>
  <si>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</si>
  <si>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</si>
  <si>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</si>
  <si>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</si>
  <si>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</si>
  <si>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</si>
  <si>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</si>
  <si>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</si>
  <si>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</si>
  <si>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</si>
  <si>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</si>
  <si>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</si>
  <si>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</si>
  <si>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</si>
  <si>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</si>
  <si>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</si>
  <si>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</si>
  <si>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</si>
  <si>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</si>
  <si>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</si>
  <si>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</si>
  <si>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</si>
  <si>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</si>
  <si>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</si>
  <si>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</si>
  <si>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</si>
  <si>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</si>
  <si>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</si>
  <si>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</si>
  <si>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</si>
  <si>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</si>
  <si>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</si>
  <si>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</si>
  <si>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</si>
  <si>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</si>
  <si>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</si>
  <si>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</si>
  <si>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</si>
  <si>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</si>
  <si>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</si>
  <si>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</si>
  <si>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</si>
  <si>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</si>
  <si>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</si>
  <si>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</si>
  <si>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</si>
  <si>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</si>
  <si>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</si>
  <si>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</si>
  <si>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</si>
  <si>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</si>
  <si>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</si>
  <si>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</si>
  <si>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</si>
  <si>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</si>
  <si>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</si>
  <si>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</si>
  <si>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</si>
  <si>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</si>
  <si>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</si>
  <si>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</si>
  <si>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</si>
  <si>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</si>
  <si>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</si>
  <si>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</si>
  <si>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</si>
  <si>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</si>
  <si>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</si>
  <si>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</si>
  <si>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</si>
  <si>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</si>
  <si>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</si>
  <si>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</si>
  <si>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</si>
  <si>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</si>
  <si>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</si>
  <si>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</si>
  <si>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</si>
  <si>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</si>
  <si>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</si>
  <si>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</si>
  <si>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</si>
  <si>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</si>
  <si>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</si>
  <si>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</si>
  <si>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</si>
  <si>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</si>
  <si>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</si>
  <si>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</si>
  <si>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</si>
  <si>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</si>
  <si>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</si>
  <si>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</si>
  <si>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</si>
  <si>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</si>
  <si>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</si>
  <si>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</si>
  <si>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</si>
  <si>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</si>
  <si>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</si>
  <si>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</si>
  <si>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</si>
  <si>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</si>
  <si>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</si>
  <si>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</si>
  <si>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</si>
  <si>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</si>
  <si>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</si>
  <si>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</si>
  <si>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</si>
  <si>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</si>
  <si>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</si>
  <si>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</si>
  <si>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</si>
  <si>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</si>
  <si>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</si>
  <si>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</si>
  <si>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</si>
  <si>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</si>
  <si>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</si>
  <si>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</si>
  <si>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</si>
  <si>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</si>
  <si>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</si>
  <si>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</si>
  <si>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</si>
  <si>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</si>
  <si>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</si>
  <si>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</si>
  <si>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</si>
  <si>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</si>
  <si>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</si>
  <si>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</si>
  <si>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</si>
  <si>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</si>
  <si>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</si>
  <si>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</si>
  <si>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</si>
  <si>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</si>
  <si>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</si>
  <si>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</si>
  <si>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</si>
  <si>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</si>
  <si>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</si>
  <si>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</si>
  <si>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</si>
  <si>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</si>
  <si>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</si>
  <si>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</si>
  <si>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</si>
  <si>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</si>
  <si>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</si>
  <si>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</si>
  <si>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</si>
  <si>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</si>
  <si>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</si>
  <si>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</si>
  <si>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</si>
  <si>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</si>
  <si>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</si>
  <si>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</si>
  <si>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</si>
  <si>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</si>
  <si>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</si>
  <si>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</si>
  <si>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</si>
  <si>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</si>
  <si>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</si>
  <si>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</si>
  <si>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</si>
  <si>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</si>
  <si>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</si>
  <si>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</si>
  <si>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</si>
  <si>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</si>
  <si>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</si>
  <si>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</si>
  <si>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</si>
  <si>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</si>
  <si>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</si>
  <si>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</si>
  <si>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</si>
  <si>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</si>
  <si>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</si>
  <si>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</si>
  <si>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</si>
  <si>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</si>
  <si>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</si>
  <si>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</si>
  <si>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</si>
  <si>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</si>
  <si>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</si>
  <si>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</si>
  <si>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</si>
  <si>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</si>
  <si>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</si>
  <si>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</si>
  <si>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</si>
  <si>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</si>
  <si>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</si>
  <si>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</si>
  <si>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</si>
  <si>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</si>
  <si>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</si>
  <si>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</si>
  <si>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</si>
  <si>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</si>
  <si>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</si>
  <si>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</si>
  <si>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</si>
  <si>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</si>
  <si>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</si>
  <si>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</si>
  <si>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</si>
  <si>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</si>
  <si>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</si>
  <si>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</si>
  <si>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</si>
  <si>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</si>
  <si>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</si>
  <si>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</si>
  <si>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</si>
  <si>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</si>
  <si>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</si>
  <si>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</si>
  <si>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</si>
  <si>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</si>
  <si>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</si>
  <si>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</si>
  <si>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</si>
  <si>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</si>
  <si>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</si>
  <si>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</si>
  <si>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</si>
  <si>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</si>
  <si>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</si>
  <si>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</si>
  <si>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</si>
  <si>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</si>
  <si>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</si>
  <si>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</si>
  <si>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</si>
  <si>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</si>
  <si>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</si>
  <si>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</si>
  <si>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</si>
  <si>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</si>
  <si>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</si>
  <si>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</si>
  <si>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</si>
  <si>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</si>
  <si>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</si>
  <si>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</si>
  <si>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</si>
  <si>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</si>
  <si>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</si>
  <si>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</si>
  <si>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</si>
  <si>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</si>
  <si>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</si>
  <si>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</si>
  <si>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</si>
  <si>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</si>
  <si>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</si>
  <si>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</si>
  <si>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</si>
  <si>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</si>
  <si>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</si>
  <si>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</si>
  <si>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</si>
  <si>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</si>
  <si>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</si>
  <si>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</si>
  <si>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</si>
  <si>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</si>
  <si>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</si>
  <si>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</si>
  <si>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</si>
  <si>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</si>
  <si>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</si>
  <si>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</si>
  <si>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</si>
  <si>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</si>
  <si>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</si>
  <si>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Demon Days, Plastic Beach, The Mountain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</si>
  <si>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</si>
  <si>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</si>
  <si>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</si>
  <si>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</si>
  <si>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</si>
  <si>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</si>
  <si>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</si>
  <si>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</si>
  <si>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</si>
  <si>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</si>
  <si>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</si>
  <si>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</si>
  <si>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</si>
  <si>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</si>
  <si>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</si>
  <si>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</si>
  <si>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</si>
  <si>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</si>
  <si>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</si>
  <si>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</si>
  <si>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</si>
  <si>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</si>
  <si>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</si>
  <si>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</si>
  <si>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</si>
  <si>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</si>
  <si>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</si>
  <si>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</si>
  <si>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</si>
  <si>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</si>
  <si>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</si>
  <si>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</si>
  <si>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</si>
  <si>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</si>
  <si>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</si>
  <si>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</si>
  <si>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</si>
  <si>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</si>
  <si>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</si>
  <si>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</si>
  <si>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</si>
  <si>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</si>
  <si>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</si>
  <si>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</si>
  <si>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</si>
  <si>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</si>
  <si>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</si>
  <si>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</si>
  <si>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</si>
  <si>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</si>
  <si>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</si>
  <si>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</si>
  <si>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</si>
  <si>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</si>
  <si>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</si>
  <si>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</si>
  <si>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</si>
  <si>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TOP  Idm (12 álbumes)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</si>
  <si>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</si>
  <si>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</si>
  <si>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</si>
  <si>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</si>
  <si>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</si>
  <si>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</si>
  <si>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</si>
  <si>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</si>
  <si>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</si>
  <si>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</si>
  <si>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</si>
  <si>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</si>
  <si>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</si>
  <si>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</si>
  <si>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</si>
  <si>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</si>
  <si>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</si>
  <si>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</si>
  <si>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</si>
  <si>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</si>
  <si>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</si>
  <si>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</si>
  <si>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</si>
  <si>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</si>
  <si>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</si>
  <si>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</si>
  <si>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</si>
  <si>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</si>
  <si>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</si>
  <si>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</si>
  <si>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</si>
  <si>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</si>
  <si>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</si>
  <si>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</si>
  <si>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</si>
  <si>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</si>
  <si>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</si>
  <si>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</si>
  <si>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</si>
  <si>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</si>
  <si>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</si>
  <si>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</si>
  <si>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</si>
  <si>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</si>
  <si>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</si>
  <si>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</si>
  <si>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</si>
  <si>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</si>
  <si>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</si>
  <si>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</si>
  <si>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</si>
  <si>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</si>
  <si>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</si>
  <si>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</si>
  <si>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</si>
  <si>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</si>
  <si>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</si>
  <si>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</si>
  <si>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</si>
  <si>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</si>
  <si>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</si>
  <si>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</si>
  <si>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</si>
  <si>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</si>
  <si>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</si>
  <si>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</si>
  <si>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</si>
  <si>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</si>
  <si>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</si>
  <si>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</si>
  <si>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</si>
  <si>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</si>
  <si>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</si>
  <si>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</si>
  <si>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</si>
  <si>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</si>
  <si>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</si>
  <si>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</si>
  <si>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</si>
  <si>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</si>
  <si>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</si>
  <si>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</si>
  <si>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</si>
  <si>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</si>
  <si>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</si>
  <si>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</si>
  <si>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</si>
  <si>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</si>
  <si>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</si>
  <si>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</si>
  <si>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</si>
  <si>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</si>
  <si>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</si>
  <si>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</si>
  <si>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</si>
  <si>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</si>
  <si>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</si>
  <si>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</si>
  <si>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</si>
  <si>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</si>
  <si>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</si>
  <si>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</si>
  <si>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</si>
  <si>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</si>
  <si>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</si>
  <si>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</si>
  <si>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</si>
  <si>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</si>
  <si>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</si>
  <si>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</si>
  <si>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</si>
  <si>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</si>
  <si>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</si>
  <si>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</si>
  <si>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</si>
  <si>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</si>
  <si>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</si>
  <si>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</si>
  <si>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</si>
  <si>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</si>
  <si>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</si>
  <si>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</si>
  <si>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</si>
  <si>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</si>
  <si>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</si>
  <si>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</si>
  <si>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</si>
  <si>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</si>
  <si>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</si>
  <si>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</si>
  <si>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</si>
  <si>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</si>
  <si>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</si>
  <si>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</si>
  <si>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</si>
  <si>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</si>
  <si>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</si>
  <si>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</si>
  <si>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</si>
  <si>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</si>
  <si>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</si>
  <si>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</si>
  <si>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</si>
  <si>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</si>
  <si>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</si>
  <si>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</si>
  <si>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</si>
  <si>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</si>
  <si>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</si>
  <si>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</si>
  <si>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</si>
  <si>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</si>
  <si>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</si>
  <si>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</si>
  <si>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</si>
  <si>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</si>
  <si>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</si>
  <si>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</si>
  <si>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</si>
  <si>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</si>
  <si>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</si>
  <si>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</si>
  <si>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</si>
  <si>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</si>
  <si>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</si>
  <si>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</si>
  <si>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</si>
  <si>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</si>
  <si>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</si>
  <si>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</si>
  <si>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</si>
  <si>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</si>
  <si>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</si>
  <si>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</si>
  <si>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</si>
  <si>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</si>
  <si>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</si>
  <si>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</si>
  <si>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</si>
  <si>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</si>
  <si>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</si>
  <si>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</si>
  <si>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</si>
  <si>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</si>
  <si>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</si>
  <si>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</si>
  <si>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</si>
  <si>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</si>
  <si>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</si>
  <si>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</si>
  <si>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</si>
  <si>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</si>
  <si>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</si>
  <si>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</si>
  <si>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</si>
  <si>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</si>
  <si>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</si>
  <si>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</si>
  <si>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</si>
  <si>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</si>
  <si>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</si>
  <si>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</si>
  <si>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</si>
  <si>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</si>
  <si>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</si>
  <si>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</si>
  <si>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</si>
  <si>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</si>
  <si>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</si>
  <si>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</si>
  <si>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</si>
  <si>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</si>
  <si>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</si>
  <si>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</si>
  <si>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</si>
  <si>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</si>
  <si>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</si>
  <si>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</si>
  <si>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</si>
  <si>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</si>
  <si>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</si>
  <si>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</si>
  <si>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</si>
  <si>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Opeth (1h 1m)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</si>
  <si>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</si>
  <si>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</si>
  <si>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</si>
  <si>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</si>
  <si>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</si>
  <si>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</si>
  <si>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</si>
  <si>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</si>
  <si>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</si>
  <si>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</si>
  <si>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</si>
  <si>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</si>
  <si>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</si>
  <si>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</si>
  <si>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</si>
  <si>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</si>
  <si>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</si>
  <si>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</si>
  <si>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</si>
  <si>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</si>
  <si>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</si>
  <si>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</si>
  <si>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</si>
  <si>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</si>
  <si>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</si>
  <si>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</si>
  <si>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</si>
  <si>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</si>
  <si>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</si>
  <si>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</si>
  <si>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</si>
  <si>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</si>
  <si>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</si>
  <si>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</si>
  <si>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</si>
  <si>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</si>
  <si>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</si>
  <si>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</si>
  <si>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</si>
  <si>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</si>
  <si>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</si>
  <si>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</si>
  <si>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</si>
  <si>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</si>
  <si>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</si>
  <si>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</si>
  <si>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</si>
  <si>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</si>
  <si>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</si>
  <si>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</si>
  <si>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</si>
  <si>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</si>
  <si>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</si>
  <si>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</si>
  <si>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</si>
  <si>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</si>
  <si>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</si>
  <si>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</si>
  <si>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</si>
  <si>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</si>
  <si>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</si>
  <si>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</si>
  <si>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</si>
  <si>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</si>
  <si>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</si>
  <si>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</si>
  <si>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</si>
  <si>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</si>
  <si>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</si>
  <si>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</si>
  <si>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</si>
  <si>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</si>
  <si>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</si>
  <si>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</si>
  <si>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</si>
  <si>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</si>
  <si>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</si>
  <si>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</si>
  <si>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</si>
  <si>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</si>
  <si>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</si>
  <si>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</si>
  <si>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</si>
  <si>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</si>
  <si>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</si>
  <si>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</si>
  <si>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</si>
  <si>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</si>
  <si>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</si>
  <si>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</si>
  <si>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</si>
  <si>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</si>
  <si>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</si>
  <si>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</si>
  <si>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</si>
  <si>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</si>
  <si>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</si>
  <si>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</si>
  <si>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</si>
  <si>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</si>
  <si>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</si>
  <si>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</si>
  <si>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</si>
  <si>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</si>
  <si>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</si>
  <si>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</si>
  <si>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</si>
  <si>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</si>
  <si>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</si>
  <si>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</si>
  <si>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</si>
  <si>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</si>
  <si>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</si>
  <si>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</si>
  <si>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</si>
  <si>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TOP Pop (30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</si>
  <si>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</si>
  <si>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</si>
  <si>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</si>
  <si>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</si>
  <si>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</si>
  <si>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</si>
  <si>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</si>
  <si>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</si>
  <si>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</si>
  <si>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</si>
  <si>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</si>
  <si>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</si>
  <si>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</si>
  <si>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</si>
  <si>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</si>
  <si>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</si>
  <si>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</si>
  <si>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</si>
  <si>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</si>
  <si>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</si>
  <si>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</si>
  <si>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</si>
  <si>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</si>
  <si>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</si>
  <si>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</si>
  <si>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</si>
  <si>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</si>
  <si>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</si>
  <si>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</si>
  <si>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</si>
  <si>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</si>
  <si>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</si>
  <si>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</si>
  <si>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</si>
  <si>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</si>
  <si>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</si>
  <si>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</si>
  <si>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</si>
  <si>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</si>
  <si>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</si>
  <si>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</si>
  <si>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</si>
  <si>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</si>
  <si>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</si>
  <si>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</si>
  <si>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</si>
  <si>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</si>
  <si>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</si>
  <si>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</si>
  <si>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</si>
  <si>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</si>
  <si>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</si>
  <si>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</si>
  <si>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</si>
  <si>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</si>
  <si>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</si>
  <si>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</si>
  <si>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</si>
  <si>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</si>
  <si>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</si>
  <si>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</si>
  <si>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</si>
  <si>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</si>
  <si>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</si>
  <si>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</si>
  <si>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</si>
  <si>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</si>
  <si>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</si>
  <si>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</si>
  <si>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</si>
  <si>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</si>
  <si>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</si>
  <si>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</si>
  <si>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</si>
  <si>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</si>
  <si>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</si>
  <si>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</si>
  <si>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</si>
  <si>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</si>
  <si>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</si>
  <si>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</si>
  <si>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</si>
  <si>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</si>
  <si>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</si>
  <si>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</si>
  <si>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</si>
  <si>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</si>
  <si>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</si>
  <si>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</si>
  <si>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</si>
  <si>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</si>
  <si>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</si>
  <si>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</si>
  <si>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</si>
  <si>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</si>
  <si>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</si>
  <si>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</si>
  <si>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</si>
  <si>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</si>
  <si>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</si>
  <si>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</si>
  <si>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</si>
  <si>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</si>
  <si>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</si>
  <si>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</si>
  <si>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</si>
  <si>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</si>
  <si>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</si>
  <si>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</si>
  <si>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</si>
  <si>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</si>
  <si>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</si>
  <si>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</si>
  <si>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</si>
  <si>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</si>
  <si>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</si>
  <si>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</si>
  <si>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</si>
  <si>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</si>
  <si>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</si>
  <si>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</si>
  <si>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</si>
  <si>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</si>
  <si>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</si>
  <si>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</si>
  <si>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</si>
  <si>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</si>
  <si>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</si>
  <si>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</si>
  <si>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</si>
  <si>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</si>
  <si>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</si>
  <si>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</si>
  <si>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</si>
  <si>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</si>
  <si>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</si>
  <si>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</si>
  <si>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</si>
  <si>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</si>
  <si>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</si>
  <si>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</si>
  <si>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</si>
  <si>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</si>
  <si>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</si>
  <si>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</si>
  <si>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</si>
  <si>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</si>
  <si>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</si>
  <si>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</si>
  <si>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</si>
  <si>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</si>
  <si>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</si>
  <si>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</si>
  <si>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</si>
  <si>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</si>
  <si>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</si>
  <si>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</si>
  <si>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</si>
  <si>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</si>
  <si>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</si>
  <si>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</si>
  <si>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</si>
  <si>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</si>
  <si>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</si>
  <si>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</si>
  <si>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</si>
  <si>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</si>
  <si>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</si>
  <si>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</si>
  <si>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</si>
  <si>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</si>
  <si>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</si>
  <si>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</si>
  <si>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</si>
  <si>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</si>
  <si>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</si>
  <si>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</si>
  <si>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</si>
  <si>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</si>
  <si>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</si>
  <si>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</si>
  <si>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</si>
  <si>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</si>
  <si>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</si>
  <si>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Godspeed You! Black Emperor - F♯A♯∞ (σ=0.24)</t>
  </si>
  <si>
    <t>Más irregular (mayor desv.)</t>
  </si>
  <si>
    <t>Bad Bunny - DeBÍ TiRAR MáS FOToS (σ=1.72)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</si>
  <si>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</si>
  <si>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</si>
  <si>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</si>
  <si>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</si>
  <si>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</si>
  <si>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</si>
  <si>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</si>
  <si>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</si>
  <si>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</si>
  <si>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</si>
  <si>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</si>
  <si>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2 · media 9.07 · score 9.16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</si>
  <si>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</si>
  <si>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</si>
  <si>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</si>
  <si>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</si>
  <si>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</si>
  <si>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</si>
  <si>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3 · media 8.89 · score 8.84</t>
  </si>
  <si>
    <t>1 · media 8.89 · score 8.87</t>
  </si>
  <si>
    <t>1 · media 8.88 · score 8.81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</si>
  <si>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</si>
  <si>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</si>
  <si>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</si>
  <si>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</si>
  <si>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</si>
  <si>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</si>
  <si>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</si>
  <si>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</si>
  <si>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</si>
  <si>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</si>
  <si>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</si>
  <si>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</si>
  <si>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</si>
  <si>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</si>
  <si>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</si>
  <si>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</si>
  <si>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3 · media 8.77 · score 8.76</t>
  </si>
  <si>
    <t>1 · media 8.77 · score 8.65</t>
  </si>
  <si>
    <t>7 · media 8.76 · score 8.76</t>
  </si>
  <si>
    <t>8 · media 8.75 · score 8.7</t>
  </si>
  <si>
    <t>3 · media 8.75 · score 8.68</t>
  </si>
  <si>
    <t>2 · media 8.75 · score 8.69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</si>
  <si>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</si>
  <si>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</si>
  <si>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</si>
  <si>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</si>
  <si>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</si>
  <si>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</si>
  <si>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</si>
  <si>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</si>
  <si>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13 · media 8.71 · score 8.7</t>
  </si>
  <si>
    <t>3 · media 8.71 · score 8.65</t>
  </si>
  <si>
    <t>1 · media 8.71 · score 8.65</t>
  </si>
  <si>
    <t>5 · media 8.7 · score 8.66</t>
  </si>
  <si>
    <t>5 · media 8.7 · score 8.68</t>
  </si>
  <si>
    <t>1 · media 8.7 · score 8.61</t>
  </si>
  <si>
    <t>1 · media 8.69 · score 8.53</t>
  </si>
  <si>
    <t>11 · media 8.68 · score 8.66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</si>
  <si>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</si>
  <si>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</si>
  <si>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</si>
  <si>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</si>
  <si>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</si>
  <si>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</si>
  <si>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</si>
  <si>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</si>
  <si>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</si>
  <si>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</si>
  <si>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</si>
  <si>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</si>
  <si>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</si>
  <si>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</si>
  <si>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</si>
  <si>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</si>
  <si>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</si>
  <si>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</si>
  <si>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</si>
  <si>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</si>
  <si>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</si>
  <si>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7 · media 8.59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</si>
  <si>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</si>
  <si>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</si>
  <si>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</si>
  <si>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</si>
  <si>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</si>
  <si>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</si>
  <si>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</si>
  <si>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</si>
  <si>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</si>
  <si>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</si>
  <si>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</si>
  <si>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8.52 · score 8.5</t>
  </si>
  <si>
    <t>1 · media 8.5 · score 8.43</t>
  </si>
  <si>
    <t>4 · media 8.49 · score 8.44</t>
  </si>
  <si>
    <t>5 · media 8.48 · score 8.41</t>
  </si>
  <si>
    <t>21 · media 8.47 · score 8.48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</si>
  <si>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</si>
  <si>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</si>
  <si>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</si>
  <si>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</si>
  <si>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</si>
  <si>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</si>
  <si>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</si>
  <si>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</si>
  <si>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</si>
  <si>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</si>
  <si>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</si>
  <si>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</si>
  <si>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</si>
  <si>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</si>
  <si>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</si>
  <si>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</si>
  <si>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</si>
  <si>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</si>
  <si>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</si>
  <si>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</si>
  <si>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</si>
  <si>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</si>
  <si>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</si>
  <si>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</si>
  <si>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</si>
  <si>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</si>
  <si>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</si>
  <si>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</si>
  <si>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</si>
  <si>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</si>
  <si>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</si>
  <si>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</si>
  <si>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</si>
  <si>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</si>
  <si>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r&amp;b (8.82)</t>
  </si>
  <si>
    <t>regional music (4.79)</t>
  </si>
  <si>
    <t>Mejor 3rd EYE SCORE</t>
  </si>
  <si>
    <t>Peor 3rd EYE SCORE</t>
  </si>
  <si>
    <t>regional music (4.62)</t>
  </si>
  <si>
    <t>Más variado (nº subgéneros)</t>
  </si>
  <si>
    <t>rock (44)</t>
  </si>
  <si>
    <t>DESGLOSE POR GÉNERO PADRE</t>
  </si>
  <si>
    <t>6 álb · 3 subg · media 8.68 · score 8.62</t>
  </si>
  <si>
    <t>29 álb · 13 subg · media 8.66 · score 8.61</t>
  </si>
  <si>
    <t>5 álb · 5 subg · media 8.69 · score 8.6</t>
  </si>
  <si>
    <t>8 álb · 1 subg · media 8.66 · score 8.57</t>
  </si>
  <si>
    <t>11 álb · 4 subg · media 8.57 · score 8.53</t>
  </si>
  <si>
    <t>1 álb · 1 subg · media 8.4 · score 8.37</t>
  </si>
  <si>
    <t>1 álb · 2 subg · media 8.11 · score 8</t>
  </si>
  <si>
    <t>1 álb · 1 subg · media 8.03 · score 7.94</t>
  </si>
  <si>
    <t>1 álb · 1 subg · media 8 · score 7.79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</si>
  <si>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</si>
  <si>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</si>
  <si>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</si>
  <si>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</si>
  <si>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</si>
  <si>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</si>
  <si>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</si>
  <si>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</si>
  <si>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</si>
  <si>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</si>
  <si>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</si>
  <si>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</si>
  <si>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</si>
  <si>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</si>
  <si>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Daft Punk - Human After All (7.79)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</si>
  <si>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</si>
  <si>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</si>
  <si>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</si>
  <si>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</si>
  <si>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</si>
  <si>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</si>
  <si>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</si>
  <si>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</si>
  <si>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6 álbumes · media 8.86</t>
  </si>
  <si>
    <t>27 álbumes · media 8.78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</si>
  <si>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</si>
  <si>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</si>
  <si>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</si>
  <si>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</si>
  <si>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</si>
  <si>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</si>
  <si>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</si>
  <si>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</si>
  <si>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</si>
  <si>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</si>
  <si>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</si>
  <si>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</si>
  <si>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</si>
  <si>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</si>
  <si>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8.75, [+0.19]</t>
  </si>
  <si>
    <t>8.51, [-0.03]</t>
  </si>
  <si>
    <t>8.24, [-0.26]</t>
  </si>
  <si>
    <t>Álbumes con al menos 16 canciones: 17</t>
  </si>
  <si>
    <t>7.62, [-0.57]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</si>
  <si>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</si>
  <si>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</si>
  <si>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</si>
  <si>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</si>
  <si>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</si>
  <si>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</si>
  <si>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</si>
  <si>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</si>
  <si>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</si>
  <si>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</si>
  <si>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</si>
  <si>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alternative rock, pop rock</t>
  </si>
  <si>
    <t>02/09/2026</t>
  </si>
  <si>
    <t>neo psychedelic, dream pop, dowmtempo</t>
  </si>
  <si>
    <t>progressive rock, art rock, psychedelic rock, rock opera</t>
  </si>
  <si>
    <t>progressive metal, alternative metal, post metal</t>
  </si>
  <si>
    <t>classic rock, hard rock, folk rock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</si>
  <si>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</si>
  <si>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</si>
  <si>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</si>
  <si>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indie rock, experimental rock</t>
  </si>
  <si>
    <t>idm, downtempo, folktronica</t>
  </si>
  <si>
    <t>post rock, drone, noise rock, stoner metal</t>
  </si>
  <si>
    <t>trip hop, electronic, experimental rock</t>
  </si>
  <si>
    <t>ambient techno, idm, drill and bass, ambient, electronic</t>
  </si>
  <si>
    <t>french house, mashup, electronic, electroclash, post industrial</t>
  </si>
  <si>
    <t>indie rock, post punk, post punk revival</t>
  </si>
  <si>
    <t>alternative rock, art pop, electropop, hip hop, neo psychedelia</t>
  </si>
  <si>
    <t>djent, progressive metal, technical thrash metal, groove metal</t>
  </si>
  <si>
    <t>progressive metal, death metal, progressive rock, melodic death metal</t>
  </si>
  <si>
    <t>jazz rap, instrumental hip hop, television music</t>
  </si>
  <si>
    <t>pop rap, hip hop, chipmunk soul, experimental hip hop</t>
  </si>
  <si>
    <t>nu metal, rap metal, alternative rock, pop rock</t>
  </si>
  <si>
    <t>thrash metal, heavy metal, hard rock, alternative metal</t>
  </si>
  <si>
    <t>garage rock, indie rock, garage rock revival</t>
  </si>
  <si>
    <t>TOP  Alternative Rock (24 álbumes)</t>
  </si>
  <si>
    <t>TOP  Pop Rock (12 álbumes)</t>
  </si>
  <si>
    <t>24 · media 8.59 · score 8.59</t>
  </si>
  <si>
    <t>12 · media 7.9 · score 7.85</t>
  </si>
  <si>
    <t>Supertramp - Even In The Quietest Moments... (9.02)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</si>
  <si>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</si>
  <si>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</si>
  <si>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</si>
  <si>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</si>
  <si>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</si>
  <si>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</si>
  <si>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</si>
  <si>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</si>
  <si>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</si>
  <si>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</si>
  <si>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</si>
  <si>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</si>
  <si>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</si>
  <si>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&gt;8,6</t>
  </si>
  <si>
    <t>&gt;8,1</t>
  </si>
  <si>
    <t>&gt;8,4</t>
  </si>
  <si>
    <t>Pale Folklore</t>
  </si>
  <si>
    <t>TOP  Progressive Rock (35 álbumes)</t>
  </si>
  <si>
    <t>progressive rock (35)</t>
  </si>
  <si>
    <t>35 · media 8.79 · score 8.8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</si>
  <si>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</si>
  <si>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</si>
  <si>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</si>
  <si>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</si>
  <si>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</si>
  <si>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</si>
  <si>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</si>
  <si>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</si>
  <si>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</si>
  <si>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</si>
  <si>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</si>
  <si>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</si>
  <si>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</si>
  <si>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</si>
  <si>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</si>
  <si>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</si>
  <si>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</si>
  <si>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</si>
  <si>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</si>
  <si>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</si>
  <si>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</si>
  <si>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</si>
  <si>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</si>
  <si>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</si>
  <si>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</si>
  <si>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</si>
  <si>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</si>
  <si>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</si>
  <si>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</si>
  <si>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</si>
  <si>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</si>
  <si>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</si>
  <si>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</si>
  <si>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</si>
  <si>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</si>
  <si>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</si>
  <si>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</si>
  <si>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</si>
  <si>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</si>
  <si>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</si>
  <si>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</si>
  <si>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</si>
  <si>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</si>
  <si>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</si>
  <si>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</si>
  <si>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</si>
  <si>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</si>
  <si>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</si>
  <si>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</si>
  <si>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</si>
  <si>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</si>
  <si>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</si>
  <si>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</si>
  <si>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</si>
  <si>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</si>
  <si>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</si>
  <si>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</si>
  <si>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</si>
  <si>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</si>
  <si>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</si>
  <si>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</si>
  <si>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</si>
  <si>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</si>
  <si>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</si>
  <si>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</si>
  <si>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</si>
  <si>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</si>
  <si>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</si>
  <si>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</si>
  <si>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</si>
  <si>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</si>
  <si>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</si>
  <si>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</si>
  <si>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</si>
  <si>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</si>
  <si>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</si>
  <si>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</si>
  <si>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</si>
  <si>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</si>
  <si>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</si>
  <si>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</si>
  <si>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</si>
  <si>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</si>
  <si>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-1.93 ← sesgo alto</t>
  </si>
  <si>
    <t>4 · media 8.58 · score 8.53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</si>
  <si>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</si>
  <si>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</si>
  <si>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</si>
  <si>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</si>
  <si>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</si>
  <si>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</si>
  <si>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</si>
  <si>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</si>
  <si>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</si>
  <si>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</si>
  <si>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</si>
  <si>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</si>
  <si>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</si>
  <si>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</si>
  <si>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</si>
  <si>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</si>
  <si>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</si>
  <si>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</si>
  <si>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</si>
  <si>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</si>
  <si>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</si>
  <si>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</si>
  <si>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</si>
  <si>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</si>
  <si>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</si>
  <si>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</si>
  <si>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</si>
  <si>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</si>
  <si>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</si>
  <si>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</si>
  <si>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</si>
  <si>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</si>
  <si>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</si>
  <si>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</si>
  <si>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</si>
  <si>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</si>
  <si>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</si>
  <si>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</si>
  <si>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</si>
  <si>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</si>
  <si>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</si>
  <si>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</si>
  <si>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</si>
  <si>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</si>
  <si>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</si>
  <si>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TOP  Ambient (8 álbumes)</t>
  </si>
  <si>
    <t>TOP Ambient (10 álbumes)</t>
  </si>
  <si>
    <t>4 · media 8.43 · score 8.33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</si>
  <si>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</si>
  <si>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</si>
  <si>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</si>
  <si>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</si>
  <si>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</si>
  <si>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</si>
  <si>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</si>
  <si>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</si>
  <si>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</si>
  <si>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</si>
  <si>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</si>
  <si>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</si>
  <si>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</si>
  <si>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</si>
  <si>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</si>
  <si>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</si>
  <si>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</si>
  <si>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</si>
  <si>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</si>
  <si>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</si>
  <si>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</si>
  <si>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</si>
  <si>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</si>
  <si>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</si>
  <si>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</si>
  <si>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</si>
  <si>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</si>
  <si>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</si>
  <si>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</si>
  <si>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</si>
  <si>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</si>
  <si>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</si>
  <si>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</si>
  <si>
    <t>Banger</t>
  </si>
  <si>
    <t>hard rock, progressive rock, art rock</t>
  </si>
  <si>
    <t>2008 - 2011</t>
  </si>
  <si>
    <t>TOP  Art Rock (27 álbumes)</t>
  </si>
  <si>
    <t>26 · media 8.9 · score 8.97</t>
  </si>
  <si>
    <t>37 álbumes · media 8.44</t>
  </si>
  <si>
    <t>Media acumulada</t>
  </si>
  <si>
    <t>3rd EYE acumulado</t>
  </si>
  <si>
    <t>Media últimos 20</t>
  </si>
  <si>
    <t>Media del mes</t>
  </si>
  <si>
    <t>Percentil</t>
  </si>
  <si>
    <t>0%</t>
  </si>
  <si>
    <t>2%</t>
  </si>
  <si>
    <t>4%</t>
  </si>
  <si>
    <t>6%</t>
  </si>
  <si>
    <t>8%</t>
  </si>
  <si>
    <t>12%</t>
  </si>
  <si>
    <t>14%</t>
  </si>
  <si>
    <t>16%</t>
  </si>
  <si>
    <t>18%</t>
  </si>
  <si>
    <t>22%</t>
  </si>
  <si>
    <t>24%</t>
  </si>
  <si>
    <t>26%</t>
  </si>
  <si>
    <t>28%</t>
  </si>
  <si>
    <t>32%</t>
  </si>
  <si>
    <t>34%</t>
  </si>
  <si>
    <t>36%</t>
  </si>
  <si>
    <t>38%</t>
  </si>
  <si>
    <t>42%</t>
  </si>
  <si>
    <t>44%</t>
  </si>
  <si>
    <t>46%</t>
  </si>
  <si>
    <t>48%</t>
  </si>
  <si>
    <t>52%</t>
  </si>
  <si>
    <t>54%</t>
  </si>
  <si>
    <t>56%</t>
  </si>
  <si>
    <t>58%</t>
  </si>
  <si>
    <t>62%</t>
  </si>
  <si>
    <t>64%</t>
  </si>
  <si>
    <t>66%</t>
  </si>
  <si>
    <t>68%</t>
  </si>
  <si>
    <t>72%</t>
  </si>
  <si>
    <t>74%</t>
  </si>
  <si>
    <t>76%</t>
  </si>
  <si>
    <t>78%</t>
  </si>
  <si>
    <t>82%</t>
  </si>
  <si>
    <t>84%</t>
  </si>
  <si>
    <t>86%</t>
  </si>
  <si>
    <t>88%</t>
  </si>
  <si>
    <t>92%</t>
  </si>
  <si>
    <t>94%</t>
  </si>
  <si>
    <t>96%</t>
  </si>
  <si>
    <t>98%</t>
  </si>
  <si>
    <t>Nº de canciones</t>
  </si>
  <si>
    <t>17</t>
  </si>
  <si>
    <t>18</t>
  </si>
  <si>
    <t>19</t>
  </si>
  <si>
    <t>21</t>
  </si>
  <si>
    <t>22</t>
  </si>
  <si>
    <t>23</t>
  </si>
  <si>
    <t>24</t>
  </si>
  <si>
    <t>26</t>
  </si>
  <si>
    <t>27</t>
  </si>
  <si>
    <t>28</t>
  </si>
  <si>
    <t>29</t>
  </si>
  <si>
    <t>% notas ≥10</t>
  </si>
  <si>
    <t>&lt; 7</t>
  </si>
  <si>
    <t>≥ 10</t>
  </si>
  <si>
    <t>Año del álbum</t>
  </si>
  <si>
    <t>Variable</t>
  </si>
  <si>
    <t>r</t>
  </si>
  <si>
    <t>% interludios</t>
  </si>
  <si>
    <t>Boards of Canada (4)</t>
  </si>
  <si>
    <t>Radiohead (9)</t>
  </si>
  <si>
    <r>
      <t xml:space="preserve">* M|O|O|N - </t>
    </r>
    <r>
      <rPr>
        <b/>
        <sz val="14"/>
        <color theme="1" tint="0.249977111117893"/>
        <rFont val="Aptos Narrow"/>
        <scheme val="minor"/>
      </rPr>
      <t>Moon</t>
    </r>
    <r>
      <rPr>
        <sz val="14"/>
        <color theme="1" tint="0.249977111117893"/>
        <rFont val="Aptos Narrow"/>
        <scheme val="minor"/>
      </rPr>
      <t xml:space="preserve"> [EP]</t>
    </r>
  </si>
  <si>
    <t>Paris</t>
  </si>
  <si>
    <t>Crystals</t>
  </si>
  <si>
    <t>Hydrogen</t>
  </si>
  <si>
    <t>M|O|O|N</t>
  </si>
  <si>
    <t>Moon [EP]</t>
  </si>
  <si>
    <t>tech house, electro house</t>
  </si>
  <si>
    <t>20m</t>
  </si>
  <si>
    <t>09/09/2026</t>
  </si>
  <si>
    <r>
      <t xml:space="preserve">* Primus - </t>
    </r>
    <r>
      <rPr>
        <b/>
        <sz val="14"/>
        <color theme="3" tint="0.249977111117893"/>
        <rFont val="Aptos Narrow"/>
        <scheme val="minor"/>
      </rPr>
      <t>Frizzle Fry</t>
    </r>
  </si>
  <si>
    <t>To Defy The Laws Of Tradition</t>
  </si>
  <si>
    <t>Groundhog's day</t>
  </si>
  <si>
    <t>Too Many Puppies</t>
  </si>
  <si>
    <t>Mr. Knowitall</t>
  </si>
  <si>
    <t>Frizzle Fry</t>
  </si>
  <si>
    <t>John The Fisherman</t>
  </si>
  <si>
    <t>You Can't Kill Michael Malloy</t>
  </si>
  <si>
    <t>The Toys Go Winding Down</t>
  </si>
  <si>
    <t>Pudding Time</t>
  </si>
  <si>
    <t>Sathington Willoughby</t>
  </si>
  <si>
    <t>Spegetti Western</t>
  </si>
  <si>
    <t>Harold Of The Rocks</t>
  </si>
  <si>
    <t xml:space="preserve">To Defy  </t>
  </si>
  <si>
    <r>
      <t xml:space="preserve">* Kaátaìra - </t>
    </r>
    <r>
      <rPr>
        <b/>
        <sz val="14"/>
        <color rgb="FFF5C39C"/>
        <rFont val="Aptos Narrow"/>
        <scheme val="minor"/>
      </rPr>
      <t>Caminhos de Água</t>
    </r>
  </si>
  <si>
    <t>Rio Preto</t>
  </si>
  <si>
    <t>Rio sem Nome</t>
  </si>
  <si>
    <t>Aguas Passadas</t>
  </si>
  <si>
    <t>Rio Jovem</t>
  </si>
  <si>
    <t>Ritmo Corredeiro</t>
  </si>
  <si>
    <t>Caminhos de Água</t>
  </si>
  <si>
    <t>Remanso de Maria</t>
  </si>
  <si>
    <t>Primus</t>
  </si>
  <si>
    <t>Kaátaìra</t>
  </si>
  <si>
    <t>electro house</t>
  </si>
  <si>
    <t>tech house</t>
  </si>
  <si>
    <t>8.96, [+0.39]</t>
  </si>
  <si>
    <t>8.28, [-0.22]</t>
  </si>
  <si>
    <t>8.25, [-0.23]</t>
  </si>
  <si>
    <t>folk metal, avant garde metal</t>
  </si>
  <si>
    <t>11/09/2026</t>
  </si>
  <si>
    <t>avant garde metal</t>
  </si>
  <si>
    <t>3 · media 8.66 · score 8.58</t>
  </si>
  <si>
    <t>1 · media 8.6 · score 8.51</t>
  </si>
  <si>
    <t>48 álbumes · media 7.87</t>
  </si>
  <si>
    <r>
      <t xml:space="preserve">* Ms. Lauryn Hill - </t>
    </r>
    <r>
      <rPr>
        <b/>
        <sz val="10"/>
        <color rgb="FF7F413E"/>
        <rFont val="Aptos Narrow"/>
        <scheme val="minor"/>
      </rPr>
      <t>The Miseducation of Lauryn Hill</t>
    </r>
  </si>
  <si>
    <t>Lost Ones</t>
  </si>
  <si>
    <t>Ex-Factor</t>
  </si>
  <si>
    <t>To Zion</t>
  </si>
  <si>
    <t>Doo Wop</t>
  </si>
  <si>
    <t>Superstar</t>
  </si>
  <si>
    <t>Final Hour</t>
  </si>
  <si>
    <t>When It Hurts so Bad</t>
  </si>
  <si>
    <t>Forgive Them Father</t>
  </si>
  <si>
    <t>Every Ghetto, Every City</t>
  </si>
  <si>
    <t>Nothing Ever Matters</t>
  </si>
  <si>
    <t>Everything Is Everything</t>
  </si>
  <si>
    <t>The Miseducation of Lauryn Hill</t>
  </si>
  <si>
    <t>Tell Him</t>
  </si>
  <si>
    <t>I Used to Love Him</t>
  </si>
  <si>
    <t>Can't Take My Eyes Off of You - (I Love You Baby)</t>
  </si>
  <si>
    <t>Ms. Lauryn Hill</t>
  </si>
  <si>
    <t>Álbumes con al menos 11 canciones: 122</t>
  </si>
  <si>
    <t>8.30, [-0.20]</t>
  </si>
  <si>
    <t>Álbumes con al menos 12 canciones: 83</t>
  </si>
  <si>
    <t>8.34, [-0.15]</t>
  </si>
  <si>
    <t>Álbumes con al menos 13 canciones: 56</t>
  </si>
  <si>
    <t>8.13, [-0.34]</t>
  </si>
  <si>
    <t>Álbumes con al menos 14 canciones: 37</t>
  </si>
  <si>
    <t>8.32, [-0.05]</t>
  </si>
  <si>
    <t>Álbumes con al menos 15 canciones: 27</t>
  </si>
  <si>
    <t>8.39, [+0.01]</t>
  </si>
  <si>
    <t>8.43, [-0.13]</t>
  </si>
  <si>
    <t>8.28, [-0.27]</t>
  </si>
  <si>
    <t>neo soul, hip hop</t>
  </si>
  <si>
    <t>14/09/2026</t>
  </si>
  <si>
    <t>funk metal</t>
  </si>
  <si>
    <t>neo soul</t>
  </si>
  <si>
    <t>TOP Hip Hop (25 álbumes)</t>
  </si>
  <si>
    <t>1 · media 8.8 · score 8.69</t>
  </si>
  <si>
    <t>3 · media 8.62 · score 8.57</t>
  </si>
  <si>
    <t>24 álb · 16 subg · media 8.04 · score 7.97</t>
  </si>
  <si>
    <t>74 álbumes · media 8.58</t>
  </si>
  <si>
    <t>Ms. Lauryn Hill - The Miseducation of Lauryn Hill (1h 17m)</t>
  </si>
  <si>
    <t>Horse Steppin'</t>
  </si>
  <si>
    <t>Deep Cover</t>
  </si>
  <si>
    <t>Hotline</t>
  </si>
  <si>
    <t>Miami</t>
  </si>
  <si>
    <t>Knock Knock</t>
  </si>
  <si>
    <t>Miami Disco</t>
  </si>
  <si>
    <t>Flatline</t>
  </si>
  <si>
    <t>Silver Lights</t>
  </si>
  <si>
    <t>Daisuke</t>
  </si>
  <si>
    <t>Turf</t>
  </si>
  <si>
    <t>Crush</t>
  </si>
  <si>
    <t>Electric Dreams</t>
  </si>
  <si>
    <t>Inner Animal</t>
  </si>
  <si>
    <t>It's Safe Now</t>
  </si>
  <si>
    <r>
      <t xml:space="preserve">* Hotline Miami - </t>
    </r>
    <r>
      <rPr>
        <b/>
        <sz val="12"/>
        <color rgb="FFFF59A1"/>
        <rFont val="Aptos Narrow"/>
        <scheme val="minor"/>
      </rPr>
      <t>Hotline Miami</t>
    </r>
    <r>
      <rPr>
        <sz val="12"/>
        <color rgb="FFFF59A1"/>
        <rFont val="Aptos Narrow"/>
        <scheme val="minor"/>
      </rPr>
      <t xml:space="preserve"> [OST]</t>
    </r>
  </si>
  <si>
    <t>Hotline Miami</t>
  </si>
  <si>
    <t>Hotline Miami [OST]</t>
  </si>
  <si>
    <t>TOP Metal (90 álbumes)</t>
  </si>
  <si>
    <t>TOP R&amp;b (5 álbumes)</t>
  </si>
  <si>
    <t>r&amp;b (8.76)</t>
  </si>
  <si>
    <t>5 álb · 6 subg · media 8.82 · score 8.76</t>
  </si>
  <si>
    <t>15/09/2026</t>
  </si>
  <si>
    <r>
      <t xml:space="preserve">* Mort Garson - </t>
    </r>
    <r>
      <rPr>
        <b/>
        <sz val="12"/>
        <color rgb="FF009C36"/>
        <rFont val="Aptos Narrow"/>
        <scheme val="minor"/>
      </rPr>
      <t>Mother Earth's Plantasia</t>
    </r>
  </si>
  <si>
    <t>Plantasia</t>
  </si>
  <si>
    <t>Symphony for a Spider Plant</t>
  </si>
  <si>
    <t>Baby's Tears Blues</t>
  </si>
  <si>
    <t>Ode to an African Violet</t>
  </si>
  <si>
    <t>Concerto for Philodendron &amp; Pothos</t>
  </si>
  <si>
    <t>Rhapsody in Green</t>
  </si>
  <si>
    <t>Swingin' Spathiphyllums</t>
  </si>
  <si>
    <t>You Don't Have to Walk a Begonia</t>
  </si>
  <si>
    <t>A Mellow Mood for Maidenhair</t>
  </si>
  <si>
    <t>Music to Soothe the Savage Snake Plant</t>
  </si>
  <si>
    <t>Mort Garson</t>
  </si>
  <si>
    <t>Mother Earth's Plantasia</t>
  </si>
  <si>
    <t>TOP  Electronic (9 álbumes)</t>
  </si>
  <si>
    <t>Discovery, Random Access Memories</t>
  </si>
  <si>
    <t>Álbumes con al menos 9 canciones: 206</t>
  </si>
  <si>
    <t>Álbumes con al menos 10 canciones: 166</t>
  </si>
  <si>
    <t>8.78, [+0.21]</t>
  </si>
  <si>
    <t>progressive electronic, space age pop</t>
  </si>
  <si>
    <t>16/09/2026</t>
  </si>
  <si>
    <r>
      <t xml:space="preserve">* Herbie Hancock - </t>
    </r>
    <r>
      <rPr>
        <b/>
        <sz val="14"/>
        <color rgb="FFE8C717"/>
        <rFont val="Aptos Narrow"/>
        <scheme val="minor"/>
      </rPr>
      <t>Head Hunters</t>
    </r>
  </si>
  <si>
    <t>Chamaleon</t>
  </si>
  <si>
    <t>Watermelon Man</t>
  </si>
  <si>
    <t>Sly</t>
  </si>
  <si>
    <t>Vein Melter</t>
  </si>
  <si>
    <t>Herbie Hancock</t>
  </si>
  <si>
    <t>Head Hunters</t>
  </si>
  <si>
    <t>space age pop</t>
  </si>
  <si>
    <t>TOP Electronic (49 álbumes)</t>
  </si>
  <si>
    <t>1 · media 8.75 · score 8.64</t>
  </si>
  <si>
    <t>2 · media 8.55 · score 8.46</t>
  </si>
  <si>
    <t>40 álb · 26 subg · media 8.6 · score 8.55</t>
  </si>
  <si>
    <t>1970s (8.93)</t>
  </si>
  <si>
    <t>r=0.099 · ≈ nula</t>
  </si>
  <si>
    <t>r=0.508      · ↑ moderada</t>
  </si>
  <si>
    <t>Notas ≥10 (r=0.508)</t>
  </si>
  <si>
    <t>8.82, [+0.26]</t>
  </si>
  <si>
    <t>8.63, [+0.08]</t>
  </si>
  <si>
    <t>8.67, [+0.10]</t>
  </si>
  <si>
    <t>8.45, [-0.12]</t>
  </si>
  <si>
    <t>8.38, [-0.19]</t>
  </si>
  <si>
    <t>8.36, [-0.20]</t>
  </si>
  <si>
    <t>jazz funk, jazz fusion</t>
  </si>
  <si>
    <r>
      <t xml:space="preserve">* Songs: Ohia - </t>
    </r>
    <r>
      <rPr>
        <b/>
        <sz val="12"/>
        <color theme="0" tint="-4.9989318521683403E-2"/>
        <rFont val="Aptos Narrow"/>
        <scheme val="minor"/>
      </rPr>
      <t>Magnolia Electric Co.</t>
    </r>
  </si>
  <si>
    <t>Farewell Transmission</t>
  </si>
  <si>
    <t>I've Been Riding With the Ghost</t>
  </si>
  <si>
    <t>Just Be Simple</t>
  </si>
  <si>
    <t>Almost Was Good Enough</t>
  </si>
  <si>
    <t>The Old Black Hen</t>
  </si>
  <si>
    <t>Peoria Lunch Box Blues</t>
  </si>
  <si>
    <t>John Henry Split My Heart</t>
  </si>
  <si>
    <t>Hold On Magnolia</t>
  </si>
  <si>
    <t>Songs: Ohia</t>
  </si>
  <si>
    <t>Magnolia Electric Co.</t>
  </si>
  <si>
    <t>Fear of a Blank Planet, Deadwing</t>
  </si>
  <si>
    <t>jazz funk</t>
  </si>
  <si>
    <t>TOP Jazz (4 álbumes)</t>
  </si>
  <si>
    <t>8 (×732)</t>
  </si>
  <si>
    <t>11.39 ← colas pesadas</t>
  </si>
  <si>
    <t>33   (1.09%)</t>
  </si>
  <si>
    <t>51   (1.69%)</t>
  </si>
  <si>
    <t>365   (12.1%)</t>
  </si>
  <si>
    <t>1407   (46.65%)</t>
  </si>
  <si>
    <t>701  (23.24%)</t>
  </si>
  <si>
    <t>459(15.22%)</t>
  </si>
  <si>
    <t>1 · media 9 · score 9.03</t>
  </si>
  <si>
    <t>3 · media 8.81 · score 8.78</t>
  </si>
  <si>
    <t>31 · media 8.72 · score 8.75</t>
  </si>
  <si>
    <t>3 · media 8.43 · score 8.48</t>
  </si>
  <si>
    <t>4 álb · 2 subg · media 8.72 · score 8.68</t>
  </si>
  <si>
    <t>89 álb · 27 subg · media 8.57 · score 8.56</t>
  </si>
  <si>
    <t>Herbie Hancock - Head Hunters (9.03)</t>
  </si>
  <si>
    <t>32 álbumes · media 8.93</t>
  </si>
  <si>
    <t>r=-0.107   · ≈ nula</t>
  </si>
  <si>
    <t>r=0.098 · ≈ nula</t>
  </si>
  <si>
    <t>r=-0.193         · ≈ nula</t>
  </si>
  <si>
    <t>r=-0.31 · ↓ débil</t>
  </si>
  <si>
    <t>Interludios   (r=0.098)</t>
  </si>
  <si>
    <t>Álbumes con al menos 1 cancion: 300</t>
  </si>
  <si>
    <t>Álbumes con al menos 2 canciones: 299</t>
  </si>
  <si>
    <t>Álbumes con al menos 3 canciones: 297</t>
  </si>
  <si>
    <t>Álbumes con al menos 4 canciones: 293</t>
  </si>
  <si>
    <t>Álbumes con al menos 5 canciones: 288</t>
  </si>
  <si>
    <t>Álbumes con al menos 6 canciones: 274</t>
  </si>
  <si>
    <t>8.46, [-0.07]</t>
  </si>
  <si>
    <t>Álbumes con al menos 7 canciones: 257</t>
  </si>
  <si>
    <t>8.39, [-0.13]</t>
  </si>
  <si>
    <t>Álbumes con al menos 8 canciones: 237</t>
  </si>
  <si>
    <t>8.37, [-0.17]</t>
  </si>
  <si>
    <t>alt country, country rock</t>
  </si>
  <si>
    <t>19/09/2026</t>
  </si>
  <si>
    <t>alt country</t>
  </si>
  <si>
    <t>TOP Rock (149 álbumes)</t>
  </si>
  <si>
    <t>300 de 300</t>
  </si>
  <si>
    <t>1 · media 9.06 · score 9.03</t>
  </si>
  <si>
    <t>2 · media 8.95 · score 8.94</t>
  </si>
  <si>
    <t>rock (145)</t>
  </si>
  <si>
    <t>145 álb · 44 subg · media 8.66 · score 8.64</t>
  </si>
  <si>
    <t>2000s (76)</t>
  </si>
  <si>
    <t>76 álbumes · media 8.71</t>
  </si>
  <si>
    <t>r=0.116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</si>
</sst>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  <font>
      <sz val="14"/>
      <color rgb="FFF5C39C"/>
      <name val="Aptos Narrow"/>
      <scheme val="minor"/>
    </font>
    <font>
      <b/>
      <sz val="14"/>
      <color rgb="FFF5C39C"/>
      <name val="Aptos Narrow"/>
      <scheme val="minor"/>
    </font>
    <font>
      <sz val="10"/>
      <color rgb="FF7F413E"/>
      <name val="Aptos Narrow"/>
      <scheme val="minor"/>
    </font>
    <font>
      <b/>
      <sz val="10"/>
      <color rgb="FF7F413E"/>
      <name val="Aptos Narrow"/>
      <scheme val="minor"/>
    </font>
    <font>
      <sz val="12"/>
      <color rgb="FFFF59A1"/>
      <name val="Aptos Narrow"/>
      <scheme val="minor"/>
    </font>
    <font>
      <b/>
      <sz val="12"/>
      <color rgb="FFFF59A1"/>
      <name val="Aptos Narrow"/>
      <scheme val="minor"/>
    </font>
    <font>
      <sz val="12"/>
      <color rgb="FF009C36"/>
      <name val="Aptos Narrow"/>
      <scheme val="minor"/>
    </font>
    <font>
      <b/>
      <sz val="12"/>
      <color rgb="FF009C36"/>
      <name val="Aptos Narrow"/>
      <scheme val="minor"/>
    </font>
    <font>
      <sz val="14"/>
      <color rgb="FFE8C717"/>
      <name val="Aptos Narrow"/>
      <scheme val="minor"/>
    </font>
    <font>
      <b/>
      <sz val="14"/>
      <color rgb="FFE8C717"/>
      <name val="Aptos Narrow"/>
      <scheme val="minor"/>
    </font>
    <font>
      <sz val="12"/>
      <color theme="0" tint="-4.9989318521683403E-2"/>
      <name val="Aptos Narrow"/>
      <scheme val="minor"/>
    </font>
    <font>
      <b/>
      <sz val="12"/>
      <color theme="0" tint="-4.9989318521683403E-2"/>
      <name val="Aptos Narrow"/>
      <scheme val="minor"/>
    </font>
  </fonts>
  <fills count="37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C8BA85"/>
        <bgColor indexed="64"/>
      </patternFill>
    </fill>
    <fill>
      <patternFill patternType="solid">
        <fgColor rgb="FF202B32"/>
        <bgColor indexed="64"/>
      </patternFill>
    </fill>
    <fill>
      <patternFill patternType="solid">
        <fgColor rgb="FFEEDFC0"/>
        <bgColor indexed="64"/>
      </patternFill>
    </fill>
    <fill>
      <patternFill patternType="solid">
        <fgColor rgb="FF503D87"/>
        <bgColor indexed="64"/>
      </patternFill>
    </fill>
    <fill>
      <patternFill patternType="solid">
        <fgColor rgb="FF231E4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4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15" fillId="357" borderId="0" xfId="0" applyFont="1" applyFill="1" applyAlignment="1">
      <alignment horizontal="center"/>
    </xf>
    <xf numFmtId="0" fontId="444" fillId="358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9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60" borderId="0" xfId="0" applyNumberFormat="1" applyFont="1" applyFill="1"/>
    <xf numFmtId="0" fontId="448" fillId="360" borderId="0" xfId="0" applyFont="1" applyFill="1"/>
    <xf numFmtId="49" fontId="448" fillId="361" borderId="0" xfId="0" applyNumberFormat="1" applyFont="1" applyFill="1"/>
    <xf numFmtId="0" fontId="448" fillId="361" borderId="0" xfId="0" applyFont="1" applyFill="1"/>
    <xf numFmtId="0" fontId="449" fillId="362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3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4" borderId="1" xfId="0" applyFont="1" applyFill="1" applyBorder="1" applyAlignment="1">
      <alignment vertical="center"/>
    </xf>
    <xf numFmtId="0" fontId="0" fillId="0" borderId="5" xfId="0" applyBorder="1"/>
    <xf numFmtId="0" fontId="453" fillId="365" borderId="1" xfId="0" applyFont="1" applyFill="1" applyBorder="1" applyAlignment="1">
      <alignment vertical="center"/>
    </xf>
    <xf numFmtId="0" fontId="455" fillId="366" borderId="1" xfId="0" applyFont="1" applyFill="1" applyBorder="1" applyAlignment="1">
      <alignment vertical="center"/>
    </xf>
    <xf numFmtId="0" fontId="15" fillId="367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2" fillId="0" borderId="0" xfId="0" applyFont="1"/>
    <xf numFmtId="49" fontId="459" fillId="360" borderId="0" xfId="0" applyNumberFormat="1" applyFont="1" applyFill="1"/>
    <xf numFmtId="49" fontId="459" fillId="361" borderId="0" xfId="0" applyNumberFormat="1" applyFont="1" applyFill="1"/>
    <xf numFmtId="0" fontId="4" fillId="20" borderId="0" xfId="0" applyFont="1" applyFill="1" applyAlignment="1">
      <alignment horizontal="center" vertical="center"/>
    </xf>
    <xf numFmtId="16" fontId="0" fillId="0" borderId="0" xfId="0" applyNumberFormat="1"/>
    <xf numFmtId="0" fontId="394" fillId="368" borderId="1" xfId="0" applyFont="1" applyFill="1" applyBorder="1" applyAlignment="1">
      <alignment vertical="center"/>
    </xf>
    <xf numFmtId="0" fontId="460" fillId="369" borderId="1" xfId="0" applyFont="1" applyFill="1" applyBorder="1" applyAlignment="1">
      <alignment vertical="center"/>
    </xf>
    <xf numFmtId="0" fontId="462" fillId="370" borderId="1" xfId="0" applyFont="1" applyFill="1" applyBorder="1" applyAlignment="1">
      <alignment vertical="center"/>
    </xf>
    <xf numFmtId="0" fontId="464" fillId="371" borderId="1" xfId="0" applyFont="1" applyFill="1" applyBorder="1" applyAlignment="1">
      <alignment vertical="center"/>
    </xf>
    <xf numFmtId="0" fontId="466" fillId="0" borderId="1" xfId="0" applyFont="1" applyBorder="1" applyAlignment="1">
      <alignment vertical="center"/>
    </xf>
    <xf numFmtId="0" fontId="468" fillId="372" borderId="1" xfId="0" applyFont="1" applyFill="1" applyBorder="1" applyAlignment="1">
      <alignment vertical="center"/>
    </xf>
    <xf numFmtId="0" fontId="470" fillId="48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2541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8C717"/>
      <color rgb="FF231E44"/>
      <color rgb="FF009C36"/>
      <color rgb="FFFF59A1"/>
      <color rgb="FF503D87"/>
      <color rgb="FFFF3738"/>
      <color rgb="FFF2605B"/>
      <color rgb="FF350505"/>
      <color rgb="FF7F413E"/>
      <color rgb="FFEEDF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(300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BD-5145-B982-AD6E89AF7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0529535"/>
        <c:axId val="400530879"/>
      </c:lineChart>
      <c:catAx>
        <c:axId val="40052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530879"/>
        <c:crosses val="autoZero"/>
        <c:auto val="1"/>
        <c:lblAlgn val="ctr"/>
        <c:lblOffset val="100"/>
        <c:noMultiLvlLbl val="0"/>
      </c:catAx>
      <c:valAx>
        <c:axId val="40053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52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6D-6C4D-99D4-B62AF03A3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0747327"/>
        <c:axId val="410755391"/>
      </c:barChart>
      <c:catAx>
        <c:axId val="41074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0755391"/>
        <c:crosses val="autoZero"/>
        <c:auto val="1"/>
        <c:lblAlgn val="ctr"/>
        <c:lblOffset val="100"/>
        <c:noMultiLvlLbl val="0"/>
      </c:catAx>
      <c:valAx>
        <c:axId val="41075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0747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la media según se reseñan álbumes (300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Media acumulada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Graficos!$AT$26:$AT$325</c:f>
              <c:strCache>
                <c:ptCount val="30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</c:strCache>
            </c:strRef>
          </c:cat>
          <c:val>
            <c:numRef>
              <c:f>Graficos!$AU$26:$AU$325</c:f>
              <c:numCache>
                <c:formatCode>General</c:formatCode>
                <c:ptCount val="300"/>
                <c:pt idx="0">
                  <c:v>9.2899999999999991</c:v>
                </c:pt>
                <c:pt idx="1">
                  <c:v>9.2200000000000006</c:v>
                </c:pt>
                <c:pt idx="2">
                  <c:v>9.15</c:v>
                </c:pt>
                <c:pt idx="3">
                  <c:v>9.09</c:v>
                </c:pt>
                <c:pt idx="4">
                  <c:v>9.0299999999999994</c:v>
                </c:pt>
                <c:pt idx="5">
                  <c:v>9.01</c:v>
                </c:pt>
                <c:pt idx="6">
                  <c:v>8.9700000000000006</c:v>
                </c:pt>
                <c:pt idx="7">
                  <c:v>8.9</c:v>
                </c:pt>
                <c:pt idx="8">
                  <c:v>8.98</c:v>
                </c:pt>
                <c:pt idx="9">
                  <c:v>9.02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8.98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8.8800000000000008</c:v>
                </c:pt>
                <c:pt idx="21">
                  <c:v>8.8699999999999992</c:v>
                </c:pt>
                <c:pt idx="22">
                  <c:v>8.86</c:v>
                </c:pt>
                <c:pt idx="23">
                  <c:v>8.7899999999999991</c:v>
                </c:pt>
                <c:pt idx="24">
                  <c:v>8.81</c:v>
                </c:pt>
                <c:pt idx="25">
                  <c:v>8.77</c:v>
                </c:pt>
                <c:pt idx="26">
                  <c:v>8.7799999999999994</c:v>
                </c:pt>
                <c:pt idx="27">
                  <c:v>8.7799999999999994</c:v>
                </c:pt>
                <c:pt idx="28">
                  <c:v>8.76</c:v>
                </c:pt>
                <c:pt idx="29">
                  <c:v>8.77</c:v>
                </c:pt>
                <c:pt idx="30">
                  <c:v>8.77</c:v>
                </c:pt>
                <c:pt idx="31">
                  <c:v>8.74</c:v>
                </c:pt>
                <c:pt idx="32">
                  <c:v>8.74</c:v>
                </c:pt>
                <c:pt idx="33">
                  <c:v>8.73</c:v>
                </c:pt>
                <c:pt idx="34">
                  <c:v>8.7799999999999994</c:v>
                </c:pt>
                <c:pt idx="35">
                  <c:v>8.7799999999999994</c:v>
                </c:pt>
                <c:pt idx="36">
                  <c:v>8.77</c:v>
                </c:pt>
                <c:pt idx="37">
                  <c:v>8.77</c:v>
                </c:pt>
                <c:pt idx="38">
                  <c:v>8.75</c:v>
                </c:pt>
                <c:pt idx="39">
                  <c:v>8.75</c:v>
                </c:pt>
                <c:pt idx="40">
                  <c:v>8.75</c:v>
                </c:pt>
                <c:pt idx="41">
                  <c:v>8.73</c:v>
                </c:pt>
                <c:pt idx="42">
                  <c:v>8.76</c:v>
                </c:pt>
                <c:pt idx="43">
                  <c:v>8.7200000000000006</c:v>
                </c:pt>
                <c:pt idx="44">
                  <c:v>8.6999999999999993</c:v>
                </c:pt>
                <c:pt idx="45">
                  <c:v>8.7100000000000009</c:v>
                </c:pt>
                <c:pt idx="46">
                  <c:v>8.7100000000000009</c:v>
                </c:pt>
                <c:pt idx="47">
                  <c:v>8.73</c:v>
                </c:pt>
                <c:pt idx="48">
                  <c:v>8.75</c:v>
                </c:pt>
                <c:pt idx="49">
                  <c:v>8.75</c:v>
                </c:pt>
                <c:pt idx="50">
                  <c:v>8.75</c:v>
                </c:pt>
                <c:pt idx="51">
                  <c:v>8.76</c:v>
                </c:pt>
                <c:pt idx="52">
                  <c:v>8.76</c:v>
                </c:pt>
                <c:pt idx="53">
                  <c:v>8.76</c:v>
                </c:pt>
                <c:pt idx="54">
                  <c:v>8.76</c:v>
                </c:pt>
                <c:pt idx="55">
                  <c:v>8.76</c:v>
                </c:pt>
                <c:pt idx="56">
                  <c:v>8.75</c:v>
                </c:pt>
                <c:pt idx="57">
                  <c:v>8.76</c:v>
                </c:pt>
                <c:pt idx="58">
                  <c:v>8.76</c:v>
                </c:pt>
                <c:pt idx="59">
                  <c:v>8.76</c:v>
                </c:pt>
                <c:pt idx="60">
                  <c:v>8.74</c:v>
                </c:pt>
                <c:pt idx="61">
                  <c:v>8.74</c:v>
                </c:pt>
                <c:pt idx="62">
                  <c:v>8.75</c:v>
                </c:pt>
                <c:pt idx="63">
                  <c:v>8.73</c:v>
                </c:pt>
                <c:pt idx="64">
                  <c:v>8.73</c:v>
                </c:pt>
                <c:pt idx="65">
                  <c:v>8.74</c:v>
                </c:pt>
                <c:pt idx="66">
                  <c:v>8.76</c:v>
                </c:pt>
                <c:pt idx="67">
                  <c:v>8.75</c:v>
                </c:pt>
                <c:pt idx="68">
                  <c:v>8.76</c:v>
                </c:pt>
                <c:pt idx="69">
                  <c:v>8.75</c:v>
                </c:pt>
                <c:pt idx="70">
                  <c:v>8.77</c:v>
                </c:pt>
                <c:pt idx="71">
                  <c:v>8.77</c:v>
                </c:pt>
                <c:pt idx="72">
                  <c:v>8.77</c:v>
                </c:pt>
                <c:pt idx="73">
                  <c:v>8.76</c:v>
                </c:pt>
                <c:pt idx="74">
                  <c:v>8.75</c:v>
                </c:pt>
                <c:pt idx="75">
                  <c:v>8.76</c:v>
                </c:pt>
                <c:pt idx="76">
                  <c:v>8.76</c:v>
                </c:pt>
                <c:pt idx="77">
                  <c:v>8.75</c:v>
                </c:pt>
                <c:pt idx="78">
                  <c:v>8.74</c:v>
                </c:pt>
                <c:pt idx="79">
                  <c:v>8.75</c:v>
                </c:pt>
                <c:pt idx="80">
                  <c:v>8.75</c:v>
                </c:pt>
                <c:pt idx="81">
                  <c:v>8.74</c:v>
                </c:pt>
                <c:pt idx="82">
                  <c:v>8.74</c:v>
                </c:pt>
                <c:pt idx="83">
                  <c:v>8.75</c:v>
                </c:pt>
                <c:pt idx="84">
                  <c:v>8.75</c:v>
                </c:pt>
                <c:pt idx="85">
                  <c:v>8.75</c:v>
                </c:pt>
                <c:pt idx="86">
                  <c:v>8.74</c:v>
                </c:pt>
                <c:pt idx="87">
                  <c:v>8.74</c:v>
                </c:pt>
                <c:pt idx="88">
                  <c:v>8.74</c:v>
                </c:pt>
                <c:pt idx="89">
                  <c:v>8.74</c:v>
                </c:pt>
                <c:pt idx="90">
                  <c:v>8.74</c:v>
                </c:pt>
                <c:pt idx="91">
                  <c:v>8.74</c:v>
                </c:pt>
                <c:pt idx="92">
                  <c:v>8.74</c:v>
                </c:pt>
                <c:pt idx="93">
                  <c:v>8.74</c:v>
                </c:pt>
                <c:pt idx="94">
                  <c:v>8.75</c:v>
                </c:pt>
                <c:pt idx="95">
                  <c:v>8.75</c:v>
                </c:pt>
                <c:pt idx="96">
                  <c:v>8.75</c:v>
                </c:pt>
                <c:pt idx="97">
                  <c:v>8.75</c:v>
                </c:pt>
                <c:pt idx="98">
                  <c:v>8.75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8.69</c:v>
                </c:pt>
                <c:pt idx="112">
                  <c:v>8.6999999999999993</c:v>
                </c:pt>
                <c:pt idx="113">
                  <c:v>8.69</c:v>
                </c:pt>
                <c:pt idx="114">
                  <c:v>8.69</c:v>
                </c:pt>
                <c:pt idx="115">
                  <c:v>8.69</c:v>
                </c:pt>
                <c:pt idx="116">
                  <c:v>8.69</c:v>
                </c:pt>
                <c:pt idx="117">
                  <c:v>8.69</c:v>
                </c:pt>
                <c:pt idx="118">
                  <c:v>8.68</c:v>
                </c:pt>
                <c:pt idx="119">
                  <c:v>8.67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8.67</c:v>
                </c:pt>
                <c:pt idx="140">
                  <c:v>8.67</c:v>
                </c:pt>
                <c:pt idx="141">
                  <c:v>8.67</c:v>
                </c:pt>
                <c:pt idx="142">
                  <c:v>8.67</c:v>
                </c:pt>
                <c:pt idx="143">
                  <c:v>8.67</c:v>
                </c:pt>
                <c:pt idx="144">
                  <c:v>8.67</c:v>
                </c:pt>
                <c:pt idx="145">
                  <c:v>8.68</c:v>
                </c:pt>
                <c:pt idx="146">
                  <c:v>8.67</c:v>
                </c:pt>
                <c:pt idx="147">
                  <c:v>8.66</c:v>
                </c:pt>
                <c:pt idx="148">
                  <c:v>8.67</c:v>
                </c:pt>
                <c:pt idx="149">
                  <c:v>8.67</c:v>
                </c:pt>
                <c:pt idx="150">
                  <c:v>8.67</c:v>
                </c:pt>
                <c:pt idx="151">
                  <c:v>8.67</c:v>
                </c:pt>
                <c:pt idx="152">
                  <c:v>8.67</c:v>
                </c:pt>
                <c:pt idx="153">
                  <c:v>8.67</c:v>
                </c:pt>
                <c:pt idx="154">
                  <c:v>8.6300000000000008</c:v>
                </c:pt>
                <c:pt idx="155">
                  <c:v>8.6300000000000008</c:v>
                </c:pt>
                <c:pt idx="156">
                  <c:v>8.6300000000000008</c:v>
                </c:pt>
                <c:pt idx="157">
                  <c:v>8.6300000000000008</c:v>
                </c:pt>
                <c:pt idx="158">
                  <c:v>8.6300000000000008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8.64</c:v>
                </c:pt>
                <c:pt idx="162">
                  <c:v>8.6300000000000008</c:v>
                </c:pt>
                <c:pt idx="163">
                  <c:v>8.6300000000000008</c:v>
                </c:pt>
                <c:pt idx="164">
                  <c:v>8.64</c:v>
                </c:pt>
                <c:pt idx="165">
                  <c:v>8.64</c:v>
                </c:pt>
                <c:pt idx="166">
                  <c:v>8.64</c:v>
                </c:pt>
                <c:pt idx="167">
                  <c:v>8.64</c:v>
                </c:pt>
                <c:pt idx="168">
                  <c:v>8.64</c:v>
                </c:pt>
                <c:pt idx="169">
                  <c:v>8.64</c:v>
                </c:pt>
                <c:pt idx="170">
                  <c:v>8.64</c:v>
                </c:pt>
                <c:pt idx="171">
                  <c:v>8.64</c:v>
                </c:pt>
                <c:pt idx="172">
                  <c:v>8.64</c:v>
                </c:pt>
                <c:pt idx="173">
                  <c:v>8.64</c:v>
                </c:pt>
                <c:pt idx="174">
                  <c:v>8.64</c:v>
                </c:pt>
                <c:pt idx="175">
                  <c:v>8.64</c:v>
                </c:pt>
                <c:pt idx="176">
                  <c:v>8.64</c:v>
                </c:pt>
                <c:pt idx="177">
                  <c:v>8.64</c:v>
                </c:pt>
                <c:pt idx="178">
                  <c:v>8.64</c:v>
                </c:pt>
                <c:pt idx="179">
                  <c:v>8.64</c:v>
                </c:pt>
                <c:pt idx="180">
                  <c:v>8.64</c:v>
                </c:pt>
                <c:pt idx="181">
                  <c:v>8.64</c:v>
                </c:pt>
                <c:pt idx="182">
                  <c:v>8.64</c:v>
                </c:pt>
                <c:pt idx="183">
                  <c:v>8.64</c:v>
                </c:pt>
                <c:pt idx="184">
                  <c:v>8.64</c:v>
                </c:pt>
                <c:pt idx="185">
                  <c:v>8.64</c:v>
                </c:pt>
                <c:pt idx="186">
                  <c:v>8.64</c:v>
                </c:pt>
                <c:pt idx="187">
                  <c:v>8.64</c:v>
                </c:pt>
                <c:pt idx="188">
                  <c:v>8.64</c:v>
                </c:pt>
                <c:pt idx="189">
                  <c:v>8.64</c:v>
                </c:pt>
                <c:pt idx="190">
                  <c:v>8.64</c:v>
                </c:pt>
                <c:pt idx="191">
                  <c:v>8.64</c:v>
                </c:pt>
                <c:pt idx="192">
                  <c:v>8.64</c:v>
                </c:pt>
                <c:pt idx="193">
                  <c:v>8.64</c:v>
                </c:pt>
                <c:pt idx="194">
                  <c:v>8.64</c:v>
                </c:pt>
                <c:pt idx="195">
                  <c:v>8.64</c:v>
                </c:pt>
                <c:pt idx="196">
                  <c:v>8.64</c:v>
                </c:pt>
                <c:pt idx="197">
                  <c:v>8.64</c:v>
                </c:pt>
                <c:pt idx="198">
                  <c:v>8.64</c:v>
                </c:pt>
                <c:pt idx="199">
                  <c:v>8.6199999999999992</c:v>
                </c:pt>
                <c:pt idx="200">
                  <c:v>8.6199999999999992</c:v>
                </c:pt>
                <c:pt idx="201">
                  <c:v>8.6199999999999992</c:v>
                </c:pt>
                <c:pt idx="202">
                  <c:v>8.6199999999999992</c:v>
                </c:pt>
                <c:pt idx="203">
                  <c:v>8.6199999999999992</c:v>
                </c:pt>
                <c:pt idx="204">
                  <c:v>8.6199999999999992</c:v>
                </c:pt>
                <c:pt idx="205">
                  <c:v>8.6199999999999992</c:v>
                </c:pt>
                <c:pt idx="206">
                  <c:v>8.6199999999999992</c:v>
                </c:pt>
                <c:pt idx="207">
                  <c:v>8.61</c:v>
                </c:pt>
                <c:pt idx="208">
                  <c:v>8.61</c:v>
                </c:pt>
                <c:pt idx="209">
                  <c:v>8.61</c:v>
                </c:pt>
                <c:pt idx="210">
                  <c:v>8.61</c:v>
                </c:pt>
                <c:pt idx="211">
                  <c:v>8.61</c:v>
                </c:pt>
                <c:pt idx="212">
                  <c:v>8.61</c:v>
                </c:pt>
                <c:pt idx="213">
                  <c:v>8.61</c:v>
                </c:pt>
                <c:pt idx="214">
                  <c:v>8.61</c:v>
                </c:pt>
                <c:pt idx="215">
                  <c:v>8.61</c:v>
                </c:pt>
                <c:pt idx="216">
                  <c:v>8.61</c:v>
                </c:pt>
                <c:pt idx="217">
                  <c:v>8.61</c:v>
                </c:pt>
                <c:pt idx="218">
                  <c:v>8.61</c:v>
                </c:pt>
                <c:pt idx="219">
                  <c:v>8.61</c:v>
                </c:pt>
                <c:pt idx="220">
                  <c:v>8.61</c:v>
                </c:pt>
                <c:pt idx="221">
                  <c:v>8.61</c:v>
                </c:pt>
                <c:pt idx="222">
                  <c:v>8.61</c:v>
                </c:pt>
                <c:pt idx="223">
                  <c:v>8.61</c:v>
                </c:pt>
                <c:pt idx="224">
                  <c:v>8.61</c:v>
                </c:pt>
                <c:pt idx="225">
                  <c:v>8.61</c:v>
                </c:pt>
                <c:pt idx="226">
                  <c:v>8.61</c:v>
                </c:pt>
                <c:pt idx="227">
                  <c:v>8.61</c:v>
                </c:pt>
                <c:pt idx="228">
                  <c:v>8.61</c:v>
                </c:pt>
                <c:pt idx="229">
                  <c:v>8.61</c:v>
                </c:pt>
                <c:pt idx="230">
                  <c:v>8.61</c:v>
                </c:pt>
                <c:pt idx="231">
                  <c:v>8.6</c:v>
                </c:pt>
                <c:pt idx="232">
                  <c:v>8.61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8.61</c:v>
                </c:pt>
                <c:pt idx="239">
                  <c:v>8.61</c:v>
                </c:pt>
                <c:pt idx="240">
                  <c:v>8.61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8.61</c:v>
                </c:pt>
                <c:pt idx="246">
                  <c:v>8.61</c:v>
                </c:pt>
                <c:pt idx="247">
                  <c:v>8.61</c:v>
                </c:pt>
                <c:pt idx="248">
                  <c:v>8.61</c:v>
                </c:pt>
                <c:pt idx="249">
                  <c:v>8.6</c:v>
                </c:pt>
                <c:pt idx="250">
                  <c:v>8.6</c:v>
                </c:pt>
                <c:pt idx="251">
                  <c:v>8.6</c:v>
                </c:pt>
                <c:pt idx="252">
                  <c:v>8.57</c:v>
                </c:pt>
                <c:pt idx="253">
                  <c:v>8.57</c:v>
                </c:pt>
                <c:pt idx="254">
                  <c:v>8.57</c:v>
                </c:pt>
                <c:pt idx="255">
                  <c:v>8.57</c:v>
                </c:pt>
                <c:pt idx="256">
                  <c:v>8.57</c:v>
                </c:pt>
                <c:pt idx="257">
                  <c:v>8.57</c:v>
                </c:pt>
                <c:pt idx="258">
                  <c:v>8.57</c:v>
                </c:pt>
                <c:pt idx="259">
                  <c:v>8.57</c:v>
                </c:pt>
                <c:pt idx="260">
                  <c:v>8.57</c:v>
                </c:pt>
                <c:pt idx="261">
                  <c:v>8.57</c:v>
                </c:pt>
                <c:pt idx="262">
                  <c:v>8.57</c:v>
                </c:pt>
                <c:pt idx="263">
                  <c:v>8.57</c:v>
                </c:pt>
                <c:pt idx="264">
                  <c:v>8.57</c:v>
                </c:pt>
                <c:pt idx="265">
                  <c:v>8.57</c:v>
                </c:pt>
                <c:pt idx="266">
                  <c:v>8.57</c:v>
                </c:pt>
                <c:pt idx="267">
                  <c:v>8.57</c:v>
                </c:pt>
                <c:pt idx="268">
                  <c:v>8.56</c:v>
                </c:pt>
                <c:pt idx="269">
                  <c:v>8.56</c:v>
                </c:pt>
                <c:pt idx="270">
                  <c:v>8.56</c:v>
                </c:pt>
                <c:pt idx="271">
                  <c:v>8.56</c:v>
                </c:pt>
                <c:pt idx="272">
                  <c:v>8.56</c:v>
                </c:pt>
                <c:pt idx="273">
                  <c:v>8.56</c:v>
                </c:pt>
                <c:pt idx="274">
                  <c:v>8.57</c:v>
                </c:pt>
                <c:pt idx="275">
                  <c:v>8.57</c:v>
                </c:pt>
                <c:pt idx="276">
                  <c:v>8.57</c:v>
                </c:pt>
                <c:pt idx="277">
                  <c:v>8.57</c:v>
                </c:pt>
                <c:pt idx="278">
                  <c:v>8.57</c:v>
                </c:pt>
                <c:pt idx="279">
                  <c:v>8.57</c:v>
                </c:pt>
                <c:pt idx="280">
                  <c:v>8.57</c:v>
                </c:pt>
                <c:pt idx="281">
                  <c:v>8.57</c:v>
                </c:pt>
                <c:pt idx="282">
                  <c:v>8.57</c:v>
                </c:pt>
                <c:pt idx="283">
                  <c:v>8.57</c:v>
                </c:pt>
                <c:pt idx="284">
                  <c:v>8.57</c:v>
                </c:pt>
                <c:pt idx="285">
                  <c:v>8.57</c:v>
                </c:pt>
                <c:pt idx="286">
                  <c:v>8.57</c:v>
                </c:pt>
                <c:pt idx="287">
                  <c:v>8.57</c:v>
                </c:pt>
                <c:pt idx="288">
                  <c:v>8.57</c:v>
                </c:pt>
                <c:pt idx="289">
                  <c:v>8.57</c:v>
                </c:pt>
                <c:pt idx="290">
                  <c:v>8.57</c:v>
                </c:pt>
                <c:pt idx="291">
                  <c:v>8.57</c:v>
                </c:pt>
                <c:pt idx="292">
                  <c:v>8.56</c:v>
                </c:pt>
                <c:pt idx="293">
                  <c:v>8.57</c:v>
                </c:pt>
                <c:pt idx="294">
                  <c:v>8.57</c:v>
                </c:pt>
                <c:pt idx="295">
                  <c:v>8.57</c:v>
                </c:pt>
                <c:pt idx="296">
                  <c:v>8.57</c:v>
                </c:pt>
                <c:pt idx="297">
                  <c:v>8.57</c:v>
                </c:pt>
                <c:pt idx="298">
                  <c:v>8.57</c:v>
                </c:pt>
                <c:pt idx="299">
                  <c:v>8.57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95-3449-94D4-10AF68F717B8}"/>
            </c:ext>
          </c:extLst>
        </c:ser>
        <c:ser>
          <c:idx val="1"/>
          <c:order val="1"/>
          <c:tx>
            <c:strRef>
              <c:f>Graficos!$AV$25</c:f>
              <c:strCache>
                <c:ptCount val="1"/>
                <c:pt idx="0">
                  <c:v>3rd EYE acumulado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Graficos!$AT$26:$AT$325</c:f>
              <c:strCache>
                <c:ptCount val="30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</c:strCache>
            </c:strRef>
          </c:cat>
          <c:val>
            <c:numRef>
              <c:f>Graficos!$AV$26:$AV$325</c:f>
              <c:numCache>
                <c:formatCode>General</c:formatCode>
                <c:ptCount val="300"/>
                <c:pt idx="0">
                  <c:v>9.44</c:v>
                </c:pt>
                <c:pt idx="1">
                  <c:v>9.34</c:v>
                </c:pt>
                <c:pt idx="2">
                  <c:v>9.25</c:v>
                </c:pt>
                <c:pt idx="3">
                  <c:v>9.1999999999999993</c:v>
                </c:pt>
                <c:pt idx="4">
                  <c:v>9.14</c:v>
                </c:pt>
                <c:pt idx="5">
                  <c:v>9.09</c:v>
                </c:pt>
                <c:pt idx="6">
                  <c:v>9.0299999999999994</c:v>
                </c:pt>
                <c:pt idx="7">
                  <c:v>8.94</c:v>
                </c:pt>
                <c:pt idx="8">
                  <c:v>9.06</c:v>
                </c:pt>
                <c:pt idx="9">
                  <c:v>9.1</c:v>
                </c:pt>
                <c:pt idx="10">
                  <c:v>9.1300000000000008</c:v>
                </c:pt>
                <c:pt idx="11">
                  <c:v>9.14</c:v>
                </c:pt>
                <c:pt idx="12">
                  <c:v>9.17</c:v>
                </c:pt>
                <c:pt idx="13">
                  <c:v>9.17</c:v>
                </c:pt>
                <c:pt idx="14">
                  <c:v>9.14</c:v>
                </c:pt>
                <c:pt idx="15">
                  <c:v>9.08</c:v>
                </c:pt>
                <c:pt idx="16">
                  <c:v>9.0399999999999991</c:v>
                </c:pt>
                <c:pt idx="17">
                  <c:v>8.99</c:v>
                </c:pt>
                <c:pt idx="18">
                  <c:v>8.9499999999999993</c:v>
                </c:pt>
                <c:pt idx="19">
                  <c:v>8.9</c:v>
                </c:pt>
                <c:pt idx="20">
                  <c:v>8.91</c:v>
                </c:pt>
                <c:pt idx="21">
                  <c:v>8.9</c:v>
                </c:pt>
                <c:pt idx="22">
                  <c:v>8.89</c:v>
                </c:pt>
                <c:pt idx="23">
                  <c:v>8.82</c:v>
                </c:pt>
                <c:pt idx="24">
                  <c:v>8.84</c:v>
                </c:pt>
                <c:pt idx="25">
                  <c:v>8.7899999999999991</c:v>
                </c:pt>
                <c:pt idx="26">
                  <c:v>8.81</c:v>
                </c:pt>
                <c:pt idx="27">
                  <c:v>8.81</c:v>
                </c:pt>
                <c:pt idx="28">
                  <c:v>8.7799999999999994</c:v>
                </c:pt>
                <c:pt idx="29">
                  <c:v>8.8000000000000007</c:v>
                </c:pt>
                <c:pt idx="30">
                  <c:v>8.7899999999999991</c:v>
                </c:pt>
                <c:pt idx="31">
                  <c:v>8.76</c:v>
                </c:pt>
                <c:pt idx="32">
                  <c:v>8.76</c:v>
                </c:pt>
                <c:pt idx="33">
                  <c:v>8.75</c:v>
                </c:pt>
                <c:pt idx="34">
                  <c:v>8.81</c:v>
                </c:pt>
                <c:pt idx="35">
                  <c:v>8.81</c:v>
                </c:pt>
                <c:pt idx="36">
                  <c:v>8.7899999999999991</c:v>
                </c:pt>
                <c:pt idx="37">
                  <c:v>8.7899999999999991</c:v>
                </c:pt>
                <c:pt idx="38">
                  <c:v>8.77</c:v>
                </c:pt>
                <c:pt idx="39">
                  <c:v>8.77</c:v>
                </c:pt>
                <c:pt idx="40">
                  <c:v>8.7799999999999994</c:v>
                </c:pt>
                <c:pt idx="41">
                  <c:v>8.75</c:v>
                </c:pt>
                <c:pt idx="42">
                  <c:v>8.7799999999999994</c:v>
                </c:pt>
                <c:pt idx="43">
                  <c:v>8.74</c:v>
                </c:pt>
                <c:pt idx="44">
                  <c:v>8.7200000000000006</c:v>
                </c:pt>
                <c:pt idx="45">
                  <c:v>8.73</c:v>
                </c:pt>
                <c:pt idx="46">
                  <c:v>8.73</c:v>
                </c:pt>
                <c:pt idx="47">
                  <c:v>8.76</c:v>
                </c:pt>
                <c:pt idx="48">
                  <c:v>8.7899999999999991</c:v>
                </c:pt>
                <c:pt idx="49">
                  <c:v>8.7799999999999994</c:v>
                </c:pt>
                <c:pt idx="50">
                  <c:v>8.7799999999999994</c:v>
                </c:pt>
                <c:pt idx="51">
                  <c:v>8.8000000000000007</c:v>
                </c:pt>
                <c:pt idx="52">
                  <c:v>8.7899999999999991</c:v>
                </c:pt>
                <c:pt idx="53">
                  <c:v>8.7899999999999991</c:v>
                </c:pt>
                <c:pt idx="54">
                  <c:v>8.7899999999999991</c:v>
                </c:pt>
                <c:pt idx="55">
                  <c:v>8.7899999999999991</c:v>
                </c:pt>
                <c:pt idx="56">
                  <c:v>8.7799999999999994</c:v>
                </c:pt>
                <c:pt idx="57">
                  <c:v>8.7899999999999991</c:v>
                </c:pt>
                <c:pt idx="58">
                  <c:v>8.7899999999999991</c:v>
                </c:pt>
                <c:pt idx="59">
                  <c:v>8.7899999999999991</c:v>
                </c:pt>
                <c:pt idx="60">
                  <c:v>8.77</c:v>
                </c:pt>
                <c:pt idx="61">
                  <c:v>8.77</c:v>
                </c:pt>
                <c:pt idx="62">
                  <c:v>8.77</c:v>
                </c:pt>
                <c:pt idx="63">
                  <c:v>8.75</c:v>
                </c:pt>
                <c:pt idx="64">
                  <c:v>8.76</c:v>
                </c:pt>
                <c:pt idx="65">
                  <c:v>8.77</c:v>
                </c:pt>
                <c:pt idx="66">
                  <c:v>8.7899999999999991</c:v>
                </c:pt>
                <c:pt idx="67">
                  <c:v>8.7799999999999994</c:v>
                </c:pt>
                <c:pt idx="68">
                  <c:v>8.7899999999999991</c:v>
                </c:pt>
                <c:pt idx="69">
                  <c:v>8.7799999999999994</c:v>
                </c:pt>
                <c:pt idx="70">
                  <c:v>8.8000000000000007</c:v>
                </c:pt>
                <c:pt idx="71">
                  <c:v>8.8000000000000007</c:v>
                </c:pt>
                <c:pt idx="72">
                  <c:v>8.8000000000000007</c:v>
                </c:pt>
                <c:pt idx="73">
                  <c:v>8.7899999999999991</c:v>
                </c:pt>
                <c:pt idx="74">
                  <c:v>8.7799999999999994</c:v>
                </c:pt>
                <c:pt idx="75">
                  <c:v>8.7899999999999991</c:v>
                </c:pt>
                <c:pt idx="76">
                  <c:v>8.7899999999999991</c:v>
                </c:pt>
                <c:pt idx="77">
                  <c:v>8.7799999999999994</c:v>
                </c:pt>
                <c:pt idx="78">
                  <c:v>8.77</c:v>
                </c:pt>
                <c:pt idx="79">
                  <c:v>8.77</c:v>
                </c:pt>
                <c:pt idx="80">
                  <c:v>8.77</c:v>
                </c:pt>
                <c:pt idx="81">
                  <c:v>8.77</c:v>
                </c:pt>
                <c:pt idx="82">
                  <c:v>8.77</c:v>
                </c:pt>
                <c:pt idx="83">
                  <c:v>8.77</c:v>
                </c:pt>
                <c:pt idx="84">
                  <c:v>8.77</c:v>
                </c:pt>
                <c:pt idx="85">
                  <c:v>8.77</c:v>
                </c:pt>
                <c:pt idx="86">
                  <c:v>8.76</c:v>
                </c:pt>
                <c:pt idx="87">
                  <c:v>8.76</c:v>
                </c:pt>
                <c:pt idx="88">
                  <c:v>8.76</c:v>
                </c:pt>
                <c:pt idx="89">
                  <c:v>8.76</c:v>
                </c:pt>
                <c:pt idx="90">
                  <c:v>8.76</c:v>
                </c:pt>
                <c:pt idx="91">
                  <c:v>8.76</c:v>
                </c:pt>
                <c:pt idx="92">
                  <c:v>8.76</c:v>
                </c:pt>
                <c:pt idx="93">
                  <c:v>8.75</c:v>
                </c:pt>
                <c:pt idx="94">
                  <c:v>8.77</c:v>
                </c:pt>
                <c:pt idx="95">
                  <c:v>8.77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8.76</c:v>
                </c:pt>
                <c:pt idx="107">
                  <c:v>8.76</c:v>
                </c:pt>
                <c:pt idx="108">
                  <c:v>8.75</c:v>
                </c:pt>
                <c:pt idx="109">
                  <c:v>8.75</c:v>
                </c:pt>
                <c:pt idx="110">
                  <c:v>8.75</c:v>
                </c:pt>
                <c:pt idx="111">
                  <c:v>8.6999999999999993</c:v>
                </c:pt>
                <c:pt idx="112">
                  <c:v>8.6999999999999993</c:v>
                </c:pt>
                <c:pt idx="113">
                  <c:v>8.6999999999999993</c:v>
                </c:pt>
                <c:pt idx="114">
                  <c:v>8.69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</c:v>
                </c:pt>
                <c:pt idx="118">
                  <c:v>8.68</c:v>
                </c:pt>
                <c:pt idx="119">
                  <c:v>8.68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8.68</c:v>
                </c:pt>
                <c:pt idx="124">
                  <c:v>8.67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8.66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8.67</c:v>
                </c:pt>
                <c:pt idx="140">
                  <c:v>8.67</c:v>
                </c:pt>
                <c:pt idx="141">
                  <c:v>8.66</c:v>
                </c:pt>
                <c:pt idx="142">
                  <c:v>8.66</c:v>
                </c:pt>
                <c:pt idx="143">
                  <c:v>8.66</c:v>
                </c:pt>
                <c:pt idx="144">
                  <c:v>8.66</c:v>
                </c:pt>
                <c:pt idx="145">
                  <c:v>8.67</c:v>
                </c:pt>
                <c:pt idx="146">
                  <c:v>8.67</c:v>
                </c:pt>
                <c:pt idx="147">
                  <c:v>8.66</c:v>
                </c:pt>
                <c:pt idx="148">
                  <c:v>8.66</c:v>
                </c:pt>
                <c:pt idx="149">
                  <c:v>8.66</c:v>
                </c:pt>
                <c:pt idx="150">
                  <c:v>8.66</c:v>
                </c:pt>
                <c:pt idx="151">
                  <c:v>8.66</c:v>
                </c:pt>
                <c:pt idx="152">
                  <c:v>8.66</c:v>
                </c:pt>
                <c:pt idx="153">
                  <c:v>8.66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8.6199999999999992</c:v>
                </c:pt>
                <c:pt idx="157">
                  <c:v>8.6199999999999992</c:v>
                </c:pt>
                <c:pt idx="158">
                  <c:v>8.6199999999999992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8.6199999999999992</c:v>
                </c:pt>
                <c:pt idx="164">
                  <c:v>8.6300000000000008</c:v>
                </c:pt>
                <c:pt idx="165">
                  <c:v>8.6300000000000008</c:v>
                </c:pt>
                <c:pt idx="166">
                  <c:v>8.6300000000000008</c:v>
                </c:pt>
                <c:pt idx="167">
                  <c:v>8.6199999999999992</c:v>
                </c:pt>
                <c:pt idx="168">
                  <c:v>8.6300000000000008</c:v>
                </c:pt>
                <c:pt idx="169">
                  <c:v>8.6300000000000008</c:v>
                </c:pt>
                <c:pt idx="170">
                  <c:v>8.6300000000000008</c:v>
                </c:pt>
                <c:pt idx="171">
                  <c:v>8.6300000000000008</c:v>
                </c:pt>
                <c:pt idx="172">
                  <c:v>8.6300000000000008</c:v>
                </c:pt>
                <c:pt idx="173">
                  <c:v>8.6300000000000008</c:v>
                </c:pt>
                <c:pt idx="174">
                  <c:v>8.6300000000000008</c:v>
                </c:pt>
                <c:pt idx="175">
                  <c:v>8.6300000000000008</c:v>
                </c:pt>
                <c:pt idx="176">
                  <c:v>8.6300000000000008</c:v>
                </c:pt>
                <c:pt idx="177">
                  <c:v>8.6300000000000008</c:v>
                </c:pt>
                <c:pt idx="178">
                  <c:v>8.6300000000000008</c:v>
                </c:pt>
                <c:pt idx="179">
                  <c:v>8.6199999999999992</c:v>
                </c:pt>
                <c:pt idx="180">
                  <c:v>8.6199999999999992</c:v>
                </c:pt>
                <c:pt idx="181">
                  <c:v>8.6199999999999992</c:v>
                </c:pt>
                <c:pt idx="182">
                  <c:v>8.6300000000000008</c:v>
                </c:pt>
                <c:pt idx="183">
                  <c:v>8.6300000000000008</c:v>
                </c:pt>
                <c:pt idx="184">
                  <c:v>8.6199999999999992</c:v>
                </c:pt>
                <c:pt idx="185">
                  <c:v>8.64</c:v>
                </c:pt>
                <c:pt idx="186">
                  <c:v>8.64</c:v>
                </c:pt>
                <c:pt idx="187">
                  <c:v>8.6300000000000008</c:v>
                </c:pt>
                <c:pt idx="188">
                  <c:v>8.6300000000000008</c:v>
                </c:pt>
                <c:pt idx="189">
                  <c:v>8.6300000000000008</c:v>
                </c:pt>
                <c:pt idx="190">
                  <c:v>8.6300000000000008</c:v>
                </c:pt>
                <c:pt idx="191">
                  <c:v>8.6300000000000008</c:v>
                </c:pt>
                <c:pt idx="192">
                  <c:v>8.6300000000000008</c:v>
                </c:pt>
                <c:pt idx="193">
                  <c:v>8.6300000000000008</c:v>
                </c:pt>
                <c:pt idx="194">
                  <c:v>8.6300000000000008</c:v>
                </c:pt>
                <c:pt idx="195">
                  <c:v>8.6300000000000008</c:v>
                </c:pt>
                <c:pt idx="196">
                  <c:v>8.6300000000000008</c:v>
                </c:pt>
                <c:pt idx="197">
                  <c:v>8.6300000000000008</c:v>
                </c:pt>
                <c:pt idx="198">
                  <c:v>8.6300000000000008</c:v>
                </c:pt>
                <c:pt idx="199">
                  <c:v>8.61</c:v>
                </c:pt>
                <c:pt idx="200">
                  <c:v>8.61</c:v>
                </c:pt>
                <c:pt idx="201">
                  <c:v>8.61</c:v>
                </c:pt>
                <c:pt idx="202">
                  <c:v>8.61</c:v>
                </c:pt>
                <c:pt idx="203">
                  <c:v>8.61</c:v>
                </c:pt>
                <c:pt idx="204">
                  <c:v>8.6</c:v>
                </c:pt>
                <c:pt idx="205">
                  <c:v>8.61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8.6</c:v>
                </c:pt>
                <c:pt idx="217">
                  <c:v>8.6</c:v>
                </c:pt>
                <c:pt idx="218">
                  <c:v>8.59</c:v>
                </c:pt>
                <c:pt idx="219">
                  <c:v>8.59</c:v>
                </c:pt>
                <c:pt idx="220">
                  <c:v>8.59</c:v>
                </c:pt>
                <c:pt idx="221">
                  <c:v>8.59</c:v>
                </c:pt>
                <c:pt idx="222">
                  <c:v>8.59</c:v>
                </c:pt>
                <c:pt idx="223">
                  <c:v>8.59</c:v>
                </c:pt>
                <c:pt idx="224">
                  <c:v>8.59</c:v>
                </c:pt>
                <c:pt idx="225">
                  <c:v>8.59</c:v>
                </c:pt>
                <c:pt idx="226">
                  <c:v>8.59</c:v>
                </c:pt>
                <c:pt idx="227">
                  <c:v>8.59</c:v>
                </c:pt>
                <c:pt idx="228">
                  <c:v>8.59</c:v>
                </c:pt>
                <c:pt idx="229">
                  <c:v>8.59</c:v>
                </c:pt>
                <c:pt idx="230">
                  <c:v>8.59</c:v>
                </c:pt>
                <c:pt idx="231">
                  <c:v>8.59</c:v>
                </c:pt>
                <c:pt idx="232">
                  <c:v>8.59</c:v>
                </c:pt>
                <c:pt idx="233">
                  <c:v>8.59</c:v>
                </c:pt>
                <c:pt idx="234">
                  <c:v>8.59</c:v>
                </c:pt>
                <c:pt idx="235">
                  <c:v>8.59</c:v>
                </c:pt>
                <c:pt idx="236">
                  <c:v>8.59</c:v>
                </c:pt>
                <c:pt idx="237">
                  <c:v>8.59</c:v>
                </c:pt>
                <c:pt idx="238">
                  <c:v>8.59</c:v>
                </c:pt>
                <c:pt idx="239">
                  <c:v>8.59</c:v>
                </c:pt>
                <c:pt idx="240">
                  <c:v>8.59</c:v>
                </c:pt>
                <c:pt idx="241">
                  <c:v>8.59</c:v>
                </c:pt>
                <c:pt idx="242">
                  <c:v>8.59</c:v>
                </c:pt>
                <c:pt idx="243">
                  <c:v>8.58</c:v>
                </c:pt>
                <c:pt idx="244">
                  <c:v>8.59</c:v>
                </c:pt>
                <c:pt idx="245">
                  <c:v>8.59</c:v>
                </c:pt>
                <c:pt idx="246">
                  <c:v>8.59</c:v>
                </c:pt>
                <c:pt idx="247">
                  <c:v>8.59</c:v>
                </c:pt>
                <c:pt idx="248">
                  <c:v>8.59</c:v>
                </c:pt>
                <c:pt idx="249">
                  <c:v>8.58</c:v>
                </c:pt>
                <c:pt idx="250">
                  <c:v>8.58</c:v>
                </c:pt>
                <c:pt idx="251">
                  <c:v>8.58</c:v>
                </c:pt>
                <c:pt idx="252">
                  <c:v>8.5500000000000007</c:v>
                </c:pt>
                <c:pt idx="253">
                  <c:v>8.5500000000000007</c:v>
                </c:pt>
                <c:pt idx="254">
                  <c:v>8.5500000000000007</c:v>
                </c:pt>
                <c:pt idx="255">
                  <c:v>8.5500000000000007</c:v>
                </c:pt>
                <c:pt idx="256">
                  <c:v>8.5500000000000007</c:v>
                </c:pt>
                <c:pt idx="257">
                  <c:v>8.5500000000000007</c:v>
                </c:pt>
                <c:pt idx="258">
                  <c:v>8.5500000000000007</c:v>
                </c:pt>
                <c:pt idx="259">
                  <c:v>8.5500000000000007</c:v>
                </c:pt>
                <c:pt idx="260">
                  <c:v>8.5500000000000007</c:v>
                </c:pt>
                <c:pt idx="261">
                  <c:v>8.5500000000000007</c:v>
                </c:pt>
                <c:pt idx="262">
                  <c:v>8.5500000000000007</c:v>
                </c:pt>
                <c:pt idx="263">
                  <c:v>8.5500000000000007</c:v>
                </c:pt>
                <c:pt idx="264">
                  <c:v>8.5500000000000007</c:v>
                </c:pt>
                <c:pt idx="265">
                  <c:v>8.5500000000000007</c:v>
                </c:pt>
                <c:pt idx="266">
                  <c:v>8.5500000000000007</c:v>
                </c:pt>
                <c:pt idx="267">
                  <c:v>8.5500000000000007</c:v>
                </c:pt>
                <c:pt idx="268">
                  <c:v>8.5399999999999991</c:v>
                </c:pt>
                <c:pt idx="269">
                  <c:v>8.5399999999999991</c:v>
                </c:pt>
                <c:pt idx="270">
                  <c:v>8.5399999999999991</c:v>
                </c:pt>
                <c:pt idx="271">
                  <c:v>8.5399999999999991</c:v>
                </c:pt>
                <c:pt idx="272">
                  <c:v>8.5399999999999991</c:v>
                </c:pt>
                <c:pt idx="273">
                  <c:v>8.5399999999999991</c:v>
                </c:pt>
                <c:pt idx="274">
                  <c:v>8.5399999999999991</c:v>
                </c:pt>
                <c:pt idx="275">
                  <c:v>8.5399999999999991</c:v>
                </c:pt>
                <c:pt idx="276">
                  <c:v>8.5399999999999991</c:v>
                </c:pt>
                <c:pt idx="277">
                  <c:v>8.5399999999999991</c:v>
                </c:pt>
                <c:pt idx="278">
                  <c:v>8.5500000000000007</c:v>
                </c:pt>
                <c:pt idx="279">
                  <c:v>8.5500000000000007</c:v>
                </c:pt>
                <c:pt idx="280">
                  <c:v>8.5500000000000007</c:v>
                </c:pt>
                <c:pt idx="281">
                  <c:v>8.5399999999999991</c:v>
                </c:pt>
                <c:pt idx="282">
                  <c:v>8.5500000000000007</c:v>
                </c:pt>
                <c:pt idx="283">
                  <c:v>8.5500000000000007</c:v>
                </c:pt>
                <c:pt idx="284">
                  <c:v>8.5500000000000007</c:v>
                </c:pt>
                <c:pt idx="285">
                  <c:v>8.5399999999999991</c:v>
                </c:pt>
                <c:pt idx="286">
                  <c:v>8.5399999999999991</c:v>
                </c:pt>
                <c:pt idx="287">
                  <c:v>8.5399999999999991</c:v>
                </c:pt>
                <c:pt idx="288">
                  <c:v>8.5399999999999991</c:v>
                </c:pt>
                <c:pt idx="289">
                  <c:v>8.5500000000000007</c:v>
                </c:pt>
                <c:pt idx="290">
                  <c:v>8.5399999999999991</c:v>
                </c:pt>
                <c:pt idx="291">
                  <c:v>8.5399999999999991</c:v>
                </c:pt>
                <c:pt idx="292">
                  <c:v>8.5399999999999991</c:v>
                </c:pt>
                <c:pt idx="293">
                  <c:v>8.5399999999999991</c:v>
                </c:pt>
                <c:pt idx="294">
                  <c:v>8.5399999999999991</c:v>
                </c:pt>
                <c:pt idx="295">
                  <c:v>8.5399999999999991</c:v>
                </c:pt>
                <c:pt idx="296">
                  <c:v>8.5399999999999991</c:v>
                </c:pt>
                <c:pt idx="297">
                  <c:v>8.5399999999999991</c:v>
                </c:pt>
                <c:pt idx="298">
                  <c:v>8.5399999999999991</c:v>
                </c:pt>
                <c:pt idx="299">
                  <c:v>8.5399999999999991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95-3449-94D4-10AF68F717B8}"/>
            </c:ext>
          </c:extLst>
        </c:ser>
        <c:ser>
          <c:idx val="2"/>
          <c:order val="2"/>
          <c:tx>
            <c:strRef>
              <c:f>Graficos!$AW$25</c:f>
              <c:strCache>
                <c:ptCount val="1"/>
                <c:pt idx="0">
                  <c:v>Media últimos 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Graficos!$AT$26:$AT$325</c:f>
              <c:strCache>
                <c:ptCount val="30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</c:strCache>
            </c:strRef>
          </c:cat>
          <c:val>
            <c:numRef>
              <c:f>Graficos!$AW$26:$AW$325</c:f>
              <c:numCache>
                <c:formatCode>General</c:formatCode>
                <c:ptCount val="300"/>
                <c:pt idx="0">
                  <c:v>9.2899999999999991</c:v>
                </c:pt>
                <c:pt idx="1">
                  <c:v>9.2200000000000006</c:v>
                </c:pt>
                <c:pt idx="2">
                  <c:v>9.15</c:v>
                </c:pt>
                <c:pt idx="3">
                  <c:v>9.09</c:v>
                </c:pt>
                <c:pt idx="4">
                  <c:v>9.0299999999999994</c:v>
                </c:pt>
                <c:pt idx="5">
                  <c:v>9.01</c:v>
                </c:pt>
                <c:pt idx="6">
                  <c:v>8.9700000000000006</c:v>
                </c:pt>
                <c:pt idx="7">
                  <c:v>8.9</c:v>
                </c:pt>
                <c:pt idx="8">
                  <c:v>8.98</c:v>
                </c:pt>
                <c:pt idx="9">
                  <c:v>9.02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8.98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8.86</c:v>
                </c:pt>
                <c:pt idx="21">
                  <c:v>8.83</c:v>
                </c:pt>
                <c:pt idx="22">
                  <c:v>8.81</c:v>
                </c:pt>
                <c:pt idx="23">
                  <c:v>8.73</c:v>
                </c:pt>
                <c:pt idx="24">
                  <c:v>8.75</c:v>
                </c:pt>
                <c:pt idx="25">
                  <c:v>8.69</c:v>
                </c:pt>
                <c:pt idx="26">
                  <c:v>8.7100000000000009</c:v>
                </c:pt>
                <c:pt idx="27">
                  <c:v>8.73</c:v>
                </c:pt>
                <c:pt idx="28">
                  <c:v>8.65</c:v>
                </c:pt>
                <c:pt idx="29">
                  <c:v>8.64</c:v>
                </c:pt>
                <c:pt idx="30">
                  <c:v>8.6199999999999992</c:v>
                </c:pt>
                <c:pt idx="31">
                  <c:v>8.5399999999999991</c:v>
                </c:pt>
                <c:pt idx="32">
                  <c:v>8.51</c:v>
                </c:pt>
                <c:pt idx="33">
                  <c:v>8.49</c:v>
                </c:pt>
                <c:pt idx="34">
                  <c:v>8.57</c:v>
                </c:pt>
                <c:pt idx="35">
                  <c:v>8.6</c:v>
                </c:pt>
                <c:pt idx="36">
                  <c:v>8.59</c:v>
                </c:pt>
                <c:pt idx="37">
                  <c:v>8.61</c:v>
                </c:pt>
                <c:pt idx="38">
                  <c:v>8.59</c:v>
                </c:pt>
                <c:pt idx="39">
                  <c:v>8.6300000000000008</c:v>
                </c:pt>
                <c:pt idx="40">
                  <c:v>8.6300000000000008</c:v>
                </c:pt>
                <c:pt idx="41">
                  <c:v>8.58</c:v>
                </c:pt>
                <c:pt idx="42">
                  <c:v>8.64</c:v>
                </c:pt>
                <c:pt idx="43">
                  <c:v>8.6300000000000008</c:v>
                </c:pt>
                <c:pt idx="44">
                  <c:v>8.58</c:v>
                </c:pt>
                <c:pt idx="45">
                  <c:v>8.64</c:v>
                </c:pt>
                <c:pt idx="46">
                  <c:v>8.6199999999999992</c:v>
                </c:pt>
                <c:pt idx="47">
                  <c:v>8.67</c:v>
                </c:pt>
                <c:pt idx="48">
                  <c:v>8.74</c:v>
                </c:pt>
                <c:pt idx="49">
                  <c:v>8.7200000000000006</c:v>
                </c:pt>
                <c:pt idx="50">
                  <c:v>8.7200000000000006</c:v>
                </c:pt>
                <c:pt idx="51">
                  <c:v>8.81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8.7200000000000006</c:v>
                </c:pt>
                <c:pt idx="55">
                  <c:v>8.7200000000000006</c:v>
                </c:pt>
                <c:pt idx="56">
                  <c:v>8.73</c:v>
                </c:pt>
                <c:pt idx="57">
                  <c:v>8.74</c:v>
                </c:pt>
                <c:pt idx="58">
                  <c:v>8.7799999999999994</c:v>
                </c:pt>
                <c:pt idx="59">
                  <c:v>8.77</c:v>
                </c:pt>
                <c:pt idx="60">
                  <c:v>8.7200000000000006</c:v>
                </c:pt>
                <c:pt idx="61">
                  <c:v>8.77</c:v>
                </c:pt>
                <c:pt idx="62">
                  <c:v>8.73</c:v>
                </c:pt>
                <c:pt idx="63">
                  <c:v>8.75</c:v>
                </c:pt>
                <c:pt idx="64">
                  <c:v>8.7899999999999991</c:v>
                </c:pt>
                <c:pt idx="65">
                  <c:v>8.8000000000000007</c:v>
                </c:pt>
                <c:pt idx="66">
                  <c:v>8.86</c:v>
                </c:pt>
                <c:pt idx="67">
                  <c:v>8.81</c:v>
                </c:pt>
                <c:pt idx="68">
                  <c:v>8.7799999999999994</c:v>
                </c:pt>
                <c:pt idx="69">
                  <c:v>8.77</c:v>
                </c:pt>
                <c:pt idx="70">
                  <c:v>8.8000000000000007</c:v>
                </c:pt>
                <c:pt idx="71">
                  <c:v>8.77</c:v>
                </c:pt>
                <c:pt idx="72">
                  <c:v>8.7799999999999994</c:v>
                </c:pt>
                <c:pt idx="73">
                  <c:v>8.7799999999999994</c:v>
                </c:pt>
                <c:pt idx="74">
                  <c:v>8.7200000000000006</c:v>
                </c:pt>
                <c:pt idx="75">
                  <c:v>8.75</c:v>
                </c:pt>
                <c:pt idx="76">
                  <c:v>8.76</c:v>
                </c:pt>
                <c:pt idx="77">
                  <c:v>8.73</c:v>
                </c:pt>
                <c:pt idx="78">
                  <c:v>8.69</c:v>
                </c:pt>
                <c:pt idx="79">
                  <c:v>8.7200000000000006</c:v>
                </c:pt>
                <c:pt idx="80">
                  <c:v>8.76</c:v>
                </c:pt>
                <c:pt idx="81">
                  <c:v>8.75</c:v>
                </c:pt>
                <c:pt idx="82">
                  <c:v>8.73</c:v>
                </c:pt>
                <c:pt idx="83">
                  <c:v>8.8000000000000007</c:v>
                </c:pt>
                <c:pt idx="84">
                  <c:v>8.8000000000000007</c:v>
                </c:pt>
                <c:pt idx="85">
                  <c:v>8.7799999999999994</c:v>
                </c:pt>
                <c:pt idx="86">
                  <c:v>8.68</c:v>
                </c:pt>
                <c:pt idx="87">
                  <c:v>8.6999999999999993</c:v>
                </c:pt>
                <c:pt idx="88">
                  <c:v>8.69</c:v>
                </c:pt>
                <c:pt idx="89">
                  <c:v>8.6999999999999993</c:v>
                </c:pt>
                <c:pt idx="90">
                  <c:v>8.67</c:v>
                </c:pt>
                <c:pt idx="91">
                  <c:v>8.67</c:v>
                </c:pt>
                <c:pt idx="92">
                  <c:v>8.67</c:v>
                </c:pt>
                <c:pt idx="93">
                  <c:v>8.64</c:v>
                </c:pt>
                <c:pt idx="94">
                  <c:v>8.74</c:v>
                </c:pt>
                <c:pt idx="95">
                  <c:v>8.73</c:v>
                </c:pt>
                <c:pt idx="96">
                  <c:v>8.73</c:v>
                </c:pt>
                <c:pt idx="97">
                  <c:v>8.73</c:v>
                </c:pt>
                <c:pt idx="98">
                  <c:v>8.77</c:v>
                </c:pt>
                <c:pt idx="99">
                  <c:v>8.75</c:v>
                </c:pt>
                <c:pt idx="100">
                  <c:v>8.75</c:v>
                </c:pt>
                <c:pt idx="101">
                  <c:v>8.75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8.73</c:v>
                </c:pt>
                <c:pt idx="106">
                  <c:v>8.75</c:v>
                </c:pt>
                <c:pt idx="107">
                  <c:v>8.76</c:v>
                </c:pt>
                <c:pt idx="108">
                  <c:v>8.74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8.4600000000000009</c:v>
                </c:pt>
                <c:pt idx="112">
                  <c:v>8.4700000000000006</c:v>
                </c:pt>
                <c:pt idx="113">
                  <c:v>8.49</c:v>
                </c:pt>
                <c:pt idx="114">
                  <c:v>8.41</c:v>
                </c:pt>
                <c:pt idx="115">
                  <c:v>8.41</c:v>
                </c:pt>
                <c:pt idx="116">
                  <c:v>8.4</c:v>
                </c:pt>
                <c:pt idx="117">
                  <c:v>8.39</c:v>
                </c:pt>
                <c:pt idx="118">
                  <c:v>8.31</c:v>
                </c:pt>
                <c:pt idx="119">
                  <c:v>8.3000000000000007</c:v>
                </c:pt>
                <c:pt idx="120">
                  <c:v>8.33</c:v>
                </c:pt>
                <c:pt idx="121">
                  <c:v>8.34</c:v>
                </c:pt>
                <c:pt idx="122">
                  <c:v>8.32</c:v>
                </c:pt>
                <c:pt idx="123">
                  <c:v>8.3000000000000007</c:v>
                </c:pt>
                <c:pt idx="124">
                  <c:v>8.2899999999999991</c:v>
                </c:pt>
                <c:pt idx="125">
                  <c:v>8.31</c:v>
                </c:pt>
                <c:pt idx="126">
                  <c:v>8.31</c:v>
                </c:pt>
                <c:pt idx="127">
                  <c:v>8.31</c:v>
                </c:pt>
                <c:pt idx="128">
                  <c:v>8.3000000000000007</c:v>
                </c:pt>
                <c:pt idx="129">
                  <c:v>8.32</c:v>
                </c:pt>
                <c:pt idx="130">
                  <c:v>8.31</c:v>
                </c:pt>
                <c:pt idx="131">
                  <c:v>8.5500000000000007</c:v>
                </c:pt>
                <c:pt idx="132">
                  <c:v>8.5399999999999991</c:v>
                </c:pt>
                <c:pt idx="133">
                  <c:v>8.5500000000000007</c:v>
                </c:pt>
                <c:pt idx="134">
                  <c:v>8.5399999999999991</c:v>
                </c:pt>
                <c:pt idx="135">
                  <c:v>8.5299999999999994</c:v>
                </c:pt>
                <c:pt idx="136">
                  <c:v>8.5299999999999994</c:v>
                </c:pt>
                <c:pt idx="137">
                  <c:v>8.5500000000000007</c:v>
                </c:pt>
                <c:pt idx="138">
                  <c:v>8.64</c:v>
                </c:pt>
                <c:pt idx="139">
                  <c:v>8.66</c:v>
                </c:pt>
                <c:pt idx="140">
                  <c:v>8.6300000000000008</c:v>
                </c:pt>
                <c:pt idx="141">
                  <c:v>8.6</c:v>
                </c:pt>
                <c:pt idx="142">
                  <c:v>8.6300000000000008</c:v>
                </c:pt>
                <c:pt idx="143">
                  <c:v>8.64</c:v>
                </c:pt>
                <c:pt idx="144">
                  <c:v>8.64</c:v>
                </c:pt>
                <c:pt idx="145">
                  <c:v>8.6999999999999993</c:v>
                </c:pt>
                <c:pt idx="146">
                  <c:v>8.67</c:v>
                </c:pt>
                <c:pt idx="147">
                  <c:v>8.59</c:v>
                </c:pt>
                <c:pt idx="148">
                  <c:v>8.61</c:v>
                </c:pt>
                <c:pt idx="149">
                  <c:v>8.61</c:v>
                </c:pt>
                <c:pt idx="150">
                  <c:v>8.64</c:v>
                </c:pt>
                <c:pt idx="151">
                  <c:v>8.65</c:v>
                </c:pt>
                <c:pt idx="152">
                  <c:v>8.66</c:v>
                </c:pt>
                <c:pt idx="153">
                  <c:v>8.66</c:v>
                </c:pt>
                <c:pt idx="154">
                  <c:v>8.39</c:v>
                </c:pt>
                <c:pt idx="155">
                  <c:v>8.36</c:v>
                </c:pt>
                <c:pt idx="156">
                  <c:v>8.3699999999999992</c:v>
                </c:pt>
                <c:pt idx="157">
                  <c:v>8.3800000000000008</c:v>
                </c:pt>
                <c:pt idx="158">
                  <c:v>8.36</c:v>
                </c:pt>
                <c:pt idx="159">
                  <c:v>8.36</c:v>
                </c:pt>
                <c:pt idx="160">
                  <c:v>8.3699999999999992</c:v>
                </c:pt>
                <c:pt idx="161">
                  <c:v>8.4</c:v>
                </c:pt>
                <c:pt idx="162">
                  <c:v>8.3800000000000008</c:v>
                </c:pt>
                <c:pt idx="163">
                  <c:v>8.36</c:v>
                </c:pt>
                <c:pt idx="164">
                  <c:v>8.39</c:v>
                </c:pt>
                <c:pt idx="165">
                  <c:v>8.34</c:v>
                </c:pt>
                <c:pt idx="166">
                  <c:v>8.35</c:v>
                </c:pt>
                <c:pt idx="167">
                  <c:v>8.42</c:v>
                </c:pt>
                <c:pt idx="168">
                  <c:v>8.42</c:v>
                </c:pt>
                <c:pt idx="169">
                  <c:v>8.43</c:v>
                </c:pt>
                <c:pt idx="170">
                  <c:v>8.41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8.7100000000000009</c:v>
                </c:pt>
                <c:pt idx="175">
                  <c:v>8.7200000000000006</c:v>
                </c:pt>
                <c:pt idx="176">
                  <c:v>8.6999999999999993</c:v>
                </c:pt>
                <c:pt idx="177">
                  <c:v>8.67</c:v>
                </c:pt>
                <c:pt idx="178">
                  <c:v>8.68</c:v>
                </c:pt>
                <c:pt idx="179">
                  <c:v>8.66</c:v>
                </c:pt>
                <c:pt idx="180">
                  <c:v>8.65</c:v>
                </c:pt>
                <c:pt idx="181">
                  <c:v>8.64</c:v>
                </c:pt>
                <c:pt idx="182">
                  <c:v>8.65</c:v>
                </c:pt>
                <c:pt idx="183">
                  <c:v>8.68</c:v>
                </c:pt>
                <c:pt idx="184">
                  <c:v>8.65</c:v>
                </c:pt>
                <c:pt idx="185">
                  <c:v>8.6999999999999993</c:v>
                </c:pt>
                <c:pt idx="186">
                  <c:v>8.7100000000000009</c:v>
                </c:pt>
                <c:pt idx="187">
                  <c:v>8.7100000000000009</c:v>
                </c:pt>
                <c:pt idx="188">
                  <c:v>8.66</c:v>
                </c:pt>
                <c:pt idx="189">
                  <c:v>8.66</c:v>
                </c:pt>
                <c:pt idx="190">
                  <c:v>8.65</c:v>
                </c:pt>
                <c:pt idx="191">
                  <c:v>8.65</c:v>
                </c:pt>
                <c:pt idx="192">
                  <c:v>8.67</c:v>
                </c:pt>
                <c:pt idx="193">
                  <c:v>8.64</c:v>
                </c:pt>
                <c:pt idx="194">
                  <c:v>8.6300000000000008</c:v>
                </c:pt>
                <c:pt idx="195">
                  <c:v>8.64</c:v>
                </c:pt>
                <c:pt idx="196">
                  <c:v>8.66</c:v>
                </c:pt>
                <c:pt idx="197">
                  <c:v>8.65</c:v>
                </c:pt>
                <c:pt idx="198">
                  <c:v>8.6300000000000008</c:v>
                </c:pt>
                <c:pt idx="199">
                  <c:v>8.4499999999999993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</c:v>
                </c:pt>
                <c:pt idx="203">
                  <c:v>8.44</c:v>
                </c:pt>
                <c:pt idx="204">
                  <c:v>8.43</c:v>
                </c:pt>
                <c:pt idx="205">
                  <c:v>8.3699999999999992</c:v>
                </c:pt>
                <c:pt idx="206">
                  <c:v>8.35</c:v>
                </c:pt>
                <c:pt idx="207">
                  <c:v>8.34</c:v>
                </c:pt>
                <c:pt idx="208">
                  <c:v>8.3800000000000008</c:v>
                </c:pt>
                <c:pt idx="209">
                  <c:v>8.3699999999999992</c:v>
                </c:pt>
                <c:pt idx="210">
                  <c:v>8.33</c:v>
                </c:pt>
                <c:pt idx="211">
                  <c:v>8.34</c:v>
                </c:pt>
                <c:pt idx="212">
                  <c:v>8.32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8.31</c:v>
                </c:pt>
                <c:pt idx="217">
                  <c:v>8.35</c:v>
                </c:pt>
                <c:pt idx="218">
                  <c:v>8.34</c:v>
                </c:pt>
                <c:pt idx="219">
                  <c:v>8.5399999999999991</c:v>
                </c:pt>
                <c:pt idx="220">
                  <c:v>8.5500000000000007</c:v>
                </c:pt>
                <c:pt idx="221">
                  <c:v>8.5399999999999991</c:v>
                </c:pt>
                <c:pt idx="222">
                  <c:v>8.51</c:v>
                </c:pt>
                <c:pt idx="223">
                  <c:v>8.49</c:v>
                </c:pt>
                <c:pt idx="224">
                  <c:v>8.52</c:v>
                </c:pt>
                <c:pt idx="225">
                  <c:v>8.52</c:v>
                </c:pt>
                <c:pt idx="226">
                  <c:v>8.5299999999999994</c:v>
                </c:pt>
                <c:pt idx="227">
                  <c:v>8.5500000000000007</c:v>
                </c:pt>
                <c:pt idx="228">
                  <c:v>8.52</c:v>
                </c:pt>
                <c:pt idx="229">
                  <c:v>8.52</c:v>
                </c:pt>
                <c:pt idx="230">
                  <c:v>8.57</c:v>
                </c:pt>
                <c:pt idx="231">
                  <c:v>8.5299999999999994</c:v>
                </c:pt>
                <c:pt idx="232">
                  <c:v>8.5299999999999994</c:v>
                </c:pt>
                <c:pt idx="233">
                  <c:v>8.51</c:v>
                </c:pt>
                <c:pt idx="234">
                  <c:v>8.49</c:v>
                </c:pt>
                <c:pt idx="235">
                  <c:v>8.51</c:v>
                </c:pt>
                <c:pt idx="236">
                  <c:v>8.5500000000000007</c:v>
                </c:pt>
                <c:pt idx="237">
                  <c:v>8.5399999999999991</c:v>
                </c:pt>
                <c:pt idx="238">
                  <c:v>8.56</c:v>
                </c:pt>
                <c:pt idx="239">
                  <c:v>8.58</c:v>
                </c:pt>
                <c:pt idx="240">
                  <c:v>8.58</c:v>
                </c:pt>
                <c:pt idx="241">
                  <c:v>8.5399999999999991</c:v>
                </c:pt>
                <c:pt idx="242">
                  <c:v>8.57</c:v>
                </c:pt>
                <c:pt idx="243">
                  <c:v>8.56</c:v>
                </c:pt>
                <c:pt idx="244">
                  <c:v>8.56</c:v>
                </c:pt>
                <c:pt idx="245">
                  <c:v>8.57</c:v>
                </c:pt>
                <c:pt idx="246">
                  <c:v>8.58</c:v>
                </c:pt>
                <c:pt idx="247">
                  <c:v>8.58</c:v>
                </c:pt>
                <c:pt idx="248">
                  <c:v>8.6</c:v>
                </c:pt>
                <c:pt idx="249">
                  <c:v>8.56</c:v>
                </c:pt>
                <c:pt idx="250">
                  <c:v>8.56</c:v>
                </c:pt>
                <c:pt idx="251">
                  <c:v>8.58</c:v>
                </c:pt>
                <c:pt idx="252">
                  <c:v>8.18</c:v>
                </c:pt>
                <c:pt idx="253">
                  <c:v>8.19</c:v>
                </c:pt>
                <c:pt idx="254">
                  <c:v>8.1999999999999993</c:v>
                </c:pt>
                <c:pt idx="255">
                  <c:v>8.19</c:v>
                </c:pt>
                <c:pt idx="256">
                  <c:v>8.1999999999999993</c:v>
                </c:pt>
                <c:pt idx="257">
                  <c:v>8.18</c:v>
                </c:pt>
                <c:pt idx="258">
                  <c:v>8.19</c:v>
                </c:pt>
                <c:pt idx="259">
                  <c:v>8.16</c:v>
                </c:pt>
                <c:pt idx="260">
                  <c:v>8.16</c:v>
                </c:pt>
                <c:pt idx="261">
                  <c:v>8.2100000000000009</c:v>
                </c:pt>
                <c:pt idx="262">
                  <c:v>8.18</c:v>
                </c:pt>
                <c:pt idx="263">
                  <c:v>8.2200000000000006</c:v>
                </c:pt>
                <c:pt idx="264">
                  <c:v>8.1999999999999993</c:v>
                </c:pt>
                <c:pt idx="265">
                  <c:v>8.15</c:v>
                </c:pt>
                <c:pt idx="266">
                  <c:v>8.16</c:v>
                </c:pt>
                <c:pt idx="267">
                  <c:v>8.1300000000000008</c:v>
                </c:pt>
                <c:pt idx="268">
                  <c:v>8.01</c:v>
                </c:pt>
                <c:pt idx="269">
                  <c:v>8.02</c:v>
                </c:pt>
                <c:pt idx="270">
                  <c:v>8.07</c:v>
                </c:pt>
                <c:pt idx="271">
                  <c:v>8.08</c:v>
                </c:pt>
                <c:pt idx="272">
                  <c:v>8.4700000000000006</c:v>
                </c:pt>
                <c:pt idx="273">
                  <c:v>8.4700000000000006</c:v>
                </c:pt>
                <c:pt idx="274">
                  <c:v>8.48</c:v>
                </c:pt>
                <c:pt idx="275">
                  <c:v>8.49</c:v>
                </c:pt>
                <c:pt idx="276">
                  <c:v>8.4700000000000006</c:v>
                </c:pt>
                <c:pt idx="277">
                  <c:v>8.51</c:v>
                </c:pt>
                <c:pt idx="278">
                  <c:v>8.5</c:v>
                </c:pt>
                <c:pt idx="279">
                  <c:v>8.51</c:v>
                </c:pt>
                <c:pt idx="280">
                  <c:v>8.5</c:v>
                </c:pt>
                <c:pt idx="281">
                  <c:v>8.49</c:v>
                </c:pt>
                <c:pt idx="282">
                  <c:v>8.5299999999999994</c:v>
                </c:pt>
                <c:pt idx="283">
                  <c:v>8.52</c:v>
                </c:pt>
                <c:pt idx="284">
                  <c:v>8.51</c:v>
                </c:pt>
                <c:pt idx="285">
                  <c:v>8.52</c:v>
                </c:pt>
                <c:pt idx="286">
                  <c:v>8.52</c:v>
                </c:pt>
                <c:pt idx="287">
                  <c:v>8.56</c:v>
                </c:pt>
                <c:pt idx="288">
                  <c:v>8.67</c:v>
                </c:pt>
                <c:pt idx="289">
                  <c:v>8.7100000000000009</c:v>
                </c:pt>
                <c:pt idx="290">
                  <c:v>8.66</c:v>
                </c:pt>
                <c:pt idx="291">
                  <c:v>8.57</c:v>
                </c:pt>
                <c:pt idx="292">
                  <c:v>8.5500000000000007</c:v>
                </c:pt>
                <c:pt idx="293">
                  <c:v>8.57</c:v>
                </c:pt>
                <c:pt idx="294">
                  <c:v>8.57</c:v>
                </c:pt>
                <c:pt idx="295">
                  <c:v>8.5500000000000007</c:v>
                </c:pt>
                <c:pt idx="296">
                  <c:v>8.58</c:v>
                </c:pt>
                <c:pt idx="297">
                  <c:v>8.57</c:v>
                </c:pt>
                <c:pt idx="298">
                  <c:v>8.57</c:v>
                </c:pt>
                <c:pt idx="299">
                  <c:v>8.59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95-3449-94D4-10AF68F71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372351"/>
        <c:axId val="420375935"/>
      </c:lineChart>
      <c:catAx>
        <c:axId val="42037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0375935"/>
        <c:crosses val="autoZero"/>
        <c:auto val="1"/>
        <c:lblAlgn val="ctr"/>
        <c:lblOffset val="100"/>
        <c:noMultiLvlLbl val="0"/>
      </c:catAx>
      <c:valAx>
        <c:axId val="420375935"/>
        <c:scaling>
          <c:orientation val="minMax"/>
          <c:max val="10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0372351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los álbumes reseñados cada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Graficos!$AU$328</c:f>
              <c:strCache>
                <c:ptCount val="1"/>
                <c:pt idx="0">
                  <c:v>Media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Graficos!$AT$329:$AT$337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Graficos!$AU$329:$AU$337</c:f>
              <c:numCache>
                <c:formatCode>General</c:formatCode>
                <c:ptCount val="9"/>
                <c:pt idx="0">
                  <c:v>8.73</c:v>
                </c:pt>
                <c:pt idx="1">
                  <c:v>8.7799999999999994</c:v>
                </c:pt>
                <c:pt idx="2">
                  <c:v>8.5299999999999994</c:v>
                </c:pt>
                <c:pt idx="3">
                  <c:v>8.65</c:v>
                </c:pt>
                <c:pt idx="4">
                  <c:v>8.5299999999999994</c:v>
                </c:pt>
                <c:pt idx="5">
                  <c:v>8.44</c:v>
                </c:pt>
                <c:pt idx="6">
                  <c:v>8.32</c:v>
                </c:pt>
                <c:pt idx="7">
                  <c:v>8.65</c:v>
                </c:pt>
                <c:pt idx="8">
                  <c:v>8.61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E-4B4B-AC45-4D0C17D81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1809279"/>
        <c:axId val="341811071"/>
      </c:barChart>
      <c:catAx>
        <c:axId val="341809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811071"/>
        <c:crosses val="autoZero"/>
        <c:auto val="1"/>
        <c:lblAlgn val="ctr"/>
        <c:lblOffset val="100"/>
        <c:noMultiLvlLbl val="0"/>
      </c:catAx>
      <c:valAx>
        <c:axId val="341811071"/>
        <c:scaling>
          <c:orientation val="minMax"/>
          <c:max val="9"/>
          <c:min val="8.199999999999999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809279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(3016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Graficos!$AU$340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Graficos!$AT$341:$AT$362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Graficos!$AU$341:$AU$362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17</c:v>
                </c:pt>
                <c:pt idx="13">
                  <c:v>26</c:v>
                </c:pt>
                <c:pt idx="14">
                  <c:v>105</c:v>
                </c:pt>
                <c:pt idx="15">
                  <c:v>260</c:v>
                </c:pt>
                <c:pt idx="16">
                  <c:v>732</c:v>
                </c:pt>
                <c:pt idx="17">
                  <c:v>675</c:v>
                </c:pt>
                <c:pt idx="18">
                  <c:v>524</c:v>
                </c:pt>
                <c:pt idx="19">
                  <c:v>177</c:v>
                </c:pt>
                <c:pt idx="20">
                  <c:v>339</c:v>
                </c:pt>
                <c:pt idx="21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73-3E4E-9047-326D9BA93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1709631"/>
        <c:axId val="341711423"/>
      </c:barChart>
      <c:catAx>
        <c:axId val="34170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711423"/>
        <c:crosses val="autoZero"/>
        <c:auto val="1"/>
        <c:lblAlgn val="ctr"/>
        <c:lblOffset val="100"/>
        <c:noMultiLvlLbl val="0"/>
      </c:catAx>
      <c:valAx>
        <c:axId val="34171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70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Curva de percentiles de notas (el X% de canciones está por debajo)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Graficos!$AU$365</c:f>
              <c:strCache>
                <c:ptCount val="1"/>
                <c:pt idx="0">
                  <c:v>Nota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Graficos!$AT$366:$AT$416</c:f>
              <c:strCache>
                <c:ptCount val="51"/>
                <c:pt idx="0">
                  <c:v>0%</c:v>
                </c:pt>
                <c:pt idx="1">
                  <c:v>2%</c:v>
                </c:pt>
                <c:pt idx="2">
                  <c:v>4%</c:v>
                </c:pt>
                <c:pt idx="3">
                  <c:v>6%</c:v>
                </c:pt>
                <c:pt idx="4">
                  <c:v>8%</c:v>
                </c:pt>
                <c:pt idx="5">
                  <c:v>10%</c:v>
                </c:pt>
                <c:pt idx="6">
                  <c:v>12%</c:v>
                </c:pt>
                <c:pt idx="7">
                  <c:v>14%</c:v>
                </c:pt>
                <c:pt idx="8">
                  <c:v>16%</c:v>
                </c:pt>
                <c:pt idx="9">
                  <c:v>18%</c:v>
                </c:pt>
                <c:pt idx="10">
                  <c:v>20%</c:v>
                </c:pt>
                <c:pt idx="11">
                  <c:v>22%</c:v>
                </c:pt>
                <c:pt idx="12">
                  <c:v>24%</c:v>
                </c:pt>
                <c:pt idx="13">
                  <c:v>26%</c:v>
                </c:pt>
                <c:pt idx="14">
                  <c:v>28%</c:v>
                </c:pt>
                <c:pt idx="15">
                  <c:v>30%</c:v>
                </c:pt>
                <c:pt idx="16">
                  <c:v>32%</c:v>
                </c:pt>
                <c:pt idx="17">
                  <c:v>34%</c:v>
                </c:pt>
                <c:pt idx="18">
                  <c:v>36%</c:v>
                </c:pt>
                <c:pt idx="19">
                  <c:v>38%</c:v>
                </c:pt>
                <c:pt idx="20">
                  <c:v>40%</c:v>
                </c:pt>
                <c:pt idx="21">
                  <c:v>42%</c:v>
                </c:pt>
                <c:pt idx="22">
                  <c:v>44%</c:v>
                </c:pt>
                <c:pt idx="23">
                  <c:v>46%</c:v>
                </c:pt>
                <c:pt idx="24">
                  <c:v>48%</c:v>
                </c:pt>
                <c:pt idx="25">
                  <c:v>50%</c:v>
                </c:pt>
                <c:pt idx="26">
                  <c:v>52%</c:v>
                </c:pt>
                <c:pt idx="27">
                  <c:v>54%</c:v>
                </c:pt>
                <c:pt idx="28">
                  <c:v>56%</c:v>
                </c:pt>
                <c:pt idx="29">
                  <c:v>58%</c:v>
                </c:pt>
                <c:pt idx="30">
                  <c:v>60%</c:v>
                </c:pt>
                <c:pt idx="31">
                  <c:v>62%</c:v>
                </c:pt>
                <c:pt idx="32">
                  <c:v>64%</c:v>
                </c:pt>
                <c:pt idx="33">
                  <c:v>66%</c:v>
                </c:pt>
                <c:pt idx="34">
                  <c:v>68%</c:v>
                </c:pt>
                <c:pt idx="35">
                  <c:v>70%</c:v>
                </c:pt>
                <c:pt idx="36">
                  <c:v>72%</c:v>
                </c:pt>
                <c:pt idx="37">
                  <c:v>74%</c:v>
                </c:pt>
                <c:pt idx="38">
                  <c:v>76%</c:v>
                </c:pt>
                <c:pt idx="39">
                  <c:v>78%</c:v>
                </c:pt>
                <c:pt idx="40">
                  <c:v>80%</c:v>
                </c:pt>
                <c:pt idx="41">
                  <c:v>82%</c:v>
                </c:pt>
                <c:pt idx="42">
                  <c:v>84%</c:v>
                </c:pt>
                <c:pt idx="43">
                  <c:v>86%</c:v>
                </c:pt>
                <c:pt idx="44">
                  <c:v>88%</c:v>
                </c:pt>
                <c:pt idx="45">
                  <c:v>90%</c:v>
                </c:pt>
                <c:pt idx="46">
                  <c:v>92%</c:v>
                </c:pt>
                <c:pt idx="47">
                  <c:v>94%</c:v>
                </c:pt>
                <c:pt idx="48">
                  <c:v>96%</c:v>
                </c:pt>
                <c:pt idx="49">
                  <c:v>98%</c:v>
                </c:pt>
                <c:pt idx="50">
                  <c:v>100%</c:v>
                </c:pt>
              </c:strCache>
            </c:strRef>
          </c:cat>
          <c:val>
            <c:numRef>
              <c:f>Graficos!$AU$366:$AU$416</c:f>
              <c:numCache>
                <c:formatCode>General</c:formatCode>
                <c:ptCount val="51"/>
                <c:pt idx="0">
                  <c:v>0</c:v>
                </c:pt>
                <c:pt idx="1">
                  <c:v>6.5</c:v>
                </c:pt>
                <c:pt idx="2">
                  <c:v>7</c:v>
                </c:pt>
                <c:pt idx="3">
                  <c:v>7</c:v>
                </c:pt>
                <c:pt idx="4">
                  <c:v>7.5</c:v>
                </c:pt>
                <c:pt idx="5">
                  <c:v>7.5</c:v>
                </c:pt>
                <c:pt idx="6">
                  <c:v>7.5</c:v>
                </c:pt>
                <c:pt idx="7">
                  <c:v>7.5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8.5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10.5</c:v>
                </c:pt>
                <c:pt idx="5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6E-2E44-973B-1E50CBFF6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686271"/>
        <c:axId val="341524479"/>
      </c:lineChart>
      <c:catAx>
        <c:axId val="34168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524479"/>
        <c:crosses val="autoZero"/>
        <c:auto val="1"/>
        <c:lblAlgn val="ctr"/>
        <c:lblOffset val="100"/>
        <c:noMultiLvlLbl val="0"/>
      </c:catAx>
      <c:valAx>
        <c:axId val="341524479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6862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del nº de canciones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Graficos!$AU$419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Graficos!$AT$420:$AT$449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Graficos!$AU$420:$AU$449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11</c:v>
                </c:pt>
                <c:pt idx="5">
                  <c:v>17</c:v>
                </c:pt>
                <c:pt idx="6">
                  <c:v>18</c:v>
                </c:pt>
                <c:pt idx="7">
                  <c:v>29</c:v>
                </c:pt>
                <c:pt idx="8">
                  <c:v>31</c:v>
                </c:pt>
                <c:pt idx="9">
                  <c:v>49</c:v>
                </c:pt>
                <c:pt idx="10">
                  <c:v>32</c:v>
                </c:pt>
                <c:pt idx="11">
                  <c:v>32</c:v>
                </c:pt>
                <c:pt idx="12">
                  <c:v>19</c:v>
                </c:pt>
                <c:pt idx="13">
                  <c:v>14</c:v>
                </c:pt>
                <c:pt idx="14">
                  <c:v>13</c:v>
                </c:pt>
                <c:pt idx="15">
                  <c:v>5</c:v>
                </c:pt>
                <c:pt idx="16">
                  <c:v>5</c:v>
                </c:pt>
                <c:pt idx="17">
                  <c:v>4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09-EC41-A01B-FC083597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1435583"/>
        <c:axId val="341437375"/>
      </c:barChart>
      <c:catAx>
        <c:axId val="34143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437375"/>
        <c:crosses val="autoZero"/>
        <c:auto val="1"/>
        <c:lblAlgn val="ctr"/>
        <c:lblOffset val="100"/>
        <c:noMultiLvlLbl val="0"/>
      </c:catAx>
      <c:valAx>
        <c:axId val="34143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43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Graficos!$AU$452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Graficos!$AT$453:$AT$459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Graficos!$AU$453:$AU$459</c:f>
              <c:numCache>
                <c:formatCode>General</c:formatCode>
                <c:ptCount val="7"/>
                <c:pt idx="0">
                  <c:v>6</c:v>
                </c:pt>
                <c:pt idx="1">
                  <c:v>32</c:v>
                </c:pt>
                <c:pt idx="2">
                  <c:v>27</c:v>
                </c:pt>
                <c:pt idx="3">
                  <c:v>74</c:v>
                </c:pt>
                <c:pt idx="4">
                  <c:v>76</c:v>
                </c:pt>
                <c:pt idx="5">
                  <c:v>37</c:v>
                </c:pt>
                <c:pt idx="6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CB-E64C-B55E-EC97F10B6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0018559"/>
        <c:axId val="380020351"/>
      </c:barChart>
      <c:catAx>
        <c:axId val="38001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020351"/>
        <c:crosses val="autoZero"/>
        <c:auto val="1"/>
        <c:lblAlgn val="ctr"/>
        <c:lblOffset val="100"/>
        <c:noMultiLvlLbl val="0"/>
      </c:catAx>
      <c:valAx>
        <c:axId val="38002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0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Graficos!$AU$462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Graficos!$AT$463:$AT$469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Graficos!$AU$463:$AU$469</c:f>
              <c:numCache>
                <c:formatCode>General</c:formatCode>
                <c:ptCount val="7"/>
                <c:pt idx="0">
                  <c:v>8.86</c:v>
                </c:pt>
                <c:pt idx="1">
                  <c:v>8.93</c:v>
                </c:pt>
                <c:pt idx="2">
                  <c:v>8.7799999999999994</c:v>
                </c:pt>
                <c:pt idx="3">
                  <c:v>8.58</c:v>
                </c:pt>
                <c:pt idx="4">
                  <c:v>8.7100000000000009</c:v>
                </c:pt>
                <c:pt idx="5">
                  <c:v>8.44</c:v>
                </c:pt>
                <c:pt idx="6">
                  <c:v>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4-B54C-B993-0C0B6C8A1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932607"/>
        <c:axId val="379934399"/>
      </c:barChart>
      <c:catAx>
        <c:axId val="37993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934399"/>
        <c:crosses val="autoZero"/>
        <c:auto val="1"/>
        <c:lblAlgn val="ctr"/>
        <c:lblOffset val="100"/>
        <c:noMultiLvlLbl val="0"/>
      </c:catAx>
      <c:valAx>
        <c:axId val="379934399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93260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Graficos!$AU$472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Graficos!$AT$473:$AT$531</c:f>
              <c:strCache>
                <c:ptCount val="59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  <c:pt idx="55">
                  <c:v>2023</c:v>
                </c:pt>
                <c:pt idx="56">
                  <c:v>2024</c:v>
                </c:pt>
                <c:pt idx="57">
                  <c:v>2025</c:v>
                </c:pt>
                <c:pt idx="58">
                  <c:v>2026</c:v>
                </c:pt>
              </c:strCache>
            </c:strRef>
          </c:cat>
          <c:val>
            <c:numRef>
              <c:f>Graficos!$AU$473:$AU$531</c:f>
              <c:numCache>
                <c:formatCode>General</c:formatCode>
                <c:ptCount val="59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8</c:v>
                </c:pt>
                <c:pt idx="25">
                  <c:v>5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11</c:v>
                </c:pt>
                <c:pt idx="30">
                  <c:v>8</c:v>
                </c:pt>
                <c:pt idx="31">
                  <c:v>8</c:v>
                </c:pt>
                <c:pt idx="32">
                  <c:v>11</c:v>
                </c:pt>
                <c:pt idx="33">
                  <c:v>9</c:v>
                </c:pt>
                <c:pt idx="34">
                  <c:v>11</c:v>
                </c:pt>
                <c:pt idx="35">
                  <c:v>11</c:v>
                </c:pt>
                <c:pt idx="36">
                  <c:v>3</c:v>
                </c:pt>
                <c:pt idx="37">
                  <c:v>12</c:v>
                </c:pt>
                <c:pt idx="38">
                  <c:v>3</c:v>
                </c:pt>
                <c:pt idx="39">
                  <c:v>7</c:v>
                </c:pt>
                <c:pt idx="40">
                  <c:v>6</c:v>
                </c:pt>
                <c:pt idx="41">
                  <c:v>3</c:v>
                </c:pt>
                <c:pt idx="42">
                  <c:v>4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3</c:v>
                </c:pt>
                <c:pt idx="47">
                  <c:v>4</c:v>
                </c:pt>
                <c:pt idx="48">
                  <c:v>8</c:v>
                </c:pt>
                <c:pt idx="49">
                  <c:v>1</c:v>
                </c:pt>
                <c:pt idx="50">
                  <c:v>4</c:v>
                </c:pt>
                <c:pt idx="51">
                  <c:v>2</c:v>
                </c:pt>
                <c:pt idx="52">
                  <c:v>5</c:v>
                </c:pt>
                <c:pt idx="53">
                  <c:v>6</c:v>
                </c:pt>
                <c:pt idx="54">
                  <c:v>1</c:v>
                </c:pt>
                <c:pt idx="55">
                  <c:v>2</c:v>
                </c:pt>
                <c:pt idx="56">
                  <c:v>11</c:v>
                </c:pt>
                <c:pt idx="57">
                  <c:v>5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9-1B4F-8105-981073ABB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886527"/>
        <c:axId val="399888319"/>
      </c:lineChart>
      <c:catAx>
        <c:axId val="399886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9888319"/>
        <c:crosses val="autoZero"/>
        <c:auto val="1"/>
        <c:lblAlgn val="ctr"/>
        <c:lblOffset val="100"/>
        <c:noMultiLvlLbl val="0"/>
      </c:catAx>
      <c:valAx>
        <c:axId val="399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988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Graficos!$AU$534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Graficos!$AT$535:$AT$541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Graficos!$AU$535:$AU$541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57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3-B344-8BCD-BEF78882B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1583935"/>
        <c:axId val="401585727"/>
      </c:barChart>
      <c:catAx>
        <c:axId val="40158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585727"/>
        <c:crosses val="autoZero"/>
        <c:auto val="1"/>
        <c:lblAlgn val="ctr"/>
        <c:lblOffset val="100"/>
        <c:noMultiLvlLbl val="0"/>
      </c:catAx>
      <c:valAx>
        <c:axId val="401585727"/>
        <c:scaling>
          <c:orientation val="minMax"/>
          <c:max val="6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58393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Graficos!$AU$544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Graficos!$AT$545:$AT$559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idm</c:v>
                </c:pt>
                <c:pt idx="6">
                  <c:v>pop rock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Graficos!$AU$545:$AU$559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24</c:v>
                </c:pt>
                <c:pt idx="12">
                  <c:v>26</c:v>
                </c:pt>
                <c:pt idx="13">
                  <c:v>31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4C-ED4D-B14E-4D7E16044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7051263"/>
        <c:axId val="407053055"/>
      </c:barChart>
      <c:catAx>
        <c:axId val="407051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7053055"/>
        <c:crosses val="autoZero"/>
        <c:auto val="1"/>
        <c:lblAlgn val="ctr"/>
        <c:lblOffset val="100"/>
        <c:noMultiLvlLbl val="0"/>
      </c:catAx>
      <c:valAx>
        <c:axId val="407053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705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Graficos!$AU$562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EB-104B-BC93-487C21406C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EB-104B-BC93-487C21406CF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EB-104B-BC93-487C21406C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EB-104B-BC93-487C21406C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EB-104B-BC93-487C21406CF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EB-104B-BC93-487C21406CF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EB-104B-BC93-487C21406CF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EB-104B-BC93-487C21406CF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EB-104B-BC93-487C21406CF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EB-104B-BC93-487C21406CF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EB-104B-BC93-487C21406CF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EB-104B-BC93-487C21406CF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EB-104B-BC93-487C21406CF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EB-104B-BC93-487C21406CF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EB-104B-BC93-487C21406CF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EB-104B-BC93-487C21406C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Graficos!$AT$563:$AT$578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soundtrack</c:v>
                </c:pt>
                <c:pt idx="14">
                  <c:v>industrial &amp; noise</c:v>
                </c:pt>
                <c:pt idx="15">
                  <c:v>regional music</c:v>
                </c:pt>
              </c:strCache>
            </c:strRef>
          </c:cat>
          <c:val>
            <c:numRef>
              <c:f>Graficos!$AU$563:$AU$578</c:f>
              <c:numCache>
                <c:formatCode>General</c:formatCode>
                <c:ptCount val="16"/>
                <c:pt idx="0">
                  <c:v>145</c:v>
                </c:pt>
                <c:pt idx="1">
                  <c:v>89</c:v>
                </c:pt>
                <c:pt idx="2">
                  <c:v>40</c:v>
                </c:pt>
                <c:pt idx="3">
                  <c:v>29</c:v>
                </c:pt>
                <c:pt idx="4">
                  <c:v>24</c:v>
                </c:pt>
                <c:pt idx="5">
                  <c:v>11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7-DB45-AD0D-9A275C253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Graficos!$AU$581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Graficos!$AT$582:$AT$597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punk</c:v>
                </c:pt>
                <c:pt idx="8">
                  <c:v>electronic</c:v>
                </c:pt>
                <c:pt idx="9">
                  <c:v>rock</c:v>
                </c:pt>
                <c:pt idx="10">
                  <c:v>pop</c:v>
                </c:pt>
                <c:pt idx="11">
                  <c:v>singer-songwriter</c:v>
                </c:pt>
                <c:pt idx="12">
                  <c:v>ambient</c:v>
                </c:pt>
                <c:pt idx="13">
                  <c:v>folk</c:v>
                </c:pt>
                <c:pt idx="14">
                  <c:v>jazz</c:v>
                </c:pt>
                <c:pt idx="15">
                  <c:v>r&amp;b</c:v>
                </c:pt>
              </c:strCache>
            </c:strRef>
          </c:cat>
          <c:val>
            <c:numRef>
              <c:f>Graficos!$AU$582:$AU$597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8.0299999999999994</c:v>
                </c:pt>
                <c:pt idx="3">
                  <c:v>8.0399999999999991</c:v>
                </c:pt>
                <c:pt idx="4">
                  <c:v>8.11</c:v>
                </c:pt>
                <c:pt idx="5">
                  <c:v>8.4</c:v>
                </c:pt>
                <c:pt idx="6">
                  <c:v>8.57</c:v>
                </c:pt>
                <c:pt idx="7">
                  <c:v>8.57</c:v>
                </c:pt>
                <c:pt idx="8">
                  <c:v>8.6</c:v>
                </c:pt>
                <c:pt idx="9">
                  <c:v>8.66</c:v>
                </c:pt>
                <c:pt idx="10">
                  <c:v>8.66</c:v>
                </c:pt>
                <c:pt idx="11">
                  <c:v>8.66</c:v>
                </c:pt>
                <c:pt idx="12">
                  <c:v>8.68</c:v>
                </c:pt>
                <c:pt idx="13">
                  <c:v>8.69</c:v>
                </c:pt>
                <c:pt idx="14">
                  <c:v>8.7200000000000006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3-684A-8F0D-B13253364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5198527"/>
        <c:axId val="405200319"/>
      </c:barChart>
      <c:catAx>
        <c:axId val="40519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200319"/>
        <c:crosses val="autoZero"/>
        <c:auto val="1"/>
        <c:lblAlgn val="ctr"/>
        <c:lblOffset val="100"/>
        <c:noMultiLvlLbl val="0"/>
      </c:catAx>
      <c:valAx>
        <c:axId val="405200319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198527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Graficos!$AU$600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Graficos!$AT$601:$AT$616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punk</c:v>
                </c:pt>
                <c:pt idx="7">
                  <c:v>electronic</c:v>
                </c:pt>
                <c:pt idx="8">
                  <c:v>metal</c:v>
                </c:pt>
                <c:pt idx="9">
                  <c:v>singer-songwriter</c:v>
                </c:pt>
                <c:pt idx="10">
                  <c:v>folk</c:v>
                </c:pt>
                <c:pt idx="11">
                  <c:v>pop</c:v>
                </c:pt>
                <c:pt idx="12">
                  <c:v>ambient</c:v>
                </c:pt>
                <c:pt idx="13">
                  <c:v>rock</c:v>
                </c:pt>
                <c:pt idx="14">
                  <c:v>jazz</c:v>
                </c:pt>
                <c:pt idx="15">
                  <c:v>r&amp;b</c:v>
                </c:pt>
              </c:strCache>
            </c:strRef>
          </c:cat>
          <c:val>
            <c:numRef>
              <c:f>Graficos!$AU$601:$AU$616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7.97</c:v>
                </c:pt>
                <c:pt idx="4">
                  <c:v>8</c:v>
                </c:pt>
                <c:pt idx="5">
                  <c:v>8.3699999999999992</c:v>
                </c:pt>
                <c:pt idx="6">
                  <c:v>8.5299999999999994</c:v>
                </c:pt>
                <c:pt idx="7">
                  <c:v>8.5500000000000007</c:v>
                </c:pt>
                <c:pt idx="8">
                  <c:v>8.56</c:v>
                </c:pt>
                <c:pt idx="9">
                  <c:v>8.57</c:v>
                </c:pt>
                <c:pt idx="10">
                  <c:v>8.6</c:v>
                </c:pt>
                <c:pt idx="11">
                  <c:v>8.61</c:v>
                </c:pt>
                <c:pt idx="12">
                  <c:v>8.6199999999999992</c:v>
                </c:pt>
                <c:pt idx="13">
                  <c:v>8.64</c:v>
                </c:pt>
                <c:pt idx="14">
                  <c:v>8.68</c:v>
                </c:pt>
                <c:pt idx="15">
                  <c:v>8.76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5-1942-B634-3C5074445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0424959"/>
        <c:axId val="400426751"/>
      </c:barChart>
      <c:catAx>
        <c:axId val="400424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426751"/>
        <c:crosses val="autoZero"/>
        <c:auto val="1"/>
        <c:lblAlgn val="ctr"/>
        <c:lblOffset val="100"/>
        <c:noMultiLvlLbl val="0"/>
      </c:catAx>
      <c:valAx>
        <c:axId val="400426751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42495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Graficos!$AU$619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Graficos!$AT$620:$AT$635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pop</c:v>
                </c:pt>
                <c:pt idx="6">
                  <c:v>punk</c:v>
                </c:pt>
                <c:pt idx="7">
                  <c:v>rock</c:v>
                </c:pt>
                <c:pt idx="8">
                  <c:v>r&amp;b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Graficos!$AU$620:$AU$635</c:f>
              <c:numCache>
                <c:formatCode>General</c:formatCode>
                <c:ptCount val="16"/>
                <c:pt idx="0">
                  <c:v>40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47</c:v>
                </c:pt>
                <c:pt idx="6">
                  <c:v>49</c:v>
                </c:pt>
                <c:pt idx="7">
                  <c:v>50</c:v>
                </c:pt>
                <c:pt idx="8">
                  <c:v>52</c:v>
                </c:pt>
                <c:pt idx="9">
                  <c:v>55</c:v>
                </c:pt>
                <c:pt idx="10">
                  <c:v>56</c:v>
                </c:pt>
                <c:pt idx="11">
                  <c:v>57</c:v>
                </c:pt>
                <c:pt idx="12">
                  <c:v>62</c:v>
                </c:pt>
                <c:pt idx="13">
                  <c:v>66</c:v>
                </c:pt>
                <c:pt idx="14">
                  <c:v>68</c:v>
                </c:pt>
                <c:pt idx="15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3-EE44-9DEB-9186598FD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1434687"/>
        <c:axId val="401436479"/>
      </c:barChart>
      <c:catAx>
        <c:axId val="40143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436479"/>
        <c:crosses val="autoZero"/>
        <c:auto val="1"/>
        <c:lblAlgn val="ctr"/>
        <c:lblOffset val="100"/>
        <c:noMultiLvlLbl val="0"/>
      </c:catAx>
      <c:valAx>
        <c:axId val="401436479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4346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de canciones con nota ≥10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Graficos!$AU$638</c:f>
              <c:strCache>
                <c:ptCount val="1"/>
                <c:pt idx="0">
                  <c:v>% notas ≥10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Graficos!$AT$639:$AT$654</c:f>
              <c:strCache>
                <c:ptCount val="16"/>
                <c:pt idx="0">
                  <c:v>new age</c:v>
                </c:pt>
                <c:pt idx="1">
                  <c:v>psychedelia</c:v>
                </c:pt>
                <c:pt idx="2">
                  <c:v>industrial &amp; noise</c:v>
                </c:pt>
                <c:pt idx="3">
                  <c:v>regional music</c:v>
                </c:pt>
                <c:pt idx="4">
                  <c:v>soundtrack</c:v>
                </c:pt>
                <c:pt idx="5">
                  <c:v>hip hop</c:v>
                </c:pt>
                <c:pt idx="6">
                  <c:v>punk</c:v>
                </c:pt>
                <c:pt idx="7">
                  <c:v>jazz</c:v>
                </c:pt>
                <c:pt idx="8">
                  <c:v>ambient</c:v>
                </c:pt>
                <c:pt idx="9">
                  <c:v>singer-songwriter</c:v>
                </c:pt>
                <c:pt idx="10">
                  <c:v>electronic</c:v>
                </c:pt>
                <c:pt idx="11">
                  <c:v>pop</c:v>
                </c:pt>
                <c:pt idx="12">
                  <c:v>metal</c:v>
                </c:pt>
                <c:pt idx="13">
                  <c:v>rock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Graficos!$AU$639:$AU$654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5.88</c:v>
                </c:pt>
                <c:pt idx="5">
                  <c:v>10.4</c:v>
                </c:pt>
                <c:pt idx="6">
                  <c:v>13.04</c:v>
                </c:pt>
                <c:pt idx="7">
                  <c:v>13.79</c:v>
                </c:pt>
                <c:pt idx="8">
                  <c:v>13.79</c:v>
                </c:pt>
                <c:pt idx="9">
                  <c:v>13.98</c:v>
                </c:pt>
                <c:pt idx="10">
                  <c:v>14.14</c:v>
                </c:pt>
                <c:pt idx="11">
                  <c:v>14.98</c:v>
                </c:pt>
                <c:pt idx="12">
                  <c:v>15.24</c:v>
                </c:pt>
                <c:pt idx="13">
                  <c:v>16.61</c:v>
                </c:pt>
                <c:pt idx="14">
                  <c:v>17.54</c:v>
                </c:pt>
                <c:pt idx="15">
                  <c:v>18.52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0-514F-8F8E-C1E8E4B0F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0694271"/>
        <c:axId val="400696063"/>
      </c:barChart>
      <c:catAx>
        <c:axId val="400694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696063"/>
        <c:crosses val="autoZero"/>
        <c:auto val="1"/>
        <c:lblAlgn val="ctr"/>
        <c:lblOffset val="100"/>
        <c:noMultiLvlLbl val="0"/>
      </c:catAx>
      <c:valAx>
        <c:axId val="400696063"/>
        <c:scaling>
          <c:orientation val="minMax"/>
          <c:max val="25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6942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notas dentro de cada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Graficos!$AU$657</c:f>
              <c:strCache>
                <c:ptCount val="1"/>
                <c:pt idx="0">
                  <c:v>&lt;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Graficos!$AT$658:$AT$669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Graficos!$AU$658:$AU$669</c:f>
              <c:numCache>
                <c:formatCode>General</c:formatCode>
                <c:ptCount val="12"/>
                <c:pt idx="0">
                  <c:v>34</c:v>
                </c:pt>
                <c:pt idx="1">
                  <c:v>18</c:v>
                </c:pt>
                <c:pt idx="2">
                  <c:v>4</c:v>
                </c:pt>
                <c:pt idx="3">
                  <c:v>1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F-AC4F-9542-5A848E8AAF84}"/>
            </c:ext>
          </c:extLst>
        </c:ser>
        <c:ser>
          <c:idx val="1"/>
          <c:order val="1"/>
          <c:tx>
            <c:strRef>
              <c:f>Graficos!$AV$657</c:f>
              <c:strCache>
                <c:ptCount val="1"/>
                <c:pt idx="0">
                  <c:v>8-jul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Graficos!$AT$658:$AT$669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Graficos!$AV$658:$AV$669</c:f>
              <c:numCache>
                <c:formatCode>General</c:formatCode>
                <c:ptCount val="12"/>
                <c:pt idx="0">
                  <c:v>161</c:v>
                </c:pt>
                <c:pt idx="1">
                  <c:v>105</c:v>
                </c:pt>
                <c:pt idx="2">
                  <c:v>51</c:v>
                </c:pt>
                <c:pt idx="3">
                  <c:v>28</c:v>
                </c:pt>
                <c:pt idx="4">
                  <c:v>61</c:v>
                </c:pt>
                <c:pt idx="5">
                  <c:v>16</c:v>
                </c:pt>
                <c:pt idx="6">
                  <c:v>8</c:v>
                </c:pt>
                <c:pt idx="7">
                  <c:v>6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6F-AC4F-9542-5A848E8AAF84}"/>
            </c:ext>
          </c:extLst>
        </c:ser>
        <c:ser>
          <c:idx val="2"/>
          <c:order val="2"/>
          <c:tx>
            <c:strRef>
              <c:f>Graficos!$AW$657</c:f>
              <c:strCache>
                <c:ptCount val="1"/>
                <c:pt idx="0">
                  <c:v>9-ago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Graficos!$AT$658:$AT$669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Graficos!$AW$658:$AW$669</c:f>
              <c:numCache>
                <c:formatCode>General</c:formatCode>
                <c:ptCount val="12"/>
                <c:pt idx="0">
                  <c:v>629</c:v>
                </c:pt>
                <c:pt idx="1">
                  <c:v>376</c:v>
                </c:pt>
                <c:pt idx="2">
                  <c:v>229</c:v>
                </c:pt>
                <c:pt idx="3">
                  <c:v>167</c:v>
                </c:pt>
                <c:pt idx="4">
                  <c:v>153</c:v>
                </c:pt>
                <c:pt idx="5">
                  <c:v>61</c:v>
                </c:pt>
                <c:pt idx="6">
                  <c:v>51</c:v>
                </c:pt>
                <c:pt idx="7">
                  <c:v>27</c:v>
                </c:pt>
                <c:pt idx="8">
                  <c:v>26</c:v>
                </c:pt>
                <c:pt idx="9">
                  <c:v>32</c:v>
                </c:pt>
                <c:pt idx="10">
                  <c:v>16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F-AC4F-9542-5A848E8AAF84}"/>
            </c:ext>
          </c:extLst>
        </c:ser>
        <c:ser>
          <c:idx val="3"/>
          <c:order val="3"/>
          <c:tx>
            <c:strRef>
              <c:f>Graficos!$AX$657</c:f>
              <c:strCache>
                <c:ptCount val="1"/>
                <c:pt idx="0">
                  <c:v>10-sept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Graficos!$AT$658:$AT$669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Graficos!$AX$658:$AX$669</c:f>
              <c:numCache>
                <c:formatCode>General</c:formatCode>
                <c:ptCount val="12"/>
                <c:pt idx="0">
                  <c:v>331</c:v>
                </c:pt>
                <c:pt idx="1">
                  <c:v>174</c:v>
                </c:pt>
                <c:pt idx="2">
                  <c:v>123</c:v>
                </c:pt>
                <c:pt idx="3">
                  <c:v>82</c:v>
                </c:pt>
                <c:pt idx="4">
                  <c:v>64</c:v>
                </c:pt>
                <c:pt idx="5">
                  <c:v>23</c:v>
                </c:pt>
                <c:pt idx="6">
                  <c:v>21</c:v>
                </c:pt>
                <c:pt idx="7">
                  <c:v>17</c:v>
                </c:pt>
                <c:pt idx="8">
                  <c:v>16</c:v>
                </c:pt>
                <c:pt idx="9">
                  <c:v>11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6F-AC4F-9542-5A848E8AAF84}"/>
            </c:ext>
          </c:extLst>
        </c:ser>
        <c:ser>
          <c:idx val="4"/>
          <c:order val="4"/>
          <c:tx>
            <c:strRef>
              <c:f>Graficos!$AY$657</c:f>
              <c:strCache>
                <c:ptCount val="1"/>
                <c:pt idx="0">
                  <c:v>≥ 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Graficos!$AT$658:$AT$669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Graficos!$AY$658:$AY$669</c:f>
              <c:numCache>
                <c:formatCode>General</c:formatCode>
                <c:ptCount val="12"/>
                <c:pt idx="0">
                  <c:v>230</c:v>
                </c:pt>
                <c:pt idx="1">
                  <c:v>121</c:v>
                </c:pt>
                <c:pt idx="2">
                  <c:v>67</c:v>
                </c:pt>
                <c:pt idx="3">
                  <c:v>49</c:v>
                </c:pt>
                <c:pt idx="4">
                  <c:v>34</c:v>
                </c:pt>
                <c:pt idx="5">
                  <c:v>15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6F-AC4F-9542-5A848E8AA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0867775"/>
        <c:axId val="400869567"/>
      </c:barChart>
      <c:catAx>
        <c:axId val="40086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869567"/>
        <c:crosses val="autoZero"/>
        <c:auto val="1"/>
        <c:lblAlgn val="ctr"/>
        <c:lblOffset val="100"/>
        <c:noMultiLvlLbl val="0"/>
      </c:catAx>
      <c:valAx>
        <c:axId val="40086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8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Graficos!$AU$672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Graficos!$AT$673:$AT$674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Graficos!$AU$673:$AU$674</c:f>
              <c:numCache>
                <c:formatCode>General</c:formatCode>
                <c:ptCount val="2"/>
                <c:pt idx="0">
                  <c:v>229</c:v>
                </c:pt>
                <c:pt idx="1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4-3F45-B2A0-9486EC94E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1030463"/>
        <c:axId val="401114431"/>
      </c:barChart>
      <c:catAx>
        <c:axId val="40103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114431"/>
        <c:crosses val="autoZero"/>
        <c:auto val="1"/>
        <c:lblAlgn val="ctr"/>
        <c:lblOffset val="100"/>
        <c:noMultiLvlLbl val="0"/>
      </c:catAx>
      <c:valAx>
        <c:axId val="40111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03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Graficos!$AU$677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Graficos!$AT$678:$AT$693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Graficos!$AU$678:$AU$693</c:f>
              <c:numCache>
                <c:formatCode>General</c:formatCode>
                <c:ptCount val="16"/>
                <c:pt idx="0">
                  <c:v>8.9700000000000006</c:v>
                </c:pt>
                <c:pt idx="1">
                  <c:v>8.82</c:v>
                </c:pt>
                <c:pt idx="2">
                  <c:v>8.75</c:v>
                </c:pt>
                <c:pt idx="3">
                  <c:v>8.6300000000000008</c:v>
                </c:pt>
                <c:pt idx="4">
                  <c:v>8.51</c:v>
                </c:pt>
                <c:pt idx="5">
                  <c:v>8.4600000000000009</c:v>
                </c:pt>
                <c:pt idx="6">
                  <c:v>8.39</c:v>
                </c:pt>
                <c:pt idx="7">
                  <c:v>8.2799999999999994</c:v>
                </c:pt>
                <c:pt idx="8">
                  <c:v>8.24</c:v>
                </c:pt>
                <c:pt idx="9">
                  <c:v>8.25</c:v>
                </c:pt>
                <c:pt idx="10">
                  <c:v>8.3000000000000007</c:v>
                </c:pt>
                <c:pt idx="11">
                  <c:v>8.34</c:v>
                </c:pt>
                <c:pt idx="12">
                  <c:v>8.1300000000000008</c:v>
                </c:pt>
                <c:pt idx="13">
                  <c:v>8.32</c:v>
                </c:pt>
                <c:pt idx="14">
                  <c:v>8.39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61-2F40-863F-072EA0B13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15871"/>
        <c:axId val="401217663"/>
      </c:lineChart>
      <c:catAx>
        <c:axId val="40121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217663"/>
        <c:crosses val="autoZero"/>
        <c:auto val="1"/>
        <c:lblAlgn val="ctr"/>
        <c:lblOffset val="100"/>
        <c:noMultiLvlLbl val="0"/>
      </c:catAx>
      <c:valAx>
        <c:axId val="401217663"/>
        <c:scaling>
          <c:orientation val="minMax"/>
          <c:max val="9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1215871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Graficos!$AU$696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Graficos!$AT$697:$AT$706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Graficos!$AU$697:$AU$706</c:f>
              <c:numCache>
                <c:formatCode>General</c:formatCode>
                <c:ptCount val="10"/>
                <c:pt idx="0">
                  <c:v>8.9600000000000009</c:v>
                </c:pt>
                <c:pt idx="1">
                  <c:v>8.7799999999999994</c:v>
                </c:pt>
                <c:pt idx="2">
                  <c:v>8.67</c:v>
                </c:pt>
                <c:pt idx="3">
                  <c:v>8.67</c:v>
                </c:pt>
                <c:pt idx="4">
                  <c:v>8.4499999999999993</c:v>
                </c:pt>
                <c:pt idx="5">
                  <c:v>8.43</c:v>
                </c:pt>
                <c:pt idx="6">
                  <c:v>8.3800000000000008</c:v>
                </c:pt>
                <c:pt idx="7">
                  <c:v>8.36</c:v>
                </c:pt>
                <c:pt idx="8">
                  <c:v>8.2799999999999994</c:v>
                </c:pt>
                <c:pt idx="9">
                  <c:v>8.3699999999999992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05-5141-A805-50C9D68D7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75391"/>
        <c:axId val="438059007"/>
      </c:lineChart>
      <c:catAx>
        <c:axId val="38687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8059007"/>
        <c:crosses val="autoZero"/>
        <c:auto val="1"/>
        <c:lblAlgn val="ctr"/>
        <c:lblOffset val="100"/>
        <c:noMultiLvlLbl val="0"/>
      </c:catAx>
      <c:valAx>
        <c:axId val="438059007"/>
        <c:scaling>
          <c:orientation val="minMax"/>
          <c:max val="9.1999999999999993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687539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Graficos!$AU$709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Graficos!$AT$710:$AT$731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Graficos!$AU$710:$AU$731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4</c:v>
                </c:pt>
                <c:pt idx="14">
                  <c:v>21</c:v>
                </c:pt>
                <c:pt idx="15">
                  <c:v>69</c:v>
                </c:pt>
                <c:pt idx="16">
                  <c:v>155</c:v>
                </c:pt>
                <c:pt idx="17">
                  <c:v>31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F-454F-9373-89B5EBDD9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968959"/>
        <c:axId val="379970751"/>
      </c:barChart>
      <c:catAx>
        <c:axId val="37996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970751"/>
        <c:crosses val="autoZero"/>
        <c:auto val="1"/>
        <c:lblAlgn val="ctr"/>
        <c:lblOffset val="100"/>
        <c:noMultiLvlLbl val="0"/>
      </c:catAx>
      <c:valAx>
        <c:axId val="3799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968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Graficos!$AU$734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Graficos!$AT$735:$AT$755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Graficos!$AU$735:$AU$755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5</c:v>
                </c:pt>
                <c:pt idx="14">
                  <c:v>13</c:v>
                </c:pt>
                <c:pt idx="15">
                  <c:v>64</c:v>
                </c:pt>
                <c:pt idx="16">
                  <c:v>164</c:v>
                </c:pt>
                <c:pt idx="17">
                  <c:v>38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46-9145-B639-5053C9A6B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992959"/>
        <c:axId val="380076927"/>
      </c:barChart>
      <c:catAx>
        <c:axId val="37999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076927"/>
        <c:crosses val="autoZero"/>
        <c:auto val="1"/>
        <c:lblAlgn val="ctr"/>
        <c:lblOffset val="100"/>
        <c:noMultiLvlLbl val="0"/>
      </c:catAx>
      <c:valAx>
        <c:axId val="38007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99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(300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Graficos!$AT$759:$AT$787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Graficos!$AU$759:$AU$787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32</c:v>
                </c:pt>
                <c:pt idx="4">
                  <c:v>65</c:v>
                </c:pt>
                <c:pt idx="5">
                  <c:v>36</c:v>
                </c:pt>
                <c:pt idx="6">
                  <c:v>34</c:v>
                </c:pt>
                <c:pt idx="7">
                  <c:v>26</c:v>
                </c:pt>
                <c:pt idx="8">
                  <c:v>29</c:v>
                </c:pt>
                <c:pt idx="9">
                  <c:v>18</c:v>
                </c:pt>
                <c:pt idx="10">
                  <c:v>17</c:v>
                </c:pt>
                <c:pt idx="11">
                  <c:v>13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CA-E346-9C01-AD70A0115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0068159"/>
        <c:axId val="380069951"/>
      </c:barChart>
      <c:catAx>
        <c:axId val="38006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069951"/>
        <c:crosses val="autoZero"/>
        <c:auto val="1"/>
        <c:lblAlgn val="ctr"/>
        <c:lblOffset val="100"/>
        <c:noMultiLvlLbl val="0"/>
      </c:catAx>
      <c:valAx>
        <c:axId val="38006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068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Graficos!$AU$790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Graficos!$AT$791:$AT$1090</c:f>
              <c:numCache>
                <c:formatCode>General</c:formatCode>
                <c:ptCount val="300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1973</c:v>
                </c:pt>
                <c:pt idx="39">
                  <c:v>2003</c:v>
                </c:pt>
                <c:pt idx="40">
                  <c:v>1977</c:v>
                </c:pt>
                <c:pt idx="41">
                  <c:v>1982</c:v>
                </c:pt>
                <c:pt idx="42">
                  <c:v>2003</c:v>
                </c:pt>
                <c:pt idx="43">
                  <c:v>2001</c:v>
                </c:pt>
                <c:pt idx="44">
                  <c:v>2002</c:v>
                </c:pt>
                <c:pt idx="45">
                  <c:v>1971</c:v>
                </c:pt>
                <c:pt idx="46">
                  <c:v>2002</c:v>
                </c:pt>
                <c:pt idx="47">
                  <c:v>1979</c:v>
                </c:pt>
                <c:pt idx="48">
                  <c:v>1975</c:v>
                </c:pt>
                <c:pt idx="49">
                  <c:v>2011</c:v>
                </c:pt>
                <c:pt idx="50">
                  <c:v>2025</c:v>
                </c:pt>
                <c:pt idx="51">
                  <c:v>2003</c:v>
                </c:pt>
                <c:pt idx="52">
                  <c:v>2002</c:v>
                </c:pt>
                <c:pt idx="53">
                  <c:v>2000</c:v>
                </c:pt>
                <c:pt idx="54">
                  <c:v>1999</c:v>
                </c:pt>
                <c:pt idx="55">
                  <c:v>1977</c:v>
                </c:pt>
                <c:pt idx="56">
                  <c:v>2002</c:v>
                </c:pt>
                <c:pt idx="57">
                  <c:v>2002</c:v>
                </c:pt>
                <c:pt idx="58">
                  <c:v>2006</c:v>
                </c:pt>
                <c:pt idx="59">
                  <c:v>2000</c:v>
                </c:pt>
                <c:pt idx="60">
                  <c:v>1988</c:v>
                </c:pt>
                <c:pt idx="61">
                  <c:v>1991</c:v>
                </c:pt>
                <c:pt idx="62">
                  <c:v>2007</c:v>
                </c:pt>
                <c:pt idx="63">
                  <c:v>1997</c:v>
                </c:pt>
                <c:pt idx="64">
                  <c:v>2009</c:v>
                </c:pt>
                <c:pt idx="65">
                  <c:v>2005</c:v>
                </c:pt>
                <c:pt idx="66">
                  <c:v>2000</c:v>
                </c:pt>
                <c:pt idx="67">
                  <c:v>1994</c:v>
                </c:pt>
                <c:pt idx="68">
                  <c:v>1991</c:v>
                </c:pt>
                <c:pt idx="69">
                  <c:v>2020</c:v>
                </c:pt>
                <c:pt idx="70">
                  <c:v>1986</c:v>
                </c:pt>
                <c:pt idx="71">
                  <c:v>1985</c:v>
                </c:pt>
                <c:pt idx="72">
                  <c:v>1978</c:v>
                </c:pt>
                <c:pt idx="73">
                  <c:v>1967</c:v>
                </c:pt>
                <c:pt idx="74">
                  <c:v>1999</c:v>
                </c:pt>
                <c:pt idx="75">
                  <c:v>1969</c:v>
                </c:pt>
                <c:pt idx="76">
                  <c:v>2008</c:v>
                </c:pt>
                <c:pt idx="77">
                  <c:v>2005</c:v>
                </c:pt>
                <c:pt idx="78">
                  <c:v>1997</c:v>
                </c:pt>
                <c:pt idx="79">
                  <c:v>2002</c:v>
                </c:pt>
                <c:pt idx="80">
                  <c:v>2004</c:v>
                </c:pt>
                <c:pt idx="81">
                  <c:v>1971</c:v>
                </c:pt>
                <c:pt idx="82">
                  <c:v>1991</c:v>
                </c:pt>
                <c:pt idx="83">
                  <c:v>1988</c:v>
                </c:pt>
                <c:pt idx="84">
                  <c:v>1969</c:v>
                </c:pt>
                <c:pt idx="85">
                  <c:v>1989</c:v>
                </c:pt>
                <c:pt idx="86">
                  <c:v>1973</c:v>
                </c:pt>
                <c:pt idx="87">
                  <c:v>2020</c:v>
                </c:pt>
                <c:pt idx="88">
                  <c:v>1991</c:v>
                </c:pt>
                <c:pt idx="89">
                  <c:v>1981</c:v>
                </c:pt>
                <c:pt idx="90">
                  <c:v>2002</c:v>
                </c:pt>
                <c:pt idx="91">
                  <c:v>2000</c:v>
                </c:pt>
                <c:pt idx="92">
                  <c:v>1982</c:v>
                </c:pt>
                <c:pt idx="93">
                  <c:v>1983</c:v>
                </c:pt>
                <c:pt idx="94">
                  <c:v>2013</c:v>
                </c:pt>
                <c:pt idx="95">
                  <c:v>2010</c:v>
                </c:pt>
                <c:pt idx="96">
                  <c:v>1989</c:v>
                </c:pt>
                <c:pt idx="97">
                  <c:v>2014</c:v>
                </c:pt>
                <c:pt idx="98">
                  <c:v>2000</c:v>
                </c:pt>
                <c:pt idx="99">
                  <c:v>1969</c:v>
                </c:pt>
                <c:pt idx="100">
                  <c:v>2023</c:v>
                </c:pt>
                <c:pt idx="101">
                  <c:v>2000</c:v>
                </c:pt>
                <c:pt idx="102">
                  <c:v>2012</c:v>
                </c:pt>
                <c:pt idx="103">
                  <c:v>1994</c:v>
                </c:pt>
                <c:pt idx="104">
                  <c:v>2005</c:v>
                </c:pt>
                <c:pt idx="105">
                  <c:v>1992</c:v>
                </c:pt>
                <c:pt idx="106">
                  <c:v>2016</c:v>
                </c:pt>
                <c:pt idx="107">
                  <c:v>2010</c:v>
                </c:pt>
                <c:pt idx="108">
                  <c:v>1994</c:v>
                </c:pt>
                <c:pt idx="109">
                  <c:v>1997</c:v>
                </c:pt>
                <c:pt idx="110">
                  <c:v>2020</c:v>
                </c:pt>
                <c:pt idx="111">
                  <c:v>2003</c:v>
                </c:pt>
                <c:pt idx="112">
                  <c:v>1997</c:v>
                </c:pt>
                <c:pt idx="113">
                  <c:v>2002</c:v>
                </c:pt>
                <c:pt idx="114">
                  <c:v>2020</c:v>
                </c:pt>
                <c:pt idx="115">
                  <c:v>2003</c:v>
                </c:pt>
                <c:pt idx="116">
                  <c:v>2003</c:v>
                </c:pt>
                <c:pt idx="117">
                  <c:v>1989</c:v>
                </c:pt>
                <c:pt idx="118">
                  <c:v>2015</c:v>
                </c:pt>
                <c:pt idx="119">
                  <c:v>2001</c:v>
                </c:pt>
                <c:pt idx="120">
                  <c:v>2005</c:v>
                </c:pt>
                <c:pt idx="121">
                  <c:v>2010</c:v>
                </c:pt>
                <c:pt idx="122">
                  <c:v>1984</c:v>
                </c:pt>
                <c:pt idx="123">
                  <c:v>1998</c:v>
                </c:pt>
                <c:pt idx="124">
                  <c:v>1982</c:v>
                </c:pt>
                <c:pt idx="125">
                  <c:v>1996</c:v>
                </c:pt>
                <c:pt idx="126">
                  <c:v>2015</c:v>
                </c:pt>
                <c:pt idx="127">
                  <c:v>2006</c:v>
                </c:pt>
                <c:pt idx="128">
                  <c:v>2007</c:v>
                </c:pt>
                <c:pt idx="129">
                  <c:v>1971</c:v>
                </c:pt>
                <c:pt idx="130">
                  <c:v>1980</c:v>
                </c:pt>
                <c:pt idx="131">
                  <c:v>1998</c:v>
                </c:pt>
                <c:pt idx="132">
                  <c:v>2012</c:v>
                </c:pt>
                <c:pt idx="133">
                  <c:v>2008</c:v>
                </c:pt>
                <c:pt idx="134">
                  <c:v>2005</c:v>
                </c:pt>
                <c:pt idx="135">
                  <c:v>1995</c:v>
                </c:pt>
                <c:pt idx="136">
                  <c:v>1991</c:v>
                </c:pt>
                <c:pt idx="137">
                  <c:v>2016</c:v>
                </c:pt>
                <c:pt idx="138">
                  <c:v>1981</c:v>
                </c:pt>
                <c:pt idx="139">
                  <c:v>1998</c:v>
                </c:pt>
                <c:pt idx="140">
                  <c:v>1994</c:v>
                </c:pt>
                <c:pt idx="141">
                  <c:v>1972</c:v>
                </c:pt>
                <c:pt idx="142">
                  <c:v>1977</c:v>
                </c:pt>
                <c:pt idx="143">
                  <c:v>2002</c:v>
                </c:pt>
                <c:pt idx="144">
                  <c:v>2021</c:v>
                </c:pt>
                <c:pt idx="145">
                  <c:v>2000</c:v>
                </c:pt>
                <c:pt idx="146">
                  <c:v>2026</c:v>
                </c:pt>
                <c:pt idx="147">
                  <c:v>1996</c:v>
                </c:pt>
                <c:pt idx="148">
                  <c:v>1976</c:v>
                </c:pt>
                <c:pt idx="149">
                  <c:v>2013</c:v>
                </c:pt>
                <c:pt idx="150">
                  <c:v>1979</c:v>
                </c:pt>
                <c:pt idx="151">
                  <c:v>1995</c:v>
                </c:pt>
                <c:pt idx="152">
                  <c:v>2024</c:v>
                </c:pt>
                <c:pt idx="153">
                  <c:v>1995</c:v>
                </c:pt>
                <c:pt idx="154">
                  <c:v>2015</c:v>
                </c:pt>
                <c:pt idx="155">
                  <c:v>2004</c:v>
                </c:pt>
                <c:pt idx="156">
                  <c:v>2013</c:v>
                </c:pt>
                <c:pt idx="157">
                  <c:v>1983</c:v>
                </c:pt>
                <c:pt idx="158">
                  <c:v>1997</c:v>
                </c:pt>
                <c:pt idx="159">
                  <c:v>1979</c:v>
                </c:pt>
                <c:pt idx="160">
                  <c:v>1981</c:v>
                </c:pt>
                <c:pt idx="161">
                  <c:v>2002</c:v>
                </c:pt>
                <c:pt idx="162">
                  <c:v>2009</c:v>
                </c:pt>
                <c:pt idx="163">
                  <c:v>1984</c:v>
                </c:pt>
                <c:pt idx="164">
                  <c:v>1992</c:v>
                </c:pt>
                <c:pt idx="165">
                  <c:v>2024</c:v>
                </c:pt>
                <c:pt idx="166">
                  <c:v>2015</c:v>
                </c:pt>
                <c:pt idx="167">
                  <c:v>1981</c:v>
                </c:pt>
                <c:pt idx="168">
                  <c:v>2005</c:v>
                </c:pt>
                <c:pt idx="169">
                  <c:v>2003</c:v>
                </c:pt>
                <c:pt idx="170">
                  <c:v>1999</c:v>
                </c:pt>
                <c:pt idx="171">
                  <c:v>2026</c:v>
                </c:pt>
                <c:pt idx="172">
                  <c:v>2005</c:v>
                </c:pt>
                <c:pt idx="173">
                  <c:v>1997</c:v>
                </c:pt>
                <c:pt idx="174">
                  <c:v>1990</c:v>
                </c:pt>
                <c:pt idx="175">
                  <c:v>2008</c:v>
                </c:pt>
                <c:pt idx="176">
                  <c:v>1990</c:v>
                </c:pt>
                <c:pt idx="177">
                  <c:v>2014</c:v>
                </c:pt>
                <c:pt idx="178">
                  <c:v>1970</c:v>
                </c:pt>
                <c:pt idx="179">
                  <c:v>1997</c:v>
                </c:pt>
                <c:pt idx="180">
                  <c:v>2007</c:v>
                </c:pt>
                <c:pt idx="181">
                  <c:v>1976</c:v>
                </c:pt>
                <c:pt idx="182">
                  <c:v>1998</c:v>
                </c:pt>
                <c:pt idx="183">
                  <c:v>2017</c:v>
                </c:pt>
                <c:pt idx="184">
                  <c:v>1992</c:v>
                </c:pt>
                <c:pt idx="185">
                  <c:v>2018</c:v>
                </c:pt>
                <c:pt idx="186">
                  <c:v>1995</c:v>
                </c:pt>
                <c:pt idx="187">
                  <c:v>2024</c:v>
                </c:pt>
                <c:pt idx="188">
                  <c:v>2024</c:v>
                </c:pt>
                <c:pt idx="189">
                  <c:v>1996</c:v>
                </c:pt>
                <c:pt idx="190">
                  <c:v>2012</c:v>
                </c:pt>
                <c:pt idx="191">
                  <c:v>1997</c:v>
                </c:pt>
                <c:pt idx="192">
                  <c:v>1994</c:v>
                </c:pt>
                <c:pt idx="193">
                  <c:v>2026</c:v>
                </c:pt>
                <c:pt idx="194">
                  <c:v>1993</c:v>
                </c:pt>
                <c:pt idx="195">
                  <c:v>1992</c:v>
                </c:pt>
                <c:pt idx="196">
                  <c:v>1976</c:v>
                </c:pt>
                <c:pt idx="197">
                  <c:v>2024</c:v>
                </c:pt>
                <c:pt idx="198">
                  <c:v>1999</c:v>
                </c:pt>
                <c:pt idx="199">
                  <c:v>2003</c:v>
                </c:pt>
                <c:pt idx="200">
                  <c:v>2003</c:v>
                </c:pt>
                <c:pt idx="201">
                  <c:v>1971</c:v>
                </c:pt>
                <c:pt idx="202">
                  <c:v>2007</c:v>
                </c:pt>
                <c:pt idx="203">
                  <c:v>1999</c:v>
                </c:pt>
                <c:pt idx="204">
                  <c:v>1970</c:v>
                </c:pt>
                <c:pt idx="205">
                  <c:v>2008</c:v>
                </c:pt>
                <c:pt idx="206">
                  <c:v>2024</c:v>
                </c:pt>
                <c:pt idx="207">
                  <c:v>2024</c:v>
                </c:pt>
                <c:pt idx="208">
                  <c:v>2026</c:v>
                </c:pt>
                <c:pt idx="209">
                  <c:v>1998</c:v>
                </c:pt>
                <c:pt idx="210">
                  <c:v>2016</c:v>
                </c:pt>
                <c:pt idx="211">
                  <c:v>2021</c:v>
                </c:pt>
                <c:pt idx="212">
                  <c:v>2009</c:v>
                </c:pt>
                <c:pt idx="213">
                  <c:v>1991</c:v>
                </c:pt>
                <c:pt idx="214">
                  <c:v>1999</c:v>
                </c:pt>
                <c:pt idx="215">
                  <c:v>1998</c:v>
                </c:pt>
                <c:pt idx="216">
                  <c:v>2018</c:v>
                </c:pt>
                <c:pt idx="217">
                  <c:v>1966</c:v>
                </c:pt>
                <c:pt idx="218">
                  <c:v>2022</c:v>
                </c:pt>
                <c:pt idx="219">
                  <c:v>2024</c:v>
                </c:pt>
                <c:pt idx="220">
                  <c:v>2026</c:v>
                </c:pt>
                <c:pt idx="221">
                  <c:v>2026</c:v>
                </c:pt>
                <c:pt idx="222">
                  <c:v>1990</c:v>
                </c:pt>
                <c:pt idx="223">
                  <c:v>1999</c:v>
                </c:pt>
                <c:pt idx="224">
                  <c:v>1992</c:v>
                </c:pt>
                <c:pt idx="225">
                  <c:v>2000</c:v>
                </c:pt>
                <c:pt idx="226">
                  <c:v>2016</c:v>
                </c:pt>
                <c:pt idx="227">
                  <c:v>1986</c:v>
                </c:pt>
                <c:pt idx="228">
                  <c:v>2005</c:v>
                </c:pt>
                <c:pt idx="229">
                  <c:v>1994</c:v>
                </c:pt>
                <c:pt idx="230">
                  <c:v>2001</c:v>
                </c:pt>
                <c:pt idx="231">
                  <c:v>1996</c:v>
                </c:pt>
                <c:pt idx="232">
                  <c:v>1989</c:v>
                </c:pt>
                <c:pt idx="233">
                  <c:v>1995</c:v>
                </c:pt>
                <c:pt idx="234">
                  <c:v>2024</c:v>
                </c:pt>
                <c:pt idx="235">
                  <c:v>1993</c:v>
                </c:pt>
                <c:pt idx="236">
                  <c:v>1998</c:v>
                </c:pt>
                <c:pt idx="237">
                  <c:v>2025</c:v>
                </c:pt>
                <c:pt idx="238">
                  <c:v>1992</c:v>
                </c:pt>
                <c:pt idx="239">
                  <c:v>1996</c:v>
                </c:pt>
                <c:pt idx="240">
                  <c:v>2003</c:v>
                </c:pt>
                <c:pt idx="241">
                  <c:v>2000</c:v>
                </c:pt>
                <c:pt idx="242">
                  <c:v>2001</c:v>
                </c:pt>
                <c:pt idx="243">
                  <c:v>1993</c:v>
                </c:pt>
                <c:pt idx="244">
                  <c:v>1972</c:v>
                </c:pt>
                <c:pt idx="245">
                  <c:v>1997</c:v>
                </c:pt>
                <c:pt idx="246">
                  <c:v>2002</c:v>
                </c:pt>
                <c:pt idx="247">
                  <c:v>1979</c:v>
                </c:pt>
                <c:pt idx="248">
                  <c:v>1994</c:v>
                </c:pt>
                <c:pt idx="249">
                  <c:v>2024</c:v>
                </c:pt>
                <c:pt idx="250">
                  <c:v>2026</c:v>
                </c:pt>
                <c:pt idx="251">
                  <c:v>1993</c:v>
                </c:pt>
                <c:pt idx="252">
                  <c:v>2016</c:v>
                </c:pt>
                <c:pt idx="253">
                  <c:v>2018</c:v>
                </c:pt>
                <c:pt idx="254">
                  <c:v>2016</c:v>
                </c:pt>
                <c:pt idx="255">
                  <c:v>2014</c:v>
                </c:pt>
                <c:pt idx="256">
                  <c:v>2026</c:v>
                </c:pt>
                <c:pt idx="257">
                  <c:v>1995</c:v>
                </c:pt>
                <c:pt idx="258">
                  <c:v>2001</c:v>
                </c:pt>
                <c:pt idx="259">
                  <c:v>2010</c:v>
                </c:pt>
                <c:pt idx="260">
                  <c:v>1992</c:v>
                </c:pt>
                <c:pt idx="261">
                  <c:v>2023</c:v>
                </c:pt>
                <c:pt idx="262">
                  <c:v>2001</c:v>
                </c:pt>
                <c:pt idx="263">
                  <c:v>1974</c:v>
                </c:pt>
                <c:pt idx="264">
                  <c:v>2016</c:v>
                </c:pt>
                <c:pt idx="265">
                  <c:v>2018</c:v>
                </c:pt>
                <c:pt idx="266">
                  <c:v>2026</c:v>
                </c:pt>
                <c:pt idx="267">
                  <c:v>1984</c:v>
                </c:pt>
                <c:pt idx="268">
                  <c:v>2005</c:v>
                </c:pt>
                <c:pt idx="269">
                  <c:v>1996</c:v>
                </c:pt>
                <c:pt idx="270">
                  <c:v>1997</c:v>
                </c:pt>
                <c:pt idx="271">
                  <c:v>2026</c:v>
                </c:pt>
                <c:pt idx="272">
                  <c:v>2025</c:v>
                </c:pt>
                <c:pt idx="273">
                  <c:v>1995</c:v>
                </c:pt>
                <c:pt idx="274">
                  <c:v>2016</c:v>
                </c:pt>
                <c:pt idx="275">
                  <c:v>2004</c:v>
                </c:pt>
                <c:pt idx="276">
                  <c:v>2019</c:v>
                </c:pt>
                <c:pt idx="277">
                  <c:v>2026</c:v>
                </c:pt>
                <c:pt idx="278">
                  <c:v>1992</c:v>
                </c:pt>
                <c:pt idx="279">
                  <c:v>2026</c:v>
                </c:pt>
                <c:pt idx="280">
                  <c:v>2005</c:v>
                </c:pt>
                <c:pt idx="281">
                  <c:v>2011</c:v>
                </c:pt>
                <c:pt idx="282">
                  <c:v>2026</c:v>
                </c:pt>
                <c:pt idx="283">
                  <c:v>2026</c:v>
                </c:pt>
                <c:pt idx="284">
                  <c:v>2021</c:v>
                </c:pt>
                <c:pt idx="285">
                  <c:v>1999</c:v>
                </c:pt>
                <c:pt idx="286">
                  <c:v>2011</c:v>
                </c:pt>
                <c:pt idx="287">
                  <c:v>2026</c:v>
                </c:pt>
                <c:pt idx="288">
                  <c:v>2020</c:v>
                </c:pt>
                <c:pt idx="289">
                  <c:v>1993</c:v>
                </c:pt>
                <c:pt idx="290">
                  <c:v>2026</c:v>
                </c:pt>
                <c:pt idx="291">
                  <c:v>2021</c:v>
                </c:pt>
                <c:pt idx="292">
                  <c:v>2013</c:v>
                </c:pt>
                <c:pt idx="293">
                  <c:v>2026</c:v>
                </c:pt>
                <c:pt idx="294">
                  <c:v>2007</c:v>
                </c:pt>
                <c:pt idx="295">
                  <c:v>2026</c:v>
                </c:pt>
                <c:pt idx="296">
                  <c:v>2025</c:v>
                </c:pt>
                <c:pt idx="297">
                  <c:v>2003</c:v>
                </c:pt>
                <c:pt idx="298">
                  <c:v>2025</c:v>
                </c:pt>
                <c:pt idx="299">
                  <c:v>2021</c:v>
                </c:pt>
              </c:numCache>
            </c:numRef>
          </c:xVal>
          <c:yVal>
            <c:numRef>
              <c:f>Graficos!$AU$791:$AU$1090</c:f>
              <c:numCache>
                <c:formatCode>General</c:formatCode>
                <c:ptCount val="30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9.0299999999999994</c:v>
                </c:pt>
                <c:pt idx="39">
                  <c:v>9.0299999999999994</c:v>
                </c:pt>
                <c:pt idx="40">
                  <c:v>9.02</c:v>
                </c:pt>
                <c:pt idx="41">
                  <c:v>9.02</c:v>
                </c:pt>
                <c:pt idx="42">
                  <c:v>9</c:v>
                </c:pt>
                <c:pt idx="43">
                  <c:v>9</c:v>
                </c:pt>
                <c:pt idx="44">
                  <c:v>8.98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8.9700000000000006</c:v>
                </c:pt>
                <c:pt idx="49">
                  <c:v>8.9700000000000006</c:v>
                </c:pt>
                <c:pt idx="50">
                  <c:v>8.9600000000000009</c:v>
                </c:pt>
                <c:pt idx="51">
                  <c:v>8.9600000000000009</c:v>
                </c:pt>
                <c:pt idx="52">
                  <c:v>8.9600000000000009</c:v>
                </c:pt>
                <c:pt idx="53">
                  <c:v>8.9499999999999993</c:v>
                </c:pt>
                <c:pt idx="54">
                  <c:v>8.9499999999999993</c:v>
                </c:pt>
                <c:pt idx="55">
                  <c:v>8.94</c:v>
                </c:pt>
                <c:pt idx="56">
                  <c:v>8.93</c:v>
                </c:pt>
                <c:pt idx="57">
                  <c:v>8.93</c:v>
                </c:pt>
                <c:pt idx="58">
                  <c:v>8.93</c:v>
                </c:pt>
                <c:pt idx="59">
                  <c:v>8.92</c:v>
                </c:pt>
                <c:pt idx="60">
                  <c:v>8.92</c:v>
                </c:pt>
                <c:pt idx="61">
                  <c:v>8.92</c:v>
                </c:pt>
                <c:pt idx="62">
                  <c:v>8.92</c:v>
                </c:pt>
                <c:pt idx="63">
                  <c:v>8.91</c:v>
                </c:pt>
                <c:pt idx="64">
                  <c:v>8.89</c:v>
                </c:pt>
                <c:pt idx="65">
                  <c:v>8.89</c:v>
                </c:pt>
                <c:pt idx="66">
                  <c:v>8.8800000000000008</c:v>
                </c:pt>
                <c:pt idx="67">
                  <c:v>8.8800000000000008</c:v>
                </c:pt>
                <c:pt idx="68">
                  <c:v>8.8800000000000008</c:v>
                </c:pt>
                <c:pt idx="69">
                  <c:v>8.8699999999999992</c:v>
                </c:pt>
                <c:pt idx="70">
                  <c:v>8.8699999999999992</c:v>
                </c:pt>
                <c:pt idx="71">
                  <c:v>8.8699999999999992</c:v>
                </c:pt>
                <c:pt idx="72">
                  <c:v>8.86</c:v>
                </c:pt>
                <c:pt idx="73">
                  <c:v>8.86</c:v>
                </c:pt>
                <c:pt idx="74">
                  <c:v>8.85</c:v>
                </c:pt>
                <c:pt idx="75">
                  <c:v>8.85</c:v>
                </c:pt>
                <c:pt idx="76">
                  <c:v>8.84</c:v>
                </c:pt>
                <c:pt idx="77">
                  <c:v>8.84</c:v>
                </c:pt>
                <c:pt idx="78">
                  <c:v>8.84</c:v>
                </c:pt>
                <c:pt idx="79">
                  <c:v>8.84</c:v>
                </c:pt>
                <c:pt idx="80">
                  <c:v>8.84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8.83</c:v>
                </c:pt>
                <c:pt idx="87">
                  <c:v>8.83</c:v>
                </c:pt>
                <c:pt idx="88">
                  <c:v>8.83</c:v>
                </c:pt>
                <c:pt idx="89">
                  <c:v>8.82</c:v>
                </c:pt>
                <c:pt idx="90">
                  <c:v>8.81</c:v>
                </c:pt>
                <c:pt idx="91">
                  <c:v>8.81</c:v>
                </c:pt>
                <c:pt idx="92">
                  <c:v>8.81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8.7899999999999991</c:v>
                </c:pt>
                <c:pt idx="96">
                  <c:v>8.7899999999999991</c:v>
                </c:pt>
                <c:pt idx="97">
                  <c:v>8.7799999999999994</c:v>
                </c:pt>
                <c:pt idx="98">
                  <c:v>8.7799999999999994</c:v>
                </c:pt>
                <c:pt idx="99">
                  <c:v>8.7799999999999994</c:v>
                </c:pt>
                <c:pt idx="100">
                  <c:v>8.77</c:v>
                </c:pt>
                <c:pt idx="101">
                  <c:v>8.77</c:v>
                </c:pt>
                <c:pt idx="102">
                  <c:v>8.77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8.75</c:v>
                </c:pt>
                <c:pt idx="107">
                  <c:v>8.75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8.73</c:v>
                </c:pt>
                <c:pt idx="112">
                  <c:v>8.73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8.7200000000000006</c:v>
                </c:pt>
                <c:pt idx="116">
                  <c:v>8.7200000000000006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8.7100000000000009</c:v>
                </c:pt>
                <c:pt idx="122">
                  <c:v>8.7100000000000009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8.6999999999999993</c:v>
                </c:pt>
                <c:pt idx="127">
                  <c:v>8.6999999999999993</c:v>
                </c:pt>
                <c:pt idx="128">
                  <c:v>8.69</c:v>
                </c:pt>
                <c:pt idx="129">
                  <c:v>8.69</c:v>
                </c:pt>
                <c:pt idx="130">
                  <c:v>8.69</c:v>
                </c:pt>
                <c:pt idx="131">
                  <c:v>8.69</c:v>
                </c:pt>
                <c:pt idx="132">
                  <c:v>8.68</c:v>
                </c:pt>
                <c:pt idx="133">
                  <c:v>8.68</c:v>
                </c:pt>
                <c:pt idx="134">
                  <c:v>8.68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8.66</c:v>
                </c:pt>
                <c:pt idx="140">
                  <c:v>8.66</c:v>
                </c:pt>
                <c:pt idx="141">
                  <c:v>8.66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8.65</c:v>
                </c:pt>
                <c:pt idx="146">
                  <c:v>8.65</c:v>
                </c:pt>
                <c:pt idx="147">
                  <c:v>8.64</c:v>
                </c:pt>
                <c:pt idx="148">
                  <c:v>8.64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8.6300000000000008</c:v>
                </c:pt>
                <c:pt idx="152">
                  <c:v>8.6300000000000008</c:v>
                </c:pt>
                <c:pt idx="153">
                  <c:v>8.6300000000000008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</c:v>
                </c:pt>
                <c:pt idx="157">
                  <c:v>8.61</c:v>
                </c:pt>
                <c:pt idx="158">
                  <c:v>8.61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8.59</c:v>
                </c:pt>
                <c:pt idx="163">
                  <c:v>8.59</c:v>
                </c:pt>
                <c:pt idx="164">
                  <c:v>8.58</c:v>
                </c:pt>
                <c:pt idx="165">
                  <c:v>8.57</c:v>
                </c:pt>
                <c:pt idx="166">
                  <c:v>8.57</c:v>
                </c:pt>
                <c:pt idx="167">
                  <c:v>8.57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8.56</c:v>
                </c:pt>
                <c:pt idx="173">
                  <c:v>8.56</c:v>
                </c:pt>
                <c:pt idx="174">
                  <c:v>8.56</c:v>
                </c:pt>
                <c:pt idx="175">
                  <c:v>8.5500000000000007</c:v>
                </c:pt>
                <c:pt idx="176">
                  <c:v>8.5500000000000007</c:v>
                </c:pt>
                <c:pt idx="177">
                  <c:v>8.5500000000000007</c:v>
                </c:pt>
                <c:pt idx="178">
                  <c:v>8.5399999999999991</c:v>
                </c:pt>
                <c:pt idx="179">
                  <c:v>8.5399999999999991</c:v>
                </c:pt>
                <c:pt idx="180">
                  <c:v>8.5399999999999991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8.5299999999999994</c:v>
                </c:pt>
                <c:pt idx="186">
                  <c:v>8.5299999999999994</c:v>
                </c:pt>
                <c:pt idx="187">
                  <c:v>8.5299999999999994</c:v>
                </c:pt>
                <c:pt idx="188">
                  <c:v>8.52</c:v>
                </c:pt>
                <c:pt idx="189">
                  <c:v>8.52</c:v>
                </c:pt>
                <c:pt idx="190">
                  <c:v>8.52</c:v>
                </c:pt>
                <c:pt idx="191">
                  <c:v>8.51</c:v>
                </c:pt>
                <c:pt idx="192">
                  <c:v>8.51</c:v>
                </c:pt>
                <c:pt idx="193">
                  <c:v>8.51</c:v>
                </c:pt>
                <c:pt idx="194">
                  <c:v>8.5</c:v>
                </c:pt>
                <c:pt idx="195">
                  <c:v>8.5</c:v>
                </c:pt>
                <c:pt idx="196">
                  <c:v>8.5</c:v>
                </c:pt>
                <c:pt idx="197">
                  <c:v>8.5</c:v>
                </c:pt>
                <c:pt idx="198">
                  <c:v>8.5</c:v>
                </c:pt>
                <c:pt idx="199">
                  <c:v>8.49</c:v>
                </c:pt>
                <c:pt idx="200">
                  <c:v>8.48</c:v>
                </c:pt>
                <c:pt idx="201">
                  <c:v>8.48</c:v>
                </c:pt>
                <c:pt idx="202">
                  <c:v>8.48</c:v>
                </c:pt>
                <c:pt idx="203">
                  <c:v>8.4700000000000006</c:v>
                </c:pt>
                <c:pt idx="204">
                  <c:v>8.4700000000000006</c:v>
                </c:pt>
                <c:pt idx="205">
                  <c:v>8.4700000000000006</c:v>
                </c:pt>
                <c:pt idx="206">
                  <c:v>8.4600000000000009</c:v>
                </c:pt>
                <c:pt idx="207">
                  <c:v>8.4499999999999993</c:v>
                </c:pt>
                <c:pt idx="208">
                  <c:v>8.4499999999999993</c:v>
                </c:pt>
                <c:pt idx="209">
                  <c:v>8.4499999999999993</c:v>
                </c:pt>
                <c:pt idx="210">
                  <c:v>8.43</c:v>
                </c:pt>
                <c:pt idx="211">
                  <c:v>8.43</c:v>
                </c:pt>
                <c:pt idx="212">
                  <c:v>8.43</c:v>
                </c:pt>
                <c:pt idx="213">
                  <c:v>8.41</c:v>
                </c:pt>
                <c:pt idx="214">
                  <c:v>8.41</c:v>
                </c:pt>
                <c:pt idx="215">
                  <c:v>8.4</c:v>
                </c:pt>
                <c:pt idx="216">
                  <c:v>8.39</c:v>
                </c:pt>
                <c:pt idx="217">
                  <c:v>8.39</c:v>
                </c:pt>
                <c:pt idx="218">
                  <c:v>8.39</c:v>
                </c:pt>
                <c:pt idx="219">
                  <c:v>8.3800000000000008</c:v>
                </c:pt>
                <c:pt idx="220">
                  <c:v>8.3800000000000008</c:v>
                </c:pt>
                <c:pt idx="221">
                  <c:v>8.3699999999999992</c:v>
                </c:pt>
                <c:pt idx="222">
                  <c:v>8.3699999999999992</c:v>
                </c:pt>
                <c:pt idx="223">
                  <c:v>8.36</c:v>
                </c:pt>
                <c:pt idx="224">
                  <c:v>8.35</c:v>
                </c:pt>
                <c:pt idx="225">
                  <c:v>8.34</c:v>
                </c:pt>
                <c:pt idx="226">
                  <c:v>8.34</c:v>
                </c:pt>
                <c:pt idx="227">
                  <c:v>8.34</c:v>
                </c:pt>
                <c:pt idx="228">
                  <c:v>8.34</c:v>
                </c:pt>
                <c:pt idx="229">
                  <c:v>8.33</c:v>
                </c:pt>
                <c:pt idx="230">
                  <c:v>8.32</c:v>
                </c:pt>
                <c:pt idx="231">
                  <c:v>8.31</c:v>
                </c:pt>
                <c:pt idx="232">
                  <c:v>8.3000000000000007</c:v>
                </c:pt>
                <c:pt idx="233">
                  <c:v>8.3000000000000007</c:v>
                </c:pt>
                <c:pt idx="234">
                  <c:v>8.2799999999999994</c:v>
                </c:pt>
                <c:pt idx="235">
                  <c:v>8.27</c:v>
                </c:pt>
                <c:pt idx="236">
                  <c:v>8.27</c:v>
                </c:pt>
                <c:pt idx="237">
                  <c:v>8.27</c:v>
                </c:pt>
                <c:pt idx="238">
                  <c:v>8.25</c:v>
                </c:pt>
                <c:pt idx="239">
                  <c:v>8.25</c:v>
                </c:pt>
                <c:pt idx="240">
                  <c:v>8.24</c:v>
                </c:pt>
                <c:pt idx="241">
                  <c:v>8.24</c:v>
                </c:pt>
                <c:pt idx="242">
                  <c:v>8.23</c:v>
                </c:pt>
                <c:pt idx="243">
                  <c:v>8.2200000000000006</c:v>
                </c:pt>
                <c:pt idx="244">
                  <c:v>8.2200000000000006</c:v>
                </c:pt>
                <c:pt idx="245">
                  <c:v>8.2200000000000006</c:v>
                </c:pt>
                <c:pt idx="246">
                  <c:v>8.2100000000000009</c:v>
                </c:pt>
                <c:pt idx="247">
                  <c:v>8.1999999999999993</c:v>
                </c:pt>
                <c:pt idx="248">
                  <c:v>8.19</c:v>
                </c:pt>
                <c:pt idx="249">
                  <c:v>8.18</c:v>
                </c:pt>
                <c:pt idx="250">
                  <c:v>8.18</c:v>
                </c:pt>
                <c:pt idx="251">
                  <c:v>8.17</c:v>
                </c:pt>
                <c:pt idx="252">
                  <c:v>8.16</c:v>
                </c:pt>
                <c:pt idx="253">
                  <c:v>8.16</c:v>
                </c:pt>
                <c:pt idx="254">
                  <c:v>8.16</c:v>
                </c:pt>
                <c:pt idx="255">
                  <c:v>8.1300000000000008</c:v>
                </c:pt>
                <c:pt idx="256">
                  <c:v>8.1300000000000008</c:v>
                </c:pt>
                <c:pt idx="257">
                  <c:v>8.1300000000000008</c:v>
                </c:pt>
                <c:pt idx="258">
                  <c:v>8.11</c:v>
                </c:pt>
                <c:pt idx="259">
                  <c:v>8.1</c:v>
                </c:pt>
                <c:pt idx="260">
                  <c:v>8.07</c:v>
                </c:pt>
                <c:pt idx="261">
                  <c:v>8.06</c:v>
                </c:pt>
                <c:pt idx="262">
                  <c:v>8.06</c:v>
                </c:pt>
                <c:pt idx="263">
                  <c:v>8.06</c:v>
                </c:pt>
                <c:pt idx="264">
                  <c:v>8.0299999999999994</c:v>
                </c:pt>
                <c:pt idx="265">
                  <c:v>8.01</c:v>
                </c:pt>
                <c:pt idx="266">
                  <c:v>8</c:v>
                </c:pt>
                <c:pt idx="267">
                  <c:v>8</c:v>
                </c:pt>
                <c:pt idx="268">
                  <c:v>7.98</c:v>
                </c:pt>
                <c:pt idx="269">
                  <c:v>7.96</c:v>
                </c:pt>
                <c:pt idx="270">
                  <c:v>7.95</c:v>
                </c:pt>
                <c:pt idx="271">
                  <c:v>7.95</c:v>
                </c:pt>
                <c:pt idx="272">
                  <c:v>7.94</c:v>
                </c:pt>
                <c:pt idx="273">
                  <c:v>7.94</c:v>
                </c:pt>
                <c:pt idx="274">
                  <c:v>7.94</c:v>
                </c:pt>
                <c:pt idx="275">
                  <c:v>7.94</c:v>
                </c:pt>
                <c:pt idx="276">
                  <c:v>7.89</c:v>
                </c:pt>
                <c:pt idx="277">
                  <c:v>7.87</c:v>
                </c:pt>
                <c:pt idx="278">
                  <c:v>7.84</c:v>
                </c:pt>
                <c:pt idx="279">
                  <c:v>7.84</c:v>
                </c:pt>
                <c:pt idx="280">
                  <c:v>7.79</c:v>
                </c:pt>
                <c:pt idx="281">
                  <c:v>7.74</c:v>
                </c:pt>
                <c:pt idx="282">
                  <c:v>7.7</c:v>
                </c:pt>
                <c:pt idx="283">
                  <c:v>7.69</c:v>
                </c:pt>
                <c:pt idx="284">
                  <c:v>7.66</c:v>
                </c:pt>
                <c:pt idx="285">
                  <c:v>7.66</c:v>
                </c:pt>
                <c:pt idx="286">
                  <c:v>7.66</c:v>
                </c:pt>
                <c:pt idx="287">
                  <c:v>7.64</c:v>
                </c:pt>
                <c:pt idx="288">
                  <c:v>7.61</c:v>
                </c:pt>
                <c:pt idx="289">
                  <c:v>7.4</c:v>
                </c:pt>
                <c:pt idx="290">
                  <c:v>7.2</c:v>
                </c:pt>
                <c:pt idx="291">
                  <c:v>7.16</c:v>
                </c:pt>
                <c:pt idx="292">
                  <c:v>7.04</c:v>
                </c:pt>
                <c:pt idx="293">
                  <c:v>6.99</c:v>
                </c:pt>
                <c:pt idx="294">
                  <c:v>6.98</c:v>
                </c:pt>
                <c:pt idx="295">
                  <c:v>5.9</c:v>
                </c:pt>
                <c:pt idx="296">
                  <c:v>4.62</c:v>
                </c:pt>
                <c:pt idx="297">
                  <c:v>3.37</c:v>
                </c:pt>
                <c:pt idx="298">
                  <c:v>2.39</c:v>
                </c:pt>
                <c:pt idx="299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1-7D40-A9C1-961107A5A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837439"/>
        <c:axId val="379839231"/>
      </c:scatterChart>
      <c:valAx>
        <c:axId val="379837439"/>
        <c:scaling>
          <c:orientation val="minMax"/>
          <c:max val="2040"/>
          <c:min val="19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839231"/>
        <c:crosses val="autoZero"/>
        <c:crossBetween val="midCat"/>
      </c:valAx>
      <c:valAx>
        <c:axId val="379839231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8374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Graficos!$AU$1093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Graficos!$AT$1094:$AT$1393</c:f>
              <c:numCache>
                <c:formatCode>General</c:formatCode>
                <c:ptCount val="300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45</c:v>
                </c:pt>
                <c:pt idx="11">
                  <c:v>41</c:v>
                </c:pt>
                <c:pt idx="12">
                  <c:v>42</c:v>
                </c:pt>
                <c:pt idx="13">
                  <c:v>67</c:v>
                </c:pt>
                <c:pt idx="14">
                  <c:v>76</c:v>
                </c:pt>
                <c:pt idx="15">
                  <c:v>41</c:v>
                </c:pt>
                <c:pt idx="16">
                  <c:v>86</c:v>
                </c:pt>
                <c:pt idx="17">
                  <c:v>54</c:v>
                </c:pt>
                <c:pt idx="18">
                  <c:v>47</c:v>
                </c:pt>
                <c:pt idx="19">
                  <c:v>38</c:v>
                </c:pt>
                <c:pt idx="20">
                  <c:v>84</c:v>
                </c:pt>
                <c:pt idx="21">
                  <c:v>66</c:v>
                </c:pt>
                <c:pt idx="22">
                  <c:v>42</c:v>
                </c:pt>
                <c:pt idx="23">
                  <c:v>51</c:v>
                </c:pt>
                <c:pt idx="24">
                  <c:v>71</c:v>
                </c:pt>
                <c:pt idx="25">
                  <c:v>47</c:v>
                </c:pt>
                <c:pt idx="26">
                  <c:v>37</c:v>
                </c:pt>
                <c:pt idx="27">
                  <c:v>48</c:v>
                </c:pt>
                <c:pt idx="28">
                  <c:v>35</c:v>
                </c:pt>
                <c:pt idx="29">
                  <c:v>40</c:v>
                </c:pt>
                <c:pt idx="30">
                  <c:v>61</c:v>
                </c:pt>
                <c:pt idx="31">
                  <c:v>40</c:v>
                </c:pt>
                <c:pt idx="32">
                  <c:v>65</c:v>
                </c:pt>
                <c:pt idx="33">
                  <c:v>67</c:v>
                </c:pt>
                <c:pt idx="34">
                  <c:v>59</c:v>
                </c:pt>
                <c:pt idx="35">
                  <c:v>63</c:v>
                </c:pt>
                <c:pt idx="36">
                  <c:v>54</c:v>
                </c:pt>
                <c:pt idx="37">
                  <c:v>43</c:v>
                </c:pt>
                <c:pt idx="38">
                  <c:v>41</c:v>
                </c:pt>
                <c:pt idx="39">
                  <c:v>45</c:v>
                </c:pt>
                <c:pt idx="40">
                  <c:v>43</c:v>
                </c:pt>
                <c:pt idx="41">
                  <c:v>42</c:v>
                </c:pt>
                <c:pt idx="42">
                  <c:v>36</c:v>
                </c:pt>
                <c:pt idx="43">
                  <c:v>44</c:v>
                </c:pt>
                <c:pt idx="44">
                  <c:v>44</c:v>
                </c:pt>
                <c:pt idx="45">
                  <c:v>46</c:v>
                </c:pt>
                <c:pt idx="46">
                  <c:v>61</c:v>
                </c:pt>
                <c:pt idx="47">
                  <c:v>81</c:v>
                </c:pt>
                <c:pt idx="48">
                  <c:v>42</c:v>
                </c:pt>
                <c:pt idx="49">
                  <c:v>43</c:v>
                </c:pt>
                <c:pt idx="50">
                  <c:v>45</c:v>
                </c:pt>
                <c:pt idx="51">
                  <c:v>73</c:v>
                </c:pt>
                <c:pt idx="52">
                  <c:v>74</c:v>
                </c:pt>
                <c:pt idx="53">
                  <c:v>41</c:v>
                </c:pt>
                <c:pt idx="54">
                  <c:v>40</c:v>
                </c:pt>
                <c:pt idx="55">
                  <c:v>39</c:v>
                </c:pt>
                <c:pt idx="56">
                  <c:v>49</c:v>
                </c:pt>
                <c:pt idx="57">
                  <c:v>54</c:v>
                </c:pt>
                <c:pt idx="58">
                  <c:v>60</c:v>
                </c:pt>
                <c:pt idx="59">
                  <c:v>52</c:v>
                </c:pt>
                <c:pt idx="60">
                  <c:v>40</c:v>
                </c:pt>
                <c:pt idx="61">
                  <c:v>42</c:v>
                </c:pt>
                <c:pt idx="62">
                  <c:v>54</c:v>
                </c:pt>
                <c:pt idx="63">
                  <c:v>58</c:v>
                </c:pt>
                <c:pt idx="64">
                  <c:v>57</c:v>
                </c:pt>
                <c:pt idx="65">
                  <c:v>51</c:v>
                </c:pt>
                <c:pt idx="66">
                  <c:v>48</c:v>
                </c:pt>
                <c:pt idx="67">
                  <c:v>49</c:v>
                </c:pt>
                <c:pt idx="68">
                  <c:v>54</c:v>
                </c:pt>
                <c:pt idx="69">
                  <c:v>45</c:v>
                </c:pt>
                <c:pt idx="70">
                  <c:v>37</c:v>
                </c:pt>
                <c:pt idx="71">
                  <c:v>47</c:v>
                </c:pt>
                <c:pt idx="72">
                  <c:v>41</c:v>
                </c:pt>
                <c:pt idx="73">
                  <c:v>39</c:v>
                </c:pt>
                <c:pt idx="74">
                  <c:v>62</c:v>
                </c:pt>
                <c:pt idx="75">
                  <c:v>42</c:v>
                </c:pt>
                <c:pt idx="76">
                  <c:v>52</c:v>
                </c:pt>
                <c:pt idx="77">
                  <c:v>66</c:v>
                </c:pt>
                <c:pt idx="78">
                  <c:v>63</c:v>
                </c:pt>
                <c:pt idx="79">
                  <c:v>66</c:v>
                </c:pt>
                <c:pt idx="80">
                  <c:v>59</c:v>
                </c:pt>
                <c:pt idx="81">
                  <c:v>36</c:v>
                </c:pt>
                <c:pt idx="82">
                  <c:v>39</c:v>
                </c:pt>
                <c:pt idx="83">
                  <c:v>44</c:v>
                </c:pt>
                <c:pt idx="84">
                  <c:v>47</c:v>
                </c:pt>
                <c:pt idx="85">
                  <c:v>58</c:v>
                </c:pt>
                <c:pt idx="86">
                  <c:v>53</c:v>
                </c:pt>
                <c:pt idx="87">
                  <c:v>49</c:v>
                </c:pt>
                <c:pt idx="88">
                  <c:v>42</c:v>
                </c:pt>
                <c:pt idx="89">
                  <c:v>37</c:v>
                </c:pt>
                <c:pt idx="90">
                  <c:v>68</c:v>
                </c:pt>
                <c:pt idx="91">
                  <c:v>70</c:v>
                </c:pt>
                <c:pt idx="92">
                  <c:v>41</c:v>
                </c:pt>
                <c:pt idx="93">
                  <c:v>47</c:v>
                </c:pt>
                <c:pt idx="94">
                  <c:v>74</c:v>
                </c:pt>
                <c:pt idx="95">
                  <c:v>68</c:v>
                </c:pt>
                <c:pt idx="96">
                  <c:v>38</c:v>
                </c:pt>
                <c:pt idx="97">
                  <c:v>121</c:v>
                </c:pt>
                <c:pt idx="98">
                  <c:v>56</c:v>
                </c:pt>
                <c:pt idx="99">
                  <c:v>43</c:v>
                </c:pt>
                <c:pt idx="100">
                  <c:v>39</c:v>
                </c:pt>
                <c:pt idx="101">
                  <c:v>33</c:v>
                </c:pt>
                <c:pt idx="102">
                  <c:v>51</c:v>
                </c:pt>
                <c:pt idx="103">
                  <c:v>39</c:v>
                </c:pt>
                <c:pt idx="104">
                  <c:v>63</c:v>
                </c:pt>
                <c:pt idx="105">
                  <c:v>74</c:v>
                </c:pt>
                <c:pt idx="106">
                  <c:v>52</c:v>
                </c:pt>
                <c:pt idx="107">
                  <c:v>56</c:v>
                </c:pt>
                <c:pt idx="108">
                  <c:v>51</c:v>
                </c:pt>
                <c:pt idx="109">
                  <c:v>74</c:v>
                </c:pt>
                <c:pt idx="110">
                  <c:v>39</c:v>
                </c:pt>
                <c:pt idx="111">
                  <c:v>43</c:v>
                </c:pt>
                <c:pt idx="112">
                  <c:v>43</c:v>
                </c:pt>
                <c:pt idx="113">
                  <c:v>68</c:v>
                </c:pt>
                <c:pt idx="114">
                  <c:v>50</c:v>
                </c:pt>
                <c:pt idx="115">
                  <c:v>71</c:v>
                </c:pt>
                <c:pt idx="116">
                  <c:v>67</c:v>
                </c:pt>
                <c:pt idx="117">
                  <c:v>72</c:v>
                </c:pt>
                <c:pt idx="118">
                  <c:v>79</c:v>
                </c:pt>
                <c:pt idx="119">
                  <c:v>100</c:v>
                </c:pt>
                <c:pt idx="120">
                  <c:v>62</c:v>
                </c:pt>
                <c:pt idx="121">
                  <c:v>41</c:v>
                </c:pt>
                <c:pt idx="122">
                  <c:v>58</c:v>
                </c:pt>
                <c:pt idx="123">
                  <c:v>43</c:v>
                </c:pt>
                <c:pt idx="124">
                  <c:v>40</c:v>
                </c:pt>
                <c:pt idx="125">
                  <c:v>32</c:v>
                </c:pt>
                <c:pt idx="126">
                  <c:v>42</c:v>
                </c:pt>
                <c:pt idx="127">
                  <c:v>41</c:v>
                </c:pt>
                <c:pt idx="128">
                  <c:v>50</c:v>
                </c:pt>
                <c:pt idx="129">
                  <c:v>48</c:v>
                </c:pt>
                <c:pt idx="130">
                  <c:v>39</c:v>
                </c:pt>
                <c:pt idx="131">
                  <c:v>77</c:v>
                </c:pt>
                <c:pt idx="132">
                  <c:v>61</c:v>
                </c:pt>
                <c:pt idx="133">
                  <c:v>75</c:v>
                </c:pt>
                <c:pt idx="134">
                  <c:v>38</c:v>
                </c:pt>
                <c:pt idx="135">
                  <c:v>63</c:v>
                </c:pt>
                <c:pt idx="136">
                  <c:v>48</c:v>
                </c:pt>
                <c:pt idx="137">
                  <c:v>41</c:v>
                </c:pt>
                <c:pt idx="138">
                  <c:v>40</c:v>
                </c:pt>
                <c:pt idx="139">
                  <c:v>63</c:v>
                </c:pt>
                <c:pt idx="140">
                  <c:v>156</c:v>
                </c:pt>
                <c:pt idx="141">
                  <c:v>43</c:v>
                </c:pt>
                <c:pt idx="142">
                  <c:v>39</c:v>
                </c:pt>
                <c:pt idx="143">
                  <c:v>65</c:v>
                </c:pt>
                <c:pt idx="144">
                  <c:v>62</c:v>
                </c:pt>
                <c:pt idx="145">
                  <c:v>75</c:v>
                </c:pt>
                <c:pt idx="146">
                  <c:v>69</c:v>
                </c:pt>
                <c:pt idx="147">
                  <c:v>40</c:v>
                </c:pt>
                <c:pt idx="148">
                  <c:v>30</c:v>
                </c:pt>
                <c:pt idx="149">
                  <c:v>59</c:v>
                </c:pt>
                <c:pt idx="150">
                  <c:v>46</c:v>
                </c:pt>
                <c:pt idx="151">
                  <c:v>121</c:v>
                </c:pt>
                <c:pt idx="152">
                  <c:v>53</c:v>
                </c:pt>
                <c:pt idx="153">
                  <c:v>50</c:v>
                </c:pt>
                <c:pt idx="154">
                  <c:v>51</c:v>
                </c:pt>
                <c:pt idx="155">
                  <c:v>76</c:v>
                </c:pt>
                <c:pt idx="156">
                  <c:v>54</c:v>
                </c:pt>
                <c:pt idx="157">
                  <c:v>51</c:v>
                </c:pt>
                <c:pt idx="158">
                  <c:v>56</c:v>
                </c:pt>
                <c:pt idx="159">
                  <c:v>65</c:v>
                </c:pt>
                <c:pt idx="160">
                  <c:v>41</c:v>
                </c:pt>
                <c:pt idx="161">
                  <c:v>63</c:v>
                </c:pt>
                <c:pt idx="162">
                  <c:v>50</c:v>
                </c:pt>
                <c:pt idx="163">
                  <c:v>45</c:v>
                </c:pt>
                <c:pt idx="164">
                  <c:v>45</c:v>
                </c:pt>
                <c:pt idx="165">
                  <c:v>43</c:v>
                </c:pt>
                <c:pt idx="166">
                  <c:v>56</c:v>
                </c:pt>
                <c:pt idx="167">
                  <c:v>39</c:v>
                </c:pt>
                <c:pt idx="168">
                  <c:v>62</c:v>
                </c:pt>
                <c:pt idx="169">
                  <c:v>56</c:v>
                </c:pt>
                <c:pt idx="170">
                  <c:v>71</c:v>
                </c:pt>
                <c:pt idx="171">
                  <c:v>42</c:v>
                </c:pt>
                <c:pt idx="172">
                  <c:v>47</c:v>
                </c:pt>
                <c:pt idx="173">
                  <c:v>73</c:v>
                </c:pt>
                <c:pt idx="174">
                  <c:v>51</c:v>
                </c:pt>
                <c:pt idx="175">
                  <c:v>55</c:v>
                </c:pt>
                <c:pt idx="176">
                  <c:v>47</c:v>
                </c:pt>
                <c:pt idx="177">
                  <c:v>64</c:v>
                </c:pt>
                <c:pt idx="178">
                  <c:v>43</c:v>
                </c:pt>
                <c:pt idx="179">
                  <c:v>33</c:v>
                </c:pt>
                <c:pt idx="180">
                  <c:v>48</c:v>
                </c:pt>
                <c:pt idx="181">
                  <c:v>40</c:v>
                </c:pt>
                <c:pt idx="182">
                  <c:v>56</c:v>
                </c:pt>
                <c:pt idx="183">
                  <c:v>42</c:v>
                </c:pt>
                <c:pt idx="184">
                  <c:v>36</c:v>
                </c:pt>
                <c:pt idx="185">
                  <c:v>84</c:v>
                </c:pt>
                <c:pt idx="186">
                  <c:v>34</c:v>
                </c:pt>
                <c:pt idx="187">
                  <c:v>45</c:v>
                </c:pt>
                <c:pt idx="188">
                  <c:v>43</c:v>
                </c:pt>
                <c:pt idx="189">
                  <c:v>141</c:v>
                </c:pt>
                <c:pt idx="190">
                  <c:v>60</c:v>
                </c:pt>
                <c:pt idx="191">
                  <c:v>37</c:v>
                </c:pt>
                <c:pt idx="192">
                  <c:v>51</c:v>
                </c:pt>
                <c:pt idx="193">
                  <c:v>48</c:v>
                </c:pt>
                <c:pt idx="194">
                  <c:v>40</c:v>
                </c:pt>
                <c:pt idx="195">
                  <c:v>56</c:v>
                </c:pt>
                <c:pt idx="196">
                  <c:v>33</c:v>
                </c:pt>
                <c:pt idx="197">
                  <c:v>31</c:v>
                </c:pt>
                <c:pt idx="198">
                  <c:v>62</c:v>
                </c:pt>
                <c:pt idx="199">
                  <c:v>62</c:v>
                </c:pt>
                <c:pt idx="200">
                  <c:v>55</c:v>
                </c:pt>
                <c:pt idx="201">
                  <c:v>41</c:v>
                </c:pt>
                <c:pt idx="202">
                  <c:v>55</c:v>
                </c:pt>
                <c:pt idx="203">
                  <c:v>77</c:v>
                </c:pt>
                <c:pt idx="204">
                  <c:v>36</c:v>
                </c:pt>
                <c:pt idx="205">
                  <c:v>49</c:v>
                </c:pt>
                <c:pt idx="206">
                  <c:v>50</c:v>
                </c:pt>
                <c:pt idx="207">
                  <c:v>41</c:v>
                </c:pt>
                <c:pt idx="208">
                  <c:v>34</c:v>
                </c:pt>
                <c:pt idx="209">
                  <c:v>45</c:v>
                </c:pt>
                <c:pt idx="210">
                  <c:v>60</c:v>
                </c:pt>
                <c:pt idx="211">
                  <c:v>61</c:v>
                </c:pt>
                <c:pt idx="212">
                  <c:v>72</c:v>
                </c:pt>
                <c:pt idx="213">
                  <c:v>48</c:v>
                </c:pt>
                <c:pt idx="214">
                  <c:v>48</c:v>
                </c:pt>
                <c:pt idx="215">
                  <c:v>47</c:v>
                </c:pt>
                <c:pt idx="216">
                  <c:v>58</c:v>
                </c:pt>
                <c:pt idx="217">
                  <c:v>34</c:v>
                </c:pt>
                <c:pt idx="218">
                  <c:v>38</c:v>
                </c:pt>
                <c:pt idx="219">
                  <c:v>34</c:v>
                </c:pt>
                <c:pt idx="220">
                  <c:v>63</c:v>
                </c:pt>
                <c:pt idx="221">
                  <c:v>51</c:v>
                </c:pt>
                <c:pt idx="222">
                  <c:v>40</c:v>
                </c:pt>
                <c:pt idx="223">
                  <c:v>40</c:v>
                </c:pt>
                <c:pt idx="224">
                  <c:v>58</c:v>
                </c:pt>
                <c:pt idx="225">
                  <c:v>37</c:v>
                </c:pt>
                <c:pt idx="226">
                  <c:v>43</c:v>
                </c:pt>
                <c:pt idx="227">
                  <c:v>28</c:v>
                </c:pt>
                <c:pt idx="228">
                  <c:v>48</c:v>
                </c:pt>
                <c:pt idx="229">
                  <c:v>76</c:v>
                </c:pt>
                <c:pt idx="230">
                  <c:v>55</c:v>
                </c:pt>
                <c:pt idx="231">
                  <c:v>64</c:v>
                </c:pt>
                <c:pt idx="232">
                  <c:v>46</c:v>
                </c:pt>
                <c:pt idx="233">
                  <c:v>43</c:v>
                </c:pt>
                <c:pt idx="234">
                  <c:v>51</c:v>
                </c:pt>
                <c:pt idx="235">
                  <c:v>62</c:v>
                </c:pt>
                <c:pt idx="236">
                  <c:v>62</c:v>
                </c:pt>
                <c:pt idx="237">
                  <c:v>58</c:v>
                </c:pt>
                <c:pt idx="238">
                  <c:v>57</c:v>
                </c:pt>
                <c:pt idx="239">
                  <c:v>74</c:v>
                </c:pt>
                <c:pt idx="240">
                  <c:v>50</c:v>
                </c:pt>
                <c:pt idx="241">
                  <c:v>44</c:v>
                </c:pt>
                <c:pt idx="242">
                  <c:v>64</c:v>
                </c:pt>
                <c:pt idx="243">
                  <c:v>68</c:v>
                </c:pt>
                <c:pt idx="244">
                  <c:v>42</c:v>
                </c:pt>
                <c:pt idx="245">
                  <c:v>65</c:v>
                </c:pt>
                <c:pt idx="246">
                  <c:v>53</c:v>
                </c:pt>
                <c:pt idx="247">
                  <c:v>39</c:v>
                </c:pt>
                <c:pt idx="248">
                  <c:v>41</c:v>
                </c:pt>
                <c:pt idx="249">
                  <c:v>34</c:v>
                </c:pt>
                <c:pt idx="250">
                  <c:v>53</c:v>
                </c:pt>
                <c:pt idx="251">
                  <c:v>36</c:v>
                </c:pt>
                <c:pt idx="252">
                  <c:v>58</c:v>
                </c:pt>
                <c:pt idx="253">
                  <c:v>23</c:v>
                </c:pt>
                <c:pt idx="254">
                  <c:v>41</c:v>
                </c:pt>
                <c:pt idx="255">
                  <c:v>55</c:v>
                </c:pt>
                <c:pt idx="256">
                  <c:v>24</c:v>
                </c:pt>
                <c:pt idx="257">
                  <c:v>47</c:v>
                </c:pt>
                <c:pt idx="258">
                  <c:v>43</c:v>
                </c:pt>
                <c:pt idx="259">
                  <c:v>44</c:v>
                </c:pt>
                <c:pt idx="260">
                  <c:v>39</c:v>
                </c:pt>
                <c:pt idx="261">
                  <c:v>73</c:v>
                </c:pt>
                <c:pt idx="262">
                  <c:v>35</c:v>
                </c:pt>
                <c:pt idx="263">
                  <c:v>40</c:v>
                </c:pt>
                <c:pt idx="264">
                  <c:v>56</c:v>
                </c:pt>
                <c:pt idx="265">
                  <c:v>71</c:v>
                </c:pt>
                <c:pt idx="266">
                  <c:v>66</c:v>
                </c:pt>
                <c:pt idx="267">
                  <c:v>41</c:v>
                </c:pt>
                <c:pt idx="268">
                  <c:v>63</c:v>
                </c:pt>
                <c:pt idx="269">
                  <c:v>78</c:v>
                </c:pt>
                <c:pt idx="270">
                  <c:v>74</c:v>
                </c:pt>
                <c:pt idx="271">
                  <c:v>63</c:v>
                </c:pt>
                <c:pt idx="272">
                  <c:v>37</c:v>
                </c:pt>
                <c:pt idx="273">
                  <c:v>71</c:v>
                </c:pt>
                <c:pt idx="274">
                  <c:v>54</c:v>
                </c:pt>
                <c:pt idx="275">
                  <c:v>68</c:v>
                </c:pt>
                <c:pt idx="276">
                  <c:v>68</c:v>
                </c:pt>
                <c:pt idx="277">
                  <c:v>51</c:v>
                </c:pt>
                <c:pt idx="278">
                  <c:v>26</c:v>
                </c:pt>
                <c:pt idx="279">
                  <c:v>37</c:v>
                </c:pt>
                <c:pt idx="280">
                  <c:v>45</c:v>
                </c:pt>
                <c:pt idx="281">
                  <c:v>37</c:v>
                </c:pt>
                <c:pt idx="282">
                  <c:v>49</c:v>
                </c:pt>
                <c:pt idx="283">
                  <c:v>33</c:v>
                </c:pt>
                <c:pt idx="284">
                  <c:v>60</c:v>
                </c:pt>
                <c:pt idx="285">
                  <c:v>50</c:v>
                </c:pt>
                <c:pt idx="286">
                  <c:v>57</c:v>
                </c:pt>
                <c:pt idx="287">
                  <c:v>47</c:v>
                </c:pt>
                <c:pt idx="288">
                  <c:v>24</c:v>
                </c:pt>
                <c:pt idx="289">
                  <c:v>42</c:v>
                </c:pt>
                <c:pt idx="290">
                  <c:v>42</c:v>
                </c:pt>
                <c:pt idx="291">
                  <c:v>29</c:v>
                </c:pt>
                <c:pt idx="292">
                  <c:v>41</c:v>
                </c:pt>
                <c:pt idx="293">
                  <c:v>50</c:v>
                </c:pt>
                <c:pt idx="294">
                  <c:v>43</c:v>
                </c:pt>
                <c:pt idx="295">
                  <c:v>42</c:v>
                </c:pt>
                <c:pt idx="296">
                  <c:v>62</c:v>
                </c:pt>
                <c:pt idx="297">
                  <c:v>75</c:v>
                </c:pt>
                <c:pt idx="298">
                  <c:v>30</c:v>
                </c:pt>
                <c:pt idx="299">
                  <c:v>22</c:v>
                </c:pt>
              </c:numCache>
            </c:numRef>
          </c:xVal>
          <c:yVal>
            <c:numRef>
              <c:f>Graficos!$AU$1094:$AU$1393</c:f>
              <c:numCache>
                <c:formatCode>General</c:formatCode>
                <c:ptCount val="30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9.0299999999999994</c:v>
                </c:pt>
                <c:pt idx="39">
                  <c:v>9.0299999999999994</c:v>
                </c:pt>
                <c:pt idx="40">
                  <c:v>9.02</c:v>
                </c:pt>
                <c:pt idx="41">
                  <c:v>9.02</c:v>
                </c:pt>
                <c:pt idx="42">
                  <c:v>9</c:v>
                </c:pt>
                <c:pt idx="43">
                  <c:v>9</c:v>
                </c:pt>
                <c:pt idx="44">
                  <c:v>8.98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8.9700000000000006</c:v>
                </c:pt>
                <c:pt idx="49">
                  <c:v>8.9700000000000006</c:v>
                </c:pt>
                <c:pt idx="50">
                  <c:v>8.9600000000000009</c:v>
                </c:pt>
                <c:pt idx="51">
                  <c:v>8.9600000000000009</c:v>
                </c:pt>
                <c:pt idx="52">
                  <c:v>8.9600000000000009</c:v>
                </c:pt>
                <c:pt idx="53">
                  <c:v>8.9499999999999993</c:v>
                </c:pt>
                <c:pt idx="54">
                  <c:v>8.9499999999999993</c:v>
                </c:pt>
                <c:pt idx="55">
                  <c:v>8.94</c:v>
                </c:pt>
                <c:pt idx="56">
                  <c:v>8.93</c:v>
                </c:pt>
                <c:pt idx="57">
                  <c:v>8.93</c:v>
                </c:pt>
                <c:pt idx="58">
                  <c:v>8.93</c:v>
                </c:pt>
                <c:pt idx="59">
                  <c:v>8.92</c:v>
                </c:pt>
                <c:pt idx="60">
                  <c:v>8.92</c:v>
                </c:pt>
                <c:pt idx="61">
                  <c:v>8.92</c:v>
                </c:pt>
                <c:pt idx="62">
                  <c:v>8.92</c:v>
                </c:pt>
                <c:pt idx="63">
                  <c:v>8.91</c:v>
                </c:pt>
                <c:pt idx="64">
                  <c:v>8.89</c:v>
                </c:pt>
                <c:pt idx="65">
                  <c:v>8.89</c:v>
                </c:pt>
                <c:pt idx="66">
                  <c:v>8.8800000000000008</c:v>
                </c:pt>
                <c:pt idx="67">
                  <c:v>8.8800000000000008</c:v>
                </c:pt>
                <c:pt idx="68">
                  <c:v>8.8800000000000008</c:v>
                </c:pt>
                <c:pt idx="69">
                  <c:v>8.8699999999999992</c:v>
                </c:pt>
                <c:pt idx="70">
                  <c:v>8.8699999999999992</c:v>
                </c:pt>
                <c:pt idx="71">
                  <c:v>8.8699999999999992</c:v>
                </c:pt>
                <c:pt idx="72">
                  <c:v>8.86</c:v>
                </c:pt>
                <c:pt idx="73">
                  <c:v>8.86</c:v>
                </c:pt>
                <c:pt idx="74">
                  <c:v>8.85</c:v>
                </c:pt>
                <c:pt idx="75">
                  <c:v>8.85</c:v>
                </c:pt>
                <c:pt idx="76">
                  <c:v>8.84</c:v>
                </c:pt>
                <c:pt idx="77">
                  <c:v>8.84</c:v>
                </c:pt>
                <c:pt idx="78">
                  <c:v>8.84</c:v>
                </c:pt>
                <c:pt idx="79">
                  <c:v>8.84</c:v>
                </c:pt>
                <c:pt idx="80">
                  <c:v>8.84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8.83</c:v>
                </c:pt>
                <c:pt idx="87">
                  <c:v>8.83</c:v>
                </c:pt>
                <c:pt idx="88">
                  <c:v>8.83</c:v>
                </c:pt>
                <c:pt idx="89">
                  <c:v>8.82</c:v>
                </c:pt>
                <c:pt idx="90">
                  <c:v>8.81</c:v>
                </c:pt>
                <c:pt idx="91">
                  <c:v>8.81</c:v>
                </c:pt>
                <c:pt idx="92">
                  <c:v>8.81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8.7899999999999991</c:v>
                </c:pt>
                <c:pt idx="96">
                  <c:v>8.7899999999999991</c:v>
                </c:pt>
                <c:pt idx="97">
                  <c:v>8.7799999999999994</c:v>
                </c:pt>
                <c:pt idx="98">
                  <c:v>8.7799999999999994</c:v>
                </c:pt>
                <c:pt idx="99">
                  <c:v>8.7799999999999994</c:v>
                </c:pt>
                <c:pt idx="100">
                  <c:v>8.77</c:v>
                </c:pt>
                <c:pt idx="101">
                  <c:v>8.77</c:v>
                </c:pt>
                <c:pt idx="102">
                  <c:v>8.77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8.75</c:v>
                </c:pt>
                <c:pt idx="107">
                  <c:v>8.75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8.73</c:v>
                </c:pt>
                <c:pt idx="112">
                  <c:v>8.73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8.7200000000000006</c:v>
                </c:pt>
                <c:pt idx="116">
                  <c:v>8.7200000000000006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8.7100000000000009</c:v>
                </c:pt>
                <c:pt idx="122">
                  <c:v>8.7100000000000009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8.6999999999999993</c:v>
                </c:pt>
                <c:pt idx="127">
                  <c:v>8.6999999999999993</c:v>
                </c:pt>
                <c:pt idx="128">
                  <c:v>8.69</c:v>
                </c:pt>
                <c:pt idx="129">
                  <c:v>8.69</c:v>
                </c:pt>
                <c:pt idx="130">
                  <c:v>8.69</c:v>
                </c:pt>
                <c:pt idx="131">
                  <c:v>8.69</c:v>
                </c:pt>
                <c:pt idx="132">
                  <c:v>8.68</c:v>
                </c:pt>
                <c:pt idx="133">
                  <c:v>8.68</c:v>
                </c:pt>
                <c:pt idx="134">
                  <c:v>8.68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8.66</c:v>
                </c:pt>
                <c:pt idx="140">
                  <c:v>8.66</c:v>
                </c:pt>
                <c:pt idx="141">
                  <c:v>8.66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8.65</c:v>
                </c:pt>
                <c:pt idx="146">
                  <c:v>8.65</c:v>
                </c:pt>
                <c:pt idx="147">
                  <c:v>8.64</c:v>
                </c:pt>
                <c:pt idx="148">
                  <c:v>8.64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8.6300000000000008</c:v>
                </c:pt>
                <c:pt idx="152">
                  <c:v>8.6300000000000008</c:v>
                </c:pt>
                <c:pt idx="153">
                  <c:v>8.6300000000000008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</c:v>
                </c:pt>
                <c:pt idx="157">
                  <c:v>8.61</c:v>
                </c:pt>
                <c:pt idx="158">
                  <c:v>8.61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8.59</c:v>
                </c:pt>
                <c:pt idx="163">
                  <c:v>8.59</c:v>
                </c:pt>
                <c:pt idx="164">
                  <c:v>8.58</c:v>
                </c:pt>
                <c:pt idx="165">
                  <c:v>8.57</c:v>
                </c:pt>
                <c:pt idx="166">
                  <c:v>8.57</c:v>
                </c:pt>
                <c:pt idx="167">
                  <c:v>8.57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8.56</c:v>
                </c:pt>
                <c:pt idx="173">
                  <c:v>8.56</c:v>
                </c:pt>
                <c:pt idx="174">
                  <c:v>8.56</c:v>
                </c:pt>
                <c:pt idx="175">
                  <c:v>8.5500000000000007</c:v>
                </c:pt>
                <c:pt idx="176">
                  <c:v>8.5500000000000007</c:v>
                </c:pt>
                <c:pt idx="177">
                  <c:v>8.5500000000000007</c:v>
                </c:pt>
                <c:pt idx="178">
                  <c:v>8.5399999999999991</c:v>
                </c:pt>
                <c:pt idx="179">
                  <c:v>8.5399999999999991</c:v>
                </c:pt>
                <c:pt idx="180">
                  <c:v>8.5399999999999991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8.5299999999999994</c:v>
                </c:pt>
                <c:pt idx="186">
                  <c:v>8.5299999999999994</c:v>
                </c:pt>
                <c:pt idx="187">
                  <c:v>8.5299999999999994</c:v>
                </c:pt>
                <c:pt idx="188">
                  <c:v>8.52</c:v>
                </c:pt>
                <c:pt idx="189">
                  <c:v>8.52</c:v>
                </c:pt>
                <c:pt idx="190">
                  <c:v>8.52</c:v>
                </c:pt>
                <c:pt idx="191">
                  <c:v>8.51</c:v>
                </c:pt>
                <c:pt idx="192">
                  <c:v>8.51</c:v>
                </c:pt>
                <c:pt idx="193">
                  <c:v>8.51</c:v>
                </c:pt>
                <c:pt idx="194">
                  <c:v>8.5</c:v>
                </c:pt>
                <c:pt idx="195">
                  <c:v>8.5</c:v>
                </c:pt>
                <c:pt idx="196">
                  <c:v>8.5</c:v>
                </c:pt>
                <c:pt idx="197">
                  <c:v>8.5</c:v>
                </c:pt>
                <c:pt idx="198">
                  <c:v>8.5</c:v>
                </c:pt>
                <c:pt idx="199">
                  <c:v>8.49</c:v>
                </c:pt>
                <c:pt idx="200">
                  <c:v>8.48</c:v>
                </c:pt>
                <c:pt idx="201">
                  <c:v>8.48</c:v>
                </c:pt>
                <c:pt idx="202">
                  <c:v>8.48</c:v>
                </c:pt>
                <c:pt idx="203">
                  <c:v>8.4700000000000006</c:v>
                </c:pt>
                <c:pt idx="204">
                  <c:v>8.4700000000000006</c:v>
                </c:pt>
                <c:pt idx="205">
                  <c:v>8.4700000000000006</c:v>
                </c:pt>
                <c:pt idx="206">
                  <c:v>8.4600000000000009</c:v>
                </c:pt>
                <c:pt idx="207">
                  <c:v>8.4499999999999993</c:v>
                </c:pt>
                <c:pt idx="208">
                  <c:v>8.4499999999999993</c:v>
                </c:pt>
                <c:pt idx="209">
                  <c:v>8.4499999999999993</c:v>
                </c:pt>
                <c:pt idx="210">
                  <c:v>8.43</c:v>
                </c:pt>
                <c:pt idx="211">
                  <c:v>8.43</c:v>
                </c:pt>
                <c:pt idx="212">
                  <c:v>8.43</c:v>
                </c:pt>
                <c:pt idx="213">
                  <c:v>8.41</c:v>
                </c:pt>
                <c:pt idx="214">
                  <c:v>8.41</c:v>
                </c:pt>
                <c:pt idx="215">
                  <c:v>8.4</c:v>
                </c:pt>
                <c:pt idx="216">
                  <c:v>8.39</c:v>
                </c:pt>
                <c:pt idx="217">
                  <c:v>8.39</c:v>
                </c:pt>
                <c:pt idx="218">
                  <c:v>8.39</c:v>
                </c:pt>
                <c:pt idx="219">
                  <c:v>8.3800000000000008</c:v>
                </c:pt>
                <c:pt idx="220">
                  <c:v>8.3800000000000008</c:v>
                </c:pt>
                <c:pt idx="221">
                  <c:v>8.3699999999999992</c:v>
                </c:pt>
                <c:pt idx="222">
                  <c:v>8.3699999999999992</c:v>
                </c:pt>
                <c:pt idx="223">
                  <c:v>8.36</c:v>
                </c:pt>
                <c:pt idx="224">
                  <c:v>8.35</c:v>
                </c:pt>
                <c:pt idx="225">
                  <c:v>8.34</c:v>
                </c:pt>
                <c:pt idx="226">
                  <c:v>8.34</c:v>
                </c:pt>
                <c:pt idx="227">
                  <c:v>8.34</c:v>
                </c:pt>
                <c:pt idx="228">
                  <c:v>8.34</c:v>
                </c:pt>
                <c:pt idx="229">
                  <c:v>8.33</c:v>
                </c:pt>
                <c:pt idx="230">
                  <c:v>8.32</c:v>
                </c:pt>
                <c:pt idx="231">
                  <c:v>8.31</c:v>
                </c:pt>
                <c:pt idx="232">
                  <c:v>8.3000000000000007</c:v>
                </c:pt>
                <c:pt idx="233">
                  <c:v>8.3000000000000007</c:v>
                </c:pt>
                <c:pt idx="234">
                  <c:v>8.2799999999999994</c:v>
                </c:pt>
                <c:pt idx="235">
                  <c:v>8.27</c:v>
                </c:pt>
                <c:pt idx="236">
                  <c:v>8.27</c:v>
                </c:pt>
                <c:pt idx="237">
                  <c:v>8.27</c:v>
                </c:pt>
                <c:pt idx="238">
                  <c:v>8.25</c:v>
                </c:pt>
                <c:pt idx="239">
                  <c:v>8.25</c:v>
                </c:pt>
                <c:pt idx="240">
                  <c:v>8.24</c:v>
                </c:pt>
                <c:pt idx="241">
                  <c:v>8.24</c:v>
                </c:pt>
                <c:pt idx="242">
                  <c:v>8.23</c:v>
                </c:pt>
                <c:pt idx="243">
                  <c:v>8.2200000000000006</c:v>
                </c:pt>
                <c:pt idx="244">
                  <c:v>8.2200000000000006</c:v>
                </c:pt>
                <c:pt idx="245">
                  <c:v>8.2200000000000006</c:v>
                </c:pt>
                <c:pt idx="246">
                  <c:v>8.2100000000000009</c:v>
                </c:pt>
                <c:pt idx="247">
                  <c:v>8.1999999999999993</c:v>
                </c:pt>
                <c:pt idx="248">
                  <c:v>8.19</c:v>
                </c:pt>
                <c:pt idx="249">
                  <c:v>8.18</c:v>
                </c:pt>
                <c:pt idx="250">
                  <c:v>8.18</c:v>
                </c:pt>
                <c:pt idx="251">
                  <c:v>8.17</c:v>
                </c:pt>
                <c:pt idx="252">
                  <c:v>8.16</c:v>
                </c:pt>
                <c:pt idx="253">
                  <c:v>8.16</c:v>
                </c:pt>
                <c:pt idx="254">
                  <c:v>8.16</c:v>
                </c:pt>
                <c:pt idx="255">
                  <c:v>8.1300000000000008</c:v>
                </c:pt>
                <c:pt idx="256">
                  <c:v>8.1300000000000008</c:v>
                </c:pt>
                <c:pt idx="257">
                  <c:v>8.1300000000000008</c:v>
                </c:pt>
                <c:pt idx="258">
                  <c:v>8.11</c:v>
                </c:pt>
                <c:pt idx="259">
                  <c:v>8.1</c:v>
                </c:pt>
                <c:pt idx="260">
                  <c:v>8.07</c:v>
                </c:pt>
                <c:pt idx="261">
                  <c:v>8.06</c:v>
                </c:pt>
                <c:pt idx="262">
                  <c:v>8.06</c:v>
                </c:pt>
                <c:pt idx="263">
                  <c:v>8.06</c:v>
                </c:pt>
                <c:pt idx="264">
                  <c:v>8.0299999999999994</c:v>
                </c:pt>
                <c:pt idx="265">
                  <c:v>8.01</c:v>
                </c:pt>
                <c:pt idx="266">
                  <c:v>8</c:v>
                </c:pt>
                <c:pt idx="267">
                  <c:v>8</c:v>
                </c:pt>
                <c:pt idx="268">
                  <c:v>7.98</c:v>
                </c:pt>
                <c:pt idx="269">
                  <c:v>7.96</c:v>
                </c:pt>
                <c:pt idx="270">
                  <c:v>7.95</c:v>
                </c:pt>
                <c:pt idx="271">
                  <c:v>7.95</c:v>
                </c:pt>
                <c:pt idx="272">
                  <c:v>7.94</c:v>
                </c:pt>
                <c:pt idx="273">
                  <c:v>7.94</c:v>
                </c:pt>
                <c:pt idx="274">
                  <c:v>7.94</c:v>
                </c:pt>
                <c:pt idx="275">
                  <c:v>7.94</c:v>
                </c:pt>
                <c:pt idx="276">
                  <c:v>7.89</c:v>
                </c:pt>
                <c:pt idx="277">
                  <c:v>7.87</c:v>
                </c:pt>
                <c:pt idx="278">
                  <c:v>7.84</c:v>
                </c:pt>
                <c:pt idx="279">
                  <c:v>7.84</c:v>
                </c:pt>
                <c:pt idx="280">
                  <c:v>7.79</c:v>
                </c:pt>
                <c:pt idx="281">
                  <c:v>7.74</c:v>
                </c:pt>
                <c:pt idx="282">
                  <c:v>7.7</c:v>
                </c:pt>
                <c:pt idx="283">
                  <c:v>7.69</c:v>
                </c:pt>
                <c:pt idx="284">
                  <c:v>7.66</c:v>
                </c:pt>
                <c:pt idx="285">
                  <c:v>7.66</c:v>
                </c:pt>
                <c:pt idx="286">
                  <c:v>7.66</c:v>
                </c:pt>
                <c:pt idx="287">
                  <c:v>7.64</c:v>
                </c:pt>
                <c:pt idx="288">
                  <c:v>7.61</c:v>
                </c:pt>
                <c:pt idx="289">
                  <c:v>7.4</c:v>
                </c:pt>
                <c:pt idx="290">
                  <c:v>7.2</c:v>
                </c:pt>
                <c:pt idx="291">
                  <c:v>7.16</c:v>
                </c:pt>
                <c:pt idx="292">
                  <c:v>7.04</c:v>
                </c:pt>
                <c:pt idx="293">
                  <c:v>6.99</c:v>
                </c:pt>
                <c:pt idx="294">
                  <c:v>6.98</c:v>
                </c:pt>
                <c:pt idx="295">
                  <c:v>5.9</c:v>
                </c:pt>
                <c:pt idx="296">
                  <c:v>4.62</c:v>
                </c:pt>
                <c:pt idx="297">
                  <c:v>3.37</c:v>
                </c:pt>
                <c:pt idx="298">
                  <c:v>2.39</c:v>
                </c:pt>
                <c:pt idx="299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84-7C4B-9EDC-9E4924F98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865279"/>
        <c:axId val="379867071"/>
      </c:scatterChart>
      <c:valAx>
        <c:axId val="379865279"/>
        <c:scaling>
          <c:orientation val="minMax"/>
          <c:max val="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867071"/>
        <c:crosses val="autoZero"/>
        <c:crossBetween val="midCat"/>
      </c:valAx>
      <c:valAx>
        <c:axId val="379867071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986527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Graficos!$AU$1396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Graficos!$AT$1397:$AT$1696</c:f>
              <c:numCache>
                <c:formatCode>General</c:formatCode>
                <c:ptCount val="300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6</c:v>
                </c:pt>
                <c:pt idx="11">
                  <c:v>5</c:v>
                </c:pt>
                <c:pt idx="12">
                  <c:v>8</c:v>
                </c:pt>
                <c:pt idx="13">
                  <c:v>5</c:v>
                </c:pt>
                <c:pt idx="14">
                  <c:v>7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13</c:v>
                </c:pt>
                <c:pt idx="21">
                  <c:v>8</c:v>
                </c:pt>
                <c:pt idx="22">
                  <c:v>10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10</c:v>
                </c:pt>
                <c:pt idx="27">
                  <c:v>12</c:v>
                </c:pt>
                <c:pt idx="28">
                  <c:v>9</c:v>
                </c:pt>
                <c:pt idx="29">
                  <c:v>8</c:v>
                </c:pt>
                <c:pt idx="30">
                  <c:v>14</c:v>
                </c:pt>
                <c:pt idx="31">
                  <c:v>9</c:v>
                </c:pt>
                <c:pt idx="32">
                  <c:v>9</c:v>
                </c:pt>
                <c:pt idx="33">
                  <c:v>5</c:v>
                </c:pt>
                <c:pt idx="34">
                  <c:v>9</c:v>
                </c:pt>
                <c:pt idx="35">
                  <c:v>18</c:v>
                </c:pt>
                <c:pt idx="36">
                  <c:v>9</c:v>
                </c:pt>
                <c:pt idx="37">
                  <c:v>6</c:v>
                </c:pt>
                <c:pt idx="38">
                  <c:v>4</c:v>
                </c:pt>
                <c:pt idx="39">
                  <c:v>8</c:v>
                </c:pt>
                <c:pt idx="40">
                  <c:v>7</c:v>
                </c:pt>
                <c:pt idx="41">
                  <c:v>9</c:v>
                </c:pt>
                <c:pt idx="42">
                  <c:v>13</c:v>
                </c:pt>
                <c:pt idx="43">
                  <c:v>15</c:v>
                </c:pt>
                <c:pt idx="44">
                  <c:v>12</c:v>
                </c:pt>
                <c:pt idx="45">
                  <c:v>6</c:v>
                </c:pt>
                <c:pt idx="46">
                  <c:v>6</c:v>
                </c:pt>
                <c:pt idx="47">
                  <c:v>26</c:v>
                </c:pt>
                <c:pt idx="48">
                  <c:v>5</c:v>
                </c:pt>
                <c:pt idx="49">
                  <c:v>6</c:v>
                </c:pt>
                <c:pt idx="50">
                  <c:v>11</c:v>
                </c:pt>
                <c:pt idx="51">
                  <c:v>12</c:v>
                </c:pt>
                <c:pt idx="52">
                  <c:v>5</c:v>
                </c:pt>
                <c:pt idx="53">
                  <c:v>10</c:v>
                </c:pt>
                <c:pt idx="54">
                  <c:v>10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8</c:v>
                </c:pt>
                <c:pt idx="59">
                  <c:v>12</c:v>
                </c:pt>
                <c:pt idx="60">
                  <c:v>4</c:v>
                </c:pt>
                <c:pt idx="61">
                  <c:v>12</c:v>
                </c:pt>
                <c:pt idx="62">
                  <c:v>14</c:v>
                </c:pt>
                <c:pt idx="63">
                  <c:v>8</c:v>
                </c:pt>
                <c:pt idx="64">
                  <c:v>13</c:v>
                </c:pt>
                <c:pt idx="65">
                  <c:v>15</c:v>
                </c:pt>
                <c:pt idx="66">
                  <c:v>7</c:v>
                </c:pt>
                <c:pt idx="67">
                  <c:v>11</c:v>
                </c:pt>
                <c:pt idx="68">
                  <c:v>11</c:v>
                </c:pt>
                <c:pt idx="69">
                  <c:v>9</c:v>
                </c:pt>
                <c:pt idx="70">
                  <c:v>10</c:v>
                </c:pt>
                <c:pt idx="71">
                  <c:v>12</c:v>
                </c:pt>
                <c:pt idx="72">
                  <c:v>9</c:v>
                </c:pt>
                <c:pt idx="73">
                  <c:v>13</c:v>
                </c:pt>
                <c:pt idx="74">
                  <c:v>7</c:v>
                </c:pt>
                <c:pt idx="75">
                  <c:v>9</c:v>
                </c:pt>
                <c:pt idx="76">
                  <c:v>9</c:v>
                </c:pt>
                <c:pt idx="77">
                  <c:v>12</c:v>
                </c:pt>
                <c:pt idx="78">
                  <c:v>3</c:v>
                </c:pt>
                <c:pt idx="79">
                  <c:v>23</c:v>
                </c:pt>
                <c:pt idx="80">
                  <c:v>7</c:v>
                </c:pt>
                <c:pt idx="81">
                  <c:v>7</c:v>
                </c:pt>
                <c:pt idx="82">
                  <c:v>6</c:v>
                </c:pt>
                <c:pt idx="83">
                  <c:v>8</c:v>
                </c:pt>
                <c:pt idx="84">
                  <c:v>17</c:v>
                </c:pt>
                <c:pt idx="85">
                  <c:v>12</c:v>
                </c:pt>
                <c:pt idx="86">
                  <c:v>8</c:v>
                </c:pt>
                <c:pt idx="87">
                  <c:v>14</c:v>
                </c:pt>
                <c:pt idx="88">
                  <c:v>6</c:v>
                </c:pt>
                <c:pt idx="89">
                  <c:v>7</c:v>
                </c:pt>
                <c:pt idx="90">
                  <c:v>12</c:v>
                </c:pt>
                <c:pt idx="91">
                  <c:v>4</c:v>
                </c:pt>
                <c:pt idx="92">
                  <c:v>5</c:v>
                </c:pt>
                <c:pt idx="93">
                  <c:v>9</c:v>
                </c:pt>
                <c:pt idx="94">
                  <c:v>13</c:v>
                </c:pt>
                <c:pt idx="95">
                  <c:v>13</c:v>
                </c:pt>
                <c:pt idx="96">
                  <c:v>15</c:v>
                </c:pt>
                <c:pt idx="97">
                  <c:v>10</c:v>
                </c:pt>
                <c:pt idx="98">
                  <c:v>10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11</c:v>
                </c:pt>
                <c:pt idx="103">
                  <c:v>10</c:v>
                </c:pt>
                <c:pt idx="104">
                  <c:v>14</c:v>
                </c:pt>
                <c:pt idx="105">
                  <c:v>13</c:v>
                </c:pt>
                <c:pt idx="106">
                  <c:v>11</c:v>
                </c:pt>
                <c:pt idx="107">
                  <c:v>16</c:v>
                </c:pt>
                <c:pt idx="108">
                  <c:v>11</c:v>
                </c:pt>
                <c:pt idx="109">
                  <c:v>10</c:v>
                </c:pt>
                <c:pt idx="110">
                  <c:v>11</c:v>
                </c:pt>
                <c:pt idx="111">
                  <c:v>8</c:v>
                </c:pt>
                <c:pt idx="112">
                  <c:v>14</c:v>
                </c:pt>
                <c:pt idx="113">
                  <c:v>9</c:v>
                </c:pt>
                <c:pt idx="114">
                  <c:v>14</c:v>
                </c:pt>
                <c:pt idx="115">
                  <c:v>2</c:v>
                </c:pt>
                <c:pt idx="116">
                  <c:v>10</c:v>
                </c:pt>
                <c:pt idx="117">
                  <c:v>12</c:v>
                </c:pt>
                <c:pt idx="118">
                  <c:v>16</c:v>
                </c:pt>
                <c:pt idx="119">
                  <c:v>30</c:v>
                </c:pt>
                <c:pt idx="120">
                  <c:v>15</c:v>
                </c:pt>
                <c:pt idx="121">
                  <c:v>11</c:v>
                </c:pt>
                <c:pt idx="122">
                  <c:v>3</c:v>
                </c:pt>
                <c:pt idx="123">
                  <c:v>10</c:v>
                </c:pt>
                <c:pt idx="124">
                  <c:v>8</c:v>
                </c:pt>
                <c:pt idx="125">
                  <c:v>10</c:v>
                </c:pt>
                <c:pt idx="126">
                  <c:v>6</c:v>
                </c:pt>
                <c:pt idx="127">
                  <c:v>13</c:v>
                </c:pt>
                <c:pt idx="128">
                  <c:v>13</c:v>
                </c:pt>
                <c:pt idx="129">
                  <c:v>10</c:v>
                </c:pt>
                <c:pt idx="130">
                  <c:v>8</c:v>
                </c:pt>
                <c:pt idx="131">
                  <c:v>16</c:v>
                </c:pt>
                <c:pt idx="132">
                  <c:v>15</c:v>
                </c:pt>
                <c:pt idx="133">
                  <c:v>12</c:v>
                </c:pt>
                <c:pt idx="134">
                  <c:v>11</c:v>
                </c:pt>
                <c:pt idx="135">
                  <c:v>12</c:v>
                </c:pt>
                <c:pt idx="136">
                  <c:v>11</c:v>
                </c:pt>
                <c:pt idx="137">
                  <c:v>7</c:v>
                </c:pt>
                <c:pt idx="138">
                  <c:v>7</c:v>
                </c:pt>
                <c:pt idx="139">
                  <c:v>11</c:v>
                </c:pt>
                <c:pt idx="140">
                  <c:v>24</c:v>
                </c:pt>
                <c:pt idx="141">
                  <c:v>2</c:v>
                </c:pt>
                <c:pt idx="142">
                  <c:v>12</c:v>
                </c:pt>
                <c:pt idx="143">
                  <c:v>14</c:v>
                </c:pt>
                <c:pt idx="144">
                  <c:v>12</c:v>
                </c:pt>
                <c:pt idx="145">
                  <c:v>9</c:v>
                </c:pt>
                <c:pt idx="146">
                  <c:v>18</c:v>
                </c:pt>
                <c:pt idx="147">
                  <c:v>8</c:v>
                </c:pt>
                <c:pt idx="148">
                  <c:v>10</c:v>
                </c:pt>
                <c:pt idx="149">
                  <c:v>7</c:v>
                </c:pt>
                <c:pt idx="150">
                  <c:v>10</c:v>
                </c:pt>
                <c:pt idx="151">
                  <c:v>28</c:v>
                </c:pt>
                <c:pt idx="152">
                  <c:v>15</c:v>
                </c:pt>
                <c:pt idx="153">
                  <c:v>9</c:v>
                </c:pt>
                <c:pt idx="154">
                  <c:v>13</c:v>
                </c:pt>
                <c:pt idx="155">
                  <c:v>21</c:v>
                </c:pt>
                <c:pt idx="156">
                  <c:v>6</c:v>
                </c:pt>
                <c:pt idx="157">
                  <c:v>10</c:v>
                </c:pt>
                <c:pt idx="158">
                  <c:v>10</c:v>
                </c:pt>
                <c:pt idx="159">
                  <c:v>19</c:v>
                </c:pt>
                <c:pt idx="160">
                  <c:v>10</c:v>
                </c:pt>
                <c:pt idx="161">
                  <c:v>9</c:v>
                </c:pt>
                <c:pt idx="162">
                  <c:v>7</c:v>
                </c:pt>
                <c:pt idx="163">
                  <c:v>11</c:v>
                </c:pt>
                <c:pt idx="164">
                  <c:v>9</c:v>
                </c:pt>
                <c:pt idx="165">
                  <c:v>6</c:v>
                </c:pt>
                <c:pt idx="166">
                  <c:v>10</c:v>
                </c:pt>
                <c:pt idx="167">
                  <c:v>9</c:v>
                </c:pt>
                <c:pt idx="168">
                  <c:v>13</c:v>
                </c:pt>
                <c:pt idx="169">
                  <c:v>14</c:v>
                </c:pt>
                <c:pt idx="170">
                  <c:v>10</c:v>
                </c:pt>
                <c:pt idx="171">
                  <c:v>14</c:v>
                </c:pt>
                <c:pt idx="172">
                  <c:v>11</c:v>
                </c:pt>
                <c:pt idx="173">
                  <c:v>13</c:v>
                </c:pt>
                <c:pt idx="174">
                  <c:v>13</c:v>
                </c:pt>
                <c:pt idx="175">
                  <c:v>7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8</c:v>
                </c:pt>
                <c:pt idx="180">
                  <c:v>12</c:v>
                </c:pt>
                <c:pt idx="181">
                  <c:v>8</c:v>
                </c:pt>
                <c:pt idx="182">
                  <c:v>9</c:v>
                </c:pt>
                <c:pt idx="183">
                  <c:v>13</c:v>
                </c:pt>
                <c:pt idx="184">
                  <c:v>10</c:v>
                </c:pt>
                <c:pt idx="185">
                  <c:v>15</c:v>
                </c:pt>
                <c:pt idx="186">
                  <c:v>11</c:v>
                </c:pt>
                <c:pt idx="187">
                  <c:v>8</c:v>
                </c:pt>
                <c:pt idx="188">
                  <c:v>10</c:v>
                </c:pt>
                <c:pt idx="189">
                  <c:v>26</c:v>
                </c:pt>
                <c:pt idx="190">
                  <c:v>10</c:v>
                </c:pt>
                <c:pt idx="191">
                  <c:v>12</c:v>
                </c:pt>
                <c:pt idx="192">
                  <c:v>11</c:v>
                </c:pt>
                <c:pt idx="193">
                  <c:v>7</c:v>
                </c:pt>
                <c:pt idx="194">
                  <c:v>10</c:v>
                </c:pt>
                <c:pt idx="195">
                  <c:v>12</c:v>
                </c:pt>
                <c:pt idx="196">
                  <c:v>6</c:v>
                </c:pt>
                <c:pt idx="197">
                  <c:v>11</c:v>
                </c:pt>
                <c:pt idx="198">
                  <c:v>8</c:v>
                </c:pt>
                <c:pt idx="199">
                  <c:v>15</c:v>
                </c:pt>
                <c:pt idx="200">
                  <c:v>15</c:v>
                </c:pt>
                <c:pt idx="201">
                  <c:v>9</c:v>
                </c:pt>
                <c:pt idx="202">
                  <c:v>9</c:v>
                </c:pt>
                <c:pt idx="203">
                  <c:v>12</c:v>
                </c:pt>
                <c:pt idx="204">
                  <c:v>11</c:v>
                </c:pt>
                <c:pt idx="205">
                  <c:v>11</c:v>
                </c:pt>
                <c:pt idx="206">
                  <c:v>8</c:v>
                </c:pt>
                <c:pt idx="207">
                  <c:v>15</c:v>
                </c:pt>
                <c:pt idx="208">
                  <c:v>9</c:v>
                </c:pt>
                <c:pt idx="209">
                  <c:v>10</c:v>
                </c:pt>
                <c:pt idx="210">
                  <c:v>17</c:v>
                </c:pt>
                <c:pt idx="211">
                  <c:v>10</c:v>
                </c:pt>
                <c:pt idx="212">
                  <c:v>11</c:v>
                </c:pt>
                <c:pt idx="213">
                  <c:v>14</c:v>
                </c:pt>
                <c:pt idx="214">
                  <c:v>13</c:v>
                </c:pt>
                <c:pt idx="215">
                  <c:v>8</c:v>
                </c:pt>
                <c:pt idx="216">
                  <c:v>13</c:v>
                </c:pt>
                <c:pt idx="217">
                  <c:v>14</c:v>
                </c:pt>
                <c:pt idx="218">
                  <c:v>10</c:v>
                </c:pt>
                <c:pt idx="219">
                  <c:v>11</c:v>
                </c:pt>
                <c:pt idx="220">
                  <c:v>8</c:v>
                </c:pt>
                <c:pt idx="221">
                  <c:v>5</c:v>
                </c:pt>
                <c:pt idx="222">
                  <c:v>7</c:v>
                </c:pt>
                <c:pt idx="223">
                  <c:v>9</c:v>
                </c:pt>
                <c:pt idx="224">
                  <c:v>14</c:v>
                </c:pt>
                <c:pt idx="225">
                  <c:v>13</c:v>
                </c:pt>
                <c:pt idx="226">
                  <c:v>10</c:v>
                </c:pt>
                <c:pt idx="227">
                  <c:v>10</c:v>
                </c:pt>
                <c:pt idx="228">
                  <c:v>12</c:v>
                </c:pt>
                <c:pt idx="229">
                  <c:v>19</c:v>
                </c:pt>
                <c:pt idx="230">
                  <c:v>12</c:v>
                </c:pt>
                <c:pt idx="231">
                  <c:v>6</c:v>
                </c:pt>
                <c:pt idx="232">
                  <c:v>10</c:v>
                </c:pt>
                <c:pt idx="233">
                  <c:v>8</c:v>
                </c:pt>
                <c:pt idx="234">
                  <c:v>16</c:v>
                </c:pt>
                <c:pt idx="235">
                  <c:v>13</c:v>
                </c:pt>
                <c:pt idx="236">
                  <c:v>9</c:v>
                </c:pt>
                <c:pt idx="237">
                  <c:v>10</c:v>
                </c:pt>
                <c:pt idx="238">
                  <c:v>12</c:v>
                </c:pt>
                <c:pt idx="239">
                  <c:v>5</c:v>
                </c:pt>
                <c:pt idx="240">
                  <c:v>12</c:v>
                </c:pt>
                <c:pt idx="241">
                  <c:v>12</c:v>
                </c:pt>
                <c:pt idx="242">
                  <c:v>17</c:v>
                </c:pt>
                <c:pt idx="243">
                  <c:v>10</c:v>
                </c:pt>
                <c:pt idx="244">
                  <c:v>9</c:v>
                </c:pt>
                <c:pt idx="245">
                  <c:v>10</c:v>
                </c:pt>
                <c:pt idx="246">
                  <c:v>10</c:v>
                </c:pt>
                <c:pt idx="247">
                  <c:v>10</c:v>
                </c:pt>
                <c:pt idx="248">
                  <c:v>10</c:v>
                </c:pt>
                <c:pt idx="249">
                  <c:v>12</c:v>
                </c:pt>
                <c:pt idx="250">
                  <c:v>12</c:v>
                </c:pt>
                <c:pt idx="251">
                  <c:v>9</c:v>
                </c:pt>
                <c:pt idx="252">
                  <c:v>14</c:v>
                </c:pt>
                <c:pt idx="253">
                  <c:v>7</c:v>
                </c:pt>
                <c:pt idx="254">
                  <c:v>8</c:v>
                </c:pt>
                <c:pt idx="255">
                  <c:v>8</c:v>
                </c:pt>
                <c:pt idx="256">
                  <c:v>5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9</c:v>
                </c:pt>
                <c:pt idx="261">
                  <c:v>19</c:v>
                </c:pt>
                <c:pt idx="262">
                  <c:v>11</c:v>
                </c:pt>
                <c:pt idx="263">
                  <c:v>3</c:v>
                </c:pt>
                <c:pt idx="264">
                  <c:v>11</c:v>
                </c:pt>
                <c:pt idx="265">
                  <c:v>10</c:v>
                </c:pt>
                <c:pt idx="266">
                  <c:v>15</c:v>
                </c:pt>
                <c:pt idx="267">
                  <c:v>9</c:v>
                </c:pt>
                <c:pt idx="268">
                  <c:v>9</c:v>
                </c:pt>
                <c:pt idx="269">
                  <c:v>14</c:v>
                </c:pt>
                <c:pt idx="270">
                  <c:v>16</c:v>
                </c:pt>
                <c:pt idx="271">
                  <c:v>10</c:v>
                </c:pt>
                <c:pt idx="272">
                  <c:v>10</c:v>
                </c:pt>
                <c:pt idx="273">
                  <c:v>7</c:v>
                </c:pt>
                <c:pt idx="274">
                  <c:v>9</c:v>
                </c:pt>
                <c:pt idx="275">
                  <c:v>17</c:v>
                </c:pt>
                <c:pt idx="276">
                  <c:v>10</c:v>
                </c:pt>
                <c:pt idx="277">
                  <c:v>13</c:v>
                </c:pt>
                <c:pt idx="278">
                  <c:v>6</c:v>
                </c:pt>
                <c:pt idx="279">
                  <c:v>8</c:v>
                </c:pt>
                <c:pt idx="280">
                  <c:v>10</c:v>
                </c:pt>
                <c:pt idx="281">
                  <c:v>8</c:v>
                </c:pt>
                <c:pt idx="282">
                  <c:v>18</c:v>
                </c:pt>
                <c:pt idx="283">
                  <c:v>10</c:v>
                </c:pt>
                <c:pt idx="284">
                  <c:v>12</c:v>
                </c:pt>
                <c:pt idx="285">
                  <c:v>15</c:v>
                </c:pt>
                <c:pt idx="286">
                  <c:v>10</c:v>
                </c:pt>
                <c:pt idx="287">
                  <c:v>11</c:v>
                </c:pt>
                <c:pt idx="288">
                  <c:v>8</c:v>
                </c:pt>
                <c:pt idx="289">
                  <c:v>12</c:v>
                </c:pt>
                <c:pt idx="290">
                  <c:v>18</c:v>
                </c:pt>
                <c:pt idx="291">
                  <c:v>7</c:v>
                </c:pt>
                <c:pt idx="292">
                  <c:v>12</c:v>
                </c:pt>
                <c:pt idx="293">
                  <c:v>10</c:v>
                </c:pt>
                <c:pt idx="294">
                  <c:v>12</c:v>
                </c:pt>
                <c:pt idx="295">
                  <c:v>9</c:v>
                </c:pt>
                <c:pt idx="296">
                  <c:v>17</c:v>
                </c:pt>
                <c:pt idx="297">
                  <c:v>11</c:v>
                </c:pt>
                <c:pt idx="298">
                  <c:v>10</c:v>
                </c:pt>
                <c:pt idx="299">
                  <c:v>8</c:v>
                </c:pt>
              </c:numCache>
            </c:numRef>
          </c:xVal>
          <c:yVal>
            <c:numRef>
              <c:f>Graficos!$AU$1397:$AU$1696</c:f>
              <c:numCache>
                <c:formatCode>General</c:formatCode>
                <c:ptCount val="30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9.0299999999999994</c:v>
                </c:pt>
                <c:pt idx="39">
                  <c:v>9.0299999999999994</c:v>
                </c:pt>
                <c:pt idx="40">
                  <c:v>9.02</c:v>
                </c:pt>
                <c:pt idx="41">
                  <c:v>9.02</c:v>
                </c:pt>
                <c:pt idx="42">
                  <c:v>9</c:v>
                </c:pt>
                <c:pt idx="43">
                  <c:v>9</c:v>
                </c:pt>
                <c:pt idx="44">
                  <c:v>8.98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8.9700000000000006</c:v>
                </c:pt>
                <c:pt idx="49">
                  <c:v>8.9700000000000006</c:v>
                </c:pt>
                <c:pt idx="50">
                  <c:v>8.9600000000000009</c:v>
                </c:pt>
                <c:pt idx="51">
                  <c:v>8.9600000000000009</c:v>
                </c:pt>
                <c:pt idx="52">
                  <c:v>8.9600000000000009</c:v>
                </c:pt>
                <c:pt idx="53">
                  <c:v>8.9499999999999993</c:v>
                </c:pt>
                <c:pt idx="54">
                  <c:v>8.9499999999999993</c:v>
                </c:pt>
                <c:pt idx="55">
                  <c:v>8.94</c:v>
                </c:pt>
                <c:pt idx="56">
                  <c:v>8.93</c:v>
                </c:pt>
                <c:pt idx="57">
                  <c:v>8.93</c:v>
                </c:pt>
                <c:pt idx="58">
                  <c:v>8.93</c:v>
                </c:pt>
                <c:pt idx="59">
                  <c:v>8.92</c:v>
                </c:pt>
                <c:pt idx="60">
                  <c:v>8.92</c:v>
                </c:pt>
                <c:pt idx="61">
                  <c:v>8.92</c:v>
                </c:pt>
                <c:pt idx="62">
                  <c:v>8.92</c:v>
                </c:pt>
                <c:pt idx="63">
                  <c:v>8.91</c:v>
                </c:pt>
                <c:pt idx="64">
                  <c:v>8.89</c:v>
                </c:pt>
                <c:pt idx="65">
                  <c:v>8.89</c:v>
                </c:pt>
                <c:pt idx="66">
                  <c:v>8.8800000000000008</c:v>
                </c:pt>
                <c:pt idx="67">
                  <c:v>8.8800000000000008</c:v>
                </c:pt>
                <c:pt idx="68">
                  <c:v>8.8800000000000008</c:v>
                </c:pt>
                <c:pt idx="69">
                  <c:v>8.8699999999999992</c:v>
                </c:pt>
                <c:pt idx="70">
                  <c:v>8.8699999999999992</c:v>
                </c:pt>
                <c:pt idx="71">
                  <c:v>8.8699999999999992</c:v>
                </c:pt>
                <c:pt idx="72">
                  <c:v>8.86</c:v>
                </c:pt>
                <c:pt idx="73">
                  <c:v>8.86</c:v>
                </c:pt>
                <c:pt idx="74">
                  <c:v>8.85</c:v>
                </c:pt>
                <c:pt idx="75">
                  <c:v>8.85</c:v>
                </c:pt>
                <c:pt idx="76">
                  <c:v>8.84</c:v>
                </c:pt>
                <c:pt idx="77">
                  <c:v>8.84</c:v>
                </c:pt>
                <c:pt idx="78">
                  <c:v>8.84</c:v>
                </c:pt>
                <c:pt idx="79">
                  <c:v>8.84</c:v>
                </c:pt>
                <c:pt idx="80">
                  <c:v>8.84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8.83</c:v>
                </c:pt>
                <c:pt idx="87">
                  <c:v>8.83</c:v>
                </c:pt>
                <c:pt idx="88">
                  <c:v>8.83</c:v>
                </c:pt>
                <c:pt idx="89">
                  <c:v>8.82</c:v>
                </c:pt>
                <c:pt idx="90">
                  <c:v>8.81</c:v>
                </c:pt>
                <c:pt idx="91">
                  <c:v>8.81</c:v>
                </c:pt>
                <c:pt idx="92">
                  <c:v>8.81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8.7899999999999991</c:v>
                </c:pt>
                <c:pt idx="96">
                  <c:v>8.7899999999999991</c:v>
                </c:pt>
                <c:pt idx="97">
                  <c:v>8.7799999999999994</c:v>
                </c:pt>
                <c:pt idx="98">
                  <c:v>8.7799999999999994</c:v>
                </c:pt>
                <c:pt idx="99">
                  <c:v>8.7799999999999994</c:v>
                </c:pt>
                <c:pt idx="100">
                  <c:v>8.77</c:v>
                </c:pt>
                <c:pt idx="101">
                  <c:v>8.77</c:v>
                </c:pt>
                <c:pt idx="102">
                  <c:v>8.77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8.75</c:v>
                </c:pt>
                <c:pt idx="107">
                  <c:v>8.75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8.73</c:v>
                </c:pt>
                <c:pt idx="112">
                  <c:v>8.73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8.7200000000000006</c:v>
                </c:pt>
                <c:pt idx="116">
                  <c:v>8.7200000000000006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8.7100000000000009</c:v>
                </c:pt>
                <c:pt idx="122">
                  <c:v>8.7100000000000009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8.6999999999999993</c:v>
                </c:pt>
                <c:pt idx="127">
                  <c:v>8.6999999999999993</c:v>
                </c:pt>
                <c:pt idx="128">
                  <c:v>8.69</c:v>
                </c:pt>
                <c:pt idx="129">
                  <c:v>8.69</c:v>
                </c:pt>
                <c:pt idx="130">
                  <c:v>8.69</c:v>
                </c:pt>
                <c:pt idx="131">
                  <c:v>8.69</c:v>
                </c:pt>
                <c:pt idx="132">
                  <c:v>8.68</c:v>
                </c:pt>
                <c:pt idx="133">
                  <c:v>8.68</c:v>
                </c:pt>
                <c:pt idx="134">
                  <c:v>8.68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8.66</c:v>
                </c:pt>
                <c:pt idx="140">
                  <c:v>8.66</c:v>
                </c:pt>
                <c:pt idx="141">
                  <c:v>8.66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8.65</c:v>
                </c:pt>
                <c:pt idx="146">
                  <c:v>8.65</c:v>
                </c:pt>
                <c:pt idx="147">
                  <c:v>8.64</c:v>
                </c:pt>
                <c:pt idx="148">
                  <c:v>8.64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8.6300000000000008</c:v>
                </c:pt>
                <c:pt idx="152">
                  <c:v>8.6300000000000008</c:v>
                </c:pt>
                <c:pt idx="153">
                  <c:v>8.6300000000000008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</c:v>
                </c:pt>
                <c:pt idx="157">
                  <c:v>8.61</c:v>
                </c:pt>
                <c:pt idx="158">
                  <c:v>8.61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8.59</c:v>
                </c:pt>
                <c:pt idx="163">
                  <c:v>8.59</c:v>
                </c:pt>
                <c:pt idx="164">
                  <c:v>8.58</c:v>
                </c:pt>
                <c:pt idx="165">
                  <c:v>8.57</c:v>
                </c:pt>
                <c:pt idx="166">
                  <c:v>8.57</c:v>
                </c:pt>
                <c:pt idx="167">
                  <c:v>8.57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8.56</c:v>
                </c:pt>
                <c:pt idx="173">
                  <c:v>8.56</c:v>
                </c:pt>
                <c:pt idx="174">
                  <c:v>8.56</c:v>
                </c:pt>
                <c:pt idx="175">
                  <c:v>8.5500000000000007</c:v>
                </c:pt>
                <c:pt idx="176">
                  <c:v>8.5500000000000007</c:v>
                </c:pt>
                <c:pt idx="177">
                  <c:v>8.5500000000000007</c:v>
                </c:pt>
                <c:pt idx="178">
                  <c:v>8.5399999999999991</c:v>
                </c:pt>
                <c:pt idx="179">
                  <c:v>8.5399999999999991</c:v>
                </c:pt>
                <c:pt idx="180">
                  <c:v>8.5399999999999991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8.5299999999999994</c:v>
                </c:pt>
                <c:pt idx="186">
                  <c:v>8.5299999999999994</c:v>
                </c:pt>
                <c:pt idx="187">
                  <c:v>8.5299999999999994</c:v>
                </c:pt>
                <c:pt idx="188">
                  <c:v>8.52</c:v>
                </c:pt>
                <c:pt idx="189">
                  <c:v>8.52</c:v>
                </c:pt>
                <c:pt idx="190">
                  <c:v>8.52</c:v>
                </c:pt>
                <c:pt idx="191">
                  <c:v>8.51</c:v>
                </c:pt>
                <c:pt idx="192">
                  <c:v>8.51</c:v>
                </c:pt>
                <c:pt idx="193">
                  <c:v>8.51</c:v>
                </c:pt>
                <c:pt idx="194">
                  <c:v>8.5</c:v>
                </c:pt>
                <c:pt idx="195">
                  <c:v>8.5</c:v>
                </c:pt>
                <c:pt idx="196">
                  <c:v>8.5</c:v>
                </c:pt>
                <c:pt idx="197">
                  <c:v>8.5</c:v>
                </c:pt>
                <c:pt idx="198">
                  <c:v>8.5</c:v>
                </c:pt>
                <c:pt idx="199">
                  <c:v>8.49</c:v>
                </c:pt>
                <c:pt idx="200">
                  <c:v>8.48</c:v>
                </c:pt>
                <c:pt idx="201">
                  <c:v>8.48</c:v>
                </c:pt>
                <c:pt idx="202">
                  <c:v>8.48</c:v>
                </c:pt>
                <c:pt idx="203">
                  <c:v>8.4700000000000006</c:v>
                </c:pt>
                <c:pt idx="204">
                  <c:v>8.4700000000000006</c:v>
                </c:pt>
                <c:pt idx="205">
                  <c:v>8.4700000000000006</c:v>
                </c:pt>
                <c:pt idx="206">
                  <c:v>8.4600000000000009</c:v>
                </c:pt>
                <c:pt idx="207">
                  <c:v>8.4499999999999993</c:v>
                </c:pt>
                <c:pt idx="208">
                  <c:v>8.4499999999999993</c:v>
                </c:pt>
                <c:pt idx="209">
                  <c:v>8.4499999999999993</c:v>
                </c:pt>
                <c:pt idx="210">
                  <c:v>8.43</c:v>
                </c:pt>
                <c:pt idx="211">
                  <c:v>8.43</c:v>
                </c:pt>
                <c:pt idx="212">
                  <c:v>8.43</c:v>
                </c:pt>
                <c:pt idx="213">
                  <c:v>8.41</c:v>
                </c:pt>
                <c:pt idx="214">
                  <c:v>8.41</c:v>
                </c:pt>
                <c:pt idx="215">
                  <c:v>8.4</c:v>
                </c:pt>
                <c:pt idx="216">
                  <c:v>8.39</c:v>
                </c:pt>
                <c:pt idx="217">
                  <c:v>8.39</c:v>
                </c:pt>
                <c:pt idx="218">
                  <c:v>8.39</c:v>
                </c:pt>
                <c:pt idx="219">
                  <c:v>8.3800000000000008</c:v>
                </c:pt>
                <c:pt idx="220">
                  <c:v>8.3800000000000008</c:v>
                </c:pt>
                <c:pt idx="221">
                  <c:v>8.3699999999999992</c:v>
                </c:pt>
                <c:pt idx="222">
                  <c:v>8.3699999999999992</c:v>
                </c:pt>
                <c:pt idx="223">
                  <c:v>8.36</c:v>
                </c:pt>
                <c:pt idx="224">
                  <c:v>8.35</c:v>
                </c:pt>
                <c:pt idx="225">
                  <c:v>8.34</c:v>
                </c:pt>
                <c:pt idx="226">
                  <c:v>8.34</c:v>
                </c:pt>
                <c:pt idx="227">
                  <c:v>8.34</c:v>
                </c:pt>
                <c:pt idx="228">
                  <c:v>8.34</c:v>
                </c:pt>
                <c:pt idx="229">
                  <c:v>8.33</c:v>
                </c:pt>
                <c:pt idx="230">
                  <c:v>8.32</c:v>
                </c:pt>
                <c:pt idx="231">
                  <c:v>8.31</c:v>
                </c:pt>
                <c:pt idx="232">
                  <c:v>8.3000000000000007</c:v>
                </c:pt>
                <c:pt idx="233">
                  <c:v>8.3000000000000007</c:v>
                </c:pt>
                <c:pt idx="234">
                  <c:v>8.2799999999999994</c:v>
                </c:pt>
                <c:pt idx="235">
                  <c:v>8.27</c:v>
                </c:pt>
                <c:pt idx="236">
                  <c:v>8.27</c:v>
                </c:pt>
                <c:pt idx="237">
                  <c:v>8.27</c:v>
                </c:pt>
                <c:pt idx="238">
                  <c:v>8.25</c:v>
                </c:pt>
                <c:pt idx="239">
                  <c:v>8.25</c:v>
                </c:pt>
                <c:pt idx="240">
                  <c:v>8.24</c:v>
                </c:pt>
                <c:pt idx="241">
                  <c:v>8.24</c:v>
                </c:pt>
                <c:pt idx="242">
                  <c:v>8.23</c:v>
                </c:pt>
                <c:pt idx="243">
                  <c:v>8.2200000000000006</c:v>
                </c:pt>
                <c:pt idx="244">
                  <c:v>8.2200000000000006</c:v>
                </c:pt>
                <c:pt idx="245">
                  <c:v>8.2200000000000006</c:v>
                </c:pt>
                <c:pt idx="246">
                  <c:v>8.2100000000000009</c:v>
                </c:pt>
                <c:pt idx="247">
                  <c:v>8.1999999999999993</c:v>
                </c:pt>
                <c:pt idx="248">
                  <c:v>8.19</c:v>
                </c:pt>
                <c:pt idx="249">
                  <c:v>8.18</c:v>
                </c:pt>
                <c:pt idx="250">
                  <c:v>8.18</c:v>
                </c:pt>
                <c:pt idx="251">
                  <c:v>8.17</c:v>
                </c:pt>
                <c:pt idx="252">
                  <c:v>8.16</c:v>
                </c:pt>
                <c:pt idx="253">
                  <c:v>8.16</c:v>
                </c:pt>
                <c:pt idx="254">
                  <c:v>8.16</c:v>
                </c:pt>
                <c:pt idx="255">
                  <c:v>8.1300000000000008</c:v>
                </c:pt>
                <c:pt idx="256">
                  <c:v>8.1300000000000008</c:v>
                </c:pt>
                <c:pt idx="257">
                  <c:v>8.1300000000000008</c:v>
                </c:pt>
                <c:pt idx="258">
                  <c:v>8.11</c:v>
                </c:pt>
                <c:pt idx="259">
                  <c:v>8.1</c:v>
                </c:pt>
                <c:pt idx="260">
                  <c:v>8.07</c:v>
                </c:pt>
                <c:pt idx="261">
                  <c:v>8.06</c:v>
                </c:pt>
                <c:pt idx="262">
                  <c:v>8.06</c:v>
                </c:pt>
                <c:pt idx="263">
                  <c:v>8.06</c:v>
                </c:pt>
                <c:pt idx="264">
                  <c:v>8.0299999999999994</c:v>
                </c:pt>
                <c:pt idx="265">
                  <c:v>8.01</c:v>
                </c:pt>
                <c:pt idx="266">
                  <c:v>8</c:v>
                </c:pt>
                <c:pt idx="267">
                  <c:v>8</c:v>
                </c:pt>
                <c:pt idx="268">
                  <c:v>7.98</c:v>
                </c:pt>
                <c:pt idx="269">
                  <c:v>7.96</c:v>
                </c:pt>
                <c:pt idx="270">
                  <c:v>7.95</c:v>
                </c:pt>
                <c:pt idx="271">
                  <c:v>7.95</c:v>
                </c:pt>
                <c:pt idx="272">
                  <c:v>7.94</c:v>
                </c:pt>
                <c:pt idx="273">
                  <c:v>7.94</c:v>
                </c:pt>
                <c:pt idx="274">
                  <c:v>7.94</c:v>
                </c:pt>
                <c:pt idx="275">
                  <c:v>7.94</c:v>
                </c:pt>
                <c:pt idx="276">
                  <c:v>7.89</c:v>
                </c:pt>
                <c:pt idx="277">
                  <c:v>7.87</c:v>
                </c:pt>
                <c:pt idx="278">
                  <c:v>7.84</c:v>
                </c:pt>
                <c:pt idx="279">
                  <c:v>7.84</c:v>
                </c:pt>
                <c:pt idx="280">
                  <c:v>7.79</c:v>
                </c:pt>
                <c:pt idx="281">
                  <c:v>7.74</c:v>
                </c:pt>
                <c:pt idx="282">
                  <c:v>7.7</c:v>
                </c:pt>
                <c:pt idx="283">
                  <c:v>7.69</c:v>
                </c:pt>
                <c:pt idx="284">
                  <c:v>7.66</c:v>
                </c:pt>
                <c:pt idx="285">
                  <c:v>7.66</c:v>
                </c:pt>
                <c:pt idx="286">
                  <c:v>7.66</c:v>
                </c:pt>
                <c:pt idx="287">
                  <c:v>7.64</c:v>
                </c:pt>
                <c:pt idx="288">
                  <c:v>7.61</c:v>
                </c:pt>
                <c:pt idx="289">
                  <c:v>7.4</c:v>
                </c:pt>
                <c:pt idx="290">
                  <c:v>7.2</c:v>
                </c:pt>
                <c:pt idx="291">
                  <c:v>7.16</c:v>
                </c:pt>
                <c:pt idx="292">
                  <c:v>7.04</c:v>
                </c:pt>
                <c:pt idx="293">
                  <c:v>6.99</c:v>
                </c:pt>
                <c:pt idx="294">
                  <c:v>6.98</c:v>
                </c:pt>
                <c:pt idx="295">
                  <c:v>5.9</c:v>
                </c:pt>
                <c:pt idx="296">
                  <c:v>4.62</c:v>
                </c:pt>
                <c:pt idx="297">
                  <c:v>3.37</c:v>
                </c:pt>
                <c:pt idx="298">
                  <c:v>2.39</c:v>
                </c:pt>
                <c:pt idx="299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56-9748-9E59-126C070FF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84351"/>
        <c:axId val="340919167"/>
      </c:scatterChart>
      <c:valAx>
        <c:axId val="340884351"/>
        <c:scaling>
          <c:orientation val="minMax"/>
          <c:max val="4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919167"/>
        <c:crosses val="autoZero"/>
        <c:crossBetween val="midCat"/>
      </c:valAx>
      <c:valAx>
        <c:axId val="340919167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88435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Graficos!$AU$1699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Graficos!$AT$1700:$AT$1999</c:f>
              <c:numCache>
                <c:formatCode>General</c:formatCode>
                <c:ptCount val="300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0.91</c:v>
                </c:pt>
                <c:pt idx="11">
                  <c:v>0.8</c:v>
                </c:pt>
                <c:pt idx="12">
                  <c:v>0.78</c:v>
                </c:pt>
                <c:pt idx="13">
                  <c:v>0.73</c:v>
                </c:pt>
                <c:pt idx="14">
                  <c:v>0.8</c:v>
                </c:pt>
                <c:pt idx="15">
                  <c:v>0.75</c:v>
                </c:pt>
                <c:pt idx="16">
                  <c:v>0.92</c:v>
                </c:pt>
                <c:pt idx="17">
                  <c:v>0.83</c:v>
                </c:pt>
                <c:pt idx="18">
                  <c:v>1</c:v>
                </c:pt>
                <c:pt idx="19">
                  <c:v>0.87</c:v>
                </c:pt>
                <c:pt idx="20">
                  <c:v>0.85</c:v>
                </c:pt>
                <c:pt idx="21">
                  <c:v>0.86</c:v>
                </c:pt>
                <c:pt idx="22">
                  <c:v>0.78</c:v>
                </c:pt>
                <c:pt idx="23">
                  <c:v>0.69</c:v>
                </c:pt>
                <c:pt idx="24">
                  <c:v>0.74</c:v>
                </c:pt>
                <c:pt idx="25">
                  <c:v>0.93</c:v>
                </c:pt>
                <c:pt idx="26">
                  <c:v>0.88</c:v>
                </c:pt>
                <c:pt idx="27">
                  <c:v>0.78</c:v>
                </c:pt>
                <c:pt idx="28">
                  <c:v>0.92</c:v>
                </c:pt>
                <c:pt idx="29">
                  <c:v>0.96</c:v>
                </c:pt>
                <c:pt idx="30">
                  <c:v>0.85</c:v>
                </c:pt>
                <c:pt idx="31">
                  <c:v>0.82</c:v>
                </c:pt>
                <c:pt idx="32">
                  <c:v>0.88</c:v>
                </c:pt>
                <c:pt idx="33">
                  <c:v>0.8</c:v>
                </c:pt>
                <c:pt idx="34">
                  <c:v>0.86</c:v>
                </c:pt>
                <c:pt idx="35">
                  <c:v>0.87</c:v>
                </c:pt>
                <c:pt idx="36">
                  <c:v>0.96</c:v>
                </c:pt>
                <c:pt idx="37">
                  <c:v>0.84</c:v>
                </c:pt>
                <c:pt idx="38">
                  <c:v>0.94</c:v>
                </c:pt>
                <c:pt idx="39">
                  <c:v>0.57999999999999996</c:v>
                </c:pt>
                <c:pt idx="40">
                  <c:v>0.73</c:v>
                </c:pt>
                <c:pt idx="41">
                  <c:v>0.72</c:v>
                </c:pt>
                <c:pt idx="42">
                  <c:v>1.02</c:v>
                </c:pt>
                <c:pt idx="43">
                  <c:v>0.87</c:v>
                </c:pt>
                <c:pt idx="44">
                  <c:v>0.81</c:v>
                </c:pt>
                <c:pt idx="45">
                  <c:v>0.79</c:v>
                </c:pt>
                <c:pt idx="46">
                  <c:v>0.89</c:v>
                </c:pt>
                <c:pt idx="47">
                  <c:v>0.73</c:v>
                </c:pt>
                <c:pt idx="48">
                  <c:v>0.55000000000000004</c:v>
                </c:pt>
                <c:pt idx="49">
                  <c:v>0.79</c:v>
                </c:pt>
                <c:pt idx="50">
                  <c:v>0.6</c:v>
                </c:pt>
                <c:pt idx="51">
                  <c:v>0.61</c:v>
                </c:pt>
                <c:pt idx="52">
                  <c:v>0.32</c:v>
                </c:pt>
                <c:pt idx="53">
                  <c:v>0.76</c:v>
                </c:pt>
                <c:pt idx="54">
                  <c:v>0.55000000000000004</c:v>
                </c:pt>
                <c:pt idx="55">
                  <c:v>0.74</c:v>
                </c:pt>
                <c:pt idx="56">
                  <c:v>0.85</c:v>
                </c:pt>
                <c:pt idx="57">
                  <c:v>0.89</c:v>
                </c:pt>
                <c:pt idx="58">
                  <c:v>0.9</c:v>
                </c:pt>
                <c:pt idx="59">
                  <c:v>0.75</c:v>
                </c:pt>
                <c:pt idx="60">
                  <c:v>0.61</c:v>
                </c:pt>
                <c:pt idx="61">
                  <c:v>0.89</c:v>
                </c:pt>
                <c:pt idx="62">
                  <c:v>0.83</c:v>
                </c:pt>
                <c:pt idx="63">
                  <c:v>0.71</c:v>
                </c:pt>
                <c:pt idx="64">
                  <c:v>0.87</c:v>
                </c:pt>
                <c:pt idx="65">
                  <c:v>0.74</c:v>
                </c:pt>
                <c:pt idx="66">
                  <c:v>0.73</c:v>
                </c:pt>
                <c:pt idx="67">
                  <c:v>0.67</c:v>
                </c:pt>
                <c:pt idx="68">
                  <c:v>0.93</c:v>
                </c:pt>
                <c:pt idx="69">
                  <c:v>0.7</c:v>
                </c:pt>
                <c:pt idx="70">
                  <c:v>0.87</c:v>
                </c:pt>
                <c:pt idx="71">
                  <c:v>1.07</c:v>
                </c:pt>
                <c:pt idx="72">
                  <c:v>0.82</c:v>
                </c:pt>
                <c:pt idx="73">
                  <c:v>0.75</c:v>
                </c:pt>
                <c:pt idx="74">
                  <c:v>0.95</c:v>
                </c:pt>
                <c:pt idx="75">
                  <c:v>0.85</c:v>
                </c:pt>
                <c:pt idx="76">
                  <c:v>1.06</c:v>
                </c:pt>
                <c:pt idx="77">
                  <c:v>0.81</c:v>
                </c:pt>
                <c:pt idx="78">
                  <c:v>0.24</c:v>
                </c:pt>
                <c:pt idx="79">
                  <c:v>0.79</c:v>
                </c:pt>
                <c:pt idx="80">
                  <c:v>0.57999999999999996</c:v>
                </c:pt>
                <c:pt idx="81">
                  <c:v>0.69</c:v>
                </c:pt>
                <c:pt idx="82">
                  <c:v>0.67</c:v>
                </c:pt>
                <c:pt idx="83">
                  <c:v>0.79</c:v>
                </c:pt>
                <c:pt idx="84">
                  <c:v>0.73</c:v>
                </c:pt>
                <c:pt idx="85">
                  <c:v>0.86</c:v>
                </c:pt>
                <c:pt idx="86">
                  <c:v>0.79</c:v>
                </c:pt>
                <c:pt idx="87">
                  <c:v>0.71</c:v>
                </c:pt>
                <c:pt idx="88">
                  <c:v>0.45</c:v>
                </c:pt>
                <c:pt idx="89">
                  <c:v>0.52</c:v>
                </c:pt>
                <c:pt idx="90">
                  <c:v>0.99</c:v>
                </c:pt>
                <c:pt idx="91">
                  <c:v>0.74</c:v>
                </c:pt>
                <c:pt idx="92">
                  <c:v>0.93</c:v>
                </c:pt>
                <c:pt idx="93">
                  <c:v>0.97</c:v>
                </c:pt>
                <c:pt idx="94">
                  <c:v>0.99</c:v>
                </c:pt>
                <c:pt idx="95">
                  <c:v>0.86</c:v>
                </c:pt>
                <c:pt idx="96">
                  <c:v>0.89</c:v>
                </c:pt>
                <c:pt idx="97">
                  <c:v>0.55000000000000004</c:v>
                </c:pt>
                <c:pt idx="98">
                  <c:v>0.68</c:v>
                </c:pt>
                <c:pt idx="99">
                  <c:v>0.85</c:v>
                </c:pt>
                <c:pt idx="100">
                  <c:v>0.62</c:v>
                </c:pt>
                <c:pt idx="101">
                  <c:v>0.89</c:v>
                </c:pt>
                <c:pt idx="102">
                  <c:v>0.96</c:v>
                </c:pt>
                <c:pt idx="103">
                  <c:v>0.79</c:v>
                </c:pt>
                <c:pt idx="104">
                  <c:v>0.75</c:v>
                </c:pt>
                <c:pt idx="105">
                  <c:v>0.75</c:v>
                </c:pt>
                <c:pt idx="106">
                  <c:v>0.72</c:v>
                </c:pt>
                <c:pt idx="107">
                  <c:v>1.04</c:v>
                </c:pt>
                <c:pt idx="108">
                  <c:v>0.86</c:v>
                </c:pt>
                <c:pt idx="109">
                  <c:v>0.84</c:v>
                </c:pt>
                <c:pt idx="110">
                  <c:v>0.68</c:v>
                </c:pt>
                <c:pt idx="111">
                  <c:v>0.79</c:v>
                </c:pt>
                <c:pt idx="112">
                  <c:v>0.97</c:v>
                </c:pt>
                <c:pt idx="113">
                  <c:v>0.57999999999999996</c:v>
                </c:pt>
                <c:pt idx="114">
                  <c:v>0.66</c:v>
                </c:pt>
                <c:pt idx="115">
                  <c:v>0.25</c:v>
                </c:pt>
                <c:pt idx="116">
                  <c:v>0.83</c:v>
                </c:pt>
                <c:pt idx="117">
                  <c:v>0.85</c:v>
                </c:pt>
                <c:pt idx="118">
                  <c:v>0.86</c:v>
                </c:pt>
                <c:pt idx="119">
                  <c:v>0.65</c:v>
                </c:pt>
                <c:pt idx="120">
                  <c:v>0.91</c:v>
                </c:pt>
                <c:pt idx="121">
                  <c:v>0.68</c:v>
                </c:pt>
                <c:pt idx="122">
                  <c:v>0.47</c:v>
                </c:pt>
                <c:pt idx="123">
                  <c:v>0.75</c:v>
                </c:pt>
                <c:pt idx="124">
                  <c:v>0.83</c:v>
                </c:pt>
                <c:pt idx="125">
                  <c:v>0.68</c:v>
                </c:pt>
                <c:pt idx="126">
                  <c:v>0.69</c:v>
                </c:pt>
                <c:pt idx="127">
                  <c:v>0.86</c:v>
                </c:pt>
                <c:pt idx="128">
                  <c:v>0.61</c:v>
                </c:pt>
                <c:pt idx="129">
                  <c:v>0.98</c:v>
                </c:pt>
                <c:pt idx="130">
                  <c:v>0.7</c:v>
                </c:pt>
                <c:pt idx="131">
                  <c:v>0.73</c:v>
                </c:pt>
                <c:pt idx="132">
                  <c:v>0.7</c:v>
                </c:pt>
                <c:pt idx="133">
                  <c:v>0.88</c:v>
                </c:pt>
                <c:pt idx="134">
                  <c:v>0.64</c:v>
                </c:pt>
                <c:pt idx="135">
                  <c:v>0.89</c:v>
                </c:pt>
                <c:pt idx="136">
                  <c:v>0.75</c:v>
                </c:pt>
                <c:pt idx="137">
                  <c:v>0.7</c:v>
                </c:pt>
                <c:pt idx="138">
                  <c:v>0.7</c:v>
                </c:pt>
                <c:pt idx="139">
                  <c:v>0.86</c:v>
                </c:pt>
                <c:pt idx="140">
                  <c:v>0.89</c:v>
                </c:pt>
                <c:pt idx="141">
                  <c:v>0.75</c:v>
                </c:pt>
                <c:pt idx="142">
                  <c:v>0.78</c:v>
                </c:pt>
                <c:pt idx="143">
                  <c:v>0.75</c:v>
                </c:pt>
                <c:pt idx="144">
                  <c:v>1.33</c:v>
                </c:pt>
                <c:pt idx="145">
                  <c:v>0.56000000000000005</c:v>
                </c:pt>
                <c:pt idx="146">
                  <c:v>0.61</c:v>
                </c:pt>
                <c:pt idx="147">
                  <c:v>0.66</c:v>
                </c:pt>
                <c:pt idx="148">
                  <c:v>0.6</c:v>
                </c:pt>
                <c:pt idx="149">
                  <c:v>0.8</c:v>
                </c:pt>
                <c:pt idx="150">
                  <c:v>0.87</c:v>
                </c:pt>
                <c:pt idx="151">
                  <c:v>0.78</c:v>
                </c:pt>
                <c:pt idx="152">
                  <c:v>0.67</c:v>
                </c:pt>
                <c:pt idx="153">
                  <c:v>0.57999999999999996</c:v>
                </c:pt>
                <c:pt idx="154">
                  <c:v>0.89</c:v>
                </c:pt>
                <c:pt idx="155">
                  <c:v>0.56999999999999995</c:v>
                </c:pt>
                <c:pt idx="156">
                  <c:v>0.62</c:v>
                </c:pt>
                <c:pt idx="157">
                  <c:v>0.75</c:v>
                </c:pt>
                <c:pt idx="158">
                  <c:v>0.56000000000000005</c:v>
                </c:pt>
                <c:pt idx="159">
                  <c:v>0.96</c:v>
                </c:pt>
                <c:pt idx="160">
                  <c:v>0.97</c:v>
                </c:pt>
                <c:pt idx="161">
                  <c:v>0.61</c:v>
                </c:pt>
                <c:pt idx="162">
                  <c:v>0.56000000000000005</c:v>
                </c:pt>
                <c:pt idx="163">
                  <c:v>0.56999999999999995</c:v>
                </c:pt>
                <c:pt idx="164">
                  <c:v>0.62</c:v>
                </c:pt>
                <c:pt idx="165">
                  <c:v>0.75</c:v>
                </c:pt>
                <c:pt idx="166">
                  <c:v>0.82</c:v>
                </c:pt>
                <c:pt idx="167">
                  <c:v>0.67</c:v>
                </c:pt>
                <c:pt idx="168">
                  <c:v>0.72</c:v>
                </c:pt>
                <c:pt idx="169">
                  <c:v>0.96</c:v>
                </c:pt>
                <c:pt idx="170">
                  <c:v>0.71</c:v>
                </c:pt>
                <c:pt idx="171">
                  <c:v>0.77</c:v>
                </c:pt>
                <c:pt idx="172">
                  <c:v>0.5</c:v>
                </c:pt>
                <c:pt idx="173">
                  <c:v>0.8</c:v>
                </c:pt>
                <c:pt idx="174">
                  <c:v>0.63</c:v>
                </c:pt>
                <c:pt idx="175">
                  <c:v>0.74</c:v>
                </c:pt>
                <c:pt idx="176">
                  <c:v>1.24</c:v>
                </c:pt>
                <c:pt idx="177">
                  <c:v>0.64</c:v>
                </c:pt>
                <c:pt idx="178">
                  <c:v>1.02</c:v>
                </c:pt>
                <c:pt idx="179">
                  <c:v>1.06</c:v>
                </c:pt>
                <c:pt idx="180">
                  <c:v>0.71</c:v>
                </c:pt>
                <c:pt idx="181">
                  <c:v>0.79</c:v>
                </c:pt>
                <c:pt idx="182">
                  <c:v>0.66</c:v>
                </c:pt>
                <c:pt idx="183">
                  <c:v>0.68</c:v>
                </c:pt>
                <c:pt idx="184">
                  <c:v>0.57999999999999996</c:v>
                </c:pt>
                <c:pt idx="185">
                  <c:v>0.69</c:v>
                </c:pt>
                <c:pt idx="186">
                  <c:v>0.61</c:v>
                </c:pt>
                <c:pt idx="187">
                  <c:v>0.78</c:v>
                </c:pt>
                <c:pt idx="188">
                  <c:v>0.66</c:v>
                </c:pt>
                <c:pt idx="189">
                  <c:v>0.62</c:v>
                </c:pt>
                <c:pt idx="190">
                  <c:v>0.62</c:v>
                </c:pt>
                <c:pt idx="191">
                  <c:v>0.76</c:v>
                </c:pt>
                <c:pt idx="192">
                  <c:v>0.76</c:v>
                </c:pt>
                <c:pt idx="193">
                  <c:v>0.57999999999999996</c:v>
                </c:pt>
                <c:pt idx="194">
                  <c:v>0.83</c:v>
                </c:pt>
                <c:pt idx="195">
                  <c:v>0.67</c:v>
                </c:pt>
                <c:pt idx="196">
                  <c:v>0.79</c:v>
                </c:pt>
                <c:pt idx="197">
                  <c:v>0.7</c:v>
                </c:pt>
                <c:pt idx="198">
                  <c:v>0.63</c:v>
                </c:pt>
                <c:pt idx="199">
                  <c:v>0.6</c:v>
                </c:pt>
                <c:pt idx="200">
                  <c:v>1.22</c:v>
                </c:pt>
                <c:pt idx="201">
                  <c:v>0.73</c:v>
                </c:pt>
                <c:pt idx="202">
                  <c:v>0.68</c:v>
                </c:pt>
                <c:pt idx="203">
                  <c:v>0.69</c:v>
                </c:pt>
                <c:pt idx="204">
                  <c:v>0.78</c:v>
                </c:pt>
                <c:pt idx="205">
                  <c:v>0.8</c:v>
                </c:pt>
                <c:pt idx="206">
                  <c:v>0.35</c:v>
                </c:pt>
                <c:pt idx="207">
                  <c:v>0.96</c:v>
                </c:pt>
                <c:pt idx="208">
                  <c:v>0.41</c:v>
                </c:pt>
                <c:pt idx="209">
                  <c:v>0.59</c:v>
                </c:pt>
                <c:pt idx="210">
                  <c:v>0.59</c:v>
                </c:pt>
                <c:pt idx="211">
                  <c:v>0.53</c:v>
                </c:pt>
                <c:pt idx="212">
                  <c:v>0.67</c:v>
                </c:pt>
                <c:pt idx="213">
                  <c:v>0.81</c:v>
                </c:pt>
                <c:pt idx="214">
                  <c:v>0.73</c:v>
                </c:pt>
                <c:pt idx="215">
                  <c:v>0.99</c:v>
                </c:pt>
                <c:pt idx="216">
                  <c:v>0.84</c:v>
                </c:pt>
                <c:pt idx="217">
                  <c:v>0.83</c:v>
                </c:pt>
                <c:pt idx="218">
                  <c:v>0.55000000000000004</c:v>
                </c:pt>
                <c:pt idx="219">
                  <c:v>0.78</c:v>
                </c:pt>
                <c:pt idx="220">
                  <c:v>0.49</c:v>
                </c:pt>
                <c:pt idx="221">
                  <c:v>0.37</c:v>
                </c:pt>
                <c:pt idx="222">
                  <c:v>0.37</c:v>
                </c:pt>
                <c:pt idx="223">
                  <c:v>0.39</c:v>
                </c:pt>
                <c:pt idx="224">
                  <c:v>0.72</c:v>
                </c:pt>
                <c:pt idx="225">
                  <c:v>0.91</c:v>
                </c:pt>
                <c:pt idx="226">
                  <c:v>1.28</c:v>
                </c:pt>
                <c:pt idx="227">
                  <c:v>0.69</c:v>
                </c:pt>
                <c:pt idx="228">
                  <c:v>0.91</c:v>
                </c:pt>
                <c:pt idx="229">
                  <c:v>0.78</c:v>
                </c:pt>
                <c:pt idx="230">
                  <c:v>0.79</c:v>
                </c:pt>
                <c:pt idx="231">
                  <c:v>0.89</c:v>
                </c:pt>
                <c:pt idx="232">
                  <c:v>0.73</c:v>
                </c:pt>
                <c:pt idx="233">
                  <c:v>0.25</c:v>
                </c:pt>
                <c:pt idx="234">
                  <c:v>0.67</c:v>
                </c:pt>
                <c:pt idx="235">
                  <c:v>1.1299999999999999</c:v>
                </c:pt>
                <c:pt idx="236">
                  <c:v>0.45</c:v>
                </c:pt>
                <c:pt idx="237">
                  <c:v>0.5</c:v>
                </c:pt>
                <c:pt idx="238">
                  <c:v>1.06</c:v>
                </c:pt>
                <c:pt idx="239">
                  <c:v>0.86</c:v>
                </c:pt>
                <c:pt idx="240">
                  <c:v>0.95</c:v>
                </c:pt>
                <c:pt idx="241">
                  <c:v>0.87</c:v>
                </c:pt>
                <c:pt idx="242">
                  <c:v>1.1299999999999999</c:v>
                </c:pt>
                <c:pt idx="243">
                  <c:v>1.32</c:v>
                </c:pt>
                <c:pt idx="244">
                  <c:v>0.87</c:v>
                </c:pt>
                <c:pt idx="245">
                  <c:v>0.5</c:v>
                </c:pt>
                <c:pt idx="246">
                  <c:v>0.95</c:v>
                </c:pt>
                <c:pt idx="247">
                  <c:v>0.78</c:v>
                </c:pt>
                <c:pt idx="248">
                  <c:v>0.87</c:v>
                </c:pt>
                <c:pt idx="249">
                  <c:v>0.6</c:v>
                </c:pt>
                <c:pt idx="250">
                  <c:v>0.6</c:v>
                </c:pt>
                <c:pt idx="251">
                  <c:v>0.94</c:v>
                </c:pt>
                <c:pt idx="252">
                  <c:v>0.89</c:v>
                </c:pt>
                <c:pt idx="253">
                  <c:v>0.52</c:v>
                </c:pt>
                <c:pt idx="254">
                  <c:v>0.93</c:v>
                </c:pt>
                <c:pt idx="255">
                  <c:v>0.97</c:v>
                </c:pt>
                <c:pt idx="256">
                  <c:v>0.24</c:v>
                </c:pt>
                <c:pt idx="257">
                  <c:v>0.86</c:v>
                </c:pt>
                <c:pt idx="258">
                  <c:v>1.19</c:v>
                </c:pt>
                <c:pt idx="259">
                  <c:v>0.84</c:v>
                </c:pt>
                <c:pt idx="260">
                  <c:v>0.47</c:v>
                </c:pt>
                <c:pt idx="261">
                  <c:v>0.89</c:v>
                </c:pt>
                <c:pt idx="262">
                  <c:v>0.86</c:v>
                </c:pt>
                <c:pt idx="263">
                  <c:v>0.62</c:v>
                </c:pt>
                <c:pt idx="264">
                  <c:v>0.46</c:v>
                </c:pt>
                <c:pt idx="265">
                  <c:v>0.81</c:v>
                </c:pt>
                <c:pt idx="266">
                  <c:v>0.71</c:v>
                </c:pt>
                <c:pt idx="267">
                  <c:v>0.7</c:v>
                </c:pt>
                <c:pt idx="268">
                  <c:v>0.56000000000000005</c:v>
                </c:pt>
                <c:pt idx="269">
                  <c:v>0.57999999999999996</c:v>
                </c:pt>
                <c:pt idx="270">
                  <c:v>1.07</c:v>
                </c:pt>
                <c:pt idx="271">
                  <c:v>0.72</c:v>
                </c:pt>
                <c:pt idx="272">
                  <c:v>0.45</c:v>
                </c:pt>
                <c:pt idx="273">
                  <c:v>0.5</c:v>
                </c:pt>
                <c:pt idx="274">
                  <c:v>0.47</c:v>
                </c:pt>
                <c:pt idx="275">
                  <c:v>0.78</c:v>
                </c:pt>
                <c:pt idx="276">
                  <c:v>0.56999999999999995</c:v>
                </c:pt>
                <c:pt idx="277">
                  <c:v>0.57999999999999996</c:v>
                </c:pt>
                <c:pt idx="278">
                  <c:v>0.79</c:v>
                </c:pt>
                <c:pt idx="279">
                  <c:v>0.48</c:v>
                </c:pt>
                <c:pt idx="280">
                  <c:v>0.88</c:v>
                </c:pt>
                <c:pt idx="281">
                  <c:v>0.86</c:v>
                </c:pt>
                <c:pt idx="282">
                  <c:v>0.57999999999999996</c:v>
                </c:pt>
                <c:pt idx="283">
                  <c:v>0.51</c:v>
                </c:pt>
                <c:pt idx="284">
                  <c:v>0.59</c:v>
                </c:pt>
                <c:pt idx="285">
                  <c:v>0.73</c:v>
                </c:pt>
                <c:pt idx="286">
                  <c:v>0.75</c:v>
                </c:pt>
                <c:pt idx="287">
                  <c:v>0.62</c:v>
                </c:pt>
                <c:pt idx="288">
                  <c:v>0.45</c:v>
                </c:pt>
                <c:pt idx="289">
                  <c:v>0.76</c:v>
                </c:pt>
                <c:pt idx="290">
                  <c:v>0.73</c:v>
                </c:pt>
                <c:pt idx="291">
                  <c:v>0.52</c:v>
                </c:pt>
                <c:pt idx="292">
                  <c:v>0.72</c:v>
                </c:pt>
                <c:pt idx="293">
                  <c:v>0.44</c:v>
                </c:pt>
                <c:pt idx="294">
                  <c:v>1.07</c:v>
                </c:pt>
                <c:pt idx="295">
                  <c:v>1.19</c:v>
                </c:pt>
                <c:pt idx="296">
                  <c:v>1.72</c:v>
                </c:pt>
                <c:pt idx="297">
                  <c:v>1.37</c:v>
                </c:pt>
                <c:pt idx="298">
                  <c:v>1.3</c:v>
                </c:pt>
                <c:pt idx="299">
                  <c:v>0.7</c:v>
                </c:pt>
              </c:numCache>
            </c:numRef>
          </c:xVal>
          <c:yVal>
            <c:numRef>
              <c:f>Graficos!$AU$1700:$AU$1999</c:f>
              <c:numCache>
                <c:formatCode>General</c:formatCode>
                <c:ptCount val="300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9.0299999999999994</c:v>
                </c:pt>
                <c:pt idx="39">
                  <c:v>9.0299999999999994</c:v>
                </c:pt>
                <c:pt idx="40">
                  <c:v>9.02</c:v>
                </c:pt>
                <c:pt idx="41">
                  <c:v>9.02</c:v>
                </c:pt>
                <c:pt idx="42">
                  <c:v>9</c:v>
                </c:pt>
                <c:pt idx="43">
                  <c:v>9</c:v>
                </c:pt>
                <c:pt idx="44">
                  <c:v>8.98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8.9700000000000006</c:v>
                </c:pt>
                <c:pt idx="49">
                  <c:v>8.9700000000000006</c:v>
                </c:pt>
                <c:pt idx="50">
                  <c:v>8.9600000000000009</c:v>
                </c:pt>
                <c:pt idx="51">
                  <c:v>8.9600000000000009</c:v>
                </c:pt>
                <c:pt idx="52">
                  <c:v>8.9600000000000009</c:v>
                </c:pt>
                <c:pt idx="53">
                  <c:v>8.9499999999999993</c:v>
                </c:pt>
                <c:pt idx="54">
                  <c:v>8.9499999999999993</c:v>
                </c:pt>
                <c:pt idx="55">
                  <c:v>8.94</c:v>
                </c:pt>
                <c:pt idx="56">
                  <c:v>8.93</c:v>
                </c:pt>
                <c:pt idx="57">
                  <c:v>8.93</c:v>
                </c:pt>
                <c:pt idx="58">
                  <c:v>8.93</c:v>
                </c:pt>
                <c:pt idx="59">
                  <c:v>8.92</c:v>
                </c:pt>
                <c:pt idx="60">
                  <c:v>8.92</c:v>
                </c:pt>
                <c:pt idx="61">
                  <c:v>8.92</c:v>
                </c:pt>
                <c:pt idx="62">
                  <c:v>8.92</c:v>
                </c:pt>
                <c:pt idx="63">
                  <c:v>8.91</c:v>
                </c:pt>
                <c:pt idx="64">
                  <c:v>8.89</c:v>
                </c:pt>
                <c:pt idx="65">
                  <c:v>8.89</c:v>
                </c:pt>
                <c:pt idx="66">
                  <c:v>8.8800000000000008</c:v>
                </c:pt>
                <c:pt idx="67">
                  <c:v>8.8800000000000008</c:v>
                </c:pt>
                <c:pt idx="68">
                  <c:v>8.8800000000000008</c:v>
                </c:pt>
                <c:pt idx="69">
                  <c:v>8.8699999999999992</c:v>
                </c:pt>
                <c:pt idx="70">
                  <c:v>8.8699999999999992</c:v>
                </c:pt>
                <c:pt idx="71">
                  <c:v>8.8699999999999992</c:v>
                </c:pt>
                <c:pt idx="72">
                  <c:v>8.86</c:v>
                </c:pt>
                <c:pt idx="73">
                  <c:v>8.86</c:v>
                </c:pt>
                <c:pt idx="74">
                  <c:v>8.85</c:v>
                </c:pt>
                <c:pt idx="75">
                  <c:v>8.85</c:v>
                </c:pt>
                <c:pt idx="76">
                  <c:v>8.84</c:v>
                </c:pt>
                <c:pt idx="77">
                  <c:v>8.84</c:v>
                </c:pt>
                <c:pt idx="78">
                  <c:v>8.84</c:v>
                </c:pt>
                <c:pt idx="79">
                  <c:v>8.84</c:v>
                </c:pt>
                <c:pt idx="80">
                  <c:v>8.84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8.83</c:v>
                </c:pt>
                <c:pt idx="87">
                  <c:v>8.83</c:v>
                </c:pt>
                <c:pt idx="88">
                  <c:v>8.83</c:v>
                </c:pt>
                <c:pt idx="89">
                  <c:v>8.82</c:v>
                </c:pt>
                <c:pt idx="90">
                  <c:v>8.81</c:v>
                </c:pt>
                <c:pt idx="91">
                  <c:v>8.81</c:v>
                </c:pt>
                <c:pt idx="92">
                  <c:v>8.81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8.7899999999999991</c:v>
                </c:pt>
                <c:pt idx="96">
                  <c:v>8.7899999999999991</c:v>
                </c:pt>
                <c:pt idx="97">
                  <c:v>8.7799999999999994</c:v>
                </c:pt>
                <c:pt idx="98">
                  <c:v>8.7799999999999994</c:v>
                </c:pt>
                <c:pt idx="99">
                  <c:v>8.7799999999999994</c:v>
                </c:pt>
                <c:pt idx="100">
                  <c:v>8.77</c:v>
                </c:pt>
                <c:pt idx="101">
                  <c:v>8.77</c:v>
                </c:pt>
                <c:pt idx="102">
                  <c:v>8.77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8.75</c:v>
                </c:pt>
                <c:pt idx="107">
                  <c:v>8.75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8.73</c:v>
                </c:pt>
                <c:pt idx="112">
                  <c:v>8.73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8.7200000000000006</c:v>
                </c:pt>
                <c:pt idx="116">
                  <c:v>8.7200000000000006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8.7100000000000009</c:v>
                </c:pt>
                <c:pt idx="122">
                  <c:v>8.7100000000000009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8.6999999999999993</c:v>
                </c:pt>
                <c:pt idx="127">
                  <c:v>8.6999999999999993</c:v>
                </c:pt>
                <c:pt idx="128">
                  <c:v>8.69</c:v>
                </c:pt>
                <c:pt idx="129">
                  <c:v>8.69</c:v>
                </c:pt>
                <c:pt idx="130">
                  <c:v>8.69</c:v>
                </c:pt>
                <c:pt idx="131">
                  <c:v>8.69</c:v>
                </c:pt>
                <c:pt idx="132">
                  <c:v>8.68</c:v>
                </c:pt>
                <c:pt idx="133">
                  <c:v>8.68</c:v>
                </c:pt>
                <c:pt idx="134">
                  <c:v>8.68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8.66</c:v>
                </c:pt>
                <c:pt idx="140">
                  <c:v>8.66</c:v>
                </c:pt>
                <c:pt idx="141">
                  <c:v>8.66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8.65</c:v>
                </c:pt>
                <c:pt idx="146">
                  <c:v>8.65</c:v>
                </c:pt>
                <c:pt idx="147">
                  <c:v>8.64</c:v>
                </c:pt>
                <c:pt idx="148">
                  <c:v>8.64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8.6300000000000008</c:v>
                </c:pt>
                <c:pt idx="152">
                  <c:v>8.6300000000000008</c:v>
                </c:pt>
                <c:pt idx="153">
                  <c:v>8.6300000000000008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</c:v>
                </c:pt>
                <c:pt idx="157">
                  <c:v>8.61</c:v>
                </c:pt>
                <c:pt idx="158">
                  <c:v>8.61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8.59</c:v>
                </c:pt>
                <c:pt idx="163">
                  <c:v>8.59</c:v>
                </c:pt>
                <c:pt idx="164">
                  <c:v>8.58</c:v>
                </c:pt>
                <c:pt idx="165">
                  <c:v>8.57</c:v>
                </c:pt>
                <c:pt idx="166">
                  <c:v>8.57</c:v>
                </c:pt>
                <c:pt idx="167">
                  <c:v>8.57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8.56</c:v>
                </c:pt>
                <c:pt idx="173">
                  <c:v>8.56</c:v>
                </c:pt>
                <c:pt idx="174">
                  <c:v>8.56</c:v>
                </c:pt>
                <c:pt idx="175">
                  <c:v>8.5500000000000007</c:v>
                </c:pt>
                <c:pt idx="176">
                  <c:v>8.5500000000000007</c:v>
                </c:pt>
                <c:pt idx="177">
                  <c:v>8.5500000000000007</c:v>
                </c:pt>
                <c:pt idx="178">
                  <c:v>8.5399999999999991</c:v>
                </c:pt>
                <c:pt idx="179">
                  <c:v>8.5399999999999991</c:v>
                </c:pt>
                <c:pt idx="180">
                  <c:v>8.5399999999999991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8.5299999999999994</c:v>
                </c:pt>
                <c:pt idx="186">
                  <c:v>8.5299999999999994</c:v>
                </c:pt>
                <c:pt idx="187">
                  <c:v>8.5299999999999994</c:v>
                </c:pt>
                <c:pt idx="188">
                  <c:v>8.52</c:v>
                </c:pt>
                <c:pt idx="189">
                  <c:v>8.52</c:v>
                </c:pt>
                <c:pt idx="190">
                  <c:v>8.52</c:v>
                </c:pt>
                <c:pt idx="191">
                  <c:v>8.51</c:v>
                </c:pt>
                <c:pt idx="192">
                  <c:v>8.51</c:v>
                </c:pt>
                <c:pt idx="193">
                  <c:v>8.51</c:v>
                </c:pt>
                <c:pt idx="194">
                  <c:v>8.5</c:v>
                </c:pt>
                <c:pt idx="195">
                  <c:v>8.5</c:v>
                </c:pt>
                <c:pt idx="196">
                  <c:v>8.5</c:v>
                </c:pt>
                <c:pt idx="197">
                  <c:v>8.5</c:v>
                </c:pt>
                <c:pt idx="198">
                  <c:v>8.5</c:v>
                </c:pt>
                <c:pt idx="199">
                  <c:v>8.49</c:v>
                </c:pt>
                <c:pt idx="200">
                  <c:v>8.48</c:v>
                </c:pt>
                <c:pt idx="201">
                  <c:v>8.48</c:v>
                </c:pt>
                <c:pt idx="202">
                  <c:v>8.48</c:v>
                </c:pt>
                <c:pt idx="203">
                  <c:v>8.4700000000000006</c:v>
                </c:pt>
                <c:pt idx="204">
                  <c:v>8.4700000000000006</c:v>
                </c:pt>
                <c:pt idx="205">
                  <c:v>8.4700000000000006</c:v>
                </c:pt>
                <c:pt idx="206">
                  <c:v>8.4600000000000009</c:v>
                </c:pt>
                <c:pt idx="207">
                  <c:v>8.4499999999999993</c:v>
                </c:pt>
                <c:pt idx="208">
                  <c:v>8.4499999999999993</c:v>
                </c:pt>
                <c:pt idx="209">
                  <c:v>8.4499999999999993</c:v>
                </c:pt>
                <c:pt idx="210">
                  <c:v>8.43</c:v>
                </c:pt>
                <c:pt idx="211">
                  <c:v>8.43</c:v>
                </c:pt>
                <c:pt idx="212">
                  <c:v>8.43</c:v>
                </c:pt>
                <c:pt idx="213">
                  <c:v>8.41</c:v>
                </c:pt>
                <c:pt idx="214">
                  <c:v>8.41</c:v>
                </c:pt>
                <c:pt idx="215">
                  <c:v>8.4</c:v>
                </c:pt>
                <c:pt idx="216">
                  <c:v>8.39</c:v>
                </c:pt>
                <c:pt idx="217">
                  <c:v>8.39</c:v>
                </c:pt>
                <c:pt idx="218">
                  <c:v>8.39</c:v>
                </c:pt>
                <c:pt idx="219">
                  <c:v>8.3800000000000008</c:v>
                </c:pt>
                <c:pt idx="220">
                  <c:v>8.3800000000000008</c:v>
                </c:pt>
                <c:pt idx="221">
                  <c:v>8.3699999999999992</c:v>
                </c:pt>
                <c:pt idx="222">
                  <c:v>8.3699999999999992</c:v>
                </c:pt>
                <c:pt idx="223">
                  <c:v>8.36</c:v>
                </c:pt>
                <c:pt idx="224">
                  <c:v>8.35</c:v>
                </c:pt>
                <c:pt idx="225">
                  <c:v>8.34</c:v>
                </c:pt>
                <c:pt idx="226">
                  <c:v>8.34</c:v>
                </c:pt>
                <c:pt idx="227">
                  <c:v>8.34</c:v>
                </c:pt>
                <c:pt idx="228">
                  <c:v>8.34</c:v>
                </c:pt>
                <c:pt idx="229">
                  <c:v>8.33</c:v>
                </c:pt>
                <c:pt idx="230">
                  <c:v>8.32</c:v>
                </c:pt>
                <c:pt idx="231">
                  <c:v>8.31</c:v>
                </c:pt>
                <c:pt idx="232">
                  <c:v>8.3000000000000007</c:v>
                </c:pt>
                <c:pt idx="233">
                  <c:v>8.3000000000000007</c:v>
                </c:pt>
                <c:pt idx="234">
                  <c:v>8.2799999999999994</c:v>
                </c:pt>
                <c:pt idx="235">
                  <c:v>8.27</c:v>
                </c:pt>
                <c:pt idx="236">
                  <c:v>8.27</c:v>
                </c:pt>
                <c:pt idx="237">
                  <c:v>8.27</c:v>
                </c:pt>
                <c:pt idx="238">
                  <c:v>8.25</c:v>
                </c:pt>
                <c:pt idx="239">
                  <c:v>8.25</c:v>
                </c:pt>
                <c:pt idx="240">
                  <c:v>8.24</c:v>
                </c:pt>
                <c:pt idx="241">
                  <c:v>8.24</c:v>
                </c:pt>
                <c:pt idx="242">
                  <c:v>8.23</c:v>
                </c:pt>
                <c:pt idx="243">
                  <c:v>8.2200000000000006</c:v>
                </c:pt>
                <c:pt idx="244">
                  <c:v>8.2200000000000006</c:v>
                </c:pt>
                <c:pt idx="245">
                  <c:v>8.2200000000000006</c:v>
                </c:pt>
                <c:pt idx="246">
                  <c:v>8.2100000000000009</c:v>
                </c:pt>
                <c:pt idx="247">
                  <c:v>8.1999999999999993</c:v>
                </c:pt>
                <c:pt idx="248">
                  <c:v>8.19</c:v>
                </c:pt>
                <c:pt idx="249">
                  <c:v>8.18</c:v>
                </c:pt>
                <c:pt idx="250">
                  <c:v>8.18</c:v>
                </c:pt>
                <c:pt idx="251">
                  <c:v>8.17</c:v>
                </c:pt>
                <c:pt idx="252">
                  <c:v>8.16</c:v>
                </c:pt>
                <c:pt idx="253">
                  <c:v>8.16</c:v>
                </c:pt>
                <c:pt idx="254">
                  <c:v>8.16</c:v>
                </c:pt>
                <c:pt idx="255">
                  <c:v>8.1300000000000008</c:v>
                </c:pt>
                <c:pt idx="256">
                  <c:v>8.1300000000000008</c:v>
                </c:pt>
                <c:pt idx="257">
                  <c:v>8.1300000000000008</c:v>
                </c:pt>
                <c:pt idx="258">
                  <c:v>8.11</c:v>
                </c:pt>
                <c:pt idx="259">
                  <c:v>8.1</c:v>
                </c:pt>
                <c:pt idx="260">
                  <c:v>8.07</c:v>
                </c:pt>
                <c:pt idx="261">
                  <c:v>8.06</c:v>
                </c:pt>
                <c:pt idx="262">
                  <c:v>8.06</c:v>
                </c:pt>
                <c:pt idx="263">
                  <c:v>8.06</c:v>
                </c:pt>
                <c:pt idx="264">
                  <c:v>8.0299999999999994</c:v>
                </c:pt>
                <c:pt idx="265">
                  <c:v>8.01</c:v>
                </c:pt>
                <c:pt idx="266">
                  <c:v>8</c:v>
                </c:pt>
                <c:pt idx="267">
                  <c:v>8</c:v>
                </c:pt>
                <c:pt idx="268">
                  <c:v>7.98</c:v>
                </c:pt>
                <c:pt idx="269">
                  <c:v>7.96</c:v>
                </c:pt>
                <c:pt idx="270">
                  <c:v>7.95</c:v>
                </c:pt>
                <c:pt idx="271">
                  <c:v>7.95</c:v>
                </c:pt>
                <c:pt idx="272">
                  <c:v>7.94</c:v>
                </c:pt>
                <c:pt idx="273">
                  <c:v>7.94</c:v>
                </c:pt>
                <c:pt idx="274">
                  <c:v>7.94</c:v>
                </c:pt>
                <c:pt idx="275">
                  <c:v>7.94</c:v>
                </c:pt>
                <c:pt idx="276">
                  <c:v>7.89</c:v>
                </c:pt>
                <c:pt idx="277">
                  <c:v>7.87</c:v>
                </c:pt>
                <c:pt idx="278">
                  <c:v>7.84</c:v>
                </c:pt>
                <c:pt idx="279">
                  <c:v>7.84</c:v>
                </c:pt>
                <c:pt idx="280">
                  <c:v>7.79</c:v>
                </c:pt>
                <c:pt idx="281">
                  <c:v>7.74</c:v>
                </c:pt>
                <c:pt idx="282">
                  <c:v>7.7</c:v>
                </c:pt>
                <c:pt idx="283">
                  <c:v>7.69</c:v>
                </c:pt>
                <c:pt idx="284">
                  <c:v>7.66</c:v>
                </c:pt>
                <c:pt idx="285">
                  <c:v>7.66</c:v>
                </c:pt>
                <c:pt idx="286">
                  <c:v>7.66</c:v>
                </c:pt>
                <c:pt idx="287">
                  <c:v>7.64</c:v>
                </c:pt>
                <c:pt idx="288">
                  <c:v>7.61</c:v>
                </c:pt>
                <c:pt idx="289">
                  <c:v>7.4</c:v>
                </c:pt>
                <c:pt idx="290">
                  <c:v>7.2</c:v>
                </c:pt>
                <c:pt idx="291">
                  <c:v>7.16</c:v>
                </c:pt>
                <c:pt idx="292">
                  <c:v>7.04</c:v>
                </c:pt>
                <c:pt idx="293">
                  <c:v>6.99</c:v>
                </c:pt>
                <c:pt idx="294">
                  <c:v>6.98</c:v>
                </c:pt>
                <c:pt idx="295">
                  <c:v>5.9</c:v>
                </c:pt>
                <c:pt idx="296">
                  <c:v>4.62</c:v>
                </c:pt>
                <c:pt idx="297">
                  <c:v>3.37</c:v>
                </c:pt>
                <c:pt idx="298">
                  <c:v>2.39</c:v>
                </c:pt>
                <c:pt idx="299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D0-9D44-911E-8C165724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912191"/>
        <c:axId val="340913983"/>
      </c:scatterChart>
      <c:valAx>
        <c:axId val="340912191"/>
        <c:scaling>
          <c:orientation val="minMax"/>
          <c:max val="2"/>
          <c:min val="-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913983"/>
        <c:crosses val="autoZero"/>
        <c:crossBetween val="midCat"/>
      </c:valAx>
      <c:valAx>
        <c:axId val="340913983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9121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del álbum vs fecha en que lo reseñé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Graficos!$AU$2002</c:f>
              <c:strCache>
                <c:ptCount val="1"/>
                <c:pt idx="0">
                  <c:v>Año del álbum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Graficos!$AT$2003:$AT$2302</c:f>
              <c:numCache>
                <c:formatCode>General</c:formatCode>
                <c:ptCount val="300"/>
                <c:pt idx="0">
                  <c:v>2026.4032</c:v>
                </c:pt>
                <c:pt idx="1">
                  <c:v>2026.0726</c:v>
                </c:pt>
                <c:pt idx="2">
                  <c:v>2026.3172</c:v>
                </c:pt>
                <c:pt idx="3">
                  <c:v>2026.1451999999999</c:v>
                </c:pt>
                <c:pt idx="4">
                  <c:v>2026.2043000000001</c:v>
                </c:pt>
                <c:pt idx="5">
                  <c:v>2026.0941</c:v>
                </c:pt>
                <c:pt idx="6">
                  <c:v>2026.086</c:v>
                </c:pt>
                <c:pt idx="7">
                  <c:v>2026.0456999999999</c:v>
                </c:pt>
                <c:pt idx="8">
                  <c:v>2026.1532</c:v>
                </c:pt>
                <c:pt idx="9">
                  <c:v>2026.0941</c:v>
                </c:pt>
                <c:pt idx="10">
                  <c:v>2026.5806</c:v>
                </c:pt>
                <c:pt idx="11">
                  <c:v>2026.1102000000001</c:v>
                </c:pt>
                <c:pt idx="12">
                  <c:v>2026.0483999999999</c:v>
                </c:pt>
                <c:pt idx="13">
                  <c:v>2026.0456999999999</c:v>
                </c:pt>
                <c:pt idx="14">
                  <c:v>2026.0429999999999</c:v>
                </c:pt>
                <c:pt idx="15">
                  <c:v>2026.2634</c:v>
                </c:pt>
                <c:pt idx="16">
                  <c:v>2026.1559</c:v>
                </c:pt>
                <c:pt idx="17">
                  <c:v>2026.0456999999999</c:v>
                </c:pt>
                <c:pt idx="18">
                  <c:v>2026.0590999999999</c:v>
                </c:pt>
                <c:pt idx="19">
                  <c:v>2026.1424999999999</c:v>
                </c:pt>
                <c:pt idx="20">
                  <c:v>2026.0456999999999</c:v>
                </c:pt>
                <c:pt idx="21">
                  <c:v>2026.1343999999999</c:v>
                </c:pt>
                <c:pt idx="22">
                  <c:v>2026.0429999999999</c:v>
                </c:pt>
                <c:pt idx="23">
                  <c:v>2026.0645</c:v>
                </c:pt>
                <c:pt idx="24">
                  <c:v>2026.4167</c:v>
                </c:pt>
                <c:pt idx="25">
                  <c:v>2026.0914</c:v>
                </c:pt>
                <c:pt idx="26">
                  <c:v>2026.0537999999999</c:v>
                </c:pt>
                <c:pt idx="27">
                  <c:v>2026.0617999999999</c:v>
                </c:pt>
                <c:pt idx="28">
                  <c:v>2026.1237000000001</c:v>
                </c:pt>
                <c:pt idx="29">
                  <c:v>2026.5134</c:v>
                </c:pt>
                <c:pt idx="30">
                  <c:v>2026.0429999999999</c:v>
                </c:pt>
                <c:pt idx="31">
                  <c:v>2026.0483999999999</c:v>
                </c:pt>
                <c:pt idx="32">
                  <c:v>2026.1478</c:v>
                </c:pt>
                <c:pt idx="33">
                  <c:v>2026.2043000000001</c:v>
                </c:pt>
                <c:pt idx="34">
                  <c:v>2026.0806</c:v>
                </c:pt>
                <c:pt idx="35">
                  <c:v>2026.3575000000001</c:v>
                </c:pt>
                <c:pt idx="36">
                  <c:v>2026.0429999999999</c:v>
                </c:pt>
                <c:pt idx="37">
                  <c:v>2026.6316999999999</c:v>
                </c:pt>
                <c:pt idx="38">
                  <c:v>2026.7070000000001</c:v>
                </c:pt>
                <c:pt idx="39">
                  <c:v>2026.7150999999999</c:v>
                </c:pt>
                <c:pt idx="40">
                  <c:v>2026.3010999999999</c:v>
                </c:pt>
                <c:pt idx="41">
                  <c:v>2026.3683000000001</c:v>
                </c:pt>
                <c:pt idx="42">
                  <c:v>2026.3064999999999</c:v>
                </c:pt>
                <c:pt idx="43">
                  <c:v>2026.3789999999999</c:v>
                </c:pt>
                <c:pt idx="44">
                  <c:v>2026.6559</c:v>
                </c:pt>
                <c:pt idx="45">
                  <c:v>2026.2366</c:v>
                </c:pt>
                <c:pt idx="46">
                  <c:v>2026.3253</c:v>
                </c:pt>
                <c:pt idx="47">
                  <c:v>2026.3870999999999</c:v>
                </c:pt>
                <c:pt idx="48">
                  <c:v>2026.6667</c:v>
                </c:pt>
                <c:pt idx="49">
                  <c:v>2026.6801</c:v>
                </c:pt>
                <c:pt idx="50">
                  <c:v>2026.1694</c:v>
                </c:pt>
                <c:pt idx="51">
                  <c:v>2026.2446</c:v>
                </c:pt>
                <c:pt idx="52">
                  <c:v>2026.4543000000001</c:v>
                </c:pt>
                <c:pt idx="53">
                  <c:v>2026.2070000000001</c:v>
                </c:pt>
                <c:pt idx="54">
                  <c:v>2026.4784999999999</c:v>
                </c:pt>
                <c:pt idx="55">
                  <c:v>2026.3710000000001</c:v>
                </c:pt>
                <c:pt idx="56">
                  <c:v>2026.1075000000001</c:v>
                </c:pt>
                <c:pt idx="57">
                  <c:v>2026.1397999999999</c:v>
                </c:pt>
                <c:pt idx="58">
                  <c:v>2026.2176999999999</c:v>
                </c:pt>
                <c:pt idx="59">
                  <c:v>2026.3951999999999</c:v>
                </c:pt>
                <c:pt idx="60">
                  <c:v>2026.4516000000001</c:v>
                </c:pt>
                <c:pt idx="61">
                  <c:v>2026.5215000000001</c:v>
                </c:pt>
                <c:pt idx="62">
                  <c:v>2026.5564999999999</c:v>
                </c:pt>
                <c:pt idx="63">
                  <c:v>2026.5645</c:v>
                </c:pt>
                <c:pt idx="64">
                  <c:v>2026.0429999999999</c:v>
                </c:pt>
                <c:pt idx="65">
                  <c:v>2026.1801</c:v>
                </c:pt>
                <c:pt idx="66">
                  <c:v>2026.1935000000001</c:v>
                </c:pt>
                <c:pt idx="67">
                  <c:v>2026.2311999999999</c:v>
                </c:pt>
                <c:pt idx="68">
                  <c:v>2026.328</c:v>
                </c:pt>
                <c:pt idx="69">
                  <c:v>2026.0429999999999</c:v>
                </c:pt>
                <c:pt idx="70">
                  <c:v>2026.4005</c:v>
                </c:pt>
                <c:pt idx="71">
                  <c:v>2026.5590999999999</c:v>
                </c:pt>
                <c:pt idx="72">
                  <c:v>2026.1532</c:v>
                </c:pt>
                <c:pt idx="73">
                  <c:v>2026.3226</c:v>
                </c:pt>
                <c:pt idx="74">
                  <c:v>2026.1262999999999</c:v>
                </c:pt>
                <c:pt idx="75">
                  <c:v>2026.5027</c:v>
                </c:pt>
                <c:pt idx="76">
                  <c:v>2026.1559</c:v>
                </c:pt>
                <c:pt idx="77">
                  <c:v>2026.1962000000001</c:v>
                </c:pt>
                <c:pt idx="78">
                  <c:v>2026.3522</c:v>
                </c:pt>
                <c:pt idx="79">
                  <c:v>2026.3789999999999</c:v>
                </c:pt>
                <c:pt idx="80">
                  <c:v>2026.5296000000001</c:v>
                </c:pt>
                <c:pt idx="81">
                  <c:v>2026.1774</c:v>
                </c:pt>
                <c:pt idx="82">
                  <c:v>2026.2338999999999</c:v>
                </c:pt>
                <c:pt idx="83">
                  <c:v>2026.2715000000001</c:v>
                </c:pt>
                <c:pt idx="84">
                  <c:v>2026.2902999999999</c:v>
                </c:pt>
                <c:pt idx="85">
                  <c:v>2026.4382000000001</c:v>
                </c:pt>
                <c:pt idx="86">
                  <c:v>2026.4570000000001</c:v>
                </c:pt>
                <c:pt idx="87">
                  <c:v>2026.6048000000001</c:v>
                </c:pt>
                <c:pt idx="88">
                  <c:v>2026.6210000000001</c:v>
                </c:pt>
                <c:pt idx="89">
                  <c:v>2026.3495</c:v>
                </c:pt>
                <c:pt idx="90">
                  <c:v>2026.0617999999999</c:v>
                </c:pt>
                <c:pt idx="91">
                  <c:v>2026.3602000000001</c:v>
                </c:pt>
                <c:pt idx="92">
                  <c:v>2026.3816999999999</c:v>
                </c:pt>
                <c:pt idx="93">
                  <c:v>2026.0726</c:v>
                </c:pt>
                <c:pt idx="94">
                  <c:v>2026.078</c:v>
                </c:pt>
                <c:pt idx="95">
                  <c:v>2026.1156000000001</c:v>
                </c:pt>
                <c:pt idx="96">
                  <c:v>2026.5134</c:v>
                </c:pt>
                <c:pt idx="97">
                  <c:v>2026.2150999999999</c:v>
                </c:pt>
                <c:pt idx="98">
                  <c:v>2026.3226</c:v>
                </c:pt>
                <c:pt idx="99">
                  <c:v>2026.4784999999999</c:v>
                </c:pt>
                <c:pt idx="100">
                  <c:v>2026.1774</c:v>
                </c:pt>
                <c:pt idx="101">
                  <c:v>2026.3414</c:v>
                </c:pt>
                <c:pt idx="102">
                  <c:v>2026.4194</c:v>
                </c:pt>
                <c:pt idx="103">
                  <c:v>2026.0483999999999</c:v>
                </c:pt>
                <c:pt idx="104">
                  <c:v>2026.1210000000001</c:v>
                </c:pt>
                <c:pt idx="105">
                  <c:v>2026.1909000000001</c:v>
                </c:pt>
                <c:pt idx="106">
                  <c:v>2026.0672</c:v>
                </c:pt>
                <c:pt idx="107">
                  <c:v>2026.0914</c:v>
                </c:pt>
                <c:pt idx="108">
                  <c:v>2026.3090999999999</c:v>
                </c:pt>
                <c:pt idx="109">
                  <c:v>2026.5510999999999</c:v>
                </c:pt>
                <c:pt idx="110">
                  <c:v>2026.6451999999999</c:v>
                </c:pt>
                <c:pt idx="111">
                  <c:v>2026.0645</c:v>
                </c:pt>
                <c:pt idx="112">
                  <c:v>2026.5672</c:v>
                </c:pt>
                <c:pt idx="113">
                  <c:v>2026.1828</c:v>
                </c:pt>
                <c:pt idx="114">
                  <c:v>2026.4005</c:v>
                </c:pt>
                <c:pt idx="115">
                  <c:v>2026.5054</c:v>
                </c:pt>
                <c:pt idx="116">
                  <c:v>2026.5590999999999</c:v>
                </c:pt>
                <c:pt idx="117">
                  <c:v>2026.0537999999999</c:v>
                </c:pt>
                <c:pt idx="118">
                  <c:v>2026.1747</c:v>
                </c:pt>
                <c:pt idx="119">
                  <c:v>2026.4946</c:v>
                </c:pt>
                <c:pt idx="120">
                  <c:v>2026.5</c:v>
                </c:pt>
                <c:pt idx="121">
                  <c:v>2026.6316999999999</c:v>
                </c:pt>
                <c:pt idx="122">
                  <c:v>2026.6505</c:v>
                </c:pt>
                <c:pt idx="123">
                  <c:v>2026.1962000000001</c:v>
                </c:pt>
                <c:pt idx="124">
                  <c:v>2026.2176999999999</c:v>
                </c:pt>
                <c:pt idx="125">
                  <c:v>2026.4409000000001</c:v>
                </c:pt>
                <c:pt idx="126">
                  <c:v>2026.5376000000001</c:v>
                </c:pt>
                <c:pt idx="127">
                  <c:v>2026.5429999999999</c:v>
                </c:pt>
                <c:pt idx="128">
                  <c:v>2026.4623999999999</c:v>
                </c:pt>
                <c:pt idx="129">
                  <c:v>2026.6370999999999</c:v>
                </c:pt>
                <c:pt idx="130">
                  <c:v>2026.6586</c:v>
                </c:pt>
                <c:pt idx="131">
                  <c:v>2026.7016000000001</c:v>
                </c:pt>
                <c:pt idx="132">
                  <c:v>2026.1882000000001</c:v>
                </c:pt>
                <c:pt idx="133">
                  <c:v>2026.4328</c:v>
                </c:pt>
                <c:pt idx="134">
                  <c:v>2026.5699</c:v>
                </c:pt>
                <c:pt idx="135">
                  <c:v>2026.3441</c:v>
                </c:pt>
                <c:pt idx="136">
                  <c:v>2026.3629000000001</c:v>
                </c:pt>
                <c:pt idx="137">
                  <c:v>2026.422</c:v>
                </c:pt>
                <c:pt idx="138">
                  <c:v>2026.4730999999999</c:v>
                </c:pt>
                <c:pt idx="139">
                  <c:v>2026.0429999999999</c:v>
                </c:pt>
                <c:pt idx="140">
                  <c:v>2026.4462000000001</c:v>
                </c:pt>
                <c:pt idx="141">
                  <c:v>2026.5510999999999</c:v>
                </c:pt>
                <c:pt idx="142">
                  <c:v>2026.2742000000001</c:v>
                </c:pt>
                <c:pt idx="143">
                  <c:v>2026.1694</c:v>
                </c:pt>
                <c:pt idx="144">
                  <c:v>2026.172</c:v>
                </c:pt>
                <c:pt idx="145">
                  <c:v>2026.2097000000001</c:v>
                </c:pt>
                <c:pt idx="146">
                  <c:v>2026.4086</c:v>
                </c:pt>
                <c:pt idx="147">
                  <c:v>2026.2742000000001</c:v>
                </c:pt>
                <c:pt idx="148">
                  <c:v>2026.7070000000001</c:v>
                </c:pt>
                <c:pt idx="149">
                  <c:v>2026.1532</c:v>
                </c:pt>
                <c:pt idx="150">
                  <c:v>2026.2043000000001</c:v>
                </c:pt>
                <c:pt idx="151">
                  <c:v>2026.2257999999999</c:v>
                </c:pt>
                <c:pt idx="152">
                  <c:v>2026.2823000000001</c:v>
                </c:pt>
                <c:pt idx="153">
                  <c:v>2026.4650999999999</c:v>
                </c:pt>
                <c:pt idx="154">
                  <c:v>2026.0753</c:v>
                </c:pt>
                <c:pt idx="155">
                  <c:v>2026.3789999999999</c:v>
                </c:pt>
                <c:pt idx="156">
                  <c:v>2026.2634</c:v>
                </c:pt>
                <c:pt idx="157">
                  <c:v>2026.2876000000001</c:v>
                </c:pt>
                <c:pt idx="158">
                  <c:v>2026.414</c:v>
                </c:pt>
                <c:pt idx="159">
                  <c:v>2026.1289999999999</c:v>
                </c:pt>
                <c:pt idx="160">
                  <c:v>2026.3978</c:v>
                </c:pt>
                <c:pt idx="161">
                  <c:v>2026.5456999999999</c:v>
                </c:pt>
                <c:pt idx="162">
                  <c:v>2026.4274</c:v>
                </c:pt>
                <c:pt idx="163">
                  <c:v>2026.6129000000001</c:v>
                </c:pt>
                <c:pt idx="164">
                  <c:v>2026.0968</c:v>
                </c:pt>
                <c:pt idx="165">
                  <c:v>2026.1102000000001</c:v>
                </c:pt>
                <c:pt idx="166">
                  <c:v>2026.2929999999999</c:v>
                </c:pt>
                <c:pt idx="167">
                  <c:v>2026.4838999999999</c:v>
                </c:pt>
                <c:pt idx="168">
                  <c:v>2026.0564999999999</c:v>
                </c:pt>
                <c:pt idx="169">
                  <c:v>2026.1210000000001</c:v>
                </c:pt>
                <c:pt idx="170">
                  <c:v>2026.1316999999999</c:v>
                </c:pt>
                <c:pt idx="171">
                  <c:v>2026.3843999999999</c:v>
                </c:pt>
                <c:pt idx="172">
                  <c:v>2026.4462000000001</c:v>
                </c:pt>
                <c:pt idx="173">
                  <c:v>2026.5108</c:v>
                </c:pt>
                <c:pt idx="174">
                  <c:v>2026.6882000000001</c:v>
                </c:pt>
                <c:pt idx="175">
                  <c:v>2026.2902999999999</c:v>
                </c:pt>
                <c:pt idx="176">
                  <c:v>2026.3064999999999</c:v>
                </c:pt>
                <c:pt idx="177">
                  <c:v>2026.5161000000001</c:v>
                </c:pt>
                <c:pt idx="178">
                  <c:v>2026.2688000000001</c:v>
                </c:pt>
                <c:pt idx="179">
                  <c:v>2026.3548000000001</c:v>
                </c:pt>
                <c:pt idx="180">
                  <c:v>2026.3789999999999</c:v>
                </c:pt>
                <c:pt idx="181">
                  <c:v>2026.3117999999999</c:v>
                </c:pt>
                <c:pt idx="182">
                  <c:v>2026.3145</c:v>
                </c:pt>
                <c:pt idx="183">
                  <c:v>2026.4059</c:v>
                </c:pt>
                <c:pt idx="184">
                  <c:v>2026.4113</c:v>
                </c:pt>
                <c:pt idx="185">
                  <c:v>2026.4355</c:v>
                </c:pt>
                <c:pt idx="186">
                  <c:v>2026.4946</c:v>
                </c:pt>
                <c:pt idx="187">
                  <c:v>2026.6048000000001</c:v>
                </c:pt>
                <c:pt idx="188">
                  <c:v>2026.2446</c:v>
                </c:pt>
                <c:pt idx="189">
                  <c:v>2026.4516000000001</c:v>
                </c:pt>
                <c:pt idx="190">
                  <c:v>2026.6343999999999</c:v>
                </c:pt>
                <c:pt idx="191">
                  <c:v>2026.4194</c:v>
                </c:pt>
                <c:pt idx="192">
                  <c:v>2026.5296000000001</c:v>
                </c:pt>
                <c:pt idx="193">
                  <c:v>2026.6935000000001</c:v>
                </c:pt>
                <c:pt idx="194">
                  <c:v>2026.2070000000001</c:v>
                </c:pt>
                <c:pt idx="195">
                  <c:v>2026.2823000000001</c:v>
                </c:pt>
                <c:pt idx="196">
                  <c:v>2026.3978</c:v>
                </c:pt>
                <c:pt idx="197">
                  <c:v>2026.6048000000001</c:v>
                </c:pt>
                <c:pt idx="198">
                  <c:v>2026.6694</c:v>
                </c:pt>
                <c:pt idx="199">
                  <c:v>2026.2876000000001</c:v>
                </c:pt>
                <c:pt idx="200">
                  <c:v>2026.1129000000001</c:v>
                </c:pt>
                <c:pt idx="201">
                  <c:v>2026.4301</c:v>
                </c:pt>
                <c:pt idx="202">
                  <c:v>2026.5429999999999</c:v>
                </c:pt>
                <c:pt idx="203">
                  <c:v>2026.1451999999999</c:v>
                </c:pt>
                <c:pt idx="204">
                  <c:v>2026.3629000000001</c:v>
                </c:pt>
                <c:pt idx="205">
                  <c:v>2026.3737000000001</c:v>
                </c:pt>
                <c:pt idx="206">
                  <c:v>2026.25</c:v>
                </c:pt>
                <c:pt idx="207">
                  <c:v>2026.1532</c:v>
                </c:pt>
                <c:pt idx="208">
                  <c:v>2026.2311999999999</c:v>
                </c:pt>
                <c:pt idx="209">
                  <c:v>2026.5</c:v>
                </c:pt>
                <c:pt idx="210">
                  <c:v>2026.0672</c:v>
                </c:pt>
                <c:pt idx="211">
                  <c:v>2026.4730999999999</c:v>
                </c:pt>
                <c:pt idx="212">
                  <c:v>2026.5027</c:v>
                </c:pt>
                <c:pt idx="213">
                  <c:v>2026.2849000000001</c:v>
                </c:pt>
                <c:pt idx="214">
                  <c:v>2026.5456999999999</c:v>
                </c:pt>
                <c:pt idx="215">
                  <c:v>2026.5</c:v>
                </c:pt>
                <c:pt idx="216">
                  <c:v>2026.0510999999999</c:v>
                </c:pt>
                <c:pt idx="217">
                  <c:v>2026.3870999999999</c:v>
                </c:pt>
                <c:pt idx="218">
                  <c:v>2026.3897999999999</c:v>
                </c:pt>
                <c:pt idx="219">
                  <c:v>2026.1559</c:v>
                </c:pt>
                <c:pt idx="220">
                  <c:v>2026.2634</c:v>
                </c:pt>
                <c:pt idx="221">
                  <c:v>2026.2123999999999</c:v>
                </c:pt>
                <c:pt idx="222">
                  <c:v>2026.3710000000001</c:v>
                </c:pt>
                <c:pt idx="223">
                  <c:v>2026.4811999999999</c:v>
                </c:pt>
                <c:pt idx="224">
                  <c:v>2026.5376000000001</c:v>
                </c:pt>
                <c:pt idx="225">
                  <c:v>2026.0429999999999</c:v>
                </c:pt>
                <c:pt idx="226">
                  <c:v>2026.2043000000001</c:v>
                </c:pt>
                <c:pt idx="227">
                  <c:v>2026.4059</c:v>
                </c:pt>
                <c:pt idx="228">
                  <c:v>2026.4623999999999</c:v>
                </c:pt>
                <c:pt idx="229">
                  <c:v>2026.2661000000001</c:v>
                </c:pt>
                <c:pt idx="230">
                  <c:v>2026.5564999999999</c:v>
                </c:pt>
                <c:pt idx="231">
                  <c:v>2026.6505</c:v>
                </c:pt>
                <c:pt idx="232">
                  <c:v>2026.4005</c:v>
                </c:pt>
                <c:pt idx="233">
                  <c:v>2026.4382000000001</c:v>
                </c:pt>
                <c:pt idx="234">
                  <c:v>2026.4435000000001</c:v>
                </c:pt>
                <c:pt idx="235">
                  <c:v>2026.1505</c:v>
                </c:pt>
                <c:pt idx="236">
                  <c:v>2026.2419</c:v>
                </c:pt>
                <c:pt idx="237">
                  <c:v>2026.4757999999999</c:v>
                </c:pt>
                <c:pt idx="238">
                  <c:v>2026.2742000000001</c:v>
                </c:pt>
                <c:pt idx="239">
                  <c:v>2026.2230999999999</c:v>
                </c:pt>
                <c:pt idx="240">
                  <c:v>2026.3951999999999</c:v>
                </c:pt>
                <c:pt idx="241">
                  <c:v>2026.4597000000001</c:v>
                </c:pt>
                <c:pt idx="242">
                  <c:v>2026.3468</c:v>
                </c:pt>
                <c:pt idx="243">
                  <c:v>2026.0510999999999</c:v>
                </c:pt>
                <c:pt idx="244">
                  <c:v>2026.5537999999999</c:v>
                </c:pt>
                <c:pt idx="245">
                  <c:v>2026.6397999999999</c:v>
                </c:pt>
                <c:pt idx="246">
                  <c:v>2026.4409000000001</c:v>
                </c:pt>
                <c:pt idx="247">
                  <c:v>2026.0510999999999</c:v>
                </c:pt>
                <c:pt idx="248">
                  <c:v>2026.6210000000001</c:v>
                </c:pt>
                <c:pt idx="249">
                  <c:v>2026.3897999999999</c:v>
                </c:pt>
                <c:pt idx="250">
                  <c:v>2026.6613</c:v>
                </c:pt>
                <c:pt idx="251">
                  <c:v>2026.0483999999999</c:v>
                </c:pt>
                <c:pt idx="252">
                  <c:v>2026.0726</c:v>
                </c:pt>
                <c:pt idx="253">
                  <c:v>2026.2366</c:v>
                </c:pt>
                <c:pt idx="254">
                  <c:v>2026.3656000000001</c:v>
                </c:pt>
                <c:pt idx="255">
                  <c:v>2026.2311999999999</c:v>
                </c:pt>
                <c:pt idx="256">
                  <c:v>2026.3064999999999</c:v>
                </c:pt>
                <c:pt idx="257">
                  <c:v>2026.4946</c:v>
                </c:pt>
                <c:pt idx="258">
                  <c:v>2026.0753</c:v>
                </c:pt>
                <c:pt idx="259">
                  <c:v>2026.6747</c:v>
                </c:pt>
                <c:pt idx="260">
                  <c:v>2026.5188000000001</c:v>
                </c:pt>
                <c:pt idx="261">
                  <c:v>2026.0617999999999</c:v>
                </c:pt>
                <c:pt idx="262">
                  <c:v>2026.2473</c:v>
                </c:pt>
                <c:pt idx="263">
                  <c:v>2026.578</c:v>
                </c:pt>
                <c:pt idx="264">
                  <c:v>2026.3199</c:v>
                </c:pt>
                <c:pt idx="265">
                  <c:v>2026.4919</c:v>
                </c:pt>
                <c:pt idx="266">
                  <c:v>2026.1667</c:v>
                </c:pt>
                <c:pt idx="267">
                  <c:v>2026.5726</c:v>
                </c:pt>
                <c:pt idx="268">
                  <c:v>2026.0510999999999</c:v>
                </c:pt>
                <c:pt idx="269">
                  <c:v>2026.4730999999999</c:v>
                </c:pt>
                <c:pt idx="270">
                  <c:v>2026.0887</c:v>
                </c:pt>
                <c:pt idx="271">
                  <c:v>2026.1801</c:v>
                </c:pt>
                <c:pt idx="272">
                  <c:v>2026.2876000000001</c:v>
                </c:pt>
                <c:pt idx="273">
                  <c:v>2026.4247</c:v>
                </c:pt>
                <c:pt idx="274">
                  <c:v>2026.5617999999999</c:v>
                </c:pt>
                <c:pt idx="275">
                  <c:v>2026.6505</c:v>
                </c:pt>
                <c:pt idx="276">
                  <c:v>2026.4167</c:v>
                </c:pt>
                <c:pt idx="277">
                  <c:v>2026.5402999999999</c:v>
                </c:pt>
                <c:pt idx="278">
                  <c:v>2026.4059</c:v>
                </c:pt>
                <c:pt idx="279">
                  <c:v>2026.5672</c:v>
                </c:pt>
                <c:pt idx="280">
                  <c:v>2026.1989000000001</c:v>
                </c:pt>
                <c:pt idx="281">
                  <c:v>2026.1289999999999</c:v>
                </c:pt>
                <c:pt idx="282">
                  <c:v>2026.0806</c:v>
                </c:pt>
                <c:pt idx="283">
                  <c:v>2026.5134</c:v>
                </c:pt>
                <c:pt idx="284">
                  <c:v>2026.0645</c:v>
                </c:pt>
                <c:pt idx="285">
                  <c:v>2026.4489000000001</c:v>
                </c:pt>
                <c:pt idx="286">
                  <c:v>2026.4597000000001</c:v>
                </c:pt>
                <c:pt idx="287">
                  <c:v>2026.0590999999999</c:v>
                </c:pt>
                <c:pt idx="288">
                  <c:v>2026.1532</c:v>
                </c:pt>
                <c:pt idx="289">
                  <c:v>2026.1343999999999</c:v>
                </c:pt>
                <c:pt idx="290">
                  <c:v>2026.2473</c:v>
                </c:pt>
                <c:pt idx="291">
                  <c:v>2026.0564999999999</c:v>
                </c:pt>
                <c:pt idx="292">
                  <c:v>2026.3199</c:v>
                </c:pt>
                <c:pt idx="293">
                  <c:v>2026.086</c:v>
                </c:pt>
                <c:pt idx="294">
                  <c:v>2026.6694</c:v>
                </c:pt>
                <c:pt idx="295">
                  <c:v>2026.5726</c:v>
                </c:pt>
                <c:pt idx="296">
                  <c:v>2026.4274</c:v>
                </c:pt>
                <c:pt idx="297">
                  <c:v>2026.2338999999999</c:v>
                </c:pt>
                <c:pt idx="298">
                  <c:v>2026.3441</c:v>
                </c:pt>
                <c:pt idx="299">
                  <c:v>2026.5429999999999</c:v>
                </c:pt>
              </c:numCache>
            </c:numRef>
          </c:xVal>
          <c:yVal>
            <c:numRef>
              <c:f>Graficos!$AU$2003:$AU$2302</c:f>
              <c:numCache>
                <c:formatCode>General</c:formatCode>
                <c:ptCount val="300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1973</c:v>
                </c:pt>
                <c:pt idx="39">
                  <c:v>2003</c:v>
                </c:pt>
                <c:pt idx="40">
                  <c:v>1977</c:v>
                </c:pt>
                <c:pt idx="41">
                  <c:v>1982</c:v>
                </c:pt>
                <c:pt idx="42">
                  <c:v>2003</c:v>
                </c:pt>
                <c:pt idx="43">
                  <c:v>2001</c:v>
                </c:pt>
                <c:pt idx="44">
                  <c:v>2002</c:v>
                </c:pt>
                <c:pt idx="45">
                  <c:v>1971</c:v>
                </c:pt>
                <c:pt idx="46">
                  <c:v>2002</c:v>
                </c:pt>
                <c:pt idx="47">
                  <c:v>1979</c:v>
                </c:pt>
                <c:pt idx="48">
                  <c:v>1975</c:v>
                </c:pt>
                <c:pt idx="49">
                  <c:v>2011</c:v>
                </c:pt>
                <c:pt idx="50">
                  <c:v>2025</c:v>
                </c:pt>
                <c:pt idx="51">
                  <c:v>2003</c:v>
                </c:pt>
                <c:pt idx="52">
                  <c:v>2002</c:v>
                </c:pt>
                <c:pt idx="53">
                  <c:v>2000</c:v>
                </c:pt>
                <c:pt idx="54">
                  <c:v>1999</c:v>
                </c:pt>
                <c:pt idx="55">
                  <c:v>1977</c:v>
                </c:pt>
                <c:pt idx="56">
                  <c:v>2002</c:v>
                </c:pt>
                <c:pt idx="57">
                  <c:v>2002</c:v>
                </c:pt>
                <c:pt idx="58">
                  <c:v>2006</c:v>
                </c:pt>
                <c:pt idx="59">
                  <c:v>2000</c:v>
                </c:pt>
                <c:pt idx="60">
                  <c:v>1988</c:v>
                </c:pt>
                <c:pt idx="61">
                  <c:v>1991</c:v>
                </c:pt>
                <c:pt idx="62">
                  <c:v>2007</c:v>
                </c:pt>
                <c:pt idx="63">
                  <c:v>1997</c:v>
                </c:pt>
                <c:pt idx="64">
                  <c:v>2009</c:v>
                </c:pt>
                <c:pt idx="65">
                  <c:v>2005</c:v>
                </c:pt>
                <c:pt idx="66">
                  <c:v>2000</c:v>
                </c:pt>
                <c:pt idx="67">
                  <c:v>1994</c:v>
                </c:pt>
                <c:pt idx="68">
                  <c:v>1991</c:v>
                </c:pt>
                <c:pt idx="69">
                  <c:v>2020</c:v>
                </c:pt>
                <c:pt idx="70">
                  <c:v>1986</c:v>
                </c:pt>
                <c:pt idx="71">
                  <c:v>1985</c:v>
                </c:pt>
                <c:pt idx="72">
                  <c:v>1978</c:v>
                </c:pt>
                <c:pt idx="73">
                  <c:v>1967</c:v>
                </c:pt>
                <c:pt idx="74">
                  <c:v>1999</c:v>
                </c:pt>
                <c:pt idx="75">
                  <c:v>1969</c:v>
                </c:pt>
                <c:pt idx="76">
                  <c:v>2008</c:v>
                </c:pt>
                <c:pt idx="77">
                  <c:v>2005</c:v>
                </c:pt>
                <c:pt idx="78">
                  <c:v>1997</c:v>
                </c:pt>
                <c:pt idx="79">
                  <c:v>2002</c:v>
                </c:pt>
                <c:pt idx="80">
                  <c:v>2004</c:v>
                </c:pt>
                <c:pt idx="81">
                  <c:v>1971</c:v>
                </c:pt>
                <c:pt idx="82">
                  <c:v>1991</c:v>
                </c:pt>
                <c:pt idx="83">
                  <c:v>1988</c:v>
                </c:pt>
                <c:pt idx="84">
                  <c:v>1969</c:v>
                </c:pt>
                <c:pt idx="85">
                  <c:v>1989</c:v>
                </c:pt>
                <c:pt idx="86">
                  <c:v>1973</c:v>
                </c:pt>
                <c:pt idx="87">
                  <c:v>2020</c:v>
                </c:pt>
                <c:pt idx="88">
                  <c:v>1991</c:v>
                </c:pt>
                <c:pt idx="89">
                  <c:v>1981</c:v>
                </c:pt>
                <c:pt idx="90">
                  <c:v>2002</c:v>
                </c:pt>
                <c:pt idx="91">
                  <c:v>2000</c:v>
                </c:pt>
                <c:pt idx="92">
                  <c:v>1982</c:v>
                </c:pt>
                <c:pt idx="93">
                  <c:v>1983</c:v>
                </c:pt>
                <c:pt idx="94">
                  <c:v>2013</c:v>
                </c:pt>
                <c:pt idx="95">
                  <c:v>2010</c:v>
                </c:pt>
                <c:pt idx="96">
                  <c:v>1989</c:v>
                </c:pt>
                <c:pt idx="97">
                  <c:v>2014</c:v>
                </c:pt>
                <c:pt idx="98">
                  <c:v>2000</c:v>
                </c:pt>
                <c:pt idx="99">
                  <c:v>1969</c:v>
                </c:pt>
                <c:pt idx="100">
                  <c:v>2023</c:v>
                </c:pt>
                <c:pt idx="101">
                  <c:v>2000</c:v>
                </c:pt>
                <c:pt idx="102">
                  <c:v>2012</c:v>
                </c:pt>
                <c:pt idx="103">
                  <c:v>1994</c:v>
                </c:pt>
                <c:pt idx="104">
                  <c:v>2005</c:v>
                </c:pt>
                <c:pt idx="105">
                  <c:v>1992</c:v>
                </c:pt>
                <c:pt idx="106">
                  <c:v>2016</c:v>
                </c:pt>
                <c:pt idx="107">
                  <c:v>2010</c:v>
                </c:pt>
                <c:pt idx="108">
                  <c:v>1994</c:v>
                </c:pt>
                <c:pt idx="109">
                  <c:v>1997</c:v>
                </c:pt>
                <c:pt idx="110">
                  <c:v>2020</c:v>
                </c:pt>
                <c:pt idx="111">
                  <c:v>2003</c:v>
                </c:pt>
                <c:pt idx="112">
                  <c:v>1997</c:v>
                </c:pt>
                <c:pt idx="113">
                  <c:v>2002</c:v>
                </c:pt>
                <c:pt idx="114">
                  <c:v>2020</c:v>
                </c:pt>
                <c:pt idx="115">
                  <c:v>2003</c:v>
                </c:pt>
                <c:pt idx="116">
                  <c:v>2003</c:v>
                </c:pt>
                <c:pt idx="117">
                  <c:v>1989</c:v>
                </c:pt>
                <c:pt idx="118">
                  <c:v>2015</c:v>
                </c:pt>
                <c:pt idx="119">
                  <c:v>2001</c:v>
                </c:pt>
                <c:pt idx="120">
                  <c:v>2005</c:v>
                </c:pt>
                <c:pt idx="121">
                  <c:v>2010</c:v>
                </c:pt>
                <c:pt idx="122">
                  <c:v>1984</c:v>
                </c:pt>
                <c:pt idx="123">
                  <c:v>1998</c:v>
                </c:pt>
                <c:pt idx="124">
                  <c:v>1982</c:v>
                </c:pt>
                <c:pt idx="125">
                  <c:v>1996</c:v>
                </c:pt>
                <c:pt idx="126">
                  <c:v>2015</c:v>
                </c:pt>
                <c:pt idx="127">
                  <c:v>2006</c:v>
                </c:pt>
                <c:pt idx="128">
                  <c:v>2007</c:v>
                </c:pt>
                <c:pt idx="129">
                  <c:v>1971</c:v>
                </c:pt>
                <c:pt idx="130">
                  <c:v>1980</c:v>
                </c:pt>
                <c:pt idx="131">
                  <c:v>1998</c:v>
                </c:pt>
                <c:pt idx="132">
                  <c:v>2012</c:v>
                </c:pt>
                <c:pt idx="133">
                  <c:v>2008</c:v>
                </c:pt>
                <c:pt idx="134">
                  <c:v>2005</c:v>
                </c:pt>
                <c:pt idx="135">
                  <c:v>1995</c:v>
                </c:pt>
                <c:pt idx="136">
                  <c:v>1991</c:v>
                </c:pt>
                <c:pt idx="137">
                  <c:v>2016</c:v>
                </c:pt>
                <c:pt idx="138">
                  <c:v>1981</c:v>
                </c:pt>
                <c:pt idx="139">
                  <c:v>1998</c:v>
                </c:pt>
                <c:pt idx="140">
                  <c:v>1994</c:v>
                </c:pt>
                <c:pt idx="141">
                  <c:v>1972</c:v>
                </c:pt>
                <c:pt idx="142">
                  <c:v>1977</c:v>
                </c:pt>
                <c:pt idx="143">
                  <c:v>2002</c:v>
                </c:pt>
                <c:pt idx="144">
                  <c:v>2021</c:v>
                </c:pt>
                <c:pt idx="145">
                  <c:v>2000</c:v>
                </c:pt>
                <c:pt idx="146">
                  <c:v>2026</c:v>
                </c:pt>
                <c:pt idx="147">
                  <c:v>1996</c:v>
                </c:pt>
                <c:pt idx="148">
                  <c:v>1976</c:v>
                </c:pt>
                <c:pt idx="149">
                  <c:v>2013</c:v>
                </c:pt>
                <c:pt idx="150">
                  <c:v>1979</c:v>
                </c:pt>
                <c:pt idx="151">
                  <c:v>1995</c:v>
                </c:pt>
                <c:pt idx="152">
                  <c:v>2024</c:v>
                </c:pt>
                <c:pt idx="153">
                  <c:v>1995</c:v>
                </c:pt>
                <c:pt idx="154">
                  <c:v>2015</c:v>
                </c:pt>
                <c:pt idx="155">
                  <c:v>2004</c:v>
                </c:pt>
                <c:pt idx="156">
                  <c:v>2013</c:v>
                </c:pt>
                <c:pt idx="157">
                  <c:v>1983</c:v>
                </c:pt>
                <c:pt idx="158">
                  <c:v>1997</c:v>
                </c:pt>
                <c:pt idx="159">
                  <c:v>1979</c:v>
                </c:pt>
                <c:pt idx="160">
                  <c:v>1981</c:v>
                </c:pt>
                <c:pt idx="161">
                  <c:v>2002</c:v>
                </c:pt>
                <c:pt idx="162">
                  <c:v>2009</c:v>
                </c:pt>
                <c:pt idx="163">
                  <c:v>1984</c:v>
                </c:pt>
                <c:pt idx="164">
                  <c:v>1992</c:v>
                </c:pt>
                <c:pt idx="165">
                  <c:v>2024</c:v>
                </c:pt>
                <c:pt idx="166">
                  <c:v>2015</c:v>
                </c:pt>
                <c:pt idx="167">
                  <c:v>1981</c:v>
                </c:pt>
                <c:pt idx="168">
                  <c:v>2005</c:v>
                </c:pt>
                <c:pt idx="169">
                  <c:v>2003</c:v>
                </c:pt>
                <c:pt idx="170">
                  <c:v>1999</c:v>
                </c:pt>
                <c:pt idx="171">
                  <c:v>2026</c:v>
                </c:pt>
                <c:pt idx="172">
                  <c:v>2005</c:v>
                </c:pt>
                <c:pt idx="173">
                  <c:v>1997</c:v>
                </c:pt>
                <c:pt idx="174">
                  <c:v>1990</c:v>
                </c:pt>
                <c:pt idx="175">
                  <c:v>2008</c:v>
                </c:pt>
                <c:pt idx="176">
                  <c:v>1990</c:v>
                </c:pt>
                <c:pt idx="177">
                  <c:v>2014</c:v>
                </c:pt>
                <c:pt idx="178">
                  <c:v>1970</c:v>
                </c:pt>
                <c:pt idx="179">
                  <c:v>1997</c:v>
                </c:pt>
                <c:pt idx="180">
                  <c:v>2007</c:v>
                </c:pt>
                <c:pt idx="181">
                  <c:v>1976</c:v>
                </c:pt>
                <c:pt idx="182">
                  <c:v>1998</c:v>
                </c:pt>
                <c:pt idx="183">
                  <c:v>2017</c:v>
                </c:pt>
                <c:pt idx="184">
                  <c:v>1992</c:v>
                </c:pt>
                <c:pt idx="185">
                  <c:v>2018</c:v>
                </c:pt>
                <c:pt idx="186">
                  <c:v>1995</c:v>
                </c:pt>
                <c:pt idx="187">
                  <c:v>2024</c:v>
                </c:pt>
                <c:pt idx="188">
                  <c:v>2024</c:v>
                </c:pt>
                <c:pt idx="189">
                  <c:v>1996</c:v>
                </c:pt>
                <c:pt idx="190">
                  <c:v>2012</c:v>
                </c:pt>
                <c:pt idx="191">
                  <c:v>1997</c:v>
                </c:pt>
                <c:pt idx="192">
                  <c:v>1994</c:v>
                </c:pt>
                <c:pt idx="193">
                  <c:v>2026</c:v>
                </c:pt>
                <c:pt idx="194">
                  <c:v>1993</c:v>
                </c:pt>
                <c:pt idx="195">
                  <c:v>1992</c:v>
                </c:pt>
                <c:pt idx="196">
                  <c:v>1976</c:v>
                </c:pt>
                <c:pt idx="197">
                  <c:v>2024</c:v>
                </c:pt>
                <c:pt idx="198">
                  <c:v>1999</c:v>
                </c:pt>
                <c:pt idx="199">
                  <c:v>2003</c:v>
                </c:pt>
                <c:pt idx="200">
                  <c:v>2003</c:v>
                </c:pt>
                <c:pt idx="201">
                  <c:v>1971</c:v>
                </c:pt>
                <c:pt idx="202">
                  <c:v>2007</c:v>
                </c:pt>
                <c:pt idx="203">
                  <c:v>1999</c:v>
                </c:pt>
                <c:pt idx="204">
                  <c:v>1970</c:v>
                </c:pt>
                <c:pt idx="205">
                  <c:v>2008</c:v>
                </c:pt>
                <c:pt idx="206">
                  <c:v>2024</c:v>
                </c:pt>
                <c:pt idx="207">
                  <c:v>2024</c:v>
                </c:pt>
                <c:pt idx="208">
                  <c:v>2026</c:v>
                </c:pt>
                <c:pt idx="209">
                  <c:v>1998</c:v>
                </c:pt>
                <c:pt idx="210">
                  <c:v>2016</c:v>
                </c:pt>
                <c:pt idx="211">
                  <c:v>2021</c:v>
                </c:pt>
                <c:pt idx="212">
                  <c:v>2009</c:v>
                </c:pt>
                <c:pt idx="213">
                  <c:v>1991</c:v>
                </c:pt>
                <c:pt idx="214">
                  <c:v>1999</c:v>
                </c:pt>
                <c:pt idx="215">
                  <c:v>1998</c:v>
                </c:pt>
                <c:pt idx="216">
                  <c:v>2018</c:v>
                </c:pt>
                <c:pt idx="217">
                  <c:v>1966</c:v>
                </c:pt>
                <c:pt idx="218">
                  <c:v>2022</c:v>
                </c:pt>
                <c:pt idx="219">
                  <c:v>2024</c:v>
                </c:pt>
                <c:pt idx="220">
                  <c:v>2026</c:v>
                </c:pt>
                <c:pt idx="221">
                  <c:v>2026</c:v>
                </c:pt>
                <c:pt idx="222">
                  <c:v>1990</c:v>
                </c:pt>
                <c:pt idx="223">
                  <c:v>1999</c:v>
                </c:pt>
                <c:pt idx="224">
                  <c:v>1992</c:v>
                </c:pt>
                <c:pt idx="225">
                  <c:v>2000</c:v>
                </c:pt>
                <c:pt idx="226">
                  <c:v>2016</c:v>
                </c:pt>
                <c:pt idx="227">
                  <c:v>1986</c:v>
                </c:pt>
                <c:pt idx="228">
                  <c:v>2005</c:v>
                </c:pt>
                <c:pt idx="229">
                  <c:v>1994</c:v>
                </c:pt>
                <c:pt idx="230">
                  <c:v>2001</c:v>
                </c:pt>
                <c:pt idx="231">
                  <c:v>1996</c:v>
                </c:pt>
                <c:pt idx="232">
                  <c:v>1989</c:v>
                </c:pt>
                <c:pt idx="233">
                  <c:v>1995</c:v>
                </c:pt>
                <c:pt idx="234">
                  <c:v>2024</c:v>
                </c:pt>
                <c:pt idx="235">
                  <c:v>1993</c:v>
                </c:pt>
                <c:pt idx="236">
                  <c:v>1998</c:v>
                </c:pt>
                <c:pt idx="237">
                  <c:v>2025</c:v>
                </c:pt>
                <c:pt idx="238">
                  <c:v>1992</c:v>
                </c:pt>
                <c:pt idx="239">
                  <c:v>1996</c:v>
                </c:pt>
                <c:pt idx="240">
                  <c:v>2003</c:v>
                </c:pt>
                <c:pt idx="241">
                  <c:v>2000</c:v>
                </c:pt>
                <c:pt idx="242">
                  <c:v>2001</c:v>
                </c:pt>
                <c:pt idx="243">
                  <c:v>1993</c:v>
                </c:pt>
                <c:pt idx="244">
                  <c:v>1972</c:v>
                </c:pt>
                <c:pt idx="245">
                  <c:v>1997</c:v>
                </c:pt>
                <c:pt idx="246">
                  <c:v>2002</c:v>
                </c:pt>
                <c:pt idx="247">
                  <c:v>1979</c:v>
                </c:pt>
                <c:pt idx="248">
                  <c:v>1994</c:v>
                </c:pt>
                <c:pt idx="249">
                  <c:v>2024</c:v>
                </c:pt>
                <c:pt idx="250">
                  <c:v>2026</c:v>
                </c:pt>
                <c:pt idx="251">
                  <c:v>1993</c:v>
                </c:pt>
                <c:pt idx="252">
                  <c:v>2016</c:v>
                </c:pt>
                <c:pt idx="253">
                  <c:v>2018</c:v>
                </c:pt>
                <c:pt idx="254">
                  <c:v>2016</c:v>
                </c:pt>
                <c:pt idx="255">
                  <c:v>2014</c:v>
                </c:pt>
                <c:pt idx="256">
                  <c:v>2026</c:v>
                </c:pt>
                <c:pt idx="257">
                  <c:v>1995</c:v>
                </c:pt>
                <c:pt idx="258">
                  <c:v>2001</c:v>
                </c:pt>
                <c:pt idx="259">
                  <c:v>2010</c:v>
                </c:pt>
                <c:pt idx="260">
                  <c:v>1992</c:v>
                </c:pt>
                <c:pt idx="261">
                  <c:v>2023</c:v>
                </c:pt>
                <c:pt idx="262">
                  <c:v>2001</c:v>
                </c:pt>
                <c:pt idx="263">
                  <c:v>1974</c:v>
                </c:pt>
                <c:pt idx="264">
                  <c:v>2016</c:v>
                </c:pt>
                <c:pt idx="265">
                  <c:v>2018</c:v>
                </c:pt>
                <c:pt idx="266">
                  <c:v>2026</c:v>
                </c:pt>
                <c:pt idx="267">
                  <c:v>1984</c:v>
                </c:pt>
                <c:pt idx="268">
                  <c:v>2005</c:v>
                </c:pt>
                <c:pt idx="269">
                  <c:v>1996</c:v>
                </c:pt>
                <c:pt idx="270">
                  <c:v>1997</c:v>
                </c:pt>
                <c:pt idx="271">
                  <c:v>2026</c:v>
                </c:pt>
                <c:pt idx="272">
                  <c:v>2025</c:v>
                </c:pt>
                <c:pt idx="273">
                  <c:v>1995</c:v>
                </c:pt>
                <c:pt idx="274">
                  <c:v>2016</c:v>
                </c:pt>
                <c:pt idx="275">
                  <c:v>2004</c:v>
                </c:pt>
                <c:pt idx="276">
                  <c:v>2019</c:v>
                </c:pt>
                <c:pt idx="277">
                  <c:v>2026</c:v>
                </c:pt>
                <c:pt idx="278">
                  <c:v>1992</c:v>
                </c:pt>
                <c:pt idx="279">
                  <c:v>2026</c:v>
                </c:pt>
                <c:pt idx="280">
                  <c:v>2005</c:v>
                </c:pt>
                <c:pt idx="281">
                  <c:v>2011</c:v>
                </c:pt>
                <c:pt idx="282">
                  <c:v>2026</c:v>
                </c:pt>
                <c:pt idx="283">
                  <c:v>2026</c:v>
                </c:pt>
                <c:pt idx="284">
                  <c:v>2021</c:v>
                </c:pt>
                <c:pt idx="285">
                  <c:v>1999</c:v>
                </c:pt>
                <c:pt idx="286">
                  <c:v>2011</c:v>
                </c:pt>
                <c:pt idx="287">
                  <c:v>2026</c:v>
                </c:pt>
                <c:pt idx="288">
                  <c:v>2020</c:v>
                </c:pt>
                <c:pt idx="289">
                  <c:v>1993</c:v>
                </c:pt>
                <c:pt idx="290">
                  <c:v>2026</c:v>
                </c:pt>
                <c:pt idx="291">
                  <c:v>2021</c:v>
                </c:pt>
                <c:pt idx="292">
                  <c:v>2013</c:v>
                </c:pt>
                <c:pt idx="293">
                  <c:v>2026</c:v>
                </c:pt>
                <c:pt idx="294">
                  <c:v>2007</c:v>
                </c:pt>
                <c:pt idx="295">
                  <c:v>2026</c:v>
                </c:pt>
                <c:pt idx="296">
                  <c:v>2025</c:v>
                </c:pt>
                <c:pt idx="297">
                  <c:v>2003</c:v>
                </c:pt>
                <c:pt idx="298">
                  <c:v>2025</c:v>
                </c:pt>
                <c:pt idx="299">
                  <c:v>2021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90-5A45-B50A-E9B98B898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986495"/>
        <c:axId val="340988287"/>
      </c:scatterChart>
      <c:valAx>
        <c:axId val="340986495"/>
        <c:scaling>
          <c:orientation val="minMax"/>
          <c:max val="2026.8"/>
          <c:min val="20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988287"/>
        <c:crosses val="autoZero"/>
        <c:crossBetween val="midCat"/>
      </c:valAx>
      <c:valAx>
        <c:axId val="340988287"/>
        <c:scaling>
          <c:orientation val="minMax"/>
          <c:max val="2040"/>
          <c:min val="19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0986495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Correlación de cada variable con el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Graficos!$AU$2305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Graficos!$AT$2306:$AT$2312</c:f>
              <c:strCache>
                <c:ptCount val="7"/>
                <c:pt idx="0">
                  <c:v>Año</c:v>
                </c:pt>
                <c:pt idx="1">
                  <c:v>Desv. típica</c:v>
                </c:pt>
                <c:pt idx="2">
                  <c:v>Nº canciones</c:v>
                </c:pt>
                <c:pt idx="3">
                  <c:v>Interludios</c:v>
                </c:pt>
                <c:pt idx="4">
                  <c:v>% interludios</c:v>
                </c:pt>
                <c:pt idx="5">
                  <c:v>Duración</c:v>
                </c:pt>
                <c:pt idx="6">
                  <c:v>Notas ≥10</c:v>
                </c:pt>
              </c:strCache>
            </c:strRef>
          </c:cat>
          <c:val>
            <c:numRef>
              <c:f>Graficos!$AU$2306:$AU$2312</c:f>
              <c:numCache>
                <c:formatCode>General</c:formatCode>
                <c:ptCount val="7"/>
                <c:pt idx="0">
                  <c:v>-0.31</c:v>
                </c:pt>
                <c:pt idx="1">
                  <c:v>-0.193</c:v>
                </c:pt>
                <c:pt idx="2">
                  <c:v>-0.107</c:v>
                </c:pt>
                <c:pt idx="3">
                  <c:v>9.8000000000000004E-2</c:v>
                </c:pt>
                <c:pt idx="4">
                  <c:v>9.9000000000000005E-2</c:v>
                </c:pt>
                <c:pt idx="5">
                  <c:v>0.11600000000000001</c:v>
                </c:pt>
                <c:pt idx="6">
                  <c:v>0.50800000000000001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4-3C4E-826E-1423D3A3D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032255"/>
        <c:axId val="341099839"/>
      </c:barChart>
      <c:catAx>
        <c:axId val="341032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099839"/>
        <c:crosses val="autoZero"/>
        <c:auto val="1"/>
        <c:lblAlgn val="ctr"/>
        <c:lblOffset val="100"/>
        <c:noMultiLvlLbl val="0"/>
      </c:catAx>
      <c:valAx>
        <c:axId val="341099839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0322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Graficos!$AU$2315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Graficos!$AT$2316:$AT$2330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Graficos!$AU$2316:$AU$2330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E-A444-9D68-92E5A5F3E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079615"/>
        <c:axId val="341081407"/>
      </c:barChart>
      <c:catAx>
        <c:axId val="34107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081407"/>
        <c:crosses val="autoZero"/>
        <c:auto val="1"/>
        <c:lblAlgn val="ctr"/>
        <c:lblOffset val="100"/>
        <c:noMultiLvlLbl val="0"/>
      </c:catAx>
      <c:valAx>
        <c:axId val="341081407"/>
        <c:scaling>
          <c:orientation val="minMax"/>
          <c:max val="11.5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079615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Graficos!$AU$2333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Graficos!$AT$2334:$AT$2348</c:f>
              <c:strCache>
                <c:ptCount val="15"/>
                <c:pt idx="0">
                  <c:v>Dream Theater - Metropolis, Pt. 2: Scenes from a Memory (1h 17m)</c:v>
                </c:pt>
                <c:pt idx="1">
                  <c:v>Ms. Lauryn Hill - The Miseducation of Lauryn Hill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Graficos!$AU$2334:$AU$2348</c:f>
              <c:numCache>
                <c:formatCode>General</c:formatCode>
                <c:ptCount val="15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1-E144-AAF8-681D1F609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140223"/>
        <c:axId val="341142015"/>
      </c:barChart>
      <c:catAx>
        <c:axId val="341140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142015"/>
        <c:crosses val="autoZero"/>
        <c:auto val="1"/>
        <c:lblAlgn val="ctr"/>
        <c:lblOffset val="100"/>
        <c:noMultiLvlLbl val="0"/>
      </c:catAx>
      <c:valAx>
        <c:axId val="341142015"/>
        <c:scaling>
          <c:orientation val="minMax"/>
          <c:max val="18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140223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Graficos!$AU$2351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Graficos!$AT$2352:$AT$2366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Sweet Trip (2)</c:v>
                </c:pt>
                <c:pt idx="3">
                  <c:v>David Bowie (2)</c:v>
                </c:pt>
                <c:pt idx="4">
                  <c:v>King Crimson (5)</c:v>
                </c:pt>
                <c:pt idx="5">
                  <c:v>Supertramp (2)</c:v>
                </c:pt>
                <c:pt idx="6">
                  <c:v>Porcupine Tree (4)</c:v>
                </c:pt>
                <c:pt idx="7">
                  <c:v>Yes (3)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Graficos!$AU$2352:$AU$2366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8.89</c:v>
                </c:pt>
                <c:pt idx="3">
                  <c:v>8.9</c:v>
                </c:pt>
                <c:pt idx="4">
                  <c:v>8.9</c:v>
                </c:pt>
                <c:pt idx="5">
                  <c:v>8.91</c:v>
                </c:pt>
                <c:pt idx="6">
                  <c:v>8.91</c:v>
                </c:pt>
                <c:pt idx="7">
                  <c:v>8.91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CC-0742-A475-151491E19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203519"/>
        <c:axId val="341205311"/>
      </c:barChart>
      <c:catAx>
        <c:axId val="341203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05311"/>
        <c:crosses val="autoZero"/>
        <c:auto val="1"/>
        <c:lblAlgn val="ctr"/>
        <c:lblOffset val="100"/>
        <c:noMultiLvlLbl val="0"/>
      </c:catAx>
      <c:valAx>
        <c:axId val="341205311"/>
        <c:scaling>
          <c:orientation val="minMax"/>
          <c:max val="10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03519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Graficos!$AU$2369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Graficos!$AT$2370:$AT$2384</c:f>
              <c:strCache>
                <c:ptCount val="15"/>
                <c:pt idx="0">
                  <c:v>Boards of Canada (4)</c:v>
                </c:pt>
                <c:pt idx="1">
                  <c:v>Supertramp (2)</c:v>
                </c:pt>
                <c:pt idx="2">
                  <c:v>Radiohead (9)</c:v>
                </c:pt>
                <c:pt idx="3">
                  <c:v>Talk Talk (2)</c:v>
                </c:pt>
                <c:pt idx="4">
                  <c:v>King Crimson (5)</c:v>
                </c:pt>
                <c:pt idx="5">
                  <c:v>Dire Straits (3)</c:v>
                </c:pt>
                <c:pt idx="6">
                  <c:v>Sweet Trip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Led Zeppelin (3)</c:v>
                </c:pt>
                <c:pt idx="10">
                  <c:v>Godspeed You! Black Emperor (3)</c:v>
                </c:pt>
                <c:pt idx="11">
                  <c:v>Extremoduro (2)</c:v>
                </c:pt>
                <c:pt idx="12">
                  <c:v>TOOL (6)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Graficos!$AU$2370:$AU$2384</c:f>
              <c:numCache>
                <c:formatCode>General</c:formatCode>
                <c:ptCount val="15"/>
                <c:pt idx="0">
                  <c:v>8.81</c:v>
                </c:pt>
                <c:pt idx="1">
                  <c:v>8.82</c:v>
                </c:pt>
                <c:pt idx="2">
                  <c:v>8.83</c:v>
                </c:pt>
                <c:pt idx="3">
                  <c:v>8.8800000000000008</c:v>
                </c:pt>
                <c:pt idx="4">
                  <c:v>8.8800000000000008</c:v>
                </c:pt>
                <c:pt idx="5">
                  <c:v>8.9</c:v>
                </c:pt>
                <c:pt idx="6">
                  <c:v>8.93</c:v>
                </c:pt>
                <c:pt idx="7">
                  <c:v>8.9700000000000006</c:v>
                </c:pt>
                <c:pt idx="8">
                  <c:v>8.99</c:v>
                </c:pt>
                <c:pt idx="9">
                  <c:v>9.06</c:v>
                </c:pt>
                <c:pt idx="10">
                  <c:v>9.2799999999999994</c:v>
                </c:pt>
                <c:pt idx="11">
                  <c:v>9.3699999999999992</c:v>
                </c:pt>
                <c:pt idx="12">
                  <c:v>9.4</c:v>
                </c:pt>
                <c:pt idx="13">
                  <c:v>9.58</c:v>
                </c:pt>
                <c:pt idx="14">
                  <c:v>9.8800000000000008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7A-B44D-B9F5-8B179C4CF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234047"/>
        <c:axId val="341235839"/>
      </c:barChart>
      <c:catAx>
        <c:axId val="3412340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35839"/>
        <c:crosses val="autoZero"/>
        <c:auto val="1"/>
        <c:lblAlgn val="ctr"/>
        <c:lblOffset val="100"/>
        <c:noMultiLvlLbl val="0"/>
      </c:catAx>
      <c:valAx>
        <c:axId val="341235839"/>
        <c:scaling>
          <c:orientation val="minMax"/>
          <c:max val="10.5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3404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Graficos!$AU$2387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Graficos!$AT$2388:$AT$2402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Graficos!$AU$2388:$AU$2402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7-CE4E-B6ED-C302D8621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280959"/>
        <c:axId val="341282751"/>
      </c:barChart>
      <c:catAx>
        <c:axId val="341280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82751"/>
        <c:crosses val="autoZero"/>
        <c:auto val="1"/>
        <c:lblAlgn val="ctr"/>
        <c:lblOffset val="100"/>
        <c:noMultiLvlLbl val="0"/>
      </c:catAx>
      <c:valAx>
        <c:axId val="34128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28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Graficos!$AU$2405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Graficos!$AT$2406:$AT$2420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Agalloch (1h 3m)</c:v>
                </c:pt>
                <c:pt idx="5">
                  <c:v>Nujabes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Graficos!$AU$2406:$AU$2420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4F-A44C-9601-92AAC6013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1310335"/>
        <c:axId val="341345151"/>
      </c:barChart>
      <c:catAx>
        <c:axId val="3413103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345151"/>
        <c:crosses val="autoZero"/>
        <c:auto val="1"/>
        <c:lblAlgn val="ctr"/>
        <c:lblOffset val="100"/>
        <c:noMultiLvlLbl val="0"/>
      </c:catAx>
      <c:valAx>
        <c:axId val="341345151"/>
        <c:scaling>
          <c:orientation val="minMax"/>
          <c:max val="14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1310335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55ECDA79-C180-9F33-82DB-3E07DF938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01B51975-F636-338B-E6CE-D5455D77C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165100</xdr:colOff>
      <xdr:row>0</xdr:row>
      <xdr:rowOff>127000</xdr:rowOff>
    </xdr:from>
    <xdr:to>
      <xdr:col>28</xdr:col>
      <xdr:colOff>203200</xdr:colOff>
      <xdr:row>19</xdr:row>
      <xdr:rowOff>76200</xdr:rowOff>
    </xdr:to>
    <xdr:graphicFrame macro="">
      <xdr:nvGraphicFramePr>
        <xdr:cNvPr id="76" name="Gráfico 75">
          <a:extLst>
            <a:ext uri="{FF2B5EF4-FFF2-40B4-BE49-F238E27FC236}">
              <a16:creationId xmlns:a16="http://schemas.microsoft.com/office/drawing/2014/main" id="{B9018388-817C-6D0D-326F-DDB2EDD71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77" name="Gráfico 76">
          <a:extLst>
            <a:ext uri="{FF2B5EF4-FFF2-40B4-BE49-F238E27FC236}">
              <a16:creationId xmlns:a16="http://schemas.microsoft.com/office/drawing/2014/main" id="{ED8C9AE3-C1F0-099D-E3AE-1AEDDFC198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78" name="Gráfico 77">
          <a:extLst>
            <a:ext uri="{FF2B5EF4-FFF2-40B4-BE49-F238E27FC236}">
              <a16:creationId xmlns:a16="http://schemas.microsoft.com/office/drawing/2014/main" id="{A84764E8-2482-04C8-60DA-9084DADB3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165100</xdr:colOff>
      <xdr:row>20</xdr:row>
      <xdr:rowOff>190500</xdr:rowOff>
    </xdr:from>
    <xdr:to>
      <xdr:col>28</xdr:col>
      <xdr:colOff>203200</xdr:colOff>
      <xdr:row>39</xdr:row>
      <xdr:rowOff>139700</xdr:rowOff>
    </xdr:to>
    <xdr:graphicFrame macro="">
      <xdr:nvGraphicFramePr>
        <xdr:cNvPr id="79" name="Gráfico 78">
          <a:extLst>
            <a:ext uri="{FF2B5EF4-FFF2-40B4-BE49-F238E27FC236}">
              <a16:creationId xmlns:a16="http://schemas.microsoft.com/office/drawing/2014/main" id="{64F70610-41E6-F6C6-475F-F72352C87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80" name="Gráfico 79">
          <a:extLst>
            <a:ext uri="{FF2B5EF4-FFF2-40B4-BE49-F238E27FC236}">
              <a16:creationId xmlns:a16="http://schemas.microsoft.com/office/drawing/2014/main" id="{652601B5-DD9D-0354-DDDA-4B90965CB2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81" name="Gráfico 80">
          <a:extLst>
            <a:ext uri="{FF2B5EF4-FFF2-40B4-BE49-F238E27FC236}">
              <a16:creationId xmlns:a16="http://schemas.microsoft.com/office/drawing/2014/main" id="{994881BE-EE0F-51CB-ACE7-1FDEB2D2B1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165100</xdr:colOff>
      <xdr:row>41</xdr:row>
      <xdr:rowOff>50800</xdr:rowOff>
    </xdr:from>
    <xdr:to>
      <xdr:col>28</xdr:col>
      <xdr:colOff>203200</xdr:colOff>
      <xdr:row>60</xdr:row>
      <xdr:rowOff>0</xdr:rowOff>
    </xdr:to>
    <xdr:graphicFrame macro="">
      <xdr:nvGraphicFramePr>
        <xdr:cNvPr id="82" name="Gráfico 81">
          <a:extLst>
            <a:ext uri="{FF2B5EF4-FFF2-40B4-BE49-F238E27FC236}">
              <a16:creationId xmlns:a16="http://schemas.microsoft.com/office/drawing/2014/main" id="{FCDA07A0-73DF-CE89-539B-8978BAFC4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83" name="Gráfico 82">
          <a:extLst>
            <a:ext uri="{FF2B5EF4-FFF2-40B4-BE49-F238E27FC236}">
              <a16:creationId xmlns:a16="http://schemas.microsoft.com/office/drawing/2014/main" id="{3F17E0D8-E37A-9544-915C-A6CB6AA2C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84" name="Gráfico 83">
          <a:extLst>
            <a:ext uri="{FF2B5EF4-FFF2-40B4-BE49-F238E27FC236}">
              <a16:creationId xmlns:a16="http://schemas.microsoft.com/office/drawing/2014/main" id="{B2E63865-2DCA-CF4A-63C0-61EFBF1C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165100</xdr:colOff>
      <xdr:row>61</xdr:row>
      <xdr:rowOff>114300</xdr:rowOff>
    </xdr:from>
    <xdr:to>
      <xdr:col>28</xdr:col>
      <xdr:colOff>203200</xdr:colOff>
      <xdr:row>80</xdr:row>
      <xdr:rowOff>63500</xdr:rowOff>
    </xdr:to>
    <xdr:graphicFrame macro="">
      <xdr:nvGraphicFramePr>
        <xdr:cNvPr id="85" name="Gráfico 84">
          <a:extLst>
            <a:ext uri="{FF2B5EF4-FFF2-40B4-BE49-F238E27FC236}">
              <a16:creationId xmlns:a16="http://schemas.microsoft.com/office/drawing/2014/main" id="{CD9F8D75-EBF2-FF0E-51D4-EB5F269B7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86" name="Gráfico 85">
          <a:extLst>
            <a:ext uri="{FF2B5EF4-FFF2-40B4-BE49-F238E27FC236}">
              <a16:creationId xmlns:a16="http://schemas.microsoft.com/office/drawing/2014/main" id="{79200CF8-D0EC-7B4B-FCCC-FE0B88704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87" name="Gráfico 86">
          <a:extLst>
            <a:ext uri="{FF2B5EF4-FFF2-40B4-BE49-F238E27FC236}">
              <a16:creationId xmlns:a16="http://schemas.microsoft.com/office/drawing/2014/main" id="{152EEE12-102B-8E02-A2F8-4147E3C25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165100</xdr:colOff>
      <xdr:row>81</xdr:row>
      <xdr:rowOff>177800</xdr:rowOff>
    </xdr:from>
    <xdr:to>
      <xdr:col>28</xdr:col>
      <xdr:colOff>203200</xdr:colOff>
      <xdr:row>100</xdr:row>
      <xdr:rowOff>127000</xdr:rowOff>
    </xdr:to>
    <xdr:graphicFrame macro="">
      <xdr:nvGraphicFramePr>
        <xdr:cNvPr id="88" name="Gráfico 87">
          <a:extLst>
            <a:ext uri="{FF2B5EF4-FFF2-40B4-BE49-F238E27FC236}">
              <a16:creationId xmlns:a16="http://schemas.microsoft.com/office/drawing/2014/main" id="{50DCDF0D-9289-CFDB-5080-393452A5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89" name="Gráfico 88">
          <a:extLst>
            <a:ext uri="{FF2B5EF4-FFF2-40B4-BE49-F238E27FC236}">
              <a16:creationId xmlns:a16="http://schemas.microsoft.com/office/drawing/2014/main" id="{352D48C4-2E61-9CB3-7B58-3D8D8F5D3C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90" name="Gráfico 89">
          <a:extLst>
            <a:ext uri="{FF2B5EF4-FFF2-40B4-BE49-F238E27FC236}">
              <a16:creationId xmlns:a16="http://schemas.microsoft.com/office/drawing/2014/main" id="{1EADE613-90B5-B863-0C7A-C61C86F490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165100</xdr:colOff>
      <xdr:row>102</xdr:row>
      <xdr:rowOff>38100</xdr:rowOff>
    </xdr:from>
    <xdr:to>
      <xdr:col>28</xdr:col>
      <xdr:colOff>203200</xdr:colOff>
      <xdr:row>120</xdr:row>
      <xdr:rowOff>190500</xdr:rowOff>
    </xdr:to>
    <xdr:graphicFrame macro="">
      <xdr:nvGraphicFramePr>
        <xdr:cNvPr id="91" name="Gráfico 90">
          <a:extLst>
            <a:ext uri="{FF2B5EF4-FFF2-40B4-BE49-F238E27FC236}">
              <a16:creationId xmlns:a16="http://schemas.microsoft.com/office/drawing/2014/main" id="{736137B9-346D-5AA3-F3A1-9B58A9591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92" name="Gráfico 91">
          <a:extLst>
            <a:ext uri="{FF2B5EF4-FFF2-40B4-BE49-F238E27FC236}">
              <a16:creationId xmlns:a16="http://schemas.microsoft.com/office/drawing/2014/main" id="{F3761FA5-6D27-E8AC-AF31-9973C1751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93" name="Gráfico 92">
          <a:extLst>
            <a:ext uri="{FF2B5EF4-FFF2-40B4-BE49-F238E27FC236}">
              <a16:creationId xmlns:a16="http://schemas.microsoft.com/office/drawing/2014/main" id="{4F79D01B-7D91-CF01-650A-9A483304E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165100</xdr:colOff>
      <xdr:row>122</xdr:row>
      <xdr:rowOff>101600</xdr:rowOff>
    </xdr:from>
    <xdr:to>
      <xdr:col>28</xdr:col>
      <xdr:colOff>203200</xdr:colOff>
      <xdr:row>141</xdr:row>
      <xdr:rowOff>50800</xdr:rowOff>
    </xdr:to>
    <xdr:graphicFrame macro="">
      <xdr:nvGraphicFramePr>
        <xdr:cNvPr id="94" name="Gráfico 93">
          <a:extLst>
            <a:ext uri="{FF2B5EF4-FFF2-40B4-BE49-F238E27FC236}">
              <a16:creationId xmlns:a16="http://schemas.microsoft.com/office/drawing/2014/main" id="{925C6534-7730-E895-1C0C-B8F8A8970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95" name="Gráfico 94">
          <a:extLst>
            <a:ext uri="{FF2B5EF4-FFF2-40B4-BE49-F238E27FC236}">
              <a16:creationId xmlns:a16="http://schemas.microsoft.com/office/drawing/2014/main" id="{49CAE982-A9D8-DDD8-F95F-1FFC48B95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96" name="Gráfico 95">
          <a:extLst>
            <a:ext uri="{FF2B5EF4-FFF2-40B4-BE49-F238E27FC236}">
              <a16:creationId xmlns:a16="http://schemas.microsoft.com/office/drawing/2014/main" id="{9FB525D5-2E33-AB89-84E6-AB84AC69E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165100</xdr:colOff>
      <xdr:row>142</xdr:row>
      <xdr:rowOff>165100</xdr:rowOff>
    </xdr:from>
    <xdr:to>
      <xdr:col>28</xdr:col>
      <xdr:colOff>203200</xdr:colOff>
      <xdr:row>161</xdr:row>
      <xdr:rowOff>114300</xdr:rowOff>
    </xdr:to>
    <xdr:graphicFrame macro="">
      <xdr:nvGraphicFramePr>
        <xdr:cNvPr id="97" name="Gráfico 96">
          <a:extLst>
            <a:ext uri="{FF2B5EF4-FFF2-40B4-BE49-F238E27FC236}">
              <a16:creationId xmlns:a16="http://schemas.microsoft.com/office/drawing/2014/main" id="{79278C15-0C74-B8C7-6BD3-587A5EF194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98" name="Gráfico 97">
          <a:extLst>
            <a:ext uri="{FF2B5EF4-FFF2-40B4-BE49-F238E27FC236}">
              <a16:creationId xmlns:a16="http://schemas.microsoft.com/office/drawing/2014/main" id="{461D730F-AD57-36B9-7FC3-A7BFE03A1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99" name="Gráfico 98">
          <a:extLst>
            <a:ext uri="{FF2B5EF4-FFF2-40B4-BE49-F238E27FC236}">
              <a16:creationId xmlns:a16="http://schemas.microsoft.com/office/drawing/2014/main" id="{2C6E0F98-2E41-DDA2-85C7-C6F2AB28C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165100</xdr:colOff>
      <xdr:row>163</xdr:row>
      <xdr:rowOff>25400</xdr:rowOff>
    </xdr:from>
    <xdr:to>
      <xdr:col>28</xdr:col>
      <xdr:colOff>203200</xdr:colOff>
      <xdr:row>181</xdr:row>
      <xdr:rowOff>177800</xdr:rowOff>
    </xdr:to>
    <xdr:graphicFrame macro="">
      <xdr:nvGraphicFramePr>
        <xdr:cNvPr id="100" name="Gráfico 99">
          <a:extLst>
            <a:ext uri="{FF2B5EF4-FFF2-40B4-BE49-F238E27FC236}">
              <a16:creationId xmlns:a16="http://schemas.microsoft.com/office/drawing/2014/main" id="{FEAEFE7B-6E7F-F318-4B51-7F198F1A2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101" name="Gráfico 100">
          <a:extLst>
            <a:ext uri="{FF2B5EF4-FFF2-40B4-BE49-F238E27FC236}">
              <a16:creationId xmlns:a16="http://schemas.microsoft.com/office/drawing/2014/main" id="{E8A8A85F-106A-21C0-9AE2-8A4A45153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102" name="Gráfico 101">
          <a:extLst>
            <a:ext uri="{FF2B5EF4-FFF2-40B4-BE49-F238E27FC236}">
              <a16:creationId xmlns:a16="http://schemas.microsoft.com/office/drawing/2014/main" id="{44A25C60-44E2-079C-C5E8-24571F359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165100</xdr:colOff>
      <xdr:row>183</xdr:row>
      <xdr:rowOff>88900</xdr:rowOff>
    </xdr:from>
    <xdr:to>
      <xdr:col>28</xdr:col>
      <xdr:colOff>203200</xdr:colOff>
      <xdr:row>202</xdr:row>
      <xdr:rowOff>38100</xdr:rowOff>
    </xdr:to>
    <xdr:graphicFrame macro="">
      <xdr:nvGraphicFramePr>
        <xdr:cNvPr id="103" name="Gráfico 102">
          <a:extLst>
            <a:ext uri="{FF2B5EF4-FFF2-40B4-BE49-F238E27FC236}">
              <a16:creationId xmlns:a16="http://schemas.microsoft.com/office/drawing/2014/main" id="{795E8199-4673-99F7-9FA3-5EB6E45B8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104" name="Gráfico 103">
          <a:extLst>
            <a:ext uri="{FF2B5EF4-FFF2-40B4-BE49-F238E27FC236}">
              <a16:creationId xmlns:a16="http://schemas.microsoft.com/office/drawing/2014/main" id="{A88D92CA-AF15-342D-E113-E35C966CD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105" name="Gráfico 104">
          <a:extLst>
            <a:ext uri="{FF2B5EF4-FFF2-40B4-BE49-F238E27FC236}">
              <a16:creationId xmlns:a16="http://schemas.microsoft.com/office/drawing/2014/main" id="{1C539A3B-9DB9-4AB7-9303-1C289E787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165100</xdr:colOff>
      <xdr:row>203</xdr:row>
      <xdr:rowOff>152400</xdr:rowOff>
    </xdr:from>
    <xdr:to>
      <xdr:col>28</xdr:col>
      <xdr:colOff>203200</xdr:colOff>
      <xdr:row>222</xdr:row>
      <xdr:rowOff>101600</xdr:rowOff>
    </xdr:to>
    <xdr:graphicFrame macro="">
      <xdr:nvGraphicFramePr>
        <xdr:cNvPr id="106" name="Gráfico 105">
          <a:extLst>
            <a:ext uri="{FF2B5EF4-FFF2-40B4-BE49-F238E27FC236}">
              <a16:creationId xmlns:a16="http://schemas.microsoft.com/office/drawing/2014/main" id="{148490D5-358F-0A68-099D-2808D99CE8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107" name="Gráfico 106">
          <a:extLst>
            <a:ext uri="{FF2B5EF4-FFF2-40B4-BE49-F238E27FC236}">
              <a16:creationId xmlns:a16="http://schemas.microsoft.com/office/drawing/2014/main" id="{48D9C0E1-19C7-5481-B792-EA013621E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18B20FE0-5C59-0D43-880E-7B027EBDB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19</xdr:col>
      <xdr:colOff>165100</xdr:colOff>
      <xdr:row>224</xdr:row>
      <xdr:rowOff>12700</xdr:rowOff>
    </xdr:from>
    <xdr:to>
      <xdr:col>28</xdr:col>
      <xdr:colOff>203200</xdr:colOff>
      <xdr:row>242</xdr:row>
      <xdr:rowOff>165100</xdr:rowOff>
    </xdr:to>
    <xdr:graphicFrame macro="">
      <xdr:nvGraphicFramePr>
        <xdr:cNvPr id="109" name="Gráfico 108">
          <a:extLst>
            <a:ext uri="{FF2B5EF4-FFF2-40B4-BE49-F238E27FC236}">
              <a16:creationId xmlns:a16="http://schemas.microsoft.com/office/drawing/2014/main" id="{8F6BE451-CDED-4E79-0021-1BBD14DAF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zoomScale="110" zoomScaleNormal="110" workbookViewId="0">
      <selection activeCell="N31" sqref="N31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3187</v>
      </c>
      <c r="O1" s="525"/>
      <c r="P1" s="189">
        <v>10.5</v>
      </c>
    </row>
    <row r="2" spans="1:16" x14ac:dyDescent="0.2">
      <c r="A2" t="s">
        <v>3188</v>
      </c>
      <c r="O2" s="505" t="s">
        <v>5258</v>
      </c>
      <c r="P2" s="136">
        <v>10</v>
      </c>
    </row>
    <row r="3" spans="1:16" x14ac:dyDescent="0.2">
      <c r="O3" s="505" t="s">
        <v>5261</v>
      </c>
      <c r="P3" s="136">
        <v>9.5</v>
      </c>
    </row>
    <row r="4" spans="1:16" x14ac:dyDescent="0.2">
      <c r="A4" s="378" t="s">
        <v>3189</v>
      </c>
      <c r="O4" s="505" t="s">
        <v>5259</v>
      </c>
      <c r="P4" s="136">
        <v>9</v>
      </c>
    </row>
    <row r="5" spans="1:16" x14ac:dyDescent="0.2">
      <c r="A5" t="s">
        <v>3190</v>
      </c>
      <c r="O5" s="505" t="s">
        <v>5262</v>
      </c>
      <c r="P5" s="136">
        <v>8.5</v>
      </c>
    </row>
    <row r="6" spans="1:16" x14ac:dyDescent="0.2">
      <c r="B6" t="s">
        <v>3191</v>
      </c>
      <c r="O6" s="505" t="s">
        <v>5264</v>
      </c>
      <c r="P6" s="136">
        <v>8</v>
      </c>
    </row>
    <row r="7" spans="1:16" x14ac:dyDescent="0.2">
      <c r="B7" t="s">
        <v>3192</v>
      </c>
      <c r="O7" s="505" t="s">
        <v>5263</v>
      </c>
      <c r="P7" s="136">
        <v>7.5</v>
      </c>
    </row>
    <row r="8" spans="1:16" ht="17" thickBot="1" x14ac:dyDescent="0.25">
      <c r="B8" t="s">
        <v>3193</v>
      </c>
      <c r="O8" s="506" t="s">
        <v>5260</v>
      </c>
      <c r="P8" s="190">
        <v>7</v>
      </c>
    </row>
    <row r="9" spans="1:16" x14ac:dyDescent="0.2">
      <c r="B9" t="s">
        <v>3194</v>
      </c>
    </row>
    <row r="10" spans="1:16" x14ac:dyDescent="0.2">
      <c r="A10" t="s">
        <v>3202</v>
      </c>
    </row>
    <row r="11" spans="1:16" x14ac:dyDescent="0.2">
      <c r="B11" t="s">
        <v>3195</v>
      </c>
    </row>
    <row r="12" spans="1:16" x14ac:dyDescent="0.2">
      <c r="B12" t="s">
        <v>3196</v>
      </c>
    </row>
    <row r="13" spans="1:16" x14ac:dyDescent="0.2">
      <c r="B13" t="s">
        <v>3197</v>
      </c>
    </row>
    <row r="14" spans="1:16" x14ac:dyDescent="0.2">
      <c r="A14" t="s">
        <v>3198</v>
      </c>
    </row>
    <row r="15" spans="1:16" x14ac:dyDescent="0.2">
      <c r="B15" t="s">
        <v>3199</v>
      </c>
    </row>
    <row r="16" spans="1:16" x14ac:dyDescent="0.2">
      <c r="B16" t="s">
        <v>3200</v>
      </c>
    </row>
    <row r="17" spans="1:3" x14ac:dyDescent="0.2">
      <c r="B17" t="s">
        <v>3249</v>
      </c>
    </row>
    <row r="18" spans="1:3" x14ac:dyDescent="0.2">
      <c r="B18" t="s">
        <v>3201</v>
      </c>
    </row>
    <row r="19" spans="1:3" x14ac:dyDescent="0.2">
      <c r="A19" t="s">
        <v>3203</v>
      </c>
    </row>
    <row r="20" spans="1:3" x14ac:dyDescent="0.2">
      <c r="B20" t="s">
        <v>3204</v>
      </c>
    </row>
    <row r="21" spans="1:3" x14ac:dyDescent="0.2">
      <c r="B21" t="s">
        <v>3205</v>
      </c>
    </row>
    <row r="22" spans="1:3" x14ac:dyDescent="0.2">
      <c r="B22" t="s">
        <v>3206</v>
      </c>
    </row>
    <row r="23" spans="1:3" x14ac:dyDescent="0.2">
      <c r="A23" t="s">
        <v>3207</v>
      </c>
    </row>
    <row r="24" spans="1:3" x14ac:dyDescent="0.2">
      <c r="A24" t="s">
        <v>3239</v>
      </c>
    </row>
    <row r="27" spans="1:3" x14ac:dyDescent="0.2">
      <c r="A27" t="s">
        <v>3244</v>
      </c>
    </row>
    <row r="29" spans="1:3" x14ac:dyDescent="0.2">
      <c r="A29" t="s">
        <v>3208</v>
      </c>
    </row>
    <row r="30" spans="1:3" x14ac:dyDescent="0.2">
      <c r="A30" s="379" t="s">
        <v>3219</v>
      </c>
      <c r="B30" s="379" t="s">
        <v>3220</v>
      </c>
      <c r="C30" s="379" t="s">
        <v>3221</v>
      </c>
    </row>
    <row r="31" spans="1:3" x14ac:dyDescent="0.2">
      <c r="A31" t="s">
        <v>3209</v>
      </c>
      <c r="B31" t="s">
        <v>3210</v>
      </c>
      <c r="C31" t="s">
        <v>3224</v>
      </c>
    </row>
    <row r="32" spans="1:3" x14ac:dyDescent="0.2">
      <c r="A32" t="s">
        <v>3211</v>
      </c>
      <c r="B32" t="s">
        <v>3216</v>
      </c>
      <c r="C32" t="s">
        <v>3222</v>
      </c>
    </row>
    <row r="33" spans="1:3" x14ac:dyDescent="0.2">
      <c r="A33" t="s">
        <v>3212</v>
      </c>
      <c r="B33" t="s">
        <v>3217</v>
      </c>
    </row>
    <row r="34" spans="1:3" x14ac:dyDescent="0.2">
      <c r="A34" t="s">
        <v>3213</v>
      </c>
      <c r="B34" t="s">
        <v>3217</v>
      </c>
    </row>
    <row r="35" spans="1:3" x14ac:dyDescent="0.2">
      <c r="A35" t="s">
        <v>3214</v>
      </c>
      <c r="B35" t="s">
        <v>3217</v>
      </c>
    </row>
    <row r="36" spans="1:3" x14ac:dyDescent="0.2">
      <c r="A36" t="s">
        <v>3218</v>
      </c>
      <c r="B36" t="s">
        <v>3216</v>
      </c>
      <c r="C36" t="s">
        <v>3223</v>
      </c>
    </row>
    <row r="37" spans="1:3" x14ac:dyDescent="0.2">
      <c r="A37" t="s">
        <v>3215</v>
      </c>
      <c r="B37" t="s">
        <v>3217</v>
      </c>
    </row>
    <row r="39" spans="1:3" x14ac:dyDescent="0.2">
      <c r="A39" t="s">
        <v>3226</v>
      </c>
    </row>
    <row r="40" spans="1:3" x14ac:dyDescent="0.2">
      <c r="A40" t="s">
        <v>3227</v>
      </c>
    </row>
    <row r="41" spans="1:3" x14ac:dyDescent="0.2">
      <c r="A41" t="s">
        <v>3228</v>
      </c>
    </row>
    <row r="43" spans="1:3" x14ac:dyDescent="0.2">
      <c r="A43" t="s">
        <v>3229</v>
      </c>
    </row>
    <row r="44" spans="1:3" x14ac:dyDescent="0.2">
      <c r="A44" t="s">
        <v>3230</v>
      </c>
    </row>
    <row r="46" spans="1:3" x14ac:dyDescent="0.2">
      <c r="A46" t="s">
        <v>3231</v>
      </c>
    </row>
    <row r="47" spans="1:3" x14ac:dyDescent="0.2">
      <c r="A47" s="379" t="s">
        <v>3219</v>
      </c>
      <c r="B47" s="379" t="s">
        <v>3220</v>
      </c>
      <c r="C47" s="379" t="s">
        <v>3221</v>
      </c>
    </row>
    <row r="48" spans="1:3" x14ac:dyDescent="0.2">
      <c r="A48" t="s">
        <v>3209</v>
      </c>
      <c r="B48" s="380" t="s">
        <v>3232</v>
      </c>
      <c r="C48" t="s">
        <v>3235</v>
      </c>
    </row>
    <row r="49" spans="1:3" x14ac:dyDescent="0.2">
      <c r="A49" t="s">
        <v>3211</v>
      </c>
      <c r="B49" s="380" t="s">
        <v>3233</v>
      </c>
      <c r="C49" t="s">
        <v>3236</v>
      </c>
    </row>
    <row r="50" spans="1:3" x14ac:dyDescent="0.2">
      <c r="A50" t="s">
        <v>3212</v>
      </c>
      <c r="B50" t="s">
        <v>3234</v>
      </c>
      <c r="C50" t="s">
        <v>3237</v>
      </c>
    </row>
    <row r="51" spans="1:3" x14ac:dyDescent="0.2">
      <c r="A51" t="s">
        <v>3213</v>
      </c>
      <c r="B51" t="s">
        <v>3234</v>
      </c>
      <c r="C51" t="s">
        <v>3237</v>
      </c>
    </row>
    <row r="52" spans="1:3" x14ac:dyDescent="0.2">
      <c r="A52" t="s">
        <v>3214</v>
      </c>
      <c r="B52" t="s">
        <v>3234</v>
      </c>
      <c r="C52" t="s">
        <v>3237</v>
      </c>
    </row>
    <row r="53" spans="1:3" x14ac:dyDescent="0.2">
      <c r="A53" t="s">
        <v>3218</v>
      </c>
      <c r="B53" s="380" t="s">
        <v>3232</v>
      </c>
      <c r="C53" t="s">
        <v>3238</v>
      </c>
    </row>
    <row r="54" spans="1:3" x14ac:dyDescent="0.2">
      <c r="A54" t="s">
        <v>3215</v>
      </c>
      <c r="B54" t="s">
        <v>3234</v>
      </c>
      <c r="C54" t="s">
        <v>3237</v>
      </c>
    </row>
    <row r="55" spans="1:3" x14ac:dyDescent="0.2">
      <c r="A55" t="s">
        <v>3242</v>
      </c>
    </row>
    <row r="57" spans="1:3" x14ac:dyDescent="0.2">
      <c r="A57" t="s">
        <v>3240</v>
      </c>
    </row>
    <row r="59" spans="1:3" x14ac:dyDescent="0.2">
      <c r="A59" t="s">
        <v>3241</v>
      </c>
    </row>
    <row r="60" spans="1:3" x14ac:dyDescent="0.2">
      <c r="B60" t="s">
        <v>3245</v>
      </c>
    </row>
    <row r="62" spans="1:3" x14ac:dyDescent="0.2">
      <c r="A62" t="s">
        <v>3243</v>
      </c>
    </row>
    <row r="64" spans="1:3" x14ac:dyDescent="0.2">
      <c r="A64" t="s">
        <v>4612</v>
      </c>
    </row>
  </sheetData>
  <conditionalFormatting sqref="P1:P8">
    <cfRule type="containsBlanks" dxfId="2540" priority="1" stopIfTrue="1">
      <formula>LEN(TRIM(P1))=0</formula>
    </cfRule>
    <cfRule type="cellIs" dxfId="2539" priority="2" operator="lessThan">
      <formula>2</formula>
    </cfRule>
    <cfRule type="cellIs" dxfId="2538" priority="3" operator="between">
      <formula>2</formula>
      <formula>4.9</formula>
    </cfRule>
    <cfRule type="cellIs" dxfId="2537" priority="4" operator="between">
      <formula>5</formula>
      <formula>6.9</formula>
    </cfRule>
    <cfRule type="cellIs" dxfId="2536" priority="5" operator="between">
      <formula>10.1</formula>
      <formula>10.6</formula>
    </cfRule>
    <cfRule type="cellIs" dxfId="2535" priority="6" operator="between">
      <formula>7</formula>
      <formula>7.9</formula>
    </cfRule>
    <cfRule type="cellIs" dxfId="2534" priority="7" stopIfTrue="1" operator="between">
      <formula>8</formula>
      <formula>8.9</formula>
    </cfRule>
    <cfRule type="cellIs" dxfId="2533" priority="8" operator="between">
      <formula>9</formula>
      <formula>9.9</formula>
    </cfRule>
    <cfRule type="cellIs" dxfId="2532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G1" zoomScale="140" zoomScaleNormal="140" zoomScaleSheetLayoutView="90" workbookViewId="0">
      <pane ySplit="1" topLeftCell="A790" activePane="bottomLeft" state="frozen"/>
      <selection pane="bottomLeft" activeCell="J815" sqref="J815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5.6640625" style="3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3159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8.7200000000000006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8.5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3081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4233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2093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2094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2095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2096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2097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2098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2099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2100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2101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2102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2103</v>
      </c>
      <c r="B353" s="134">
        <v>8</v>
      </c>
      <c r="C353" s="2"/>
      <c r="D353" s="4" t="s">
        <v>1922</v>
      </c>
      <c r="E353" s="134"/>
      <c r="F353" s="2"/>
      <c r="G353" s="167" t="s">
        <v>2112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2104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2113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2105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2114</v>
      </c>
      <c r="H355" s="134">
        <v>10</v>
      </c>
      <c r="I355" s="2"/>
      <c r="J355" s="2"/>
      <c r="K355" s="2"/>
      <c r="L355" s="2"/>
      <c r="M355" s="168" t="s">
        <v>2136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2106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2115</v>
      </c>
      <c r="H356" s="134">
        <v>8</v>
      </c>
      <c r="I356" s="2"/>
      <c r="J356" s="169" t="s">
        <v>2139</v>
      </c>
      <c r="K356" s="12">
        <f>ROUND(SUM(K357:K363)/COUNT(K357:K363), 2)</f>
        <v>8.64</v>
      </c>
      <c r="L356" s="2"/>
      <c r="M356" s="11" t="s">
        <v>2126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2107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2116</v>
      </c>
      <c r="H357" s="134">
        <v>9</v>
      </c>
      <c r="I357" s="2"/>
      <c r="J357" s="11" t="s">
        <v>2140</v>
      </c>
      <c r="K357" s="133">
        <v>8</v>
      </c>
      <c r="L357" s="2"/>
      <c r="M357" s="4" t="s">
        <v>2127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2108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2117</v>
      </c>
      <c r="H358" s="134">
        <v>8</v>
      </c>
      <c r="I358" s="2"/>
      <c r="J358" s="4" t="s">
        <v>2141</v>
      </c>
      <c r="K358" s="134">
        <v>9</v>
      </c>
      <c r="L358" s="2"/>
      <c r="M358" s="4" t="s">
        <v>2128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2118</v>
      </c>
      <c r="H359" s="134">
        <v>8.5</v>
      </c>
      <c r="I359" s="2"/>
      <c r="J359" s="4" t="s">
        <v>2142</v>
      </c>
      <c r="K359" s="134">
        <v>8.5</v>
      </c>
      <c r="L359" s="2"/>
      <c r="M359" s="4" t="s">
        <v>2129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2148</v>
      </c>
      <c r="B360" s="12">
        <f>ROUND(SUM(B361:B377)/COUNT(B361:B377), 2)</f>
        <v>8.81</v>
      </c>
      <c r="C360" s="2"/>
      <c r="D360" s="172" t="s">
        <v>2168</v>
      </c>
      <c r="E360" s="12">
        <f>ROUND(SUM(E361:E370)/COUNT(E361:E370), 2)</f>
        <v>8.67</v>
      </c>
      <c r="F360" s="2"/>
      <c r="G360" s="4" t="s">
        <v>2119</v>
      </c>
      <c r="H360" s="134">
        <v>8</v>
      </c>
      <c r="I360" s="2"/>
      <c r="J360" s="4" t="s">
        <v>2143</v>
      </c>
      <c r="K360" s="134">
        <v>10</v>
      </c>
      <c r="L360" s="2"/>
      <c r="M360" s="4" t="s">
        <v>2130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2149</v>
      </c>
      <c r="B361" s="133">
        <v>10</v>
      </c>
      <c r="C361" s="2"/>
      <c r="D361" s="11" t="s">
        <v>2169</v>
      </c>
      <c r="E361" s="133">
        <v>8.5</v>
      </c>
      <c r="F361" s="2"/>
      <c r="G361" s="4" t="s">
        <v>2120</v>
      </c>
      <c r="H361" s="134">
        <v>8</v>
      </c>
      <c r="I361" s="2"/>
      <c r="J361" s="4" t="s">
        <v>2144</v>
      </c>
      <c r="K361" s="134">
        <v>9</v>
      </c>
      <c r="L361" s="2"/>
      <c r="M361" s="4" t="s">
        <v>2131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2150</v>
      </c>
      <c r="B362" s="134">
        <v>9</v>
      </c>
      <c r="C362" s="2"/>
      <c r="D362" s="4" t="s">
        <v>2170</v>
      </c>
      <c r="E362" s="134">
        <v>8</v>
      </c>
      <c r="F362" s="2"/>
      <c r="G362" s="4" t="s">
        <v>2121</v>
      </c>
      <c r="H362" s="134">
        <v>10</v>
      </c>
      <c r="I362" s="2"/>
      <c r="J362" s="4" t="s">
        <v>2145</v>
      </c>
      <c r="K362" s="134">
        <v>8.5</v>
      </c>
      <c r="L362" s="2"/>
      <c r="M362" s="4" t="s">
        <v>2132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2151</v>
      </c>
      <c r="B363" s="134">
        <v>8.5</v>
      </c>
      <c r="C363" s="2"/>
      <c r="D363" s="4" t="s">
        <v>2171</v>
      </c>
      <c r="E363" s="134">
        <v>10</v>
      </c>
      <c r="F363" s="2"/>
      <c r="G363" s="7" t="s">
        <v>2122</v>
      </c>
      <c r="H363" s="135">
        <v>8.5</v>
      </c>
      <c r="I363" s="2"/>
      <c r="J363" s="7" t="s">
        <v>2146</v>
      </c>
      <c r="K363" s="135">
        <v>7.5</v>
      </c>
      <c r="L363" s="2"/>
      <c r="M363" s="4" t="s">
        <v>2133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2152</v>
      </c>
      <c r="B364" s="134">
        <v>9.5</v>
      </c>
      <c r="C364" s="2"/>
      <c r="D364" s="4" t="s">
        <v>2172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2153</v>
      </c>
      <c r="B365" s="134">
        <v>8.5</v>
      </c>
      <c r="C365" s="2"/>
      <c r="D365" s="4" t="s">
        <v>2173</v>
      </c>
      <c r="E365" s="134">
        <v>8</v>
      </c>
      <c r="F365" s="2"/>
      <c r="G365" s="173" t="s">
        <v>2182</v>
      </c>
      <c r="H365" s="12">
        <f>ROUND(SUM(H366:H372)/COUNT(H366:H372), 2)</f>
        <v>9.07</v>
      </c>
      <c r="I365" s="2"/>
      <c r="J365" s="174" t="s">
        <v>2193</v>
      </c>
      <c r="K365" s="12">
        <f>ROUND(SUM(K366:K378)/COUNT(K366:K378), 2)</f>
        <v>8.92</v>
      </c>
      <c r="L365" s="2"/>
      <c r="M365" s="7" t="s">
        <v>2135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2154</v>
      </c>
      <c r="B366" s="134">
        <v>9.5</v>
      </c>
      <c r="C366" s="2"/>
      <c r="D366" s="4" t="s">
        <v>2174</v>
      </c>
      <c r="E366" s="134">
        <v>7.5</v>
      </c>
      <c r="F366" s="2"/>
      <c r="G366" s="11" t="s">
        <v>2183</v>
      </c>
      <c r="H366" s="133">
        <v>10</v>
      </c>
      <c r="I366" s="2"/>
      <c r="J366" s="11" t="s">
        <v>2194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2155</v>
      </c>
      <c r="B367" s="134">
        <v>10.5</v>
      </c>
      <c r="C367" s="2"/>
      <c r="D367" s="4" t="s">
        <v>2175</v>
      </c>
      <c r="E367" s="134">
        <v>9</v>
      </c>
      <c r="F367" s="2"/>
      <c r="G367" s="4" t="s">
        <v>2184</v>
      </c>
      <c r="H367" s="134">
        <v>8.5</v>
      </c>
      <c r="I367" s="2"/>
      <c r="J367" s="4" t="s">
        <v>2195</v>
      </c>
      <c r="K367" s="134">
        <v>8.5</v>
      </c>
      <c r="L367" s="2"/>
      <c r="M367" s="175" t="s">
        <v>2207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2156</v>
      </c>
      <c r="B368" s="134">
        <v>9</v>
      </c>
      <c r="C368" s="2"/>
      <c r="D368" s="4" t="s">
        <v>2176</v>
      </c>
      <c r="E368" s="134">
        <v>8.5</v>
      </c>
      <c r="F368" s="2"/>
      <c r="G368" s="4" t="s">
        <v>2185</v>
      </c>
      <c r="H368" s="134">
        <v>9.5</v>
      </c>
      <c r="I368" s="2"/>
      <c r="J368" s="4" t="s">
        <v>2196</v>
      </c>
      <c r="K368" s="134">
        <v>10.5</v>
      </c>
      <c r="L368" s="2"/>
      <c r="M368" s="11" t="s">
        <v>2208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2157</v>
      </c>
      <c r="B369" s="134">
        <v>8</v>
      </c>
      <c r="C369" s="2"/>
      <c r="D369" s="4" t="s">
        <v>2177</v>
      </c>
      <c r="E369" s="134"/>
      <c r="F369" s="2"/>
      <c r="G369" s="4" t="s">
        <v>2186</v>
      </c>
      <c r="H369" s="134">
        <v>8</v>
      </c>
      <c r="I369" s="2"/>
      <c r="J369" s="4" t="s">
        <v>2197</v>
      </c>
      <c r="K369" s="134">
        <v>9.5</v>
      </c>
      <c r="L369" s="2"/>
      <c r="M369" s="4" t="s">
        <v>2209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2158</v>
      </c>
      <c r="B370" s="134">
        <v>8</v>
      </c>
      <c r="C370" s="2"/>
      <c r="D370" s="7" t="s">
        <v>2178</v>
      </c>
      <c r="E370" s="135">
        <v>10</v>
      </c>
      <c r="F370" s="2"/>
      <c r="G370" s="4" t="s">
        <v>2187</v>
      </c>
      <c r="H370" s="134">
        <v>8.5</v>
      </c>
      <c r="I370" s="2"/>
      <c r="J370" s="4" t="s">
        <v>2198</v>
      </c>
      <c r="K370" s="134">
        <v>8.5</v>
      </c>
      <c r="L370" s="2"/>
      <c r="M370" s="4" t="s">
        <v>2210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2159</v>
      </c>
      <c r="B371" s="134">
        <v>8.5</v>
      </c>
      <c r="C371" s="2"/>
      <c r="D371" s="2"/>
      <c r="E371" s="2"/>
      <c r="F371" s="2"/>
      <c r="G371" s="4" t="s">
        <v>2188</v>
      </c>
      <c r="H371" s="134">
        <v>9</v>
      </c>
      <c r="I371" s="2"/>
      <c r="J371" s="4" t="s">
        <v>2199</v>
      </c>
      <c r="K371" s="134">
        <v>7.5</v>
      </c>
      <c r="L371" s="2"/>
      <c r="M371" s="4" t="s">
        <v>2211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2160</v>
      </c>
      <c r="B372" s="134">
        <v>8</v>
      </c>
      <c r="C372" s="2"/>
      <c r="D372" s="121" t="s">
        <v>2213</v>
      </c>
      <c r="E372" s="12">
        <f>ROUND(SUM(E373:E381)/COUNT(E373:E381), 2)</f>
        <v>8.61</v>
      </c>
      <c r="F372" s="2"/>
      <c r="G372" s="7" t="s">
        <v>2189</v>
      </c>
      <c r="H372" s="135">
        <v>10</v>
      </c>
      <c r="I372" s="2"/>
      <c r="J372" s="4" t="s">
        <v>2200</v>
      </c>
      <c r="K372" s="134">
        <v>10</v>
      </c>
      <c r="L372" s="2"/>
      <c r="M372" s="7" t="s">
        <v>2212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2161</v>
      </c>
      <c r="B373" s="134">
        <v>8</v>
      </c>
      <c r="C373" s="2"/>
      <c r="D373" s="11" t="s">
        <v>2214</v>
      </c>
      <c r="E373" s="133">
        <v>9</v>
      </c>
      <c r="F373" s="2"/>
      <c r="G373" s="2"/>
      <c r="H373" s="2"/>
      <c r="I373" s="2"/>
      <c r="J373" s="4" t="s">
        <v>2201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2162</v>
      </c>
      <c r="B374" s="134">
        <v>8.5</v>
      </c>
      <c r="C374" s="2"/>
      <c r="D374" s="4" t="s">
        <v>2215</v>
      </c>
      <c r="E374" s="134">
        <v>7</v>
      </c>
      <c r="F374" s="2"/>
      <c r="G374" s="176" t="s">
        <v>2227</v>
      </c>
      <c r="H374" s="12">
        <f>ROUND(SUM(H375:H385)/COUNT(H375:H385), 2)</f>
        <v>8.86</v>
      </c>
      <c r="I374" s="2"/>
      <c r="J374" s="4" t="s">
        <v>2202</v>
      </c>
      <c r="K374" s="134">
        <v>9</v>
      </c>
      <c r="L374" s="2"/>
      <c r="M374" s="177" t="s">
        <v>2252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2163</v>
      </c>
      <c r="B375" s="134">
        <v>9</v>
      </c>
      <c r="C375" s="2"/>
      <c r="D375" s="4" t="s">
        <v>2216</v>
      </c>
      <c r="E375" s="134">
        <v>10</v>
      </c>
      <c r="F375" s="2"/>
      <c r="G375" s="11" t="s">
        <v>2228</v>
      </c>
      <c r="H375" s="133">
        <v>8.5</v>
      </c>
      <c r="I375" s="2"/>
      <c r="J375" s="4" t="s">
        <v>2203</v>
      </c>
      <c r="K375" s="134">
        <v>9</v>
      </c>
      <c r="L375" s="2"/>
      <c r="M375" s="11" t="s">
        <v>2244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2229</v>
      </c>
      <c r="H376" s="134">
        <v>9.5</v>
      </c>
      <c r="I376" s="2"/>
      <c r="J376" s="4" t="s">
        <v>2204</v>
      </c>
      <c r="K376" s="134">
        <v>8</v>
      </c>
      <c r="L376" s="2"/>
      <c r="M376" s="198" t="s">
        <v>2245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2164</v>
      </c>
      <c r="B377" s="135"/>
      <c r="C377" s="2"/>
      <c r="D377" s="4" t="s">
        <v>2217</v>
      </c>
      <c r="E377" s="134">
        <v>7</v>
      </c>
      <c r="F377" s="2"/>
      <c r="G377" s="4" t="s">
        <v>2230</v>
      </c>
      <c r="H377" s="134">
        <v>8</v>
      </c>
      <c r="I377" s="2"/>
      <c r="J377" s="4" t="s">
        <v>2205</v>
      </c>
      <c r="K377" s="134">
        <v>7</v>
      </c>
      <c r="L377" s="2"/>
      <c r="M377" s="198" t="s">
        <v>2246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2218</v>
      </c>
      <c r="E378" s="134">
        <v>10</v>
      </c>
      <c r="F378" s="2"/>
      <c r="G378" s="4" t="s">
        <v>2231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2365</v>
      </c>
      <c r="B379" s="1">
        <f>ROUND(SUM(B380:B390)/COUNT(B380:B390), 2)</f>
        <v>9.16</v>
      </c>
      <c r="C379" s="2"/>
      <c r="D379" s="4" t="s">
        <v>2219</v>
      </c>
      <c r="E379" s="134">
        <v>10.5</v>
      </c>
      <c r="F379" s="2"/>
      <c r="G379" s="4" t="s">
        <v>2232</v>
      </c>
      <c r="H379" s="134">
        <v>8.5</v>
      </c>
      <c r="I379" s="2"/>
      <c r="J379" s="2"/>
      <c r="K379" s="2"/>
      <c r="L379" s="2"/>
      <c r="M379" s="4" t="s">
        <v>2248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2257</v>
      </c>
      <c r="B380" s="133">
        <v>9</v>
      </c>
      <c r="C380" s="2"/>
      <c r="D380" s="4" t="s">
        <v>2220</v>
      </c>
      <c r="E380" s="134">
        <v>8</v>
      </c>
      <c r="F380" s="2"/>
      <c r="G380" s="4" t="s">
        <v>2233</v>
      </c>
      <c r="H380" s="134">
        <v>10</v>
      </c>
      <c r="I380" s="2"/>
      <c r="J380" s="179" t="s">
        <v>2267</v>
      </c>
      <c r="K380" s="12">
        <f>ROUND(SUM(K381:K391)/COUNT(K381:K391), 2)</f>
        <v>8.65</v>
      </c>
      <c r="L380" s="2"/>
      <c r="M380" s="198" t="s">
        <v>2249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2258</v>
      </c>
      <c r="B381" s="134">
        <v>8</v>
      </c>
      <c r="C381" s="2"/>
      <c r="D381" s="7" t="s">
        <v>2221</v>
      </c>
      <c r="E381" s="135">
        <v>8</v>
      </c>
      <c r="F381" s="2"/>
      <c r="G381" s="4" t="s">
        <v>2234</v>
      </c>
      <c r="H381" s="134">
        <v>10</v>
      </c>
      <c r="I381" s="2"/>
      <c r="J381" s="11" t="s">
        <v>2268</v>
      </c>
      <c r="K381" s="133">
        <v>8</v>
      </c>
      <c r="L381" s="2"/>
      <c r="M381" s="198" t="s">
        <v>2250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2263</v>
      </c>
      <c r="B382" s="134">
        <v>10.5</v>
      </c>
      <c r="C382" s="2"/>
      <c r="D382" s="2"/>
      <c r="E382" s="2"/>
      <c r="F382" s="2"/>
      <c r="G382" s="4" t="s">
        <v>2235</v>
      </c>
      <c r="H382" s="134">
        <v>7.5</v>
      </c>
      <c r="I382" s="2"/>
      <c r="J382" s="4" t="s">
        <v>2269</v>
      </c>
      <c r="K382" s="134">
        <v>9</v>
      </c>
      <c r="L382" s="2"/>
      <c r="M382" s="7" t="s">
        <v>2251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2259</v>
      </c>
      <c r="B383" s="134"/>
      <c r="C383" s="2"/>
      <c r="D383" s="180" t="s">
        <v>2277</v>
      </c>
      <c r="E383" s="12">
        <f>ROUND(SUM(E384:E386)/COUNT(E384:E386), 2)</f>
        <v>10</v>
      </c>
      <c r="F383" s="2"/>
      <c r="G383" s="4" t="s">
        <v>2236</v>
      </c>
      <c r="H383" s="134">
        <v>9</v>
      </c>
      <c r="I383" s="2"/>
      <c r="J383" s="4" t="s">
        <v>2270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2260</v>
      </c>
      <c r="B384" s="134">
        <v>10</v>
      </c>
      <c r="C384" s="2"/>
      <c r="D384" s="11" t="s">
        <v>2278</v>
      </c>
      <c r="E384" s="133">
        <v>10.5</v>
      </c>
      <c r="F384" s="2"/>
      <c r="G384" s="4" t="s">
        <v>2237</v>
      </c>
      <c r="H384" s="134">
        <v>8.5</v>
      </c>
      <c r="I384" s="2"/>
      <c r="J384" s="4" t="s">
        <v>2271</v>
      </c>
      <c r="K384" s="134">
        <v>8.5</v>
      </c>
      <c r="L384" s="2"/>
      <c r="M384" s="181" t="s">
        <v>2280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2261</v>
      </c>
      <c r="B385" s="134">
        <v>7.5</v>
      </c>
      <c r="C385" s="2"/>
      <c r="D385" s="4" t="s">
        <v>3160</v>
      </c>
      <c r="E385" s="134">
        <v>9</v>
      </c>
      <c r="F385" s="2"/>
      <c r="G385" s="7" t="s">
        <v>2238</v>
      </c>
      <c r="H385" s="135">
        <v>10</v>
      </c>
      <c r="I385" s="2"/>
      <c r="J385" s="4" t="s">
        <v>2272</v>
      </c>
      <c r="K385" s="134">
        <v>8.5</v>
      </c>
      <c r="L385" s="2"/>
      <c r="M385" s="4" t="s">
        <v>2281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2262</v>
      </c>
      <c r="B386" s="134">
        <v>10.5</v>
      </c>
      <c r="C386" s="2"/>
      <c r="D386" s="7" t="s">
        <v>2279</v>
      </c>
      <c r="E386" s="135">
        <v>10.5</v>
      </c>
      <c r="F386" s="2"/>
      <c r="G386" s="2"/>
      <c r="H386" s="2"/>
      <c r="I386" s="2"/>
      <c r="J386" s="4" t="s">
        <v>2273</v>
      </c>
      <c r="K386" s="134">
        <v>10</v>
      </c>
      <c r="L386" s="2"/>
      <c r="M386" s="4" t="s">
        <v>2282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2264</v>
      </c>
      <c r="B387" s="135"/>
      <c r="C387" s="2"/>
      <c r="D387" s="2"/>
      <c r="E387" s="2"/>
      <c r="F387" s="2"/>
      <c r="G387" s="182" t="s">
        <v>2294</v>
      </c>
      <c r="H387" s="12">
        <f>ROUND(SUM(H388:H399)/COUNT(H388:H399), 2)</f>
        <v>7.17</v>
      </c>
      <c r="I387" s="2"/>
      <c r="J387" s="4" t="s">
        <v>2274</v>
      </c>
      <c r="K387" s="134">
        <v>8.5</v>
      </c>
      <c r="L387" s="2"/>
      <c r="M387" s="4" t="s">
        <v>2283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2313</v>
      </c>
      <c r="E388" s="12">
        <f>ROUND(SUM(E389:E401)/COUNT(E389:E401), 2)</f>
        <v>8.7899999999999991</v>
      </c>
      <c r="F388" s="2"/>
      <c r="G388" s="11" t="s">
        <v>2295</v>
      </c>
      <c r="H388" s="133">
        <v>8.5</v>
      </c>
      <c r="I388" s="2"/>
      <c r="J388" s="4" t="s">
        <v>2275</v>
      </c>
      <c r="K388" s="134">
        <v>7.5</v>
      </c>
      <c r="L388" s="2"/>
      <c r="M388" s="4" t="s">
        <v>2284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2340</v>
      </c>
      <c r="B389" s="12">
        <f>ROUND(SUM(B390:B399)/COUNT(B390:B399), 2)</f>
        <v>8.75</v>
      </c>
      <c r="C389" s="2"/>
      <c r="D389" s="11" t="s">
        <v>2314</v>
      </c>
      <c r="E389" s="133">
        <v>8.5</v>
      </c>
      <c r="F389" s="2"/>
      <c r="G389" s="4" t="s">
        <v>2296</v>
      </c>
      <c r="H389" s="134">
        <v>7.5</v>
      </c>
      <c r="I389" s="2"/>
      <c r="J389" s="7" t="s">
        <v>2276</v>
      </c>
      <c r="K389" s="135">
        <v>9</v>
      </c>
      <c r="L389" s="2"/>
      <c r="M389" s="4" t="s">
        <v>2285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2330</v>
      </c>
      <c r="B390" s="133">
        <v>9</v>
      </c>
      <c r="C390" s="2"/>
      <c r="D390" s="4" t="s">
        <v>2315</v>
      </c>
      <c r="E390" s="134">
        <v>9.5</v>
      </c>
      <c r="F390" s="2"/>
      <c r="G390" s="4" t="s">
        <v>2297</v>
      </c>
      <c r="H390" s="134">
        <v>7</v>
      </c>
      <c r="I390" s="2"/>
      <c r="J390" s="2"/>
      <c r="K390" s="2"/>
      <c r="L390" s="2"/>
      <c r="M390" s="4" t="s">
        <v>2286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2331</v>
      </c>
      <c r="B391" s="134">
        <v>8</v>
      </c>
      <c r="C391" s="2"/>
      <c r="D391" s="4" t="s">
        <v>2316</v>
      </c>
      <c r="E391" s="134">
        <v>8.5</v>
      </c>
      <c r="F391" s="2"/>
      <c r="G391" s="4" t="s">
        <v>2298</v>
      </c>
      <c r="H391" s="134">
        <v>6.5</v>
      </c>
      <c r="I391" s="2"/>
      <c r="J391" s="185" t="s">
        <v>2343</v>
      </c>
      <c r="K391" s="12">
        <f>ROUND(SUM(K392:K397)/COUNT(K392:K397), 2)</f>
        <v>9</v>
      </c>
      <c r="L391" s="2"/>
      <c r="M391" s="4" t="s">
        <v>2287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2332</v>
      </c>
      <c r="B392" s="134">
        <v>9</v>
      </c>
      <c r="C392" s="2"/>
      <c r="D392" s="4" t="s">
        <v>2317</v>
      </c>
      <c r="E392" s="134">
        <v>8</v>
      </c>
      <c r="F392" s="2"/>
      <c r="G392" s="4" t="s">
        <v>2299</v>
      </c>
      <c r="H392" s="134">
        <v>7</v>
      </c>
      <c r="I392" s="2"/>
      <c r="J392" s="11" t="s">
        <v>2344</v>
      </c>
      <c r="K392" s="133">
        <v>8.5</v>
      </c>
      <c r="L392" s="2"/>
      <c r="M392" s="4" t="s">
        <v>2288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2333</v>
      </c>
      <c r="B393" s="134">
        <v>10.5</v>
      </c>
      <c r="C393" s="2"/>
      <c r="D393" s="4" t="s">
        <v>2318</v>
      </c>
      <c r="E393" s="134">
        <v>8</v>
      </c>
      <c r="F393" s="2"/>
      <c r="G393" s="4" t="s">
        <v>2300</v>
      </c>
      <c r="H393" s="134">
        <v>7.5</v>
      </c>
      <c r="I393" s="2"/>
      <c r="J393" s="4" t="s">
        <v>2345</v>
      </c>
      <c r="K393" s="134">
        <v>10.5</v>
      </c>
      <c r="L393" s="2"/>
      <c r="M393" s="4" t="s">
        <v>2289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2334</v>
      </c>
      <c r="B394" s="134">
        <v>8.5</v>
      </c>
      <c r="C394" s="2"/>
      <c r="D394" s="4" t="s">
        <v>2319</v>
      </c>
      <c r="E394" s="134">
        <v>9.5</v>
      </c>
      <c r="F394" s="2"/>
      <c r="G394" s="4" t="s">
        <v>2301</v>
      </c>
      <c r="H394" s="134">
        <v>6.5</v>
      </c>
      <c r="I394" s="2"/>
      <c r="J394" s="4" t="s">
        <v>2346</v>
      </c>
      <c r="K394" s="134">
        <v>9.5</v>
      </c>
      <c r="L394" s="2"/>
      <c r="M394" s="4" t="s">
        <v>2290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2335</v>
      </c>
      <c r="B395" s="134">
        <v>8.5</v>
      </c>
      <c r="C395" s="2"/>
      <c r="D395" s="4" t="s">
        <v>2320</v>
      </c>
      <c r="E395" s="134">
        <v>8</v>
      </c>
      <c r="F395" s="2"/>
      <c r="G395" s="4" t="s">
        <v>2302</v>
      </c>
      <c r="H395" s="134">
        <v>6</v>
      </c>
      <c r="I395" s="2"/>
      <c r="J395" s="4" t="s">
        <v>2347</v>
      </c>
      <c r="K395" s="134"/>
      <c r="L395" s="2"/>
      <c r="M395" s="7" t="s">
        <v>2291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2336</v>
      </c>
      <c r="B396" s="134">
        <v>8</v>
      </c>
      <c r="C396" s="2"/>
      <c r="D396" s="4" t="s">
        <v>2321</v>
      </c>
      <c r="E396" s="134">
        <v>9</v>
      </c>
      <c r="F396" s="2"/>
      <c r="G396" s="4" t="s">
        <v>2303</v>
      </c>
      <c r="H396" s="134">
        <v>8</v>
      </c>
      <c r="I396" s="2"/>
      <c r="J396" s="4" t="s">
        <v>2348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2337</v>
      </c>
      <c r="B397" s="134">
        <v>8.5</v>
      </c>
      <c r="C397" s="2"/>
      <c r="D397" s="4" t="s">
        <v>2322</v>
      </c>
      <c r="E397" s="134">
        <v>9</v>
      </c>
      <c r="F397" s="2"/>
      <c r="G397" s="4" t="s">
        <v>2304</v>
      </c>
      <c r="H397" s="134">
        <v>7</v>
      </c>
      <c r="I397" s="2"/>
      <c r="J397" s="7" t="s">
        <v>2349</v>
      </c>
      <c r="K397" s="135">
        <v>8</v>
      </c>
      <c r="L397" s="2"/>
      <c r="M397" s="195" t="s">
        <v>2364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2338</v>
      </c>
      <c r="B398" s="134">
        <v>8.5</v>
      </c>
      <c r="C398" s="2"/>
      <c r="D398" s="4" t="s">
        <v>2323</v>
      </c>
      <c r="E398" s="134">
        <v>9</v>
      </c>
      <c r="F398" s="2"/>
      <c r="G398" s="4" t="s">
        <v>2305</v>
      </c>
      <c r="H398" s="134">
        <v>6.5</v>
      </c>
      <c r="I398" s="2"/>
      <c r="J398" s="2"/>
      <c r="K398" s="2"/>
      <c r="L398" s="2"/>
      <c r="M398" s="11" t="s">
        <v>2351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2339</v>
      </c>
      <c r="B399" s="135">
        <v>9</v>
      </c>
      <c r="C399" s="2"/>
      <c r="D399" s="4" t="s">
        <v>2324</v>
      </c>
      <c r="E399" s="134">
        <v>8</v>
      </c>
      <c r="F399" s="2"/>
      <c r="G399" s="7" t="s">
        <v>2306</v>
      </c>
      <c r="H399" s="135">
        <v>8</v>
      </c>
      <c r="I399" s="2"/>
      <c r="J399" s="186" t="s">
        <v>2369</v>
      </c>
      <c r="K399" s="12">
        <f>ROUND(SUM(K400:K410)/COUNT(K400:K410), 2)</f>
        <v>8.86</v>
      </c>
      <c r="L399" s="2"/>
      <c r="M399" s="4" t="s">
        <v>2352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2325</v>
      </c>
      <c r="E400" s="134"/>
      <c r="F400" s="2"/>
      <c r="G400" s="2"/>
      <c r="H400" s="2"/>
      <c r="I400" s="2"/>
      <c r="J400" s="11" t="s">
        <v>2370</v>
      </c>
      <c r="K400" s="133">
        <v>8.5</v>
      </c>
      <c r="L400" s="2"/>
      <c r="M400" s="4" t="s">
        <v>2353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2386</v>
      </c>
      <c r="B401" s="12">
        <f>ROUND(SUM(B402:B411)/COUNT(B402:B411), 2)</f>
        <v>8.75</v>
      </c>
      <c r="C401" s="2"/>
      <c r="D401" s="7" t="s">
        <v>2326</v>
      </c>
      <c r="E401" s="135">
        <v>10.5</v>
      </c>
      <c r="F401" s="2"/>
      <c r="G401" s="188" t="s">
        <v>2393</v>
      </c>
      <c r="H401" s="12">
        <f>ROUND(SUM(H402:H413)/COUNT(H402:H413), 2)</f>
        <v>8.6300000000000008</v>
      </c>
      <c r="I401" s="2"/>
      <c r="J401" s="4" t="s">
        <v>2371</v>
      </c>
      <c r="K401" s="134">
        <v>10</v>
      </c>
      <c r="L401" s="2"/>
      <c r="M401" s="4" t="s">
        <v>2354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2387</v>
      </c>
      <c r="B402" s="133"/>
      <c r="C402" s="2"/>
      <c r="D402" s="2"/>
      <c r="E402" s="2"/>
      <c r="F402" s="2"/>
      <c r="G402" s="11" t="s">
        <v>2394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2388</v>
      </c>
      <c r="B403" s="134">
        <v>10</v>
      </c>
      <c r="C403" s="2"/>
      <c r="D403" s="193" t="s">
        <v>2416</v>
      </c>
      <c r="E403" s="12">
        <f>ROUND(SUM(E404:E413)/COUNT(E404:E413), 2)</f>
        <v>2.5</v>
      </c>
      <c r="F403" s="2"/>
      <c r="G403" s="4" t="s">
        <v>2395</v>
      </c>
      <c r="H403" s="134">
        <v>9</v>
      </c>
      <c r="I403" s="2"/>
      <c r="J403" s="4" t="s">
        <v>2372</v>
      </c>
      <c r="K403" s="134">
        <v>8.5</v>
      </c>
      <c r="L403" s="2"/>
      <c r="M403" s="4" t="s">
        <v>2356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2389</v>
      </c>
      <c r="B404" s="134">
        <v>9.5</v>
      </c>
      <c r="C404" s="2"/>
      <c r="D404" s="11" t="s">
        <v>2406</v>
      </c>
      <c r="E404" s="133">
        <v>3.5</v>
      </c>
      <c r="F404" s="2"/>
      <c r="G404" s="4" t="s">
        <v>2396</v>
      </c>
      <c r="H404" s="134">
        <v>8.5</v>
      </c>
      <c r="I404" s="2"/>
      <c r="J404" s="4" t="s">
        <v>2373</v>
      </c>
      <c r="K404" s="134">
        <v>10.5</v>
      </c>
      <c r="L404" s="2"/>
      <c r="M404" s="4" t="s">
        <v>2357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2390</v>
      </c>
      <c r="B405" s="134">
        <v>8</v>
      </c>
      <c r="C405" s="2"/>
      <c r="D405" s="4" t="s">
        <v>2407</v>
      </c>
      <c r="E405" s="134">
        <v>0</v>
      </c>
      <c r="F405" s="2"/>
      <c r="G405" s="4" t="s">
        <v>2397</v>
      </c>
      <c r="H405" s="134">
        <v>8.5</v>
      </c>
      <c r="I405" s="2"/>
      <c r="J405" s="4" t="s">
        <v>2374</v>
      </c>
      <c r="K405" s="134">
        <v>9.5</v>
      </c>
      <c r="L405" s="2"/>
      <c r="M405" s="4" t="s">
        <v>2358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2391</v>
      </c>
      <c r="B406" s="134"/>
      <c r="C406" s="2"/>
      <c r="D406" s="4" t="s">
        <v>2408</v>
      </c>
      <c r="E406" s="134">
        <v>3</v>
      </c>
      <c r="F406" s="2"/>
      <c r="G406" s="4" t="s">
        <v>2398</v>
      </c>
      <c r="H406" s="134">
        <v>8</v>
      </c>
      <c r="I406" s="2"/>
      <c r="J406" s="4" t="s">
        <v>2375</v>
      </c>
      <c r="K406" s="134">
        <v>8</v>
      </c>
      <c r="L406" s="2"/>
      <c r="M406" s="4" t="s">
        <v>2359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2392</v>
      </c>
      <c r="B407" s="135">
        <v>8</v>
      </c>
      <c r="C407" s="2"/>
      <c r="D407" s="4" t="s">
        <v>2409</v>
      </c>
      <c r="E407" s="134">
        <v>2</v>
      </c>
      <c r="F407" s="2"/>
      <c r="G407" s="4" t="s">
        <v>2399</v>
      </c>
      <c r="H407" s="134">
        <v>7.5</v>
      </c>
      <c r="I407" s="2"/>
      <c r="J407" s="4" t="s">
        <v>2376</v>
      </c>
      <c r="K407" s="134">
        <v>8.5</v>
      </c>
      <c r="L407" s="2"/>
      <c r="M407" s="4" t="s">
        <v>2360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2410</v>
      </c>
      <c r="E408" s="134">
        <v>3</v>
      </c>
      <c r="F408" s="2"/>
      <c r="G408" s="4" t="s">
        <v>2400</v>
      </c>
      <c r="H408" s="134">
        <v>8</v>
      </c>
      <c r="I408" s="2"/>
      <c r="J408" s="4" t="s">
        <v>2377</v>
      </c>
      <c r="K408" s="134">
        <v>7.5</v>
      </c>
      <c r="L408" s="2"/>
      <c r="M408" s="4" t="s">
        <v>2361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2428</v>
      </c>
      <c r="B409" s="12">
        <f>ROUND(SUM(B410:B426)/COUNT(B410:B426), 2)</f>
        <v>8.24</v>
      </c>
      <c r="C409" s="2"/>
      <c r="D409" s="4" t="s">
        <v>2411</v>
      </c>
      <c r="E409" s="136">
        <v>5</v>
      </c>
      <c r="F409" s="2"/>
      <c r="G409" s="4" t="s">
        <v>2401</v>
      </c>
      <c r="H409" s="134">
        <v>7.5</v>
      </c>
      <c r="I409" s="2"/>
      <c r="J409" s="4" t="s">
        <v>2378</v>
      </c>
      <c r="K409" s="134">
        <v>8</v>
      </c>
      <c r="L409" s="2"/>
      <c r="M409" s="4" t="s">
        <v>2362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2429</v>
      </c>
      <c r="B410" s="189">
        <v>7.5</v>
      </c>
      <c r="C410" s="2"/>
      <c r="D410" s="4" t="s">
        <v>2412</v>
      </c>
      <c r="E410" s="134">
        <v>2.5</v>
      </c>
      <c r="F410" s="2"/>
      <c r="G410" s="4" t="s">
        <v>2402</v>
      </c>
      <c r="H410" s="134">
        <v>9</v>
      </c>
      <c r="I410" s="2"/>
      <c r="J410" s="7" t="s">
        <v>2379</v>
      </c>
      <c r="K410" s="135">
        <v>8.5</v>
      </c>
      <c r="L410" s="2"/>
      <c r="M410" s="7" t="s">
        <v>2363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2430</v>
      </c>
      <c r="B411" s="136">
        <v>10</v>
      </c>
      <c r="C411" s="2"/>
      <c r="D411" s="4" t="s">
        <v>2413</v>
      </c>
      <c r="E411" s="134">
        <v>3</v>
      </c>
      <c r="F411" s="2"/>
      <c r="G411" s="4" t="s">
        <v>2403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2431</v>
      </c>
      <c r="B412" s="136">
        <v>9</v>
      </c>
      <c r="C412" s="2"/>
      <c r="D412" s="4" t="s">
        <v>2414</v>
      </c>
      <c r="E412" s="134">
        <v>2</v>
      </c>
      <c r="F412" s="2"/>
      <c r="G412" s="4" t="s">
        <v>2404</v>
      </c>
      <c r="H412" s="134">
        <v>9</v>
      </c>
      <c r="I412" s="2"/>
      <c r="J412" s="194" t="s">
        <v>2448</v>
      </c>
      <c r="K412" s="12">
        <f>ROUND(SUM(K413:K419)/COUNT(K413:K419), 2)</f>
        <v>8.86</v>
      </c>
      <c r="L412" s="2"/>
      <c r="M412" s="200" t="s">
        <v>2457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2432</v>
      </c>
      <c r="B413" s="136">
        <v>8</v>
      </c>
      <c r="C413" s="2"/>
      <c r="D413" s="7" t="s">
        <v>2415</v>
      </c>
      <c r="E413" s="135">
        <v>1</v>
      </c>
      <c r="F413" s="2"/>
      <c r="G413" s="7" t="s">
        <v>2405</v>
      </c>
      <c r="H413" s="135">
        <v>8</v>
      </c>
      <c r="I413" s="2"/>
      <c r="J413" s="11" t="s">
        <v>2449</v>
      </c>
      <c r="K413" s="133">
        <v>8.5</v>
      </c>
      <c r="L413" s="2"/>
      <c r="M413" s="11" t="s">
        <v>2458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2450</v>
      </c>
      <c r="K414" s="134">
        <v>9.5</v>
      </c>
      <c r="L414" s="2"/>
      <c r="M414" s="4" t="s">
        <v>2459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2434</v>
      </c>
      <c r="B415" s="136">
        <v>7.5</v>
      </c>
      <c r="C415" s="2"/>
      <c r="D415" s="201" t="s">
        <v>2466</v>
      </c>
      <c r="E415" s="12">
        <f>ROUND(SUM(E416:E423)/COUNT(E416:E423), 2)</f>
        <v>8.69</v>
      </c>
      <c r="F415" s="2"/>
      <c r="G415" s="202" t="s">
        <v>2476</v>
      </c>
      <c r="H415" s="12">
        <f>ROUND(SUM(H416:H419)/COUNT(H416:H419), 2)</f>
        <v>8.8800000000000008</v>
      </c>
      <c r="I415" s="2"/>
      <c r="J415" s="4" t="s">
        <v>2451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2435</v>
      </c>
      <c r="B416" s="136">
        <v>6</v>
      </c>
      <c r="C416" s="2"/>
      <c r="D416" s="11" t="s">
        <v>2467</v>
      </c>
      <c r="E416" s="133">
        <v>10</v>
      </c>
      <c r="F416" s="2"/>
      <c r="G416" s="11" t="s">
        <v>2480</v>
      </c>
      <c r="H416" s="133">
        <v>8</v>
      </c>
      <c r="I416" s="2"/>
      <c r="J416" s="4" t="s">
        <v>2452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2436</v>
      </c>
      <c r="B417" s="136">
        <v>7.5</v>
      </c>
      <c r="C417" s="2"/>
      <c r="D417" s="4" t="s">
        <v>2468</v>
      </c>
      <c r="E417" s="134">
        <v>10</v>
      </c>
      <c r="F417" s="2"/>
      <c r="G417" s="4" t="s">
        <v>2481</v>
      </c>
      <c r="H417" s="134">
        <v>9</v>
      </c>
      <c r="I417" s="2"/>
      <c r="J417" s="4" t="s">
        <v>2453</v>
      </c>
      <c r="K417" s="134">
        <v>9</v>
      </c>
      <c r="L417" s="2"/>
      <c r="M417" s="203" t="s">
        <v>2484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2437</v>
      </c>
      <c r="B418" s="136">
        <v>7</v>
      </c>
      <c r="C418" s="2"/>
      <c r="D418" s="4" t="s">
        <v>2469</v>
      </c>
      <c r="E418" s="134">
        <v>7.5</v>
      </c>
      <c r="F418" s="2"/>
      <c r="G418" s="4" t="s">
        <v>2482</v>
      </c>
      <c r="H418" s="134">
        <v>10</v>
      </c>
      <c r="I418" s="2"/>
      <c r="J418" s="4" t="s">
        <v>2454</v>
      </c>
      <c r="K418" s="134">
        <v>8.5</v>
      </c>
      <c r="L418" s="2"/>
      <c r="M418" s="11" t="s">
        <v>2485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2438</v>
      </c>
      <c r="B419" s="136">
        <v>8.5</v>
      </c>
      <c r="C419" s="2"/>
      <c r="D419" s="4" t="s">
        <v>2470</v>
      </c>
      <c r="E419" s="134">
        <v>8.5</v>
      </c>
      <c r="F419" s="2"/>
      <c r="G419" s="7" t="s">
        <v>2483</v>
      </c>
      <c r="H419" s="135">
        <v>8.5</v>
      </c>
      <c r="I419" s="2"/>
      <c r="J419" s="7" t="s">
        <v>2455</v>
      </c>
      <c r="K419" s="135">
        <v>8</v>
      </c>
      <c r="L419" s="2"/>
      <c r="M419" s="4" t="s">
        <v>2486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2439</v>
      </c>
      <c r="B420" s="136">
        <v>10</v>
      </c>
      <c r="C420" s="2"/>
      <c r="D420" s="4" t="s">
        <v>2471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2440</v>
      </c>
      <c r="B421" s="136">
        <v>8</v>
      </c>
      <c r="C421" s="2"/>
      <c r="D421" s="4" t="s">
        <v>2472</v>
      </c>
      <c r="E421" s="134">
        <v>8</v>
      </c>
      <c r="F421" s="2"/>
      <c r="G421" s="204" t="s">
        <v>2507</v>
      </c>
      <c r="H421" s="12">
        <f>ROUND(SUM(H422:H432)/COUNT(H422:H432), 2)</f>
        <v>8.5500000000000007</v>
      </c>
      <c r="I421" s="2"/>
      <c r="J421" s="205" t="s">
        <v>2518</v>
      </c>
      <c r="K421" s="12">
        <f>ROUND(SUM(K422:K429)/COUNT(K422:K429), 2)</f>
        <v>8.31</v>
      </c>
      <c r="L421" s="2"/>
      <c r="M421" s="4" t="s">
        <v>2488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2441</v>
      </c>
      <c r="B422" s="136">
        <v>8</v>
      </c>
      <c r="C422" s="2"/>
      <c r="D422" s="4" t="s">
        <v>2473</v>
      </c>
      <c r="E422" s="134">
        <v>7.5</v>
      </c>
      <c r="F422" s="2"/>
      <c r="G422" s="11" t="s">
        <v>2496</v>
      </c>
      <c r="H422" s="133">
        <v>9</v>
      </c>
      <c r="I422" s="2"/>
      <c r="J422" s="11" t="s">
        <v>2519</v>
      </c>
      <c r="K422" s="133">
        <v>9.5</v>
      </c>
      <c r="L422" s="2"/>
      <c r="M422" s="4" t="s">
        <v>2489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2442</v>
      </c>
      <c r="B423" s="136">
        <v>8</v>
      </c>
      <c r="C423" s="2"/>
      <c r="D423" s="7" t="s">
        <v>2474</v>
      </c>
      <c r="E423" s="135">
        <v>10</v>
      </c>
      <c r="F423" s="2"/>
      <c r="G423" s="4" t="s">
        <v>2497</v>
      </c>
      <c r="H423" s="134">
        <v>8.5</v>
      </c>
      <c r="I423" s="2"/>
      <c r="J423" s="4" t="s">
        <v>2520</v>
      </c>
      <c r="K423" s="134">
        <v>8.5</v>
      </c>
      <c r="L423" s="2"/>
      <c r="M423" s="4" t="s">
        <v>2490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2443</v>
      </c>
      <c r="B424" s="136">
        <v>8</v>
      </c>
      <c r="C424" s="2"/>
      <c r="D424" s="2"/>
      <c r="E424" s="2"/>
      <c r="F424" s="2"/>
      <c r="G424" s="4" t="s">
        <v>2498</v>
      </c>
      <c r="H424" s="134">
        <v>10</v>
      </c>
      <c r="I424" s="2"/>
      <c r="J424" s="4" t="s">
        <v>2521</v>
      </c>
      <c r="K424" s="134">
        <v>8</v>
      </c>
      <c r="L424" s="2"/>
      <c r="M424" s="4" t="s">
        <v>2491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2444</v>
      </c>
      <c r="B425" s="136">
        <v>7.5</v>
      </c>
      <c r="C425" s="2"/>
      <c r="D425" s="206" t="s">
        <v>2539</v>
      </c>
      <c r="E425" s="12">
        <f>ROUND(SUM(E426:E434)/COUNT(E426:E434), 2)</f>
        <v>9.06</v>
      </c>
      <c r="F425" s="2"/>
      <c r="G425" s="4" t="s">
        <v>2499</v>
      </c>
      <c r="H425" s="134">
        <v>8.5</v>
      </c>
      <c r="I425" s="2"/>
      <c r="J425" s="4" t="s">
        <v>2522</v>
      </c>
      <c r="K425" s="134">
        <v>7.5</v>
      </c>
      <c r="L425" s="2"/>
      <c r="M425" s="4" t="s">
        <v>2492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2445</v>
      </c>
      <c r="B426" s="190">
        <v>9</v>
      </c>
      <c r="C426" s="2"/>
      <c r="D426" s="11" t="s">
        <v>2530</v>
      </c>
      <c r="E426" s="189">
        <v>8.5</v>
      </c>
      <c r="F426" s="2"/>
      <c r="G426" s="4" t="s">
        <v>2500</v>
      </c>
      <c r="H426" s="134">
        <v>8</v>
      </c>
      <c r="I426" s="2"/>
      <c r="J426" s="4" t="s">
        <v>2523</v>
      </c>
      <c r="K426" s="134">
        <v>8</v>
      </c>
      <c r="L426" s="2"/>
      <c r="M426" s="4" t="s">
        <v>2493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2531</v>
      </c>
      <c r="E427" s="136">
        <v>8</v>
      </c>
      <c r="F427" s="2"/>
      <c r="G427" s="4" t="s">
        <v>2501</v>
      </c>
      <c r="H427" s="134">
        <v>7.5</v>
      </c>
      <c r="I427" s="2"/>
      <c r="J427" s="4" t="s">
        <v>2524</v>
      </c>
      <c r="K427" s="134">
        <v>7</v>
      </c>
      <c r="L427" s="2"/>
      <c r="M427" s="4" t="s">
        <v>2494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2544</v>
      </c>
      <c r="B428" s="12">
        <f>ROUND(SUM(B429:B439)/COUNT(B429:B439), 2)</f>
        <v>9</v>
      </c>
      <c r="C428" s="2"/>
      <c r="D428" s="4" t="s">
        <v>2532</v>
      </c>
      <c r="E428" s="136">
        <v>8.5</v>
      </c>
      <c r="F428" s="2"/>
      <c r="G428" s="4" t="s">
        <v>2502</v>
      </c>
      <c r="H428" s="134">
        <v>8</v>
      </c>
      <c r="I428" s="2"/>
      <c r="J428" s="4" t="s">
        <v>2525</v>
      </c>
      <c r="K428" s="134">
        <v>10</v>
      </c>
      <c r="L428" s="2"/>
      <c r="M428" s="7" t="s">
        <v>2495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2545</v>
      </c>
      <c r="B429" s="189">
        <v>9.5</v>
      </c>
      <c r="C429" s="2"/>
      <c r="D429" s="4" t="s">
        <v>2533</v>
      </c>
      <c r="E429" s="136">
        <v>10</v>
      </c>
      <c r="F429" s="2"/>
      <c r="G429" s="4" t="s">
        <v>2503</v>
      </c>
      <c r="H429" s="134">
        <v>8</v>
      </c>
      <c r="I429" s="2"/>
      <c r="J429" s="7" t="s">
        <v>2526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2546</v>
      </c>
      <c r="B430" s="136">
        <v>8</v>
      </c>
      <c r="C430" s="2"/>
      <c r="D430" s="4" t="s">
        <v>2534</v>
      </c>
      <c r="E430" s="136">
        <v>10</v>
      </c>
      <c r="F430" s="2"/>
      <c r="G430" s="4" t="s">
        <v>2504</v>
      </c>
      <c r="H430" s="134">
        <v>8</v>
      </c>
      <c r="I430" s="2"/>
      <c r="J430" s="2"/>
      <c r="K430" s="2"/>
      <c r="L430" s="2"/>
      <c r="M430" s="208" t="s">
        <v>2572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2547</v>
      </c>
      <c r="B431" s="136">
        <v>8</v>
      </c>
      <c r="C431" s="2"/>
      <c r="D431" s="4" t="s">
        <v>2535</v>
      </c>
      <c r="E431" s="136">
        <v>10</v>
      </c>
      <c r="F431" s="2"/>
      <c r="G431" s="4" t="s">
        <v>2505</v>
      </c>
      <c r="H431" s="134">
        <v>10</v>
      </c>
      <c r="I431" s="2"/>
      <c r="J431" s="209" t="s">
        <v>2585</v>
      </c>
      <c r="K431" s="12">
        <f>ROUND(SUM(K432:K443)/COUNT(K432:K443), 2)</f>
        <v>8.6300000000000008</v>
      </c>
      <c r="L431" s="2"/>
      <c r="M431" s="11" t="s">
        <v>2573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2548</v>
      </c>
      <c r="B432" s="136">
        <v>10</v>
      </c>
      <c r="C432" s="2"/>
      <c r="D432" s="4" t="s">
        <v>2536</v>
      </c>
      <c r="E432" s="136">
        <v>9</v>
      </c>
      <c r="F432" s="2"/>
      <c r="G432" s="7" t="s">
        <v>2506</v>
      </c>
      <c r="H432" s="135">
        <v>8.5</v>
      </c>
      <c r="I432" s="2"/>
      <c r="J432" s="11" t="s">
        <v>2586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2549</v>
      </c>
      <c r="B433" s="136">
        <v>9</v>
      </c>
      <c r="C433" s="2"/>
      <c r="D433" s="4" t="s">
        <v>2537</v>
      </c>
      <c r="E433" s="136">
        <v>9</v>
      </c>
      <c r="F433" s="2"/>
      <c r="G433" s="2"/>
      <c r="H433" s="2"/>
      <c r="I433" s="2"/>
      <c r="J433" s="4" t="s">
        <v>2587</v>
      </c>
      <c r="K433" s="134">
        <v>9</v>
      </c>
      <c r="L433" s="2"/>
      <c r="M433" s="4" t="s">
        <v>2574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2550</v>
      </c>
      <c r="B434" s="136">
        <v>10</v>
      </c>
      <c r="C434" s="2"/>
      <c r="D434" s="7" t="s">
        <v>2538</v>
      </c>
      <c r="E434" s="190">
        <v>8.5</v>
      </c>
      <c r="F434" s="2"/>
      <c r="G434" s="210" t="s">
        <v>2601</v>
      </c>
      <c r="H434" s="12">
        <f>ROUND(SUM(H435:H449)/COUNT(H435:H449), 2)</f>
        <v>8.83</v>
      </c>
      <c r="I434" s="2"/>
      <c r="J434" s="4" t="s">
        <v>2588</v>
      </c>
      <c r="K434" s="134">
        <v>10</v>
      </c>
      <c r="L434" s="2"/>
      <c r="M434" s="4" t="s">
        <v>2575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2551</v>
      </c>
      <c r="B435" s="136">
        <v>9.5</v>
      </c>
      <c r="C435" s="2"/>
      <c r="D435" s="2"/>
      <c r="E435" s="2"/>
      <c r="F435" s="2"/>
      <c r="G435" s="11" t="s">
        <v>2602</v>
      </c>
      <c r="H435" s="189">
        <v>9</v>
      </c>
      <c r="I435" s="2"/>
      <c r="J435" s="4" t="s">
        <v>2589</v>
      </c>
      <c r="K435" s="134">
        <v>8.5</v>
      </c>
      <c r="L435" s="2"/>
      <c r="M435" s="4" t="s">
        <v>2576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2552</v>
      </c>
      <c r="B436" s="136">
        <v>9</v>
      </c>
      <c r="C436" s="2"/>
      <c r="D436" s="211" t="s">
        <v>2618</v>
      </c>
      <c r="E436" s="12">
        <f>ROUND(SUM(E437:E457)/COUNT(E437:E457), 2)</f>
        <v>8.73</v>
      </c>
      <c r="F436" s="2"/>
      <c r="G436" s="4" t="s">
        <v>2603</v>
      </c>
      <c r="H436" s="136">
        <v>9</v>
      </c>
      <c r="I436" s="2"/>
      <c r="J436" s="4" t="s">
        <v>2590</v>
      </c>
      <c r="K436" s="134">
        <v>8</v>
      </c>
      <c r="L436" s="2"/>
      <c r="M436" s="4" t="s">
        <v>2577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2553</v>
      </c>
      <c r="B437" s="136">
        <v>8</v>
      </c>
      <c r="C437" s="2"/>
      <c r="D437" s="11" t="s">
        <v>1304</v>
      </c>
      <c r="E437" s="189"/>
      <c r="F437" s="2"/>
      <c r="G437" s="4" t="s">
        <v>2604</v>
      </c>
      <c r="H437" s="136">
        <v>8</v>
      </c>
      <c r="I437" s="2"/>
      <c r="J437" s="4" t="s">
        <v>2591</v>
      </c>
      <c r="K437" s="134">
        <v>9</v>
      </c>
      <c r="L437" s="2"/>
      <c r="M437" s="4" t="s">
        <v>2578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2554</v>
      </c>
      <c r="B438" s="136">
        <v>8.5</v>
      </c>
      <c r="C438" s="2"/>
      <c r="D438" s="4" t="s">
        <v>2619</v>
      </c>
      <c r="E438" s="136">
        <v>9.5</v>
      </c>
      <c r="F438" s="2"/>
      <c r="G438" s="4" t="s">
        <v>2605</v>
      </c>
      <c r="H438" s="136">
        <v>7.5</v>
      </c>
      <c r="I438" s="2"/>
      <c r="J438" s="4" t="s">
        <v>2592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2555</v>
      </c>
      <c r="B439" s="190">
        <v>9.5</v>
      </c>
      <c r="C439" s="2"/>
      <c r="D439" s="4" t="s">
        <v>2620</v>
      </c>
      <c r="E439" s="136">
        <v>8.5</v>
      </c>
      <c r="F439" s="2"/>
      <c r="G439" s="4" t="s">
        <v>2606</v>
      </c>
      <c r="H439" s="136">
        <v>8</v>
      </c>
      <c r="I439" s="2"/>
      <c r="J439" s="4" t="s">
        <v>2593</v>
      </c>
      <c r="K439" s="134">
        <v>8.5</v>
      </c>
      <c r="L439" s="2"/>
      <c r="M439" s="4" t="s">
        <v>2579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2621</v>
      </c>
      <c r="E440" s="136">
        <v>10</v>
      </c>
      <c r="F440" s="2"/>
      <c r="G440" s="4" t="s">
        <v>2607</v>
      </c>
      <c r="H440" s="136">
        <v>10.5</v>
      </c>
      <c r="I440" s="2"/>
      <c r="J440" s="4" t="s">
        <v>2594</v>
      </c>
      <c r="K440" s="134">
        <v>8.5</v>
      </c>
      <c r="L440" s="2"/>
      <c r="M440" s="4" t="s">
        <v>2580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2846</v>
      </c>
      <c r="B441" s="12">
        <f>ROUND(SUM(B442:B446)/COUNT(B442:B446), 2)</f>
        <v>8.8000000000000007</v>
      </c>
      <c r="C441" s="2"/>
      <c r="D441" s="4" t="s">
        <v>2622</v>
      </c>
      <c r="E441" s="136"/>
      <c r="F441" s="2"/>
      <c r="G441" s="4" t="s">
        <v>2608</v>
      </c>
      <c r="H441" s="136">
        <v>8.5</v>
      </c>
      <c r="I441" s="2"/>
      <c r="J441" s="4" t="s">
        <v>2595</v>
      </c>
      <c r="K441" s="134">
        <v>8</v>
      </c>
      <c r="L441" s="2"/>
      <c r="M441" s="7" t="s">
        <v>2581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2641</v>
      </c>
      <c r="B442" s="189">
        <v>10.5</v>
      </c>
      <c r="C442" s="2"/>
      <c r="D442" s="4" t="s">
        <v>2623</v>
      </c>
      <c r="E442" s="136">
        <v>9</v>
      </c>
      <c r="F442" s="2"/>
      <c r="G442" s="4" t="s">
        <v>2609</v>
      </c>
      <c r="H442" s="136">
        <v>9</v>
      </c>
      <c r="I442" s="2"/>
      <c r="J442" s="4" t="s">
        <v>2596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2642</v>
      </c>
      <c r="B443" s="136">
        <v>9</v>
      </c>
      <c r="C443" s="2"/>
      <c r="D443" s="4" t="s">
        <v>2624</v>
      </c>
      <c r="E443" s="136">
        <v>8</v>
      </c>
      <c r="F443" s="2"/>
      <c r="G443" s="4" t="s">
        <v>2610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2649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2643</v>
      </c>
      <c r="B444" s="136">
        <v>8.5</v>
      </c>
      <c r="C444" s="2"/>
      <c r="D444" s="4" t="s">
        <v>2625</v>
      </c>
      <c r="E444" s="136">
        <v>9.5</v>
      </c>
      <c r="F444" s="2"/>
      <c r="G444" s="4" t="s">
        <v>2611</v>
      </c>
      <c r="H444" s="136">
        <v>8</v>
      </c>
      <c r="I444" s="2"/>
      <c r="J444" s="2"/>
      <c r="K444" s="2"/>
      <c r="L444" s="2"/>
      <c r="M444" s="11" t="s">
        <v>2650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2644</v>
      </c>
      <c r="B445" s="136">
        <v>8</v>
      </c>
      <c r="C445" s="2"/>
      <c r="D445" s="4" t="s">
        <v>2626</v>
      </c>
      <c r="E445" s="136">
        <v>8</v>
      </c>
      <c r="F445" s="2"/>
      <c r="G445" s="4" t="s">
        <v>2612</v>
      </c>
      <c r="H445" s="136">
        <v>8.5</v>
      </c>
      <c r="I445" s="2"/>
      <c r="J445" s="214" t="s">
        <v>2680</v>
      </c>
      <c r="K445" s="12">
        <f>ROUND(SUM(K446:K463)/COUNT(K446:K463), 2)</f>
        <v>8.8800000000000008</v>
      </c>
      <c r="L445" s="2"/>
      <c r="M445" s="4" t="s">
        <v>2651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2645</v>
      </c>
      <c r="B446" s="190">
        <v>8</v>
      </c>
      <c r="C446" s="2"/>
      <c r="D446" s="4" t="s">
        <v>2627</v>
      </c>
      <c r="E446" s="136"/>
      <c r="F446" s="2"/>
      <c r="G446" s="4" t="s">
        <v>2613</v>
      </c>
      <c r="H446" s="136">
        <v>10</v>
      </c>
      <c r="I446" s="2"/>
      <c r="J446" s="11" t="s">
        <v>2681</v>
      </c>
      <c r="K446" s="133">
        <v>9</v>
      </c>
      <c r="L446" s="2"/>
      <c r="M446" s="4" t="s">
        <v>2652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2628</v>
      </c>
      <c r="E447" s="136">
        <v>8.5</v>
      </c>
      <c r="F447" s="2"/>
      <c r="G447" s="4" t="s">
        <v>2614</v>
      </c>
      <c r="H447" s="136">
        <v>8.5</v>
      </c>
      <c r="I447" s="2"/>
      <c r="J447" s="4" t="s">
        <v>2682</v>
      </c>
      <c r="K447" s="134">
        <v>10</v>
      </c>
      <c r="L447" s="2"/>
      <c r="M447" s="4" t="s">
        <v>2653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2672</v>
      </c>
      <c r="B448" s="12">
        <f>ROUND(SUM(B449:B455)/COUNT(B449:B455), 2)</f>
        <v>8.4</v>
      </c>
      <c r="C448" s="2"/>
      <c r="D448" s="4" t="s">
        <v>2629</v>
      </c>
      <c r="E448" s="136">
        <v>9</v>
      </c>
      <c r="F448" s="2"/>
      <c r="G448" s="4" t="s">
        <v>2615</v>
      </c>
      <c r="H448" s="136">
        <v>10.5</v>
      </c>
      <c r="I448" s="2"/>
      <c r="J448" s="4" t="s">
        <v>2683</v>
      </c>
      <c r="K448" s="134">
        <v>8</v>
      </c>
      <c r="L448" s="2"/>
      <c r="M448" s="4" t="s">
        <v>2654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2673</v>
      </c>
      <c r="B449" s="189"/>
      <c r="C449" s="2"/>
      <c r="D449" s="4" t="s">
        <v>2630</v>
      </c>
      <c r="E449" s="136">
        <v>8.5</v>
      </c>
      <c r="F449" s="2"/>
      <c r="G449" s="7" t="s">
        <v>2616</v>
      </c>
      <c r="H449" s="190">
        <v>8.5</v>
      </c>
      <c r="I449" s="2"/>
      <c r="J449" s="4" t="s">
        <v>2684</v>
      </c>
      <c r="K449" s="134">
        <v>10</v>
      </c>
      <c r="L449" s="2"/>
      <c r="M449" s="4" t="s">
        <v>2655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2674</v>
      </c>
      <c r="B450" s="136">
        <v>9</v>
      </c>
      <c r="C450" s="2"/>
      <c r="D450" s="4" t="s">
        <v>2631</v>
      </c>
      <c r="E450" s="136"/>
      <c r="F450" s="2"/>
      <c r="G450" s="2"/>
      <c r="H450" s="2"/>
      <c r="I450" s="2"/>
      <c r="J450" s="4" t="s">
        <v>2685</v>
      </c>
      <c r="K450" s="134">
        <v>8.5</v>
      </c>
      <c r="L450" s="2"/>
      <c r="M450" s="4" t="s">
        <v>2656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2675</v>
      </c>
      <c r="B451" s="136">
        <v>8</v>
      </c>
      <c r="C451" s="2"/>
      <c r="D451" s="4" t="s">
        <v>2632</v>
      </c>
      <c r="E451" s="136">
        <v>8.5</v>
      </c>
      <c r="F451" s="2"/>
      <c r="G451" s="215" t="s">
        <v>2708</v>
      </c>
      <c r="H451" s="12">
        <f>ROUND(SUM(H452:H465)/COUNT(H452:H465), 2)</f>
        <v>8.65</v>
      </c>
      <c r="I451" s="2"/>
      <c r="J451" s="4" t="s">
        <v>2686</v>
      </c>
      <c r="K451" s="134">
        <v>8.5</v>
      </c>
      <c r="L451" s="2"/>
      <c r="M451" s="4" t="s">
        <v>2657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2676</v>
      </c>
      <c r="B452" s="136">
        <v>8.5</v>
      </c>
      <c r="C452" s="2"/>
      <c r="D452" s="4" t="s">
        <v>2633</v>
      </c>
      <c r="E452" s="136"/>
      <c r="F452" s="2"/>
      <c r="G452" s="11" t="s">
        <v>2709</v>
      </c>
      <c r="H452" s="189">
        <v>9.5</v>
      </c>
      <c r="I452" s="2"/>
      <c r="J452" s="4" t="s">
        <v>2687</v>
      </c>
      <c r="K452" s="134">
        <v>9</v>
      </c>
      <c r="L452" s="2"/>
      <c r="M452" s="4" t="s">
        <v>2658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2677</v>
      </c>
      <c r="B453" s="136"/>
      <c r="C453" s="2"/>
      <c r="D453" s="4" t="s">
        <v>2634</v>
      </c>
      <c r="E453" s="136"/>
      <c r="F453" s="2"/>
      <c r="G453" s="4" t="s">
        <v>2710</v>
      </c>
      <c r="H453" s="136">
        <v>10</v>
      </c>
      <c r="I453" s="2"/>
      <c r="J453" s="4" t="s">
        <v>2688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2678</v>
      </c>
      <c r="B454" s="136">
        <v>8</v>
      </c>
      <c r="C454" s="2"/>
      <c r="D454" s="4" t="s">
        <v>2635</v>
      </c>
      <c r="E454" s="136">
        <v>9</v>
      </c>
      <c r="F454" s="2"/>
      <c r="G454" s="4" t="s">
        <v>2711</v>
      </c>
      <c r="H454" s="136">
        <v>9</v>
      </c>
      <c r="I454" s="2"/>
      <c r="J454" s="4" t="s">
        <v>2689</v>
      </c>
      <c r="K454" s="134">
        <v>7.5</v>
      </c>
      <c r="L454" s="2"/>
      <c r="M454" s="4" t="s">
        <v>2659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2679</v>
      </c>
      <c r="B455" s="190">
        <v>8.5</v>
      </c>
      <c r="C455" s="2"/>
      <c r="D455" s="4" t="s">
        <v>2636</v>
      </c>
      <c r="E455" s="136">
        <v>8.5</v>
      </c>
      <c r="F455" s="2"/>
      <c r="G455" s="4" t="s">
        <v>2712</v>
      </c>
      <c r="H455" s="136">
        <v>8.5</v>
      </c>
      <c r="I455" s="2"/>
      <c r="J455" s="4" t="s">
        <v>2690</v>
      </c>
      <c r="K455" s="134">
        <v>10.5</v>
      </c>
      <c r="L455" s="2"/>
      <c r="M455" s="4" t="s">
        <v>2660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2637</v>
      </c>
      <c r="E456" s="136">
        <v>8.5</v>
      </c>
      <c r="F456" s="2"/>
      <c r="G456" s="4" t="s">
        <v>2713</v>
      </c>
      <c r="H456" s="136">
        <v>10</v>
      </c>
      <c r="I456" s="2"/>
      <c r="J456" s="4" t="s">
        <v>2691</v>
      </c>
      <c r="K456" s="134">
        <v>8</v>
      </c>
      <c r="L456" s="2"/>
      <c r="M456" s="4" t="s">
        <v>2661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2727</v>
      </c>
      <c r="B457" s="12">
        <f>ROUND(SUM(B458:B471)/COUNT(B458:B471), 2)</f>
        <v>8.39</v>
      </c>
      <c r="C457" s="2"/>
      <c r="D457" s="7" t="s">
        <v>2638</v>
      </c>
      <c r="E457" s="190">
        <v>8</v>
      </c>
      <c r="F457" s="2"/>
      <c r="G457" s="4" t="s">
        <v>2714</v>
      </c>
      <c r="H457" s="136">
        <v>8</v>
      </c>
      <c r="I457" s="2"/>
      <c r="J457" s="4" t="s">
        <v>2692</v>
      </c>
      <c r="K457" s="134">
        <v>9</v>
      </c>
      <c r="L457" s="2"/>
      <c r="M457" s="4" t="s">
        <v>2662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2728</v>
      </c>
      <c r="B458" s="189">
        <v>8</v>
      </c>
      <c r="C458" s="2"/>
      <c r="D458" s="2"/>
      <c r="E458" s="2"/>
      <c r="F458" s="2"/>
      <c r="G458" s="4" t="s">
        <v>2715</v>
      </c>
      <c r="H458" s="136">
        <v>7.5</v>
      </c>
      <c r="I458" s="2"/>
      <c r="J458" s="4" t="s">
        <v>2693</v>
      </c>
      <c r="K458" s="134">
        <v>10.5</v>
      </c>
      <c r="L458" s="2"/>
      <c r="M458" s="4" t="s">
        <v>2663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2729</v>
      </c>
      <c r="B459" s="136">
        <v>10</v>
      </c>
      <c r="C459" s="2"/>
      <c r="D459" s="217" t="s">
        <v>2744</v>
      </c>
      <c r="E459" s="12">
        <f>ROUND(SUM(E460:E485)/COUNT(E460:E485), 2)</f>
        <v>8.8000000000000007</v>
      </c>
      <c r="F459" s="2"/>
      <c r="G459" s="4" t="s">
        <v>2716</v>
      </c>
      <c r="H459" s="136">
        <v>8.5</v>
      </c>
      <c r="I459" s="2"/>
      <c r="J459" s="4" t="s">
        <v>2694</v>
      </c>
      <c r="K459" s="134">
        <v>8.5</v>
      </c>
      <c r="L459" s="2"/>
      <c r="M459" s="4" t="s">
        <v>2664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2730</v>
      </c>
      <c r="B460" s="136">
        <v>8</v>
      </c>
      <c r="C460" s="2"/>
      <c r="D460" s="11" t="s">
        <v>2745</v>
      </c>
      <c r="E460" s="189">
        <v>9</v>
      </c>
      <c r="F460" s="2"/>
      <c r="G460" s="4" t="s">
        <v>2721</v>
      </c>
      <c r="H460" s="136">
        <v>8</v>
      </c>
      <c r="I460" s="2"/>
      <c r="J460" s="4" t="s">
        <v>2695</v>
      </c>
      <c r="K460" s="134">
        <v>8.5</v>
      </c>
      <c r="L460" s="2"/>
      <c r="M460" s="4" t="s">
        <v>2665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2731</v>
      </c>
      <c r="B461" s="136">
        <v>8</v>
      </c>
      <c r="C461" s="2"/>
      <c r="D461" s="4" t="s">
        <v>2746</v>
      </c>
      <c r="E461" s="136">
        <v>8.5</v>
      </c>
      <c r="F461" s="2"/>
      <c r="G461" s="4" t="s">
        <v>2717</v>
      </c>
      <c r="H461" s="136">
        <v>8</v>
      </c>
      <c r="I461" s="2"/>
      <c r="J461" s="4" t="s">
        <v>2696</v>
      </c>
      <c r="K461" s="134">
        <v>8.5</v>
      </c>
      <c r="L461" s="2"/>
      <c r="M461" s="4" t="s">
        <v>2666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2732</v>
      </c>
      <c r="B462" s="136">
        <v>8.5</v>
      </c>
      <c r="C462" s="2"/>
      <c r="D462" s="4" t="s">
        <v>2747</v>
      </c>
      <c r="E462" s="136">
        <v>9</v>
      </c>
      <c r="F462" s="2"/>
      <c r="G462" s="4" t="s">
        <v>2718</v>
      </c>
      <c r="H462" s="136">
        <v>8.5</v>
      </c>
      <c r="I462" s="2"/>
      <c r="J462" s="4" t="s">
        <v>2697</v>
      </c>
      <c r="K462" s="134"/>
      <c r="L462" s="2"/>
      <c r="M462" s="4" t="s">
        <v>2667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2733</v>
      </c>
      <c r="B463" s="136">
        <v>10.5</v>
      </c>
      <c r="C463" s="2"/>
      <c r="D463" s="4" t="s">
        <v>2748</v>
      </c>
      <c r="E463" s="136">
        <v>8.5</v>
      </c>
      <c r="F463" s="2"/>
      <c r="G463" s="4" t="s">
        <v>2719</v>
      </c>
      <c r="H463" s="136">
        <v>8</v>
      </c>
      <c r="I463" s="2"/>
      <c r="J463" s="7" t="s">
        <v>2698</v>
      </c>
      <c r="K463" s="135">
        <v>9</v>
      </c>
      <c r="L463" s="2"/>
      <c r="M463" s="4" t="s">
        <v>2668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2734</v>
      </c>
      <c r="B464" s="136">
        <v>8.5</v>
      </c>
      <c r="C464" s="2"/>
      <c r="D464" s="4" t="s">
        <v>2749</v>
      </c>
      <c r="E464" s="136">
        <v>10.5</v>
      </c>
      <c r="F464" s="2"/>
      <c r="G464" s="4" t="s">
        <v>2774</v>
      </c>
      <c r="H464" s="136"/>
      <c r="I464" s="2"/>
      <c r="J464" s="2"/>
      <c r="K464" s="2"/>
      <c r="L464" s="2"/>
      <c r="M464" s="4" t="s">
        <v>2669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2735</v>
      </c>
      <c r="B465" s="136">
        <v>8</v>
      </c>
      <c r="C465" s="2"/>
      <c r="D465" s="4" t="s">
        <v>2750</v>
      </c>
      <c r="E465" s="136">
        <v>9.5</v>
      </c>
      <c r="F465" s="2"/>
      <c r="G465" s="7" t="s">
        <v>2720</v>
      </c>
      <c r="H465" s="190">
        <v>9</v>
      </c>
      <c r="I465" s="2"/>
      <c r="J465" s="218" t="s">
        <v>2780</v>
      </c>
      <c r="K465" s="12">
        <f>ROUND(SUM(K466:K477)/COUNT(K466:K477), 2)</f>
        <v>8.25</v>
      </c>
      <c r="L465" s="2"/>
      <c r="M465" s="4" t="s">
        <v>2670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2736</v>
      </c>
      <c r="B466" s="136">
        <v>8.5</v>
      </c>
      <c r="C466" s="2"/>
      <c r="D466" s="4" t="s">
        <v>2751</v>
      </c>
      <c r="E466" s="136">
        <v>8.5</v>
      </c>
      <c r="F466" s="2"/>
      <c r="G466" s="2"/>
      <c r="H466" s="2"/>
      <c r="I466" s="2"/>
      <c r="J466" s="11" t="s">
        <v>2781</v>
      </c>
      <c r="K466" s="189">
        <v>8.5</v>
      </c>
      <c r="L466" s="2"/>
      <c r="M466" s="7" t="s">
        <v>2671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2737</v>
      </c>
      <c r="B467" s="136">
        <v>8.5</v>
      </c>
      <c r="C467" s="2"/>
      <c r="D467" s="4" t="s">
        <v>2752</v>
      </c>
      <c r="E467" s="136"/>
      <c r="F467" s="2"/>
      <c r="G467" s="219" t="s">
        <v>4627</v>
      </c>
      <c r="H467" s="12">
        <f>ROUND(SUM(H468:H472)/COUNT(H468:H472), 2)</f>
        <v>8.8000000000000007</v>
      </c>
      <c r="I467" s="2"/>
      <c r="J467" s="4" t="s">
        <v>2782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2738</v>
      </c>
      <c r="B468" s="136">
        <v>8</v>
      </c>
      <c r="C468" s="2"/>
      <c r="D468" s="4" t="s">
        <v>2753</v>
      </c>
      <c r="E468" s="136">
        <v>9</v>
      </c>
      <c r="F468" s="2"/>
      <c r="G468" s="11" t="s">
        <v>2795</v>
      </c>
      <c r="H468" s="189">
        <v>8</v>
      </c>
      <c r="I468" s="2"/>
      <c r="J468" s="4" t="s">
        <v>2783</v>
      </c>
      <c r="K468" s="136">
        <v>7.5</v>
      </c>
      <c r="L468" s="2"/>
      <c r="M468" s="220" t="s">
        <v>2801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2739</v>
      </c>
      <c r="B469" s="136">
        <v>7.5</v>
      </c>
      <c r="C469" s="2"/>
      <c r="D469" s="4" t="s">
        <v>2754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2784</v>
      </c>
      <c r="K469" s="136">
        <v>8</v>
      </c>
      <c r="L469" s="2"/>
      <c r="M469" s="11" t="s">
        <v>2802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2740</v>
      </c>
      <c r="B470" s="136">
        <v>8</v>
      </c>
      <c r="C470" s="2"/>
      <c r="D470" s="4" t="s">
        <v>2755</v>
      </c>
      <c r="E470" s="136">
        <v>8.5</v>
      </c>
      <c r="F470" s="2"/>
      <c r="G470" s="4" t="s">
        <v>2796</v>
      </c>
      <c r="H470" s="136">
        <v>8.5</v>
      </c>
      <c r="I470" s="2"/>
      <c r="J470" s="4" t="s">
        <v>2785</v>
      </c>
      <c r="K470" s="136">
        <v>8</v>
      </c>
      <c r="L470" s="2"/>
      <c r="M470" s="4" t="s">
        <v>2803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2741</v>
      </c>
      <c r="B471" s="190">
        <v>7.5</v>
      </c>
      <c r="C471" s="2"/>
      <c r="D471" s="4" t="s">
        <v>2756</v>
      </c>
      <c r="E471" s="136">
        <v>8</v>
      </c>
      <c r="F471" s="2"/>
      <c r="G471" s="4" t="s">
        <v>2797</v>
      </c>
      <c r="H471" s="136">
        <v>10</v>
      </c>
      <c r="I471" s="2"/>
      <c r="J471" s="4" t="s">
        <v>2786</v>
      </c>
      <c r="K471" s="136">
        <v>8</v>
      </c>
      <c r="L471" s="2"/>
      <c r="M471" s="4" t="s">
        <v>2804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2757</v>
      </c>
      <c r="E472" s="136"/>
      <c r="F472" s="2"/>
      <c r="G472" s="7" t="s">
        <v>2441</v>
      </c>
      <c r="H472" s="190">
        <v>8.5</v>
      </c>
      <c r="I472" s="2"/>
      <c r="J472" s="4" t="s">
        <v>2787</v>
      </c>
      <c r="K472" s="136">
        <v>9</v>
      </c>
      <c r="L472" s="2"/>
      <c r="M472" s="4" t="s">
        <v>2805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2825</v>
      </c>
      <c r="B473" s="12">
        <f>ROUND(SUM(B474:B485)/COUNT(B474:B485), 2)</f>
        <v>8.41</v>
      </c>
      <c r="C473" s="2"/>
      <c r="D473" s="4" t="s">
        <v>2758</v>
      </c>
      <c r="E473" s="136">
        <v>10</v>
      </c>
      <c r="F473" s="2"/>
      <c r="G473" s="2"/>
      <c r="H473" s="2"/>
      <c r="I473" s="2"/>
      <c r="J473" s="4" t="s">
        <v>2788</v>
      </c>
      <c r="K473" s="136">
        <v>8.5</v>
      </c>
      <c r="L473" s="2"/>
      <c r="M473" s="4" t="s">
        <v>2806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2814</v>
      </c>
      <c r="B474" s="189">
        <v>10</v>
      </c>
      <c r="C474" s="2"/>
      <c r="D474" s="4" t="s">
        <v>2759</v>
      </c>
      <c r="E474" s="136">
        <v>8.5</v>
      </c>
      <c r="F474" s="2"/>
      <c r="G474" s="223" t="s">
        <v>2843</v>
      </c>
      <c r="H474" s="12">
        <f>ROUND(SUM(H475:H486)/COUNT(H475:H486), 2)</f>
        <v>8.9600000000000009</v>
      </c>
      <c r="I474" s="2"/>
      <c r="J474" s="4" t="s">
        <v>2789</v>
      </c>
      <c r="K474" s="136">
        <v>8</v>
      </c>
      <c r="L474" s="2"/>
      <c r="M474" s="4" t="s">
        <v>2807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2815</v>
      </c>
      <c r="B475" s="136">
        <v>8.5</v>
      </c>
      <c r="C475" s="2"/>
      <c r="D475" s="4" t="s">
        <v>2760</v>
      </c>
      <c r="E475" s="136">
        <v>9</v>
      </c>
      <c r="F475" s="2"/>
      <c r="G475" s="11" t="s">
        <v>2831</v>
      </c>
      <c r="H475" s="189">
        <v>9.5</v>
      </c>
      <c r="I475" s="2"/>
      <c r="J475" s="4" t="s">
        <v>2790</v>
      </c>
      <c r="K475" s="136">
        <v>9</v>
      </c>
      <c r="L475" s="2"/>
      <c r="M475" s="4" t="s">
        <v>2808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2816</v>
      </c>
      <c r="B476" s="136">
        <v>8.5</v>
      </c>
      <c r="C476" s="2"/>
      <c r="D476" s="4" t="s">
        <v>2761</v>
      </c>
      <c r="E476" s="136">
        <v>8.5</v>
      </c>
      <c r="F476" s="2"/>
      <c r="G476" s="4" t="s">
        <v>2832</v>
      </c>
      <c r="H476" s="136">
        <v>8</v>
      </c>
      <c r="I476" s="2"/>
      <c r="J476" s="4" t="s">
        <v>2791</v>
      </c>
      <c r="K476" s="136">
        <v>8.5</v>
      </c>
      <c r="L476" s="2"/>
      <c r="M476" s="4" t="s">
        <v>2809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2817</v>
      </c>
      <c r="B477" s="136">
        <v>8</v>
      </c>
      <c r="C477" s="2"/>
      <c r="D477" s="4" t="s">
        <v>2762</v>
      </c>
      <c r="E477" s="136"/>
      <c r="F477" s="2"/>
      <c r="G477" s="4" t="s">
        <v>2833</v>
      </c>
      <c r="H477" s="136">
        <v>10</v>
      </c>
      <c r="I477" s="2"/>
      <c r="J477" s="7" t="s">
        <v>2792</v>
      </c>
      <c r="K477" s="190">
        <v>7</v>
      </c>
      <c r="L477" s="2"/>
      <c r="M477" s="4" t="s">
        <v>2810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2818</v>
      </c>
      <c r="B478" s="136">
        <v>7.5</v>
      </c>
      <c r="C478" s="2"/>
      <c r="D478" s="4" t="s">
        <v>2763</v>
      </c>
      <c r="E478" s="136">
        <v>10.5</v>
      </c>
      <c r="F478" s="2"/>
      <c r="G478" s="4" t="s">
        <v>2834</v>
      </c>
      <c r="H478" s="136">
        <v>8.5</v>
      </c>
      <c r="I478" s="2"/>
      <c r="J478" s="2"/>
      <c r="K478" s="2"/>
      <c r="L478" s="2"/>
      <c r="M478" s="7" t="s">
        <v>2811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2819</v>
      </c>
      <c r="B479" s="136">
        <v>7.5</v>
      </c>
      <c r="C479" s="2"/>
      <c r="D479" s="4" t="s">
        <v>2764</v>
      </c>
      <c r="E479" s="136">
        <v>8.5</v>
      </c>
      <c r="F479" s="2"/>
      <c r="G479" s="4" t="s">
        <v>2835</v>
      </c>
      <c r="H479" s="136">
        <v>9</v>
      </c>
      <c r="I479" s="2"/>
      <c r="J479" s="343" t="s">
        <v>2847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2820</v>
      </c>
      <c r="B480" s="136">
        <v>9.5</v>
      </c>
      <c r="C480" s="2"/>
      <c r="D480" s="4" t="s">
        <v>2765</v>
      </c>
      <c r="E480" s="136">
        <v>8.5</v>
      </c>
      <c r="F480" s="2"/>
      <c r="G480" s="4" t="s">
        <v>2836</v>
      </c>
      <c r="H480" s="136">
        <v>8</v>
      </c>
      <c r="I480" s="2"/>
      <c r="J480" s="11" t="s">
        <v>2848</v>
      </c>
      <c r="K480" s="189">
        <v>8</v>
      </c>
      <c r="L480" s="2"/>
      <c r="M480" s="344" t="s">
        <v>2861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2821</v>
      </c>
      <c r="B481" s="136">
        <v>8</v>
      </c>
      <c r="C481" s="2"/>
      <c r="D481" s="4" t="s">
        <v>2766</v>
      </c>
      <c r="E481" s="136">
        <v>9</v>
      </c>
      <c r="F481" s="2"/>
      <c r="G481" s="4" t="s">
        <v>2837</v>
      </c>
      <c r="H481" s="136">
        <v>8</v>
      </c>
      <c r="I481" s="2"/>
      <c r="J481" s="4" t="s">
        <v>2849</v>
      </c>
      <c r="K481" s="136">
        <v>9</v>
      </c>
      <c r="L481" s="2"/>
      <c r="M481" s="11" t="s">
        <v>2862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2822</v>
      </c>
      <c r="B482" s="136">
        <v>7.5</v>
      </c>
      <c r="C482" s="2"/>
      <c r="D482" s="4" t="s">
        <v>2767</v>
      </c>
      <c r="E482" s="136">
        <v>8</v>
      </c>
      <c r="F482" s="2"/>
      <c r="G482" s="4" t="s">
        <v>2838</v>
      </c>
      <c r="H482" s="136">
        <v>9</v>
      </c>
      <c r="I482" s="2"/>
      <c r="J482" s="4" t="s">
        <v>2850</v>
      </c>
      <c r="K482" s="136">
        <v>9</v>
      </c>
      <c r="L482" s="2"/>
      <c r="M482" s="4" t="s">
        <v>2863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2823</v>
      </c>
      <c r="B483" s="136">
        <v>10</v>
      </c>
      <c r="C483" s="2"/>
      <c r="D483" s="4" t="s">
        <v>2768</v>
      </c>
      <c r="E483" s="136"/>
      <c r="F483" s="2"/>
      <c r="G483" s="4" t="s">
        <v>2839</v>
      </c>
      <c r="H483" s="136">
        <v>8.5</v>
      </c>
      <c r="I483" s="2"/>
      <c r="J483" s="4" t="s">
        <v>2851</v>
      </c>
      <c r="K483" s="136">
        <v>10</v>
      </c>
      <c r="L483" s="2"/>
      <c r="M483" s="4" t="s">
        <v>2864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2769</v>
      </c>
      <c r="E484" s="136">
        <v>8</v>
      </c>
      <c r="F484" s="2"/>
      <c r="G484" s="4" t="s">
        <v>2840</v>
      </c>
      <c r="H484" s="136">
        <v>10</v>
      </c>
      <c r="I484" s="2"/>
      <c r="J484" s="4" t="s">
        <v>2852</v>
      </c>
      <c r="K484" s="136">
        <v>7.5</v>
      </c>
      <c r="L484" s="2"/>
      <c r="M484" s="4" t="s">
        <v>2865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2824</v>
      </c>
      <c r="B485" s="190">
        <v>7.5</v>
      </c>
      <c r="C485" s="2"/>
      <c r="D485" s="7" t="s">
        <v>2770</v>
      </c>
      <c r="E485" s="190">
        <v>8</v>
      </c>
      <c r="F485" s="2"/>
      <c r="G485" s="4" t="s">
        <v>2841</v>
      </c>
      <c r="H485" s="136">
        <v>10</v>
      </c>
      <c r="I485" s="2"/>
      <c r="J485" s="4" t="s">
        <v>2853</v>
      </c>
      <c r="K485" s="136">
        <v>10.5</v>
      </c>
      <c r="L485" s="2"/>
      <c r="M485" s="4" t="s">
        <v>2392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2842</v>
      </c>
      <c r="H486" s="190">
        <v>9</v>
      </c>
      <c r="I486" s="2"/>
      <c r="J486" s="4" t="s">
        <v>2854</v>
      </c>
      <c r="K486" s="136">
        <v>8</v>
      </c>
      <c r="L486" s="2"/>
      <c r="M486" s="7" t="s">
        <v>2866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2900</v>
      </c>
      <c r="B487" s="12">
        <f>ROUND(SUM(B488:B501)/COUNT(B488:B501), 2)</f>
        <v>8.85</v>
      </c>
      <c r="C487" s="2"/>
      <c r="D487" s="345" t="s">
        <v>2885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2886</v>
      </c>
      <c r="E488" s="189">
        <v>9</v>
      </c>
      <c r="F488" s="2"/>
      <c r="G488" s="347" t="s">
        <v>2904</v>
      </c>
      <c r="H488" s="12">
        <f>ROUND(SUM(H489:H498)/COUNT(H489:H498), 2)</f>
        <v>8.4</v>
      </c>
      <c r="I488" s="2"/>
      <c r="J488" s="4" t="s">
        <v>2856</v>
      </c>
      <c r="K488" s="136">
        <v>8.5</v>
      </c>
      <c r="L488" s="2"/>
      <c r="M488" s="349" t="s">
        <v>2918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2872</v>
      </c>
      <c r="B489" s="136">
        <v>9</v>
      </c>
      <c r="C489" s="2"/>
      <c r="D489" s="4" t="s">
        <v>2887</v>
      </c>
      <c r="E489" s="136">
        <v>8.5</v>
      </c>
      <c r="F489" s="2"/>
      <c r="G489" s="11" t="s">
        <v>2905</v>
      </c>
      <c r="H489" s="189">
        <v>10</v>
      </c>
      <c r="I489" s="2"/>
      <c r="J489" s="7" t="s">
        <v>2857</v>
      </c>
      <c r="K489" s="190">
        <v>7.5</v>
      </c>
      <c r="L489" s="2"/>
      <c r="M489" s="11" t="s">
        <v>2919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2873</v>
      </c>
      <c r="B490" s="136">
        <v>8.5</v>
      </c>
      <c r="C490" s="2"/>
      <c r="D490" s="4" t="s">
        <v>2888</v>
      </c>
      <c r="E490" s="136">
        <v>9</v>
      </c>
      <c r="F490" s="2"/>
      <c r="G490" s="4" t="s">
        <v>2906</v>
      </c>
      <c r="H490" s="136">
        <v>8.5</v>
      </c>
      <c r="I490" s="2"/>
      <c r="J490" s="2"/>
      <c r="K490" s="2"/>
      <c r="L490" s="2"/>
      <c r="M490" s="4" t="s">
        <v>2920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2874</v>
      </c>
      <c r="B491" s="136">
        <v>8</v>
      </c>
      <c r="C491" s="2"/>
      <c r="D491" s="4" t="s">
        <v>2889</v>
      </c>
      <c r="E491" s="136">
        <v>8</v>
      </c>
      <c r="F491" s="2"/>
      <c r="G491" s="4" t="s">
        <v>2907</v>
      </c>
      <c r="H491" s="136">
        <v>8</v>
      </c>
      <c r="I491" s="2"/>
      <c r="J491" s="352" t="s">
        <v>2938</v>
      </c>
      <c r="K491" s="12">
        <f>ROUND(SUM(K492:K497)/COUNT(K492:K497), 2)</f>
        <v>7.92</v>
      </c>
      <c r="L491" s="2"/>
      <c r="M491" s="4" t="s">
        <v>2921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2875</v>
      </c>
      <c r="B492" s="136">
        <v>8.5</v>
      </c>
      <c r="C492" s="2"/>
      <c r="D492" s="4" t="s">
        <v>2890</v>
      </c>
      <c r="E492" s="136">
        <v>8.5</v>
      </c>
      <c r="F492" s="2"/>
      <c r="G492" s="4" t="s">
        <v>2908</v>
      </c>
      <c r="H492" s="136">
        <v>9</v>
      </c>
      <c r="I492" s="2"/>
      <c r="J492" s="11" t="s">
        <v>2932</v>
      </c>
      <c r="K492" s="189">
        <v>8.5</v>
      </c>
      <c r="L492" s="2"/>
      <c r="M492" s="4" t="s">
        <v>2922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2876</v>
      </c>
      <c r="B493" s="136">
        <v>9.5</v>
      </c>
      <c r="C493" s="2"/>
      <c r="D493" s="4" t="s">
        <v>2891</v>
      </c>
      <c r="E493" s="136">
        <v>10</v>
      </c>
      <c r="F493" s="2"/>
      <c r="G493" s="4" t="s">
        <v>2909</v>
      </c>
      <c r="H493" s="136">
        <v>8</v>
      </c>
      <c r="I493" s="2"/>
      <c r="J493" s="4" t="s">
        <v>2933</v>
      </c>
      <c r="K493" s="136">
        <v>8</v>
      </c>
      <c r="L493" s="2"/>
      <c r="M493" s="4" t="s">
        <v>2923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2877</v>
      </c>
      <c r="B494" s="136"/>
      <c r="C494" s="2"/>
      <c r="D494" s="4" t="s">
        <v>2892</v>
      </c>
      <c r="E494" s="136">
        <v>9</v>
      </c>
      <c r="F494" s="2"/>
      <c r="G494" s="4" t="s">
        <v>2910</v>
      </c>
      <c r="H494" s="136">
        <v>9</v>
      </c>
      <c r="I494" s="2"/>
      <c r="J494" s="4" t="s">
        <v>2934</v>
      </c>
      <c r="K494" s="136">
        <v>7.5</v>
      </c>
      <c r="L494" s="2"/>
      <c r="M494" s="4" t="s">
        <v>2924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2878</v>
      </c>
      <c r="B495" s="136">
        <v>9.5</v>
      </c>
      <c r="C495" s="2"/>
      <c r="D495" s="4" t="s">
        <v>2893</v>
      </c>
      <c r="E495" s="136">
        <v>7.5</v>
      </c>
      <c r="F495" s="2"/>
      <c r="G495" s="4" t="s">
        <v>2911</v>
      </c>
      <c r="H495" s="136">
        <v>7.5</v>
      </c>
      <c r="I495" s="2"/>
      <c r="J495" s="4" t="s">
        <v>2935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2879</v>
      </c>
      <c r="B496" s="136">
        <v>8.5</v>
      </c>
      <c r="C496" s="2"/>
      <c r="D496" s="4" t="s">
        <v>2894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2936</v>
      </c>
      <c r="K496" s="136">
        <v>6.5</v>
      </c>
      <c r="L496" s="2"/>
      <c r="M496" s="4" t="s">
        <v>2925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2880</v>
      </c>
      <c r="B497" s="136">
        <v>10</v>
      </c>
      <c r="C497" s="2"/>
      <c r="D497" s="7" t="s">
        <v>2895</v>
      </c>
      <c r="E497" s="190">
        <v>8</v>
      </c>
      <c r="F497" s="2"/>
      <c r="G497" s="4" t="s">
        <v>2912</v>
      </c>
      <c r="H497" s="136">
        <v>8</v>
      </c>
      <c r="I497" s="2"/>
      <c r="J497" s="7" t="s">
        <v>2937</v>
      </c>
      <c r="K497" s="190">
        <v>9</v>
      </c>
      <c r="L497" s="2"/>
      <c r="M497" s="4" t="s">
        <v>2926</v>
      </c>
      <c r="N497" s="136">
        <v>8</v>
      </c>
      <c r="O497" s="16"/>
    </row>
    <row r="498" spans="1:15" s="3" customFormat="1" ht="16" customHeight="1" thickBot="1" x14ac:dyDescent="0.25">
      <c r="A498" s="4" t="s">
        <v>2881</v>
      </c>
      <c r="B498" s="136">
        <v>8.5</v>
      </c>
      <c r="C498" s="2"/>
      <c r="D498" s="2"/>
      <c r="E498" s="2"/>
      <c r="F498" s="2"/>
      <c r="G498" s="7" t="s">
        <v>2913</v>
      </c>
      <c r="H498" s="190">
        <v>7.5</v>
      </c>
      <c r="I498" s="2"/>
      <c r="J498" s="2"/>
      <c r="K498" s="2"/>
      <c r="L498" s="2"/>
      <c r="M498" s="7" t="s">
        <v>2927</v>
      </c>
      <c r="N498" s="190">
        <v>10</v>
      </c>
      <c r="O498" s="16"/>
    </row>
    <row r="499" spans="1:15" s="3" customFormat="1" ht="16" customHeight="1" thickBot="1" x14ac:dyDescent="0.25">
      <c r="A499" s="4" t="s">
        <v>2882</v>
      </c>
      <c r="B499" s="136">
        <v>10</v>
      </c>
      <c r="C499" s="2"/>
      <c r="D499" s="360" t="s">
        <v>3079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2883</v>
      </c>
      <c r="B500" s="136">
        <v>8</v>
      </c>
      <c r="C500" s="2"/>
      <c r="D500" s="11" t="s">
        <v>2940</v>
      </c>
      <c r="E500" s="189">
        <v>8.5</v>
      </c>
      <c r="F500" s="2"/>
      <c r="G500" s="353" t="s">
        <v>2981</v>
      </c>
      <c r="H500" s="12">
        <f>ROUND(SUM(H501:H510)/COUNT(H501:H510), 2)</f>
        <v>8.6</v>
      </c>
      <c r="I500" s="2"/>
      <c r="J500" s="11" t="s">
        <v>2956</v>
      </c>
      <c r="K500" s="189"/>
      <c r="L500" s="2"/>
      <c r="M500" s="354" t="s">
        <v>2996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2884</v>
      </c>
      <c r="B501" s="190">
        <v>8.5</v>
      </c>
      <c r="C501" s="2"/>
      <c r="D501" s="4" t="s">
        <v>2941</v>
      </c>
      <c r="E501" s="136">
        <v>8.5</v>
      </c>
      <c r="F501" s="2"/>
      <c r="G501" s="11" t="s">
        <v>2982</v>
      </c>
      <c r="H501" s="189">
        <v>9</v>
      </c>
      <c r="I501" s="2"/>
      <c r="J501" s="4" t="s">
        <v>2957</v>
      </c>
      <c r="K501" s="136">
        <v>9</v>
      </c>
      <c r="L501" s="2"/>
      <c r="M501" s="11" t="s">
        <v>2997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2942</v>
      </c>
      <c r="E502" s="136">
        <v>8</v>
      </c>
      <c r="F502" s="2"/>
      <c r="G502" s="4" t="s">
        <v>2983</v>
      </c>
      <c r="H502" s="136">
        <v>9</v>
      </c>
      <c r="I502" s="2"/>
      <c r="J502" s="4" t="s">
        <v>2958</v>
      </c>
      <c r="K502" s="136">
        <v>8.5</v>
      </c>
      <c r="L502" s="2"/>
      <c r="M502" s="4" t="s">
        <v>2998</v>
      </c>
      <c r="N502" s="136">
        <v>10</v>
      </c>
      <c r="O502" s="16"/>
    </row>
    <row r="503" spans="1:15" s="3" customFormat="1" ht="16" customHeight="1" thickBot="1" x14ac:dyDescent="0.25">
      <c r="A503" s="355" t="s">
        <v>3011</v>
      </c>
      <c r="B503" s="12">
        <f>ROUND(SUM(B504:B513)/COUNT(B504:B513), 2)</f>
        <v>7.95</v>
      </c>
      <c r="C503" s="2"/>
      <c r="D503" s="4" t="s">
        <v>2943</v>
      </c>
      <c r="E503" s="136">
        <v>9.5</v>
      </c>
      <c r="F503" s="2"/>
      <c r="G503" s="4" t="s">
        <v>2984</v>
      </c>
      <c r="H503" s="136">
        <v>8.5</v>
      </c>
      <c r="I503" s="2"/>
      <c r="J503" s="4" t="s">
        <v>2959</v>
      </c>
      <c r="K503" s="136">
        <v>9</v>
      </c>
      <c r="L503" s="2"/>
      <c r="M503" s="4" t="s">
        <v>2999</v>
      </c>
      <c r="N503" s="136">
        <v>8.5</v>
      </c>
      <c r="O503" s="16"/>
    </row>
    <row r="504" spans="1:15" s="3" customFormat="1" ht="16" customHeight="1" x14ac:dyDescent="0.2">
      <c r="A504" s="11" t="s">
        <v>3012</v>
      </c>
      <c r="B504" s="189">
        <v>7.5</v>
      </c>
      <c r="C504" s="2"/>
      <c r="D504" s="4" t="s">
        <v>2944</v>
      </c>
      <c r="E504" s="136">
        <v>8</v>
      </c>
      <c r="F504" s="2"/>
      <c r="G504" s="4" t="s">
        <v>2985</v>
      </c>
      <c r="H504" s="136">
        <v>10</v>
      </c>
      <c r="I504" s="2"/>
      <c r="J504" s="4" t="s">
        <v>2505</v>
      </c>
      <c r="K504" s="136">
        <v>8.5</v>
      </c>
      <c r="L504" s="2"/>
      <c r="M504" s="4" t="s">
        <v>3000</v>
      </c>
      <c r="N504" s="136">
        <v>8</v>
      </c>
      <c r="O504" s="16"/>
    </row>
    <row r="505" spans="1:15" s="3" customFormat="1" ht="16" customHeight="1" x14ac:dyDescent="0.2">
      <c r="A505" s="4" t="s">
        <v>3013</v>
      </c>
      <c r="B505" s="136">
        <v>8.5</v>
      </c>
      <c r="C505" s="2"/>
      <c r="D505" s="4" t="s">
        <v>2945</v>
      </c>
      <c r="E505" s="136">
        <v>10</v>
      </c>
      <c r="F505" s="2"/>
      <c r="G505" s="4" t="s">
        <v>2986</v>
      </c>
      <c r="H505" s="136">
        <v>8.5</v>
      </c>
      <c r="I505" s="2"/>
      <c r="J505" s="4" t="s">
        <v>2960</v>
      </c>
      <c r="K505" s="136">
        <v>8.5</v>
      </c>
      <c r="L505" s="2"/>
      <c r="M505" s="4" t="s">
        <v>3001</v>
      </c>
      <c r="N505" s="136">
        <v>8.5</v>
      </c>
      <c r="O505" s="16"/>
    </row>
    <row r="506" spans="1:15" s="3" customFormat="1" ht="16" customHeight="1" x14ac:dyDescent="0.2">
      <c r="A506" s="4" t="s">
        <v>3014</v>
      </c>
      <c r="B506" s="136">
        <v>9</v>
      </c>
      <c r="C506" s="2"/>
      <c r="D506" s="4" t="s">
        <v>2946</v>
      </c>
      <c r="E506" s="136"/>
      <c r="F506" s="2"/>
      <c r="G506" s="4" t="s">
        <v>2987</v>
      </c>
      <c r="H506" s="136">
        <v>8</v>
      </c>
      <c r="I506" s="2"/>
      <c r="J506" s="4" t="s">
        <v>2961</v>
      </c>
      <c r="K506" s="136">
        <v>9</v>
      </c>
      <c r="L506" s="2"/>
      <c r="M506" s="4" t="s">
        <v>3002</v>
      </c>
      <c r="N506" s="136">
        <v>8</v>
      </c>
      <c r="O506" s="16"/>
    </row>
    <row r="507" spans="1:15" s="3" customFormat="1" ht="16" customHeight="1" x14ac:dyDescent="0.2">
      <c r="A507" s="4" t="s">
        <v>3015</v>
      </c>
      <c r="B507" s="136">
        <v>7</v>
      </c>
      <c r="C507" s="2"/>
      <c r="D507" s="4" t="s">
        <v>2947</v>
      </c>
      <c r="E507" s="136">
        <v>8</v>
      </c>
      <c r="F507" s="2"/>
      <c r="G507" s="4" t="s">
        <v>2988</v>
      </c>
      <c r="H507" s="136">
        <v>8</v>
      </c>
      <c r="I507" s="2"/>
      <c r="J507" s="4" t="s">
        <v>2962</v>
      </c>
      <c r="K507" s="136"/>
      <c r="L507" s="2"/>
      <c r="M507" s="4" t="s">
        <v>3003</v>
      </c>
      <c r="N507" s="136">
        <v>8.5</v>
      </c>
      <c r="O507" s="16"/>
    </row>
    <row r="508" spans="1:15" s="3" customFormat="1" ht="16" customHeight="1" x14ac:dyDescent="0.2">
      <c r="A508" s="4" t="s">
        <v>3016</v>
      </c>
      <c r="B508" s="136">
        <v>8</v>
      </c>
      <c r="C508" s="2"/>
      <c r="D508" s="4" t="s">
        <v>2948</v>
      </c>
      <c r="E508" s="136">
        <v>8</v>
      </c>
      <c r="F508" s="2"/>
      <c r="G508" s="4" t="s">
        <v>2989</v>
      </c>
      <c r="H508" s="136">
        <v>8.5</v>
      </c>
      <c r="I508" s="2"/>
      <c r="J508" s="4" t="s">
        <v>2963</v>
      </c>
      <c r="K508" s="136">
        <v>9</v>
      </c>
      <c r="L508" s="2"/>
      <c r="M508" s="4" t="s">
        <v>3004</v>
      </c>
      <c r="N508" s="136">
        <v>9</v>
      </c>
      <c r="O508" s="16"/>
    </row>
    <row r="509" spans="1:15" s="3" customFormat="1" ht="16" customHeight="1" x14ac:dyDescent="0.2">
      <c r="A509" s="4" t="s">
        <v>3017</v>
      </c>
      <c r="B509" s="136">
        <v>7.5</v>
      </c>
      <c r="C509" s="2"/>
      <c r="D509" s="4" t="s">
        <v>2949</v>
      </c>
      <c r="E509" s="136">
        <v>8.5</v>
      </c>
      <c r="F509" s="2"/>
      <c r="G509" s="4" t="s">
        <v>2990</v>
      </c>
      <c r="H509" s="136">
        <v>8.5</v>
      </c>
      <c r="I509" s="2"/>
      <c r="J509" s="4" t="s">
        <v>2964</v>
      </c>
      <c r="K509" s="136">
        <v>8.5</v>
      </c>
      <c r="L509" s="2"/>
      <c r="M509" s="4" t="s">
        <v>3005</v>
      </c>
      <c r="N509" s="136">
        <v>9</v>
      </c>
      <c r="O509" s="16"/>
    </row>
    <row r="510" spans="1:15" s="3" customFormat="1" ht="16" customHeight="1" thickBot="1" x14ac:dyDescent="0.25">
      <c r="A510" s="4" t="s">
        <v>3018</v>
      </c>
      <c r="B510" s="136">
        <v>8</v>
      </c>
      <c r="C510" s="2"/>
      <c r="D510" s="4" t="s">
        <v>2950</v>
      </c>
      <c r="E510" s="136">
        <v>9</v>
      </c>
      <c r="F510" s="2"/>
      <c r="G510" s="7" t="s">
        <v>2991</v>
      </c>
      <c r="H510" s="190">
        <v>8</v>
      </c>
      <c r="I510" s="2"/>
      <c r="J510" s="4" t="s">
        <v>2965</v>
      </c>
      <c r="K510" s="136">
        <v>9</v>
      </c>
      <c r="L510" s="2"/>
      <c r="M510" s="7" t="s">
        <v>3006</v>
      </c>
      <c r="N510" s="190">
        <v>8.5</v>
      </c>
      <c r="O510" s="16"/>
    </row>
    <row r="511" spans="1:15" s="3" customFormat="1" ht="16" customHeight="1" thickBot="1" x14ac:dyDescent="0.25">
      <c r="A511" s="4" t="s">
        <v>3019</v>
      </c>
      <c r="B511" s="136">
        <v>8</v>
      </c>
      <c r="C511" s="2"/>
      <c r="D511" s="4" t="s">
        <v>2951</v>
      </c>
      <c r="E511" s="136">
        <v>9.5</v>
      </c>
      <c r="F511" s="2"/>
      <c r="G511" s="2"/>
      <c r="H511" s="2"/>
      <c r="I511" s="2"/>
      <c r="J511" s="4" t="s">
        <v>2966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3020</v>
      </c>
      <c r="B512" s="136">
        <v>7.5</v>
      </c>
      <c r="C512" s="2"/>
      <c r="D512" s="7" t="s">
        <v>2952</v>
      </c>
      <c r="E512" s="190">
        <v>8</v>
      </c>
      <c r="F512" s="2"/>
      <c r="G512" s="357" t="s">
        <v>3026</v>
      </c>
      <c r="H512" s="12">
        <f>ROUND(SUM(H513:H519)/COUNT(H513:H519), 2)</f>
        <v>9.14</v>
      </c>
      <c r="I512" s="2"/>
      <c r="J512" s="4" t="s">
        <v>2967</v>
      </c>
      <c r="K512" s="136">
        <v>10</v>
      </c>
      <c r="L512" s="2"/>
      <c r="M512" s="359" t="s">
        <v>3064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3021</v>
      </c>
      <c r="B513" s="190">
        <v>8.5</v>
      </c>
      <c r="C513" s="2"/>
      <c r="D513" s="2"/>
      <c r="E513" s="2"/>
      <c r="F513" s="2"/>
      <c r="G513" s="11" t="s">
        <v>3027</v>
      </c>
      <c r="H513" s="189">
        <v>8.5</v>
      </c>
      <c r="I513" s="2"/>
      <c r="J513" s="4" t="s">
        <v>2968</v>
      </c>
      <c r="K513" s="136">
        <v>8</v>
      </c>
      <c r="L513" s="2"/>
      <c r="M513" s="11" t="s">
        <v>3053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3080</v>
      </c>
      <c r="E514" s="12">
        <f>ROUND(SUM(E515:E526)/COUNT(E515:E526), 2)</f>
        <v>8.58</v>
      </c>
      <c r="F514" s="2"/>
      <c r="G514" s="4" t="s">
        <v>3028</v>
      </c>
      <c r="H514" s="136">
        <v>9</v>
      </c>
      <c r="I514" s="2"/>
      <c r="J514" s="4" t="s">
        <v>2969</v>
      </c>
      <c r="K514" s="136">
        <v>8.5</v>
      </c>
      <c r="L514" s="2"/>
      <c r="M514" s="4" t="s">
        <v>3054</v>
      </c>
      <c r="N514" s="136">
        <v>8.5</v>
      </c>
      <c r="O514" s="16"/>
    </row>
    <row r="515" spans="1:15" s="3" customFormat="1" ht="16" customHeight="1" thickBot="1" x14ac:dyDescent="0.25">
      <c r="A515" s="129" t="s">
        <v>3092</v>
      </c>
      <c r="B515" s="12">
        <f>ROUND(SUM(B516:B522)/COUNT(B516:B522), 2)</f>
        <v>8.7899999999999991</v>
      </c>
      <c r="C515" s="2"/>
      <c r="D515" s="11" t="s">
        <v>3067</v>
      </c>
      <c r="E515" s="189">
        <v>8.5</v>
      </c>
      <c r="F515" s="2"/>
      <c r="G515" s="4" t="s">
        <v>3029</v>
      </c>
      <c r="H515" s="136">
        <v>9</v>
      </c>
      <c r="I515" s="2"/>
      <c r="J515" s="4" t="s">
        <v>2970</v>
      </c>
      <c r="K515" s="136">
        <v>7.5</v>
      </c>
      <c r="L515" s="2"/>
      <c r="M515" s="4" t="s">
        <v>3055</v>
      </c>
      <c r="N515" s="136">
        <v>8</v>
      </c>
      <c r="O515" s="16"/>
    </row>
    <row r="516" spans="1:15" s="3" customFormat="1" ht="16" customHeight="1" x14ac:dyDescent="0.2">
      <c r="A516" s="364" t="s">
        <v>3086</v>
      </c>
      <c r="B516" s="189">
        <v>9</v>
      </c>
      <c r="C516" s="2"/>
      <c r="D516" s="4" t="s">
        <v>3068</v>
      </c>
      <c r="E516" s="136">
        <v>9</v>
      </c>
      <c r="F516" s="2"/>
      <c r="G516" s="4" t="s">
        <v>3030</v>
      </c>
      <c r="H516" s="136">
        <v>10.5</v>
      </c>
      <c r="I516" s="2"/>
      <c r="J516" s="4" t="s">
        <v>2971</v>
      </c>
      <c r="K516" s="136">
        <v>10</v>
      </c>
      <c r="L516" s="2"/>
      <c r="M516" s="4" t="s">
        <v>3056</v>
      </c>
      <c r="N516" s="136">
        <v>8</v>
      </c>
      <c r="O516" s="16"/>
    </row>
    <row r="517" spans="1:15" s="3" customFormat="1" ht="16" customHeight="1" thickBot="1" x14ac:dyDescent="0.25">
      <c r="A517" s="365" t="s">
        <v>3087</v>
      </c>
      <c r="B517" s="136">
        <v>8.5</v>
      </c>
      <c r="C517" s="2"/>
      <c r="D517" s="4" t="s">
        <v>3069</v>
      </c>
      <c r="E517" s="136">
        <v>10</v>
      </c>
      <c r="F517" s="2"/>
      <c r="G517" s="4" t="s">
        <v>3031</v>
      </c>
      <c r="H517" s="136">
        <v>10</v>
      </c>
      <c r="I517" s="2"/>
      <c r="J517" s="7" t="s">
        <v>2972</v>
      </c>
      <c r="K517" s="190">
        <v>8.5</v>
      </c>
      <c r="L517" s="2"/>
      <c r="M517" s="4" t="s">
        <v>3057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3070</v>
      </c>
      <c r="E518" s="136">
        <v>10</v>
      </c>
      <c r="F518" s="2"/>
      <c r="G518" s="4" t="s">
        <v>3032</v>
      </c>
      <c r="H518" s="136">
        <v>8.5</v>
      </c>
      <c r="I518" s="2"/>
      <c r="J518" s="2"/>
      <c r="K518" s="2"/>
      <c r="L518" s="2"/>
      <c r="M518" s="4" t="s">
        <v>3058</v>
      </c>
      <c r="N518" s="136">
        <v>7.5</v>
      </c>
      <c r="O518" s="16"/>
    </row>
    <row r="519" spans="1:15" s="3" customFormat="1" ht="16" customHeight="1" thickBot="1" x14ac:dyDescent="0.25">
      <c r="A519" s="4" t="s">
        <v>3088</v>
      </c>
      <c r="B519" s="136">
        <v>8</v>
      </c>
      <c r="C519" s="2"/>
      <c r="D519" s="4" t="s">
        <v>3071</v>
      </c>
      <c r="E519" s="136">
        <v>8</v>
      </c>
      <c r="F519" s="2"/>
      <c r="G519" s="7" t="s">
        <v>3033</v>
      </c>
      <c r="H519" s="190">
        <v>8.5</v>
      </c>
      <c r="I519" s="2"/>
      <c r="J519" s="366" t="s">
        <v>3096</v>
      </c>
      <c r="K519" s="12">
        <f>ROUND(SUM(K520:K526)/COUNT(K520:K526), 2)</f>
        <v>8</v>
      </c>
      <c r="L519" s="2"/>
      <c r="M519" s="4" t="s">
        <v>3059</v>
      </c>
      <c r="N519" s="136">
        <v>9</v>
      </c>
      <c r="O519" s="16"/>
    </row>
    <row r="520" spans="1:15" s="3" customFormat="1" ht="16" customHeight="1" thickBot="1" x14ac:dyDescent="0.25">
      <c r="A520" s="4" t="s">
        <v>3089</v>
      </c>
      <c r="B520" s="136">
        <v>8</v>
      </c>
      <c r="C520" s="2"/>
      <c r="D520" s="4" t="s">
        <v>3072</v>
      </c>
      <c r="E520" s="136">
        <v>7.5</v>
      </c>
      <c r="F520" s="2"/>
      <c r="G520" s="2"/>
      <c r="H520" s="2"/>
      <c r="I520" s="2"/>
      <c r="J520" s="11" t="s">
        <v>3097</v>
      </c>
      <c r="K520" s="189">
        <v>9</v>
      </c>
      <c r="L520" s="2"/>
      <c r="M520" s="4" t="s">
        <v>3060</v>
      </c>
      <c r="N520" s="136">
        <v>8</v>
      </c>
      <c r="O520" s="16"/>
    </row>
    <row r="521" spans="1:15" s="3" customFormat="1" ht="16" customHeight="1" thickBot="1" x14ac:dyDescent="0.25">
      <c r="A521" s="4" t="s">
        <v>3090</v>
      </c>
      <c r="B521" s="136">
        <v>9.5</v>
      </c>
      <c r="C521" s="2"/>
      <c r="D521" s="4" t="s">
        <v>3073</v>
      </c>
      <c r="E521" s="136">
        <v>8.5</v>
      </c>
      <c r="F521" s="2"/>
      <c r="G521" s="367" t="s">
        <v>3108</v>
      </c>
      <c r="H521" s="12">
        <f>ROUND(SUM(H522:H533)/COUNT(H522:H533), 2)</f>
        <v>8.89</v>
      </c>
      <c r="I521" s="2"/>
      <c r="J521" s="4" t="s">
        <v>3098</v>
      </c>
      <c r="K521" s="136">
        <v>8</v>
      </c>
      <c r="L521" s="2"/>
      <c r="M521" s="4" t="s">
        <v>3061</v>
      </c>
      <c r="N521" s="136">
        <v>10.5</v>
      </c>
      <c r="O521" s="16"/>
    </row>
    <row r="522" spans="1:15" s="3" customFormat="1" ht="16" customHeight="1" thickBot="1" x14ac:dyDescent="0.25">
      <c r="A522" s="7" t="s">
        <v>3091</v>
      </c>
      <c r="B522" s="190">
        <v>8.5</v>
      </c>
      <c r="C522" s="2"/>
      <c r="D522" s="4" t="s">
        <v>3074</v>
      </c>
      <c r="E522" s="136">
        <v>8</v>
      </c>
      <c r="F522" s="2"/>
      <c r="G522" s="11" t="s">
        <v>3109</v>
      </c>
      <c r="H522" s="189">
        <v>9</v>
      </c>
      <c r="I522" s="2"/>
      <c r="J522" s="4" t="s">
        <v>3099</v>
      </c>
      <c r="K522" s="136">
        <v>8</v>
      </c>
      <c r="L522" s="2"/>
      <c r="M522" s="4" t="s">
        <v>3062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3075</v>
      </c>
      <c r="E523" s="136">
        <v>8</v>
      </c>
      <c r="F523" s="2"/>
      <c r="G523" s="4" t="s">
        <v>3110</v>
      </c>
      <c r="H523" s="136">
        <v>9</v>
      </c>
      <c r="I523" s="2"/>
      <c r="J523" s="4" t="s">
        <v>3100</v>
      </c>
      <c r="K523" s="136">
        <v>7.5</v>
      </c>
      <c r="L523" s="2"/>
      <c r="M523" s="7" t="s">
        <v>3063</v>
      </c>
      <c r="N523" s="190">
        <v>8</v>
      </c>
      <c r="O523" s="16"/>
    </row>
    <row r="524" spans="1:15" s="3" customFormat="1" ht="16" customHeight="1" thickBot="1" x14ac:dyDescent="0.25">
      <c r="A524" s="368" t="s">
        <v>3122</v>
      </c>
      <c r="B524" s="12">
        <f>ROUND(SUM(B525:B541)/COUNT(B525:B541), 2)</f>
        <v>4.79</v>
      </c>
      <c r="C524" s="2"/>
      <c r="D524" s="4" t="s">
        <v>3076</v>
      </c>
      <c r="E524" s="136">
        <v>9</v>
      </c>
      <c r="F524" s="2"/>
      <c r="G524" s="4" t="s">
        <v>3111</v>
      </c>
      <c r="H524" s="136">
        <v>9</v>
      </c>
      <c r="I524" s="2"/>
      <c r="J524" s="4" t="s">
        <v>3101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3123</v>
      </c>
      <c r="B525" s="189">
        <v>5</v>
      </c>
      <c r="C525" s="2"/>
      <c r="D525" s="145" t="s">
        <v>3077</v>
      </c>
      <c r="E525" s="136">
        <v>8</v>
      </c>
      <c r="F525" s="2"/>
      <c r="G525" s="4" t="s">
        <v>3112</v>
      </c>
      <c r="H525" s="136">
        <v>8.5</v>
      </c>
      <c r="I525" s="2"/>
      <c r="J525" s="4" t="s">
        <v>3102</v>
      </c>
      <c r="K525" s="136"/>
      <c r="L525" s="2"/>
      <c r="M525" s="369" t="s">
        <v>3143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3124</v>
      </c>
      <c r="B526" s="136">
        <v>4</v>
      </c>
      <c r="C526" s="2"/>
      <c r="D526" s="7" t="s">
        <v>3078</v>
      </c>
      <c r="E526" s="190">
        <v>8.5</v>
      </c>
      <c r="F526" s="2"/>
      <c r="G526" s="4" t="s">
        <v>3113</v>
      </c>
      <c r="H526" s="136">
        <v>8</v>
      </c>
      <c r="I526" s="2"/>
      <c r="J526" s="7" t="s">
        <v>3103</v>
      </c>
      <c r="K526" s="190">
        <v>7.5</v>
      </c>
      <c r="L526" s="2"/>
      <c r="M526" s="11" t="s">
        <v>3144</v>
      </c>
      <c r="N526" s="189">
        <v>10</v>
      </c>
      <c r="O526" s="16"/>
    </row>
    <row r="527" spans="1:15" s="3" customFormat="1" ht="16" customHeight="1" thickBot="1" x14ac:dyDescent="0.25">
      <c r="A527" s="4" t="s">
        <v>3125</v>
      </c>
      <c r="B527" s="136">
        <v>7</v>
      </c>
      <c r="C527" s="2"/>
      <c r="D527" s="2"/>
      <c r="E527" s="2"/>
      <c r="F527" s="2"/>
      <c r="G527" s="4" t="s">
        <v>3114</v>
      </c>
      <c r="H527" s="136">
        <v>9</v>
      </c>
      <c r="I527" s="2"/>
      <c r="J527" s="2"/>
      <c r="K527" s="2"/>
      <c r="L527" s="2"/>
      <c r="M527" s="4" t="s">
        <v>3145</v>
      </c>
      <c r="N527" s="136">
        <v>7.5</v>
      </c>
      <c r="O527" s="16"/>
    </row>
    <row r="528" spans="1:15" s="3" customFormat="1" ht="16" customHeight="1" thickBot="1" x14ac:dyDescent="0.25">
      <c r="A528" s="4" t="s">
        <v>3126</v>
      </c>
      <c r="B528" s="136">
        <v>6</v>
      </c>
      <c r="C528" s="2"/>
      <c r="D528" s="374" t="s">
        <v>3161</v>
      </c>
      <c r="E528" s="12">
        <f>ROUND(SUM(E529:E540)/COUNT(E529:E540), 2)</f>
        <v>8.64</v>
      </c>
      <c r="F528" s="2"/>
      <c r="G528" s="7" t="s">
        <v>3115</v>
      </c>
      <c r="H528" s="190">
        <v>7.5</v>
      </c>
      <c r="I528" s="2"/>
      <c r="J528" s="377" t="s">
        <v>3174</v>
      </c>
      <c r="K528" s="12">
        <f>ROUND(SUM(K529:K543)/COUNT(K529:K543), 2)</f>
        <v>8.6300000000000008</v>
      </c>
      <c r="L528" s="2"/>
      <c r="M528" s="4" t="s">
        <v>3146</v>
      </c>
      <c r="N528" s="136">
        <v>8</v>
      </c>
      <c r="O528" s="16"/>
    </row>
    <row r="529" spans="1:15" s="3" customFormat="1" ht="16" customHeight="1" thickBot="1" x14ac:dyDescent="0.25">
      <c r="A529" s="4" t="s">
        <v>3127</v>
      </c>
      <c r="B529" s="136">
        <v>6</v>
      </c>
      <c r="C529" s="2"/>
      <c r="D529" s="11" t="s">
        <v>3162</v>
      </c>
      <c r="E529" s="189">
        <v>9</v>
      </c>
      <c r="F529" s="2"/>
      <c r="G529" s="2"/>
      <c r="H529" s="2"/>
      <c r="I529" s="2"/>
      <c r="J529" s="375" t="s">
        <v>3186</v>
      </c>
      <c r="K529" s="189">
        <v>8.5</v>
      </c>
      <c r="L529" s="2"/>
      <c r="M529" s="4" t="s">
        <v>3147</v>
      </c>
      <c r="N529" s="136">
        <v>8</v>
      </c>
      <c r="O529" s="16"/>
    </row>
    <row r="530" spans="1:15" s="3" customFormat="1" ht="16" customHeight="1" thickBot="1" x14ac:dyDescent="0.25">
      <c r="A530" s="4" t="s">
        <v>3128</v>
      </c>
      <c r="B530" s="136">
        <v>3</v>
      </c>
      <c r="C530" s="2"/>
      <c r="D530" s="4" t="s">
        <v>3164</v>
      </c>
      <c r="E530" s="136">
        <v>10</v>
      </c>
      <c r="F530" s="2"/>
      <c r="G530" s="381" t="s">
        <v>3264</v>
      </c>
      <c r="H530" s="12">
        <f>ROUND(SUM(H531:H542)/COUNT(H531:H542), 2)</f>
        <v>8.82</v>
      </c>
      <c r="I530" s="2"/>
      <c r="J530" s="376" t="s">
        <v>2588</v>
      </c>
      <c r="K530" s="136">
        <v>9</v>
      </c>
      <c r="L530" s="2"/>
      <c r="M530" s="4" t="s">
        <v>3148</v>
      </c>
      <c r="N530" s="136"/>
      <c r="O530" s="16"/>
    </row>
    <row r="531" spans="1:15" s="3" customFormat="1" ht="16" customHeight="1" x14ac:dyDescent="0.2">
      <c r="A531" s="4" t="s">
        <v>3129</v>
      </c>
      <c r="B531" s="136">
        <v>5</v>
      </c>
      <c r="C531" s="2"/>
      <c r="D531" s="4" t="s">
        <v>3163</v>
      </c>
      <c r="E531" s="136">
        <v>8.5</v>
      </c>
      <c r="F531" s="2"/>
      <c r="G531" s="11" t="s">
        <v>3253</v>
      </c>
      <c r="H531" s="189">
        <v>10.5</v>
      </c>
      <c r="I531" s="2"/>
      <c r="J531" s="376" t="s">
        <v>3175</v>
      </c>
      <c r="K531" s="136">
        <v>8</v>
      </c>
      <c r="L531" s="2"/>
      <c r="M531" s="4" t="s">
        <v>3149</v>
      </c>
      <c r="N531" s="136">
        <v>8.5</v>
      </c>
      <c r="O531" s="16"/>
    </row>
    <row r="532" spans="1:15" s="3" customFormat="1" ht="16" customHeight="1" x14ac:dyDescent="0.2">
      <c r="A532" s="4" t="s">
        <v>3130</v>
      </c>
      <c r="B532" s="136">
        <v>4</v>
      </c>
      <c r="C532" s="2"/>
      <c r="D532" s="4" t="s">
        <v>3165</v>
      </c>
      <c r="E532" s="136">
        <v>8</v>
      </c>
      <c r="F532" s="2"/>
      <c r="G532" s="4" t="s">
        <v>3254</v>
      </c>
      <c r="H532" s="136">
        <v>9</v>
      </c>
      <c r="I532" s="2"/>
      <c r="J532" s="376" t="s">
        <v>3176</v>
      </c>
      <c r="K532" s="136">
        <v>10</v>
      </c>
      <c r="L532" s="2"/>
      <c r="M532" s="4" t="s">
        <v>3150</v>
      </c>
      <c r="N532" s="136">
        <v>8.5</v>
      </c>
      <c r="O532" s="16"/>
    </row>
    <row r="533" spans="1:15" s="3" customFormat="1" ht="16" customHeight="1" x14ac:dyDescent="0.2">
      <c r="A533" s="4" t="s">
        <v>3131</v>
      </c>
      <c r="B533" s="136">
        <v>3</v>
      </c>
      <c r="C533" s="2"/>
      <c r="D533" s="4" t="s">
        <v>3166</v>
      </c>
      <c r="E533" s="136"/>
      <c r="F533" s="2"/>
      <c r="G533" s="4" t="s">
        <v>3255</v>
      </c>
      <c r="H533" s="136">
        <v>9.5</v>
      </c>
      <c r="I533" s="2"/>
      <c r="J533" s="376" t="s">
        <v>3177</v>
      </c>
      <c r="K533" s="136">
        <v>9</v>
      </c>
      <c r="L533" s="2"/>
      <c r="M533" s="4" t="s">
        <v>3151</v>
      </c>
      <c r="N533" s="136">
        <v>9</v>
      </c>
      <c r="O533" s="16"/>
    </row>
    <row r="534" spans="1:15" s="3" customFormat="1" ht="16" customHeight="1" thickBot="1" x14ac:dyDescent="0.25">
      <c r="A534" s="4" t="s">
        <v>3132</v>
      </c>
      <c r="B534" s="136">
        <v>6</v>
      </c>
      <c r="C534" s="2"/>
      <c r="D534" s="4" t="s">
        <v>3167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3178</v>
      </c>
      <c r="K534" s="136">
        <v>9</v>
      </c>
      <c r="L534" s="2"/>
      <c r="M534" s="7" t="s">
        <v>3152</v>
      </c>
      <c r="N534" s="190">
        <v>9</v>
      </c>
      <c r="O534" s="16"/>
    </row>
    <row r="535" spans="1:15" s="3" customFormat="1" ht="16" customHeight="1" thickBot="1" x14ac:dyDescent="0.25">
      <c r="A535" s="4" t="s">
        <v>3133</v>
      </c>
      <c r="B535" s="136">
        <v>5</v>
      </c>
      <c r="C535" s="2"/>
      <c r="D535" s="4" t="s">
        <v>3168</v>
      </c>
      <c r="E535" s="136">
        <v>8</v>
      </c>
      <c r="F535" s="2"/>
      <c r="G535" s="4" t="s">
        <v>3256</v>
      </c>
      <c r="H535" s="136">
        <v>8</v>
      </c>
      <c r="I535" s="2"/>
      <c r="J535" s="4" t="s">
        <v>2595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3134</v>
      </c>
      <c r="B536" s="136">
        <v>4</v>
      </c>
      <c r="C536" s="2"/>
      <c r="D536" s="4" t="s">
        <v>3169</v>
      </c>
      <c r="E536" s="136">
        <v>10.5</v>
      </c>
      <c r="F536" s="2"/>
      <c r="G536" s="4" t="s">
        <v>3257</v>
      </c>
      <c r="H536" s="136"/>
      <c r="I536" s="2"/>
      <c r="J536" s="4" t="s">
        <v>3179</v>
      </c>
      <c r="K536" s="136">
        <v>9.5</v>
      </c>
      <c r="L536" s="2"/>
      <c r="M536" s="382" t="s">
        <v>3265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3135</v>
      </c>
      <c r="B537" s="136">
        <v>4</v>
      </c>
      <c r="C537" s="2"/>
      <c r="D537" s="4" t="s">
        <v>3170</v>
      </c>
      <c r="E537" s="136">
        <v>9</v>
      </c>
      <c r="F537" s="2"/>
      <c r="G537" s="4" t="s">
        <v>3258</v>
      </c>
      <c r="H537" s="136">
        <v>8</v>
      </c>
      <c r="I537" s="2"/>
      <c r="J537" s="4" t="s">
        <v>3180</v>
      </c>
      <c r="K537" s="136">
        <v>8</v>
      </c>
      <c r="L537" s="2"/>
      <c r="M537" s="11" t="s">
        <v>3266</v>
      </c>
      <c r="N537" s="189"/>
      <c r="O537" s="16"/>
    </row>
    <row r="538" spans="1:15" s="3" customFormat="1" ht="16" customHeight="1" x14ac:dyDescent="0.2">
      <c r="A538" s="4" t="s">
        <v>3136</v>
      </c>
      <c r="B538" s="136">
        <v>6</v>
      </c>
      <c r="C538" s="2"/>
      <c r="D538" s="4" t="s">
        <v>3171</v>
      </c>
      <c r="E538" s="136">
        <v>8</v>
      </c>
      <c r="F538" s="2"/>
      <c r="G538" s="4" t="s">
        <v>3259</v>
      </c>
      <c r="H538" s="136">
        <v>10</v>
      </c>
      <c r="I538" s="2"/>
      <c r="J538" s="4" t="s">
        <v>3181</v>
      </c>
      <c r="K538" s="136">
        <v>8.5</v>
      </c>
      <c r="L538" s="2"/>
      <c r="M538" s="4" t="s">
        <v>3267</v>
      </c>
      <c r="N538" s="136">
        <v>8</v>
      </c>
      <c r="O538" s="16"/>
    </row>
    <row r="539" spans="1:15" s="3" customFormat="1" ht="16" customHeight="1" x14ac:dyDescent="0.2">
      <c r="A539" s="4" t="s">
        <v>3137</v>
      </c>
      <c r="B539" s="136">
        <v>6.5</v>
      </c>
      <c r="C539" s="2"/>
      <c r="D539" s="4" t="s">
        <v>3172</v>
      </c>
      <c r="E539" s="136">
        <v>8</v>
      </c>
      <c r="F539" s="2"/>
      <c r="G539" s="4" t="s">
        <v>3260</v>
      </c>
      <c r="H539" s="136">
        <v>7.5</v>
      </c>
      <c r="I539" s="2"/>
      <c r="J539" s="4" t="s">
        <v>3182</v>
      </c>
      <c r="K539" s="136">
        <v>8</v>
      </c>
      <c r="L539" s="2"/>
      <c r="M539" s="4" t="s">
        <v>3268</v>
      </c>
      <c r="N539" s="136">
        <v>8.5</v>
      </c>
      <c r="O539" s="16"/>
    </row>
    <row r="540" spans="1:15" s="3" customFormat="1" ht="16" customHeight="1" thickBot="1" x14ac:dyDescent="0.25">
      <c r="A540" s="4" t="s">
        <v>3138</v>
      </c>
      <c r="B540" s="136">
        <v>0</v>
      </c>
      <c r="C540" s="2"/>
      <c r="D540" s="7" t="s">
        <v>3173</v>
      </c>
      <c r="E540" s="190">
        <v>8.5</v>
      </c>
      <c r="F540" s="2"/>
      <c r="G540" s="4" t="s">
        <v>3261</v>
      </c>
      <c r="H540" s="136">
        <v>8.5</v>
      </c>
      <c r="I540" s="2"/>
      <c r="J540" s="4" t="s">
        <v>3183</v>
      </c>
      <c r="K540" s="136">
        <v>7.5</v>
      </c>
      <c r="L540" s="2"/>
      <c r="M540" s="4" t="s">
        <v>3269</v>
      </c>
      <c r="N540" s="136">
        <v>8</v>
      </c>
      <c r="O540" s="16"/>
    </row>
    <row r="541" spans="1:15" s="3" customFormat="1" ht="16" customHeight="1" thickBot="1" x14ac:dyDescent="0.25">
      <c r="A541" s="7" t="s">
        <v>3139</v>
      </c>
      <c r="B541" s="190">
        <v>7</v>
      </c>
      <c r="C541" s="2"/>
      <c r="D541" s="2"/>
      <c r="E541" s="2"/>
      <c r="F541" s="2"/>
      <c r="G541" s="4" t="s">
        <v>3262</v>
      </c>
      <c r="H541" s="136">
        <v>9</v>
      </c>
      <c r="I541" s="2"/>
      <c r="J541" s="4" t="s">
        <v>2768</v>
      </c>
      <c r="K541" s="136">
        <v>8</v>
      </c>
      <c r="L541" s="2"/>
      <c r="M541" s="4" t="s">
        <v>3280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3285</v>
      </c>
      <c r="E542" s="12">
        <f>ROUND(SUM(E543:E552)/COUNT(E543:E552), 2)</f>
        <v>8.1999999999999993</v>
      </c>
      <c r="F542" s="2"/>
      <c r="G542" s="7" t="s">
        <v>3263</v>
      </c>
      <c r="H542" s="190">
        <v>8.5</v>
      </c>
      <c r="I542" s="2"/>
      <c r="J542" s="4" t="s">
        <v>3184</v>
      </c>
      <c r="K542" s="136">
        <v>9</v>
      </c>
      <c r="L542" s="2"/>
      <c r="M542" s="4" t="s">
        <v>3270</v>
      </c>
      <c r="N542" s="136">
        <v>8.5</v>
      </c>
      <c r="O542" s="16"/>
    </row>
    <row r="543" spans="1:15" s="3" customFormat="1" ht="16" customHeight="1" thickBot="1" x14ac:dyDescent="0.25">
      <c r="A543" s="384" t="s">
        <v>3296</v>
      </c>
      <c r="B543" s="12">
        <f>ROUND(SUM(B544:B555)/COUNT(B544:B555), 2)</f>
        <v>8.82</v>
      </c>
      <c r="C543" s="2"/>
      <c r="D543" s="11" t="s">
        <v>3286</v>
      </c>
      <c r="E543" s="189">
        <v>8.5</v>
      </c>
      <c r="F543" s="2"/>
      <c r="G543" s="2"/>
      <c r="H543" s="2"/>
      <c r="I543" s="2"/>
      <c r="J543" s="7" t="s">
        <v>3185</v>
      </c>
      <c r="K543" s="190">
        <v>9.5</v>
      </c>
      <c r="L543" s="2"/>
      <c r="M543" s="4" t="s">
        <v>3271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3287</v>
      </c>
      <c r="E544" s="136">
        <v>10.5</v>
      </c>
      <c r="F544" s="2"/>
      <c r="G544" s="386" t="s">
        <v>3312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3272</v>
      </c>
      <c r="N544" s="190">
        <v>8.5</v>
      </c>
      <c r="O544" s="16"/>
    </row>
    <row r="545" spans="1:18" s="3" customFormat="1" ht="16" customHeight="1" thickBot="1" x14ac:dyDescent="0.25">
      <c r="A545" s="4" t="s">
        <v>3297</v>
      </c>
      <c r="B545" s="136">
        <v>8.5</v>
      </c>
      <c r="C545" s="2"/>
      <c r="D545" s="4" t="s">
        <v>3288</v>
      </c>
      <c r="E545" s="136">
        <v>9</v>
      </c>
      <c r="F545" s="2"/>
      <c r="G545" s="11" t="s">
        <v>3313</v>
      </c>
      <c r="H545" s="189">
        <v>8.5</v>
      </c>
      <c r="I545" s="2"/>
      <c r="J545" s="389" t="s">
        <v>3331</v>
      </c>
      <c r="K545" s="12">
        <f>ROUND(SUM(K546:K569)/COUNT(K546:K569), 2)</f>
        <v>8.6</v>
      </c>
      <c r="L545" s="2"/>
      <c r="M545" s="2"/>
      <c r="N545" s="2"/>
      <c r="O545" s="16"/>
    </row>
    <row r="546" spans="1:18" s="3" customFormat="1" ht="16" customHeight="1" thickBot="1" x14ac:dyDescent="0.25">
      <c r="A546" s="4" t="s">
        <v>3298</v>
      </c>
      <c r="B546" s="136">
        <v>8</v>
      </c>
      <c r="C546" s="2"/>
      <c r="D546" s="4" t="s">
        <v>3289</v>
      </c>
      <c r="E546" s="136">
        <v>8.5</v>
      </c>
      <c r="F546" s="2"/>
      <c r="G546" s="4" t="s">
        <v>3314</v>
      </c>
      <c r="H546" s="136">
        <v>10</v>
      </c>
      <c r="I546" s="2"/>
      <c r="J546" s="11" t="s">
        <v>3332</v>
      </c>
      <c r="K546" s="189">
        <v>10</v>
      </c>
      <c r="L546" s="2"/>
      <c r="M546" s="390" t="s">
        <v>3359</v>
      </c>
      <c r="N546" s="12">
        <f>ROUND(SUM(N547:N557)/COUNT(N547:N557), 2)</f>
        <v>8.65</v>
      </c>
      <c r="O546" s="16"/>
    </row>
    <row r="547" spans="1:18" s="3" customFormat="1" ht="16" customHeight="1" x14ac:dyDescent="0.2">
      <c r="A547" s="4" t="s">
        <v>3299</v>
      </c>
      <c r="B547" s="136">
        <v>10</v>
      </c>
      <c r="C547" s="2"/>
      <c r="D547" s="4" t="s">
        <v>3290</v>
      </c>
      <c r="E547" s="136">
        <v>8</v>
      </c>
      <c r="F547" s="2"/>
      <c r="G547" s="4" t="s">
        <v>3315</v>
      </c>
      <c r="H547" s="136">
        <v>9</v>
      </c>
      <c r="I547" s="2"/>
      <c r="J547" s="4" t="s">
        <v>3333</v>
      </c>
      <c r="K547" s="136">
        <v>7.5</v>
      </c>
      <c r="L547" s="2"/>
      <c r="M547" s="11" t="s">
        <v>3360</v>
      </c>
      <c r="N547" s="189">
        <v>8.5</v>
      </c>
      <c r="O547" s="16"/>
    </row>
    <row r="548" spans="1:18" s="3" customFormat="1" ht="16" customHeight="1" x14ac:dyDescent="0.2">
      <c r="A548" s="4" t="s">
        <v>3300</v>
      </c>
      <c r="B548" s="136">
        <v>8.5</v>
      </c>
      <c r="C548" s="2"/>
      <c r="D548" s="4" t="s">
        <v>3291</v>
      </c>
      <c r="E548" s="136">
        <v>7.5</v>
      </c>
      <c r="F548" s="2"/>
      <c r="G548" s="4" t="s">
        <v>3316</v>
      </c>
      <c r="H548" s="136">
        <v>8.5</v>
      </c>
      <c r="I548" s="2"/>
      <c r="J548" s="4" t="s">
        <v>3334</v>
      </c>
      <c r="K548" s="136">
        <v>10</v>
      </c>
      <c r="L548" s="2"/>
      <c r="M548" s="4" t="s">
        <v>3361</v>
      </c>
      <c r="N548" s="136">
        <v>9.5</v>
      </c>
      <c r="O548" s="16"/>
      <c r="R548"/>
    </row>
    <row r="549" spans="1:18" s="3" customFormat="1" ht="16" customHeight="1" x14ac:dyDescent="0.2">
      <c r="A549" s="4" t="s">
        <v>2471</v>
      </c>
      <c r="B549" s="136">
        <v>9</v>
      </c>
      <c r="C549" s="2"/>
      <c r="D549" s="4" t="s">
        <v>3292</v>
      </c>
      <c r="E549" s="136">
        <v>8</v>
      </c>
      <c r="F549" s="2"/>
      <c r="G549" s="4" t="s">
        <v>3317</v>
      </c>
      <c r="H549" s="136">
        <v>9</v>
      </c>
      <c r="I549" s="2"/>
      <c r="J549" s="4" t="s">
        <v>3335</v>
      </c>
      <c r="K549" s="136">
        <v>8</v>
      </c>
      <c r="L549" s="2"/>
      <c r="M549" s="4" t="s">
        <v>3362</v>
      </c>
      <c r="N549" s="136">
        <v>9.5</v>
      </c>
      <c r="O549" s="16"/>
      <c r="R549"/>
    </row>
    <row r="550" spans="1:18" s="3" customFormat="1" ht="16" customHeight="1" x14ac:dyDescent="0.2">
      <c r="A550" s="4" t="s">
        <v>3301</v>
      </c>
      <c r="B550" s="136">
        <v>8.5</v>
      </c>
      <c r="C550" s="2"/>
      <c r="D550" s="4" t="s">
        <v>3293</v>
      </c>
      <c r="E550" s="136">
        <v>7.5</v>
      </c>
      <c r="F550" s="2"/>
      <c r="G550" s="4" t="s">
        <v>3318</v>
      </c>
      <c r="H550" s="136">
        <v>8</v>
      </c>
      <c r="I550" s="2"/>
      <c r="J550" s="4" t="s">
        <v>3336</v>
      </c>
      <c r="K550" s="136">
        <v>8.5</v>
      </c>
      <c r="L550" s="2"/>
      <c r="M550" s="4" t="s">
        <v>3363</v>
      </c>
      <c r="N550" s="136">
        <v>8.5</v>
      </c>
      <c r="O550" s="16"/>
      <c r="R550"/>
    </row>
    <row r="551" spans="1:18" s="3" customFormat="1" ht="16" customHeight="1" x14ac:dyDescent="0.2">
      <c r="A551" s="4" t="s">
        <v>3302</v>
      </c>
      <c r="B551" s="136">
        <v>8.5</v>
      </c>
      <c r="C551" s="2"/>
      <c r="D551" s="4" t="s">
        <v>3294</v>
      </c>
      <c r="E551" s="136">
        <v>7.5</v>
      </c>
      <c r="F551" s="2"/>
      <c r="G551" s="4" t="s">
        <v>3319</v>
      </c>
      <c r="H551" s="136">
        <v>9</v>
      </c>
      <c r="I551" s="2"/>
      <c r="J551" s="4" t="s">
        <v>3337</v>
      </c>
      <c r="K551" s="136">
        <v>8</v>
      </c>
      <c r="L551" s="2"/>
      <c r="M551" s="4" t="s">
        <v>3364</v>
      </c>
      <c r="N551" s="136">
        <v>8.5</v>
      </c>
      <c r="O551" s="16"/>
      <c r="R551"/>
    </row>
    <row r="552" spans="1:18" s="3" customFormat="1" ht="16" customHeight="1" thickBot="1" x14ac:dyDescent="0.25">
      <c r="A552" s="4" t="s">
        <v>3303</v>
      </c>
      <c r="B552" s="136">
        <v>9</v>
      </c>
      <c r="C552" s="2"/>
      <c r="D552" s="7" t="s">
        <v>3295</v>
      </c>
      <c r="E552" s="190">
        <v>7</v>
      </c>
      <c r="F552" s="2"/>
      <c r="G552" s="4" t="s">
        <v>3320</v>
      </c>
      <c r="H552" s="136">
        <v>8</v>
      </c>
      <c r="I552" s="2"/>
      <c r="J552" s="4" t="s">
        <v>3338</v>
      </c>
      <c r="K552" s="136">
        <v>9</v>
      </c>
      <c r="L552" s="2"/>
      <c r="M552" s="4" t="s">
        <v>3365</v>
      </c>
      <c r="N552" s="136">
        <v>9</v>
      </c>
      <c r="O552" s="16"/>
      <c r="R552"/>
    </row>
    <row r="553" spans="1:18" s="3" customFormat="1" ht="16" customHeight="1" thickBot="1" x14ac:dyDescent="0.25">
      <c r="A553" s="7" t="s">
        <v>3304</v>
      </c>
      <c r="B553" s="190">
        <v>8</v>
      </c>
      <c r="C553" s="2"/>
      <c r="D553" s="2"/>
      <c r="E553" s="2"/>
      <c r="F553" s="2"/>
      <c r="G553" s="4" t="s">
        <v>3321</v>
      </c>
      <c r="H553" s="136">
        <v>8</v>
      </c>
      <c r="I553" s="2"/>
      <c r="J553" s="4" t="s">
        <v>3339</v>
      </c>
      <c r="K553" s="136">
        <v>9</v>
      </c>
      <c r="L553" s="2"/>
      <c r="M553" s="4" t="s">
        <v>3366</v>
      </c>
      <c r="N553" s="136">
        <v>8.5</v>
      </c>
      <c r="O553" s="16"/>
      <c r="R553"/>
    </row>
    <row r="554" spans="1:18" s="3" customFormat="1" ht="16" customHeight="1" thickBot="1" x14ac:dyDescent="0.25">
      <c r="A554" s="2"/>
      <c r="B554" s="2"/>
      <c r="C554" s="2"/>
      <c r="D554" s="391" t="s">
        <v>3394</v>
      </c>
      <c r="E554" s="12">
        <f>ROUND(SUM(E555:E569)/COUNT(E555:E569), 2)</f>
        <v>7.75</v>
      </c>
      <c r="F554" s="2"/>
      <c r="G554" s="4" t="s">
        <v>3322</v>
      </c>
      <c r="H554" s="136">
        <v>9</v>
      </c>
      <c r="I554" s="2"/>
      <c r="J554" s="4" t="s">
        <v>3340</v>
      </c>
      <c r="K554" s="136">
        <v>8.5</v>
      </c>
      <c r="L554" s="2"/>
      <c r="M554" s="4" t="s">
        <v>3367</v>
      </c>
      <c r="N554" s="136">
        <v>8</v>
      </c>
      <c r="O554" s="16"/>
      <c r="R554"/>
    </row>
    <row r="555" spans="1:18" s="3" customFormat="1" ht="16" customHeight="1" thickBot="1" x14ac:dyDescent="0.25">
      <c r="A555" s="393" t="s">
        <v>3397</v>
      </c>
      <c r="B555" s="12">
        <f>ROUND(SUM(B556:B559)/COUNT(B556:B559), 2)</f>
        <v>9</v>
      </c>
      <c r="C555" s="2"/>
      <c r="D555" s="141" t="s">
        <v>3392</v>
      </c>
      <c r="E555" s="189"/>
      <c r="F555" s="2"/>
      <c r="G555" s="4" t="s">
        <v>3323</v>
      </c>
      <c r="H555" s="136">
        <v>8.5</v>
      </c>
      <c r="I555" s="2"/>
      <c r="J555" s="4" t="s">
        <v>3341</v>
      </c>
      <c r="K555" s="136">
        <v>8</v>
      </c>
      <c r="L555" s="2"/>
      <c r="M555" s="4" t="s">
        <v>3368</v>
      </c>
      <c r="N555" s="136">
        <v>8</v>
      </c>
      <c r="O555" s="16"/>
      <c r="R555"/>
    </row>
    <row r="556" spans="1:18" s="3" customFormat="1" ht="16" customHeight="1" x14ac:dyDescent="0.2">
      <c r="A556" s="11" t="s">
        <v>3401</v>
      </c>
      <c r="B556" s="189">
        <v>10</v>
      </c>
      <c r="C556" s="2"/>
      <c r="D556" s="4" t="s">
        <v>3378</v>
      </c>
      <c r="E556" s="136">
        <v>8</v>
      </c>
      <c r="F556" s="2"/>
      <c r="G556" s="4" t="s">
        <v>3324</v>
      </c>
      <c r="H556" s="136">
        <v>8</v>
      </c>
      <c r="I556" s="2"/>
      <c r="J556" s="4" t="s">
        <v>3342</v>
      </c>
      <c r="K556" s="136">
        <v>8</v>
      </c>
      <c r="L556" s="2"/>
      <c r="M556" s="4" t="s">
        <v>3369</v>
      </c>
      <c r="N556" s="136"/>
      <c r="O556" s="16"/>
      <c r="R556"/>
    </row>
    <row r="557" spans="1:18" s="3" customFormat="1" ht="16" customHeight="1" thickBot="1" x14ac:dyDescent="0.25">
      <c r="A557" s="4" t="s">
        <v>3398</v>
      </c>
      <c r="B557" s="136">
        <v>8.5</v>
      </c>
      <c r="C557" s="2"/>
      <c r="D557" s="4" t="s">
        <v>3379</v>
      </c>
      <c r="E557" s="136">
        <v>9</v>
      </c>
      <c r="F557" s="2"/>
      <c r="G557" s="4" t="s">
        <v>3325</v>
      </c>
      <c r="H557" s="136">
        <v>7.5</v>
      </c>
      <c r="I557" s="2"/>
      <c r="J557" s="4" t="s">
        <v>3343</v>
      </c>
      <c r="K557" s="136">
        <v>8</v>
      </c>
      <c r="L557" s="2"/>
      <c r="M557" s="7" t="s">
        <v>3370</v>
      </c>
      <c r="N557" s="190">
        <v>8.5</v>
      </c>
      <c r="O557" s="16"/>
    </row>
    <row r="558" spans="1:18" s="3" customFormat="1" ht="16" customHeight="1" thickBot="1" x14ac:dyDescent="0.25">
      <c r="A558" s="4" t="s">
        <v>3399</v>
      </c>
      <c r="B558" s="136">
        <v>9</v>
      </c>
      <c r="C558" s="2"/>
      <c r="D558" s="4" t="s">
        <v>3380</v>
      </c>
      <c r="E558" s="136">
        <v>9</v>
      </c>
      <c r="F558" s="2"/>
      <c r="G558" s="4" t="s">
        <v>3326</v>
      </c>
      <c r="H558" s="136">
        <v>8</v>
      </c>
      <c r="I558" s="2"/>
      <c r="J558" s="4" t="s">
        <v>3344</v>
      </c>
      <c r="K558" s="136">
        <v>9.5</v>
      </c>
      <c r="L558" s="2"/>
      <c r="M558" s="2"/>
      <c r="N558" s="2"/>
      <c r="O558" s="16"/>
    </row>
    <row r="559" spans="1:18" s="3" customFormat="1" ht="16" customHeight="1" thickBot="1" x14ac:dyDescent="0.25">
      <c r="A559" s="7" t="s">
        <v>3400</v>
      </c>
      <c r="B559" s="190">
        <v>8.5</v>
      </c>
      <c r="C559" s="2"/>
      <c r="D559" s="4" t="s">
        <v>3381</v>
      </c>
      <c r="E559" s="136">
        <v>8.5</v>
      </c>
      <c r="F559" s="2"/>
      <c r="G559" s="4" t="s">
        <v>3327</v>
      </c>
      <c r="H559" s="136">
        <v>7.5</v>
      </c>
      <c r="I559" s="2"/>
      <c r="J559" s="4" t="s">
        <v>3345</v>
      </c>
      <c r="K559" s="136">
        <v>9</v>
      </c>
      <c r="L559" s="2"/>
      <c r="M559" s="395" t="s">
        <v>3407</v>
      </c>
      <c r="N559" s="12">
        <f>ROUND(SUM(N560:N564)/COUNT(N560:N564), 2)</f>
        <v>9</v>
      </c>
      <c r="O559" s="16"/>
    </row>
    <row r="560" spans="1:18" s="3" customFormat="1" ht="16" customHeight="1" thickBot="1" x14ac:dyDescent="0.25">
      <c r="A560" s="2"/>
      <c r="B560" s="2"/>
      <c r="C560" s="2"/>
      <c r="D560" s="4" t="s">
        <v>3382</v>
      </c>
      <c r="E560" s="136">
        <v>8</v>
      </c>
      <c r="F560" s="2"/>
      <c r="G560" s="7" t="s">
        <v>3328</v>
      </c>
      <c r="H560" s="190">
        <v>7.5</v>
      </c>
      <c r="I560" s="2"/>
      <c r="J560" s="4" t="s">
        <v>3346</v>
      </c>
      <c r="K560" s="136">
        <v>8</v>
      </c>
      <c r="L560" s="2"/>
      <c r="M560" s="11" t="s">
        <v>3408</v>
      </c>
      <c r="N560" s="189">
        <v>9</v>
      </c>
      <c r="O560" s="16"/>
    </row>
    <row r="561" spans="1:15" s="3" customFormat="1" ht="16" customHeight="1" thickBot="1" x14ac:dyDescent="0.25">
      <c r="A561" s="396" t="s">
        <v>3413</v>
      </c>
      <c r="B561" s="12">
        <f>ROUND(SUM(B562:B587)/COUNT(B562:B587), 2)</f>
        <v>8.61</v>
      </c>
      <c r="C561" s="2"/>
      <c r="D561" s="4" t="s">
        <v>3383</v>
      </c>
      <c r="E561" s="136">
        <v>7</v>
      </c>
      <c r="F561" s="2" t="s">
        <v>3393</v>
      </c>
      <c r="G561" s="2"/>
      <c r="H561" s="2"/>
      <c r="I561" s="2"/>
      <c r="J561" s="4" t="s">
        <v>3347</v>
      </c>
      <c r="K561" s="136">
        <v>7.5</v>
      </c>
      <c r="L561" s="2"/>
      <c r="M561" s="4" t="s">
        <v>3409</v>
      </c>
      <c r="N561" s="136">
        <v>8.5</v>
      </c>
      <c r="O561" s="16"/>
    </row>
    <row r="562" spans="1:15" s="3" customFormat="1" ht="16" customHeight="1" thickBot="1" x14ac:dyDescent="0.25">
      <c r="A562" s="11" t="s">
        <v>3414</v>
      </c>
      <c r="B562" s="189">
        <v>8.5</v>
      </c>
      <c r="C562" s="2"/>
      <c r="D562" s="4" t="s">
        <v>3384</v>
      </c>
      <c r="E562" s="136">
        <v>8</v>
      </c>
      <c r="F562" s="2"/>
      <c r="G562" s="397" t="s">
        <v>3450</v>
      </c>
      <c r="H562" s="12">
        <f>ROUND(SUM(H563:H570)/COUNT(H563:H570), 2)</f>
        <v>8.81</v>
      </c>
      <c r="I562" s="2"/>
      <c r="J562" s="4" t="s">
        <v>3348</v>
      </c>
      <c r="K562" s="136">
        <v>10</v>
      </c>
      <c r="L562" s="2"/>
      <c r="M562" s="4" t="s">
        <v>3410</v>
      </c>
      <c r="N562" s="136">
        <v>9</v>
      </c>
      <c r="O562" s="16"/>
    </row>
    <row r="563" spans="1:15" s="3" customFormat="1" ht="16" customHeight="1" x14ac:dyDescent="0.2">
      <c r="A563" s="4" t="s">
        <v>3415</v>
      </c>
      <c r="B563" s="136">
        <v>8</v>
      </c>
      <c r="C563" s="2"/>
      <c r="D563" s="4" t="s">
        <v>3385</v>
      </c>
      <c r="E563" s="136">
        <v>7.5</v>
      </c>
      <c r="F563" s="2"/>
      <c r="G563" s="11" t="s">
        <v>3442</v>
      </c>
      <c r="H563" s="189">
        <v>8.5</v>
      </c>
      <c r="I563" s="2"/>
      <c r="J563" s="4" t="s">
        <v>3349</v>
      </c>
      <c r="K563" s="136">
        <v>8.5</v>
      </c>
      <c r="L563" s="2"/>
      <c r="M563" s="4" t="s">
        <v>3411</v>
      </c>
      <c r="N563" s="136">
        <v>9.5</v>
      </c>
      <c r="O563" s="16"/>
    </row>
    <row r="564" spans="1:15" s="3" customFormat="1" ht="16" customHeight="1" thickBot="1" x14ac:dyDescent="0.25">
      <c r="A564" s="4" t="s">
        <v>3416</v>
      </c>
      <c r="B564" s="136">
        <v>10</v>
      </c>
      <c r="C564" s="2"/>
      <c r="D564" s="4" t="s">
        <v>3386</v>
      </c>
      <c r="E564" s="136">
        <v>6.5</v>
      </c>
      <c r="F564" s="2"/>
      <c r="G564" s="4" t="s">
        <v>3443</v>
      </c>
      <c r="H564" s="136">
        <v>9.5</v>
      </c>
      <c r="I564" s="2"/>
      <c r="J564" s="4" t="s">
        <v>3350</v>
      </c>
      <c r="K564" s="136">
        <v>9</v>
      </c>
      <c r="L564" s="2"/>
      <c r="M564" s="7" t="s">
        <v>3412</v>
      </c>
      <c r="N564" s="190">
        <v>9</v>
      </c>
      <c r="O564" s="16"/>
    </row>
    <row r="565" spans="1:15" s="3" customFormat="1" ht="16" customHeight="1" thickBot="1" x14ac:dyDescent="0.25">
      <c r="A565" s="4" t="s">
        <v>3417</v>
      </c>
      <c r="B565" s="136">
        <v>9</v>
      </c>
      <c r="C565" s="2"/>
      <c r="D565" s="4" t="s">
        <v>3387</v>
      </c>
      <c r="E565" s="136">
        <v>8</v>
      </c>
      <c r="F565" s="2"/>
      <c r="G565" s="4" t="s">
        <v>3444</v>
      </c>
      <c r="H565" s="136">
        <v>10.5</v>
      </c>
      <c r="I565" s="2"/>
      <c r="J565" s="4" t="s">
        <v>3351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3418</v>
      </c>
      <c r="B566" s="136">
        <v>8.5</v>
      </c>
      <c r="C566" s="2"/>
      <c r="D566" s="4" t="s">
        <v>3388</v>
      </c>
      <c r="E566" s="136">
        <v>7.5</v>
      </c>
      <c r="F566" s="2"/>
      <c r="G566" s="4" t="s">
        <v>3445</v>
      </c>
      <c r="H566" s="136">
        <v>8.5</v>
      </c>
      <c r="I566" s="2"/>
      <c r="J566" s="4" t="s">
        <v>3352</v>
      </c>
      <c r="K566" s="136">
        <v>8</v>
      </c>
      <c r="L566" s="2"/>
      <c r="M566" s="398" t="s">
        <v>3457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3419</v>
      </c>
      <c r="B567" s="136">
        <v>8.5</v>
      </c>
      <c r="C567" s="2"/>
      <c r="D567" s="4" t="s">
        <v>3389</v>
      </c>
      <c r="E567" s="136">
        <v>7</v>
      </c>
      <c r="F567" s="2"/>
      <c r="G567" s="4" t="s">
        <v>3446</v>
      </c>
      <c r="H567" s="136">
        <v>8.5</v>
      </c>
      <c r="I567" s="2"/>
      <c r="J567" s="4" t="s">
        <v>3353</v>
      </c>
      <c r="K567" s="136">
        <v>8</v>
      </c>
      <c r="L567" s="2"/>
      <c r="M567" s="11" t="s">
        <v>3458</v>
      </c>
      <c r="N567" s="189">
        <v>9</v>
      </c>
      <c r="O567" s="16"/>
    </row>
    <row r="568" spans="1:15" s="3" customFormat="1" ht="16" customHeight="1" x14ac:dyDescent="0.2">
      <c r="A568" s="4" t="s">
        <v>3420</v>
      </c>
      <c r="B568" s="136">
        <v>8.5</v>
      </c>
      <c r="C568" s="2"/>
      <c r="D568" s="4" t="s">
        <v>3390</v>
      </c>
      <c r="E568" s="136">
        <v>7.5</v>
      </c>
      <c r="F568" s="2"/>
      <c r="G568" s="4" t="s">
        <v>3447</v>
      </c>
      <c r="H568" s="136">
        <v>8</v>
      </c>
      <c r="I568" s="2"/>
      <c r="J568" s="4" t="s">
        <v>3354</v>
      </c>
      <c r="K568" s="136">
        <v>7</v>
      </c>
      <c r="L568" s="2"/>
      <c r="M568" s="4" t="s">
        <v>3459</v>
      </c>
      <c r="N568" s="136">
        <v>8.5</v>
      </c>
      <c r="O568" s="16"/>
    </row>
    <row r="569" spans="1:15" s="3" customFormat="1" ht="16" customHeight="1" thickBot="1" x14ac:dyDescent="0.25">
      <c r="A569" s="4" t="s">
        <v>3421</v>
      </c>
      <c r="B569" s="136">
        <v>8</v>
      </c>
      <c r="C569" s="2"/>
      <c r="D569" s="7" t="s">
        <v>3391</v>
      </c>
      <c r="E569" s="190">
        <v>7</v>
      </c>
      <c r="F569" s="2"/>
      <c r="G569" s="4" t="s">
        <v>3448</v>
      </c>
      <c r="H569" s="136">
        <v>9</v>
      </c>
      <c r="I569" s="2"/>
      <c r="J569" s="7" t="s">
        <v>3355</v>
      </c>
      <c r="K569" s="190">
        <v>9</v>
      </c>
      <c r="L569" s="2"/>
      <c r="M569" s="4" t="s">
        <v>3460</v>
      </c>
      <c r="N569" s="136">
        <v>7</v>
      </c>
      <c r="O569" s="16"/>
    </row>
    <row r="570" spans="1:15" s="3" customFormat="1" ht="16" customHeight="1" thickBot="1" x14ac:dyDescent="0.25">
      <c r="A570" s="4" t="s">
        <v>3422</v>
      </c>
      <c r="B570" s="136">
        <v>9</v>
      </c>
      <c r="C570" s="2"/>
      <c r="D570" s="2"/>
      <c r="E570" s="2"/>
      <c r="F570" s="2"/>
      <c r="G570" s="7" t="s">
        <v>3449</v>
      </c>
      <c r="H570" s="190">
        <v>8</v>
      </c>
      <c r="I570" s="2"/>
      <c r="J570" s="2"/>
      <c r="K570" s="2"/>
      <c r="L570" s="2"/>
      <c r="M570" s="4" t="s">
        <v>3461</v>
      </c>
      <c r="N570" s="136">
        <v>10</v>
      </c>
      <c r="O570" s="16"/>
    </row>
    <row r="571" spans="1:15" s="3" customFormat="1" ht="16" customHeight="1" thickBot="1" x14ac:dyDescent="0.25">
      <c r="A571" s="4" t="s">
        <v>3423</v>
      </c>
      <c r="B571" s="136"/>
      <c r="C571" s="2"/>
      <c r="D571" s="399" t="s">
        <v>3482</v>
      </c>
      <c r="E571" s="12">
        <f>ROUND(AVERAGE(E572:E581), 2)</f>
        <v>7.75</v>
      </c>
      <c r="F571" s="2"/>
      <c r="G571" s="2"/>
      <c r="H571" s="2"/>
      <c r="I571" s="2"/>
      <c r="J571" s="400" t="s">
        <v>3483</v>
      </c>
      <c r="K571" s="12">
        <f>ROUND(AVERAGE(K572:K583), 2)</f>
        <v>8.36</v>
      </c>
      <c r="L571" s="2"/>
      <c r="M571" s="4" t="s">
        <v>3462</v>
      </c>
      <c r="N571" s="136">
        <v>9</v>
      </c>
      <c r="O571" s="16"/>
    </row>
    <row r="572" spans="1:15" s="3" customFormat="1" ht="16" customHeight="1" thickBot="1" x14ac:dyDescent="0.25">
      <c r="A572" s="4" t="s">
        <v>3424</v>
      </c>
      <c r="B572" s="136">
        <v>8.5</v>
      </c>
      <c r="C572" s="2"/>
      <c r="D572" s="11" t="s">
        <v>3472</v>
      </c>
      <c r="E572" s="189">
        <v>8.5</v>
      </c>
      <c r="F572" s="2"/>
      <c r="G572" s="401" t="s">
        <v>3514</v>
      </c>
      <c r="H572" s="12">
        <f>ROUND(AVERAGE(H573:H585), 2)</f>
        <v>8.82</v>
      </c>
      <c r="I572" s="2"/>
      <c r="J572" s="11" t="s">
        <v>3484</v>
      </c>
      <c r="K572" s="189">
        <v>9.5</v>
      </c>
      <c r="L572" s="2"/>
      <c r="M572" s="4" t="s">
        <v>3463</v>
      </c>
      <c r="N572" s="136">
        <v>9</v>
      </c>
      <c r="O572" s="16"/>
    </row>
    <row r="573" spans="1:15" s="3" customFormat="1" ht="16" customHeight="1" x14ac:dyDescent="0.2">
      <c r="A573" s="4" t="s">
        <v>3425</v>
      </c>
      <c r="B573" s="136">
        <v>9</v>
      </c>
      <c r="C573" s="2"/>
      <c r="D573" s="4" t="s">
        <v>3473</v>
      </c>
      <c r="E573" s="136">
        <v>9</v>
      </c>
      <c r="F573" s="2"/>
      <c r="G573" s="11" t="s">
        <v>260</v>
      </c>
      <c r="H573" s="189"/>
      <c r="I573" s="2"/>
      <c r="J573" s="4" t="s">
        <v>3485</v>
      </c>
      <c r="K573" s="136">
        <v>10.5</v>
      </c>
      <c r="L573" s="2"/>
      <c r="M573" s="4" t="s">
        <v>3464</v>
      </c>
      <c r="N573" s="136">
        <v>8</v>
      </c>
      <c r="O573" s="16"/>
    </row>
    <row r="574" spans="1:15" s="3" customFormat="1" ht="16" customHeight="1" x14ac:dyDescent="0.2">
      <c r="A574" s="4" t="s">
        <v>3426</v>
      </c>
      <c r="B574" s="136"/>
      <c r="C574" s="2"/>
      <c r="D574" s="4" t="s">
        <v>3474</v>
      </c>
      <c r="E574" s="136">
        <v>8.5</v>
      </c>
      <c r="F574" s="2"/>
      <c r="G574" s="4" t="s">
        <v>3502</v>
      </c>
      <c r="H574" s="136">
        <v>9.5</v>
      </c>
      <c r="I574" s="2"/>
      <c r="J574" s="4" t="s">
        <v>3486</v>
      </c>
      <c r="K574" s="136">
        <v>9</v>
      </c>
      <c r="L574" s="2"/>
      <c r="M574" s="4" t="s">
        <v>3465</v>
      </c>
      <c r="N574" s="136">
        <v>7.5</v>
      </c>
      <c r="O574" s="16"/>
    </row>
    <row r="575" spans="1:15" s="3" customFormat="1" ht="16" customHeight="1" x14ac:dyDescent="0.2">
      <c r="A575" s="4" t="s">
        <v>3427</v>
      </c>
      <c r="B575" s="136">
        <v>10</v>
      </c>
      <c r="C575" s="2"/>
      <c r="D575" s="4" t="s">
        <v>3475</v>
      </c>
      <c r="E575" s="136">
        <v>8</v>
      </c>
      <c r="F575" s="2"/>
      <c r="G575" s="4" t="s">
        <v>3503</v>
      </c>
      <c r="H575" s="136">
        <v>9</v>
      </c>
      <c r="I575" s="2"/>
      <c r="J575" s="4" t="s">
        <v>3487</v>
      </c>
      <c r="K575" s="136">
        <v>8</v>
      </c>
      <c r="L575" s="2"/>
      <c r="M575" s="4" t="s">
        <v>3466</v>
      </c>
      <c r="N575" s="136"/>
      <c r="O575" s="16"/>
    </row>
    <row r="576" spans="1:15" s="3" customFormat="1" ht="16" customHeight="1" x14ac:dyDescent="0.2">
      <c r="A576" s="4" t="s">
        <v>3428</v>
      </c>
      <c r="B576" s="136">
        <v>7.5</v>
      </c>
      <c r="C576" s="2"/>
      <c r="D576" s="4" t="s">
        <v>3476</v>
      </c>
      <c r="E576" s="136">
        <v>7.5</v>
      </c>
      <c r="F576" s="2"/>
      <c r="G576" s="4" t="s">
        <v>3504</v>
      </c>
      <c r="H576" s="136">
        <v>8.5</v>
      </c>
      <c r="I576" s="2"/>
      <c r="J576" s="4" t="s">
        <v>3488</v>
      </c>
      <c r="K576" s="136">
        <v>8.5</v>
      </c>
      <c r="L576" s="2"/>
      <c r="M576" s="4" t="s">
        <v>3467</v>
      </c>
      <c r="N576" s="136">
        <v>7.5</v>
      </c>
      <c r="O576" s="16"/>
    </row>
    <row r="577" spans="1:15" s="3" customFormat="1" ht="16" customHeight="1" x14ac:dyDescent="0.2">
      <c r="A577" s="4" t="s">
        <v>3429</v>
      </c>
      <c r="B577" s="136">
        <v>8.5</v>
      </c>
      <c r="C577" s="2"/>
      <c r="D577" s="4" t="s">
        <v>3477</v>
      </c>
      <c r="E577" s="136">
        <v>8</v>
      </c>
      <c r="F577" s="2"/>
      <c r="G577" s="4" t="s">
        <v>3505</v>
      </c>
      <c r="H577" s="136">
        <v>8.5</v>
      </c>
      <c r="I577" s="2"/>
      <c r="J577" s="4" t="s">
        <v>3489</v>
      </c>
      <c r="K577" s="136">
        <v>7.5</v>
      </c>
      <c r="L577" s="2"/>
      <c r="M577" s="4" t="s">
        <v>3468</v>
      </c>
      <c r="N577" s="136">
        <v>8</v>
      </c>
      <c r="O577" s="16"/>
    </row>
    <row r="578" spans="1:15" s="3" customFormat="1" ht="16" customHeight="1" thickBot="1" x14ac:dyDescent="0.25">
      <c r="A578" s="4" t="s">
        <v>3430</v>
      </c>
      <c r="B578" s="136">
        <v>9</v>
      </c>
      <c r="C578" s="2"/>
      <c r="D578" s="4" t="s">
        <v>3478</v>
      </c>
      <c r="E578" s="136">
        <v>6.5</v>
      </c>
      <c r="F578" s="2"/>
      <c r="G578" s="4" t="s">
        <v>3506</v>
      </c>
      <c r="H578" s="136">
        <v>8</v>
      </c>
      <c r="I578" s="2"/>
      <c r="J578" s="4" t="s">
        <v>3490</v>
      </c>
      <c r="K578" s="136">
        <v>8</v>
      </c>
      <c r="L578" s="2"/>
      <c r="M578" s="7" t="s">
        <v>3469</v>
      </c>
      <c r="N578" s="190"/>
      <c r="O578" s="16"/>
    </row>
    <row r="579" spans="1:15" s="3" customFormat="1" ht="16" customHeight="1" thickBot="1" x14ac:dyDescent="0.25">
      <c r="A579" s="4" t="s">
        <v>3431</v>
      </c>
      <c r="B579" s="136">
        <v>8</v>
      </c>
      <c r="C579" s="2"/>
      <c r="D579" s="4" t="s">
        <v>3479</v>
      </c>
      <c r="E579" s="136">
        <v>7</v>
      </c>
      <c r="F579" s="2"/>
      <c r="G579" s="4" t="s">
        <v>3507</v>
      </c>
      <c r="H579" s="136">
        <v>8.5</v>
      </c>
      <c r="I579" s="2"/>
      <c r="J579" s="4" t="s">
        <v>3491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3432</v>
      </c>
      <c r="B580" s="136">
        <v>9</v>
      </c>
      <c r="C580" s="2"/>
      <c r="D580" s="4" t="s">
        <v>3480</v>
      </c>
      <c r="E580" s="136">
        <v>7.5</v>
      </c>
      <c r="F580" s="2"/>
      <c r="G580" s="4" t="s">
        <v>3508</v>
      </c>
      <c r="H580" s="136">
        <v>9.5</v>
      </c>
      <c r="I580" s="2"/>
      <c r="J580" s="4" t="s">
        <v>3492</v>
      </c>
      <c r="K580" s="136">
        <v>8</v>
      </c>
      <c r="L580" s="2"/>
      <c r="M580" s="402" t="s">
        <v>3528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3433</v>
      </c>
      <c r="B581" s="136">
        <v>8.5</v>
      </c>
      <c r="C581" s="2"/>
      <c r="D581" s="7" t="s">
        <v>3481</v>
      </c>
      <c r="E581" s="190">
        <v>7</v>
      </c>
      <c r="F581" s="2"/>
      <c r="G581" s="4" t="s">
        <v>3509</v>
      </c>
      <c r="H581" s="136">
        <v>8</v>
      </c>
      <c r="I581" s="2"/>
      <c r="J581" s="4" t="s">
        <v>3493</v>
      </c>
      <c r="K581" s="136">
        <v>8</v>
      </c>
      <c r="L581" s="2"/>
      <c r="M581" s="11" t="s">
        <v>3519</v>
      </c>
      <c r="N581" s="189">
        <v>9</v>
      </c>
      <c r="O581" s="16"/>
    </row>
    <row r="582" spans="1:15" s="3" customFormat="1" ht="16" customHeight="1" thickBot="1" x14ac:dyDescent="0.25">
      <c r="A582" s="4" t="s">
        <v>3434</v>
      </c>
      <c r="B582" s="136">
        <v>8</v>
      </c>
      <c r="C582" s="2"/>
      <c r="D582" s="2"/>
      <c r="E582" s="2"/>
      <c r="F582" s="2"/>
      <c r="G582" s="4" t="s">
        <v>3510</v>
      </c>
      <c r="H582" s="136">
        <v>9</v>
      </c>
      <c r="I582" s="2"/>
      <c r="J582" s="4" t="s">
        <v>3494</v>
      </c>
      <c r="K582" s="136"/>
      <c r="L582" s="2"/>
      <c r="M582" s="4" t="s">
        <v>3520</v>
      </c>
      <c r="N582" s="136">
        <v>8.5</v>
      </c>
      <c r="O582" s="16"/>
    </row>
    <row r="583" spans="1:15" s="3" customFormat="1" ht="16" customHeight="1" thickBot="1" x14ac:dyDescent="0.25">
      <c r="A583" s="4" t="s">
        <v>3435</v>
      </c>
      <c r="B583" s="136"/>
      <c r="C583" s="2"/>
      <c r="D583" s="409" t="s">
        <v>3571</v>
      </c>
      <c r="E583" s="12">
        <f>ROUND(AVERAGE(E584:E597), 2)</f>
        <v>8.0399999999999991</v>
      </c>
      <c r="F583" s="2"/>
      <c r="G583" s="4" t="s">
        <v>3511</v>
      </c>
      <c r="H583" s="136">
        <v>8.5</v>
      </c>
      <c r="I583" s="2"/>
      <c r="J583" s="7" t="s">
        <v>3495</v>
      </c>
      <c r="K583" s="190">
        <v>7.5</v>
      </c>
      <c r="L583" s="2"/>
      <c r="M583" s="4" t="s">
        <v>3521</v>
      </c>
      <c r="N583" s="136">
        <v>9</v>
      </c>
      <c r="O583" s="16"/>
    </row>
    <row r="584" spans="1:15" s="3" customFormat="1" ht="16" customHeight="1" thickBot="1" x14ac:dyDescent="0.25">
      <c r="A584" s="4" t="s">
        <v>3436</v>
      </c>
      <c r="B584" s="136">
        <v>8</v>
      </c>
      <c r="C584" s="2"/>
      <c r="D584" s="11" t="s">
        <v>3530</v>
      </c>
      <c r="E584" s="189">
        <v>8.5</v>
      </c>
      <c r="F584" s="2"/>
      <c r="G584" s="4" t="s">
        <v>3512</v>
      </c>
      <c r="H584" s="136"/>
      <c r="I584" s="2"/>
      <c r="J584" s="2"/>
      <c r="K584" s="2"/>
      <c r="L584" s="2"/>
      <c r="M584" s="4" t="s">
        <v>3522</v>
      </c>
      <c r="N584" s="136">
        <v>8.5</v>
      </c>
      <c r="O584" s="16"/>
    </row>
    <row r="585" spans="1:15" s="3" customFormat="1" ht="16" customHeight="1" thickBot="1" x14ac:dyDescent="0.25">
      <c r="A585" s="4" t="s">
        <v>3437</v>
      </c>
      <c r="B585" s="136">
        <v>9.5</v>
      </c>
      <c r="C585" s="2"/>
      <c r="D585" s="4" t="s">
        <v>3531</v>
      </c>
      <c r="E585" s="136">
        <v>8.5</v>
      </c>
      <c r="F585" s="2"/>
      <c r="G585" s="7" t="s">
        <v>3513</v>
      </c>
      <c r="H585" s="190">
        <v>10</v>
      </c>
      <c r="I585" s="2"/>
      <c r="J585" s="406" t="s">
        <v>3551</v>
      </c>
      <c r="K585" s="12">
        <f>ROUND(AVERAGE(K586:K595), 2)</f>
        <v>8.5</v>
      </c>
      <c r="L585" s="2"/>
      <c r="M585" s="4" t="s">
        <v>3523</v>
      </c>
      <c r="N585" s="136">
        <v>8.5</v>
      </c>
      <c r="O585" s="16"/>
    </row>
    <row r="586" spans="1:15" s="3" customFormat="1" ht="16" customHeight="1" thickBot="1" x14ac:dyDescent="0.25">
      <c r="A586" s="4" t="s">
        <v>3439</v>
      </c>
      <c r="B586" s="136">
        <v>8.5</v>
      </c>
      <c r="C586" s="2"/>
      <c r="D586" s="4" t="s">
        <v>3532</v>
      </c>
      <c r="E586" s="136">
        <v>8</v>
      </c>
      <c r="F586" s="2"/>
      <c r="G586" s="2"/>
      <c r="H586" s="2"/>
      <c r="I586" s="2"/>
      <c r="J586" s="11" t="s">
        <v>3548</v>
      </c>
      <c r="K586" s="189">
        <v>9.5</v>
      </c>
      <c r="L586" s="2"/>
      <c r="M586" s="4" t="s">
        <v>3524</v>
      </c>
      <c r="N586" s="136">
        <v>9</v>
      </c>
      <c r="O586" s="16"/>
    </row>
    <row r="587" spans="1:15" s="3" customFormat="1" ht="16" customHeight="1" thickBot="1" x14ac:dyDescent="0.25">
      <c r="A587" s="7" t="s">
        <v>3438</v>
      </c>
      <c r="B587" s="190">
        <v>8</v>
      </c>
      <c r="C587" s="2"/>
      <c r="D587" s="4" t="s">
        <v>3533</v>
      </c>
      <c r="E587" s="136">
        <v>9</v>
      </c>
      <c r="F587" s="2"/>
      <c r="G587" s="408" t="s">
        <v>3563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3525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3534</v>
      </c>
      <c r="E588" s="136">
        <v>7.5</v>
      </c>
      <c r="F588" s="2"/>
      <c r="G588" s="11" t="s">
        <v>3564</v>
      </c>
      <c r="H588" s="189">
        <v>10</v>
      </c>
      <c r="I588" s="2"/>
      <c r="J588" s="4" t="s">
        <v>3549</v>
      </c>
      <c r="K588" s="136">
        <v>8.5</v>
      </c>
      <c r="L588" s="2"/>
      <c r="M588" s="4" t="s">
        <v>3526</v>
      </c>
      <c r="N588" s="136">
        <v>8</v>
      </c>
      <c r="O588" s="16"/>
    </row>
    <row r="589" spans="1:15" s="3" customFormat="1" ht="16" customHeight="1" thickBot="1" x14ac:dyDescent="0.25">
      <c r="A589" s="411" t="s">
        <v>3582</v>
      </c>
      <c r="B589" s="12">
        <f>ROUND(AVERAGE(B590:B599), 2)</f>
        <v>8.35</v>
      </c>
      <c r="C589" s="2"/>
      <c r="D589" s="4" t="s">
        <v>3535</v>
      </c>
      <c r="E589" s="136">
        <v>8.5</v>
      </c>
      <c r="F589" s="2"/>
      <c r="G589" s="4" t="s">
        <v>3565</v>
      </c>
      <c r="H589" s="136">
        <v>8.5</v>
      </c>
      <c r="I589" s="2"/>
      <c r="J589" s="4" t="s">
        <v>3550</v>
      </c>
      <c r="K589" s="136">
        <v>9</v>
      </c>
      <c r="L589" s="2"/>
      <c r="M589" s="7" t="s">
        <v>3527</v>
      </c>
      <c r="N589" s="190">
        <v>8</v>
      </c>
      <c r="O589" s="16"/>
    </row>
    <row r="590" spans="1:15" s="3" customFormat="1" ht="16" customHeight="1" thickBot="1" x14ac:dyDescent="0.25">
      <c r="A590" s="375" t="s">
        <v>3572</v>
      </c>
      <c r="B590" s="189">
        <v>8.5</v>
      </c>
      <c r="C590" s="2"/>
      <c r="D590" s="4" t="s">
        <v>3536</v>
      </c>
      <c r="E590" s="136">
        <v>8</v>
      </c>
      <c r="F590" s="2"/>
      <c r="G590" s="4" t="s">
        <v>3566</v>
      </c>
      <c r="H590" s="136">
        <v>9.5</v>
      </c>
      <c r="I590" s="2"/>
      <c r="J590" s="4" t="s">
        <v>3552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3573</v>
      </c>
      <c r="B591" s="136">
        <v>8.5</v>
      </c>
      <c r="C591" s="2"/>
      <c r="D591" s="4" t="s">
        <v>3537</v>
      </c>
      <c r="E591" s="136">
        <v>7.5</v>
      </c>
      <c r="F591" s="2"/>
      <c r="G591" s="4" t="s">
        <v>3567</v>
      </c>
      <c r="H591" s="136">
        <v>9</v>
      </c>
      <c r="I591" s="2"/>
      <c r="J591" s="4" t="s">
        <v>3553</v>
      </c>
      <c r="K591" s="136">
        <v>8</v>
      </c>
      <c r="L591" s="2"/>
      <c r="M591" s="412" t="s">
        <v>3591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3574</v>
      </c>
      <c r="B592" s="136">
        <v>8</v>
      </c>
      <c r="C592" s="2"/>
      <c r="D592" s="4" t="s">
        <v>3538</v>
      </c>
      <c r="E592" s="136">
        <v>8</v>
      </c>
      <c r="F592" s="2"/>
      <c r="G592" s="4" t="s">
        <v>3568</v>
      </c>
      <c r="H592" s="136">
        <v>8</v>
      </c>
      <c r="I592" s="2"/>
      <c r="J592" s="4" t="s">
        <v>3554</v>
      </c>
      <c r="K592" s="136">
        <v>8</v>
      </c>
      <c r="L592" s="2"/>
      <c r="M592" s="11" t="s">
        <v>3592</v>
      </c>
      <c r="N592" s="189">
        <v>9</v>
      </c>
      <c r="O592" s="16"/>
    </row>
    <row r="593" spans="1:15" s="3" customFormat="1" ht="16" customHeight="1" x14ac:dyDescent="0.2">
      <c r="A593" s="376" t="s">
        <v>3575</v>
      </c>
      <c r="B593" s="136">
        <v>9</v>
      </c>
      <c r="C593" s="2"/>
      <c r="D593" s="4" t="s">
        <v>3539</v>
      </c>
      <c r="E593" s="136">
        <v>7.5</v>
      </c>
      <c r="F593" s="2"/>
      <c r="G593" s="4" t="s">
        <v>3569</v>
      </c>
      <c r="H593" s="136">
        <v>8</v>
      </c>
      <c r="I593" s="2"/>
      <c r="J593" s="4" t="s">
        <v>3555</v>
      </c>
      <c r="K593" s="136"/>
      <c r="L593" s="2"/>
      <c r="M593" s="4" t="s">
        <v>3593</v>
      </c>
      <c r="N593" s="136">
        <v>9</v>
      </c>
      <c r="O593" s="16"/>
    </row>
    <row r="594" spans="1:15" s="3" customFormat="1" ht="16" customHeight="1" thickBot="1" x14ac:dyDescent="0.25">
      <c r="A594" s="376" t="s">
        <v>3576</v>
      </c>
      <c r="B594" s="136">
        <v>9</v>
      </c>
      <c r="C594" s="2"/>
      <c r="D594" s="4" t="s">
        <v>3540</v>
      </c>
      <c r="E594" s="136">
        <v>9</v>
      </c>
      <c r="F594" s="2"/>
      <c r="G594" s="7" t="s">
        <v>3570</v>
      </c>
      <c r="H594" s="190">
        <v>8.5</v>
      </c>
      <c r="I594" s="2"/>
      <c r="J594" s="4" t="s">
        <v>3556</v>
      </c>
      <c r="K594" s="136">
        <v>8</v>
      </c>
      <c r="L594" s="2"/>
      <c r="M594" s="4" t="s">
        <v>3594</v>
      </c>
      <c r="N594" s="136">
        <v>8.5</v>
      </c>
      <c r="O594" s="16"/>
    </row>
    <row r="595" spans="1:15" s="3" customFormat="1" ht="16" customHeight="1" thickBot="1" x14ac:dyDescent="0.25">
      <c r="A595" s="376" t="s">
        <v>3577</v>
      </c>
      <c r="B595" s="136">
        <v>8</v>
      </c>
      <c r="C595" s="2"/>
      <c r="D595" s="4" t="s">
        <v>3541</v>
      </c>
      <c r="E595" s="136">
        <v>7.5</v>
      </c>
      <c r="F595" s="2"/>
      <c r="G595" s="2"/>
      <c r="H595" s="2"/>
      <c r="I595" s="2"/>
      <c r="J595" s="7" t="s">
        <v>3557</v>
      </c>
      <c r="K595" s="190">
        <v>8.5</v>
      </c>
      <c r="L595" s="2"/>
      <c r="M595" s="4" t="s">
        <v>3595</v>
      </c>
      <c r="N595" s="136">
        <v>8</v>
      </c>
      <c r="O595" s="16"/>
    </row>
    <row r="596" spans="1:15" s="3" customFormat="1" ht="16" customHeight="1" thickBot="1" x14ac:dyDescent="0.25">
      <c r="A596" s="376" t="s">
        <v>3578</v>
      </c>
      <c r="B596" s="136">
        <v>7.5</v>
      </c>
      <c r="C596" s="2"/>
      <c r="D596" s="4" t="s">
        <v>3542</v>
      </c>
      <c r="E596" s="136">
        <v>7</v>
      </c>
      <c r="F596" s="2"/>
      <c r="G596" s="413" t="s">
        <v>3606</v>
      </c>
      <c r="H596" s="12">
        <f>ROUND(AVERAGE(H597:H602), 2)</f>
        <v>8.75</v>
      </c>
      <c r="I596" s="2"/>
      <c r="J596" s="2"/>
      <c r="K596" s="2"/>
      <c r="L596" s="2"/>
      <c r="M596" s="4" t="s">
        <v>3596</v>
      </c>
      <c r="N596" s="136">
        <v>10</v>
      </c>
      <c r="O596" s="16"/>
    </row>
    <row r="597" spans="1:15" s="3" customFormat="1" ht="16" customHeight="1" thickBot="1" x14ac:dyDescent="0.25">
      <c r="A597" s="376" t="s">
        <v>3579</v>
      </c>
      <c r="B597" s="136">
        <v>9</v>
      </c>
      <c r="C597" s="2"/>
      <c r="D597" s="7" t="s">
        <v>3543</v>
      </c>
      <c r="E597" s="190">
        <v>8</v>
      </c>
      <c r="F597" s="2"/>
      <c r="G597" s="11" t="s">
        <v>3607</v>
      </c>
      <c r="H597" s="189">
        <v>10.5</v>
      </c>
      <c r="I597" s="2"/>
      <c r="J597" s="414" t="s">
        <v>3626</v>
      </c>
      <c r="K597" s="12">
        <f>ROUND(AVERAGE(K598:K610), 2)</f>
        <v>8.5399999999999991</v>
      </c>
      <c r="L597" s="2"/>
      <c r="M597" s="4" t="s">
        <v>3597</v>
      </c>
      <c r="N597" s="136">
        <v>9</v>
      </c>
      <c r="O597" s="16"/>
    </row>
    <row r="598" spans="1:15" s="3" customFormat="1" ht="16" customHeight="1" thickBot="1" x14ac:dyDescent="0.25">
      <c r="A598" s="376" t="s">
        <v>3580</v>
      </c>
      <c r="B598" s="136">
        <v>8</v>
      </c>
      <c r="C598" s="2"/>
      <c r="D598" s="2"/>
      <c r="E598" s="2"/>
      <c r="F598" s="2"/>
      <c r="G598" s="4" t="s">
        <v>3608</v>
      </c>
      <c r="H598" s="136">
        <v>9</v>
      </c>
      <c r="I598" s="2"/>
      <c r="J598" s="11" t="s">
        <v>3613</v>
      </c>
      <c r="K598" s="189">
        <v>9.5</v>
      </c>
      <c r="L598" s="2"/>
      <c r="M598" s="4" t="s">
        <v>3598</v>
      </c>
      <c r="N598" s="136">
        <v>9.5</v>
      </c>
      <c r="O598" s="16"/>
    </row>
    <row r="599" spans="1:15" s="3" customFormat="1" ht="16" customHeight="1" thickBot="1" x14ac:dyDescent="0.25">
      <c r="A599" s="410" t="s">
        <v>3581</v>
      </c>
      <c r="B599" s="190">
        <v>8</v>
      </c>
      <c r="C599" s="2"/>
      <c r="D599" s="415" t="s">
        <v>3636</v>
      </c>
      <c r="E599" s="12">
        <f>ROUND(AVERAGE(E600:E608), 2)</f>
        <v>8.39</v>
      </c>
      <c r="F599" s="2"/>
      <c r="G599" s="4" t="s">
        <v>3609</v>
      </c>
      <c r="H599" s="136">
        <v>8.5</v>
      </c>
      <c r="I599" s="2"/>
      <c r="J599" s="4" t="s">
        <v>3614</v>
      </c>
      <c r="K599" s="136">
        <v>10.5</v>
      </c>
      <c r="L599" s="2"/>
      <c r="M599" s="4" t="s">
        <v>3599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3627</v>
      </c>
      <c r="E600" s="189">
        <v>9</v>
      </c>
      <c r="F600" s="2"/>
      <c r="G600" s="4" t="s">
        <v>3610</v>
      </c>
      <c r="H600" s="136">
        <v>8</v>
      </c>
      <c r="I600" s="2"/>
      <c r="J600" s="4" t="s">
        <v>3615</v>
      </c>
      <c r="K600" s="136">
        <v>8</v>
      </c>
      <c r="L600" s="2"/>
      <c r="M600" s="4" t="s">
        <v>3600</v>
      </c>
      <c r="N600" s="136">
        <v>8.5</v>
      </c>
      <c r="O600" s="16"/>
    </row>
    <row r="601" spans="1:15" s="3" customFormat="1" ht="16" customHeight="1" thickBot="1" x14ac:dyDescent="0.25">
      <c r="A601" s="419" t="s">
        <v>3810</v>
      </c>
      <c r="B601" s="12">
        <f>ROUND(AVERAGE(B602:B611), 2)</f>
        <v>8.11</v>
      </c>
      <c r="C601" s="2"/>
      <c r="D601" s="4" t="s">
        <v>3628</v>
      </c>
      <c r="E601" s="136">
        <v>8</v>
      </c>
      <c r="F601" s="2"/>
      <c r="G601" s="4" t="s">
        <v>3611</v>
      </c>
      <c r="H601" s="136">
        <v>8.5</v>
      </c>
      <c r="I601" s="2"/>
      <c r="J601" s="4" t="s">
        <v>3616</v>
      </c>
      <c r="K601" s="136">
        <v>8</v>
      </c>
      <c r="L601" s="2"/>
      <c r="M601" s="7" t="s">
        <v>3601</v>
      </c>
      <c r="N601" s="190">
        <v>9.5</v>
      </c>
      <c r="O601" s="16"/>
    </row>
    <row r="602" spans="1:15" s="3" customFormat="1" ht="16" customHeight="1" thickBot="1" x14ac:dyDescent="0.25">
      <c r="A602" s="11" t="s">
        <v>3811</v>
      </c>
      <c r="B602" s="189">
        <v>8.5</v>
      </c>
      <c r="C602" s="2"/>
      <c r="D602" s="4" t="s">
        <v>3629</v>
      </c>
      <c r="E602" s="136">
        <v>9</v>
      </c>
      <c r="F602" s="2"/>
      <c r="G602" s="7" t="s">
        <v>3612</v>
      </c>
      <c r="H602" s="190">
        <v>8</v>
      </c>
      <c r="I602" s="2"/>
      <c r="J602" s="4" t="s">
        <v>3617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3812</v>
      </c>
      <c r="B603" s="136">
        <v>8</v>
      </c>
      <c r="C603" s="2"/>
      <c r="D603" s="4" t="s">
        <v>3630</v>
      </c>
      <c r="E603" s="136">
        <v>8.5</v>
      </c>
      <c r="F603" s="2"/>
      <c r="G603" s="2"/>
      <c r="H603" s="2"/>
      <c r="I603" s="2"/>
      <c r="J603" s="4" t="s">
        <v>3618</v>
      </c>
      <c r="K603" s="136">
        <v>9.5</v>
      </c>
      <c r="L603" s="2"/>
      <c r="M603" s="417" t="s">
        <v>3646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3813</v>
      </c>
      <c r="B604" s="136"/>
      <c r="C604" s="2"/>
      <c r="D604" s="4" t="s">
        <v>3631</v>
      </c>
      <c r="E604" s="136">
        <v>8</v>
      </c>
      <c r="F604" s="2"/>
      <c r="G604" s="421" t="s">
        <v>3826</v>
      </c>
      <c r="H604" s="12">
        <f>ROUND(AVERAGE(H605:H634), 2)</f>
        <v>8.65</v>
      </c>
      <c r="I604" s="2"/>
      <c r="J604" s="4" t="s">
        <v>3619</v>
      </c>
      <c r="K604" s="136">
        <v>8</v>
      </c>
      <c r="L604" s="2"/>
      <c r="M604" s="11" t="s">
        <v>3647</v>
      </c>
      <c r="N604" s="189">
        <v>9.5</v>
      </c>
      <c r="O604" s="16"/>
    </row>
    <row r="605" spans="1:15" s="3" customFormat="1" ht="16" customHeight="1" x14ac:dyDescent="0.2">
      <c r="A605" s="4" t="s">
        <v>3814</v>
      </c>
      <c r="B605" s="136">
        <v>10</v>
      </c>
      <c r="C605" s="2"/>
      <c r="D605" s="4" t="s">
        <v>3632</v>
      </c>
      <c r="E605" s="136">
        <v>8</v>
      </c>
      <c r="F605" s="2"/>
      <c r="G605" s="11" t="s">
        <v>3827</v>
      </c>
      <c r="H605" s="189">
        <v>8.5</v>
      </c>
      <c r="I605" s="2"/>
      <c r="J605" s="4" t="s">
        <v>3620</v>
      </c>
      <c r="K605" s="136">
        <v>8</v>
      </c>
      <c r="L605" s="2"/>
      <c r="M605" s="4" t="s">
        <v>3648</v>
      </c>
      <c r="N605" s="136">
        <v>10</v>
      </c>
      <c r="O605" s="16"/>
    </row>
    <row r="606" spans="1:15" s="3" customFormat="1" ht="16" customHeight="1" x14ac:dyDescent="0.2">
      <c r="A606" s="4" t="s">
        <v>3815</v>
      </c>
      <c r="B606" s="136">
        <v>7.5</v>
      </c>
      <c r="C606" s="2"/>
      <c r="D606" s="4" t="s">
        <v>3633</v>
      </c>
      <c r="E606" s="136">
        <v>8</v>
      </c>
      <c r="F606" s="2"/>
      <c r="G606" s="4" t="s">
        <v>3828</v>
      </c>
      <c r="H606" s="136">
        <v>9</v>
      </c>
      <c r="I606" s="2"/>
      <c r="J606" s="4" t="s">
        <v>3621</v>
      </c>
      <c r="K606" s="136">
        <v>9</v>
      </c>
      <c r="L606" s="2"/>
      <c r="M606" s="4" t="s">
        <v>3649</v>
      </c>
      <c r="N606" s="136">
        <v>8.5</v>
      </c>
      <c r="O606" s="16"/>
    </row>
    <row r="607" spans="1:15" s="3" customFormat="1" ht="16" customHeight="1" x14ac:dyDescent="0.2">
      <c r="A607" s="4" t="s">
        <v>3816</v>
      </c>
      <c r="B607" s="136">
        <v>8.5</v>
      </c>
      <c r="C607" s="2"/>
      <c r="D607" s="4" t="s">
        <v>3634</v>
      </c>
      <c r="E607" s="136">
        <v>8.5</v>
      </c>
      <c r="F607" s="2"/>
      <c r="G607" s="4" t="s">
        <v>3829</v>
      </c>
      <c r="H607" s="136">
        <v>8</v>
      </c>
      <c r="I607" s="2"/>
      <c r="J607" s="4" t="s">
        <v>3622</v>
      </c>
      <c r="K607" s="136">
        <v>8.5</v>
      </c>
      <c r="L607" s="2"/>
      <c r="M607" s="4" t="s">
        <v>3650</v>
      </c>
      <c r="N607" s="136">
        <v>8.5</v>
      </c>
      <c r="O607" s="16"/>
    </row>
    <row r="608" spans="1:15" s="3" customFormat="1" ht="16" customHeight="1" thickBot="1" x14ac:dyDescent="0.25">
      <c r="A608" s="4" t="s">
        <v>3817</v>
      </c>
      <c r="B608" s="136">
        <v>8</v>
      </c>
      <c r="C608" s="2"/>
      <c r="D608" s="7" t="s">
        <v>3635</v>
      </c>
      <c r="E608" s="190">
        <v>8.5</v>
      </c>
      <c r="F608" s="2"/>
      <c r="G608" s="4" t="s">
        <v>3830</v>
      </c>
      <c r="H608" s="136">
        <v>8</v>
      </c>
      <c r="I608" s="2"/>
      <c r="J608" s="4" t="s">
        <v>3623</v>
      </c>
      <c r="K608" s="136">
        <v>7.5</v>
      </c>
      <c r="L608" s="2"/>
      <c r="M608" s="4" t="s">
        <v>3651</v>
      </c>
      <c r="N608" s="136">
        <v>8.5</v>
      </c>
      <c r="O608" s="16"/>
    </row>
    <row r="609" spans="1:15" s="3" customFormat="1" ht="16" customHeight="1" thickBot="1" x14ac:dyDescent="0.25">
      <c r="A609" s="4" t="s">
        <v>3818</v>
      </c>
      <c r="B609" s="136">
        <v>7.5</v>
      </c>
      <c r="C609" s="2"/>
      <c r="D609" s="2"/>
      <c r="E609" s="2"/>
      <c r="F609" s="2"/>
      <c r="G609" s="4" t="s">
        <v>3831</v>
      </c>
      <c r="H609" s="136">
        <v>8.5</v>
      </c>
      <c r="I609" s="2"/>
      <c r="J609" s="4" t="s">
        <v>3624</v>
      </c>
      <c r="K609" s="136">
        <v>8</v>
      </c>
      <c r="L609" s="2"/>
      <c r="M609" s="4" t="s">
        <v>3652</v>
      </c>
      <c r="N609" s="136">
        <v>8</v>
      </c>
      <c r="O609" s="16"/>
    </row>
    <row r="610" spans="1:15" s="3" customFormat="1" ht="16" customHeight="1" thickBot="1" x14ac:dyDescent="0.25">
      <c r="A610" s="4" t="s">
        <v>3819</v>
      </c>
      <c r="B610" s="136">
        <v>8</v>
      </c>
      <c r="C610" s="2"/>
      <c r="D610" s="422" t="s">
        <v>3865</v>
      </c>
      <c r="E610" s="12">
        <f>ROUND(AVERAGE(E611:E621), 2)</f>
        <v>8.27</v>
      </c>
      <c r="F610" s="2"/>
      <c r="G610" s="4" t="s">
        <v>3832</v>
      </c>
      <c r="H610" s="136">
        <v>8</v>
      </c>
      <c r="I610" s="2"/>
      <c r="J610" s="7" t="s">
        <v>3625</v>
      </c>
      <c r="K610" s="190">
        <v>8.5</v>
      </c>
      <c r="L610" s="2"/>
      <c r="M610" s="4" t="s">
        <v>3653</v>
      </c>
      <c r="N610" s="136">
        <v>8</v>
      </c>
      <c r="O610" s="16"/>
    </row>
    <row r="611" spans="1:15" s="3" customFormat="1" ht="16" customHeight="1" thickBot="1" x14ac:dyDescent="0.25">
      <c r="A611" s="7" t="s">
        <v>3820</v>
      </c>
      <c r="B611" s="190">
        <v>7</v>
      </c>
      <c r="C611" s="2"/>
      <c r="D611" s="11" t="s">
        <v>3866</v>
      </c>
      <c r="E611" s="189">
        <v>9</v>
      </c>
      <c r="F611" s="2"/>
      <c r="G611" s="4" t="s">
        <v>3833</v>
      </c>
      <c r="H611" s="136">
        <v>9.5</v>
      </c>
      <c r="I611" s="2"/>
      <c r="J611" s="2"/>
      <c r="K611" s="2"/>
      <c r="L611" s="2"/>
      <c r="M611" s="4" t="s">
        <v>3654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3867</v>
      </c>
      <c r="E612" s="136">
        <v>8.5</v>
      </c>
      <c r="F612" s="2"/>
      <c r="G612" s="4" t="s">
        <v>3834</v>
      </c>
      <c r="H612" s="136">
        <v>9</v>
      </c>
      <c r="I612" s="2"/>
      <c r="J612" s="423" t="s">
        <v>3890</v>
      </c>
      <c r="K612" s="12">
        <f>ROUND(AVERAGE(K613:K623), 2)</f>
        <v>8.64</v>
      </c>
      <c r="L612" s="2"/>
      <c r="M612" s="7" t="s">
        <v>3655</v>
      </c>
      <c r="N612" s="190">
        <v>8</v>
      </c>
      <c r="O612" s="16"/>
    </row>
    <row r="613" spans="1:15" s="3" customFormat="1" ht="16" customHeight="1" thickBot="1" x14ac:dyDescent="0.25">
      <c r="A613" s="424" t="s">
        <v>3896</v>
      </c>
      <c r="B613" s="12">
        <f>ROUND(AVERAGE(B614:B628), 2)</f>
        <v>8.68</v>
      </c>
      <c r="C613" s="2"/>
      <c r="D613" s="4" t="s">
        <v>3868</v>
      </c>
      <c r="E613" s="136">
        <v>8</v>
      </c>
      <c r="F613" s="2"/>
      <c r="G613" s="4" t="s">
        <v>3835</v>
      </c>
      <c r="H613" s="136">
        <v>10.5</v>
      </c>
      <c r="I613" s="2"/>
      <c r="J613" s="11" t="s">
        <v>3879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3897</v>
      </c>
      <c r="B614" s="189"/>
      <c r="C614" s="2"/>
      <c r="D614" s="4" t="s">
        <v>3869</v>
      </c>
      <c r="E614" s="136">
        <v>8</v>
      </c>
      <c r="F614" s="2"/>
      <c r="G614" s="4" t="s">
        <v>3836</v>
      </c>
      <c r="H614" s="136">
        <v>8.5</v>
      </c>
      <c r="I614" s="2"/>
      <c r="J614" s="4" t="s">
        <v>3880</v>
      </c>
      <c r="K614" s="136">
        <v>9.5</v>
      </c>
      <c r="L614" s="2"/>
      <c r="M614" s="425" t="s">
        <v>3924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3898</v>
      </c>
      <c r="B615" s="136">
        <v>9.5</v>
      </c>
      <c r="C615" s="2"/>
      <c r="D615" s="4" t="s">
        <v>3870</v>
      </c>
      <c r="E615" s="136">
        <v>7.5</v>
      </c>
      <c r="F615" s="2"/>
      <c r="G615" s="4" t="s">
        <v>3837</v>
      </c>
      <c r="H615" s="136">
        <v>9</v>
      </c>
      <c r="I615" s="2"/>
      <c r="J615" s="4" t="s">
        <v>3881</v>
      </c>
      <c r="K615" s="136">
        <v>9.5</v>
      </c>
      <c r="L615" s="2"/>
      <c r="M615" s="11" t="s">
        <v>3916</v>
      </c>
      <c r="N615" s="189">
        <v>9</v>
      </c>
      <c r="O615" s="16"/>
    </row>
    <row r="616" spans="1:15" s="3" customFormat="1" ht="16" customHeight="1" x14ac:dyDescent="0.2">
      <c r="A616" s="4" t="s">
        <v>3899</v>
      </c>
      <c r="B616" s="136">
        <v>9</v>
      </c>
      <c r="C616" s="2"/>
      <c r="D616" s="4" t="s">
        <v>3871</v>
      </c>
      <c r="E616" s="136">
        <v>8</v>
      </c>
      <c r="F616" s="2"/>
      <c r="G616" s="4" t="s">
        <v>3838</v>
      </c>
      <c r="H616" s="136">
        <v>9</v>
      </c>
      <c r="I616" s="2"/>
      <c r="J616" s="4" t="s">
        <v>3882</v>
      </c>
      <c r="K616" s="136">
        <v>8.5</v>
      </c>
      <c r="L616" s="2"/>
      <c r="M616" s="4" t="s">
        <v>3917</v>
      </c>
      <c r="N616" s="136">
        <v>10.5</v>
      </c>
      <c r="O616" s="16"/>
    </row>
    <row r="617" spans="1:15" s="3" customFormat="1" ht="16" customHeight="1" x14ac:dyDescent="0.2">
      <c r="A617" s="4" t="s">
        <v>3900</v>
      </c>
      <c r="B617" s="136">
        <v>10</v>
      </c>
      <c r="C617" s="2"/>
      <c r="D617" s="4" t="s">
        <v>3872</v>
      </c>
      <c r="E617" s="136">
        <v>9.5</v>
      </c>
      <c r="F617" s="2"/>
      <c r="G617" s="4" t="s">
        <v>3839</v>
      </c>
      <c r="H617" s="136"/>
      <c r="I617" s="2"/>
      <c r="J617" s="4" t="s">
        <v>3883</v>
      </c>
      <c r="K617" s="136">
        <v>8.5</v>
      </c>
      <c r="L617" s="2"/>
      <c r="M617" s="4" t="s">
        <v>3918</v>
      </c>
      <c r="N617" s="136">
        <v>8.5</v>
      </c>
      <c r="O617" s="16"/>
    </row>
    <row r="618" spans="1:15" s="3" customFormat="1" ht="16" customHeight="1" x14ac:dyDescent="0.2">
      <c r="A618" s="4" t="s">
        <v>3901</v>
      </c>
      <c r="B618" s="136">
        <v>10.5</v>
      </c>
      <c r="C618" s="2"/>
      <c r="D618" s="4" t="s">
        <v>3873</v>
      </c>
      <c r="E618" s="136">
        <v>8</v>
      </c>
      <c r="F618" s="2"/>
      <c r="G618" s="4" t="s">
        <v>3840</v>
      </c>
      <c r="H618" s="136">
        <v>8</v>
      </c>
      <c r="I618" s="2"/>
      <c r="J618" s="4" t="s">
        <v>3884</v>
      </c>
      <c r="K618" s="136">
        <v>8</v>
      </c>
      <c r="L618" s="2"/>
      <c r="M618" s="4" t="s">
        <v>3919</v>
      </c>
      <c r="N618" s="136">
        <v>8</v>
      </c>
      <c r="O618" s="16"/>
    </row>
    <row r="619" spans="1:15" s="3" customFormat="1" ht="16" customHeight="1" x14ac:dyDescent="0.2">
      <c r="A619" s="4" t="s">
        <v>2275</v>
      </c>
      <c r="B619" s="136"/>
      <c r="C619" s="2"/>
      <c r="D619" s="4" t="s">
        <v>3874</v>
      </c>
      <c r="E619" s="136">
        <v>10</v>
      </c>
      <c r="F619" s="2"/>
      <c r="G619" s="4" t="s">
        <v>3841</v>
      </c>
      <c r="H619" s="136">
        <v>8.5</v>
      </c>
      <c r="I619" s="2"/>
      <c r="J619" s="4" t="s">
        <v>3885</v>
      </c>
      <c r="K619" s="136">
        <v>9</v>
      </c>
      <c r="L619" s="2"/>
      <c r="M619" s="4" t="s">
        <v>3920</v>
      </c>
      <c r="N619" s="136">
        <v>7.5</v>
      </c>
      <c r="O619" s="16"/>
    </row>
    <row r="620" spans="1:15" s="3" customFormat="1" ht="16" customHeight="1" x14ac:dyDescent="0.2">
      <c r="A620" s="365" t="s">
        <v>3902</v>
      </c>
      <c r="B620" s="136">
        <v>8.5</v>
      </c>
      <c r="C620" s="2"/>
      <c r="D620" s="4" t="s">
        <v>3875</v>
      </c>
      <c r="E620" s="136">
        <v>7.5</v>
      </c>
      <c r="F620" s="2"/>
      <c r="G620" s="4" t="s">
        <v>3842</v>
      </c>
      <c r="H620" s="136">
        <v>9</v>
      </c>
      <c r="I620" s="2"/>
      <c r="J620" s="4" t="s">
        <v>3886</v>
      </c>
      <c r="K620" s="136">
        <v>8</v>
      </c>
      <c r="L620" s="2"/>
      <c r="M620" s="4" t="s">
        <v>3921</v>
      </c>
      <c r="N620" s="136">
        <v>8</v>
      </c>
      <c r="O620" s="16"/>
    </row>
    <row r="621" spans="1:15" s="3" customFormat="1" ht="16" customHeight="1" thickBot="1" x14ac:dyDescent="0.25">
      <c r="A621" s="4" t="s">
        <v>3903</v>
      </c>
      <c r="B621" s="136">
        <v>8</v>
      </c>
      <c r="C621" s="2"/>
      <c r="D621" s="7" t="s">
        <v>3876</v>
      </c>
      <c r="E621" s="190">
        <v>7</v>
      </c>
      <c r="F621" s="2"/>
      <c r="G621" s="4" t="s">
        <v>3843</v>
      </c>
      <c r="H621" s="136">
        <v>8</v>
      </c>
      <c r="I621" s="2"/>
      <c r="J621" s="4" t="s">
        <v>3887</v>
      </c>
      <c r="K621" s="136">
        <v>8.5</v>
      </c>
      <c r="L621" s="2"/>
      <c r="M621" s="4" t="s">
        <v>3922</v>
      </c>
      <c r="N621" s="136">
        <v>8.5</v>
      </c>
      <c r="O621" s="16"/>
    </row>
    <row r="622" spans="1:15" s="3" customFormat="1" ht="16" customHeight="1" thickBot="1" x14ac:dyDescent="0.25">
      <c r="A622" s="4" t="s">
        <v>3904</v>
      </c>
      <c r="B622" s="136">
        <v>8</v>
      </c>
      <c r="C622" s="2"/>
      <c r="D622" s="2"/>
      <c r="E622" s="2"/>
      <c r="F622" s="2"/>
      <c r="G622" s="4" t="s">
        <v>3844</v>
      </c>
      <c r="H622" s="136"/>
      <c r="I622" s="2"/>
      <c r="J622" s="4" t="s">
        <v>3888</v>
      </c>
      <c r="K622" s="136">
        <v>8</v>
      </c>
      <c r="L622" s="2"/>
      <c r="M622" s="7" t="s">
        <v>3923</v>
      </c>
      <c r="N622" s="190">
        <v>7</v>
      </c>
      <c r="O622" s="16"/>
    </row>
    <row r="623" spans="1:15" s="3" customFormat="1" ht="16" customHeight="1" thickBot="1" x14ac:dyDescent="0.25">
      <c r="A623" s="4" t="s">
        <v>3905</v>
      </c>
      <c r="B623" s="136"/>
      <c r="C623" s="2"/>
      <c r="D623" s="427" t="s">
        <v>3933</v>
      </c>
      <c r="E623" s="12">
        <f>ROUND(AVERAGE(E624:E633), 2)</f>
        <v>8.5</v>
      </c>
      <c r="F623" s="2"/>
      <c r="G623" s="4" t="s">
        <v>3845</v>
      </c>
      <c r="H623" s="136">
        <v>10</v>
      </c>
      <c r="I623" s="2"/>
      <c r="J623" s="7" t="s">
        <v>3889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3906</v>
      </c>
      <c r="B624" s="136">
        <v>8.5</v>
      </c>
      <c r="C624" s="2"/>
      <c r="D624" s="11" t="s">
        <v>3934</v>
      </c>
      <c r="E624" s="189">
        <v>10</v>
      </c>
      <c r="F624" s="2"/>
      <c r="G624" s="4" t="s">
        <v>3846</v>
      </c>
      <c r="H624" s="136">
        <v>9</v>
      </c>
      <c r="I624" s="2"/>
      <c r="J624" s="2"/>
      <c r="K624" s="2"/>
      <c r="L624" s="2"/>
      <c r="M624" s="216" t="s">
        <v>3959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3907</v>
      </c>
      <c r="B625" s="136"/>
      <c r="C625" s="2"/>
      <c r="D625" s="4" t="s">
        <v>3935</v>
      </c>
      <c r="E625" s="136">
        <v>8.5</v>
      </c>
      <c r="F625" s="2"/>
      <c r="G625" s="4" t="s">
        <v>3847</v>
      </c>
      <c r="H625" s="136"/>
      <c r="I625" s="2"/>
      <c r="J625" s="428" t="s">
        <v>3973</v>
      </c>
      <c r="K625" s="12">
        <f>ROUND(AVERAGE(K626:K636), 2)</f>
        <v>8.5</v>
      </c>
      <c r="L625" s="2"/>
      <c r="M625" s="11" t="s">
        <v>3946</v>
      </c>
      <c r="N625" s="189">
        <v>10.5</v>
      </c>
      <c r="O625" s="16"/>
    </row>
    <row r="626" spans="1:15" s="3" customFormat="1" ht="16" customHeight="1" x14ac:dyDescent="0.2">
      <c r="A626" s="4" t="s">
        <v>3908</v>
      </c>
      <c r="B626" s="136">
        <v>8</v>
      </c>
      <c r="C626" s="2"/>
      <c r="D626" s="4" t="s">
        <v>3936</v>
      </c>
      <c r="E626" s="136">
        <v>9</v>
      </c>
      <c r="F626" s="2"/>
      <c r="G626" s="4" t="s">
        <v>3848</v>
      </c>
      <c r="H626" s="136">
        <v>8</v>
      </c>
      <c r="I626" s="2"/>
      <c r="J626" s="11" t="s">
        <v>3960</v>
      </c>
      <c r="K626" s="189">
        <v>10</v>
      </c>
      <c r="L626" s="2"/>
      <c r="M626" s="4" t="s">
        <v>3947</v>
      </c>
      <c r="N626" s="136">
        <v>8</v>
      </c>
      <c r="O626" s="16"/>
    </row>
    <row r="627" spans="1:15" s="3" customFormat="1" ht="16" customHeight="1" x14ac:dyDescent="0.2">
      <c r="A627" s="4" t="s">
        <v>3909</v>
      </c>
      <c r="B627" s="136">
        <v>8</v>
      </c>
      <c r="C627" s="2"/>
      <c r="D627" s="4" t="s">
        <v>3937</v>
      </c>
      <c r="E627" s="136">
        <v>8.5</v>
      </c>
      <c r="F627" s="2"/>
      <c r="G627" s="4" t="s">
        <v>3849</v>
      </c>
      <c r="H627" s="136"/>
      <c r="I627" s="2"/>
      <c r="J627" s="4" t="s">
        <v>3961</v>
      </c>
      <c r="K627" s="136">
        <v>9</v>
      </c>
      <c r="L627" s="2"/>
      <c r="M627" s="4" t="s">
        <v>3948</v>
      </c>
      <c r="N627" s="136">
        <v>8</v>
      </c>
      <c r="O627" s="16"/>
    </row>
    <row r="628" spans="1:15" s="3" customFormat="1" ht="16" customHeight="1" thickBot="1" x14ac:dyDescent="0.25">
      <c r="A628" s="7" t="s">
        <v>3910</v>
      </c>
      <c r="B628" s="190">
        <v>7.5</v>
      </c>
      <c r="C628" s="2"/>
      <c r="D628" s="4" t="s">
        <v>3938</v>
      </c>
      <c r="E628" s="136">
        <v>8</v>
      </c>
      <c r="F628" s="2"/>
      <c r="G628" s="4" t="s">
        <v>3850</v>
      </c>
      <c r="H628" s="136">
        <v>9</v>
      </c>
      <c r="I628" s="2"/>
      <c r="J628" s="4" t="s">
        <v>3962</v>
      </c>
      <c r="K628" s="136">
        <v>9</v>
      </c>
      <c r="L628" s="2"/>
      <c r="M628" s="4" t="s">
        <v>3949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3939</v>
      </c>
      <c r="E629" s="136">
        <v>8.5</v>
      </c>
      <c r="F629" s="2"/>
      <c r="G629" s="4" t="s">
        <v>3851</v>
      </c>
      <c r="H629" s="136">
        <v>8.5</v>
      </c>
      <c r="I629" s="2"/>
      <c r="J629" s="4" t="s">
        <v>3963</v>
      </c>
      <c r="K629" s="136">
        <v>8</v>
      </c>
      <c r="L629" s="2"/>
      <c r="M629" s="4" t="s">
        <v>3950</v>
      </c>
      <c r="N629" s="136">
        <v>9</v>
      </c>
      <c r="O629" s="16"/>
    </row>
    <row r="630" spans="1:15" s="3" customFormat="1" ht="16" customHeight="1" thickBot="1" x14ac:dyDescent="0.25">
      <c r="A630" s="429" t="s">
        <v>3974</v>
      </c>
      <c r="B630" s="12">
        <f>ROUND(AVERAGE(B631:B632), 2)</f>
        <v>8.75</v>
      </c>
      <c r="C630" s="2"/>
      <c r="D630" s="4" t="s">
        <v>3940</v>
      </c>
      <c r="E630" s="136">
        <v>8</v>
      </c>
      <c r="F630" s="2"/>
      <c r="G630" s="4" t="s">
        <v>3852</v>
      </c>
      <c r="H630" s="136">
        <v>8</v>
      </c>
      <c r="I630" s="2"/>
      <c r="J630" s="4" t="s">
        <v>3964</v>
      </c>
      <c r="K630" s="136">
        <v>8</v>
      </c>
      <c r="L630" s="2"/>
      <c r="M630" s="4" t="s">
        <v>3951</v>
      </c>
      <c r="N630" s="136">
        <v>8.5</v>
      </c>
      <c r="O630" s="16"/>
    </row>
    <row r="631" spans="1:15" s="3" customFormat="1" ht="16" customHeight="1" x14ac:dyDescent="0.2">
      <c r="A631" s="11" t="s">
        <v>3975</v>
      </c>
      <c r="B631" s="189">
        <v>9</v>
      </c>
      <c r="C631" s="2"/>
      <c r="D631" s="4" t="s">
        <v>3941</v>
      </c>
      <c r="E631" s="136">
        <v>8</v>
      </c>
      <c r="F631" s="2"/>
      <c r="G631" s="4" t="s">
        <v>3853</v>
      </c>
      <c r="H631" s="136">
        <v>8</v>
      </c>
      <c r="I631" s="2"/>
      <c r="J631" s="4" t="s">
        <v>3965</v>
      </c>
      <c r="K631" s="136">
        <v>8.5</v>
      </c>
      <c r="L631" s="2"/>
      <c r="M631" s="4" t="s">
        <v>3952</v>
      </c>
      <c r="N631" s="136">
        <v>8.5</v>
      </c>
      <c r="O631" s="16"/>
    </row>
    <row r="632" spans="1:15" s="3" customFormat="1" ht="16" customHeight="1" thickBot="1" x14ac:dyDescent="0.25">
      <c r="A632" s="7" t="s">
        <v>3976</v>
      </c>
      <c r="B632" s="190">
        <v>8.5</v>
      </c>
      <c r="C632" s="2"/>
      <c r="D632" s="4" t="s">
        <v>3942</v>
      </c>
      <c r="E632" s="136">
        <v>8.5</v>
      </c>
      <c r="F632" s="2"/>
      <c r="G632" s="4" t="s">
        <v>3854</v>
      </c>
      <c r="H632" s="136">
        <v>8.5</v>
      </c>
      <c r="I632" s="2"/>
      <c r="J632" s="4" t="s">
        <v>3966</v>
      </c>
      <c r="K632" s="136"/>
      <c r="L632" s="2"/>
      <c r="M632" s="4" t="s">
        <v>3953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3943</v>
      </c>
      <c r="E633" s="190">
        <v>8</v>
      </c>
      <c r="F633" s="2"/>
      <c r="G633" s="4" t="s">
        <v>3855</v>
      </c>
      <c r="H633" s="136">
        <v>8</v>
      </c>
      <c r="I633" s="2"/>
      <c r="J633" s="4" t="s">
        <v>3967</v>
      </c>
      <c r="K633" s="136">
        <v>8.5</v>
      </c>
      <c r="L633" s="2"/>
      <c r="M633" s="7" t="s">
        <v>3954</v>
      </c>
      <c r="N633" s="190">
        <v>10</v>
      </c>
      <c r="O633" s="16"/>
    </row>
    <row r="634" spans="1:15" s="3" customFormat="1" ht="16" customHeight="1" thickBot="1" x14ac:dyDescent="0.25">
      <c r="A634" s="430" t="s">
        <v>4912</v>
      </c>
      <c r="B634" s="12">
        <f>ROUND(AVERAGE(B635:B647), 2)</f>
        <v>8.67</v>
      </c>
      <c r="C634" s="2"/>
      <c r="D634" s="2"/>
      <c r="E634" s="2"/>
      <c r="F634" s="2"/>
      <c r="G634" s="7" t="s">
        <v>3856</v>
      </c>
      <c r="H634" s="190">
        <v>9</v>
      </c>
      <c r="I634" s="2"/>
      <c r="J634" s="4" t="s">
        <v>3968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3980</v>
      </c>
      <c r="B635" s="189">
        <v>9.5</v>
      </c>
      <c r="C635" s="2"/>
      <c r="D635" s="431" t="s">
        <v>3992</v>
      </c>
      <c r="E635" s="12">
        <f>ROUND(AVERAGE(E636:E645), 2)</f>
        <v>7.75</v>
      </c>
      <c r="F635" s="2"/>
      <c r="G635" s="2"/>
      <c r="H635" s="2"/>
      <c r="I635" s="2"/>
      <c r="J635" s="4" t="s">
        <v>3969</v>
      </c>
      <c r="K635" s="136">
        <v>8.5</v>
      </c>
      <c r="L635" s="2"/>
      <c r="M635" s="433" t="s">
        <v>4035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3981</v>
      </c>
      <c r="B636" s="136">
        <v>10</v>
      </c>
      <c r="C636" s="2"/>
      <c r="D636" s="11" t="s">
        <v>3993</v>
      </c>
      <c r="E636" s="189">
        <v>7.5</v>
      </c>
      <c r="F636" s="2"/>
      <c r="G636" s="432" t="s">
        <v>4003</v>
      </c>
      <c r="H636" s="12">
        <f>ROUND(AVERAGE(H637:H644), 2)</f>
        <v>9.1300000000000008</v>
      </c>
      <c r="I636" s="2"/>
      <c r="J636" s="7" t="s">
        <v>3970</v>
      </c>
      <c r="K636" s="190">
        <v>7.5</v>
      </c>
      <c r="L636" s="2"/>
      <c r="M636" s="11" t="s">
        <v>4020</v>
      </c>
      <c r="N636" s="189">
        <v>10</v>
      </c>
      <c r="O636" s="16"/>
    </row>
    <row r="637" spans="1:15" s="3" customFormat="1" ht="16" customHeight="1" thickBot="1" x14ac:dyDescent="0.25">
      <c r="A637" s="4" t="s">
        <v>3982</v>
      </c>
      <c r="B637" s="136">
        <v>9</v>
      </c>
      <c r="C637" s="2"/>
      <c r="D637" s="4" t="s">
        <v>3994</v>
      </c>
      <c r="E637" s="136">
        <v>8.5</v>
      </c>
      <c r="F637" s="2"/>
      <c r="G637" s="11" t="s">
        <v>4004</v>
      </c>
      <c r="H637" s="189">
        <v>9</v>
      </c>
      <c r="I637" s="2"/>
      <c r="J637" s="2"/>
      <c r="K637" s="2"/>
      <c r="L637" s="2"/>
      <c r="M637" s="4" t="s">
        <v>4021</v>
      </c>
      <c r="N637" s="136">
        <v>8</v>
      </c>
      <c r="O637" s="16"/>
    </row>
    <row r="638" spans="1:15" s="3" customFormat="1" ht="16" customHeight="1" thickBot="1" x14ac:dyDescent="0.25">
      <c r="A638" s="4" t="s">
        <v>3983</v>
      </c>
      <c r="B638" s="136">
        <v>8.5</v>
      </c>
      <c r="C638" s="2"/>
      <c r="D638" s="4" t="s">
        <v>3995</v>
      </c>
      <c r="E638" s="136">
        <v>8</v>
      </c>
      <c r="F638" s="2"/>
      <c r="G638" s="4" t="s">
        <v>4005</v>
      </c>
      <c r="H638" s="136">
        <v>10</v>
      </c>
      <c r="I638" s="2"/>
      <c r="J638" s="435" t="s">
        <v>4039</v>
      </c>
      <c r="K638" s="12">
        <f>ROUND(AVERAGE(K639:K650), 2)</f>
        <v>8.64</v>
      </c>
      <c r="L638" s="2"/>
      <c r="M638" s="4" t="s">
        <v>4022</v>
      </c>
      <c r="N638" s="136">
        <v>9.5</v>
      </c>
      <c r="O638" s="16"/>
    </row>
    <row r="639" spans="1:15" s="3" customFormat="1" ht="16" customHeight="1" x14ac:dyDescent="0.2">
      <c r="A639" s="4" t="s">
        <v>2946</v>
      </c>
      <c r="B639" s="136"/>
      <c r="C639" s="2"/>
      <c r="D639" s="4" t="s">
        <v>3996</v>
      </c>
      <c r="E639" s="136">
        <v>8</v>
      </c>
      <c r="F639" s="2"/>
      <c r="G639" s="4" t="s">
        <v>4006</v>
      </c>
      <c r="H639" s="136">
        <v>9.5</v>
      </c>
      <c r="I639" s="2"/>
      <c r="J639" s="11" t="s">
        <v>4040</v>
      </c>
      <c r="K639" s="189">
        <v>8.5</v>
      </c>
      <c r="L639" s="2"/>
      <c r="M639" s="4" t="s">
        <v>4023</v>
      </c>
      <c r="N639" s="136">
        <v>8.5</v>
      </c>
      <c r="O639" s="16"/>
    </row>
    <row r="640" spans="1:15" s="3" customFormat="1" ht="16" customHeight="1" x14ac:dyDescent="0.2">
      <c r="A640" s="4" t="s">
        <v>3984</v>
      </c>
      <c r="B640" s="136">
        <v>7.5</v>
      </c>
      <c r="C640" s="2"/>
      <c r="D640" s="4" t="s">
        <v>3997</v>
      </c>
      <c r="E640" s="136">
        <v>7.5</v>
      </c>
      <c r="F640" s="2"/>
      <c r="G640" s="4" t="s">
        <v>4007</v>
      </c>
      <c r="H640" s="136">
        <v>7</v>
      </c>
      <c r="I640" s="2"/>
      <c r="J640" s="4" t="s">
        <v>4041</v>
      </c>
      <c r="K640" s="136">
        <v>9</v>
      </c>
      <c r="L640" s="2"/>
      <c r="M640" s="4" t="s">
        <v>4024</v>
      </c>
      <c r="N640" s="136">
        <v>10</v>
      </c>
      <c r="O640" s="16"/>
    </row>
    <row r="641" spans="1:15" s="3" customFormat="1" ht="16" customHeight="1" x14ac:dyDescent="0.2">
      <c r="A641" s="4" t="s">
        <v>3985</v>
      </c>
      <c r="B641" s="136">
        <v>8</v>
      </c>
      <c r="C641" s="2"/>
      <c r="D641" s="4" t="s">
        <v>3998</v>
      </c>
      <c r="E641" s="136">
        <v>7</v>
      </c>
      <c r="F641" s="2"/>
      <c r="G641" s="4" t="s">
        <v>4008</v>
      </c>
      <c r="H641" s="136">
        <v>9</v>
      </c>
      <c r="I641" s="2"/>
      <c r="J641" s="4" t="s">
        <v>4042</v>
      </c>
      <c r="K641" s="136">
        <v>8</v>
      </c>
      <c r="L641" s="2"/>
      <c r="M641" s="4" t="s">
        <v>4025</v>
      </c>
      <c r="N641" s="136">
        <v>8</v>
      </c>
      <c r="O641" s="16"/>
    </row>
    <row r="642" spans="1:15" s="3" customFormat="1" ht="16" customHeight="1" x14ac:dyDescent="0.2">
      <c r="A642" s="4" t="s">
        <v>3986</v>
      </c>
      <c r="B642" s="136">
        <v>8</v>
      </c>
      <c r="C642" s="2"/>
      <c r="D642" s="4" t="s">
        <v>3999</v>
      </c>
      <c r="E642" s="136">
        <v>7</v>
      </c>
      <c r="F642" s="2"/>
      <c r="G642" s="4" t="s">
        <v>4009</v>
      </c>
      <c r="H642" s="136">
        <v>10</v>
      </c>
      <c r="I642" s="2"/>
      <c r="J642" s="4" t="s">
        <v>4043</v>
      </c>
      <c r="K642" s="136">
        <v>8.5</v>
      </c>
      <c r="L642" s="2"/>
      <c r="M642" s="4" t="s">
        <v>4026</v>
      </c>
      <c r="N642" s="136">
        <v>9.5</v>
      </c>
      <c r="O642" s="16"/>
    </row>
    <row r="643" spans="1:15" s="3" customFormat="1" ht="16" customHeight="1" x14ac:dyDescent="0.2">
      <c r="A643" s="4" t="s">
        <v>3987</v>
      </c>
      <c r="B643" s="136">
        <v>8.5</v>
      </c>
      <c r="C643" s="2"/>
      <c r="D643" s="4" t="s">
        <v>4000</v>
      </c>
      <c r="E643" s="136">
        <v>7.5</v>
      </c>
      <c r="F643" s="2"/>
      <c r="G643" s="4" t="s">
        <v>2262</v>
      </c>
      <c r="H643" s="136">
        <v>10</v>
      </c>
      <c r="I643" s="2"/>
      <c r="J643" s="4" t="s">
        <v>4044</v>
      </c>
      <c r="K643" s="136">
        <v>9.5</v>
      </c>
      <c r="L643" s="2"/>
      <c r="M643" s="4" t="s">
        <v>4027</v>
      </c>
      <c r="N643" s="136">
        <v>8</v>
      </c>
      <c r="O643" s="16"/>
    </row>
    <row r="644" spans="1:15" s="3" customFormat="1" ht="16" customHeight="1" thickBot="1" x14ac:dyDescent="0.25">
      <c r="A644" s="4" t="s">
        <v>3988</v>
      </c>
      <c r="B644" s="136">
        <v>8</v>
      </c>
      <c r="C644" s="2"/>
      <c r="D644" s="4" t="s">
        <v>4001</v>
      </c>
      <c r="E644" s="136">
        <v>8.5</v>
      </c>
      <c r="F644" s="2"/>
      <c r="G644" s="7" t="s">
        <v>4010</v>
      </c>
      <c r="H644" s="190">
        <v>8.5</v>
      </c>
      <c r="I644" s="2"/>
      <c r="J644" s="4" t="s">
        <v>4045</v>
      </c>
      <c r="K644" s="136">
        <v>8</v>
      </c>
      <c r="L644" s="2"/>
      <c r="M644" s="4" t="s">
        <v>4028</v>
      </c>
      <c r="N644" s="136">
        <v>8</v>
      </c>
      <c r="O644" s="16"/>
    </row>
    <row r="645" spans="1:15" s="3" customFormat="1" ht="16" customHeight="1" thickBot="1" x14ac:dyDescent="0.25">
      <c r="A645" s="4" t="s">
        <v>3989</v>
      </c>
      <c r="B645" s="136">
        <v>10</v>
      </c>
      <c r="C645" s="2"/>
      <c r="D645" s="7" t="s">
        <v>4002</v>
      </c>
      <c r="E645" s="190">
        <v>8</v>
      </c>
      <c r="F645" s="2"/>
      <c r="G645" s="2"/>
      <c r="H645" s="2"/>
      <c r="I645" s="2"/>
      <c r="J645" s="4" t="s">
        <v>4046</v>
      </c>
      <c r="K645" s="136"/>
      <c r="L645" s="2"/>
      <c r="M645" s="4" t="s">
        <v>4029</v>
      </c>
      <c r="N645" s="136">
        <v>8.5</v>
      </c>
      <c r="O645" s="16"/>
    </row>
    <row r="646" spans="1:15" s="3" customFormat="1" ht="16" customHeight="1" thickBot="1" x14ac:dyDescent="0.25">
      <c r="A646" s="4" t="s">
        <v>3990</v>
      </c>
      <c r="B646" s="136">
        <v>9</v>
      </c>
      <c r="C646" s="2"/>
      <c r="D646" s="2"/>
      <c r="E646" s="2"/>
      <c r="F646" s="2"/>
      <c r="G646" s="436" t="s">
        <v>4065</v>
      </c>
      <c r="H646" s="12">
        <f>ROUND(AVERAGE(H647:H655), 2)</f>
        <v>8.17</v>
      </c>
      <c r="I646" s="2"/>
      <c r="J646" s="4" t="s">
        <v>4047</v>
      </c>
      <c r="K646" s="136">
        <v>8</v>
      </c>
      <c r="L646" s="2"/>
      <c r="M646" s="4" t="s">
        <v>4030</v>
      </c>
      <c r="N646" s="136">
        <v>8</v>
      </c>
      <c r="O646" s="16"/>
    </row>
    <row r="647" spans="1:15" s="3" customFormat="1" ht="16" customHeight="1" thickBot="1" x14ac:dyDescent="0.25">
      <c r="A647" s="7" t="s">
        <v>3991</v>
      </c>
      <c r="B647" s="190">
        <v>8</v>
      </c>
      <c r="C647" s="2"/>
      <c r="D647" s="438" t="s">
        <v>4077</v>
      </c>
      <c r="E647" s="12">
        <f>ROUND(AVERAGE(E648:E650), 2)</f>
        <v>8.83</v>
      </c>
      <c r="F647" s="2"/>
      <c r="G647" s="11" t="s">
        <v>4056</v>
      </c>
      <c r="H647" s="189">
        <v>9</v>
      </c>
      <c r="I647" s="2"/>
      <c r="J647" s="4" t="s">
        <v>4048</v>
      </c>
      <c r="K647" s="136">
        <v>9</v>
      </c>
      <c r="L647" s="2"/>
      <c r="M647" s="4" t="s">
        <v>4031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4072</v>
      </c>
      <c r="E648" s="189">
        <v>10.5</v>
      </c>
      <c r="F648" s="2"/>
      <c r="G648" s="4" t="s">
        <v>4057</v>
      </c>
      <c r="H648" s="136">
        <v>8.5</v>
      </c>
      <c r="I648" s="2"/>
      <c r="J648" s="4" t="s">
        <v>4049</v>
      </c>
      <c r="K648" s="136">
        <v>8.5</v>
      </c>
      <c r="L648" s="2"/>
      <c r="M648" s="4" t="s">
        <v>4032</v>
      </c>
      <c r="N648" s="136">
        <v>10.5</v>
      </c>
      <c r="O648" s="16"/>
    </row>
    <row r="649" spans="1:15" s="3" customFormat="1" ht="16" customHeight="1" thickBot="1" x14ac:dyDescent="0.25">
      <c r="A649" s="441" t="s">
        <v>4080</v>
      </c>
      <c r="B649" s="12">
        <f>ROUND(AVERAGE(B650:B661), 2)</f>
        <v>9</v>
      </c>
      <c r="C649" s="2"/>
      <c r="D649" s="4" t="s">
        <v>4076</v>
      </c>
      <c r="E649" s="136">
        <v>8</v>
      </c>
      <c r="F649" s="2"/>
      <c r="G649" s="4" t="s">
        <v>4058</v>
      </c>
      <c r="H649" s="136">
        <v>8.5</v>
      </c>
      <c r="I649" s="2"/>
      <c r="J649" s="4" t="s">
        <v>4050</v>
      </c>
      <c r="K649" s="136">
        <v>8</v>
      </c>
      <c r="L649" s="2"/>
      <c r="M649" s="4" t="s">
        <v>4033</v>
      </c>
      <c r="N649" s="136">
        <v>8.5</v>
      </c>
      <c r="O649" s="16"/>
    </row>
    <row r="650" spans="1:15" s="3" customFormat="1" ht="16" customHeight="1" thickBot="1" x14ac:dyDescent="0.25">
      <c r="A650" s="11" t="s">
        <v>4081</v>
      </c>
      <c r="B650" s="189">
        <v>10</v>
      </c>
      <c r="C650" s="2"/>
      <c r="D650" s="7" t="s">
        <v>4073</v>
      </c>
      <c r="E650" s="190">
        <v>8</v>
      </c>
      <c r="F650" s="2"/>
      <c r="G650" s="4" t="s">
        <v>4059</v>
      </c>
      <c r="H650" s="136">
        <v>8</v>
      </c>
      <c r="I650" s="2"/>
      <c r="J650" s="7" t="s">
        <v>4051</v>
      </c>
      <c r="K650" s="190">
        <v>10</v>
      </c>
      <c r="L650" s="2"/>
      <c r="M650" s="7" t="s">
        <v>4034</v>
      </c>
      <c r="N650" s="190">
        <v>9</v>
      </c>
      <c r="O650" s="16"/>
    </row>
    <row r="651" spans="1:15" s="3" customFormat="1" ht="16" customHeight="1" thickBot="1" x14ac:dyDescent="0.25">
      <c r="A651" s="4" t="s">
        <v>4082</v>
      </c>
      <c r="B651" s="136">
        <v>10</v>
      </c>
      <c r="C651" s="2"/>
      <c r="D651" s="2"/>
      <c r="E651" s="2"/>
      <c r="F651" s="2"/>
      <c r="G651" s="4" t="s">
        <v>4060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4083</v>
      </c>
      <c r="B652" s="136">
        <v>10</v>
      </c>
      <c r="C652" s="2"/>
      <c r="D652" s="440" t="s">
        <v>4118</v>
      </c>
      <c r="E652" s="12">
        <f>ROUND(AVERAGE(E653:E674), 2)</f>
        <v>9.09</v>
      </c>
      <c r="F652" s="2"/>
      <c r="G652" s="4" t="s">
        <v>4061</v>
      </c>
      <c r="H652" s="136">
        <v>8</v>
      </c>
      <c r="I652" s="2"/>
      <c r="J652" s="444" t="s">
        <v>4142</v>
      </c>
      <c r="K652" s="12">
        <f>ROUND(AVERAGE(K653:K659), 2)</f>
        <v>8.86</v>
      </c>
      <c r="L652" s="2"/>
      <c r="M652" s="445" t="s">
        <v>4165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4084</v>
      </c>
      <c r="B653" s="136">
        <v>8.5</v>
      </c>
      <c r="C653" s="2"/>
      <c r="D653" s="11" t="s">
        <v>4099</v>
      </c>
      <c r="E653" s="189">
        <v>8.5</v>
      </c>
      <c r="F653" s="2"/>
      <c r="G653" s="4" t="s">
        <v>4062</v>
      </c>
      <c r="H653" s="136">
        <v>8</v>
      </c>
      <c r="I653" s="2"/>
      <c r="J653" s="11" t="s">
        <v>4143</v>
      </c>
      <c r="K653" s="189">
        <v>9</v>
      </c>
      <c r="L653" s="2"/>
      <c r="M653" s="11" t="s">
        <v>4159</v>
      </c>
      <c r="N653" s="189">
        <v>10</v>
      </c>
      <c r="O653" s="16"/>
    </row>
    <row r="654" spans="1:15" s="3" customFormat="1" ht="16" customHeight="1" x14ac:dyDescent="0.2">
      <c r="A654" s="4" t="s">
        <v>4085</v>
      </c>
      <c r="B654" s="136">
        <v>10</v>
      </c>
      <c r="C654" s="2"/>
      <c r="D654" s="4" t="s">
        <v>4100</v>
      </c>
      <c r="E654" s="136">
        <v>8</v>
      </c>
      <c r="F654" s="2"/>
      <c r="G654" s="4" t="s">
        <v>4063</v>
      </c>
      <c r="H654" s="136">
        <v>7.5</v>
      </c>
      <c r="I654" s="2"/>
      <c r="J654" s="4" t="s">
        <v>4144</v>
      </c>
      <c r="K654" s="136">
        <v>8</v>
      </c>
      <c r="L654" s="2"/>
      <c r="M654" s="4" t="s">
        <v>4160</v>
      </c>
      <c r="N654" s="136">
        <v>9</v>
      </c>
      <c r="O654" s="16"/>
    </row>
    <row r="655" spans="1:15" s="3" customFormat="1" ht="16" customHeight="1" thickBot="1" x14ac:dyDescent="0.25">
      <c r="A655" s="4" t="s">
        <v>4086</v>
      </c>
      <c r="B655" s="136">
        <v>8</v>
      </c>
      <c r="C655" s="2"/>
      <c r="D655" s="4" t="s">
        <v>4101</v>
      </c>
      <c r="E655" s="136">
        <v>9</v>
      </c>
      <c r="F655" s="2"/>
      <c r="G655" s="7" t="s">
        <v>4064</v>
      </c>
      <c r="H655" s="190">
        <v>7.5</v>
      </c>
      <c r="I655" s="2"/>
      <c r="J655" s="4" t="s">
        <v>4145</v>
      </c>
      <c r="K655" s="136">
        <v>10</v>
      </c>
      <c r="L655" s="2"/>
      <c r="M655" s="4" t="s">
        <v>4161</v>
      </c>
      <c r="N655" s="136">
        <v>8</v>
      </c>
      <c r="O655" s="16"/>
    </row>
    <row r="656" spans="1:15" s="3" customFormat="1" ht="16" customHeight="1" thickBot="1" x14ac:dyDescent="0.25">
      <c r="A656" s="4" t="s">
        <v>4087</v>
      </c>
      <c r="B656" s="136">
        <v>8</v>
      </c>
      <c r="C656" s="2"/>
      <c r="D656" s="4" t="s">
        <v>4102</v>
      </c>
      <c r="E656" s="136">
        <v>9</v>
      </c>
      <c r="F656" s="2"/>
      <c r="G656" s="2"/>
      <c r="H656" s="2"/>
      <c r="I656" s="2"/>
      <c r="J656" s="4" t="s">
        <v>4146</v>
      </c>
      <c r="K656" s="136">
        <v>8.5</v>
      </c>
      <c r="L656" s="2"/>
      <c r="M656" s="4" t="s">
        <v>4162</v>
      </c>
      <c r="N656" s="136">
        <v>8.5</v>
      </c>
      <c r="O656" s="16"/>
    </row>
    <row r="657" spans="1:15" s="3" customFormat="1" ht="16" customHeight="1" thickBot="1" x14ac:dyDescent="0.25">
      <c r="A657" s="4" t="s">
        <v>4088</v>
      </c>
      <c r="B657" s="136">
        <v>9</v>
      </c>
      <c r="C657" s="2"/>
      <c r="D657" s="4" t="s">
        <v>4103</v>
      </c>
      <c r="E657" s="136">
        <v>8.5</v>
      </c>
      <c r="F657" s="2"/>
      <c r="G657" s="442" t="s">
        <v>4122</v>
      </c>
      <c r="H657" s="12">
        <f>ROUND(AVERAGE(H658:H668), 2)</f>
        <v>8.59</v>
      </c>
      <c r="I657" s="2"/>
      <c r="J657" s="4" t="s">
        <v>4147</v>
      </c>
      <c r="K657" s="136">
        <v>8.5</v>
      </c>
      <c r="L657" s="2"/>
      <c r="M657" s="4" t="s">
        <v>4163</v>
      </c>
      <c r="N657" s="136">
        <v>9</v>
      </c>
      <c r="O657" s="16"/>
    </row>
    <row r="658" spans="1:15" s="3" customFormat="1" ht="16" customHeight="1" thickBot="1" x14ac:dyDescent="0.25">
      <c r="A658" s="4" t="s">
        <v>4089</v>
      </c>
      <c r="B658" s="136">
        <v>8</v>
      </c>
      <c r="C658" s="2"/>
      <c r="D658" s="4" t="s">
        <v>4104</v>
      </c>
      <c r="E658" s="136">
        <v>10</v>
      </c>
      <c r="F658" s="2"/>
      <c r="G658" s="11" t="s">
        <v>4123</v>
      </c>
      <c r="H658" s="189">
        <v>9</v>
      </c>
      <c r="I658" s="2"/>
      <c r="J658" s="4" t="s">
        <v>4148</v>
      </c>
      <c r="K658" s="136">
        <v>9</v>
      </c>
      <c r="L658" s="2"/>
      <c r="M658" s="7" t="s">
        <v>4164</v>
      </c>
      <c r="N658" s="190">
        <v>8</v>
      </c>
      <c r="O658" s="16"/>
    </row>
    <row r="659" spans="1:15" s="3" customFormat="1" ht="16" customHeight="1" thickBot="1" x14ac:dyDescent="0.25">
      <c r="A659" s="4" t="s">
        <v>4090</v>
      </c>
      <c r="B659" s="136">
        <v>8.5</v>
      </c>
      <c r="C659" s="2"/>
      <c r="D659" s="4" t="s">
        <v>4105</v>
      </c>
      <c r="E659" s="136">
        <v>10</v>
      </c>
      <c r="F659" s="2"/>
      <c r="G659" s="4" t="s">
        <v>4124</v>
      </c>
      <c r="H659" s="136">
        <v>8.5</v>
      </c>
      <c r="I659" s="2"/>
      <c r="J659" s="7" t="s">
        <v>4149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4092</v>
      </c>
      <c r="B660" s="136">
        <v>8</v>
      </c>
      <c r="C660" s="2"/>
      <c r="D660" s="4" t="s">
        <v>4106</v>
      </c>
      <c r="E660" s="136">
        <v>9</v>
      </c>
      <c r="F660" s="2"/>
      <c r="G660" s="4" t="s">
        <v>4125</v>
      </c>
      <c r="H660" s="136">
        <v>10</v>
      </c>
      <c r="I660" s="2"/>
      <c r="J660" s="2"/>
      <c r="K660" s="2"/>
      <c r="L660" s="2"/>
      <c r="M660" s="447" t="s">
        <v>4187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4091</v>
      </c>
      <c r="B661" s="190">
        <v>10</v>
      </c>
      <c r="C661" s="2"/>
      <c r="D661" s="4" t="s">
        <v>4107</v>
      </c>
      <c r="E661" s="136">
        <v>8</v>
      </c>
      <c r="F661" s="2"/>
      <c r="G661" s="4" t="s">
        <v>4126</v>
      </c>
      <c r="H661" s="136">
        <v>8</v>
      </c>
      <c r="I661" s="2"/>
      <c r="J661" s="448" t="s">
        <v>4188</v>
      </c>
      <c r="K661" s="12">
        <f>ROUND(AVERAGE(K662:K674), 2)</f>
        <v>7.92</v>
      </c>
      <c r="L661" s="2"/>
      <c r="M661" s="11" t="s">
        <v>4170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4108</v>
      </c>
      <c r="E662" s="136">
        <v>8.5</v>
      </c>
      <c r="F662" s="2"/>
      <c r="G662" s="4" t="s">
        <v>4127</v>
      </c>
      <c r="H662" s="136">
        <v>8.5</v>
      </c>
      <c r="I662" s="2"/>
      <c r="J662" s="11" t="s">
        <v>4189</v>
      </c>
      <c r="K662" s="189">
        <v>7</v>
      </c>
      <c r="L662" s="2"/>
      <c r="M662" s="4" t="s">
        <v>4171</v>
      </c>
      <c r="N662" s="136">
        <v>8</v>
      </c>
      <c r="O662" s="16"/>
    </row>
    <row r="663" spans="1:15" s="3" customFormat="1" ht="16" customHeight="1" thickBot="1" x14ac:dyDescent="0.25">
      <c r="A663" s="449" t="s">
        <v>4210</v>
      </c>
      <c r="B663" s="12">
        <f>ROUND(AVERAGE(B664:B671), 2)</f>
        <v>0.81</v>
      </c>
      <c r="C663" s="2"/>
      <c r="D663" s="4" t="s">
        <v>4109</v>
      </c>
      <c r="E663" s="136">
        <v>9.5</v>
      </c>
      <c r="F663" s="2"/>
      <c r="G663" s="4" t="s">
        <v>4128</v>
      </c>
      <c r="H663" s="136">
        <v>10</v>
      </c>
      <c r="I663" s="2"/>
      <c r="J663" s="4" t="s">
        <v>4190</v>
      </c>
      <c r="K663" s="136">
        <v>8</v>
      </c>
      <c r="L663" s="2"/>
      <c r="M663" s="4" t="s">
        <v>4172</v>
      </c>
      <c r="N663" s="136">
        <v>10</v>
      </c>
      <c r="O663" s="16"/>
    </row>
    <row r="664" spans="1:15" s="3" customFormat="1" ht="16" customHeight="1" x14ac:dyDescent="0.2">
      <c r="A664" s="11" t="s">
        <v>4202</v>
      </c>
      <c r="B664" s="189">
        <v>2</v>
      </c>
      <c r="C664" s="2"/>
      <c r="D664" s="4" t="s">
        <v>4110</v>
      </c>
      <c r="E664" s="136">
        <v>8.5</v>
      </c>
      <c r="F664" s="2"/>
      <c r="G664" s="4" t="s">
        <v>4129</v>
      </c>
      <c r="H664" s="136">
        <v>8.5</v>
      </c>
      <c r="I664" s="2"/>
      <c r="J664" s="4" t="s">
        <v>4191</v>
      </c>
      <c r="K664" s="136">
        <v>8</v>
      </c>
      <c r="L664" s="2"/>
      <c r="M664" s="4" t="s">
        <v>4173</v>
      </c>
      <c r="N664" s="136">
        <v>8.5</v>
      </c>
      <c r="O664" s="16"/>
    </row>
    <row r="665" spans="1:15" s="3" customFormat="1" ht="16" customHeight="1" x14ac:dyDescent="0.2">
      <c r="A665" s="4" t="s">
        <v>4203</v>
      </c>
      <c r="B665" s="136">
        <v>0</v>
      </c>
      <c r="C665" s="2"/>
      <c r="D665" s="4" t="s">
        <v>4111</v>
      </c>
      <c r="E665" s="136">
        <v>10.5</v>
      </c>
      <c r="F665" s="2"/>
      <c r="G665" s="4" t="s">
        <v>4130</v>
      </c>
      <c r="H665" s="136">
        <v>8</v>
      </c>
      <c r="I665" s="2"/>
      <c r="J665" s="4" t="s">
        <v>4192</v>
      </c>
      <c r="K665" s="136">
        <v>7.5</v>
      </c>
      <c r="L665" s="2"/>
      <c r="M665" s="4" t="s">
        <v>4174</v>
      </c>
      <c r="N665" s="136">
        <v>8</v>
      </c>
      <c r="O665" s="16"/>
    </row>
    <row r="666" spans="1:15" s="3" customFormat="1" ht="16" customHeight="1" x14ac:dyDescent="0.2">
      <c r="A666" s="4" t="s">
        <v>4204</v>
      </c>
      <c r="B666" s="136">
        <v>1</v>
      </c>
      <c r="C666" s="2"/>
      <c r="D666" s="4" t="s">
        <v>4117</v>
      </c>
      <c r="E666" s="136">
        <v>8</v>
      </c>
      <c r="F666" s="2"/>
      <c r="G666" s="4" t="s">
        <v>4131</v>
      </c>
      <c r="H666" s="136">
        <v>7.5</v>
      </c>
      <c r="I666" s="2"/>
      <c r="J666" s="4" t="s">
        <v>4193</v>
      </c>
      <c r="K666" s="136">
        <v>8.5</v>
      </c>
      <c r="L666" s="2"/>
      <c r="M666" s="4" t="s">
        <v>4175</v>
      </c>
      <c r="N666" s="136">
        <v>9</v>
      </c>
      <c r="O666" s="16"/>
    </row>
    <row r="667" spans="1:15" s="3" customFormat="1" ht="16" customHeight="1" x14ac:dyDescent="0.2">
      <c r="A667" s="4" t="s">
        <v>4205</v>
      </c>
      <c r="B667" s="136">
        <v>1.5</v>
      </c>
      <c r="C667" s="2"/>
      <c r="D667" s="4" t="s">
        <v>4112</v>
      </c>
      <c r="E667" s="136">
        <v>10</v>
      </c>
      <c r="F667" s="2"/>
      <c r="G667" s="4" t="s">
        <v>4132</v>
      </c>
      <c r="H667" s="136">
        <v>8.5</v>
      </c>
      <c r="I667" s="2"/>
      <c r="J667" s="4" t="s">
        <v>4194</v>
      </c>
      <c r="K667" s="136">
        <v>8</v>
      </c>
      <c r="L667" s="2"/>
      <c r="M667" s="4" t="s">
        <v>4176</v>
      </c>
      <c r="N667" s="136">
        <v>8.5</v>
      </c>
      <c r="O667" s="16"/>
    </row>
    <row r="668" spans="1:15" s="3" customFormat="1" ht="16" customHeight="1" thickBot="1" x14ac:dyDescent="0.25">
      <c r="A668" s="4" t="s">
        <v>4206</v>
      </c>
      <c r="B668" s="136">
        <v>1</v>
      </c>
      <c r="C668" s="2"/>
      <c r="D668" s="4" t="s">
        <v>4113</v>
      </c>
      <c r="E668" s="136">
        <v>10.5</v>
      </c>
      <c r="F668" s="2"/>
      <c r="G668" s="7" t="s">
        <v>4133</v>
      </c>
      <c r="H668" s="190">
        <v>8</v>
      </c>
      <c r="I668" s="2"/>
      <c r="J668" s="4" t="s">
        <v>4195</v>
      </c>
      <c r="K668" s="136">
        <v>7</v>
      </c>
      <c r="L668" s="2"/>
      <c r="M668" s="4" t="s">
        <v>4177</v>
      </c>
      <c r="N668" s="136">
        <v>9.5</v>
      </c>
      <c r="O668" s="16"/>
    </row>
    <row r="669" spans="1:15" s="3" customFormat="1" ht="16" customHeight="1" thickBot="1" x14ac:dyDescent="0.25">
      <c r="A669" s="4" t="s">
        <v>4207</v>
      </c>
      <c r="B669" s="136">
        <v>1</v>
      </c>
      <c r="C669" s="2"/>
      <c r="D669" s="4" t="s">
        <v>4114</v>
      </c>
      <c r="E669" s="136">
        <v>9.5</v>
      </c>
      <c r="F669" s="2"/>
      <c r="G669" s="2"/>
      <c r="H669" s="2"/>
      <c r="I669" s="2"/>
      <c r="J669" s="4" t="s">
        <v>4196</v>
      </c>
      <c r="K669" s="136">
        <v>9</v>
      </c>
      <c r="L669" s="2"/>
      <c r="M669" s="4" t="s">
        <v>4178</v>
      </c>
      <c r="N669" s="136">
        <v>9</v>
      </c>
      <c r="O669" s="16"/>
    </row>
    <row r="670" spans="1:15" s="3" customFormat="1" ht="16" customHeight="1" thickBot="1" x14ac:dyDescent="0.25">
      <c r="A670" s="4" t="s">
        <v>4208</v>
      </c>
      <c r="B670" s="136">
        <v>0</v>
      </c>
      <c r="C670" s="2"/>
      <c r="D670" s="4" t="s">
        <v>4115</v>
      </c>
      <c r="E670" s="136">
        <v>9</v>
      </c>
      <c r="F670" s="2"/>
      <c r="G670" s="450" t="s">
        <v>4211</v>
      </c>
      <c r="H670" s="12">
        <f>ROUND(AVERAGE(H671:H679), 2)</f>
        <v>8.56</v>
      </c>
      <c r="I670" s="2"/>
      <c r="J670" s="4" t="s">
        <v>4197</v>
      </c>
      <c r="K670" s="136">
        <v>7.5</v>
      </c>
      <c r="L670" s="2"/>
      <c r="M670" s="4" t="s">
        <v>4179</v>
      </c>
      <c r="N670" s="136">
        <v>9</v>
      </c>
      <c r="O670" s="16"/>
    </row>
    <row r="671" spans="1:15" s="3" customFormat="1" ht="16" customHeight="1" thickBot="1" x14ac:dyDescent="0.25">
      <c r="A671" s="7" t="s">
        <v>4209</v>
      </c>
      <c r="B671" s="190">
        <v>0</v>
      </c>
      <c r="C671" s="2"/>
      <c r="D671" s="4" t="s">
        <v>4116</v>
      </c>
      <c r="E671" s="136">
        <v>10</v>
      </c>
      <c r="F671" s="2"/>
      <c r="G671" s="11" t="s">
        <v>4212</v>
      </c>
      <c r="H671" s="189">
        <v>8.5</v>
      </c>
      <c r="I671" s="2"/>
      <c r="J671" s="4" t="s">
        <v>4198</v>
      </c>
      <c r="K671" s="136">
        <v>7.5</v>
      </c>
      <c r="L671" s="2"/>
      <c r="M671" s="4" t="s">
        <v>4180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4119</v>
      </c>
      <c r="E672" s="136">
        <v>8</v>
      </c>
      <c r="F672" s="2"/>
      <c r="G672" s="4" t="s">
        <v>4213</v>
      </c>
      <c r="H672" s="136">
        <v>8</v>
      </c>
      <c r="I672" s="2"/>
      <c r="J672" s="4" t="s">
        <v>4199</v>
      </c>
      <c r="K672" s="136">
        <v>8.5</v>
      </c>
      <c r="L672" s="2"/>
      <c r="M672" s="4" t="s">
        <v>4181</v>
      </c>
      <c r="N672" s="136">
        <v>8</v>
      </c>
      <c r="O672" s="16"/>
    </row>
    <row r="673" spans="1:15" s="3" customFormat="1" ht="16" customHeight="1" thickBot="1" x14ac:dyDescent="0.25">
      <c r="A673" s="454" t="s">
        <v>4234</v>
      </c>
      <c r="B673" s="12">
        <f>ROUND(AVERAGE(B674:B686), 2)</f>
        <v>8.65</v>
      </c>
      <c r="C673" s="2"/>
      <c r="D673" s="4" t="s">
        <v>4120</v>
      </c>
      <c r="E673" s="136">
        <v>9.5</v>
      </c>
      <c r="F673" s="2"/>
      <c r="G673" s="4" t="s">
        <v>4214</v>
      </c>
      <c r="H673" s="136">
        <v>8.5</v>
      </c>
      <c r="I673" s="2"/>
      <c r="J673" s="4" t="s">
        <v>4200</v>
      </c>
      <c r="K673" s="136">
        <v>8</v>
      </c>
      <c r="L673" s="2"/>
      <c r="M673" s="4" t="s">
        <v>4182</v>
      </c>
      <c r="N673" s="136">
        <v>7.5</v>
      </c>
      <c r="O673" s="16"/>
    </row>
    <row r="674" spans="1:15" s="3" customFormat="1" ht="16" customHeight="1" thickBot="1" x14ac:dyDescent="0.25">
      <c r="A674" s="11" t="s">
        <v>4235</v>
      </c>
      <c r="B674" s="189">
        <v>8.5</v>
      </c>
      <c r="C674" s="2"/>
      <c r="D674" s="7" t="s">
        <v>4121</v>
      </c>
      <c r="E674" s="190">
        <v>8.5</v>
      </c>
      <c r="F674" s="2"/>
      <c r="G674" s="4" t="s">
        <v>4215</v>
      </c>
      <c r="H674" s="136">
        <v>9</v>
      </c>
      <c r="I674" s="2"/>
      <c r="J674" s="7" t="s">
        <v>4201</v>
      </c>
      <c r="K674" s="190">
        <v>8.5</v>
      </c>
      <c r="L674" s="2"/>
      <c r="M674" s="7" t="s">
        <v>4183</v>
      </c>
      <c r="N674" s="190">
        <v>8</v>
      </c>
      <c r="O674" s="16"/>
    </row>
    <row r="675" spans="1:15" s="3" customFormat="1" ht="16" customHeight="1" thickBot="1" x14ac:dyDescent="0.25">
      <c r="A675" s="4" t="s">
        <v>4236</v>
      </c>
      <c r="B675" s="136">
        <v>10</v>
      </c>
      <c r="C675" s="2"/>
      <c r="D675" s="2"/>
      <c r="E675" s="2"/>
      <c r="F675" s="2"/>
      <c r="G675" s="4" t="s">
        <v>4216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4237</v>
      </c>
      <c r="B676" s="136">
        <v>8.5</v>
      </c>
      <c r="C676" s="2"/>
      <c r="D676" s="455" t="s">
        <v>4305</v>
      </c>
      <c r="E676" s="12">
        <f>ROUND(AVERAGE(E677:E685), 2)</f>
        <v>8.69</v>
      </c>
      <c r="F676" s="2"/>
      <c r="G676" s="4" t="s">
        <v>4217</v>
      </c>
      <c r="H676" s="136">
        <v>8</v>
      </c>
      <c r="I676" s="2"/>
      <c r="J676" s="456" t="s">
        <v>4316</v>
      </c>
      <c r="K676" s="12">
        <f>ROUND(AVERAGE(K677:K689), 2)</f>
        <v>8.42</v>
      </c>
      <c r="L676" s="2"/>
      <c r="M676" s="457" t="s">
        <v>4334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4238</v>
      </c>
      <c r="B677" s="136">
        <v>8</v>
      </c>
      <c r="C677" s="2"/>
      <c r="D677" s="11" t="s">
        <v>4306</v>
      </c>
      <c r="E677" s="189">
        <v>9</v>
      </c>
      <c r="F677" s="2"/>
      <c r="G677" s="4" t="s">
        <v>4218</v>
      </c>
      <c r="H677" s="136">
        <v>7.5</v>
      </c>
      <c r="I677" s="2"/>
      <c r="J677" s="11" t="s">
        <v>4317</v>
      </c>
      <c r="K677" s="189">
        <v>8</v>
      </c>
      <c r="L677" s="2"/>
      <c r="M677" s="11" t="s">
        <v>4335</v>
      </c>
      <c r="N677" s="189">
        <v>10.5</v>
      </c>
      <c r="O677" s="16"/>
    </row>
    <row r="678" spans="1:15" s="3" customFormat="1" ht="16" customHeight="1" x14ac:dyDescent="0.2">
      <c r="A678" s="4" t="s">
        <v>4239</v>
      </c>
      <c r="B678" s="136">
        <v>7.5</v>
      </c>
      <c r="C678" s="2"/>
      <c r="D678" s="4" t="s">
        <v>4307</v>
      </c>
      <c r="E678" s="136">
        <v>9</v>
      </c>
      <c r="F678" s="2"/>
      <c r="G678" s="4" t="s">
        <v>4219</v>
      </c>
      <c r="H678" s="136">
        <v>8.5</v>
      </c>
      <c r="I678" s="2"/>
      <c r="J678" s="4" t="s">
        <v>4318</v>
      </c>
      <c r="K678" s="136">
        <v>8</v>
      </c>
      <c r="L678" s="2"/>
      <c r="M678" s="4" t="s">
        <v>4336</v>
      </c>
      <c r="N678" s="136">
        <v>8.5</v>
      </c>
      <c r="O678" s="16"/>
    </row>
    <row r="679" spans="1:15" s="3" customFormat="1" ht="16" customHeight="1" thickBot="1" x14ac:dyDescent="0.25">
      <c r="A679" s="4" t="s">
        <v>4240</v>
      </c>
      <c r="B679" s="136">
        <v>8</v>
      </c>
      <c r="C679" s="2"/>
      <c r="D679" s="4" t="s">
        <v>4308</v>
      </c>
      <c r="E679" s="136">
        <v>8.5</v>
      </c>
      <c r="F679" s="2"/>
      <c r="G679" s="7" t="s">
        <v>4220</v>
      </c>
      <c r="H679" s="190">
        <v>9</v>
      </c>
      <c r="I679" s="2"/>
      <c r="J679" s="4" t="s">
        <v>4319</v>
      </c>
      <c r="K679" s="136">
        <v>8.5</v>
      </c>
      <c r="L679" s="2"/>
      <c r="M679" s="4" t="s">
        <v>4337</v>
      </c>
      <c r="N679" s="136">
        <v>8</v>
      </c>
      <c r="O679" s="16"/>
    </row>
    <row r="680" spans="1:15" s="3" customFormat="1" ht="16" customHeight="1" thickBot="1" x14ac:dyDescent="0.25">
      <c r="A680" s="4" t="s">
        <v>4241</v>
      </c>
      <c r="B680" s="136">
        <v>8</v>
      </c>
      <c r="C680" s="2"/>
      <c r="D680" s="4" t="s">
        <v>4309</v>
      </c>
      <c r="E680" s="136">
        <v>8.5</v>
      </c>
      <c r="F680" s="2"/>
      <c r="G680" s="2"/>
      <c r="H680" s="2"/>
      <c r="I680" s="2"/>
      <c r="J680" s="4" t="s">
        <v>4320</v>
      </c>
      <c r="K680" s="136">
        <v>9</v>
      </c>
      <c r="L680" s="2"/>
      <c r="M680" s="4" t="s">
        <v>4338</v>
      </c>
      <c r="N680" s="136">
        <v>9</v>
      </c>
      <c r="O680" s="16"/>
    </row>
    <row r="681" spans="1:15" s="3" customFormat="1" ht="16" customHeight="1" thickBot="1" x14ac:dyDescent="0.25">
      <c r="A681" s="4" t="s">
        <v>4242</v>
      </c>
      <c r="B681" s="136">
        <v>9</v>
      </c>
      <c r="C681" s="2"/>
      <c r="D681" s="4" t="s">
        <v>260</v>
      </c>
      <c r="E681" s="136"/>
      <c r="F681" s="2"/>
      <c r="G681" s="458" t="s">
        <v>4349</v>
      </c>
      <c r="H681" s="12">
        <f>ROUND(AVERAGE(H682:H683), 2)</f>
        <v>8.75</v>
      </c>
      <c r="I681" s="2"/>
      <c r="J681" s="4" t="s">
        <v>4321</v>
      </c>
      <c r="K681" s="136">
        <v>7.5</v>
      </c>
      <c r="L681" s="2"/>
      <c r="M681" s="4" t="s">
        <v>4339</v>
      </c>
      <c r="N681" s="136">
        <v>8.5</v>
      </c>
      <c r="O681" s="16"/>
    </row>
    <row r="682" spans="1:15" s="3" customFormat="1" ht="16" customHeight="1" x14ac:dyDescent="0.2">
      <c r="A682" s="4" t="s">
        <v>4243</v>
      </c>
      <c r="B682" s="136">
        <v>9.5</v>
      </c>
      <c r="C682" s="2"/>
      <c r="D682" s="4" t="s">
        <v>4310</v>
      </c>
      <c r="E682" s="136">
        <v>8</v>
      </c>
      <c r="F682" s="2"/>
      <c r="G682" s="11" t="s">
        <v>4350</v>
      </c>
      <c r="H682" s="189">
        <v>9.5</v>
      </c>
      <c r="I682" s="2"/>
      <c r="J682" s="4" t="s">
        <v>4322</v>
      </c>
      <c r="K682" s="136">
        <v>8.5</v>
      </c>
      <c r="L682" s="2"/>
      <c r="M682" s="4" t="s">
        <v>4340</v>
      </c>
      <c r="N682" s="136">
        <v>10</v>
      </c>
      <c r="O682" s="16"/>
    </row>
    <row r="683" spans="1:15" s="3" customFormat="1" ht="16" customHeight="1" thickBot="1" x14ac:dyDescent="0.25">
      <c r="A683" s="4" t="s">
        <v>4244</v>
      </c>
      <c r="B683" s="136">
        <v>8</v>
      </c>
      <c r="C683" s="2"/>
      <c r="D683" s="4" t="s">
        <v>4311</v>
      </c>
      <c r="E683" s="136">
        <v>10</v>
      </c>
      <c r="F683" s="2"/>
      <c r="G683" s="7" t="s">
        <v>4351</v>
      </c>
      <c r="H683" s="190">
        <v>8</v>
      </c>
      <c r="I683" s="2"/>
      <c r="J683" s="4" t="s">
        <v>4323</v>
      </c>
      <c r="K683" s="136">
        <v>8</v>
      </c>
      <c r="L683" s="2"/>
      <c r="M683" s="4" t="s">
        <v>4341</v>
      </c>
      <c r="N683" s="136">
        <v>8</v>
      </c>
      <c r="O683" s="16"/>
    </row>
    <row r="684" spans="1:15" s="3" customFormat="1" ht="16" customHeight="1" thickBot="1" x14ac:dyDescent="0.25">
      <c r="A684" s="4" t="s">
        <v>4245</v>
      </c>
      <c r="B684" s="136">
        <v>10.5</v>
      </c>
      <c r="C684" s="2"/>
      <c r="D684" s="4" t="s">
        <v>4312</v>
      </c>
      <c r="E684" s="136">
        <v>8</v>
      </c>
      <c r="F684" s="2"/>
      <c r="G684" s="2"/>
      <c r="H684" s="2"/>
      <c r="I684" s="2"/>
      <c r="J684" s="4" t="s">
        <v>4324</v>
      </c>
      <c r="K684" s="136">
        <v>10.5</v>
      </c>
      <c r="L684" s="2"/>
      <c r="M684" s="4" t="s">
        <v>4342</v>
      </c>
      <c r="N684" s="136">
        <v>8.5</v>
      </c>
      <c r="O684" s="16"/>
    </row>
    <row r="685" spans="1:15" s="3" customFormat="1" ht="16" customHeight="1" thickBot="1" x14ac:dyDescent="0.25">
      <c r="A685" s="4" t="s">
        <v>4246</v>
      </c>
      <c r="B685" s="136">
        <v>8</v>
      </c>
      <c r="C685" s="2"/>
      <c r="D685" s="7" t="s">
        <v>4313</v>
      </c>
      <c r="E685" s="190">
        <v>8.5</v>
      </c>
      <c r="F685" s="2"/>
      <c r="G685" s="459" t="s">
        <v>4352</v>
      </c>
      <c r="H685" s="12">
        <f>ROUND(AVERAGE(H686:H694), 2)</f>
        <v>8.39</v>
      </c>
      <c r="I685" s="2"/>
      <c r="J685" s="4" t="s">
        <v>2221</v>
      </c>
      <c r="K685" s="136">
        <v>8</v>
      </c>
      <c r="L685" s="2"/>
      <c r="M685" s="4" t="s">
        <v>4343</v>
      </c>
      <c r="N685" s="136">
        <v>8</v>
      </c>
      <c r="O685" s="16"/>
    </row>
    <row r="686" spans="1:15" s="3" customFormat="1" ht="16" customHeight="1" thickBot="1" x14ac:dyDescent="0.25">
      <c r="A686" s="7" t="s">
        <v>4247</v>
      </c>
      <c r="B686" s="190">
        <v>9</v>
      </c>
      <c r="C686" s="2"/>
      <c r="D686" s="2"/>
      <c r="E686" s="2"/>
      <c r="F686" s="2"/>
      <c r="G686" s="11" t="s">
        <v>4353</v>
      </c>
      <c r="H686" s="189">
        <v>8</v>
      </c>
      <c r="I686" s="2"/>
      <c r="J686" s="4" t="s">
        <v>4325</v>
      </c>
      <c r="K686" s="136">
        <v>8</v>
      </c>
      <c r="L686" s="2"/>
      <c r="M686" s="7" t="s">
        <v>4344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4380</v>
      </c>
      <c r="E687" s="12">
        <f>ROUND(AVERAGE(E688:E699), 2)</f>
        <v>8.3800000000000008</v>
      </c>
      <c r="F687" s="2"/>
      <c r="G687" s="4" t="s">
        <v>4354</v>
      </c>
      <c r="H687" s="136">
        <v>7.5</v>
      </c>
      <c r="I687" s="2"/>
      <c r="J687" s="4" t="s">
        <v>4326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4384</v>
      </c>
      <c r="B688" s="12">
        <f>ROUND(AVERAGE(B689:B702), 2)</f>
        <v>8.86</v>
      </c>
      <c r="C688" s="2"/>
      <c r="D688" s="11" t="s">
        <v>4368</v>
      </c>
      <c r="E688" s="189">
        <v>9</v>
      </c>
      <c r="F688" s="2"/>
      <c r="G688" s="4" t="s">
        <v>4355</v>
      </c>
      <c r="H688" s="136">
        <v>8</v>
      </c>
      <c r="I688" s="2"/>
      <c r="J688" s="4" t="s">
        <v>4327</v>
      </c>
      <c r="K688" s="136">
        <v>9</v>
      </c>
      <c r="L688" s="2"/>
      <c r="M688" s="469" t="s">
        <v>4427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4385</v>
      </c>
      <c r="B689" s="189">
        <v>9</v>
      </c>
      <c r="C689" s="2"/>
      <c r="D689" s="4" t="s">
        <v>4369</v>
      </c>
      <c r="E689" s="136">
        <v>8.5</v>
      </c>
      <c r="F689" s="2"/>
      <c r="G689" s="4" t="s">
        <v>4356</v>
      </c>
      <c r="H689" s="136">
        <v>10</v>
      </c>
      <c r="I689" s="2"/>
      <c r="J689" s="7" t="s">
        <v>4328</v>
      </c>
      <c r="K689" s="190">
        <v>8</v>
      </c>
      <c r="L689" s="2"/>
      <c r="M689" s="11" t="s">
        <v>4399</v>
      </c>
      <c r="N689" s="189">
        <v>10</v>
      </c>
      <c r="O689" s="16"/>
    </row>
    <row r="690" spans="1:15" s="3" customFormat="1" ht="16" customHeight="1" thickBot="1" x14ac:dyDescent="0.25">
      <c r="A690" s="4" t="s">
        <v>4386</v>
      </c>
      <c r="B690" s="136">
        <v>8.5</v>
      </c>
      <c r="C690" s="2"/>
      <c r="D690" s="4" t="s">
        <v>4370</v>
      </c>
      <c r="E690" s="136">
        <v>8.5</v>
      </c>
      <c r="F690" s="2"/>
      <c r="G690" s="4" t="s">
        <v>4357</v>
      </c>
      <c r="H690" s="136">
        <v>8.5</v>
      </c>
      <c r="I690" s="2"/>
      <c r="J690" s="2"/>
      <c r="K690" s="2"/>
      <c r="L690" s="2"/>
      <c r="M690" s="4" t="s">
        <v>4400</v>
      </c>
      <c r="N690" s="136">
        <v>10</v>
      </c>
      <c r="O690" s="16"/>
    </row>
    <row r="691" spans="1:15" s="3" customFormat="1" ht="16" customHeight="1" thickBot="1" x14ac:dyDescent="0.25">
      <c r="A691" s="4" t="s">
        <v>4387</v>
      </c>
      <c r="B691" s="136">
        <v>10</v>
      </c>
      <c r="C691" s="2"/>
      <c r="D691" s="4" t="s">
        <v>4371</v>
      </c>
      <c r="E691" s="136">
        <v>9</v>
      </c>
      <c r="F691" s="2"/>
      <c r="G691" s="4" t="s">
        <v>4358</v>
      </c>
      <c r="H691" s="136">
        <v>9.5</v>
      </c>
      <c r="I691" s="2"/>
      <c r="J691" s="468" t="s">
        <v>4410</v>
      </c>
      <c r="K691" s="12">
        <f>ROUND(AVERAGE(K692:K701), 2)</f>
        <v>8.69</v>
      </c>
      <c r="L691" s="2"/>
      <c r="M691" s="4" t="s">
        <v>4401</v>
      </c>
      <c r="N691" s="136">
        <v>10</v>
      </c>
      <c r="O691" s="16"/>
    </row>
    <row r="692" spans="1:15" s="3" customFormat="1" ht="16" customHeight="1" x14ac:dyDescent="0.2">
      <c r="A692" s="4" t="s">
        <v>4388</v>
      </c>
      <c r="B692" s="136">
        <v>9.5</v>
      </c>
      <c r="C692" s="2"/>
      <c r="D692" s="4" t="s">
        <v>4372</v>
      </c>
      <c r="E692" s="136">
        <v>10</v>
      </c>
      <c r="F692" s="2"/>
      <c r="G692" s="4" t="s">
        <v>4359</v>
      </c>
      <c r="H692" s="136">
        <v>9</v>
      </c>
      <c r="I692" s="2"/>
      <c r="J692" s="11" t="s">
        <v>4411</v>
      </c>
      <c r="K692" s="189"/>
      <c r="L692" s="2"/>
      <c r="M692" s="4" t="s">
        <v>4430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4373</v>
      </c>
      <c r="E693" s="136">
        <v>9</v>
      </c>
      <c r="F693" s="2"/>
      <c r="G693" s="4" t="s">
        <v>4360</v>
      </c>
      <c r="H693" s="136">
        <v>7.5</v>
      </c>
      <c r="I693" s="2"/>
      <c r="J693" s="4" t="s">
        <v>4412</v>
      </c>
      <c r="K693" s="136">
        <v>10.5</v>
      </c>
      <c r="L693" s="2"/>
      <c r="M693" s="4" t="s">
        <v>4402</v>
      </c>
      <c r="N693" s="136">
        <v>10.5</v>
      </c>
      <c r="O693" s="16"/>
    </row>
    <row r="694" spans="1:15" s="3" customFormat="1" ht="16" customHeight="1" thickBot="1" x14ac:dyDescent="0.25">
      <c r="A694" s="4" t="s">
        <v>4389</v>
      </c>
      <c r="B694" s="136">
        <v>9</v>
      </c>
      <c r="C694" s="2"/>
      <c r="D694" s="4" t="s">
        <v>4374</v>
      </c>
      <c r="E694" s="136">
        <v>8</v>
      </c>
      <c r="F694" s="2"/>
      <c r="G694" s="7" t="s">
        <v>4361</v>
      </c>
      <c r="H694" s="190">
        <v>7.5</v>
      </c>
      <c r="I694" s="2"/>
      <c r="J694" s="4" t="s">
        <v>4413</v>
      </c>
      <c r="K694" s="136">
        <v>8</v>
      </c>
      <c r="L694" s="2"/>
      <c r="M694" s="4" t="s">
        <v>4403</v>
      </c>
      <c r="N694" s="136">
        <v>8.5</v>
      </c>
      <c r="O694" s="16"/>
    </row>
    <row r="695" spans="1:15" s="3" customFormat="1" ht="16" customHeight="1" thickBot="1" x14ac:dyDescent="0.25">
      <c r="A695" s="4" t="s">
        <v>4390</v>
      </c>
      <c r="B695" s="136">
        <v>8.5</v>
      </c>
      <c r="C695" s="2"/>
      <c r="D695" s="4" t="s">
        <v>4375</v>
      </c>
      <c r="E695" s="136">
        <v>7</v>
      </c>
      <c r="F695" s="2"/>
      <c r="G695" s="2"/>
      <c r="H695" s="2"/>
      <c r="I695" s="2"/>
      <c r="J695" s="4" t="s">
        <v>4414</v>
      </c>
      <c r="K695" s="136"/>
      <c r="L695" s="2"/>
      <c r="M695" s="4" t="s">
        <v>4404</v>
      </c>
      <c r="N695" s="136"/>
      <c r="O695" s="16"/>
    </row>
    <row r="696" spans="1:15" s="3" customFormat="1" ht="16" customHeight="1" thickBot="1" x14ac:dyDescent="0.25">
      <c r="A696" s="4" t="s">
        <v>4391</v>
      </c>
      <c r="B696" s="136">
        <v>8</v>
      </c>
      <c r="C696" s="2"/>
      <c r="D696" s="4" t="s">
        <v>4376</v>
      </c>
      <c r="E696" s="136">
        <v>7.5</v>
      </c>
      <c r="F696" s="2"/>
      <c r="G696" s="471" t="s">
        <v>4457</v>
      </c>
      <c r="H696" s="12">
        <f>ROUND(AVERAGE(H697:H705), 2)</f>
        <v>8</v>
      </c>
      <c r="I696" s="2"/>
      <c r="J696" s="4" t="s">
        <v>4415</v>
      </c>
      <c r="K696" s="136">
        <v>8</v>
      </c>
      <c r="L696" s="2"/>
      <c r="M696" s="4" t="s">
        <v>4405</v>
      </c>
      <c r="N696" s="136">
        <v>7</v>
      </c>
      <c r="O696" s="16"/>
    </row>
    <row r="697" spans="1:15" s="3" customFormat="1" ht="16" customHeight="1" x14ac:dyDescent="0.2">
      <c r="A697" s="4" t="s">
        <v>4392</v>
      </c>
      <c r="B697" s="136">
        <v>10.5</v>
      </c>
      <c r="C697" s="2"/>
      <c r="D697" s="4" t="s">
        <v>4377</v>
      </c>
      <c r="E697" s="136">
        <v>8.5</v>
      </c>
      <c r="F697" s="2"/>
      <c r="G697" s="11" t="s">
        <v>4432</v>
      </c>
      <c r="H697" s="189">
        <v>7.5</v>
      </c>
      <c r="I697" s="2"/>
      <c r="J697" s="4" t="s">
        <v>4416</v>
      </c>
      <c r="K697" s="136">
        <v>9.5</v>
      </c>
      <c r="L697" s="2"/>
      <c r="M697" s="4" t="s">
        <v>4406</v>
      </c>
      <c r="N697" s="136">
        <v>8.5</v>
      </c>
      <c r="O697" s="16"/>
    </row>
    <row r="698" spans="1:15" s="3" customFormat="1" ht="16" customHeight="1" x14ac:dyDescent="0.2">
      <c r="A698" s="4" t="s">
        <v>4393</v>
      </c>
      <c r="B698" s="136">
        <v>9</v>
      </c>
      <c r="C698" s="2"/>
      <c r="D698" s="4" t="s">
        <v>4378</v>
      </c>
      <c r="E698" s="136">
        <v>7.5</v>
      </c>
      <c r="F698" s="2"/>
      <c r="G698" s="4" t="s">
        <v>4433</v>
      </c>
      <c r="H698" s="136">
        <v>8</v>
      </c>
      <c r="I698" s="2"/>
      <c r="J698" s="4" t="s">
        <v>4417</v>
      </c>
      <c r="K698" s="136">
        <v>8.5</v>
      </c>
      <c r="L698" s="2"/>
      <c r="M698" s="4" t="s">
        <v>4407</v>
      </c>
      <c r="N698" s="136">
        <v>9</v>
      </c>
      <c r="O698" s="16"/>
    </row>
    <row r="699" spans="1:15" s="3" customFormat="1" ht="16" customHeight="1" thickBot="1" x14ac:dyDescent="0.25">
      <c r="A699" s="4" t="s">
        <v>4394</v>
      </c>
      <c r="B699" s="136">
        <v>8</v>
      </c>
      <c r="C699" s="2"/>
      <c r="D699" s="7" t="s">
        <v>4379</v>
      </c>
      <c r="E699" s="190">
        <v>8</v>
      </c>
      <c r="F699" s="2"/>
      <c r="G699" s="4" t="s">
        <v>4434</v>
      </c>
      <c r="H699" s="136">
        <v>8</v>
      </c>
      <c r="I699" s="2"/>
      <c r="J699" s="4" t="s">
        <v>4418</v>
      </c>
      <c r="K699" s="136">
        <v>8</v>
      </c>
      <c r="L699" s="2"/>
      <c r="M699" s="4" t="s">
        <v>4408</v>
      </c>
      <c r="N699" s="136">
        <v>8</v>
      </c>
      <c r="O699" s="16"/>
    </row>
    <row r="700" spans="1:15" s="3" customFormat="1" ht="16" customHeight="1" thickBot="1" x14ac:dyDescent="0.25">
      <c r="A700" s="4" t="s">
        <v>4395</v>
      </c>
      <c r="B700" s="136">
        <v>10</v>
      </c>
      <c r="C700" s="2"/>
      <c r="D700" s="2"/>
      <c r="E700" s="2"/>
      <c r="F700" s="2"/>
      <c r="G700" s="4" t="s">
        <v>4435</v>
      </c>
      <c r="H700" s="136">
        <v>9</v>
      </c>
      <c r="I700" s="2"/>
      <c r="J700" s="4" t="s">
        <v>4419</v>
      </c>
      <c r="K700" s="136">
        <v>8.5</v>
      </c>
      <c r="L700" s="2"/>
      <c r="M700" s="7" t="s">
        <v>4409</v>
      </c>
      <c r="N700" s="190">
        <v>8</v>
      </c>
      <c r="O700" s="16"/>
    </row>
    <row r="701" spans="1:15" s="3" customFormat="1" ht="16" customHeight="1" thickBot="1" x14ac:dyDescent="0.25">
      <c r="A701" s="4" t="s">
        <v>4396</v>
      </c>
      <c r="B701" s="136">
        <v>8</v>
      </c>
      <c r="C701" s="2"/>
      <c r="D701" s="470" t="s">
        <v>4443</v>
      </c>
      <c r="E701" s="12">
        <f>ROUND(AVERAGE(E702:E710), 2)</f>
        <v>9</v>
      </c>
      <c r="F701" s="2"/>
      <c r="G701" s="4" t="s">
        <v>4436</v>
      </c>
      <c r="H701" s="136">
        <v>8.5</v>
      </c>
      <c r="I701" s="2"/>
      <c r="J701" s="7" t="s">
        <v>4420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4397</v>
      </c>
      <c r="B702" s="190">
        <v>8</v>
      </c>
      <c r="C702" s="2"/>
      <c r="D702" s="11" t="s">
        <v>4444</v>
      </c>
      <c r="E702" s="189">
        <v>9.5</v>
      </c>
      <c r="F702" s="2"/>
      <c r="G702" s="4" t="s">
        <v>4437</v>
      </c>
      <c r="H702" s="136">
        <v>8</v>
      </c>
      <c r="I702" s="2"/>
      <c r="J702" s="2"/>
      <c r="K702" s="2"/>
      <c r="L702" s="2"/>
      <c r="M702" s="473" t="s">
        <v>4469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4445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4484</v>
      </c>
      <c r="K703" s="12">
        <f>ROUND(AVERAGE(K704:K717), 2)</f>
        <v>8.69</v>
      </c>
      <c r="L703" s="2"/>
      <c r="M703" s="11" t="s">
        <v>4461</v>
      </c>
      <c r="N703" s="189">
        <v>8.5</v>
      </c>
      <c r="O703" s="16"/>
    </row>
    <row r="704" spans="1:15" s="3" customFormat="1" ht="16" customHeight="1" thickBot="1" x14ac:dyDescent="0.25">
      <c r="A704" s="476" t="s">
        <v>4507</v>
      </c>
      <c r="B704" s="12">
        <f>ROUND(AVERAGE(B705:B715), 2)</f>
        <v>8.8000000000000007</v>
      </c>
      <c r="C704" s="2"/>
      <c r="D704" s="4" t="s">
        <v>4446</v>
      </c>
      <c r="E704" s="136">
        <v>8.5</v>
      </c>
      <c r="F704" s="2"/>
      <c r="G704" s="4" t="s">
        <v>4438</v>
      </c>
      <c r="H704" s="136">
        <v>8</v>
      </c>
      <c r="I704" s="2"/>
      <c r="J704" s="11" t="s">
        <v>4470</v>
      </c>
      <c r="K704" s="189"/>
      <c r="L704" s="2"/>
      <c r="M704" s="4" t="s">
        <v>4462</v>
      </c>
      <c r="N704" s="136">
        <v>8</v>
      </c>
      <c r="O704" s="16"/>
    </row>
    <row r="705" spans="1:15" s="3" customFormat="1" ht="16" customHeight="1" thickBot="1" x14ac:dyDescent="0.25">
      <c r="A705" s="475" t="s">
        <v>4496</v>
      </c>
      <c r="B705" s="189"/>
      <c r="C705" s="2"/>
      <c r="D705" s="4" t="s">
        <v>4447</v>
      </c>
      <c r="E705" s="136">
        <v>8.5</v>
      </c>
      <c r="F705" s="2"/>
      <c r="G705" s="7" t="s">
        <v>4439</v>
      </c>
      <c r="H705" s="190">
        <v>7.5</v>
      </c>
      <c r="I705" s="2"/>
      <c r="J705" s="4" t="s">
        <v>4471</v>
      </c>
      <c r="K705" s="136">
        <v>9</v>
      </c>
      <c r="L705" s="2"/>
      <c r="M705" s="4" t="s">
        <v>4463</v>
      </c>
      <c r="N705" s="136">
        <v>7.5</v>
      </c>
      <c r="O705" s="16"/>
    </row>
    <row r="706" spans="1:15" s="3" customFormat="1" ht="16" customHeight="1" thickBot="1" x14ac:dyDescent="0.25">
      <c r="A706" s="4" t="s">
        <v>4497</v>
      </c>
      <c r="B706" s="136">
        <v>9.5</v>
      </c>
      <c r="C706" s="2"/>
      <c r="D706" s="4" t="s">
        <v>4448</v>
      </c>
      <c r="E706" s="136">
        <v>8</v>
      </c>
      <c r="F706" s="2"/>
      <c r="G706" s="2"/>
      <c r="H706" s="2"/>
      <c r="I706" s="2"/>
      <c r="J706" s="4" t="s">
        <v>4472</v>
      </c>
      <c r="K706" s="136">
        <v>7.5</v>
      </c>
      <c r="L706" s="2"/>
      <c r="M706" s="4" t="s">
        <v>4464</v>
      </c>
      <c r="N706" s="136">
        <v>8.5</v>
      </c>
      <c r="O706" s="16"/>
    </row>
    <row r="707" spans="1:15" s="3" customFormat="1" ht="16" customHeight="1" thickBot="1" x14ac:dyDescent="0.25">
      <c r="A707" s="4" t="s">
        <v>4498</v>
      </c>
      <c r="B707" s="136">
        <v>10</v>
      </c>
      <c r="C707" s="2"/>
      <c r="D707" s="4" t="s">
        <v>4449</v>
      </c>
      <c r="E707" s="136">
        <v>8.5</v>
      </c>
      <c r="F707" s="2"/>
      <c r="G707" s="477" t="s">
        <v>4517</v>
      </c>
      <c r="H707" s="12">
        <f>ROUND(AVERAGE(H708:H716), 2)</f>
        <v>8.11</v>
      </c>
      <c r="I707" s="2"/>
      <c r="J707" s="4" t="s">
        <v>4473</v>
      </c>
      <c r="K707" s="136">
        <v>7.5</v>
      </c>
      <c r="L707" s="2"/>
      <c r="M707" s="4" t="s">
        <v>4465</v>
      </c>
      <c r="N707" s="136">
        <v>8</v>
      </c>
      <c r="O707" s="16"/>
    </row>
    <row r="708" spans="1:15" s="3" customFormat="1" ht="16" customHeight="1" x14ac:dyDescent="0.2">
      <c r="A708" s="4" t="s">
        <v>4499</v>
      </c>
      <c r="B708" s="136">
        <v>8.5</v>
      </c>
      <c r="C708" s="2"/>
      <c r="D708" s="4" t="s">
        <v>4450</v>
      </c>
      <c r="E708" s="136">
        <v>9</v>
      </c>
      <c r="F708" s="2"/>
      <c r="G708" s="11" t="s">
        <v>4508</v>
      </c>
      <c r="H708" s="189">
        <v>9.5</v>
      </c>
      <c r="I708" s="2"/>
      <c r="J708" s="4" t="s">
        <v>4474</v>
      </c>
      <c r="K708" s="136">
        <v>10</v>
      </c>
      <c r="L708" s="2"/>
      <c r="M708" s="4" t="s">
        <v>4466</v>
      </c>
      <c r="N708" s="136">
        <v>8</v>
      </c>
      <c r="O708" s="16"/>
    </row>
    <row r="709" spans="1:15" s="3" customFormat="1" ht="16" customHeight="1" thickBot="1" x14ac:dyDescent="0.25">
      <c r="A709" t="s">
        <v>4500</v>
      </c>
      <c r="B709" s="136">
        <v>8.5</v>
      </c>
      <c r="C709" s="2"/>
      <c r="D709" s="7" t="s">
        <v>4451</v>
      </c>
      <c r="E709" s="190">
        <v>10</v>
      </c>
      <c r="F709" s="2"/>
      <c r="G709" s="4" t="s">
        <v>4509</v>
      </c>
      <c r="H709" s="136">
        <v>8.5</v>
      </c>
      <c r="I709" s="2"/>
      <c r="J709" s="4" t="s">
        <v>4475</v>
      </c>
      <c r="K709" s="136">
        <v>8</v>
      </c>
      <c r="L709" s="2"/>
      <c r="M709" s="4" t="s">
        <v>4467</v>
      </c>
      <c r="N709" s="136">
        <v>7.5</v>
      </c>
      <c r="O709" s="16"/>
    </row>
    <row r="710" spans="1:15" s="3" customFormat="1" ht="16" customHeight="1" thickBot="1" x14ac:dyDescent="0.25">
      <c r="A710" s="4" t="s">
        <v>4501</v>
      </c>
      <c r="B710" s="136">
        <v>9</v>
      </c>
      <c r="C710" s="2"/>
      <c r="D710" s="2"/>
      <c r="E710" s="2"/>
      <c r="F710" s="2"/>
      <c r="G710" s="4" t="s">
        <v>4510</v>
      </c>
      <c r="H710" s="136">
        <v>8.5</v>
      </c>
      <c r="I710" s="2"/>
      <c r="J710" s="4" t="s">
        <v>4476</v>
      </c>
      <c r="K710" s="136">
        <v>10</v>
      </c>
      <c r="L710" s="2"/>
      <c r="M710" s="7" t="s">
        <v>4468</v>
      </c>
      <c r="N710" s="190">
        <v>7</v>
      </c>
      <c r="O710" s="16"/>
    </row>
    <row r="711" spans="1:15" s="3" customFormat="1" ht="16" customHeight="1" thickBot="1" x14ac:dyDescent="0.25">
      <c r="A711" s="4" t="s">
        <v>4502</v>
      </c>
      <c r="B711" s="136">
        <v>8.5</v>
      </c>
      <c r="C711" s="2"/>
      <c r="D711" s="478" t="s">
        <v>4521</v>
      </c>
      <c r="E711" s="12">
        <f>ROUND(AVERAGE(E712:E720), 2)</f>
        <v>6.06</v>
      </c>
      <c r="F711" s="2"/>
      <c r="G711" s="4" t="s">
        <v>4511</v>
      </c>
      <c r="H711" s="136">
        <v>8</v>
      </c>
      <c r="I711" s="2"/>
      <c r="J711" s="4" t="s">
        <v>4477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4503</v>
      </c>
      <c r="B712" s="136">
        <v>8</v>
      </c>
      <c r="C712" s="2"/>
      <c r="D712" s="11" t="s">
        <v>4522</v>
      </c>
      <c r="E712" s="189">
        <v>6.5</v>
      </c>
      <c r="F712" s="2"/>
      <c r="G712" s="4" t="s">
        <v>4512</v>
      </c>
      <c r="H712" s="136">
        <v>8</v>
      </c>
      <c r="I712" s="2"/>
      <c r="J712" s="4" t="s">
        <v>4478</v>
      </c>
      <c r="K712" s="136">
        <v>8.5</v>
      </c>
      <c r="L712" s="2"/>
      <c r="M712" s="479" t="s">
        <v>4546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4504</v>
      </c>
      <c r="B713" s="136">
        <v>8.5</v>
      </c>
      <c r="C713" s="2"/>
      <c r="D713" s="4" t="s">
        <v>4523</v>
      </c>
      <c r="E713" s="136">
        <v>8</v>
      </c>
      <c r="F713" s="2"/>
      <c r="G713" s="4" t="s">
        <v>4513</v>
      </c>
      <c r="H713" s="136">
        <v>7.5</v>
      </c>
      <c r="I713" s="2"/>
      <c r="J713" s="4" t="s">
        <v>4479</v>
      </c>
      <c r="K713" s="136">
        <v>7.5</v>
      </c>
      <c r="L713" s="2"/>
      <c r="M713" s="11" t="s">
        <v>4537</v>
      </c>
      <c r="N713" s="189">
        <v>10.5</v>
      </c>
      <c r="O713" s="16"/>
    </row>
    <row r="714" spans="1:15" s="3" customFormat="1" ht="16" customHeight="1" x14ac:dyDescent="0.2">
      <c r="A714" t="s">
        <v>4505</v>
      </c>
      <c r="B714" s="136">
        <v>9.5</v>
      </c>
      <c r="C714" s="2"/>
      <c r="D714" s="4" t="s">
        <v>4524</v>
      </c>
      <c r="E714" s="136">
        <v>7.5</v>
      </c>
      <c r="F714" s="2"/>
      <c r="G714" s="4" t="s">
        <v>4514</v>
      </c>
      <c r="H714" s="136">
        <v>7.5</v>
      </c>
      <c r="I714" s="2"/>
      <c r="J714" s="4" t="s">
        <v>4480</v>
      </c>
      <c r="K714" s="136">
        <v>9</v>
      </c>
      <c r="L714" s="2"/>
      <c r="M714" s="4" t="s">
        <v>4538</v>
      </c>
      <c r="N714" s="136">
        <v>9</v>
      </c>
      <c r="O714" s="16"/>
    </row>
    <row r="715" spans="1:15" s="3" customFormat="1" ht="16" customHeight="1" thickBot="1" x14ac:dyDescent="0.25">
      <c r="A715" t="s">
        <v>4506</v>
      </c>
      <c r="B715" s="190">
        <v>8</v>
      </c>
      <c r="C715" s="2"/>
      <c r="D715" s="4" t="s">
        <v>4525</v>
      </c>
      <c r="E715" s="136">
        <v>6</v>
      </c>
      <c r="F715" s="2"/>
      <c r="G715" s="4" t="s">
        <v>4515</v>
      </c>
      <c r="H715" s="136">
        <v>7</v>
      </c>
      <c r="I715" s="2"/>
      <c r="J715" s="4" t="s">
        <v>4481</v>
      </c>
      <c r="K715" s="136">
        <v>9</v>
      </c>
      <c r="L715" s="2"/>
      <c r="M715" s="4" t="s">
        <v>4539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4526</v>
      </c>
      <c r="E716" s="136">
        <v>6.5</v>
      </c>
      <c r="F716" s="2"/>
      <c r="G716" s="7" t="s">
        <v>4516</v>
      </c>
      <c r="H716" s="190">
        <v>8.5</v>
      </c>
      <c r="I716" s="2"/>
      <c r="J716" s="4" t="s">
        <v>4482</v>
      </c>
      <c r="K716" s="136">
        <v>10.5</v>
      </c>
      <c r="L716" s="2"/>
      <c r="M716" s="4" t="s">
        <v>4540</v>
      </c>
      <c r="N716" s="136">
        <v>8</v>
      </c>
      <c r="O716" s="16"/>
    </row>
    <row r="717" spans="1:15" s="3" customFormat="1" ht="16" customHeight="1" thickBot="1" x14ac:dyDescent="0.25">
      <c r="A717" s="482" t="s">
        <v>4583</v>
      </c>
      <c r="B717" s="12">
        <f>ROUND(AVERAGE(B718:B723), 2)</f>
        <v>9.5</v>
      </c>
      <c r="C717" s="2"/>
      <c r="D717" s="4" t="s">
        <v>4527</v>
      </c>
      <c r="E717" s="136">
        <v>6</v>
      </c>
      <c r="F717" s="2"/>
      <c r="G717" s="2"/>
      <c r="H717" s="2"/>
      <c r="I717" s="2"/>
      <c r="J717" s="7" t="s">
        <v>4483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4560</v>
      </c>
      <c r="B718" s="189">
        <v>10</v>
      </c>
      <c r="C718" s="2"/>
      <c r="D718" s="4" t="s">
        <v>4528</v>
      </c>
      <c r="E718" s="136">
        <v>4</v>
      </c>
      <c r="F718" s="2"/>
      <c r="G718" s="480" t="s">
        <v>4547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4561</v>
      </c>
      <c r="B719" s="136">
        <v>10</v>
      </c>
      <c r="C719" s="2"/>
      <c r="D719" s="4" t="s">
        <v>4529</v>
      </c>
      <c r="E719" s="136">
        <v>5</v>
      </c>
      <c r="F719" s="2"/>
      <c r="G719" s="11" t="s">
        <v>4548</v>
      </c>
      <c r="H719" s="189"/>
      <c r="I719" s="2"/>
      <c r="J719" s="481" t="s">
        <v>4556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4562</v>
      </c>
      <c r="B720" s="136">
        <v>10</v>
      </c>
      <c r="C720" s="2"/>
      <c r="D720" s="7" t="s">
        <v>4530</v>
      </c>
      <c r="E720" s="190">
        <v>5</v>
      </c>
      <c r="F720" s="2"/>
      <c r="G720" s="4" t="s">
        <v>4549</v>
      </c>
      <c r="H720" s="136">
        <v>8.5</v>
      </c>
      <c r="I720" s="2"/>
      <c r="J720" s="11" t="s">
        <v>4557</v>
      </c>
      <c r="K720" s="189">
        <v>9</v>
      </c>
      <c r="L720" s="2"/>
      <c r="M720" s="4" t="s">
        <v>4541</v>
      </c>
      <c r="N720" s="136">
        <v>8.5</v>
      </c>
      <c r="O720" s="16"/>
    </row>
    <row r="721" spans="1:15" s="3" customFormat="1" ht="16" customHeight="1" thickBot="1" x14ac:dyDescent="0.25">
      <c r="A721" s="4" t="s">
        <v>4563</v>
      </c>
      <c r="B721" s="136">
        <v>8.5</v>
      </c>
      <c r="C721" s="2"/>
      <c r="D721" s="2"/>
      <c r="E721" s="2"/>
      <c r="F721" s="2"/>
      <c r="G721" s="4" t="s">
        <v>4550</v>
      </c>
      <c r="H721" s="136">
        <v>9</v>
      </c>
      <c r="I721" s="2"/>
      <c r="J721" s="4" t="s">
        <v>4558</v>
      </c>
      <c r="K721" s="136">
        <v>7.5</v>
      </c>
      <c r="L721" s="2"/>
      <c r="M721" s="4" t="s">
        <v>4542</v>
      </c>
      <c r="N721" s="136">
        <v>8</v>
      </c>
      <c r="O721" s="16"/>
    </row>
    <row r="722" spans="1:15" s="3" customFormat="1" ht="16" customHeight="1" thickBot="1" x14ac:dyDescent="0.25">
      <c r="A722" s="4" t="s">
        <v>4564</v>
      </c>
      <c r="B722" s="136">
        <v>10.5</v>
      </c>
      <c r="C722" s="2"/>
      <c r="D722" s="483" t="s">
        <v>4598</v>
      </c>
      <c r="E722" s="12">
        <f>ROUND(AVERAGE(E723:E736), 2)</f>
        <v>8.86</v>
      </c>
      <c r="F722" s="2"/>
      <c r="G722" s="4" t="s">
        <v>4551</v>
      </c>
      <c r="H722" s="136"/>
      <c r="I722" s="2"/>
      <c r="J722" s="7" t="s">
        <v>4559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4565</v>
      </c>
      <c r="B723" s="190">
        <v>8</v>
      </c>
      <c r="C723" s="2"/>
      <c r="D723" s="5" t="s">
        <v>4584</v>
      </c>
      <c r="E723" s="189"/>
      <c r="F723" s="2"/>
      <c r="G723" s="4" t="s">
        <v>4552</v>
      </c>
      <c r="H723" s="136">
        <v>9</v>
      </c>
      <c r="I723" s="2"/>
      <c r="J723" s="2"/>
      <c r="K723" s="2"/>
      <c r="L723" s="2"/>
      <c r="M723" s="4" t="s">
        <v>4543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4585</v>
      </c>
      <c r="E724" s="136">
        <v>9</v>
      </c>
      <c r="F724" s="2"/>
      <c r="G724" s="4" t="s">
        <v>4553</v>
      </c>
      <c r="H724" s="136">
        <v>8</v>
      </c>
      <c r="I724" s="2"/>
      <c r="J724" s="484" t="s">
        <v>4600</v>
      </c>
      <c r="K724" s="12">
        <f>ROUND(AVERAGE(K725:K729), 2)</f>
        <v>8.6</v>
      </c>
      <c r="L724" s="2"/>
      <c r="M724" s="4" t="s">
        <v>4544</v>
      </c>
      <c r="N724" s="136">
        <v>8</v>
      </c>
      <c r="O724" s="16"/>
    </row>
    <row r="725" spans="1:15" s="3" customFormat="1" ht="16" customHeight="1" thickBot="1" x14ac:dyDescent="0.25">
      <c r="A725" s="486" t="s">
        <v>4613</v>
      </c>
      <c r="B725" s="12">
        <f>ROUND(AVERAGE(B726:B733), 2)</f>
        <v>8.6300000000000008</v>
      </c>
      <c r="C725" s="2"/>
      <c r="D725" s="6" t="s">
        <v>4586</v>
      </c>
      <c r="E725" s="136">
        <v>8</v>
      </c>
      <c r="F725" s="2"/>
      <c r="G725" s="4" t="s">
        <v>4554</v>
      </c>
      <c r="H725" s="136">
        <v>10</v>
      </c>
      <c r="I725" s="2"/>
      <c r="J725" s="11" t="s">
        <v>4599</v>
      </c>
      <c r="K725" s="189">
        <v>8.5</v>
      </c>
      <c r="L725" s="2"/>
      <c r="M725" s="7" t="s">
        <v>4545</v>
      </c>
      <c r="N725" s="190">
        <v>7.5</v>
      </c>
      <c r="O725" s="16"/>
    </row>
    <row r="726" spans="1:15" s="3" customFormat="1" ht="16" customHeight="1" thickBot="1" x14ac:dyDescent="0.25">
      <c r="A726" s="11" t="s">
        <v>4614</v>
      </c>
      <c r="B726" s="189">
        <v>8.5</v>
      </c>
      <c r="C726" s="2"/>
      <c r="D726" s="6" t="s">
        <v>4587</v>
      </c>
      <c r="E726" s="136">
        <v>9</v>
      </c>
      <c r="F726" s="2"/>
      <c r="G726" s="7" t="s">
        <v>4555</v>
      </c>
      <c r="H726" s="190">
        <v>8</v>
      </c>
      <c r="I726" s="2"/>
      <c r="J726" s="4" t="s">
        <v>4601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4615</v>
      </c>
      <c r="B727" s="136">
        <v>10</v>
      </c>
      <c r="C727" s="2"/>
      <c r="D727" s="6" t="s">
        <v>4588</v>
      </c>
      <c r="E727" s="136"/>
      <c r="F727" s="2"/>
      <c r="G727" s="2"/>
      <c r="H727" s="2"/>
      <c r="I727" s="2"/>
      <c r="J727" s="4" t="s">
        <v>4602</v>
      </c>
      <c r="K727" s="136">
        <v>8</v>
      </c>
      <c r="L727" s="2"/>
      <c r="M727" s="487" t="s">
        <v>4629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4616</v>
      </c>
      <c r="B728" s="136">
        <v>8.5</v>
      </c>
      <c r="C728" s="2"/>
      <c r="D728" s="6" t="s">
        <v>4589</v>
      </c>
      <c r="E728" s="136">
        <v>9</v>
      </c>
      <c r="F728" s="2"/>
      <c r="G728" s="488" t="s">
        <v>4656</v>
      </c>
      <c r="H728" s="12">
        <f>ROUND(AVERAGE(H729:H739), 2)</f>
        <v>8.68</v>
      </c>
      <c r="I728" s="2"/>
      <c r="J728" s="4" t="s">
        <v>4603</v>
      </c>
      <c r="K728" s="136">
        <v>8.5</v>
      </c>
      <c r="L728" s="2"/>
      <c r="M728" s="11" t="s">
        <v>4630</v>
      </c>
      <c r="N728" s="189">
        <v>10</v>
      </c>
      <c r="O728" s="16"/>
    </row>
    <row r="729" spans="1:15" s="3" customFormat="1" ht="16" customHeight="1" thickBot="1" x14ac:dyDescent="0.25">
      <c r="A729" s="4" t="s">
        <v>4617</v>
      </c>
      <c r="B729" s="136">
        <v>8</v>
      </c>
      <c r="C729" s="2"/>
      <c r="D729" s="6" t="s">
        <v>4590</v>
      </c>
      <c r="E729" s="136">
        <v>8</v>
      </c>
      <c r="F729" s="2"/>
      <c r="G729" s="11" t="s">
        <v>4645</v>
      </c>
      <c r="H729" s="189">
        <v>9</v>
      </c>
      <c r="I729" s="2"/>
      <c r="J729" s="7" t="s">
        <v>4604</v>
      </c>
      <c r="K729" s="190">
        <v>9.5</v>
      </c>
      <c r="L729" s="2"/>
      <c r="M729" s="4" t="s">
        <v>4631</v>
      </c>
      <c r="N729" s="136">
        <v>9</v>
      </c>
      <c r="O729" s="16"/>
    </row>
    <row r="730" spans="1:15" s="3" customFormat="1" ht="16" customHeight="1" thickBot="1" x14ac:dyDescent="0.25">
      <c r="A730" s="4" t="s">
        <v>4618</v>
      </c>
      <c r="B730" s="136">
        <v>9</v>
      </c>
      <c r="C730" s="2"/>
      <c r="D730" s="6" t="s">
        <v>4591</v>
      </c>
      <c r="E730" s="136">
        <v>9.5</v>
      </c>
      <c r="F730" s="2"/>
      <c r="G730" s="4" t="s">
        <v>4646</v>
      </c>
      <c r="H730" s="136">
        <v>8.5</v>
      </c>
      <c r="I730" s="2"/>
      <c r="J730" s="2"/>
      <c r="K730" s="2"/>
      <c r="L730" s="2"/>
      <c r="M730" s="4" t="s">
        <v>4632</v>
      </c>
      <c r="N730" s="136">
        <v>8.5</v>
      </c>
      <c r="O730" s="16"/>
    </row>
    <row r="731" spans="1:15" s="3" customFormat="1" ht="16" customHeight="1" thickBot="1" x14ac:dyDescent="0.25">
      <c r="A731" s="4" t="s">
        <v>4619</v>
      </c>
      <c r="B731" s="136">
        <v>8</v>
      </c>
      <c r="C731" s="2"/>
      <c r="D731" s="6" t="s">
        <v>4592</v>
      </c>
      <c r="E731" s="136">
        <v>10</v>
      </c>
      <c r="F731" s="2"/>
      <c r="G731" s="4" t="s">
        <v>4647</v>
      </c>
      <c r="H731" s="136">
        <v>8.5</v>
      </c>
      <c r="I731" s="2"/>
      <c r="J731" s="489" t="s">
        <v>4662</v>
      </c>
      <c r="K731" s="12">
        <f>ROUND(AVERAGE(K732:K737), 2)</f>
        <v>8.92</v>
      </c>
      <c r="L731" s="2"/>
      <c r="M731" s="4" t="s">
        <v>4633</v>
      </c>
      <c r="N731" s="136">
        <v>7.5</v>
      </c>
      <c r="O731" s="16"/>
    </row>
    <row r="732" spans="1:15" s="3" customFormat="1" ht="16" customHeight="1" x14ac:dyDescent="0.2">
      <c r="A732" s="4" t="s">
        <v>4620</v>
      </c>
      <c r="B732" s="136">
        <v>9.5</v>
      </c>
      <c r="C732" s="2"/>
      <c r="D732" s="6" t="s">
        <v>4593</v>
      </c>
      <c r="E732" s="136">
        <v>8.5</v>
      </c>
      <c r="F732" s="2"/>
      <c r="G732" s="4" t="s">
        <v>4648</v>
      </c>
      <c r="H732" s="136">
        <v>9</v>
      </c>
      <c r="I732" s="2"/>
      <c r="J732" s="11" t="s">
        <v>4663</v>
      </c>
      <c r="K732" s="189">
        <v>8.5</v>
      </c>
      <c r="L732" s="2"/>
      <c r="M732" s="4" t="s">
        <v>4634</v>
      </c>
      <c r="N732" s="136">
        <v>8.5</v>
      </c>
      <c r="O732" s="16"/>
    </row>
    <row r="733" spans="1:15" s="3" customFormat="1" ht="16" customHeight="1" thickBot="1" x14ac:dyDescent="0.25">
      <c r="A733" s="7" t="s">
        <v>4621</v>
      </c>
      <c r="B733" s="190">
        <v>7.5</v>
      </c>
      <c r="C733" s="2"/>
      <c r="D733" s="6" t="s">
        <v>4594</v>
      </c>
      <c r="E733" s="136">
        <v>8</v>
      </c>
      <c r="F733" s="2"/>
      <c r="G733" s="4" t="s">
        <v>4649</v>
      </c>
      <c r="H733" s="136">
        <v>8</v>
      </c>
      <c r="I733" s="2"/>
      <c r="J733" s="4" t="s">
        <v>4664</v>
      </c>
      <c r="K733" s="136">
        <v>9.5</v>
      </c>
      <c r="L733" s="2"/>
      <c r="M733" s="4" t="s">
        <v>4635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4595</v>
      </c>
      <c r="E734" s="136">
        <v>10</v>
      </c>
      <c r="F734" s="2"/>
      <c r="G734" s="4" t="s">
        <v>4650</v>
      </c>
      <c r="H734" s="136">
        <v>10</v>
      </c>
      <c r="I734" s="2"/>
      <c r="J734" s="4" t="s">
        <v>4665</v>
      </c>
      <c r="K734" s="136">
        <v>9.5</v>
      </c>
      <c r="L734" s="2"/>
      <c r="M734" s="4" t="s">
        <v>4636</v>
      </c>
      <c r="N734" s="136">
        <v>8.5</v>
      </c>
      <c r="O734" s="16"/>
    </row>
    <row r="735" spans="1:15" s="3" customFormat="1" ht="16" customHeight="1" thickBot="1" x14ac:dyDescent="0.25">
      <c r="A735" s="490" t="s">
        <v>4669</v>
      </c>
      <c r="B735" s="12">
        <f>ROUND(AVERAGE(B736:B745), 2)</f>
        <v>8.35</v>
      </c>
      <c r="C735" s="2"/>
      <c r="D735" s="6" t="s">
        <v>4596</v>
      </c>
      <c r="E735" s="136"/>
      <c r="F735" s="2"/>
      <c r="G735" s="4" t="s">
        <v>4651</v>
      </c>
      <c r="H735" s="136">
        <v>8.5</v>
      </c>
      <c r="I735" s="2"/>
      <c r="J735" s="4" t="s">
        <v>4666</v>
      </c>
      <c r="K735" s="136">
        <v>8.5</v>
      </c>
      <c r="L735" s="2"/>
      <c r="M735" s="4" t="s">
        <v>4637</v>
      </c>
      <c r="N735" s="136">
        <v>7.5</v>
      </c>
      <c r="O735" s="16"/>
    </row>
    <row r="736" spans="1:15" s="3" customFormat="1" ht="16" customHeight="1" thickBot="1" x14ac:dyDescent="0.25">
      <c r="A736" s="11" t="s">
        <v>4670</v>
      </c>
      <c r="B736" s="189">
        <v>7.5</v>
      </c>
      <c r="C736" s="2"/>
      <c r="D736" s="8" t="s">
        <v>4597</v>
      </c>
      <c r="E736" s="190">
        <v>8.5</v>
      </c>
      <c r="F736" s="2"/>
      <c r="G736" s="4" t="s">
        <v>4652</v>
      </c>
      <c r="H736" s="136">
        <v>8</v>
      </c>
      <c r="I736" s="2"/>
      <c r="J736" s="4" t="s">
        <v>4667</v>
      </c>
      <c r="K736" s="136">
        <v>8.5</v>
      </c>
      <c r="L736" s="2"/>
      <c r="M736" s="4" t="s">
        <v>4638</v>
      </c>
      <c r="N736" s="136">
        <v>9</v>
      </c>
      <c r="O736" s="16"/>
    </row>
    <row r="737" spans="1:15" s="3" customFormat="1" ht="16" customHeight="1" thickBot="1" x14ac:dyDescent="0.25">
      <c r="A737" s="4" t="s">
        <v>4671</v>
      </c>
      <c r="B737" s="136">
        <v>8</v>
      </c>
      <c r="C737" s="2"/>
      <c r="D737" s="2"/>
      <c r="E737" s="2"/>
      <c r="F737" s="2"/>
      <c r="G737" s="4" t="s">
        <v>4653</v>
      </c>
      <c r="H737" s="136">
        <v>9</v>
      </c>
      <c r="I737" s="2"/>
      <c r="J737" s="7" t="s">
        <v>4668</v>
      </c>
      <c r="K737" s="190">
        <v>9</v>
      </c>
      <c r="L737" s="2"/>
      <c r="M737" s="4" t="s">
        <v>4639</v>
      </c>
      <c r="N737" s="136">
        <v>8</v>
      </c>
      <c r="O737" s="16"/>
    </row>
    <row r="738" spans="1:15" s="3" customFormat="1" ht="16" customHeight="1" thickBot="1" x14ac:dyDescent="0.25">
      <c r="A738" s="4" t="s">
        <v>4672</v>
      </c>
      <c r="B738" s="136">
        <v>8</v>
      </c>
      <c r="C738" s="2"/>
      <c r="D738" s="492" t="s">
        <v>4702</v>
      </c>
      <c r="E738" s="12">
        <f>ROUND(AVERAGE(E739:E749), 2)</f>
        <v>8.82</v>
      </c>
      <c r="F738" s="2"/>
      <c r="G738" s="4" t="s">
        <v>4654</v>
      </c>
      <c r="H738" s="136">
        <v>9</v>
      </c>
      <c r="I738" s="2"/>
      <c r="J738" s="2"/>
      <c r="K738" s="2"/>
      <c r="L738" s="2"/>
      <c r="M738" s="7" t="s">
        <v>4640</v>
      </c>
      <c r="N738" s="190">
        <v>9</v>
      </c>
      <c r="O738" s="16"/>
    </row>
    <row r="739" spans="1:15" s="3" customFormat="1" ht="16" customHeight="1" thickBot="1" x14ac:dyDescent="0.25">
      <c r="A739" s="4" t="s">
        <v>4673</v>
      </c>
      <c r="B739" s="136">
        <v>9.5</v>
      </c>
      <c r="C739" s="2"/>
      <c r="D739" s="11" t="s">
        <v>4688</v>
      </c>
      <c r="E739" s="189">
        <v>10</v>
      </c>
      <c r="F739" s="2"/>
      <c r="G739" s="7" t="s">
        <v>4655</v>
      </c>
      <c r="H739" s="190">
        <v>8</v>
      </c>
      <c r="I739" s="2"/>
      <c r="J739" s="493" t="s">
        <v>4701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4699</v>
      </c>
      <c r="B740" s="136">
        <v>9</v>
      </c>
      <c r="C740" s="2"/>
      <c r="D740" s="4" t="s">
        <v>4689</v>
      </c>
      <c r="E740" s="136">
        <v>8.5</v>
      </c>
      <c r="F740" s="2"/>
      <c r="G740" s="2"/>
      <c r="H740" s="2"/>
      <c r="I740" s="2"/>
      <c r="J740" s="11" t="s">
        <v>4703</v>
      </c>
      <c r="K740" s="189">
        <v>10</v>
      </c>
      <c r="L740" s="2"/>
      <c r="M740" s="494" t="s">
        <v>4725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4674</v>
      </c>
      <c r="B741" s="136">
        <v>7</v>
      </c>
      <c r="C741" s="2"/>
      <c r="D741" s="4" t="s">
        <v>4690</v>
      </c>
      <c r="E741" s="136">
        <v>8.5</v>
      </c>
      <c r="F741" s="2"/>
      <c r="G741" s="496" t="s">
        <v>4963</v>
      </c>
      <c r="H741" s="12">
        <f>ROUND(AVERAGE(H742:H752), 2)</f>
        <v>8.86</v>
      </c>
      <c r="I741" s="2"/>
      <c r="J741" s="4" t="s">
        <v>4704</v>
      </c>
      <c r="K741" s="136">
        <v>10</v>
      </c>
      <c r="L741" s="2"/>
      <c r="M741" s="11" t="s">
        <v>4726</v>
      </c>
      <c r="N741" s="189">
        <v>8</v>
      </c>
      <c r="O741" s="16"/>
    </row>
    <row r="742" spans="1:15" s="3" customFormat="1" ht="16" customHeight="1" x14ac:dyDescent="0.2">
      <c r="A742" s="4" t="s">
        <v>4675</v>
      </c>
      <c r="B742" s="136">
        <v>10</v>
      </c>
      <c r="C742" s="2"/>
      <c r="D742" s="4" t="s">
        <v>4691</v>
      </c>
      <c r="E742" s="136">
        <v>8</v>
      </c>
      <c r="F742" s="2"/>
      <c r="G742" s="11" t="s">
        <v>4716</v>
      </c>
      <c r="H742" s="189">
        <v>8.5</v>
      </c>
      <c r="I742" s="2"/>
      <c r="J742" s="4" t="s">
        <v>4705</v>
      </c>
      <c r="K742" s="136">
        <v>9</v>
      </c>
      <c r="L742" s="2"/>
      <c r="M742" s="4" t="s">
        <v>4727</v>
      </c>
      <c r="N742" s="136">
        <v>9</v>
      </c>
      <c r="O742" s="16"/>
    </row>
    <row r="743" spans="1:15" s="3" customFormat="1" ht="16" customHeight="1" x14ac:dyDescent="0.2">
      <c r="A743" s="4" t="s">
        <v>4676</v>
      </c>
      <c r="B743" s="136">
        <v>8.5</v>
      </c>
      <c r="C743" s="2"/>
      <c r="D743" s="4" t="s">
        <v>4693</v>
      </c>
      <c r="E743" s="136">
        <v>9</v>
      </c>
      <c r="F743" s="2"/>
      <c r="G743" s="4" t="s">
        <v>4714</v>
      </c>
      <c r="H743" s="136">
        <v>9</v>
      </c>
      <c r="I743" s="2"/>
      <c r="J743" s="4" t="s">
        <v>4706</v>
      </c>
      <c r="K743" s="136">
        <v>9</v>
      </c>
      <c r="L743" s="2"/>
      <c r="M743" s="4" t="s">
        <v>4728</v>
      </c>
      <c r="N743" s="136">
        <v>8.5</v>
      </c>
      <c r="O743" s="16"/>
    </row>
    <row r="744" spans="1:15" s="3" customFormat="1" ht="16" customHeight="1" x14ac:dyDescent="0.2">
      <c r="A744" s="4" t="s">
        <v>4677</v>
      </c>
      <c r="B744" s="136">
        <v>8</v>
      </c>
      <c r="C744" s="2"/>
      <c r="D744" s="4" t="s">
        <v>4692</v>
      </c>
      <c r="E744" s="136">
        <v>8.5</v>
      </c>
      <c r="F744" s="2"/>
      <c r="G744" s="4" t="s">
        <v>4715</v>
      </c>
      <c r="H744" s="136">
        <v>10</v>
      </c>
      <c r="I744" s="2"/>
      <c r="J744" s="4" t="s">
        <v>4707</v>
      </c>
      <c r="K744" s="136">
        <v>9</v>
      </c>
      <c r="L744" s="2"/>
      <c r="M744" s="4" t="s">
        <v>4729</v>
      </c>
      <c r="N744" s="136">
        <v>9.5</v>
      </c>
      <c r="O744" s="16"/>
    </row>
    <row r="745" spans="1:15" s="3" customFormat="1" ht="16" customHeight="1" thickBot="1" x14ac:dyDescent="0.25">
      <c r="A745" s="7" t="s">
        <v>4678</v>
      </c>
      <c r="B745" s="190">
        <v>8</v>
      </c>
      <c r="C745" s="2"/>
      <c r="D745" s="4" t="s">
        <v>4694</v>
      </c>
      <c r="E745" s="136">
        <v>8.5</v>
      </c>
      <c r="F745" s="2"/>
      <c r="G745" s="4" t="s">
        <v>4717</v>
      </c>
      <c r="H745" s="136">
        <v>8.5</v>
      </c>
      <c r="I745" s="2"/>
      <c r="J745" s="7" t="s">
        <v>4708</v>
      </c>
      <c r="K745" s="190">
        <v>7.5</v>
      </c>
      <c r="L745" s="2"/>
      <c r="M745" s="4" t="s">
        <v>4730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4695</v>
      </c>
      <c r="E746" s="136">
        <v>10</v>
      </c>
      <c r="F746" s="2"/>
      <c r="G746" s="4" t="s">
        <v>4718</v>
      </c>
      <c r="H746" s="136">
        <v>8</v>
      </c>
      <c r="I746" s="2"/>
      <c r="J746" s="2"/>
      <c r="K746" s="2"/>
      <c r="L746" s="2"/>
      <c r="M746" s="4" t="s">
        <v>4731</v>
      </c>
      <c r="N746" s="136">
        <v>8.5</v>
      </c>
      <c r="O746" s="16"/>
    </row>
    <row r="747" spans="1:15" s="3" customFormat="1" ht="16" customHeight="1" thickBot="1" x14ac:dyDescent="0.25">
      <c r="A747" s="495" t="s">
        <v>4736</v>
      </c>
      <c r="B747" s="12">
        <f>ROUND(AVERAGE(B748:B757), 2)</f>
        <v>8.65</v>
      </c>
      <c r="C747" s="2"/>
      <c r="D747" s="4" t="s">
        <v>4696</v>
      </c>
      <c r="E747" s="136">
        <v>9.5</v>
      </c>
      <c r="F747" s="2"/>
      <c r="G747" s="4" t="s">
        <v>4719</v>
      </c>
      <c r="H747" s="136">
        <v>8.5</v>
      </c>
      <c r="I747" s="2"/>
      <c r="J747" s="493" t="s">
        <v>4747</v>
      </c>
      <c r="K747" s="12">
        <f>ROUND(AVERAGE(K748:K758), 2)</f>
        <v>8.6</v>
      </c>
      <c r="L747" s="2"/>
      <c r="M747" s="4" t="s">
        <v>4732</v>
      </c>
      <c r="N747" s="136">
        <v>8</v>
      </c>
      <c r="O747" s="16"/>
    </row>
    <row r="748" spans="1:15" s="3" customFormat="1" ht="16" customHeight="1" x14ac:dyDescent="0.2">
      <c r="A748" s="11" t="s">
        <v>4737</v>
      </c>
      <c r="B748" s="189">
        <v>8</v>
      </c>
      <c r="C748" s="2"/>
      <c r="D748" s="4" t="s">
        <v>4697</v>
      </c>
      <c r="E748" s="136">
        <v>8.5</v>
      </c>
      <c r="F748" s="2"/>
      <c r="G748" s="4" t="s">
        <v>4720</v>
      </c>
      <c r="H748" s="136">
        <v>10</v>
      </c>
      <c r="I748" s="2"/>
      <c r="J748" s="11" t="s">
        <v>4748</v>
      </c>
      <c r="K748" s="189">
        <v>10</v>
      </c>
      <c r="L748" s="2"/>
      <c r="M748" s="4" t="s">
        <v>4733</v>
      </c>
      <c r="N748" s="136">
        <v>8</v>
      </c>
      <c r="O748" s="16"/>
    </row>
    <row r="749" spans="1:15" s="3" customFormat="1" ht="16" customHeight="1" thickBot="1" x14ac:dyDescent="0.25">
      <c r="A749" s="4" t="s">
        <v>4738</v>
      </c>
      <c r="B749" s="136">
        <v>9</v>
      </c>
      <c r="C749" s="2"/>
      <c r="D749" s="7" t="s">
        <v>4698</v>
      </c>
      <c r="E749" s="190">
        <v>8</v>
      </c>
      <c r="F749" s="2"/>
      <c r="G749" s="4" t="s">
        <v>4721</v>
      </c>
      <c r="H749" s="136">
        <v>8.5</v>
      </c>
      <c r="I749" s="2"/>
      <c r="J749" s="4" t="s">
        <v>4749</v>
      </c>
      <c r="K749" s="136">
        <v>9</v>
      </c>
      <c r="L749" s="2"/>
      <c r="M749" s="4" t="s">
        <v>4734</v>
      </c>
      <c r="N749" s="136">
        <v>8</v>
      </c>
      <c r="O749" s="16"/>
    </row>
    <row r="750" spans="1:15" s="3" customFormat="1" ht="16" customHeight="1" thickBot="1" x14ac:dyDescent="0.25">
      <c r="A750" s="4" t="s">
        <v>4739</v>
      </c>
      <c r="B750" s="136">
        <v>8.5</v>
      </c>
      <c r="C750" s="2"/>
      <c r="D750" s="2"/>
      <c r="E750" s="2"/>
      <c r="F750" s="2"/>
      <c r="G750" s="4" t="s">
        <v>4722</v>
      </c>
      <c r="H750" s="136">
        <v>9.5</v>
      </c>
      <c r="I750" s="2"/>
      <c r="J750" s="4" t="s">
        <v>4750</v>
      </c>
      <c r="K750" s="136">
        <v>9</v>
      </c>
      <c r="L750" s="2"/>
      <c r="M750" s="7" t="s">
        <v>4735</v>
      </c>
      <c r="N750" s="190">
        <v>8</v>
      </c>
      <c r="O750" s="16"/>
    </row>
    <row r="751" spans="1:15" s="3" customFormat="1" ht="16" customHeight="1" thickBot="1" x14ac:dyDescent="0.25">
      <c r="A751" s="4" t="s">
        <v>4740</v>
      </c>
      <c r="B751" s="136">
        <v>9</v>
      </c>
      <c r="C751" s="2"/>
      <c r="D751" s="497" t="s">
        <v>4778</v>
      </c>
      <c r="E751" s="12">
        <f>ROUND(AVERAGE(E752:E768), 2)</f>
        <v>8.0299999999999994</v>
      </c>
      <c r="F751" s="2"/>
      <c r="G751" s="4" t="s">
        <v>4723</v>
      </c>
      <c r="H751" s="136">
        <v>8</v>
      </c>
      <c r="I751" s="2"/>
      <c r="J751" s="4" t="s">
        <v>4751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4741</v>
      </c>
      <c r="B752" s="136">
        <v>10</v>
      </c>
      <c r="C752" s="2"/>
      <c r="D752" s="11" t="s">
        <v>4781</v>
      </c>
      <c r="E752" s="189">
        <v>9</v>
      </c>
      <c r="F752" s="2"/>
      <c r="G752" s="7" t="s">
        <v>4724</v>
      </c>
      <c r="H752" s="190">
        <v>9</v>
      </c>
      <c r="I752" s="2"/>
      <c r="J752" s="4" t="s">
        <v>4752</v>
      </c>
      <c r="K752" s="136">
        <v>8</v>
      </c>
      <c r="L752" s="2"/>
      <c r="M752" s="498" t="s">
        <v>4796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4742</v>
      </c>
      <c r="B753" s="136">
        <v>7</v>
      </c>
      <c r="C753" s="2"/>
      <c r="D753" s="4" t="s">
        <v>4782</v>
      </c>
      <c r="E753" s="136">
        <v>8</v>
      </c>
      <c r="F753" s="2"/>
      <c r="G753" s="2"/>
      <c r="H753" s="2"/>
      <c r="I753" s="2"/>
      <c r="J753" s="4" t="s">
        <v>4753</v>
      </c>
      <c r="K753" s="136">
        <v>8.5</v>
      </c>
      <c r="L753" s="2"/>
      <c r="M753" s="11" t="s">
        <v>4797</v>
      </c>
      <c r="N753" s="189">
        <v>9.5</v>
      </c>
      <c r="O753" s="16"/>
    </row>
    <row r="754" spans="1:15" s="3" customFormat="1" ht="16" customHeight="1" thickBot="1" x14ac:dyDescent="0.25">
      <c r="A754" s="4" t="s">
        <v>4743</v>
      </c>
      <c r="B754" s="136">
        <v>8.5</v>
      </c>
      <c r="C754" s="2"/>
      <c r="D754" s="4" t="s">
        <v>4783</v>
      </c>
      <c r="E754" s="136">
        <v>10</v>
      </c>
      <c r="F754" s="2"/>
      <c r="G754" s="499" t="s">
        <v>4812</v>
      </c>
      <c r="H754" s="12">
        <f>ROUND(AVERAGE(H755:H763), 2)</f>
        <v>8.3800000000000008</v>
      </c>
      <c r="I754" s="2"/>
      <c r="J754" s="4" t="s">
        <v>4754</v>
      </c>
      <c r="K754" s="136">
        <v>8</v>
      </c>
      <c r="L754" s="2"/>
      <c r="M754" s="4" t="s">
        <v>4798</v>
      </c>
      <c r="N754" s="136">
        <v>8.5</v>
      </c>
      <c r="O754" s="16"/>
    </row>
    <row r="755" spans="1:15" s="3" customFormat="1" ht="16" customHeight="1" thickBot="1" x14ac:dyDescent="0.25">
      <c r="A755" s="4" t="s">
        <v>4744</v>
      </c>
      <c r="B755" s="136">
        <v>8</v>
      </c>
      <c r="C755" s="2"/>
      <c r="D755" s="4" t="s">
        <v>4784</v>
      </c>
      <c r="E755" s="136">
        <v>8.5</v>
      </c>
      <c r="F755" s="2"/>
      <c r="G755" s="11" t="s">
        <v>4804</v>
      </c>
      <c r="H755" s="189">
        <v>8</v>
      </c>
      <c r="I755" s="2"/>
      <c r="J755" s="4" t="s">
        <v>4755</v>
      </c>
      <c r="K755" s="136">
        <v>9</v>
      </c>
      <c r="L755" s="2"/>
      <c r="M755" s="7" t="s">
        <v>4799</v>
      </c>
      <c r="N755" s="190">
        <v>8.5</v>
      </c>
      <c r="O755" s="16"/>
    </row>
    <row r="756" spans="1:15" s="3" customFormat="1" ht="16" customHeight="1" thickBot="1" x14ac:dyDescent="0.25">
      <c r="A756" s="4" t="s">
        <v>4745</v>
      </c>
      <c r="B756" s="136">
        <v>8</v>
      </c>
      <c r="C756" s="2"/>
      <c r="D756" s="4" t="s">
        <v>4785</v>
      </c>
      <c r="E756" s="136">
        <v>8.5</v>
      </c>
      <c r="F756" s="2"/>
      <c r="G756" s="4" t="s">
        <v>4805</v>
      </c>
      <c r="H756" s="136">
        <v>8.5</v>
      </c>
      <c r="I756" s="2"/>
      <c r="J756" s="4" t="s">
        <v>4756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4746</v>
      </c>
      <c r="B757" s="190">
        <v>10.5</v>
      </c>
      <c r="C757" s="2"/>
      <c r="D757" s="4" t="s">
        <v>4786</v>
      </c>
      <c r="E757" s="136">
        <v>7.5</v>
      </c>
      <c r="F757" s="2"/>
      <c r="G757" s="4" t="s">
        <v>4806</v>
      </c>
      <c r="H757" s="136">
        <v>8.5</v>
      </c>
      <c r="I757" s="2"/>
      <c r="J757" s="7" t="s">
        <v>4757</v>
      </c>
      <c r="K757" s="190">
        <v>8.5</v>
      </c>
      <c r="L757" s="2"/>
      <c r="M757" s="500" t="s">
        <v>4816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4787</v>
      </c>
      <c r="E758" s="136">
        <v>8</v>
      </c>
      <c r="F758" s="2"/>
      <c r="G758" s="4" t="s">
        <v>4807</v>
      </c>
      <c r="H758" s="136">
        <v>9</v>
      </c>
      <c r="I758" s="2"/>
      <c r="J758" s="2"/>
      <c r="K758" s="2"/>
      <c r="L758" s="2"/>
      <c r="M758" s="5" t="s">
        <v>4817</v>
      </c>
      <c r="N758" s="189">
        <v>9</v>
      </c>
      <c r="O758" s="16"/>
    </row>
    <row r="759" spans="1:15" s="3" customFormat="1" ht="16" customHeight="1" thickBot="1" x14ac:dyDescent="0.25">
      <c r="A759" s="501" t="s">
        <v>4831</v>
      </c>
      <c r="B759" s="12">
        <f>ROUND(AVERAGE(B760:B771), 2)</f>
        <v>8.92</v>
      </c>
      <c r="C759" s="2"/>
      <c r="D759" s="4" t="s">
        <v>4788</v>
      </c>
      <c r="E759" s="136">
        <v>7</v>
      </c>
      <c r="F759" s="2"/>
      <c r="G759" s="4" t="s">
        <v>4808</v>
      </c>
      <c r="H759" s="136">
        <v>7.5</v>
      </c>
      <c r="I759" s="2"/>
      <c r="J759" s="504" t="s">
        <v>4852</v>
      </c>
      <c r="K759" s="12">
        <f>ROUND(AVERAGE(K760:K767), 2)</f>
        <v>8.81</v>
      </c>
      <c r="L759" s="2"/>
      <c r="M759" s="6" t="s">
        <v>4818</v>
      </c>
      <c r="N759" s="136">
        <v>10</v>
      </c>
      <c r="O759" s="16"/>
    </row>
    <row r="760" spans="1:15" s="3" customFormat="1" ht="16" customHeight="1" x14ac:dyDescent="0.2">
      <c r="A760" s="11" t="s">
        <v>4832</v>
      </c>
      <c r="B760" s="189">
        <v>9</v>
      </c>
      <c r="C760" s="2"/>
      <c r="D760" s="4" t="s">
        <v>4789</v>
      </c>
      <c r="E760" s="136">
        <v>8</v>
      </c>
      <c r="F760" s="2"/>
      <c r="G760" s="4" t="s">
        <v>4809</v>
      </c>
      <c r="H760" s="136">
        <v>8.5</v>
      </c>
      <c r="I760" s="2"/>
      <c r="J760" s="11" t="s">
        <v>4853</v>
      </c>
      <c r="K760" s="189">
        <v>9.5</v>
      </c>
      <c r="L760" s="2"/>
      <c r="M760" s="505" t="s">
        <v>4819</v>
      </c>
      <c r="N760" s="136">
        <v>8.5</v>
      </c>
      <c r="O760" s="16"/>
    </row>
    <row r="761" spans="1:15" s="3" customFormat="1" ht="16" customHeight="1" x14ac:dyDescent="0.2">
      <c r="A761" s="4" t="s">
        <v>4833</v>
      </c>
      <c r="B761" s="136">
        <v>9</v>
      </c>
      <c r="C761" s="2"/>
      <c r="D761" s="4" t="s">
        <v>4790</v>
      </c>
      <c r="E761" s="136">
        <v>8</v>
      </c>
      <c r="F761" s="2"/>
      <c r="G761" s="4" t="s">
        <v>4810</v>
      </c>
      <c r="H761" s="136">
        <v>9</v>
      </c>
      <c r="I761" s="2"/>
      <c r="J761" s="4" t="s">
        <v>4854</v>
      </c>
      <c r="K761" s="136">
        <v>9.5</v>
      </c>
      <c r="L761" s="2"/>
      <c r="M761" s="505" t="s">
        <v>4820</v>
      </c>
      <c r="N761" s="136">
        <v>7.5</v>
      </c>
      <c r="O761" s="16"/>
    </row>
    <row r="762" spans="1:15" s="3" customFormat="1" ht="16" customHeight="1" thickBot="1" x14ac:dyDescent="0.25">
      <c r="A762" s="4" t="s">
        <v>4834</v>
      </c>
      <c r="B762" s="136">
        <v>8.5</v>
      </c>
      <c r="C762" s="2"/>
      <c r="D762" s="4" t="s">
        <v>4791</v>
      </c>
      <c r="E762" s="136">
        <v>7.5</v>
      </c>
      <c r="F762" s="2"/>
      <c r="G762" s="7" t="s">
        <v>4811</v>
      </c>
      <c r="H762" s="190">
        <v>8</v>
      </c>
      <c r="I762" s="2"/>
      <c r="J762" s="4" t="s">
        <v>4855</v>
      </c>
      <c r="K762" s="136">
        <v>8.5</v>
      </c>
      <c r="L762" s="2"/>
      <c r="M762" s="505" t="s">
        <v>4821</v>
      </c>
      <c r="N762" s="136">
        <v>8</v>
      </c>
      <c r="O762" s="16"/>
    </row>
    <row r="763" spans="1:15" s="3" customFormat="1" ht="16" customHeight="1" thickBot="1" x14ac:dyDescent="0.25">
      <c r="A763" s="4" t="s">
        <v>4835</v>
      </c>
      <c r="B763" s="136">
        <v>10</v>
      </c>
      <c r="C763" s="2"/>
      <c r="D763" s="4" t="s">
        <v>4792</v>
      </c>
      <c r="E763" s="136">
        <v>7</v>
      </c>
      <c r="F763" s="2"/>
      <c r="G763" s="2"/>
      <c r="H763" s="2"/>
      <c r="I763" s="2"/>
      <c r="J763" s="4" t="s">
        <v>4856</v>
      </c>
      <c r="K763" s="136">
        <v>10</v>
      </c>
      <c r="L763" s="2"/>
      <c r="M763" s="506" t="s">
        <v>4822</v>
      </c>
      <c r="N763" s="190">
        <v>7.5</v>
      </c>
      <c r="O763" s="16"/>
    </row>
    <row r="764" spans="1:15" s="3" customFormat="1" ht="16" customHeight="1" thickBot="1" x14ac:dyDescent="0.25">
      <c r="A764" s="4" t="s">
        <v>4836</v>
      </c>
      <c r="B764" s="136">
        <v>10</v>
      </c>
      <c r="C764" s="2"/>
      <c r="D764" s="4" t="s">
        <v>4793</v>
      </c>
      <c r="E764" s="136">
        <v>8</v>
      </c>
      <c r="F764" s="2"/>
      <c r="G764" s="507" t="s">
        <v>4875</v>
      </c>
      <c r="H764" s="12">
        <f>ROUND(AVERAGE(H765:H776), 2)</f>
        <v>8.25</v>
      </c>
      <c r="I764" s="2"/>
      <c r="J764" s="4" t="s">
        <v>4857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4837</v>
      </c>
      <c r="B765" s="136">
        <v>8.5</v>
      </c>
      <c r="C765" s="2"/>
      <c r="D765" s="4" t="s">
        <v>4794</v>
      </c>
      <c r="E765" s="136">
        <v>8</v>
      </c>
      <c r="F765" s="2"/>
      <c r="G765" s="11" t="s">
        <v>4863</v>
      </c>
      <c r="H765" s="189">
        <v>9</v>
      </c>
      <c r="I765" s="2"/>
      <c r="J765" s="4" t="s">
        <v>4858</v>
      </c>
      <c r="K765" s="136">
        <v>8</v>
      </c>
      <c r="L765" s="2"/>
      <c r="M765" s="514" t="s">
        <v>4953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4838</v>
      </c>
      <c r="B766" s="136">
        <v>10.5</v>
      </c>
      <c r="C766" s="2"/>
      <c r="D766" s="4" t="s">
        <v>4795</v>
      </c>
      <c r="E766" s="136">
        <v>7.5</v>
      </c>
      <c r="F766" s="2"/>
      <c r="G766" s="4" t="s">
        <v>4864</v>
      </c>
      <c r="H766" s="136">
        <v>8.5</v>
      </c>
      <c r="I766" s="2"/>
      <c r="J766" s="4" t="s">
        <v>4859</v>
      </c>
      <c r="K766" s="136">
        <v>8.5</v>
      </c>
      <c r="L766" s="2"/>
      <c r="M766" s="11" t="s">
        <v>4954</v>
      </c>
      <c r="N766" s="189">
        <v>9</v>
      </c>
      <c r="O766" s="16"/>
    </row>
    <row r="767" spans="1:15" s="3" customFormat="1" ht="16" customHeight="1" thickBot="1" x14ac:dyDescent="0.25">
      <c r="A767" s="4" t="s">
        <v>4839</v>
      </c>
      <c r="B767" s="136">
        <v>8</v>
      </c>
      <c r="C767" s="2"/>
      <c r="D767" s="4" t="s">
        <v>4779</v>
      </c>
      <c r="E767" s="136">
        <v>7</v>
      </c>
      <c r="F767" s="2"/>
      <c r="G767" s="4" t="s">
        <v>4865</v>
      </c>
      <c r="H767" s="136">
        <v>8.5</v>
      </c>
      <c r="I767" s="2"/>
      <c r="J767" s="7" t="s">
        <v>4860</v>
      </c>
      <c r="K767" s="190">
        <v>8</v>
      </c>
      <c r="L767" s="2"/>
      <c r="M767" s="4" t="s">
        <v>4955</v>
      </c>
      <c r="N767" s="136">
        <v>8.5</v>
      </c>
      <c r="O767" s="16"/>
    </row>
    <row r="768" spans="1:15" s="3" customFormat="1" ht="16" customHeight="1" thickBot="1" x14ac:dyDescent="0.25">
      <c r="A768" s="4" t="s">
        <v>4840</v>
      </c>
      <c r="B768" s="136">
        <v>9</v>
      </c>
      <c r="C768" s="2"/>
      <c r="D768" s="7" t="s">
        <v>4780</v>
      </c>
      <c r="E768" s="190">
        <v>9</v>
      </c>
      <c r="F768" s="2"/>
      <c r="G768" s="4" t="s">
        <v>4866</v>
      </c>
      <c r="H768" s="136">
        <v>8</v>
      </c>
      <c r="I768" s="2"/>
      <c r="J768" s="2"/>
      <c r="K768" s="2"/>
      <c r="L768" s="2"/>
      <c r="M768" s="4" t="s">
        <v>4956</v>
      </c>
      <c r="N768" s="136">
        <v>9</v>
      </c>
      <c r="O768" s="16"/>
    </row>
    <row r="769" spans="1:15" s="3" customFormat="1" ht="16" customHeight="1" thickBot="1" x14ac:dyDescent="0.25">
      <c r="A769" s="4" t="s">
        <v>4841</v>
      </c>
      <c r="B769" s="136">
        <v>8</v>
      </c>
      <c r="C769" s="2"/>
      <c r="D769" s="2"/>
      <c r="E769" s="2"/>
      <c r="F769" s="2"/>
      <c r="G769" s="4" t="s">
        <v>4867</v>
      </c>
      <c r="H769" s="136">
        <v>9</v>
      </c>
      <c r="I769" s="2"/>
      <c r="J769" s="515" t="s">
        <v>4964</v>
      </c>
      <c r="K769" s="12">
        <f>ROUND(AVERAGE(K770:K781), 2)</f>
        <v>7.14</v>
      </c>
      <c r="L769" s="2"/>
      <c r="M769" s="4" t="s">
        <v>4957</v>
      </c>
      <c r="N769" s="136">
        <v>10</v>
      </c>
      <c r="O769" s="16"/>
    </row>
    <row r="770" spans="1:15" s="3" customFormat="1" ht="16" customHeight="1" thickBot="1" x14ac:dyDescent="0.25">
      <c r="A770" s="4" t="s">
        <v>4842</v>
      </c>
      <c r="B770" s="136">
        <v>8.5</v>
      </c>
      <c r="C770" s="2"/>
      <c r="D770" s="524" t="s">
        <v>5249</v>
      </c>
      <c r="E770" s="12">
        <f>ROUND(AVERAGE(E771:E778), 2)</f>
        <v>8.56</v>
      </c>
      <c r="F770" s="2"/>
      <c r="G770" s="4" t="s">
        <v>4868</v>
      </c>
      <c r="H770" s="136">
        <v>8</v>
      </c>
      <c r="I770" s="2"/>
      <c r="J770" s="11" t="s">
        <v>4969</v>
      </c>
      <c r="K770" s="189"/>
      <c r="L770" s="2"/>
      <c r="M770" s="7" t="s">
        <v>4958</v>
      </c>
      <c r="N770" s="190">
        <v>8.5</v>
      </c>
      <c r="O770" s="16"/>
    </row>
    <row r="771" spans="1:15" s="3" customFormat="1" ht="16" customHeight="1" thickBot="1" x14ac:dyDescent="0.25">
      <c r="A771" s="7" t="s">
        <v>4843</v>
      </c>
      <c r="B771" s="190">
        <v>8</v>
      </c>
      <c r="C771" s="2"/>
      <c r="D771" s="11" t="s">
        <v>5250</v>
      </c>
      <c r="E771" s="189">
        <v>8</v>
      </c>
      <c r="F771" s="2"/>
      <c r="G771" s="4" t="s">
        <v>4869</v>
      </c>
      <c r="H771" s="136">
        <v>8</v>
      </c>
      <c r="I771" s="2"/>
      <c r="J771" s="4" t="s">
        <v>4970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5251</v>
      </c>
      <c r="E772" s="136">
        <v>8.5</v>
      </c>
      <c r="F772" s="2"/>
      <c r="G772" s="4" t="s">
        <v>4870</v>
      </c>
      <c r="H772" s="136">
        <v>7.5</v>
      </c>
      <c r="I772" s="2"/>
      <c r="J772" s="4" t="s">
        <v>4971</v>
      </c>
      <c r="K772" s="136">
        <v>7.5</v>
      </c>
      <c r="L772" s="2"/>
      <c r="M772" s="526" t="s">
        <v>5307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7" t="s">
        <v>5335</v>
      </c>
      <c r="B773" s="12">
        <f>ROUND(AVERAGE(B774:B784), 2)</f>
        <v>8.23</v>
      </c>
      <c r="C773" s="2"/>
      <c r="D773" s="4" t="s">
        <v>5252</v>
      </c>
      <c r="E773" s="136">
        <v>9</v>
      </c>
      <c r="F773" s="2"/>
      <c r="G773" s="4" t="s">
        <v>4871</v>
      </c>
      <c r="H773" s="136">
        <v>9</v>
      </c>
      <c r="I773" s="2"/>
      <c r="J773" s="4" t="s">
        <v>4972</v>
      </c>
      <c r="K773" s="136">
        <v>7</v>
      </c>
      <c r="L773" s="2"/>
      <c r="M773" s="11" t="s">
        <v>5308</v>
      </c>
      <c r="N773" s="189">
        <v>9.5</v>
      </c>
      <c r="O773" s="16"/>
    </row>
    <row r="774" spans="1:15" s="3" customFormat="1" ht="16" customHeight="1" x14ac:dyDescent="0.2">
      <c r="A774" s="11" t="s">
        <v>5336</v>
      </c>
      <c r="B774" s="189">
        <v>9</v>
      </c>
      <c r="C774" s="2"/>
      <c r="D774" s="4" t="s">
        <v>5253</v>
      </c>
      <c r="E774" s="136">
        <v>8.5</v>
      </c>
      <c r="F774" s="2"/>
      <c r="G774" s="4" t="s">
        <v>4872</v>
      </c>
      <c r="H774" s="136">
        <v>8.5</v>
      </c>
      <c r="I774" s="2"/>
      <c r="J774" s="4" t="s">
        <v>4973</v>
      </c>
      <c r="K774" s="136">
        <v>6</v>
      </c>
      <c r="L774" s="2"/>
      <c r="M774" s="4" t="s">
        <v>5309</v>
      </c>
      <c r="N774" s="136">
        <v>10</v>
      </c>
      <c r="O774" s="16"/>
    </row>
    <row r="775" spans="1:15" s="3" customFormat="1" ht="16" customHeight="1" x14ac:dyDescent="0.2">
      <c r="A775" s="4" t="s">
        <v>5337</v>
      </c>
      <c r="B775" s="136">
        <v>10</v>
      </c>
      <c r="C775" s="2"/>
      <c r="D775" s="4" t="s">
        <v>5254</v>
      </c>
      <c r="E775" s="136">
        <v>10</v>
      </c>
      <c r="F775" s="2"/>
      <c r="G775" s="4" t="s">
        <v>4873</v>
      </c>
      <c r="H775" s="136">
        <v>8</v>
      </c>
      <c r="I775" s="2"/>
      <c r="J775" s="4" t="s">
        <v>4974</v>
      </c>
      <c r="K775" s="136">
        <v>9</v>
      </c>
      <c r="L775" s="2"/>
      <c r="M775" s="4" t="s">
        <v>5310</v>
      </c>
      <c r="N775" s="136">
        <v>8.5</v>
      </c>
      <c r="O775" s="16"/>
    </row>
    <row r="776" spans="1:15" s="3" customFormat="1" ht="16" customHeight="1" thickBot="1" x14ac:dyDescent="0.25">
      <c r="A776" s="4" t="s">
        <v>5338</v>
      </c>
      <c r="B776" s="136">
        <v>8.5</v>
      </c>
      <c r="C776" s="2"/>
      <c r="D776" s="4" t="s">
        <v>5255</v>
      </c>
      <c r="E776" s="136">
        <v>8</v>
      </c>
      <c r="F776" s="2"/>
      <c r="G776" s="7" t="s">
        <v>4874</v>
      </c>
      <c r="H776" s="190">
        <v>7</v>
      </c>
      <c r="I776" s="2"/>
      <c r="J776" s="4" t="s">
        <v>4975</v>
      </c>
      <c r="K776" s="136">
        <v>6</v>
      </c>
      <c r="L776" s="2"/>
      <c r="M776" s="4" t="s">
        <v>5311</v>
      </c>
      <c r="N776" s="136">
        <v>9</v>
      </c>
      <c r="O776" s="16"/>
    </row>
    <row r="777" spans="1:15" s="3" customFormat="1" ht="16" customHeight="1" thickBot="1" x14ac:dyDescent="0.25">
      <c r="A777" s="4" t="s">
        <v>5339</v>
      </c>
      <c r="B777" s="136">
        <v>7.5</v>
      </c>
      <c r="C777" s="2"/>
      <c r="D777" s="4" t="s">
        <v>5256</v>
      </c>
      <c r="E777" s="136">
        <v>8.5</v>
      </c>
      <c r="F777" s="2"/>
      <c r="G777" s="2"/>
      <c r="H777" s="2"/>
      <c r="I777" s="2"/>
      <c r="J777" s="4" t="s">
        <v>4976</v>
      </c>
      <c r="K777" s="136">
        <v>8</v>
      </c>
      <c r="L777" s="2"/>
      <c r="M777" s="4" t="s">
        <v>5312</v>
      </c>
      <c r="N777" s="136">
        <v>8</v>
      </c>
      <c r="O777" s="16"/>
    </row>
    <row r="778" spans="1:15" s="3" customFormat="1" ht="16" customHeight="1" thickBot="1" x14ac:dyDescent="0.25">
      <c r="A778" s="4" t="s">
        <v>5340</v>
      </c>
      <c r="B778" s="136">
        <v>8</v>
      </c>
      <c r="C778" s="2"/>
      <c r="D778" s="7" t="s">
        <v>5257</v>
      </c>
      <c r="E778" s="190">
        <v>8</v>
      </c>
      <c r="F778" s="2"/>
      <c r="G778" s="529" t="s">
        <v>5408</v>
      </c>
      <c r="H778" s="12">
        <f>ROUND(AVERAGE(H779:H784), 2)</f>
        <v>8.92</v>
      </c>
      <c r="I778" s="2"/>
      <c r="J778" s="4" t="s">
        <v>4965</v>
      </c>
      <c r="K778" s="136">
        <v>6.5</v>
      </c>
      <c r="L778" s="2"/>
      <c r="M778" s="4" t="s">
        <v>5313</v>
      </c>
      <c r="N778" s="136">
        <v>8</v>
      </c>
      <c r="O778" s="16"/>
    </row>
    <row r="779" spans="1:15" s="3" customFormat="1" ht="16" customHeight="1" thickBot="1" x14ac:dyDescent="0.25">
      <c r="A779" s="4" t="s">
        <v>5341</v>
      </c>
      <c r="B779" s="136">
        <v>9</v>
      </c>
      <c r="C779" s="2"/>
      <c r="D779" s="2"/>
      <c r="E779" s="2"/>
      <c r="F779" s="2"/>
      <c r="G779" s="11" t="s">
        <v>5402</v>
      </c>
      <c r="H779" s="189">
        <v>9</v>
      </c>
      <c r="I779" s="2"/>
      <c r="J779" s="4" t="s">
        <v>4966</v>
      </c>
      <c r="K779" s="136">
        <v>6</v>
      </c>
      <c r="L779" s="2"/>
      <c r="M779" s="4" t="s">
        <v>5314</v>
      </c>
      <c r="N779" s="136">
        <v>9</v>
      </c>
      <c r="O779" s="16"/>
    </row>
    <row r="780" spans="1:15" s="3" customFormat="1" ht="16" customHeight="1" thickBot="1" x14ac:dyDescent="0.25">
      <c r="A780" s="4" t="s">
        <v>5342</v>
      </c>
      <c r="B780" s="136">
        <v>8.5</v>
      </c>
      <c r="C780" s="2"/>
      <c r="D780" s="125" t="s">
        <v>5508</v>
      </c>
      <c r="E780" s="12">
        <f>ROUND(AVERAGE(E781:E784), 2)</f>
        <v>8.75</v>
      </c>
      <c r="F780" s="2"/>
      <c r="G780" s="4" t="s">
        <v>5403</v>
      </c>
      <c r="H780" s="136">
        <v>9</v>
      </c>
      <c r="I780" s="2"/>
      <c r="J780" s="4" t="s">
        <v>4967</v>
      </c>
      <c r="K780" s="136">
        <v>7</v>
      </c>
      <c r="L780" s="2"/>
      <c r="M780" s="4" t="s">
        <v>5315</v>
      </c>
      <c r="N780" s="136">
        <v>7.5</v>
      </c>
      <c r="O780" s="16"/>
    </row>
    <row r="781" spans="1:15" s="3" customFormat="1" ht="16" customHeight="1" thickBot="1" x14ac:dyDescent="0.25">
      <c r="A781" s="4" t="s">
        <v>5343</v>
      </c>
      <c r="B781" s="136">
        <v>7.5</v>
      </c>
      <c r="C781" s="2"/>
      <c r="D781" s="11" t="s">
        <v>5509</v>
      </c>
      <c r="E781" s="189">
        <v>8.5</v>
      </c>
      <c r="F781" s="2"/>
      <c r="G781" s="4" t="s">
        <v>5404</v>
      </c>
      <c r="H781" s="136">
        <v>8.5</v>
      </c>
      <c r="I781" s="2"/>
      <c r="J781" s="7" t="s">
        <v>4968</v>
      </c>
      <c r="K781" s="190">
        <v>6.5</v>
      </c>
      <c r="L781" s="2"/>
      <c r="M781" s="4" t="s">
        <v>5316</v>
      </c>
      <c r="N781" s="136">
        <v>7.5</v>
      </c>
      <c r="O781" s="16"/>
    </row>
    <row r="782" spans="1:15" s="3" customFormat="1" ht="16" customHeight="1" thickBot="1" x14ac:dyDescent="0.25">
      <c r="A782" s="4" t="s">
        <v>5344</v>
      </c>
      <c r="B782" s="136">
        <v>8</v>
      </c>
      <c r="C782" s="2"/>
      <c r="D782" s="4" t="s">
        <v>5510</v>
      </c>
      <c r="E782" s="136">
        <v>9</v>
      </c>
      <c r="F782" s="2"/>
      <c r="G782" s="4" t="s">
        <v>5405</v>
      </c>
      <c r="H782" s="136">
        <v>10.5</v>
      </c>
      <c r="I782" s="2"/>
      <c r="J782" s="2"/>
      <c r="K782" s="2"/>
      <c r="L782" s="2"/>
      <c r="M782" s="4" t="s">
        <v>5317</v>
      </c>
      <c r="N782" s="136">
        <v>9</v>
      </c>
      <c r="O782" s="16"/>
    </row>
    <row r="783" spans="1:15" s="3" customFormat="1" ht="16" customHeight="1" thickBot="1" x14ac:dyDescent="0.25">
      <c r="A783" s="4" t="s">
        <v>5345</v>
      </c>
      <c r="B783" s="136">
        <v>7.5</v>
      </c>
      <c r="C783" s="2"/>
      <c r="D783" s="4" t="s">
        <v>5511</v>
      </c>
      <c r="E783" s="136">
        <v>10</v>
      </c>
      <c r="F783" s="2"/>
      <c r="G783" s="4" t="s">
        <v>5406</v>
      </c>
      <c r="H783" s="136">
        <v>8.5</v>
      </c>
      <c r="I783" s="2"/>
      <c r="J783" s="535" t="s">
        <v>5517</v>
      </c>
      <c r="K783" s="12">
        <f>ROUND(AVERAGE(K784:K796), 2)</f>
        <v>8.65</v>
      </c>
      <c r="L783" s="2"/>
      <c r="M783" s="4" t="s">
        <v>5318</v>
      </c>
      <c r="N783" s="136"/>
      <c r="O783" s="16"/>
    </row>
    <row r="784" spans="1:15" s="3" customFormat="1" ht="16" customHeight="1" thickBot="1" x14ac:dyDescent="0.25">
      <c r="A784" s="7" t="s">
        <v>5346</v>
      </c>
      <c r="B784" s="190">
        <v>7</v>
      </c>
      <c r="C784" s="2"/>
      <c r="D784" s="7" t="s">
        <v>2379</v>
      </c>
      <c r="E784" s="190">
        <v>7.5</v>
      </c>
      <c r="F784" s="2"/>
      <c r="G784" s="7" t="s">
        <v>5407</v>
      </c>
      <c r="H784" s="190">
        <v>8</v>
      </c>
      <c r="I784" s="2"/>
      <c r="J784" s="11" t="s">
        <v>5518</v>
      </c>
      <c r="K784" s="189">
        <v>9</v>
      </c>
      <c r="L784" s="2"/>
      <c r="M784" s="4" t="s">
        <v>5319</v>
      </c>
      <c r="N784" s="136">
        <v>8.5</v>
      </c>
      <c r="O784" s="16"/>
    </row>
    <row r="785" spans="1:15" s="3" customFormat="1" ht="16" customHeight="1" thickBo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4" t="s">
        <v>5519</v>
      </c>
      <c r="K785" s="136">
        <v>8.5</v>
      </c>
      <c r="L785" s="2"/>
      <c r="M785" s="4" t="s">
        <v>5320</v>
      </c>
      <c r="N785" s="136">
        <v>9</v>
      </c>
      <c r="O785" s="16"/>
    </row>
    <row r="786" spans="1:15" s="3" customFormat="1" ht="16" customHeight="1" thickBot="1" x14ac:dyDescent="0.25">
      <c r="A786" s="536" t="s">
        <v>5531</v>
      </c>
      <c r="B786" s="12">
        <f>ROUND(AVERAGE(B787:B793), 2)</f>
        <v>8.6</v>
      </c>
      <c r="C786" s="2"/>
      <c r="D786" s="537" t="s">
        <v>5552</v>
      </c>
      <c r="E786" s="12">
        <f>ROUND(AVERAGE(E787:E802), 2)</f>
        <v>8.8000000000000007</v>
      </c>
      <c r="F786" s="2"/>
      <c r="G786" s="538" t="s">
        <v>5605</v>
      </c>
      <c r="H786" s="12">
        <f>ROUND(AVERAGE(H787:H805), 2)</f>
        <v>8.4700000000000006</v>
      </c>
      <c r="I786" s="2"/>
      <c r="J786" s="4" t="s">
        <v>5520</v>
      </c>
      <c r="K786" s="136">
        <v>9</v>
      </c>
      <c r="L786" s="2"/>
      <c r="M786" s="4" t="s">
        <v>5321</v>
      </c>
      <c r="N786" s="136">
        <v>7.5</v>
      </c>
      <c r="O786" s="16"/>
    </row>
    <row r="787" spans="1:15" s="3" customFormat="1" ht="16" customHeight="1" x14ac:dyDescent="0.2">
      <c r="A787" s="11" t="s">
        <v>5532</v>
      </c>
      <c r="B787" s="189">
        <v>8</v>
      </c>
      <c r="C787" s="2"/>
      <c r="D787" s="11" t="s">
        <v>1304</v>
      </c>
      <c r="E787" s="189"/>
      <c r="F787" s="2"/>
      <c r="G787" s="11" t="s">
        <v>5591</v>
      </c>
      <c r="H787" s="189">
        <v>9</v>
      </c>
      <c r="I787" s="2"/>
      <c r="J787" s="4" t="s">
        <v>5521</v>
      </c>
      <c r="K787" s="136">
        <v>9</v>
      </c>
      <c r="L787" s="2"/>
      <c r="M787" s="4" t="s">
        <v>5322</v>
      </c>
      <c r="N787" s="136">
        <v>8</v>
      </c>
      <c r="O787" s="16"/>
    </row>
    <row r="788" spans="1:15" s="3" customFormat="1" ht="16" customHeight="1" x14ac:dyDescent="0.2">
      <c r="A788" s="4" t="s">
        <v>5533</v>
      </c>
      <c r="B788" s="136">
        <v>9.5</v>
      </c>
      <c r="C788" s="2"/>
      <c r="D788" s="4" t="s">
        <v>5553</v>
      </c>
      <c r="E788" s="136">
        <v>8.5</v>
      </c>
      <c r="F788" s="2"/>
      <c r="G788" s="4" t="s">
        <v>5511</v>
      </c>
      <c r="H788" s="136">
        <v>10</v>
      </c>
      <c r="I788" s="2"/>
      <c r="J788" s="4" t="s">
        <v>5522</v>
      </c>
      <c r="K788" s="136">
        <v>8.5</v>
      </c>
      <c r="L788" s="2"/>
      <c r="M788" s="4" t="s">
        <v>5323</v>
      </c>
      <c r="N788" s="136">
        <v>8.5</v>
      </c>
      <c r="O788" s="16"/>
    </row>
    <row r="789" spans="1:15" s="3" customFormat="1" ht="16" customHeight="1" x14ac:dyDescent="0.2">
      <c r="A789" s="4" t="s">
        <v>5534</v>
      </c>
      <c r="B789" s="136">
        <v>9</v>
      </c>
      <c r="C789" s="2"/>
      <c r="D789" s="4" t="s">
        <v>5554</v>
      </c>
      <c r="E789" s="136">
        <v>10</v>
      </c>
      <c r="F789" s="2"/>
      <c r="G789" s="4" t="s">
        <v>5509</v>
      </c>
      <c r="H789" s="136">
        <v>8.5</v>
      </c>
      <c r="I789" s="2"/>
      <c r="J789" s="4" t="s">
        <v>5523</v>
      </c>
      <c r="K789" s="136">
        <v>10</v>
      </c>
      <c r="L789" s="2"/>
      <c r="M789" s="4" t="s">
        <v>5324</v>
      </c>
      <c r="N789" s="136">
        <v>9</v>
      </c>
      <c r="O789" s="16"/>
    </row>
    <row r="790" spans="1:15" s="3" customFormat="1" ht="16" customHeight="1" x14ac:dyDescent="0.2">
      <c r="A790" s="4" t="s">
        <v>5535</v>
      </c>
      <c r="B790" s="136"/>
      <c r="C790" s="2"/>
      <c r="D790" s="4" t="s">
        <v>5555</v>
      </c>
      <c r="E790" s="136">
        <v>9</v>
      </c>
      <c r="F790" s="2"/>
      <c r="G790" s="4" t="s">
        <v>5510</v>
      </c>
      <c r="H790" s="136">
        <v>9</v>
      </c>
      <c r="I790" s="2"/>
      <c r="J790" s="4" t="s">
        <v>5524</v>
      </c>
      <c r="K790" s="136"/>
      <c r="L790" s="2"/>
      <c r="M790" s="4" t="s">
        <v>5325</v>
      </c>
      <c r="N790" s="136">
        <v>8</v>
      </c>
      <c r="O790" s="16"/>
    </row>
    <row r="791" spans="1:15" s="3" customFormat="1" ht="16" customHeight="1" x14ac:dyDescent="0.2">
      <c r="A791" s="4" t="s">
        <v>5536</v>
      </c>
      <c r="B791" s="136"/>
      <c r="C791" s="2"/>
      <c r="D791" s="4" t="s">
        <v>5556</v>
      </c>
      <c r="E791" s="136">
        <v>10</v>
      </c>
      <c r="F791" s="2"/>
      <c r="G791" s="4" t="s">
        <v>5592</v>
      </c>
      <c r="H791" s="136">
        <v>9</v>
      </c>
      <c r="I791" s="2"/>
      <c r="J791" s="4" t="s">
        <v>5525</v>
      </c>
      <c r="K791" s="136">
        <v>8.5</v>
      </c>
      <c r="L791" s="2"/>
      <c r="M791" s="4" t="s">
        <v>5326</v>
      </c>
      <c r="N791" s="136">
        <v>8</v>
      </c>
      <c r="O791" s="16"/>
    </row>
    <row r="792" spans="1:15" s="3" customFormat="1" ht="16" customHeight="1" x14ac:dyDescent="0.2">
      <c r="A792" s="4" t="s">
        <v>5537</v>
      </c>
      <c r="B792" s="136">
        <v>8.5</v>
      </c>
      <c r="C792" s="2"/>
      <c r="D792" s="4" t="s">
        <v>5557</v>
      </c>
      <c r="E792" s="136">
        <v>8.5</v>
      </c>
      <c r="F792" s="2"/>
      <c r="G792" s="4" t="s">
        <v>5593</v>
      </c>
      <c r="H792" s="136">
        <v>8</v>
      </c>
      <c r="I792" s="2"/>
      <c r="J792" s="4" t="s">
        <v>5526</v>
      </c>
      <c r="K792" s="136">
        <v>7.5</v>
      </c>
      <c r="L792" s="2"/>
      <c r="M792" s="4" t="s">
        <v>5327</v>
      </c>
      <c r="N792" s="136">
        <v>10.5</v>
      </c>
      <c r="O792" s="16"/>
    </row>
    <row r="793" spans="1:15" s="3" customFormat="1" ht="16" customHeight="1" thickBot="1" x14ac:dyDescent="0.25">
      <c r="A793" s="7" t="s">
        <v>5538</v>
      </c>
      <c r="B793" s="190">
        <v>8</v>
      </c>
      <c r="C793" s="2"/>
      <c r="D793" s="4" t="s">
        <v>5558</v>
      </c>
      <c r="E793" s="136">
        <v>9</v>
      </c>
      <c r="F793" s="2"/>
      <c r="G793" s="4" t="s">
        <v>5594</v>
      </c>
      <c r="H793" s="136">
        <v>8.5</v>
      </c>
      <c r="I793" s="2"/>
      <c r="J793" s="4" t="s">
        <v>5527</v>
      </c>
      <c r="K793" s="136"/>
      <c r="L793" s="2"/>
      <c r="M793" s="4" t="s">
        <v>2587</v>
      </c>
      <c r="N793" s="136"/>
      <c r="O793" s="16"/>
    </row>
    <row r="794" spans="1:15" s="3" customFormat="1" ht="16" customHeight="1" thickBot="1" x14ac:dyDescent="0.25">
      <c r="A794" s="2"/>
      <c r="B794" s="2"/>
      <c r="C794" s="2"/>
      <c r="D794" s="4" t="s">
        <v>5559</v>
      </c>
      <c r="E794" s="136">
        <v>8</v>
      </c>
      <c r="F794" s="2"/>
      <c r="G794" s="4" t="s">
        <v>5595</v>
      </c>
      <c r="H794" s="136">
        <v>8.5</v>
      </c>
      <c r="I794" s="2"/>
      <c r="J794" s="4" t="s">
        <v>5528</v>
      </c>
      <c r="K794" s="136">
        <v>8.5</v>
      </c>
      <c r="L794" s="2"/>
      <c r="M794" s="4" t="s">
        <v>5328</v>
      </c>
      <c r="N794" s="136">
        <v>10</v>
      </c>
      <c r="O794" s="16"/>
    </row>
    <row r="795" spans="1:15" s="3" customFormat="1" ht="16" customHeight="1" thickBot="1" x14ac:dyDescent="0.25">
      <c r="A795" s="539" t="s">
        <v>5613</v>
      </c>
      <c r="B795" s="12">
        <f>ROUND(AVERAGE(B796:B805), 2)</f>
        <v>8.75</v>
      </c>
      <c r="C795" s="2"/>
      <c r="D795" s="4" t="s">
        <v>5566</v>
      </c>
      <c r="E795" s="136">
        <v>8</v>
      </c>
      <c r="F795" s="2"/>
      <c r="G795" s="4" t="s">
        <v>5596</v>
      </c>
      <c r="H795" s="136">
        <v>8.5</v>
      </c>
      <c r="I795" s="2"/>
      <c r="J795" s="4" t="s">
        <v>5529</v>
      </c>
      <c r="K795" s="136">
        <v>8</v>
      </c>
      <c r="L795" s="2"/>
      <c r="M795" s="4" t="s">
        <v>5329</v>
      </c>
      <c r="N795" s="136"/>
      <c r="O795" s="16"/>
    </row>
    <row r="796" spans="1:15" s="3" customFormat="1" ht="16" customHeight="1" thickBot="1" x14ac:dyDescent="0.25">
      <c r="A796" s="11" t="s">
        <v>5614</v>
      </c>
      <c r="B796" s="189">
        <v>10</v>
      </c>
      <c r="C796" s="2"/>
      <c r="D796" s="4" t="s">
        <v>5560</v>
      </c>
      <c r="E796" s="136">
        <v>8.5</v>
      </c>
      <c r="F796" s="2"/>
      <c r="G796" s="4" t="s">
        <v>2379</v>
      </c>
      <c r="H796" s="136">
        <v>7.5</v>
      </c>
      <c r="I796" s="2"/>
      <c r="J796" s="7" t="s">
        <v>5530</v>
      </c>
      <c r="K796" s="190"/>
      <c r="L796" s="2"/>
      <c r="M796" s="4" t="s">
        <v>5330</v>
      </c>
      <c r="N796" s="136">
        <v>9</v>
      </c>
      <c r="O796" s="16"/>
    </row>
    <row r="797" spans="1:15" s="3" customFormat="1" ht="16" customHeight="1" thickBot="1" x14ac:dyDescent="0.25">
      <c r="A797" s="4" t="s">
        <v>5615</v>
      </c>
      <c r="B797" s="136">
        <v>9</v>
      </c>
      <c r="C797" s="2"/>
      <c r="D797" s="4" t="s">
        <v>5561</v>
      </c>
      <c r="E797" s="136">
        <v>7.5</v>
      </c>
      <c r="F797" s="2"/>
      <c r="G797" s="4" t="s">
        <v>5597</v>
      </c>
      <c r="H797" s="136">
        <v>7</v>
      </c>
      <c r="I797" s="2"/>
      <c r="J797" s="2"/>
      <c r="K797" s="2"/>
      <c r="L797" s="2"/>
      <c r="M797" s="4" t="s">
        <v>5331</v>
      </c>
      <c r="N797" s="136">
        <v>9</v>
      </c>
      <c r="O797" s="16"/>
    </row>
    <row r="798" spans="1:15" s="3" customFormat="1" ht="16" customHeight="1" thickBot="1" x14ac:dyDescent="0.25">
      <c r="A798" s="4" t="s">
        <v>5616</v>
      </c>
      <c r="B798" s="136">
        <v>8.5</v>
      </c>
      <c r="C798" s="2"/>
      <c r="D798" s="4" t="s">
        <v>5562</v>
      </c>
      <c r="E798" s="136">
        <v>8.5</v>
      </c>
      <c r="F798" s="2"/>
      <c r="G798" s="4" t="s">
        <v>5598</v>
      </c>
      <c r="H798" s="136">
        <v>7.5</v>
      </c>
      <c r="I798" s="2"/>
      <c r="J798" s="540" t="s">
        <v>5633</v>
      </c>
      <c r="K798" s="12">
        <f>ROUND(AVERAGE(K799:K802), 2)</f>
        <v>9</v>
      </c>
      <c r="L798" s="2"/>
      <c r="M798" s="4" t="s">
        <v>5332</v>
      </c>
      <c r="N798" s="136"/>
      <c r="O798" s="16"/>
    </row>
    <row r="799" spans="1:15" s="3" customFormat="1" ht="16" customHeight="1" x14ac:dyDescent="0.2">
      <c r="A799" s="4" t="s">
        <v>5617</v>
      </c>
      <c r="B799" s="136">
        <v>8</v>
      </c>
      <c r="C799" s="2"/>
      <c r="D799" s="4" t="s">
        <v>5563</v>
      </c>
      <c r="E799" s="136">
        <v>9</v>
      </c>
      <c r="F799" s="2"/>
      <c r="G799" s="4" t="s">
        <v>5599</v>
      </c>
      <c r="H799" s="136">
        <v>9.5</v>
      </c>
      <c r="I799" s="2"/>
      <c r="J799" s="11" t="s">
        <v>5634</v>
      </c>
      <c r="K799" s="189">
        <v>9</v>
      </c>
      <c r="L799" s="2"/>
      <c r="M799" s="4" t="s">
        <v>5333</v>
      </c>
      <c r="N799" s="136">
        <v>8</v>
      </c>
      <c r="O799" s="16"/>
    </row>
    <row r="800" spans="1:15" s="3" customFormat="1" ht="16" customHeight="1" thickBot="1" x14ac:dyDescent="0.25">
      <c r="A800" s="4" t="s">
        <v>5618</v>
      </c>
      <c r="B800" s="136">
        <v>9</v>
      </c>
      <c r="C800" s="2"/>
      <c r="D800" s="4" t="s">
        <v>5564</v>
      </c>
      <c r="E800" s="136">
        <v>8.5</v>
      </c>
      <c r="F800" s="2"/>
      <c r="G800" s="4" t="s">
        <v>5600</v>
      </c>
      <c r="H800" s="136">
        <v>8.5</v>
      </c>
      <c r="I800" s="2"/>
      <c r="J800" s="4" t="s">
        <v>5635</v>
      </c>
      <c r="K800" s="136">
        <v>10.5</v>
      </c>
      <c r="L800" s="2"/>
      <c r="M800" s="7" t="s">
        <v>5334</v>
      </c>
      <c r="N800" s="190">
        <v>8.5</v>
      </c>
      <c r="O800" s="16"/>
    </row>
    <row r="801" spans="1:15" s="3" customFormat="1" ht="16" customHeight="1" thickBot="1" x14ac:dyDescent="0.25">
      <c r="A801" s="4" t="s">
        <v>5619</v>
      </c>
      <c r="B801" s="136">
        <v>8.5</v>
      </c>
      <c r="C801" s="2"/>
      <c r="D801" s="4" t="s">
        <v>5567</v>
      </c>
      <c r="E801" s="136">
        <v>9</v>
      </c>
      <c r="F801" s="2"/>
      <c r="G801" s="4" t="s">
        <v>5601</v>
      </c>
      <c r="H801" s="136">
        <v>7</v>
      </c>
      <c r="I801" s="2"/>
      <c r="J801" s="4" t="s">
        <v>5636</v>
      </c>
      <c r="K801" s="136">
        <v>8.5</v>
      </c>
      <c r="L801" s="2"/>
      <c r="M801" s="2"/>
      <c r="N801" s="2"/>
      <c r="O801" s="16"/>
    </row>
    <row r="802" spans="1:15" s="3" customFormat="1" ht="16" customHeight="1" thickBot="1" x14ac:dyDescent="0.25">
      <c r="A802" s="4" t="s">
        <v>5620</v>
      </c>
      <c r="B802" s="136">
        <v>9.5</v>
      </c>
      <c r="C802" s="2"/>
      <c r="D802" s="7" t="s">
        <v>5565</v>
      </c>
      <c r="E802" s="190">
        <v>10</v>
      </c>
      <c r="F802" s="2"/>
      <c r="G802" s="4" t="s">
        <v>5602</v>
      </c>
      <c r="H802" s="136">
        <v>9</v>
      </c>
      <c r="I802" s="2"/>
      <c r="J802" s="7" t="s">
        <v>5637</v>
      </c>
      <c r="K802" s="190">
        <v>8</v>
      </c>
      <c r="L802" s="2"/>
      <c r="M802" s="541" t="s">
        <v>5656</v>
      </c>
      <c r="N802" s="12">
        <f>ROUND(AVERAGE(N803:N810), 2)</f>
        <v>9.06</v>
      </c>
      <c r="O802" s="16"/>
    </row>
    <row r="803" spans="1:15" s="3" customFormat="1" ht="16" customHeight="1" x14ac:dyDescent="0.2">
      <c r="A803" s="4" t="s">
        <v>5621</v>
      </c>
      <c r="B803" s="136">
        <v>8.5</v>
      </c>
      <c r="C803" s="2"/>
      <c r="D803" s="2"/>
      <c r="E803" s="2"/>
      <c r="F803" s="2"/>
      <c r="G803" s="4" t="s">
        <v>5603</v>
      </c>
      <c r="H803" s="136">
        <v>8.5</v>
      </c>
      <c r="I803" s="2"/>
      <c r="J803" s="2"/>
      <c r="K803" s="2"/>
      <c r="L803" s="2"/>
      <c r="M803" s="11" t="s">
        <v>5657</v>
      </c>
      <c r="N803" s="189">
        <v>10</v>
      </c>
      <c r="O803" s="16"/>
    </row>
    <row r="804" spans="1:15" s="3" customFormat="1" ht="16" customHeight="1" x14ac:dyDescent="0.2">
      <c r="A804" s="4" t="s">
        <v>5622</v>
      </c>
      <c r="B804" s="136">
        <v>8</v>
      </c>
      <c r="C804" s="2"/>
      <c r="F804" s="2"/>
      <c r="G804" s="4" t="s">
        <v>5604</v>
      </c>
      <c r="H804" s="136">
        <v>8.5</v>
      </c>
      <c r="I804" s="2"/>
      <c r="L804" s="2"/>
      <c r="M804" s="4" t="s">
        <v>5658</v>
      </c>
      <c r="N804" s="136">
        <v>10</v>
      </c>
      <c r="O804" s="16"/>
    </row>
    <row r="805" spans="1:15" s="3" customFormat="1" ht="16" customHeight="1" thickBot="1" x14ac:dyDescent="0.25">
      <c r="A805" s="7" t="s">
        <v>5623</v>
      </c>
      <c r="B805" s="190">
        <v>8.5</v>
      </c>
      <c r="C805" s="2"/>
      <c r="F805" s="2"/>
      <c r="G805" s="7" t="s">
        <v>3652</v>
      </c>
      <c r="H805" s="190">
        <v>9</v>
      </c>
      <c r="I805" s="2"/>
      <c r="L805" s="2"/>
      <c r="M805" s="4" t="s">
        <v>5659</v>
      </c>
      <c r="N805" s="136">
        <v>9</v>
      </c>
      <c r="O805" s="16"/>
    </row>
    <row r="806" spans="1:15" s="3" customFormat="1" ht="16" customHeight="1" x14ac:dyDescent="0.2">
      <c r="A806" s="2"/>
      <c r="B806" s="2"/>
      <c r="C806" s="2"/>
      <c r="F806" s="2"/>
      <c r="G806" s="2"/>
      <c r="H806" s="2"/>
      <c r="I806" s="2"/>
      <c r="L806" s="2"/>
      <c r="M806" s="4" t="s">
        <v>5660</v>
      </c>
      <c r="N806" s="136">
        <v>9</v>
      </c>
      <c r="O806" s="16"/>
    </row>
    <row r="807" spans="1:15" s="3" customFormat="1" ht="16" customHeight="1" x14ac:dyDescent="0.2">
      <c r="L807" s="2"/>
      <c r="M807" s="4" t="s">
        <v>5661</v>
      </c>
      <c r="N807" s="136">
        <v>8.5</v>
      </c>
      <c r="O807" s="16"/>
    </row>
    <row r="808" spans="1:15" s="3" customFormat="1" ht="16" customHeight="1" x14ac:dyDescent="0.2">
      <c r="L808" s="2"/>
      <c r="M808" s="4" t="s">
        <v>5662</v>
      </c>
      <c r="N808" s="136">
        <v>8.5</v>
      </c>
      <c r="O808" s="16"/>
    </row>
    <row r="809" spans="1:15" s="3" customFormat="1" ht="16" customHeight="1" x14ac:dyDescent="0.2">
      <c r="L809" s="2"/>
      <c r="M809" s="4" t="s">
        <v>5663</v>
      </c>
      <c r="N809" s="136">
        <v>9</v>
      </c>
      <c r="O809" s="16"/>
    </row>
    <row r="810" spans="1:15" s="3" customFormat="1" ht="16" customHeight="1" thickBot="1" x14ac:dyDescent="0.25">
      <c r="L810" s="2"/>
      <c r="M810" s="7" t="s">
        <v>5664</v>
      </c>
      <c r="N810" s="190">
        <v>8.5</v>
      </c>
      <c r="O810" s="16"/>
    </row>
    <row r="811" spans="1:15" s="3" customFormat="1" ht="16" customHeight="1" x14ac:dyDescent="0.2">
      <c r="L811" s="2"/>
      <c r="M811" s="2"/>
      <c r="N811" s="2"/>
      <c r="O811" s="16"/>
    </row>
    <row r="812" spans="1:15" s="3" customFormat="1" ht="16" customHeight="1" x14ac:dyDescent="0.2"/>
    <row r="813" spans="1:15" s="3" customFormat="1" ht="16" customHeight="1" x14ac:dyDescent="0.2"/>
    <row r="814" spans="1:15" s="3" customFormat="1" ht="16" customHeight="1" x14ac:dyDescent="0.2"/>
    <row r="815" spans="1:15" s="3" customFormat="1" ht="16" customHeight="1" x14ac:dyDescent="0.2"/>
    <row r="816" spans="1:15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665">
      <colorScale>
        <cfvo type="num" val="5"/>
        <cfvo type="num" val="10"/>
        <color rgb="FFFF494D"/>
        <color rgb="FF00FF66"/>
      </colorScale>
    </cfRule>
    <cfRule type="colorScale" priority="3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2531" priority="3243" operator="between">
      <formula>10.1</formula>
      <formula>10.6</formula>
    </cfRule>
    <cfRule type="cellIs" dxfId="2530" priority="3281" operator="between">
      <formula>7</formula>
      <formula>7.9</formula>
    </cfRule>
    <cfRule type="cellIs" dxfId="2529" priority="3282" stopIfTrue="1" operator="between">
      <formula>8</formula>
      <formula>8.9</formula>
    </cfRule>
    <cfRule type="cellIs" dxfId="2528" priority="3283" operator="between">
      <formula>9</formula>
      <formula>9.9</formula>
    </cfRule>
    <cfRule type="cellIs" dxfId="2527" priority="3284" stopIfTrue="1" operator="between">
      <formula>10</formula>
      <formula>10</formula>
    </cfRule>
    <cfRule type="containsBlanks" dxfId="2526" priority="3285" stopIfTrue="1">
      <formula>LEN(TRIM(B3))=0</formula>
    </cfRule>
  </conditionalFormatting>
  <conditionalFormatting sqref="B17:B24">
    <cfRule type="cellIs" dxfId="2525" priority="3219" operator="between">
      <formula>10.1</formula>
      <formula>10.6</formula>
    </cfRule>
    <cfRule type="cellIs" dxfId="2524" priority="3220" operator="between">
      <formula>7</formula>
      <formula>7.9</formula>
    </cfRule>
    <cfRule type="cellIs" dxfId="2523" priority="3221" stopIfTrue="1" operator="between">
      <formula>8</formula>
      <formula>8.9</formula>
    </cfRule>
    <cfRule type="cellIs" dxfId="2522" priority="3222" operator="between">
      <formula>9</formula>
      <formula>9.9</formula>
    </cfRule>
    <cfRule type="cellIs" dxfId="2521" priority="3223" stopIfTrue="1" operator="between">
      <formula>10</formula>
      <formula>10</formula>
    </cfRule>
    <cfRule type="containsBlanks" dxfId="2520" priority="3224" stopIfTrue="1">
      <formula>LEN(TRIM(B17))=0</formula>
    </cfRule>
  </conditionalFormatting>
  <conditionalFormatting sqref="B27:B31">
    <cfRule type="cellIs" dxfId="2519" priority="3214" operator="between">
      <formula>7</formula>
      <formula>7.9</formula>
    </cfRule>
    <cfRule type="cellIs" dxfId="2518" priority="3216" operator="between">
      <formula>9</formula>
      <formula>9.9</formula>
    </cfRule>
    <cfRule type="cellIs" dxfId="2517" priority="3217" stopIfTrue="1" operator="between">
      <formula>10</formula>
      <formula>10</formula>
    </cfRule>
    <cfRule type="cellIs" dxfId="2516" priority="3215" stopIfTrue="1" operator="between">
      <formula>8</formula>
      <formula>8.9</formula>
    </cfRule>
    <cfRule type="cellIs" dxfId="2515" priority="3213" operator="between">
      <formula>10.1</formula>
      <formula>10.6</formula>
    </cfRule>
    <cfRule type="containsBlanks" dxfId="2514" priority="3218" stopIfTrue="1">
      <formula>LEN(TRIM(B27))=0</formula>
    </cfRule>
  </conditionalFormatting>
  <conditionalFormatting sqref="B33">
    <cfRule type="colorScale" priority="3616">
      <colorScale>
        <cfvo type="num" val="5"/>
        <cfvo type="num" val="10"/>
        <color rgb="FFFF494D"/>
        <color rgb="FF00FF66"/>
      </colorScale>
    </cfRule>
    <cfRule type="colorScale" priority="3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2513" priority="3208" operator="between">
      <formula>7</formula>
      <formula>7.9</formula>
    </cfRule>
    <cfRule type="containsBlanks" dxfId="2512" priority="3212" stopIfTrue="1">
      <formula>LEN(TRIM(B34))=0</formula>
    </cfRule>
    <cfRule type="cellIs" dxfId="2511" priority="3211" stopIfTrue="1" operator="between">
      <formula>10</formula>
      <formula>10</formula>
    </cfRule>
    <cfRule type="cellIs" dxfId="2510" priority="3210" operator="between">
      <formula>9</formula>
      <formula>9.9</formula>
    </cfRule>
    <cfRule type="cellIs" dxfId="2509" priority="3209" stopIfTrue="1" operator="between">
      <formula>8</formula>
      <formula>8.9</formula>
    </cfRule>
    <cfRule type="cellIs" dxfId="2508" priority="3207" operator="between">
      <formula>10.1</formula>
      <formula>10.6</formula>
    </cfRule>
  </conditionalFormatting>
  <conditionalFormatting sqref="B47">
    <cfRule type="colorScale" priority="3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2507" priority="3182" stopIfTrue="1">
      <formula>LEN(TRIM(B48))=0</formula>
    </cfRule>
    <cfRule type="cellIs" dxfId="2506" priority="3181" stopIfTrue="1" operator="between">
      <formula>10</formula>
      <formula>10</formula>
    </cfRule>
    <cfRule type="cellIs" dxfId="2505" priority="3180" operator="between">
      <formula>9</formula>
      <formula>9.9</formula>
    </cfRule>
    <cfRule type="cellIs" dxfId="2504" priority="3179" stopIfTrue="1" operator="between">
      <formula>8</formula>
      <formula>8.9</formula>
    </cfRule>
    <cfRule type="cellIs" dxfId="2503" priority="3178" operator="between">
      <formula>7</formula>
      <formula>7.9</formula>
    </cfRule>
    <cfRule type="cellIs" dxfId="2502" priority="3177" operator="between">
      <formula>10.1</formula>
      <formula>10.6</formula>
    </cfRule>
  </conditionalFormatting>
  <conditionalFormatting sqref="B59">
    <cfRule type="colorScale" priority="3162">
      <colorScale>
        <cfvo type="num" val="5"/>
        <cfvo type="num" val="10"/>
        <color rgb="FFFF494D"/>
        <color rgb="FF00FF66"/>
      </colorScale>
    </cfRule>
    <cfRule type="colorScale" priority="3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2501" priority="3160" stopIfTrue="1">
      <formula>LEN(TRIM(B60))=0</formula>
    </cfRule>
    <cfRule type="cellIs" dxfId="2500" priority="3159" stopIfTrue="1" operator="between">
      <formula>10</formula>
      <formula>10</formula>
    </cfRule>
    <cfRule type="cellIs" dxfId="2499" priority="3158" operator="between">
      <formula>9</formula>
      <formula>9.9</formula>
    </cfRule>
    <cfRule type="cellIs" dxfId="2498" priority="3157" stopIfTrue="1" operator="between">
      <formula>8</formula>
      <formula>8.9</formula>
    </cfRule>
    <cfRule type="cellIs" dxfId="2497" priority="3156" operator="between">
      <formula>7</formula>
      <formula>7.9</formula>
    </cfRule>
    <cfRule type="cellIs" dxfId="2496" priority="3155" operator="between">
      <formula>10.1</formula>
      <formula>10.6</formula>
    </cfRule>
  </conditionalFormatting>
  <conditionalFormatting sqref="B70">
    <cfRule type="colorScale" priority="3089">
      <colorScale>
        <cfvo type="num" val="5"/>
        <cfvo type="num" val="10"/>
        <color rgb="FFFF494D"/>
        <color rgb="FF00FF66"/>
      </colorScale>
    </cfRule>
    <cfRule type="colorScale" priority="30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2495" priority="3074" stopIfTrue="1">
      <formula>LEN(TRIM(B71))=0</formula>
    </cfRule>
    <cfRule type="cellIs" dxfId="2494" priority="3073" stopIfTrue="1" operator="between">
      <formula>10</formula>
      <formula>10</formula>
    </cfRule>
    <cfRule type="cellIs" dxfId="2493" priority="3072" operator="between">
      <formula>9</formula>
      <formula>9.9</formula>
    </cfRule>
    <cfRule type="cellIs" dxfId="2492" priority="3071" stopIfTrue="1" operator="between">
      <formula>8</formula>
      <formula>8.9</formula>
    </cfRule>
    <cfRule type="cellIs" dxfId="2491" priority="3070" operator="between">
      <formula>7</formula>
      <formula>7.9</formula>
    </cfRule>
    <cfRule type="cellIs" dxfId="2490" priority="3069" operator="between">
      <formula>10.1</formula>
      <formula>10.6</formula>
    </cfRule>
  </conditionalFormatting>
  <conditionalFormatting sqref="B73">
    <cfRule type="cellIs" dxfId="2489" priority="3068" operator="between">
      <formula>6</formula>
      <formula>6.9</formula>
    </cfRule>
  </conditionalFormatting>
  <conditionalFormatting sqref="B79">
    <cfRule type="colorScale" priority="30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488" priority="3048" operator="between">
      <formula>9</formula>
      <formula>9.9</formula>
    </cfRule>
    <cfRule type="containsBlanks" dxfId="2487" priority="3050" stopIfTrue="1">
      <formula>LEN(TRIM(B80))=0</formula>
    </cfRule>
    <cfRule type="cellIs" dxfId="2486" priority="3049" stopIfTrue="1" operator="between">
      <formula>10</formula>
      <formula>10</formula>
    </cfRule>
    <cfRule type="cellIs" dxfId="2485" priority="3047" stopIfTrue="1" operator="between">
      <formula>8</formula>
      <formula>8.9</formula>
    </cfRule>
    <cfRule type="cellIs" dxfId="2484" priority="3046" operator="between">
      <formula>7</formula>
      <formula>7.9</formula>
    </cfRule>
    <cfRule type="cellIs" dxfId="2483" priority="3045" operator="between">
      <formula>10.1</formula>
      <formula>10.6</formula>
    </cfRule>
  </conditionalFormatting>
  <conditionalFormatting sqref="B93">
    <cfRule type="colorScale" priority="3005">
      <colorScale>
        <cfvo type="num" val="5"/>
        <cfvo type="num" val="10"/>
        <color rgb="FFFF494D"/>
        <color rgb="FF00FF66"/>
      </colorScale>
    </cfRule>
    <cfRule type="colorScale" priority="3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2482" priority="3003" stopIfTrue="1">
      <formula>LEN(TRIM(B94))=0</formula>
    </cfRule>
    <cfRule type="cellIs" dxfId="2481" priority="3002" stopIfTrue="1" operator="between">
      <formula>10</formula>
      <formula>10</formula>
    </cfRule>
    <cfRule type="cellIs" dxfId="2480" priority="2998" operator="between">
      <formula>10.1</formula>
      <formula>10.6</formula>
    </cfRule>
    <cfRule type="cellIs" dxfId="2479" priority="3001" operator="between">
      <formula>9</formula>
      <formula>9.9</formula>
    </cfRule>
    <cfRule type="cellIs" dxfId="2478" priority="2999" operator="between">
      <formula>7</formula>
      <formula>7.9</formula>
    </cfRule>
    <cfRule type="cellIs" dxfId="2477" priority="3000" stopIfTrue="1" operator="between">
      <formula>8</formula>
      <formula>8.9</formula>
    </cfRule>
  </conditionalFormatting>
  <conditionalFormatting sqref="B103">
    <cfRule type="colorScale" priority="2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2476" priority="2954" stopIfTrue="1">
      <formula>LEN(TRIM(B104))=0</formula>
    </cfRule>
    <cfRule type="cellIs" dxfId="2475" priority="2953" stopIfTrue="1" operator="between">
      <formula>10</formula>
      <formula>10</formula>
    </cfRule>
    <cfRule type="cellIs" dxfId="2474" priority="2952" operator="between">
      <formula>9</formula>
      <formula>9.9</formula>
    </cfRule>
    <cfRule type="cellIs" dxfId="2473" priority="2951" stopIfTrue="1" operator="between">
      <formula>8</formula>
      <formula>8.9</formula>
    </cfRule>
    <cfRule type="cellIs" dxfId="2472" priority="2950" operator="between">
      <formula>7</formula>
      <formula>7.9</formula>
    </cfRule>
    <cfRule type="cellIs" dxfId="2471" priority="2949" operator="between">
      <formula>10.1</formula>
      <formula>10.6</formula>
    </cfRule>
  </conditionalFormatting>
  <conditionalFormatting sqref="B114">
    <cfRule type="colorScale" priority="2917">
      <colorScale>
        <cfvo type="num" val="5"/>
        <cfvo type="num" val="10"/>
        <color rgb="FFFF494D"/>
        <color rgb="FF00FF66"/>
      </colorScale>
    </cfRule>
    <cfRule type="colorScale" priority="2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2470" priority="2908" stopIfTrue="1" operator="between">
      <formula>10</formula>
      <formula>10</formula>
    </cfRule>
    <cfRule type="cellIs" dxfId="2469" priority="2907" operator="between">
      <formula>9</formula>
      <formula>9.9</formula>
    </cfRule>
    <cfRule type="cellIs" dxfId="2468" priority="2906" stopIfTrue="1" operator="between">
      <formula>8</formula>
      <formula>8.9</formula>
    </cfRule>
    <cfRule type="cellIs" dxfId="2467" priority="2905" operator="between">
      <formula>7</formula>
      <formula>7.9</formula>
    </cfRule>
    <cfRule type="cellIs" dxfId="2466" priority="2904" operator="between">
      <formula>10.1</formula>
      <formula>10.6</formula>
    </cfRule>
    <cfRule type="cellIs" dxfId="2465" priority="2903" operator="between">
      <formula>6</formula>
      <formula>6.9</formula>
    </cfRule>
    <cfRule type="containsBlanks" dxfId="2464" priority="2909" stopIfTrue="1">
      <formula>LEN(TRIM(B115))=0</formula>
    </cfRule>
  </conditionalFormatting>
  <conditionalFormatting sqref="B134">
    <cfRule type="colorScale" priority="2834">
      <colorScale>
        <cfvo type="num" val="5"/>
        <cfvo type="num" val="10"/>
        <color rgb="FFFF494D"/>
        <color rgb="FF00FF66"/>
      </colorScale>
    </cfRule>
    <cfRule type="colorScale" priority="2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2463" priority="2832" stopIfTrue="1">
      <formula>LEN(TRIM(B135))=0</formula>
    </cfRule>
    <cfRule type="cellIs" dxfId="2462" priority="2831" stopIfTrue="1" operator="between">
      <formula>10</formula>
      <formula>10</formula>
    </cfRule>
    <cfRule type="cellIs" dxfId="2461" priority="2830" operator="between">
      <formula>9</formula>
      <formula>9.9</formula>
    </cfRule>
    <cfRule type="cellIs" dxfId="2460" priority="2829" stopIfTrue="1" operator="between">
      <formula>8</formula>
      <formula>8.9</formula>
    </cfRule>
    <cfRule type="cellIs" dxfId="2459" priority="2828" operator="between">
      <formula>7</formula>
      <formula>7.9</formula>
    </cfRule>
    <cfRule type="cellIs" dxfId="2458" priority="2827" operator="between">
      <formula>10.1</formula>
      <formula>10.6</formula>
    </cfRule>
    <cfRule type="cellIs" dxfId="2457" priority="2826" operator="between">
      <formula>6</formula>
      <formula>6.9</formula>
    </cfRule>
  </conditionalFormatting>
  <conditionalFormatting sqref="B145">
    <cfRule type="colorScale" priority="2789">
      <colorScale>
        <cfvo type="num" val="5"/>
        <cfvo type="num" val="10"/>
        <color rgb="FFFF494D"/>
        <color rgb="FF00FF66"/>
      </colorScale>
    </cfRule>
    <cfRule type="colorScale" priority="2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2456" priority="2786" stopIfTrue="1" operator="between">
      <formula>10</formula>
      <formula>10</formula>
    </cfRule>
    <cfRule type="cellIs" dxfId="2455" priority="2785" operator="between">
      <formula>9</formula>
      <formula>9.9</formula>
    </cfRule>
    <cfRule type="cellIs" dxfId="2454" priority="2784" stopIfTrue="1" operator="between">
      <formula>8</formula>
      <formula>8.9</formula>
    </cfRule>
    <cfRule type="cellIs" dxfId="2453" priority="2783" operator="between">
      <formula>7</formula>
      <formula>7.9</formula>
    </cfRule>
    <cfRule type="cellIs" dxfId="2452" priority="2782" operator="between">
      <formula>10.1</formula>
      <formula>10.6</formula>
    </cfRule>
    <cfRule type="cellIs" dxfId="2451" priority="2781" operator="between">
      <formula>6</formula>
      <formula>6.9</formula>
    </cfRule>
    <cfRule type="containsBlanks" dxfId="2450" priority="2787" stopIfTrue="1">
      <formula>LEN(TRIM(B146))=0</formula>
    </cfRule>
  </conditionalFormatting>
  <conditionalFormatting sqref="B162">
    <cfRule type="colorScale" priority="2719">
      <colorScale>
        <cfvo type="num" val="5"/>
        <cfvo type="num" val="10"/>
        <color rgb="FFFF494D"/>
        <color rgb="FF00FF66"/>
      </colorScale>
    </cfRule>
    <cfRule type="colorScale" priority="2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2449" priority="2726" stopIfTrue="1">
      <formula>LEN(TRIM(B163))=0</formula>
    </cfRule>
    <cfRule type="cellIs" dxfId="2448" priority="2725" stopIfTrue="1" operator="between">
      <formula>10</formula>
      <formula>10</formula>
    </cfRule>
    <cfRule type="cellIs" dxfId="2447" priority="2724" operator="between">
      <formula>9</formula>
      <formula>9.9</formula>
    </cfRule>
    <cfRule type="cellIs" dxfId="2446" priority="2723" stopIfTrue="1" operator="between">
      <formula>8</formula>
      <formula>8.9</formula>
    </cfRule>
    <cfRule type="cellIs" dxfId="2445" priority="2722" operator="between">
      <formula>7</formula>
      <formula>7.9</formula>
    </cfRule>
    <cfRule type="cellIs" dxfId="2444" priority="2721" operator="between">
      <formula>10.1</formula>
      <formula>10.6</formula>
    </cfRule>
    <cfRule type="cellIs" dxfId="2443" priority="2720" operator="between">
      <formula>6</formula>
      <formula>6.9</formula>
    </cfRule>
  </conditionalFormatting>
  <conditionalFormatting sqref="B172">
    <cfRule type="colorScale" priority="2690">
      <colorScale>
        <cfvo type="num" val="5"/>
        <cfvo type="num" val="10"/>
        <color rgb="FFFF494D"/>
        <color rgb="FF00FF66"/>
      </colorScale>
    </cfRule>
    <cfRule type="colorScale" priority="2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2442" priority="2687" stopIfTrue="1" operator="between">
      <formula>10</formula>
      <formula>10</formula>
    </cfRule>
    <cfRule type="cellIs" dxfId="2441" priority="2686" operator="between">
      <formula>9</formula>
      <formula>9.9</formula>
    </cfRule>
    <cfRule type="cellIs" dxfId="2440" priority="2685" stopIfTrue="1" operator="between">
      <formula>8</formula>
      <formula>8.9</formula>
    </cfRule>
    <cfRule type="cellIs" dxfId="2439" priority="2684" operator="between">
      <formula>7</formula>
      <formula>7.9</formula>
    </cfRule>
    <cfRule type="cellIs" dxfId="2438" priority="2683" operator="between">
      <formula>10.1</formula>
      <formula>10.6</formula>
    </cfRule>
    <cfRule type="cellIs" dxfId="2437" priority="2682" operator="between">
      <formula>6</formula>
      <formula>6.9</formula>
    </cfRule>
    <cfRule type="containsBlanks" dxfId="2436" priority="2688" stopIfTrue="1">
      <formula>LEN(TRIM(B173))=0</formula>
    </cfRule>
  </conditionalFormatting>
  <conditionalFormatting sqref="B185">
    <cfRule type="colorScale" priority="2652">
      <colorScale>
        <cfvo type="num" val="5"/>
        <cfvo type="num" val="10"/>
        <color rgb="FFFF494D"/>
        <color rgb="FF00FF66"/>
      </colorScale>
    </cfRule>
    <cfRule type="colorScale" priority="2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2435" priority="2650" stopIfTrue="1">
      <formula>LEN(TRIM(B186))=0</formula>
    </cfRule>
    <cfRule type="cellIs" dxfId="2434" priority="2649" stopIfTrue="1" operator="between">
      <formula>10</formula>
      <formula>10</formula>
    </cfRule>
    <cfRule type="cellIs" dxfId="2433" priority="2648" operator="between">
      <formula>9</formula>
      <formula>9.9</formula>
    </cfRule>
    <cfRule type="cellIs" dxfId="2432" priority="2647" stopIfTrue="1" operator="between">
      <formula>8</formula>
      <formula>8.9</formula>
    </cfRule>
    <cfRule type="cellIs" dxfId="2431" priority="2646" operator="between">
      <formula>7</formula>
      <formula>7.9</formula>
    </cfRule>
    <cfRule type="cellIs" dxfId="2430" priority="2645" operator="between">
      <formula>10.1</formula>
      <formula>10.6</formula>
    </cfRule>
    <cfRule type="cellIs" dxfId="2429" priority="2644" operator="between">
      <formula>6</formula>
      <formula>6.9</formula>
    </cfRule>
  </conditionalFormatting>
  <conditionalFormatting sqref="B196">
    <cfRule type="colorScale" priority="2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428" priority="2597" operator="between">
      <formula>7</formula>
      <formula>7.9</formula>
    </cfRule>
    <cfRule type="cellIs" dxfId="2427" priority="2598" stopIfTrue="1" operator="between">
      <formula>8</formula>
      <formula>8.9</formula>
    </cfRule>
    <cfRule type="cellIs" dxfId="2426" priority="2596" operator="between">
      <formula>10.1</formula>
      <formula>10.6</formula>
    </cfRule>
    <cfRule type="cellIs" dxfId="2425" priority="2595" operator="between">
      <formula>6</formula>
      <formula>6.9</formula>
    </cfRule>
    <cfRule type="cellIs" dxfId="2424" priority="2599" operator="between">
      <formula>9</formula>
      <formula>9.9</formula>
    </cfRule>
    <cfRule type="cellIs" dxfId="2423" priority="2600" stopIfTrue="1" operator="between">
      <formula>10</formula>
      <formula>10</formula>
    </cfRule>
    <cfRule type="containsBlanks" dxfId="2422" priority="2601" stopIfTrue="1">
      <formula>LEN(TRIM(B197))=0</formula>
    </cfRule>
  </conditionalFormatting>
  <conditionalFormatting sqref="B213">
    <cfRule type="colorScale" priority="2527">
      <colorScale>
        <cfvo type="num" val="5"/>
        <cfvo type="num" val="10"/>
        <color rgb="FFFF494D"/>
        <color rgb="FF00FF66"/>
      </colorScale>
    </cfRule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2421" priority="2525" stopIfTrue="1">
      <formula>LEN(TRIM(B214))=0</formula>
    </cfRule>
    <cfRule type="cellIs" dxfId="2420" priority="2524" stopIfTrue="1" operator="between">
      <formula>10</formula>
      <formula>10</formula>
    </cfRule>
    <cfRule type="cellIs" dxfId="2419" priority="2523" operator="between">
      <formula>9</formula>
      <formula>9.9</formula>
    </cfRule>
    <cfRule type="cellIs" dxfId="2418" priority="2522" stopIfTrue="1" operator="between">
      <formula>8</formula>
      <formula>8.9</formula>
    </cfRule>
    <cfRule type="cellIs" dxfId="2417" priority="2521" operator="between">
      <formula>7</formula>
      <formula>7.9</formula>
    </cfRule>
    <cfRule type="cellIs" dxfId="2416" priority="2520" operator="between">
      <formula>10.1</formula>
      <formula>10.6</formula>
    </cfRule>
    <cfRule type="cellIs" dxfId="2415" priority="2519" operator="between">
      <formula>6</formula>
      <formula>6.9</formula>
    </cfRule>
  </conditionalFormatting>
  <conditionalFormatting sqref="B226">
    <cfRule type="colorScale" priority="2500">
      <colorScale>
        <cfvo type="num" val="5"/>
        <cfvo type="num" val="10"/>
        <color rgb="FFFF494D"/>
        <color rgb="FF00FF66"/>
      </colorScale>
    </cfRule>
    <cfRule type="colorScale" priority="24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2471">
      <colorScale>
        <cfvo type="num" val="5"/>
        <cfvo type="num" val="10"/>
        <color rgb="FFFF494D"/>
        <color rgb="FF00FF66"/>
      </colorScale>
    </cfRule>
    <cfRule type="colorScale" priority="2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2414" priority="2460" operator="between">
      <formula>9</formula>
      <formula>9.9</formula>
    </cfRule>
    <cfRule type="containsBlanks" dxfId="2413" priority="2462" stopIfTrue="1">
      <formula>LEN(TRIM(B236))=0</formula>
    </cfRule>
    <cfRule type="cellIs" dxfId="2412" priority="2461" stopIfTrue="1" operator="between">
      <formula>10</formula>
      <formula>10</formula>
    </cfRule>
    <cfRule type="cellIs" dxfId="2411" priority="2459" stopIfTrue="1" operator="between">
      <formula>8</formula>
      <formula>8.9</formula>
    </cfRule>
    <cfRule type="cellIs" dxfId="2410" priority="2458" operator="between">
      <formula>7</formula>
      <formula>7.9</formula>
    </cfRule>
    <cfRule type="cellIs" dxfId="2409" priority="2457" operator="between">
      <formula>10.1</formula>
      <formula>10.6</formula>
    </cfRule>
    <cfRule type="cellIs" dxfId="2408" priority="2456" operator="between">
      <formula>6</formula>
      <formula>6.9</formula>
    </cfRule>
  </conditionalFormatting>
  <conditionalFormatting sqref="B246">
    <cfRule type="colorScale" priority="2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407" priority="2415" operator="between">
      <formula>9</formula>
      <formula>9.9</formula>
    </cfRule>
    <cfRule type="cellIs" dxfId="2406" priority="2416" stopIfTrue="1" operator="between">
      <formula>10</formula>
      <formula>10</formula>
    </cfRule>
    <cfRule type="cellIs" dxfId="2405" priority="2411" operator="between">
      <formula>6</formula>
      <formula>6.9</formula>
    </cfRule>
    <cfRule type="cellIs" dxfId="2404" priority="2412" operator="between">
      <formula>10.1</formula>
      <formula>10.6</formula>
    </cfRule>
    <cfRule type="cellIs" dxfId="2403" priority="2413" operator="between">
      <formula>7</formula>
      <formula>7.9</formula>
    </cfRule>
    <cfRule type="containsBlanks" dxfId="2402" priority="2417" stopIfTrue="1">
      <formula>LEN(TRIM(B247))=0</formula>
    </cfRule>
    <cfRule type="cellIs" dxfId="2401" priority="2414" stopIfTrue="1" operator="between">
      <formula>8</formula>
      <formula>8.9</formula>
    </cfRule>
  </conditionalFormatting>
  <conditionalFormatting sqref="B260">
    <cfRule type="colorScale" priority="2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400" priority="2373" operator="between">
      <formula>6</formula>
      <formula>6.9</formula>
    </cfRule>
    <cfRule type="cellIs" dxfId="2399" priority="2375" operator="between">
      <formula>7</formula>
      <formula>7.9</formula>
    </cfRule>
    <cfRule type="cellIs" dxfId="2398" priority="2376" stopIfTrue="1" operator="between">
      <formula>8</formula>
      <formula>8.9</formula>
    </cfRule>
    <cfRule type="cellIs" dxfId="2397" priority="2378" stopIfTrue="1" operator="between">
      <formula>10</formula>
      <formula>10</formula>
    </cfRule>
    <cfRule type="containsBlanks" dxfId="2396" priority="2379" stopIfTrue="1">
      <formula>LEN(TRIM(B261))=0</formula>
    </cfRule>
    <cfRule type="cellIs" dxfId="2395" priority="2377" operator="between">
      <formula>9</formula>
      <formula>9.9</formula>
    </cfRule>
    <cfRule type="cellIs" dxfId="2394" priority="2374" operator="between">
      <formula>10.1</formula>
      <formula>10.6</formula>
    </cfRule>
  </conditionalFormatting>
  <conditionalFormatting sqref="B272">
    <cfRule type="colorScale" priority="2330">
      <colorScale>
        <cfvo type="num" val="5"/>
        <cfvo type="num" val="10"/>
        <color rgb="FFFF494D"/>
        <color rgb="FF00FF66"/>
      </colorScale>
    </cfRule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2393" priority="2337" stopIfTrue="1">
      <formula>LEN(TRIM(B273))=0</formula>
    </cfRule>
    <cfRule type="cellIs" dxfId="2392" priority="2336" stopIfTrue="1" operator="between">
      <formula>10</formula>
      <formula>10</formula>
    </cfRule>
    <cfRule type="cellIs" dxfId="2391" priority="2335" operator="between">
      <formula>9</formula>
      <formula>9.9</formula>
    </cfRule>
    <cfRule type="cellIs" dxfId="2390" priority="2334" stopIfTrue="1" operator="between">
      <formula>8</formula>
      <formula>8.9</formula>
    </cfRule>
    <cfRule type="cellIs" dxfId="2389" priority="2333" operator="between">
      <formula>7</formula>
      <formula>7.9</formula>
    </cfRule>
    <cfRule type="cellIs" dxfId="2388" priority="2332" operator="between">
      <formula>10.1</formula>
      <formula>10.6</formula>
    </cfRule>
    <cfRule type="cellIs" dxfId="2387" priority="2331" operator="between">
      <formula>6</formula>
      <formula>6.9</formula>
    </cfRule>
  </conditionalFormatting>
  <conditionalFormatting sqref="B279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386" priority="2283" operator="between">
      <formula>6</formula>
      <formula>6.9</formula>
    </cfRule>
    <cfRule type="cellIs" dxfId="2385" priority="2285" operator="between">
      <formula>7</formula>
      <formula>7.9</formula>
    </cfRule>
    <cfRule type="cellIs" dxfId="2384" priority="2286" stopIfTrue="1" operator="between">
      <formula>8</formula>
      <formula>8.9</formula>
    </cfRule>
    <cfRule type="cellIs" dxfId="2383" priority="2287" operator="between">
      <formula>9</formula>
      <formula>9.9</formula>
    </cfRule>
    <cfRule type="cellIs" dxfId="2382" priority="2288" stopIfTrue="1" operator="between">
      <formula>10</formula>
      <formula>10</formula>
    </cfRule>
    <cfRule type="containsBlanks" dxfId="2381" priority="2289" stopIfTrue="1">
      <formula>LEN(TRIM(B280))=0</formula>
    </cfRule>
    <cfRule type="cellIs" dxfId="2380" priority="2284" operator="between">
      <formula>10.1</formula>
      <formula>10.6</formula>
    </cfRule>
  </conditionalFormatting>
  <conditionalFormatting sqref="B309">
    <cfRule type="colorScale" priority="2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379" priority="2175" stopIfTrue="1" operator="between">
      <formula>8</formula>
      <formula>8.9</formula>
    </cfRule>
    <cfRule type="cellIs" dxfId="2378" priority="2174" operator="between">
      <formula>7</formula>
      <formula>7.9</formula>
    </cfRule>
    <cfRule type="cellIs" dxfId="2377" priority="2176" operator="between">
      <formula>9</formula>
      <formula>9.9</formula>
    </cfRule>
    <cfRule type="cellIs" dxfId="2376" priority="2177" stopIfTrue="1" operator="between">
      <formula>10</formula>
      <formula>10</formula>
    </cfRule>
    <cfRule type="cellIs" dxfId="2375" priority="2172" operator="between">
      <formula>6</formula>
      <formula>6.9</formula>
    </cfRule>
    <cfRule type="containsBlanks" dxfId="2374" priority="2178" stopIfTrue="1">
      <formula>LEN(TRIM(B310))=0</formula>
    </cfRule>
    <cfRule type="cellIs" dxfId="2373" priority="2173" operator="between">
      <formula>10.1</formula>
      <formula>10.6</formula>
    </cfRule>
  </conditionalFormatting>
  <conditionalFormatting sqref="B322">
    <cfRule type="colorScale" priority="2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6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ontainsBlanks" dxfId="2372" priority="2106" stopIfTrue="1">
      <formula>LEN(TRIM(B323))=0</formula>
    </cfRule>
    <cfRule type="cellIs" dxfId="2371" priority="2107" operator="lessThan">
      <formula>2</formula>
    </cfRule>
    <cfRule type="cellIs" dxfId="2370" priority="2108" operator="between">
      <formula>2</formula>
      <formula>4.9</formula>
    </cfRule>
    <cfRule type="cellIs" dxfId="2369" priority="2109" operator="between">
      <formula>5</formula>
      <formula>6.9</formula>
    </cfRule>
    <cfRule type="cellIs" dxfId="2368" priority="2110" operator="between">
      <formula>10.1</formula>
      <formula>10.6</formula>
    </cfRule>
    <cfRule type="cellIs" dxfId="2367" priority="2111" operator="between">
      <formula>7</formula>
      <formula>7.9</formula>
    </cfRule>
    <cfRule type="cellIs" dxfId="2366" priority="2112" stopIfTrue="1" operator="between">
      <formula>8</formula>
      <formula>8.9</formula>
    </cfRule>
    <cfRule type="cellIs" dxfId="2365" priority="2113" operator="between">
      <formula>9</formula>
      <formula>9.9</formula>
    </cfRule>
    <cfRule type="cellIs" dxfId="2364" priority="2114" stopIfTrue="1" operator="between">
      <formula>10</formula>
      <formula>10</formula>
    </cfRule>
  </conditionalFormatting>
  <conditionalFormatting sqref="B343"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2363" priority="2026" stopIfTrue="1" operator="between">
      <formula>8</formula>
      <formula>8.9</formula>
    </cfRule>
    <cfRule type="containsBlanks" dxfId="2362" priority="2020" stopIfTrue="1">
      <formula>LEN(TRIM(B344))=0</formula>
    </cfRule>
    <cfRule type="cellIs" dxfId="2361" priority="2022" operator="between">
      <formula>2</formula>
      <formula>4.9</formula>
    </cfRule>
    <cfRule type="cellIs" dxfId="2360" priority="2023" operator="between">
      <formula>5</formula>
      <formula>6.9</formula>
    </cfRule>
    <cfRule type="cellIs" dxfId="2359" priority="2024" operator="between">
      <formula>10.1</formula>
      <formula>10.6</formula>
    </cfRule>
    <cfRule type="cellIs" dxfId="2358" priority="2025" operator="between">
      <formula>7</formula>
      <formula>7.9</formula>
    </cfRule>
    <cfRule type="cellIs" dxfId="2357" priority="2028" stopIfTrue="1" operator="between">
      <formula>10</formula>
      <formula>10</formula>
    </cfRule>
    <cfRule type="cellIs" dxfId="2356" priority="2027" operator="between">
      <formula>9</formula>
      <formula>9.9</formula>
    </cfRule>
    <cfRule type="cellIs" dxfId="2355" priority="2021" operator="lessThan">
      <formula>2</formula>
    </cfRule>
  </conditionalFormatting>
  <conditionalFormatting sqref="B360">
    <cfRule type="colorScale" priority="1984">
      <colorScale>
        <cfvo type="num" val="5"/>
        <cfvo type="num" val="10"/>
        <color rgb="FFFF494D"/>
        <color rgb="FF00FF66"/>
      </colorScale>
    </cfRule>
    <cfRule type="colorScale" priority="19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893">
      <colorScale>
        <cfvo type="num" val="5"/>
        <cfvo type="num" val="10"/>
        <color rgb="FFFF494D"/>
        <color rgb="FF00FF66"/>
      </colorScale>
    </cfRule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2354" priority="1883" stopIfTrue="1">
      <formula>LEN(TRIM(B380))=0</formula>
    </cfRule>
    <cfRule type="cellIs" dxfId="2353" priority="1885" operator="between">
      <formula>2</formula>
      <formula>4.9</formula>
    </cfRule>
    <cfRule type="cellIs" dxfId="2352" priority="1886" operator="between">
      <formula>5</formula>
      <formula>6.9</formula>
    </cfRule>
    <cfRule type="cellIs" dxfId="2351" priority="1887" operator="between">
      <formula>10.1</formula>
      <formula>10.6</formula>
    </cfRule>
    <cfRule type="cellIs" dxfId="2350" priority="1888" operator="between">
      <formula>7</formula>
      <formula>7.9</formula>
    </cfRule>
    <cfRule type="cellIs" dxfId="2349" priority="1889" stopIfTrue="1" operator="between">
      <formula>8</formula>
      <formula>8.9</formula>
    </cfRule>
    <cfRule type="cellIs" dxfId="2348" priority="1890" operator="between">
      <formula>9</formula>
      <formula>9.9</formula>
    </cfRule>
    <cfRule type="cellIs" dxfId="2347" priority="1891" stopIfTrue="1" operator="between">
      <formula>10</formula>
      <formula>10</formula>
    </cfRule>
    <cfRule type="cellIs" dxfId="2346" priority="1884" operator="lessThan">
      <formula>2</formula>
    </cfRule>
  </conditionalFormatting>
  <conditionalFormatting sqref="B389">
    <cfRule type="colorScale" priority="1818">
      <colorScale>
        <cfvo type="num" val="5"/>
        <cfvo type="num" val="10"/>
        <color rgb="FFFF494D"/>
        <color rgb="FF00FF66"/>
      </colorScale>
    </cfRule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2345" priority="1827" stopIfTrue="1" operator="between">
      <formula>10</formula>
      <formula>10</formula>
    </cfRule>
    <cfRule type="cellIs" dxfId="2344" priority="1826" operator="between">
      <formula>9</formula>
      <formula>9.9</formula>
    </cfRule>
    <cfRule type="cellIs" dxfId="2343" priority="1825" stopIfTrue="1" operator="between">
      <formula>8</formula>
      <formula>8.9</formula>
    </cfRule>
    <cfRule type="cellIs" dxfId="2342" priority="1824" operator="between">
      <formula>7</formula>
      <formula>7.9</formula>
    </cfRule>
    <cfRule type="cellIs" dxfId="2341" priority="1823" operator="between">
      <formula>10.1</formula>
      <formula>10.6</formula>
    </cfRule>
    <cfRule type="cellIs" dxfId="2340" priority="1822" operator="between">
      <formula>5</formula>
      <formula>6.9</formula>
    </cfRule>
    <cfRule type="cellIs" dxfId="2339" priority="1821" operator="between">
      <formula>2</formula>
      <formula>4.9</formula>
    </cfRule>
    <cfRule type="cellIs" dxfId="2338" priority="1820" operator="lessThan">
      <formula>2</formula>
    </cfRule>
    <cfRule type="containsBlanks" dxfId="2337" priority="1819" stopIfTrue="1">
      <formula>LEN(TRIM(B390))=0</formula>
    </cfRule>
  </conditionalFormatting>
  <conditionalFormatting sqref="B401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2336" priority="1774" operator="lessThan">
      <formula>2</formula>
    </cfRule>
    <cfRule type="cellIs" dxfId="2335" priority="1779" stopIfTrue="1" operator="between">
      <formula>8</formula>
      <formula>8.9</formula>
    </cfRule>
    <cfRule type="containsBlanks" dxfId="2334" priority="1773" stopIfTrue="1">
      <formula>LEN(TRIM(B402))=0</formula>
    </cfRule>
    <cfRule type="cellIs" dxfId="2333" priority="1778" operator="between">
      <formula>7</formula>
      <formula>7.9</formula>
    </cfRule>
    <cfRule type="cellIs" dxfId="2332" priority="1777" operator="between">
      <formula>10.1</formula>
      <formula>10.6</formula>
    </cfRule>
    <cfRule type="cellIs" dxfId="2331" priority="1776" operator="between">
      <formula>5</formula>
      <formula>6.9</formula>
    </cfRule>
    <cfRule type="cellIs" dxfId="2330" priority="1781" stopIfTrue="1" operator="between">
      <formula>10</formula>
      <formula>10</formula>
    </cfRule>
    <cfRule type="cellIs" dxfId="2329" priority="1780" operator="between">
      <formula>9</formula>
      <formula>9.9</formula>
    </cfRule>
    <cfRule type="cellIs" dxfId="2328" priority="1775" operator="between">
      <formula>2</formula>
      <formula>4.9</formula>
    </cfRule>
  </conditionalFormatting>
  <conditionalFormatting sqref="B409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2327" priority="1748" stopIfTrue="1" operator="between">
      <formula>8</formula>
      <formula>8.9</formula>
    </cfRule>
    <cfRule type="cellIs" dxfId="2326" priority="1747" operator="between">
      <formula>7</formula>
      <formula>7.9</formula>
    </cfRule>
    <cfRule type="cellIs" dxfId="2325" priority="1745" operator="between">
      <formula>5</formula>
      <formula>6.9</formula>
    </cfRule>
    <cfRule type="cellIs" dxfId="2324" priority="1744" operator="between">
      <formula>2</formula>
      <formula>4.9</formula>
    </cfRule>
    <cfRule type="cellIs" dxfId="2323" priority="1749" operator="between">
      <formula>9</formula>
      <formula>9.9</formula>
    </cfRule>
    <cfRule type="cellIs" dxfId="2322" priority="1743" operator="lessThan">
      <formula>2</formula>
    </cfRule>
    <cfRule type="containsBlanks" dxfId="2321" priority="1742" stopIfTrue="1">
      <formula>LEN(TRIM(B410))=0</formula>
    </cfRule>
    <cfRule type="cellIs" dxfId="2320" priority="1750" stopIfTrue="1" operator="between">
      <formula>10</formula>
      <formula>10</formula>
    </cfRule>
    <cfRule type="cellIs" dxfId="2319" priority="1746" operator="between">
      <formula>10.1</formula>
      <formula>10.6</formula>
    </cfRule>
  </conditionalFormatting>
  <conditionalFormatting sqref="B428">
    <cfRule type="colorScale" priority="1630">
      <colorScale>
        <cfvo type="num" val="5"/>
        <cfvo type="num" val="10"/>
        <color rgb="FFFF494D"/>
        <color rgb="FF00FF66"/>
      </colorScale>
    </cfRule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2318" priority="1639" stopIfTrue="1" operator="between">
      <formula>10</formula>
      <formula>10</formula>
    </cfRule>
    <cfRule type="cellIs" dxfId="2317" priority="1638" operator="between">
      <formula>9</formula>
      <formula>9.9</formula>
    </cfRule>
    <cfRule type="cellIs" dxfId="2316" priority="1633" operator="between">
      <formula>2</formula>
      <formula>4.9</formula>
    </cfRule>
    <cfRule type="cellIs" dxfId="2315" priority="1632" operator="lessThan">
      <formula>2</formula>
    </cfRule>
    <cfRule type="containsBlanks" dxfId="2314" priority="1631" stopIfTrue="1">
      <formula>LEN(TRIM(B429))=0</formula>
    </cfRule>
    <cfRule type="cellIs" dxfId="2313" priority="1637" stopIfTrue="1" operator="between">
      <formula>8</formula>
      <formula>8.9</formula>
    </cfRule>
    <cfRule type="cellIs" dxfId="2312" priority="1636" operator="between">
      <formula>7</formula>
      <formula>7.9</formula>
    </cfRule>
    <cfRule type="cellIs" dxfId="2311" priority="1635" operator="between">
      <formula>10.1</formula>
      <formula>10.6</formula>
    </cfRule>
    <cfRule type="cellIs" dxfId="2310" priority="1634" operator="between">
      <formula>5</formula>
      <formula>6.9</formula>
    </cfRule>
  </conditionalFormatting>
  <conditionalFormatting sqref="B441">
    <cfRule type="colorScale" priority="1575">
      <colorScale>
        <cfvo type="num" val="5"/>
        <cfvo type="num" val="10"/>
        <color rgb="FFFF494D"/>
        <color rgb="FF00FF66"/>
      </colorScale>
    </cfRule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2309" priority="1580" operator="between">
      <formula>10.1</formula>
      <formula>10.6</formula>
    </cfRule>
    <cfRule type="containsBlanks" dxfId="2308" priority="1576" stopIfTrue="1">
      <formula>LEN(TRIM(B442))=0</formula>
    </cfRule>
    <cfRule type="cellIs" dxfId="2307" priority="1577" operator="lessThan">
      <formula>2</formula>
    </cfRule>
    <cfRule type="cellIs" dxfId="2306" priority="1578" operator="between">
      <formula>2</formula>
      <formula>4.9</formula>
    </cfRule>
    <cfRule type="cellIs" dxfId="2305" priority="1579" operator="between">
      <formula>5</formula>
      <formula>6.9</formula>
    </cfRule>
    <cfRule type="cellIs" dxfId="2304" priority="1581" operator="between">
      <formula>7</formula>
      <formula>7.9</formula>
    </cfRule>
    <cfRule type="cellIs" dxfId="2303" priority="1584" stopIfTrue="1" operator="between">
      <formula>10</formula>
      <formula>10</formula>
    </cfRule>
    <cfRule type="cellIs" dxfId="2302" priority="1582" stopIfTrue="1" operator="between">
      <formula>8</formula>
      <formula>8.9</formula>
    </cfRule>
    <cfRule type="cellIs" dxfId="2301" priority="1583" operator="between">
      <formula>9</formula>
      <formula>9.9</formula>
    </cfRule>
  </conditionalFormatting>
  <conditionalFormatting sqref="B448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2300" priority="1559" operator="between">
      <formula>7</formula>
      <formula>7.9</formula>
    </cfRule>
    <cfRule type="cellIs" dxfId="2299" priority="1556" operator="between">
      <formula>2</formula>
      <formula>4.9</formula>
    </cfRule>
    <cfRule type="cellIs" dxfId="2298" priority="1558" operator="between">
      <formula>10.1</formula>
      <formula>10.6</formula>
    </cfRule>
    <cfRule type="cellIs" dxfId="2297" priority="1555" operator="lessThan">
      <formula>2</formula>
    </cfRule>
    <cfRule type="cellIs" dxfId="2296" priority="1561" operator="between">
      <formula>9</formula>
      <formula>9.9</formula>
    </cfRule>
    <cfRule type="cellIs" dxfId="2295" priority="1562" stopIfTrue="1" operator="between">
      <formula>10</formula>
      <formula>10</formula>
    </cfRule>
    <cfRule type="containsBlanks" dxfId="2294" priority="1554" stopIfTrue="1">
      <formula>LEN(TRIM(B449))=0</formula>
    </cfRule>
    <cfRule type="cellIs" dxfId="2293" priority="1560" stopIfTrue="1" operator="between">
      <formula>8</formula>
      <formula>8.9</formula>
    </cfRule>
    <cfRule type="cellIs" dxfId="2292" priority="1557" operator="between">
      <formula>5</formula>
      <formula>6.9</formula>
    </cfRule>
  </conditionalFormatting>
  <conditionalFormatting sqref="B457"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0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2291" priority="1509" stopIfTrue="1" operator="between">
      <formula>10</formula>
      <formula>10</formula>
    </cfRule>
    <cfRule type="cellIs" dxfId="2290" priority="1508" operator="between">
      <formula>9</formula>
      <formula>9.9</formula>
    </cfRule>
    <cfRule type="cellIs" dxfId="2289" priority="1507" stopIfTrue="1" operator="between">
      <formula>8</formula>
      <formula>8.9</formula>
    </cfRule>
    <cfRule type="cellIs" dxfId="2288" priority="1506" operator="between">
      <formula>7</formula>
      <formula>7.9</formula>
    </cfRule>
    <cfRule type="cellIs" dxfId="2287" priority="1504" operator="between">
      <formula>5</formula>
      <formula>6.9</formula>
    </cfRule>
    <cfRule type="cellIs" dxfId="2286" priority="1503" operator="between">
      <formula>2</formula>
      <formula>4.9</formula>
    </cfRule>
    <cfRule type="cellIs" dxfId="2285" priority="1502" operator="lessThan">
      <formula>2</formula>
    </cfRule>
    <cfRule type="containsBlanks" dxfId="2284" priority="1501" stopIfTrue="1">
      <formula>LEN(TRIM(B458))=0</formula>
    </cfRule>
    <cfRule type="cellIs" dxfId="2283" priority="1505" operator="between">
      <formula>10.1</formula>
      <formula>10.6</formula>
    </cfRule>
  </conditionalFormatting>
  <conditionalFormatting sqref="B473">
    <cfRule type="colorScale" priority="1445">
      <colorScale>
        <cfvo type="num" val="5"/>
        <cfvo type="num" val="10"/>
        <color rgb="FFFF494D"/>
        <color rgb="FF00FF66"/>
      </colorScale>
    </cfRule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2282" priority="1450" operator="between">
      <formula>10.1</formula>
      <formula>10.6</formula>
    </cfRule>
    <cfRule type="cellIs" dxfId="2281" priority="1451" operator="between">
      <formula>7</formula>
      <formula>7.9</formula>
    </cfRule>
    <cfRule type="cellIs" dxfId="2280" priority="1452" stopIfTrue="1" operator="between">
      <formula>8</formula>
      <formula>8.9</formula>
    </cfRule>
    <cfRule type="cellIs" dxfId="2279" priority="1453" operator="between">
      <formula>9</formula>
      <formula>9.9</formula>
    </cfRule>
    <cfRule type="cellIs" dxfId="2278" priority="1449" operator="between">
      <formula>5</formula>
      <formula>6.9</formula>
    </cfRule>
    <cfRule type="cellIs" dxfId="2277" priority="1448" operator="between">
      <formula>2</formula>
      <formula>4.9</formula>
    </cfRule>
    <cfRule type="cellIs" dxfId="2276" priority="1447" operator="lessThan">
      <formula>2</formula>
    </cfRule>
    <cfRule type="containsBlanks" dxfId="2275" priority="1446" stopIfTrue="1">
      <formula>LEN(TRIM(B474))=0</formula>
    </cfRule>
    <cfRule type="cellIs" dxfId="2274" priority="1454" stopIfTrue="1" operator="between">
      <formula>10</formula>
      <formula>10</formula>
    </cfRule>
  </conditionalFormatting>
  <conditionalFormatting sqref="B487">
    <cfRule type="colorScale" priority="1401">
      <colorScale>
        <cfvo type="num" val="5"/>
        <cfvo type="num" val="10"/>
        <color rgb="FFFF494D"/>
        <color rgb="FF00FF66"/>
      </colorScale>
    </cfRule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2273" priority="1404" operator="between">
      <formula>2</formula>
      <formula>4.9</formula>
    </cfRule>
    <cfRule type="cellIs" dxfId="2272" priority="1409" operator="between">
      <formula>9</formula>
      <formula>9.9</formula>
    </cfRule>
    <cfRule type="cellIs" dxfId="2271" priority="1408" stopIfTrue="1" operator="between">
      <formula>8</formula>
      <formula>8.9</formula>
    </cfRule>
    <cfRule type="cellIs" dxfId="2270" priority="1407" operator="between">
      <formula>7</formula>
      <formula>7.9</formula>
    </cfRule>
    <cfRule type="cellIs" dxfId="2269" priority="1406" operator="between">
      <formula>10.1</formula>
      <formula>10.6</formula>
    </cfRule>
    <cfRule type="cellIs" dxfId="2268" priority="1405" operator="between">
      <formula>5</formula>
      <formula>6.9</formula>
    </cfRule>
    <cfRule type="cellIs" dxfId="2267" priority="1410" stopIfTrue="1" operator="between">
      <formula>10</formula>
      <formula>10</formula>
    </cfRule>
    <cfRule type="containsBlanks" dxfId="2266" priority="1402" stopIfTrue="1">
      <formula>LEN(TRIM(B488))=0</formula>
    </cfRule>
    <cfRule type="cellIs" dxfId="2265" priority="1403" operator="lessThan">
      <formula>2</formula>
    </cfRule>
  </conditionalFormatting>
  <conditionalFormatting sqref="B503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2264" priority="1306" operator="between">
      <formula>5</formula>
      <formula>6.9</formula>
    </cfRule>
    <cfRule type="cellIs" dxfId="2263" priority="1311" stopIfTrue="1" operator="between">
      <formula>10</formula>
      <formula>10</formula>
    </cfRule>
    <cfRule type="cellIs" dxfId="2262" priority="1310" operator="between">
      <formula>9</formula>
      <formula>9.9</formula>
    </cfRule>
    <cfRule type="cellIs" dxfId="2261" priority="1309" stopIfTrue="1" operator="between">
      <formula>8</formula>
      <formula>8.9</formula>
    </cfRule>
    <cfRule type="cellIs" dxfId="2260" priority="1308" operator="between">
      <formula>7</formula>
      <formula>7.9</formula>
    </cfRule>
    <cfRule type="cellIs" dxfId="2259" priority="1307" operator="between">
      <formula>10.1</formula>
      <formula>10.6</formula>
    </cfRule>
    <cfRule type="cellIs" dxfId="2258" priority="1305" operator="between">
      <formula>2</formula>
      <formula>4.9</formula>
    </cfRule>
    <cfRule type="cellIs" dxfId="2257" priority="1304" operator="lessThan">
      <formula>2</formula>
    </cfRule>
    <cfRule type="containsBlanks" dxfId="2256" priority="1303" stopIfTrue="1">
      <formula>LEN(TRIM(B504))=0</formula>
    </cfRule>
  </conditionalFormatting>
  <conditionalFormatting sqref="B515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2255" priority="1265" stopIfTrue="1" operator="between">
      <formula>10</formula>
      <formula>10</formula>
    </cfRule>
    <cfRule type="cellIs" dxfId="2254" priority="1264" operator="between">
      <formula>9</formula>
      <formula>9.9</formula>
    </cfRule>
    <cfRule type="cellIs" dxfId="2253" priority="1263" stopIfTrue="1" operator="between">
      <formula>8</formula>
      <formula>8.9</formula>
    </cfRule>
    <cfRule type="cellIs" dxfId="2252" priority="1262" operator="between">
      <formula>7</formula>
      <formula>7.9</formula>
    </cfRule>
    <cfRule type="cellIs" dxfId="2251" priority="1261" operator="between">
      <formula>10.1</formula>
      <formula>10.6</formula>
    </cfRule>
    <cfRule type="cellIs" dxfId="2250" priority="1260" operator="between">
      <formula>5</formula>
      <formula>6.9</formula>
    </cfRule>
    <cfRule type="cellIs" dxfId="2249" priority="1259" operator="between">
      <formula>2</formula>
      <formula>4.9</formula>
    </cfRule>
    <cfRule type="cellIs" dxfId="2248" priority="1258" operator="lessThan">
      <formula>2</formula>
    </cfRule>
    <cfRule type="containsBlanks" dxfId="2247" priority="1257" stopIfTrue="1">
      <formula>LEN(TRIM(B516))=0</formula>
    </cfRule>
  </conditionalFormatting>
  <conditionalFormatting sqref="B524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2246" priority="1229" operator="between">
      <formula>5</formula>
      <formula>6.9</formula>
    </cfRule>
    <cfRule type="cellIs" dxfId="2245" priority="1228" operator="between">
      <formula>2</formula>
      <formula>4.9</formula>
    </cfRule>
    <cfRule type="cellIs" dxfId="2244" priority="1230" operator="between">
      <formula>10.1</formula>
      <formula>10.6</formula>
    </cfRule>
    <cfRule type="cellIs" dxfId="2243" priority="1231" operator="between">
      <formula>7</formula>
      <formula>7.9</formula>
    </cfRule>
    <cfRule type="cellIs" dxfId="2242" priority="1232" stopIfTrue="1" operator="between">
      <formula>8</formula>
      <formula>8.9</formula>
    </cfRule>
    <cfRule type="cellIs" dxfId="2241" priority="1233" operator="between">
      <formula>9</formula>
      <formula>9.9</formula>
    </cfRule>
    <cfRule type="cellIs" dxfId="2240" priority="1234" stopIfTrue="1" operator="between">
      <formula>10</formula>
      <formula>10</formula>
    </cfRule>
    <cfRule type="cellIs" dxfId="2239" priority="1227" operator="lessThan">
      <formula>2</formula>
    </cfRule>
    <cfRule type="containsBlanks" dxfId="2238" priority="1226" stopIfTrue="1">
      <formula>LEN(TRIM(B525))=0</formula>
    </cfRule>
  </conditionalFormatting>
  <conditionalFormatting sqref="B543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2237" priority="1151" operator="between">
      <formula>2</formula>
      <formula>4.9</formula>
    </cfRule>
    <cfRule type="cellIs" dxfId="2236" priority="1150" operator="lessThan">
      <formula>2</formula>
    </cfRule>
    <cfRule type="cellIs" dxfId="2235" priority="1156" operator="between">
      <formula>9</formula>
      <formula>9.9</formula>
    </cfRule>
    <cfRule type="cellIs" dxfId="2234" priority="1155" stopIfTrue="1" operator="between">
      <formula>8</formula>
      <formula>8.9</formula>
    </cfRule>
    <cfRule type="cellIs" dxfId="2233" priority="1154" operator="between">
      <formula>7</formula>
      <formula>7.9</formula>
    </cfRule>
    <cfRule type="cellIs" dxfId="2232" priority="1153" operator="between">
      <formula>10.1</formula>
      <formula>10.6</formula>
    </cfRule>
    <cfRule type="cellIs" dxfId="2231" priority="1157" stopIfTrue="1" operator="between">
      <formula>10</formula>
      <formula>10</formula>
    </cfRule>
    <cfRule type="containsBlanks" dxfId="2230" priority="1149" stopIfTrue="1">
      <formula>LEN(TRIM(B544))=0</formula>
    </cfRule>
    <cfRule type="cellIs" dxfId="2229" priority="1152" operator="between">
      <formula>5</formula>
      <formula>6.9</formula>
    </cfRule>
  </conditionalFormatting>
  <conditionalFormatting sqref="B555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2228" priority="1101" operator="between">
      <formula>9</formula>
      <formula>9.9</formula>
    </cfRule>
    <cfRule type="cellIs" dxfId="2227" priority="1100" stopIfTrue="1" operator="between">
      <formula>8</formula>
      <formula>8.9</formula>
    </cfRule>
    <cfRule type="cellIs" dxfId="2226" priority="1099" operator="between">
      <formula>7</formula>
      <formula>7.9</formula>
    </cfRule>
    <cfRule type="cellIs" dxfId="2225" priority="1098" operator="between">
      <formula>10.1</formula>
      <formula>10.6</formula>
    </cfRule>
    <cfRule type="cellIs" dxfId="2224" priority="1097" operator="between">
      <formula>5</formula>
      <formula>6.9</formula>
    </cfRule>
    <cfRule type="cellIs" dxfId="2223" priority="1095" operator="lessThan">
      <formula>2</formula>
    </cfRule>
    <cfRule type="containsBlanks" dxfId="2222" priority="1094" stopIfTrue="1">
      <formula>LEN(TRIM(B556))=0</formula>
    </cfRule>
    <cfRule type="cellIs" dxfId="2221" priority="1102" stopIfTrue="1" operator="between">
      <formula>10</formula>
      <formula>10</formula>
    </cfRule>
    <cfRule type="cellIs" dxfId="2220" priority="1096" operator="between">
      <formula>2</formula>
      <formula>4.9</formula>
    </cfRule>
  </conditionalFormatting>
  <conditionalFormatting sqref="B561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2219" priority="1073" operator="between">
      <formula>5</formula>
      <formula>6.9</formula>
    </cfRule>
    <cfRule type="cellIs" dxfId="2218" priority="1077" operator="between">
      <formula>9</formula>
      <formula>9.9</formula>
    </cfRule>
    <cfRule type="cellIs" dxfId="2217" priority="1076" stopIfTrue="1" operator="between">
      <formula>8</formula>
      <formula>8.9</formula>
    </cfRule>
    <cfRule type="cellIs" dxfId="2216" priority="1075" operator="between">
      <formula>7</formula>
      <formula>7.9</formula>
    </cfRule>
    <cfRule type="cellIs" dxfId="2215" priority="1074" operator="between">
      <formula>10.1</formula>
      <formula>10.6</formula>
    </cfRule>
    <cfRule type="containsBlanks" dxfId="2214" priority="1070" stopIfTrue="1">
      <formula>LEN(TRIM(B562))=0</formula>
    </cfRule>
    <cfRule type="cellIs" dxfId="2213" priority="1072" operator="between">
      <formula>2</formula>
      <formula>4.9</formula>
    </cfRule>
    <cfRule type="cellIs" dxfId="2212" priority="1071" operator="lessThan">
      <formula>2</formula>
    </cfRule>
    <cfRule type="cellIs" dxfId="2211" priority="1078" stopIfTrue="1" operator="between">
      <formula>10</formula>
      <formula>10</formula>
    </cfRule>
  </conditionalFormatting>
  <conditionalFormatting sqref="B589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2210" priority="967" operator="between">
      <formula>7</formula>
      <formula>7.9</formula>
    </cfRule>
    <cfRule type="cellIs" dxfId="2209" priority="963" operator="lessThan">
      <formula>2</formula>
    </cfRule>
    <cfRule type="cellIs" dxfId="2208" priority="964" operator="between">
      <formula>2</formula>
      <formula>4.9</formula>
    </cfRule>
    <cfRule type="cellIs" dxfId="2207" priority="970" stopIfTrue="1" operator="between">
      <formula>10</formula>
      <formula>10</formula>
    </cfRule>
    <cfRule type="cellIs" dxfId="2206" priority="969" operator="between">
      <formula>9</formula>
      <formula>9.9</formula>
    </cfRule>
    <cfRule type="cellIs" dxfId="2205" priority="968" stopIfTrue="1" operator="between">
      <formula>8</formula>
      <formula>8.9</formula>
    </cfRule>
    <cfRule type="cellIs" dxfId="2204" priority="965" operator="between">
      <formula>5</formula>
      <formula>6.9</formula>
    </cfRule>
    <cfRule type="containsBlanks" dxfId="2203" priority="962" stopIfTrue="1">
      <formula>LEN(TRIM(B590))=0</formula>
    </cfRule>
    <cfRule type="cellIs" dxfId="2202" priority="966" operator="between">
      <formula>10.1</formula>
      <formula>10.6</formula>
    </cfRule>
  </conditionalFormatting>
  <conditionalFormatting sqref="B601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2201" priority="901" operator="between">
      <formula>9</formula>
      <formula>9.9</formula>
    </cfRule>
    <cfRule type="cellIs" dxfId="2200" priority="897" operator="between">
      <formula>5</formula>
      <formula>6.9</formula>
    </cfRule>
    <cfRule type="cellIs" dxfId="2199" priority="895" operator="lessThan">
      <formula>2</formula>
    </cfRule>
    <cfRule type="containsBlanks" dxfId="2198" priority="894" stopIfTrue="1">
      <formula>LEN(TRIM(B602))=0</formula>
    </cfRule>
    <cfRule type="cellIs" dxfId="2197" priority="899" operator="between">
      <formula>7</formula>
      <formula>7.9</formula>
    </cfRule>
    <cfRule type="cellIs" dxfId="2196" priority="900" stopIfTrue="1" operator="between">
      <formula>8</formula>
      <formula>8.9</formula>
    </cfRule>
    <cfRule type="cellIs" dxfId="2195" priority="902" stopIfTrue="1" operator="between">
      <formula>10</formula>
      <formula>10</formula>
    </cfRule>
    <cfRule type="cellIs" dxfId="2194" priority="896" operator="between">
      <formula>2</formula>
      <formula>4.9</formula>
    </cfRule>
    <cfRule type="cellIs" dxfId="2193" priority="898" operator="between">
      <formula>10.1</formula>
      <formula>10.6</formula>
    </cfRule>
  </conditionalFormatting>
  <conditionalFormatting sqref="B613">
    <cfRule type="colorScale" priority="851">
      <colorScale>
        <cfvo type="num" val="5"/>
        <cfvo type="num" val="10"/>
        <color rgb="FFFF494D"/>
        <color rgb="FF00FF66"/>
      </colorScale>
    </cfRule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ellIs" dxfId="2192" priority="860" stopIfTrue="1" operator="between">
      <formula>10</formula>
      <formula>10</formula>
    </cfRule>
    <cfRule type="cellIs" dxfId="2191" priority="859" operator="between">
      <formula>9</formula>
      <formula>9.9</formula>
    </cfRule>
    <cfRule type="cellIs" dxfId="2190" priority="858" stopIfTrue="1" operator="between">
      <formula>8</formula>
      <formula>8.9</formula>
    </cfRule>
    <cfRule type="cellIs" dxfId="2189" priority="857" operator="between">
      <formula>7</formula>
      <formula>7.9</formula>
    </cfRule>
    <cfRule type="cellIs" dxfId="2188" priority="856" operator="between">
      <formula>10.1</formula>
      <formula>10.6</formula>
    </cfRule>
    <cfRule type="cellIs" dxfId="2187" priority="855" operator="between">
      <formula>5</formula>
      <formula>6.9</formula>
    </cfRule>
    <cfRule type="cellIs" dxfId="2186" priority="854" operator="between">
      <formula>2</formula>
      <formula>4.9</formula>
    </cfRule>
    <cfRule type="containsBlanks" dxfId="2185" priority="852" stopIfTrue="1">
      <formula>LEN(TRIM(B614))=0</formula>
    </cfRule>
    <cfRule type="cellIs" dxfId="2184" priority="853" operator="lessThan">
      <formula>2</formula>
    </cfRule>
  </conditionalFormatting>
  <conditionalFormatting sqref="B630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2183" priority="796" operator="lessThan">
      <formula>2</formula>
    </cfRule>
    <cfRule type="cellIs" dxfId="2182" priority="801" stopIfTrue="1" operator="between">
      <formula>8</formula>
      <formula>8.9</formula>
    </cfRule>
    <cfRule type="cellIs" dxfId="2181" priority="802" operator="between">
      <formula>9</formula>
      <formula>9.9</formula>
    </cfRule>
    <cfRule type="cellIs" dxfId="2180" priority="803" stopIfTrue="1" operator="between">
      <formula>10</formula>
      <formula>10</formula>
    </cfRule>
    <cfRule type="cellIs" dxfId="2179" priority="800" operator="between">
      <formula>7</formula>
      <formula>7.9</formula>
    </cfRule>
    <cfRule type="cellIs" dxfId="2178" priority="799" operator="between">
      <formula>10.1</formula>
      <formula>10.6</formula>
    </cfRule>
    <cfRule type="cellIs" dxfId="2177" priority="798" operator="between">
      <formula>5</formula>
      <formula>6.9</formula>
    </cfRule>
    <cfRule type="cellIs" dxfId="2176" priority="797" operator="between">
      <formula>2</formula>
      <formula>4.9</formula>
    </cfRule>
    <cfRule type="containsBlanks" dxfId="2175" priority="795" stopIfTrue="1">
      <formula>LEN(TRIM(B631))=0</formula>
    </cfRule>
  </conditionalFormatting>
  <conditionalFormatting sqref="B634">
    <cfRule type="colorScale" priority="785">
      <colorScale>
        <cfvo type="num" val="5"/>
        <cfvo type="num" val="10"/>
        <color rgb="FFFF494D"/>
        <color rgb="FF00FF66"/>
      </colorScale>
    </cfRule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ontainsBlanks" dxfId="2174" priority="786" stopIfTrue="1">
      <formula>LEN(TRIM(B635))=0</formula>
    </cfRule>
    <cfRule type="cellIs" dxfId="2173" priority="787" operator="lessThan">
      <formula>2</formula>
    </cfRule>
    <cfRule type="cellIs" dxfId="2172" priority="788" operator="between">
      <formula>2</formula>
      <formula>4.9</formula>
    </cfRule>
    <cfRule type="cellIs" dxfId="2171" priority="789" operator="between">
      <formula>5</formula>
      <formula>6.9</formula>
    </cfRule>
    <cfRule type="cellIs" dxfId="2170" priority="790" operator="between">
      <formula>10.1</formula>
      <formula>10.6</formula>
    </cfRule>
    <cfRule type="cellIs" dxfId="2169" priority="794" stopIfTrue="1" operator="between">
      <formula>10</formula>
      <formula>10</formula>
    </cfRule>
    <cfRule type="cellIs" dxfId="2168" priority="793" operator="between">
      <formula>9</formula>
      <formula>9.9</formula>
    </cfRule>
    <cfRule type="cellIs" dxfId="2167" priority="792" stopIfTrue="1" operator="between">
      <formula>8</formula>
      <formula>8.9</formula>
    </cfRule>
    <cfRule type="cellIs" dxfId="2166" priority="791" operator="between">
      <formula>7</formula>
      <formula>7.9</formula>
    </cfRule>
  </conditionalFormatting>
  <conditionalFormatting sqref="B649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2165" priority="709" stopIfTrue="1">
      <formula>LEN(TRIM(B650))=0</formula>
    </cfRule>
    <cfRule type="cellIs" dxfId="2164" priority="710" operator="lessThan">
      <formula>2</formula>
    </cfRule>
    <cfRule type="cellIs" dxfId="2163" priority="711" operator="between">
      <formula>2</formula>
      <formula>4.9</formula>
    </cfRule>
    <cfRule type="cellIs" dxfId="2162" priority="712" operator="between">
      <formula>5</formula>
      <formula>6.9</formula>
    </cfRule>
    <cfRule type="cellIs" dxfId="2161" priority="713" operator="between">
      <formula>10.1</formula>
      <formula>10.6</formula>
    </cfRule>
    <cfRule type="cellIs" dxfId="2160" priority="714" operator="between">
      <formula>7</formula>
      <formula>7.9</formula>
    </cfRule>
    <cfRule type="cellIs" dxfId="2159" priority="715" stopIfTrue="1" operator="between">
      <formula>8</formula>
      <formula>8.9</formula>
    </cfRule>
    <cfRule type="cellIs" dxfId="2158" priority="716" operator="between">
      <formula>9</formula>
      <formula>9.9</formula>
    </cfRule>
    <cfRule type="cellIs" dxfId="2157" priority="717" stopIfTrue="1" operator="between">
      <formula>10</formula>
      <formula>10</formula>
    </cfRule>
  </conditionalFormatting>
  <conditionalFormatting sqref="B663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ellIs" dxfId="2156" priority="637" operator="between">
      <formula>7</formula>
      <formula>7.9</formula>
    </cfRule>
    <cfRule type="cellIs" dxfId="2155" priority="634" operator="between">
      <formula>2</formula>
      <formula>4.9</formula>
    </cfRule>
    <cfRule type="cellIs" dxfId="2154" priority="635" operator="between">
      <formula>5</formula>
      <formula>6.9</formula>
    </cfRule>
    <cfRule type="cellIs" dxfId="2153" priority="636" operator="between">
      <formula>10.1</formula>
      <formula>10.6</formula>
    </cfRule>
    <cfRule type="cellIs" dxfId="2152" priority="638" stopIfTrue="1" operator="between">
      <formula>8</formula>
      <formula>8.9</formula>
    </cfRule>
    <cfRule type="cellIs" dxfId="2151" priority="639" operator="between">
      <formula>9</formula>
      <formula>9.9</formula>
    </cfRule>
    <cfRule type="cellIs" dxfId="2150" priority="633" operator="lessThan">
      <formula>2</formula>
    </cfRule>
    <cfRule type="containsBlanks" dxfId="2149" priority="632" stopIfTrue="1">
      <formula>LEN(TRIM(B664))=0</formula>
    </cfRule>
    <cfRule type="cellIs" dxfId="2148" priority="640" stopIfTrue="1" operator="between">
      <formula>10</formula>
      <formula>10</formula>
    </cfRule>
  </conditionalFormatting>
  <conditionalFormatting sqref="B673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2147" priority="610" stopIfTrue="1">
      <formula>LEN(TRIM(B674))=0</formula>
    </cfRule>
    <cfRule type="cellIs" dxfId="2146" priority="611" operator="lessThan">
      <formula>2</formula>
    </cfRule>
    <cfRule type="cellIs" dxfId="2145" priority="612" operator="between">
      <formula>2</formula>
      <formula>4.9</formula>
    </cfRule>
    <cfRule type="cellIs" dxfId="2144" priority="613" operator="between">
      <formula>5</formula>
      <formula>6.9</formula>
    </cfRule>
    <cfRule type="cellIs" dxfId="2143" priority="614" operator="between">
      <formula>10.1</formula>
      <formula>10.6</formula>
    </cfRule>
    <cfRule type="cellIs" dxfId="2142" priority="615" operator="between">
      <formula>7</formula>
      <formula>7.9</formula>
    </cfRule>
    <cfRule type="cellIs" dxfId="2141" priority="618" stopIfTrue="1" operator="between">
      <formula>10</formula>
      <formula>10</formula>
    </cfRule>
    <cfRule type="cellIs" dxfId="2140" priority="617" operator="between">
      <formula>9</formula>
      <formula>9.9</formula>
    </cfRule>
    <cfRule type="cellIs" dxfId="2139" priority="616" stopIfTrue="1" operator="between">
      <formula>8</formula>
      <formula>8.9</formula>
    </cfRule>
  </conditionalFormatting>
  <conditionalFormatting sqref="B688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ellIs" dxfId="2138" priority="539" stopIfTrue="1" operator="between">
      <formula>8</formula>
      <formula>8.9</formula>
    </cfRule>
    <cfRule type="cellIs" dxfId="2137" priority="537" operator="between">
      <formula>10.1</formula>
      <formula>10.6</formula>
    </cfRule>
    <cfRule type="cellIs" dxfId="2136" priority="535" operator="between">
      <formula>2</formula>
      <formula>4.9</formula>
    </cfRule>
    <cfRule type="cellIs" dxfId="2135" priority="536" operator="between">
      <formula>5</formula>
      <formula>6.9</formula>
    </cfRule>
    <cfRule type="cellIs" dxfId="2134" priority="541" stopIfTrue="1" operator="between">
      <formula>10</formula>
      <formula>10</formula>
    </cfRule>
    <cfRule type="cellIs" dxfId="2133" priority="540" operator="between">
      <formula>9</formula>
      <formula>9.9</formula>
    </cfRule>
    <cfRule type="cellIs" dxfId="2132" priority="538" operator="between">
      <formula>7</formula>
      <formula>7.9</formula>
    </cfRule>
    <cfRule type="containsBlanks" dxfId="2131" priority="533" stopIfTrue="1">
      <formula>LEN(TRIM(B689))=0</formula>
    </cfRule>
    <cfRule type="cellIs" dxfId="2130" priority="534" operator="lessThan">
      <formula>2</formula>
    </cfRule>
  </conditionalFormatting>
  <conditionalFormatting sqref="B704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05:B715">
    <cfRule type="cellIs" dxfId="2129" priority="464" stopIfTrue="1" operator="between">
      <formula>10</formula>
      <formula>10</formula>
    </cfRule>
    <cfRule type="cellIs" dxfId="2128" priority="460" operator="between">
      <formula>10.1</formula>
      <formula>10.6</formula>
    </cfRule>
    <cfRule type="cellIs" dxfId="2127" priority="459" operator="between">
      <formula>5</formula>
      <formula>6.9</formula>
    </cfRule>
    <cfRule type="cellIs" dxfId="2126" priority="458" operator="between">
      <formula>2</formula>
      <formula>4.9</formula>
    </cfRule>
    <cfRule type="cellIs" dxfId="2125" priority="457" operator="lessThan">
      <formula>2</formula>
    </cfRule>
    <cfRule type="containsBlanks" dxfId="2124" priority="456" stopIfTrue="1">
      <formula>LEN(TRIM(B705))=0</formula>
    </cfRule>
    <cfRule type="cellIs" dxfId="2123" priority="463" operator="between">
      <formula>9</formula>
      <formula>9.9</formula>
    </cfRule>
    <cfRule type="cellIs" dxfId="2122" priority="461" operator="between">
      <formula>7</formula>
      <formula>7.9</formula>
    </cfRule>
    <cfRule type="cellIs" dxfId="2121" priority="462" stopIfTrue="1" operator="between">
      <formula>8</formula>
      <formula>8.9</formula>
    </cfRule>
  </conditionalFormatting>
  <conditionalFormatting sqref="B717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ellIs" dxfId="2120" priority="392" operator="between">
      <formula>2</formula>
      <formula>4.9</formula>
    </cfRule>
    <cfRule type="cellIs" dxfId="2119" priority="398" stopIfTrue="1" operator="between">
      <formula>10</formula>
      <formula>10</formula>
    </cfRule>
    <cfRule type="cellIs" dxfId="2118" priority="397" operator="between">
      <formula>9</formula>
      <formula>9.9</formula>
    </cfRule>
    <cfRule type="cellIs" dxfId="2117" priority="396" stopIfTrue="1" operator="between">
      <formula>8</formula>
      <formula>8.9</formula>
    </cfRule>
    <cfRule type="cellIs" dxfId="2116" priority="395" operator="between">
      <formula>7</formula>
      <formula>7.9</formula>
    </cfRule>
    <cfRule type="cellIs" dxfId="2115" priority="394" operator="between">
      <formula>10.1</formula>
      <formula>10.6</formula>
    </cfRule>
    <cfRule type="cellIs" dxfId="2114" priority="393" operator="between">
      <formula>5</formula>
      <formula>6.9</formula>
    </cfRule>
    <cfRule type="containsBlanks" dxfId="2113" priority="390" stopIfTrue="1">
      <formula>LEN(TRIM(B718))=0</formula>
    </cfRule>
    <cfRule type="cellIs" dxfId="2112" priority="391" operator="lessThan">
      <formula>2</formula>
    </cfRule>
  </conditionalFormatting>
  <conditionalFormatting sqref="B725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26:B733">
    <cfRule type="containsBlanks" dxfId="2111" priority="357" stopIfTrue="1">
      <formula>LEN(TRIM(B726))=0</formula>
    </cfRule>
    <cfRule type="cellIs" dxfId="2110" priority="358" operator="lessThan">
      <formula>2</formula>
    </cfRule>
    <cfRule type="cellIs" dxfId="2109" priority="359" operator="between">
      <formula>2</formula>
      <formula>4.9</formula>
    </cfRule>
    <cfRule type="cellIs" dxfId="2108" priority="360" operator="between">
      <formula>5</formula>
      <formula>6.9</formula>
    </cfRule>
    <cfRule type="cellIs" dxfId="2107" priority="361" operator="between">
      <formula>10.1</formula>
      <formula>10.6</formula>
    </cfRule>
    <cfRule type="cellIs" dxfId="2106" priority="362" operator="between">
      <formula>7</formula>
      <formula>7.9</formula>
    </cfRule>
    <cfRule type="cellIs" dxfId="2105" priority="363" stopIfTrue="1" operator="between">
      <formula>8</formula>
      <formula>8.9</formula>
    </cfRule>
    <cfRule type="cellIs" dxfId="2104" priority="364" operator="between">
      <formula>9</formula>
      <formula>9.9</formula>
    </cfRule>
    <cfRule type="cellIs" dxfId="2103" priority="365" stopIfTrue="1" operator="between">
      <formula>10</formula>
      <formula>10</formula>
    </cfRule>
  </conditionalFormatting>
  <conditionalFormatting sqref="B735">
    <cfRule type="colorScale" priority="312">
      <colorScale>
        <cfvo type="num" val="5"/>
        <cfvo type="num" val="10"/>
        <color rgb="FFFF494D"/>
        <color rgb="FF00FF66"/>
      </colorScale>
    </cfRule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36:B745">
    <cfRule type="cellIs" dxfId="2102" priority="321" stopIfTrue="1" operator="between">
      <formula>10</formula>
      <formula>10</formula>
    </cfRule>
    <cfRule type="cellIs" dxfId="2101" priority="314" operator="lessThan">
      <formula>2</formula>
    </cfRule>
    <cfRule type="cellIs" dxfId="2100" priority="320" operator="between">
      <formula>9</formula>
      <formula>9.9</formula>
    </cfRule>
    <cfRule type="cellIs" dxfId="2099" priority="319" stopIfTrue="1" operator="between">
      <formula>8</formula>
      <formula>8.9</formula>
    </cfRule>
    <cfRule type="cellIs" dxfId="2098" priority="318" operator="between">
      <formula>7</formula>
      <formula>7.9</formula>
    </cfRule>
    <cfRule type="cellIs" dxfId="2097" priority="317" operator="between">
      <formula>10.1</formula>
      <formula>10.6</formula>
    </cfRule>
    <cfRule type="cellIs" dxfId="2096" priority="316" operator="between">
      <formula>5</formula>
      <formula>6.9</formula>
    </cfRule>
    <cfRule type="cellIs" dxfId="2095" priority="315" operator="between">
      <formula>2</formula>
      <formula>4.9</formula>
    </cfRule>
    <cfRule type="containsBlanks" dxfId="2094" priority="313" stopIfTrue="1">
      <formula>LEN(TRIM(B736))=0</formula>
    </cfRule>
  </conditionalFormatting>
  <conditionalFormatting sqref="B747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B748:B757">
    <cfRule type="cellIs" dxfId="2093" priority="263" operator="between">
      <formula>7</formula>
      <formula>7.9</formula>
    </cfRule>
    <cfRule type="cellIs" dxfId="2092" priority="264" stopIfTrue="1" operator="between">
      <formula>8</formula>
      <formula>8.9</formula>
    </cfRule>
    <cfRule type="cellIs" dxfId="2091" priority="266" stopIfTrue="1" operator="between">
      <formula>10</formula>
      <formula>10</formula>
    </cfRule>
    <cfRule type="containsBlanks" dxfId="2090" priority="258" stopIfTrue="1">
      <formula>LEN(TRIM(B748))=0</formula>
    </cfRule>
    <cfRule type="cellIs" dxfId="2089" priority="259" operator="lessThan">
      <formula>2</formula>
    </cfRule>
    <cfRule type="cellIs" dxfId="2088" priority="260" operator="between">
      <formula>2</formula>
      <formula>4.9</formula>
    </cfRule>
    <cfRule type="cellIs" dxfId="2087" priority="261" operator="between">
      <formula>5</formula>
      <formula>6.9</formula>
    </cfRule>
    <cfRule type="cellIs" dxfId="2086" priority="262" operator="between">
      <formula>10.1</formula>
      <formula>10.6</formula>
    </cfRule>
    <cfRule type="cellIs" dxfId="2085" priority="265" operator="between">
      <formula>9</formula>
      <formula>9.9</formula>
    </cfRule>
  </conditionalFormatting>
  <conditionalFormatting sqref="B75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ellIs" dxfId="2084" priority="195" operator="between">
      <formula>7</formula>
      <formula>7.9</formula>
    </cfRule>
    <cfRule type="cellIs" dxfId="2083" priority="197" operator="between">
      <formula>9</formula>
      <formula>9.9</formula>
    </cfRule>
    <cfRule type="cellIs" dxfId="2082" priority="193" operator="between">
      <formula>5</formula>
      <formula>6.9</formula>
    </cfRule>
    <cfRule type="cellIs" dxfId="2081" priority="196" stopIfTrue="1" operator="between">
      <formula>8</formula>
      <formula>8.9</formula>
    </cfRule>
    <cfRule type="cellIs" dxfId="2080" priority="198" stopIfTrue="1" operator="between">
      <formula>10</formula>
      <formula>10</formula>
    </cfRule>
    <cfRule type="cellIs" dxfId="2079" priority="192" operator="between">
      <formula>2</formula>
      <formula>4.9</formula>
    </cfRule>
    <cfRule type="cellIs" dxfId="2078" priority="191" operator="lessThan">
      <formula>2</formula>
    </cfRule>
    <cfRule type="cellIs" dxfId="2077" priority="194" operator="between">
      <formula>10.1</formula>
      <formula>10.6</formula>
    </cfRule>
    <cfRule type="containsBlanks" dxfId="2076" priority="190" stopIfTrue="1">
      <formula>LEN(TRIM(B760))=0</formula>
    </cfRule>
  </conditionalFormatting>
  <conditionalFormatting sqref="B773">
    <cfRule type="colorScale" priority="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">
      <colorScale>
        <cfvo type="num" val="5"/>
        <cfvo type="num" val="10"/>
        <color rgb="FFFF494D"/>
        <color rgb="FF00FF66"/>
      </colorScale>
    </cfRule>
  </conditionalFormatting>
  <conditionalFormatting sqref="B774:B784">
    <cfRule type="cellIs" dxfId="2075" priority="116" operator="lessThan">
      <formula>2</formula>
    </cfRule>
    <cfRule type="cellIs" dxfId="2074" priority="121" stopIfTrue="1" operator="between">
      <formula>8</formula>
      <formula>8.9</formula>
    </cfRule>
    <cfRule type="cellIs" dxfId="2073" priority="122" operator="between">
      <formula>9</formula>
      <formula>9.9</formula>
    </cfRule>
    <cfRule type="cellIs" dxfId="2072" priority="123" stopIfTrue="1" operator="between">
      <formula>10</formula>
      <formula>10</formula>
    </cfRule>
    <cfRule type="cellIs" dxfId="2071" priority="118" operator="between">
      <formula>5</formula>
      <formula>6.9</formula>
    </cfRule>
    <cfRule type="cellIs" dxfId="2070" priority="119" operator="between">
      <formula>10.1</formula>
      <formula>10.6</formula>
    </cfRule>
    <cfRule type="cellIs" dxfId="2069" priority="120" operator="between">
      <formula>7</formula>
      <formula>7.9</formula>
    </cfRule>
    <cfRule type="containsBlanks" dxfId="2068" priority="115" stopIfTrue="1">
      <formula>LEN(TRIM(B774))=0</formula>
    </cfRule>
    <cfRule type="cellIs" dxfId="2067" priority="117" operator="between">
      <formula>2</formula>
      <formula>4.9</formula>
    </cfRule>
  </conditionalFormatting>
  <conditionalFormatting sqref="B786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787:B793">
    <cfRule type="cellIs" dxfId="2066" priority="73" operator="between">
      <formula>10.1</formula>
      <formula>10.6</formula>
    </cfRule>
    <cfRule type="cellIs" dxfId="2065" priority="74" operator="between">
      <formula>7</formula>
      <formula>7.9</formula>
    </cfRule>
    <cfRule type="cellIs" dxfId="2064" priority="75" stopIfTrue="1" operator="between">
      <formula>8</formula>
      <formula>8.9</formula>
    </cfRule>
    <cfRule type="cellIs" dxfId="2063" priority="72" operator="between">
      <formula>5</formula>
      <formula>6.9</formula>
    </cfRule>
    <cfRule type="cellIs" dxfId="2062" priority="71" operator="between">
      <formula>2</formula>
      <formula>4.9</formula>
    </cfRule>
    <cfRule type="cellIs" dxfId="2061" priority="70" operator="lessThan">
      <formula>2</formula>
    </cfRule>
    <cfRule type="containsBlanks" dxfId="2060" priority="69" stopIfTrue="1">
      <formula>LEN(TRIM(B787))=0</formula>
    </cfRule>
    <cfRule type="cellIs" dxfId="2059" priority="76" operator="between">
      <formula>9</formula>
      <formula>9.9</formula>
    </cfRule>
    <cfRule type="cellIs" dxfId="2058" priority="77" stopIfTrue="1" operator="between">
      <formula>10</formula>
      <formula>10</formula>
    </cfRule>
  </conditionalFormatting>
  <conditionalFormatting sqref="B79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796:B805">
    <cfRule type="cellIs" dxfId="2057" priority="33" stopIfTrue="1" operator="between">
      <formula>10</formula>
      <formula>10</formula>
    </cfRule>
    <cfRule type="cellIs" dxfId="2056" priority="28" operator="between">
      <formula>5</formula>
      <formula>6.9</formula>
    </cfRule>
    <cfRule type="cellIs" dxfId="2055" priority="27" operator="between">
      <formula>2</formula>
      <formula>4.9</formula>
    </cfRule>
    <cfRule type="cellIs" dxfId="2054" priority="26" operator="lessThan">
      <formula>2</formula>
    </cfRule>
    <cfRule type="containsBlanks" dxfId="2053" priority="25" stopIfTrue="1">
      <formula>LEN(TRIM(B796))=0</formula>
    </cfRule>
    <cfRule type="cellIs" dxfId="2052" priority="29" operator="between">
      <formula>10.1</formula>
      <formula>10.6</formula>
    </cfRule>
    <cfRule type="cellIs" dxfId="2051" priority="30" operator="between">
      <formula>7</formula>
      <formula>7.9</formula>
    </cfRule>
    <cfRule type="cellIs" dxfId="2050" priority="31" stopIfTrue="1" operator="between">
      <formula>8</formula>
      <formula>8.9</formula>
    </cfRule>
    <cfRule type="cellIs" dxfId="2049" priority="32" operator="between">
      <formula>9</formula>
      <formula>9.9</formula>
    </cfRule>
  </conditionalFormatting>
  <conditionalFormatting sqref="E3:E12">
    <cfRule type="cellIs" dxfId="2048" priority="3241" stopIfTrue="1" operator="between">
      <formula>10</formula>
      <formula>10</formula>
    </cfRule>
    <cfRule type="cellIs" dxfId="2047" priority="3238" operator="between">
      <formula>7</formula>
      <formula>7.9</formula>
    </cfRule>
    <cfRule type="containsBlanks" dxfId="2046" priority="3242" stopIfTrue="1">
      <formula>LEN(TRIM(E3))=0</formula>
    </cfRule>
    <cfRule type="cellIs" dxfId="2045" priority="3237" operator="between">
      <formula>10.1</formula>
      <formula>10.6</formula>
    </cfRule>
    <cfRule type="cellIs" dxfId="2044" priority="3239" stopIfTrue="1" operator="between">
      <formula>8</formula>
      <formula>8.9</formula>
    </cfRule>
    <cfRule type="cellIs" dxfId="2043" priority="3240" operator="between">
      <formula>9</formula>
      <formula>9.9</formula>
    </cfRule>
  </conditionalFormatting>
  <conditionalFormatting sqref="E15:E28">
    <cfRule type="cellIs" dxfId="2042" priority="2548" stopIfTrue="1" operator="between">
      <formula>8</formula>
      <formula>8.9</formula>
    </cfRule>
    <cfRule type="cellIs" dxfId="2041" priority="2547" operator="between">
      <formula>7</formula>
      <formula>7.9</formula>
    </cfRule>
    <cfRule type="cellIs" dxfId="2040" priority="2549" operator="between">
      <formula>9</formula>
      <formula>9.9</formula>
    </cfRule>
    <cfRule type="cellIs" dxfId="2039" priority="2550" stopIfTrue="1" operator="between">
      <formula>10</formula>
      <formula>10</formula>
    </cfRule>
    <cfRule type="containsBlanks" dxfId="2038" priority="2551" stopIfTrue="1">
      <formula>LEN(TRIM(E15))=0</formula>
    </cfRule>
  </conditionalFormatting>
  <conditionalFormatting sqref="E16">
    <cfRule type="cellIs" dxfId="2037" priority="2546" operator="between">
      <formula>10.1</formula>
      <formula>10.6</formula>
    </cfRule>
  </conditionalFormatting>
  <conditionalFormatting sqref="E31:E37">
    <cfRule type="cellIs" dxfId="2036" priority="3204" operator="between">
      <formula>9</formula>
      <formula>9.9</formula>
    </cfRule>
    <cfRule type="cellIs" dxfId="2035" priority="3202" operator="between">
      <formula>7</formula>
      <formula>7.9</formula>
    </cfRule>
    <cfRule type="containsBlanks" dxfId="2034" priority="3206" stopIfTrue="1">
      <formula>LEN(TRIM(E31))=0</formula>
    </cfRule>
    <cfRule type="cellIs" dxfId="2033" priority="3205" stopIfTrue="1" operator="between">
      <formula>10</formula>
      <formula>10</formula>
    </cfRule>
    <cfRule type="cellIs" dxfId="2032" priority="3201" operator="between">
      <formula>10.1</formula>
      <formula>10.6</formula>
    </cfRule>
    <cfRule type="cellIs" dxfId="2031" priority="3203" stopIfTrue="1" operator="between">
      <formula>8</formula>
      <formula>8.9</formula>
    </cfRule>
  </conditionalFormatting>
  <conditionalFormatting sqref="E39">
    <cfRule type="colorScale" priority="3602">
      <colorScale>
        <cfvo type="num" val="5"/>
        <cfvo type="num" val="10"/>
        <color rgb="FFFF494D"/>
        <color rgb="FF00FF66"/>
      </colorScale>
    </cfRule>
    <cfRule type="colorScale" priority="3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2030" priority="3316" stopIfTrue="1" operator="between">
      <formula>10</formula>
      <formula>10</formula>
    </cfRule>
    <cfRule type="cellIs" dxfId="2029" priority="3315" operator="between">
      <formula>9</formula>
      <formula>9.9</formula>
    </cfRule>
    <cfRule type="cellIs" dxfId="2028" priority="3314" stopIfTrue="1" operator="between">
      <formula>8</formula>
      <formula>8.9</formula>
    </cfRule>
    <cfRule type="cellIs" dxfId="2027" priority="3313" operator="between">
      <formula>7</formula>
      <formula>7.9</formula>
    </cfRule>
  </conditionalFormatting>
  <conditionalFormatting sqref="E54">
    <cfRule type="colorScale" priority="3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2026" priority="3185" stopIfTrue="1" operator="between">
      <formula>8</formula>
      <formula>8.9</formula>
    </cfRule>
    <cfRule type="cellIs" dxfId="2025" priority="3184" operator="between">
      <formula>7</formula>
      <formula>7.9</formula>
    </cfRule>
    <cfRule type="cellIs" dxfId="2024" priority="3183" operator="between">
      <formula>10.1</formula>
      <formula>10.6</formula>
    </cfRule>
    <cfRule type="cellIs" dxfId="2023" priority="3186" operator="between">
      <formula>9</formula>
      <formula>9.9</formula>
    </cfRule>
    <cfRule type="cellIs" dxfId="2022" priority="3187" stopIfTrue="1" operator="between">
      <formula>10</formula>
      <formula>10</formula>
    </cfRule>
    <cfRule type="containsBlanks" dxfId="2021" priority="3188" stopIfTrue="1">
      <formula>LEN(TRIM(E55))=0</formula>
    </cfRule>
  </conditionalFormatting>
  <conditionalFormatting sqref="E65">
    <cfRule type="colorScale" priority="3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2020" priority="3116" operator="between">
      <formula>10.1</formula>
      <formula>10.6</formula>
    </cfRule>
    <cfRule type="containsBlanks" dxfId="2019" priority="3121" stopIfTrue="1">
      <formula>LEN(TRIM(E66))=0</formula>
    </cfRule>
    <cfRule type="cellIs" dxfId="2018" priority="3120" stopIfTrue="1" operator="between">
      <formula>10</formula>
      <formula>10</formula>
    </cfRule>
    <cfRule type="cellIs" dxfId="2017" priority="3119" operator="between">
      <formula>9</formula>
      <formula>9.9</formula>
    </cfRule>
    <cfRule type="cellIs" dxfId="2016" priority="3118" stopIfTrue="1" operator="between">
      <formula>8</formula>
      <formula>8.9</formula>
    </cfRule>
    <cfRule type="cellIs" dxfId="2015" priority="3117" operator="between">
      <formula>7</formula>
      <formula>7.9</formula>
    </cfRule>
  </conditionalFormatting>
  <conditionalFormatting sqref="E80">
    <cfRule type="colorScale" priority="3044">
      <colorScale>
        <cfvo type="num" val="5"/>
        <cfvo type="num" val="10"/>
        <color rgb="FFFF494D"/>
        <color rgb="FF00FF66"/>
      </colorScale>
    </cfRule>
    <cfRule type="colorScale" priority="3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2014" priority="3038" operator="between">
      <formula>7</formula>
      <formula>7.9</formula>
    </cfRule>
    <cfRule type="cellIs" dxfId="2013" priority="3037" operator="between">
      <formula>10.1</formula>
      <formula>10.6</formula>
    </cfRule>
    <cfRule type="cellIs" dxfId="2012" priority="3039" stopIfTrue="1" operator="between">
      <formula>8</formula>
      <formula>8.9</formula>
    </cfRule>
    <cfRule type="containsBlanks" dxfId="2011" priority="3042" stopIfTrue="1">
      <formula>LEN(TRIM(E81))=0</formula>
    </cfRule>
    <cfRule type="cellIs" dxfId="2010" priority="3040" operator="between">
      <formula>9</formula>
      <formula>9.9</formula>
    </cfRule>
    <cfRule type="cellIs" dxfId="2009" priority="3041" stopIfTrue="1" operator="between">
      <formula>10</formula>
      <formula>10</formula>
    </cfRule>
  </conditionalFormatting>
  <conditionalFormatting sqref="E101">
    <cfRule type="colorScale" priority="2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2008" priority="2959" operator="between">
      <formula>10.1</formula>
      <formula>10.6</formula>
    </cfRule>
    <cfRule type="cellIs" dxfId="2007" priority="2960" operator="between">
      <formula>7</formula>
      <formula>7.9</formula>
    </cfRule>
    <cfRule type="cellIs" dxfId="2006" priority="2961" stopIfTrue="1" operator="between">
      <formula>8</formula>
      <formula>8.9</formula>
    </cfRule>
    <cfRule type="cellIs" dxfId="2005" priority="2962" operator="between">
      <formula>9</formula>
      <formula>9.9</formula>
    </cfRule>
    <cfRule type="cellIs" dxfId="2004" priority="2963" stopIfTrue="1" operator="between">
      <formula>10</formula>
      <formula>10</formula>
    </cfRule>
    <cfRule type="containsBlanks" dxfId="2003" priority="2964" stopIfTrue="1">
      <formula>LEN(TRIM(E102))=0</formula>
    </cfRule>
  </conditionalFormatting>
  <conditionalFormatting sqref="E117">
    <cfRule type="colorScale" priority="2900">
      <colorScale>
        <cfvo type="num" val="5"/>
        <cfvo type="num" val="10"/>
        <color rgb="FFFF494D"/>
        <color rgb="FF00FF66"/>
      </colorScale>
    </cfRule>
    <cfRule type="colorScale" priority="2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2002" priority="2898" stopIfTrue="1">
      <formula>LEN(TRIM(E118))=0</formula>
    </cfRule>
    <cfRule type="cellIs" dxfId="2001" priority="2896" operator="between">
      <formula>9</formula>
      <formula>9.9</formula>
    </cfRule>
    <cfRule type="cellIs" dxfId="2000" priority="2895" stopIfTrue="1" operator="between">
      <formula>8</formula>
      <formula>8.9</formula>
    </cfRule>
    <cfRule type="cellIs" dxfId="1999" priority="2894" operator="between">
      <formula>7</formula>
      <formula>7.9</formula>
    </cfRule>
    <cfRule type="cellIs" dxfId="1998" priority="2893" operator="between">
      <formula>10.1</formula>
      <formula>10.6</formula>
    </cfRule>
    <cfRule type="cellIs" dxfId="1997" priority="2892" operator="between">
      <formula>6</formula>
      <formula>6.9</formula>
    </cfRule>
    <cfRule type="cellIs" dxfId="1996" priority="2897" stopIfTrue="1" operator="between">
      <formula>10</formula>
      <formula>10</formula>
    </cfRule>
  </conditionalFormatting>
  <conditionalFormatting sqref="E128">
    <cfRule type="colorScale" priority="2867">
      <colorScale>
        <cfvo type="num" val="5"/>
        <cfvo type="num" val="10"/>
        <color rgb="FFFF494D"/>
        <color rgb="FF00FF66"/>
      </colorScale>
    </cfRule>
    <cfRule type="colorScale" priority="2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995" priority="2864" stopIfTrue="1" operator="between">
      <formula>10</formula>
      <formula>10</formula>
    </cfRule>
    <cfRule type="cellIs" dxfId="1994" priority="2863" operator="between">
      <formula>9</formula>
      <formula>9.9</formula>
    </cfRule>
    <cfRule type="cellIs" dxfId="1993" priority="2862" stopIfTrue="1" operator="between">
      <formula>8</formula>
      <formula>8.9</formula>
    </cfRule>
    <cfRule type="cellIs" dxfId="1992" priority="2861" operator="between">
      <formula>7</formula>
      <formula>7.9</formula>
    </cfRule>
    <cfRule type="cellIs" dxfId="1991" priority="2860" operator="between">
      <formula>10.1</formula>
      <formula>10.6</formula>
    </cfRule>
    <cfRule type="cellIs" dxfId="1990" priority="2859" operator="between">
      <formula>6</formula>
      <formula>6.9</formula>
    </cfRule>
    <cfRule type="containsBlanks" dxfId="1989" priority="2865" stopIfTrue="1">
      <formula>LEN(TRIM(E129))=0</formula>
    </cfRule>
  </conditionalFormatting>
  <conditionalFormatting sqref="E146">
    <cfRule type="colorScale" priority="2780">
      <colorScale>
        <cfvo type="num" val="5"/>
        <cfvo type="num" val="10"/>
        <color rgb="FFFF494D"/>
        <color rgb="FF00FF66"/>
      </colorScale>
    </cfRule>
    <cfRule type="colorScale" priority="2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988" priority="2774" operator="between">
      <formula>7</formula>
      <formula>7.9</formula>
    </cfRule>
    <cfRule type="cellIs" dxfId="1987" priority="2776" operator="between">
      <formula>9</formula>
      <formula>9.9</formula>
    </cfRule>
    <cfRule type="cellIs" dxfId="1986" priority="2777" stopIfTrue="1" operator="between">
      <formula>10</formula>
      <formula>10</formula>
    </cfRule>
    <cfRule type="cellIs" dxfId="1985" priority="2775" stopIfTrue="1" operator="between">
      <formula>8</formula>
      <formula>8.9</formula>
    </cfRule>
    <cfRule type="containsBlanks" dxfId="1984" priority="2778" stopIfTrue="1">
      <formula>LEN(TRIM(E147))=0</formula>
    </cfRule>
    <cfRule type="cellIs" dxfId="1983" priority="2772" operator="between">
      <formula>6</formula>
      <formula>6.9</formula>
    </cfRule>
    <cfRule type="cellIs" dxfId="1982" priority="2773" operator="between">
      <formula>10.1</formula>
      <formula>10.6</formula>
    </cfRule>
  </conditionalFormatting>
  <conditionalFormatting sqref="E161">
    <cfRule type="colorScale" priority="2744">
      <colorScale>
        <cfvo type="num" val="5"/>
        <cfvo type="num" val="10"/>
        <color rgb="FFFF494D"/>
        <color rgb="FF00FF66"/>
      </colorScale>
    </cfRule>
    <cfRule type="colorScale" priority="2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981" priority="2736" operator="between">
      <formula>6</formula>
      <formula>6.9</formula>
    </cfRule>
    <cfRule type="cellIs" dxfId="1980" priority="2737" operator="between">
      <formula>10.1</formula>
      <formula>10.6</formula>
    </cfRule>
    <cfRule type="cellIs" dxfId="1979" priority="2741" stopIfTrue="1" operator="between">
      <formula>10</formula>
      <formula>10</formula>
    </cfRule>
    <cfRule type="cellIs" dxfId="1978" priority="2740" operator="between">
      <formula>9</formula>
      <formula>9.9</formula>
    </cfRule>
    <cfRule type="cellIs" dxfId="1977" priority="2739" stopIfTrue="1" operator="between">
      <formula>8</formula>
      <formula>8.9</formula>
    </cfRule>
    <cfRule type="containsBlanks" dxfId="1976" priority="2742" stopIfTrue="1">
      <formula>LEN(TRIM(E162))=0</formula>
    </cfRule>
    <cfRule type="cellIs" dxfId="1975" priority="2738" operator="between">
      <formula>7</formula>
      <formula>7.9</formula>
    </cfRule>
  </conditionalFormatting>
  <conditionalFormatting sqref="E172">
    <cfRule type="colorScale" priority="2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974" priority="2695" operator="between">
      <formula>9</formula>
      <formula>9.9</formula>
    </cfRule>
    <cfRule type="cellIs" dxfId="1973" priority="2696" stopIfTrue="1" operator="between">
      <formula>10</formula>
      <formula>10</formula>
    </cfRule>
    <cfRule type="cellIs" dxfId="1972" priority="2692" operator="between">
      <formula>10.1</formula>
      <formula>10.6</formula>
    </cfRule>
    <cfRule type="cellIs" dxfId="1971" priority="2694" stopIfTrue="1" operator="between">
      <formula>8</formula>
      <formula>8.9</formula>
    </cfRule>
    <cfRule type="containsBlanks" dxfId="1970" priority="2697" stopIfTrue="1">
      <formula>LEN(TRIM(E173))=0</formula>
    </cfRule>
    <cfRule type="cellIs" dxfId="1969" priority="2691" operator="between">
      <formula>6</formula>
      <formula>6.9</formula>
    </cfRule>
    <cfRule type="cellIs" dxfId="1968" priority="2693" operator="between">
      <formula>7</formula>
      <formula>7.9</formula>
    </cfRule>
  </conditionalFormatting>
  <conditionalFormatting sqref="E186">
    <cfRule type="colorScale" priority="2637">
      <colorScale>
        <cfvo type="num" val="5"/>
        <cfvo type="num" val="10"/>
        <color rgb="FFFF494D"/>
        <color rgb="FF00FF66"/>
      </colorScale>
    </cfRule>
    <cfRule type="colorScale" priority="2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1967" priority="2635" stopIfTrue="1">
      <formula>LEN(TRIM(E187))=0</formula>
    </cfRule>
    <cfRule type="cellIs" dxfId="1966" priority="2629" operator="between">
      <formula>6</formula>
      <formula>6.9</formula>
    </cfRule>
    <cfRule type="cellIs" dxfId="1965" priority="2630" operator="between">
      <formula>10.1</formula>
      <formula>10.6</formula>
    </cfRule>
    <cfRule type="cellIs" dxfId="1964" priority="2631" operator="between">
      <formula>7</formula>
      <formula>7.9</formula>
    </cfRule>
    <cfRule type="cellIs" dxfId="1963" priority="2632" stopIfTrue="1" operator="between">
      <formula>8</formula>
      <formula>8.9</formula>
    </cfRule>
    <cfRule type="cellIs" dxfId="1962" priority="2633" operator="between">
      <formula>9</formula>
      <formula>9.9</formula>
    </cfRule>
    <cfRule type="cellIs" dxfId="1961" priority="2634" stopIfTrue="1" operator="between">
      <formula>10</formula>
      <formula>10</formula>
    </cfRule>
  </conditionalFormatting>
  <conditionalFormatting sqref="E201">
    <cfRule type="colorScale" priority="2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960" priority="2575" operator="between">
      <formula>6</formula>
      <formula>6.9</formula>
    </cfRule>
    <cfRule type="cellIs" dxfId="1959" priority="2576" operator="between">
      <formula>10.1</formula>
      <formula>11</formula>
    </cfRule>
    <cfRule type="cellIs" dxfId="1958" priority="2577" operator="between">
      <formula>7</formula>
      <formula>7.9</formula>
    </cfRule>
    <cfRule type="cellIs" dxfId="1957" priority="2578" stopIfTrue="1" operator="between">
      <formula>8</formula>
      <formula>8.9</formula>
    </cfRule>
    <cfRule type="cellIs" dxfId="1956" priority="2579" operator="between">
      <formula>9</formula>
      <formula>9.9</formula>
    </cfRule>
    <cfRule type="cellIs" dxfId="1955" priority="2580" stopIfTrue="1" operator="between">
      <formula>10</formula>
      <formula>10</formula>
    </cfRule>
    <cfRule type="containsBlanks" dxfId="1954" priority="2581" stopIfTrue="1">
      <formula>LEN(TRIM(E202))=0</formula>
    </cfRule>
  </conditionalFormatting>
  <conditionalFormatting sqref="E213">
    <cfRule type="colorScale" priority="2529">
      <colorScale>
        <cfvo type="num" val="5"/>
        <cfvo type="num" val="10"/>
        <color rgb="FFFF494D"/>
        <color rgb="FF00FF66"/>
      </colorScale>
    </cfRule>
    <cfRule type="colorScale" priority="25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953" priority="2530" operator="between">
      <formula>6</formula>
      <formula>6.9</formula>
    </cfRule>
    <cfRule type="cellIs" dxfId="1952" priority="2532" operator="between">
      <formula>7</formula>
      <formula>7.9</formula>
    </cfRule>
    <cfRule type="cellIs" dxfId="1951" priority="2535" stopIfTrue="1" operator="between">
      <formula>10</formula>
      <formula>10</formula>
    </cfRule>
    <cfRule type="cellIs" dxfId="1950" priority="2533" stopIfTrue="1" operator="between">
      <formula>8</formula>
      <formula>8.9</formula>
    </cfRule>
    <cfRule type="containsBlanks" dxfId="1949" priority="2536" stopIfTrue="1">
      <formula>LEN(TRIM(E214))=0</formula>
    </cfRule>
    <cfRule type="cellIs" dxfId="1948" priority="2534" operator="between">
      <formula>9</formula>
      <formula>9.9</formula>
    </cfRule>
    <cfRule type="cellIs" dxfId="1947" priority="2531" operator="between">
      <formula>10.1</formula>
      <formula>10.6</formula>
    </cfRule>
  </conditionalFormatting>
  <conditionalFormatting sqref="E229"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946" priority="2493" stopIfTrue="1" operator="between">
      <formula>8</formula>
      <formula>8.9</formula>
    </cfRule>
    <cfRule type="cellIs" dxfId="1945" priority="2490" operator="between">
      <formula>6</formula>
      <formula>6.9</formula>
    </cfRule>
    <cfRule type="containsBlanks" dxfId="1944" priority="2496" stopIfTrue="1">
      <formula>LEN(TRIM(E230))=0</formula>
    </cfRule>
    <cfRule type="cellIs" dxfId="1943" priority="2495" stopIfTrue="1" operator="between">
      <formula>10</formula>
      <formula>10</formula>
    </cfRule>
    <cfRule type="cellIs" dxfId="1942" priority="2494" operator="between">
      <formula>9</formula>
      <formula>9.9</formula>
    </cfRule>
    <cfRule type="cellIs" dxfId="1941" priority="2492" operator="between">
      <formula>7</formula>
      <formula>7.9</formula>
    </cfRule>
    <cfRule type="cellIs" dxfId="1940" priority="2491" operator="between">
      <formula>10.1</formula>
      <formula>10.6</formula>
    </cfRule>
  </conditionalFormatting>
  <conditionalFormatting sqref="E237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939" priority="2455" stopIfTrue="1">
      <formula>LEN(TRIM(E238))=0</formula>
    </cfRule>
    <cfRule type="cellIs" dxfId="1938" priority="2454" stopIfTrue="1" operator="between">
      <formula>10</formula>
      <formula>10</formula>
    </cfRule>
    <cfRule type="cellIs" dxfId="1937" priority="2453" operator="between">
      <formula>9</formula>
      <formula>9.9</formula>
    </cfRule>
    <cfRule type="cellIs" dxfId="1936" priority="2452" stopIfTrue="1" operator="between">
      <formula>8</formula>
      <formula>8.9</formula>
    </cfRule>
    <cfRule type="cellIs" dxfId="1935" priority="2451" operator="between">
      <formula>7</formula>
      <formula>7.9</formula>
    </cfRule>
    <cfRule type="cellIs" dxfId="1934" priority="2450" operator="between">
      <formula>10.1</formula>
      <formula>10.6</formula>
    </cfRule>
    <cfRule type="cellIs" dxfId="1933" priority="2449" operator="between">
      <formula>6</formula>
      <formula>6.9</formula>
    </cfRule>
  </conditionalFormatting>
  <conditionalFormatting sqref="E254">
    <cfRule type="colorScale" priority="2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354">
      <colorScale>
        <cfvo type="num" val="5"/>
        <cfvo type="num" val="10"/>
        <color rgb="FFFF494D"/>
        <color rgb="FF00FF66"/>
      </colorScale>
    </cfRule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1932" priority="2361" stopIfTrue="1">
      <formula>LEN(TRIM(E267))=0</formula>
    </cfRule>
    <cfRule type="cellIs" dxfId="1931" priority="2355" operator="between">
      <formula>6</formula>
      <formula>6.9</formula>
    </cfRule>
    <cfRule type="cellIs" dxfId="1930" priority="2356" operator="between">
      <formula>10.1</formula>
      <formula>10.6</formula>
    </cfRule>
    <cfRule type="cellIs" dxfId="1929" priority="2357" operator="between">
      <formula>7</formula>
      <formula>7.9</formula>
    </cfRule>
    <cfRule type="cellIs" dxfId="1928" priority="2358" stopIfTrue="1" operator="between">
      <formula>8</formula>
      <formula>8.9</formula>
    </cfRule>
    <cfRule type="cellIs" dxfId="1927" priority="2359" operator="between">
      <formula>9</formula>
      <formula>9.9</formula>
    </cfRule>
    <cfRule type="cellIs" dxfId="1926" priority="2360" stopIfTrue="1" operator="between">
      <formula>10</formula>
      <formula>10</formula>
    </cfRule>
  </conditionalFormatting>
  <conditionalFormatting sqref="E278">
    <cfRule type="colorScale" priority="2310">
      <colorScale>
        <cfvo type="num" val="5"/>
        <cfvo type="num" val="10"/>
        <color rgb="FFFF494D"/>
        <color rgb="FF00FF66"/>
      </colorScale>
    </cfRule>
    <cfRule type="colorScale" priority="2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925" priority="2308" stopIfTrue="1">
      <formula>LEN(TRIM(E279))=0</formula>
    </cfRule>
    <cfRule type="cellIs" dxfId="1924" priority="2307" stopIfTrue="1" operator="between">
      <formula>10</formula>
      <formula>10</formula>
    </cfRule>
    <cfRule type="cellIs" dxfId="1923" priority="2306" operator="between">
      <formula>9</formula>
      <formula>9.9</formula>
    </cfRule>
    <cfRule type="cellIs" dxfId="1922" priority="2305" stopIfTrue="1" operator="between">
      <formula>8</formula>
      <formula>8.9</formula>
    </cfRule>
    <cfRule type="cellIs" dxfId="1921" priority="2304" operator="between">
      <formula>7</formula>
      <formula>7.9</formula>
    </cfRule>
    <cfRule type="cellIs" dxfId="1920" priority="2303" operator="between">
      <formula>10.1</formula>
      <formula>10.6</formula>
    </cfRule>
    <cfRule type="cellIs" dxfId="1919" priority="2302" operator="between">
      <formula>6</formula>
      <formula>6.9</formula>
    </cfRule>
  </conditionalFormatting>
  <conditionalFormatting sqref="E288">
    <cfRule type="colorScale" priority="2262">
      <colorScale>
        <cfvo type="num" val="5"/>
        <cfvo type="num" val="10"/>
        <color rgb="FFFF494D"/>
        <color rgb="FF00FF66"/>
      </colorScale>
    </cfRule>
    <cfRule type="colorScale" priority="2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918" priority="2260" stopIfTrue="1">
      <formula>LEN(TRIM(E289))=0</formula>
    </cfRule>
    <cfRule type="cellIs" dxfId="1917" priority="2257" stopIfTrue="1" operator="between">
      <formula>8</formula>
      <formula>8.9</formula>
    </cfRule>
    <cfRule type="cellIs" dxfId="1916" priority="2254" operator="between">
      <formula>6</formula>
      <formula>6.9</formula>
    </cfRule>
    <cfRule type="cellIs" dxfId="1915" priority="2255" operator="between">
      <formula>10.1</formula>
      <formula>10.6</formula>
    </cfRule>
    <cfRule type="cellIs" dxfId="1914" priority="2256" operator="between">
      <formula>7</formula>
      <formula>7.9</formula>
    </cfRule>
    <cfRule type="cellIs" dxfId="1913" priority="2258" operator="between">
      <formula>9</formula>
      <formula>9.9</formula>
    </cfRule>
    <cfRule type="cellIs" dxfId="1912" priority="2259" stopIfTrue="1" operator="between">
      <formula>10</formula>
      <formula>10</formula>
    </cfRule>
  </conditionalFormatting>
  <conditionalFormatting sqref="E299"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911" priority="2206" stopIfTrue="1" operator="between">
      <formula>8</formula>
      <formula>8.9</formula>
    </cfRule>
    <cfRule type="cellIs" dxfId="1910" priority="2203" operator="between">
      <formula>6</formula>
      <formula>6.9</formula>
    </cfRule>
    <cfRule type="cellIs" dxfId="1909" priority="2204" operator="between">
      <formula>10.1</formula>
      <formula>10.6</formula>
    </cfRule>
    <cfRule type="cellIs" dxfId="1908" priority="2205" operator="between">
      <formula>7</formula>
      <formula>7.9</formula>
    </cfRule>
    <cfRule type="containsBlanks" dxfId="1907" priority="2209" stopIfTrue="1">
      <formula>LEN(TRIM(E300))=0</formula>
    </cfRule>
    <cfRule type="cellIs" dxfId="1906" priority="2208" stopIfTrue="1" operator="between">
      <formula>10</formula>
      <formula>10</formula>
    </cfRule>
    <cfRule type="cellIs" dxfId="1905" priority="2207" operator="between">
      <formula>9</formula>
      <formula>9.9</formula>
    </cfRule>
  </conditionalFormatting>
  <conditionalFormatting sqref="E310">
    <cfRule type="colorScale" priority="2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904" priority="2158" stopIfTrue="1" operator="between">
      <formula>10</formula>
      <formula>10</formula>
    </cfRule>
    <cfRule type="cellIs" dxfId="1903" priority="2157" operator="between">
      <formula>9</formula>
      <formula>9.9</formula>
    </cfRule>
    <cfRule type="cellIs" dxfId="1902" priority="2156" stopIfTrue="1" operator="between">
      <formula>8</formula>
      <formula>8.9</formula>
    </cfRule>
    <cfRule type="cellIs" dxfId="1901" priority="2155" operator="between">
      <formula>7</formula>
      <formula>7.9</formula>
    </cfRule>
    <cfRule type="cellIs" dxfId="1900" priority="2154" operator="between">
      <formula>10.1</formula>
      <formula>10.6</formula>
    </cfRule>
    <cfRule type="cellIs" dxfId="1899" priority="2153" operator="between">
      <formula>5</formula>
      <formula>6.9</formula>
    </cfRule>
    <cfRule type="cellIs" dxfId="1898" priority="2152" operator="between">
      <formula>2</formula>
      <formula>4.9</formula>
    </cfRule>
    <cfRule type="cellIs" dxfId="1897" priority="2151" operator="lessThan">
      <formula>2</formula>
    </cfRule>
    <cfRule type="containsBlanks" dxfId="1896" priority="2150" stopIfTrue="1">
      <formula>LEN(TRIM(E311))=0</formula>
    </cfRule>
  </conditionalFormatting>
  <conditionalFormatting sqref="E320">
    <cfRule type="colorScale" priority="2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895" priority="2142" operator="lessThan">
      <formula>2</formula>
    </cfRule>
    <cfRule type="cellIs" dxfId="1894" priority="2143" operator="between">
      <formula>2</formula>
      <formula>4.9</formula>
    </cfRule>
    <cfRule type="containsBlanks" dxfId="1893" priority="2141" stopIfTrue="1">
      <formula>LEN(TRIM(E321))=0</formula>
    </cfRule>
    <cfRule type="cellIs" dxfId="1892" priority="2149" stopIfTrue="1" operator="between">
      <formula>10</formula>
      <formula>10</formula>
    </cfRule>
    <cfRule type="cellIs" dxfId="1891" priority="2144" operator="between">
      <formula>5</formula>
      <formula>6.9</formula>
    </cfRule>
    <cfRule type="cellIs" dxfId="1890" priority="2145" operator="between">
      <formula>10.1</formula>
      <formula>10.6</formula>
    </cfRule>
    <cfRule type="cellIs" dxfId="1889" priority="2146" operator="between">
      <formula>7</formula>
      <formula>7.9</formula>
    </cfRule>
    <cfRule type="cellIs" dxfId="1888" priority="2147" stopIfTrue="1" operator="between">
      <formula>8</formula>
      <formula>8.9</formula>
    </cfRule>
    <cfRule type="cellIs" dxfId="1887" priority="2148" operator="between">
      <formula>9</formula>
      <formula>9.9</formula>
    </cfRule>
  </conditionalFormatting>
  <conditionalFormatting sqref="E328">
    <cfRule type="colorScale" priority="2096">
      <colorScale>
        <cfvo type="num" val="5"/>
        <cfvo type="num" val="10"/>
        <color rgb="FFFF494D"/>
        <color rgb="FF00FF66"/>
      </colorScale>
    </cfRule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886" priority="2102" operator="between">
      <formula>7</formula>
      <formula>7.9</formula>
    </cfRule>
    <cfRule type="cellIs" dxfId="1885" priority="2101" operator="between">
      <formula>10.1</formula>
      <formula>10.6</formula>
    </cfRule>
    <cfRule type="cellIs" dxfId="1884" priority="2103" stopIfTrue="1" operator="between">
      <formula>8</formula>
      <formula>8.9</formula>
    </cfRule>
    <cfRule type="containsBlanks" dxfId="1883" priority="2097" stopIfTrue="1">
      <formula>LEN(TRIM(E329))=0</formula>
    </cfRule>
    <cfRule type="cellIs" dxfId="1882" priority="2105" stopIfTrue="1" operator="between">
      <formula>10</formula>
      <formula>10</formula>
    </cfRule>
    <cfRule type="cellIs" dxfId="1881" priority="2104" operator="between">
      <formula>9</formula>
      <formula>9.9</formula>
    </cfRule>
    <cfRule type="cellIs" dxfId="1880" priority="2098" operator="lessThan">
      <formula>2</formula>
    </cfRule>
    <cfRule type="cellIs" dxfId="1879" priority="2099" operator="between">
      <formula>2</formula>
      <formula>4.9</formula>
    </cfRule>
    <cfRule type="cellIs" dxfId="1878" priority="2100" operator="between">
      <formula>5</formula>
      <formula>6.9</formula>
    </cfRule>
  </conditionalFormatting>
  <conditionalFormatting sqref="E360">
    <cfRule type="colorScale" priority="1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877" priority="1977" operator="between">
      <formula>5</formula>
      <formula>6.9</formula>
    </cfRule>
    <cfRule type="containsBlanks" dxfId="1876" priority="1974" stopIfTrue="1">
      <formula>LEN(TRIM(E361))=0</formula>
    </cfRule>
    <cfRule type="cellIs" dxfId="1875" priority="1982" stopIfTrue="1" operator="between">
      <formula>10</formula>
      <formula>10</formula>
    </cfRule>
    <cfRule type="cellIs" dxfId="1874" priority="1981" operator="between">
      <formula>9</formula>
      <formula>9.9</formula>
    </cfRule>
    <cfRule type="cellIs" dxfId="1873" priority="1980" stopIfTrue="1" operator="between">
      <formula>8</formula>
      <formula>8.9</formula>
    </cfRule>
    <cfRule type="cellIs" dxfId="1872" priority="1979" operator="between">
      <formula>7</formula>
      <formula>7.9</formula>
    </cfRule>
    <cfRule type="cellIs" dxfId="1871" priority="1978" operator="between">
      <formula>10.1</formula>
      <formula>10.6</formula>
    </cfRule>
    <cfRule type="cellIs" dxfId="1870" priority="1976" operator="between">
      <formula>2</formula>
      <formula>4.9</formula>
    </cfRule>
    <cfRule type="cellIs" dxfId="1869" priority="1975" operator="lessThan">
      <formula>2</formula>
    </cfRule>
  </conditionalFormatting>
  <conditionalFormatting sqref="E372">
    <cfRule type="colorScale" priority="1927">
      <colorScale>
        <cfvo type="num" val="5"/>
        <cfvo type="num" val="10"/>
        <color rgb="FFFF494D"/>
        <color rgb="FF00FF66"/>
      </colorScale>
    </cfRule>
    <cfRule type="colorScale" priority="19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868" priority="1936" stopIfTrue="1" operator="between">
      <formula>10</formula>
      <formula>10</formula>
    </cfRule>
    <cfRule type="cellIs" dxfId="1867" priority="1935" operator="between">
      <formula>9</formula>
      <formula>9.9</formula>
    </cfRule>
    <cfRule type="cellIs" dxfId="1866" priority="1933" operator="between">
      <formula>7</formula>
      <formula>7.9</formula>
    </cfRule>
    <cfRule type="cellIs" dxfId="1865" priority="1932" operator="between">
      <formula>10.1</formula>
      <formula>10.6</formula>
    </cfRule>
    <cfRule type="cellIs" dxfId="1864" priority="1931" operator="between">
      <formula>5</formula>
      <formula>6.9</formula>
    </cfRule>
    <cfRule type="cellIs" dxfId="1863" priority="1930" operator="between">
      <formula>2</formula>
      <formula>4.9</formula>
    </cfRule>
    <cfRule type="cellIs" dxfId="1862" priority="1929" operator="lessThan">
      <formula>2</formula>
    </cfRule>
    <cfRule type="containsBlanks" dxfId="1861" priority="1928" stopIfTrue="1">
      <formula>LEN(TRIM(E373))=0</formula>
    </cfRule>
    <cfRule type="cellIs" dxfId="1860" priority="1934" stopIfTrue="1" operator="between">
      <formula>8</formula>
      <formula>8.9</formula>
    </cfRule>
  </conditionalFormatting>
  <conditionalFormatting sqref="E383">
    <cfRule type="colorScale" priority="1871">
      <colorScale>
        <cfvo type="num" val="5"/>
        <cfvo type="num" val="10"/>
        <color rgb="FFFF494D"/>
        <color rgb="FF00FF66"/>
      </colorScale>
    </cfRule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859" priority="1862" operator="lessThan">
      <formula>2</formula>
    </cfRule>
    <cfRule type="cellIs" dxfId="1858" priority="1863" operator="between">
      <formula>2</formula>
      <formula>4.9</formula>
    </cfRule>
    <cfRule type="containsBlanks" dxfId="1857" priority="1861" stopIfTrue="1">
      <formula>LEN(TRIM(E384))=0</formula>
    </cfRule>
    <cfRule type="cellIs" dxfId="1856" priority="1869" stopIfTrue="1" operator="between">
      <formula>10</formula>
      <formula>10</formula>
    </cfRule>
    <cfRule type="cellIs" dxfId="1855" priority="1868" operator="between">
      <formula>9</formula>
      <formula>9.9</formula>
    </cfRule>
    <cfRule type="cellIs" dxfId="1854" priority="1867" stopIfTrue="1" operator="between">
      <formula>8</formula>
      <formula>8.9</formula>
    </cfRule>
    <cfRule type="cellIs" dxfId="1853" priority="1866" operator="between">
      <formula>7</formula>
      <formula>7.9</formula>
    </cfRule>
    <cfRule type="cellIs" dxfId="1852" priority="1865" operator="between">
      <formula>10.1</formula>
      <formula>10.6</formula>
    </cfRule>
    <cfRule type="cellIs" dxfId="1851" priority="1864" operator="between">
      <formula>5</formula>
      <formula>6.9</formula>
    </cfRule>
  </conditionalFormatting>
  <conditionalFormatting sqref="E388"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9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850" priority="1837" operator="between">
      <formula>9</formula>
      <formula>9.9</formula>
    </cfRule>
    <cfRule type="containsBlanks" dxfId="1849" priority="1830" stopIfTrue="1">
      <formula>LEN(TRIM(E389))=0</formula>
    </cfRule>
    <cfRule type="cellIs" dxfId="1848" priority="1831" operator="lessThan">
      <formula>2</formula>
    </cfRule>
    <cfRule type="cellIs" dxfId="1847" priority="1836" stopIfTrue="1" operator="between">
      <formula>8</formula>
      <formula>8.9</formula>
    </cfRule>
    <cfRule type="cellIs" dxfId="1846" priority="1838" stopIfTrue="1" operator="between">
      <formula>10</formula>
      <formula>10</formula>
    </cfRule>
    <cfRule type="cellIs" dxfId="1845" priority="1835" operator="between">
      <formula>7</formula>
      <formula>7.9</formula>
    </cfRule>
    <cfRule type="cellIs" dxfId="1844" priority="1834" operator="between">
      <formula>10.1</formula>
      <formula>10.6</formula>
    </cfRule>
    <cfRule type="cellIs" dxfId="1843" priority="1832" operator="between">
      <formula>2</formula>
      <formula>4.9</formula>
    </cfRule>
    <cfRule type="cellIs" dxfId="1842" priority="1833" operator="between">
      <formula>5</formula>
      <formula>6.9</formula>
    </cfRule>
  </conditionalFormatting>
  <conditionalFormatting sqref="E403">
    <cfRule type="colorScale" priority="1752">
      <colorScale>
        <cfvo type="num" val="5"/>
        <cfvo type="num" val="10"/>
        <color rgb="FFFF494D"/>
        <color rgb="FF00FF66"/>
      </colorScale>
    </cfRule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841" priority="1760" operator="between">
      <formula>9</formula>
      <formula>9.9</formula>
    </cfRule>
    <cfRule type="cellIs" dxfId="1840" priority="1757" operator="between">
      <formula>10.1</formula>
      <formula>10.6</formula>
    </cfRule>
    <cfRule type="containsBlanks" dxfId="1839" priority="1753" stopIfTrue="1">
      <formula>LEN(TRIM(E404))=0</formula>
    </cfRule>
    <cfRule type="cellIs" dxfId="1838" priority="1758" operator="between">
      <formula>7</formula>
      <formula>7.9</formula>
    </cfRule>
    <cfRule type="cellIs" dxfId="1837" priority="1754" operator="lessThan">
      <formula>2</formula>
    </cfRule>
    <cfRule type="cellIs" dxfId="1836" priority="1759" stopIfTrue="1" operator="between">
      <formula>8</formula>
      <formula>8.9</formula>
    </cfRule>
    <cfRule type="cellIs" dxfId="1835" priority="1755" operator="between">
      <formula>2</formula>
      <formula>4.9</formula>
    </cfRule>
    <cfRule type="cellIs" dxfId="1834" priority="1761" stopIfTrue="1" operator="between">
      <formula>10</formula>
      <formula>10</formula>
    </cfRule>
    <cfRule type="cellIs" dxfId="1833" priority="1756" operator="between">
      <formula>5</formula>
      <formula>6.9</formula>
    </cfRule>
  </conditionalFormatting>
  <conditionalFormatting sqref="E415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832" priority="1713" operator="between">
      <formula>9</formula>
      <formula>9.9</formula>
    </cfRule>
    <cfRule type="cellIs" dxfId="1831" priority="1707" operator="lessThan">
      <formula>2</formula>
    </cfRule>
    <cfRule type="cellIs" dxfId="1830" priority="1714" stopIfTrue="1" operator="between">
      <formula>10</formula>
      <formula>10</formula>
    </cfRule>
    <cfRule type="cellIs" dxfId="1829" priority="1712" stopIfTrue="1" operator="between">
      <formula>8</formula>
      <formula>8.9</formula>
    </cfRule>
    <cfRule type="cellIs" dxfId="1828" priority="1711" operator="between">
      <formula>7</formula>
      <formula>7.9</formula>
    </cfRule>
    <cfRule type="cellIs" dxfId="1827" priority="1710" operator="between">
      <formula>10.1</formula>
      <formula>10.6</formula>
    </cfRule>
    <cfRule type="cellIs" dxfId="1826" priority="1709" operator="between">
      <formula>5</formula>
      <formula>6.9</formula>
    </cfRule>
    <cfRule type="cellIs" dxfId="1825" priority="1708" operator="between">
      <formula>2</formula>
      <formula>4.9</formula>
    </cfRule>
    <cfRule type="containsBlanks" dxfId="1824" priority="1706" stopIfTrue="1">
      <formula>LEN(TRIM(E416))=0</formula>
    </cfRule>
  </conditionalFormatting>
  <conditionalFormatting sqref="E425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823" priority="1642" stopIfTrue="1">
      <formula>LEN(TRIM(E426))=0</formula>
    </cfRule>
    <cfRule type="cellIs" dxfId="1822" priority="1643" operator="lessThan">
      <formula>2</formula>
    </cfRule>
    <cfRule type="cellIs" dxfId="1821" priority="1644" operator="between">
      <formula>2</formula>
      <formula>4.9</formula>
    </cfRule>
    <cfRule type="cellIs" dxfId="1820" priority="1645" operator="between">
      <formula>5</formula>
      <formula>6.9</formula>
    </cfRule>
    <cfRule type="cellIs" dxfId="1819" priority="1646" operator="between">
      <formula>10.1</formula>
      <formula>10.6</formula>
    </cfRule>
    <cfRule type="cellIs" dxfId="1818" priority="1647" operator="between">
      <formula>7</formula>
      <formula>7.9</formula>
    </cfRule>
    <cfRule type="cellIs" dxfId="1817" priority="1648" stopIfTrue="1" operator="between">
      <formula>8</formula>
      <formula>8.9</formula>
    </cfRule>
    <cfRule type="cellIs" dxfId="1816" priority="1649" operator="between">
      <formula>9</formula>
      <formula>9.9</formula>
    </cfRule>
    <cfRule type="cellIs" dxfId="1815" priority="1650" stopIfTrue="1" operator="between">
      <formula>10</formula>
      <formula>10</formula>
    </cfRule>
  </conditionalFormatting>
  <conditionalFormatting sqref="E436"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814" priority="1595" stopIfTrue="1" operator="between">
      <formula>10</formula>
      <formula>10</formula>
    </cfRule>
    <cfRule type="containsBlanks" dxfId="1813" priority="1587" stopIfTrue="1">
      <formula>LEN(TRIM(E437))=0</formula>
    </cfRule>
    <cfRule type="cellIs" dxfId="1812" priority="1588" operator="lessThan">
      <formula>2</formula>
    </cfRule>
    <cfRule type="cellIs" dxfId="1811" priority="1589" operator="between">
      <formula>2</formula>
      <formula>4.9</formula>
    </cfRule>
    <cfRule type="cellIs" dxfId="1810" priority="1591" operator="between">
      <formula>10.1</formula>
      <formula>10.6</formula>
    </cfRule>
    <cfRule type="cellIs" dxfId="1809" priority="1592" operator="between">
      <formula>7</formula>
      <formula>7.9</formula>
    </cfRule>
    <cfRule type="cellIs" dxfId="1808" priority="1593" stopIfTrue="1" operator="between">
      <formula>8</formula>
      <formula>8.9</formula>
    </cfRule>
    <cfRule type="cellIs" dxfId="1807" priority="1594" operator="between">
      <formula>9</formula>
      <formula>9.9</formula>
    </cfRule>
    <cfRule type="cellIs" dxfId="1806" priority="1590" operator="between">
      <formula>5</formula>
      <formula>6.9</formula>
    </cfRule>
  </conditionalFormatting>
  <conditionalFormatting sqref="E459">
    <cfRule type="colorScale" priority="1489">
      <colorScale>
        <cfvo type="num" val="5"/>
        <cfvo type="num" val="10"/>
        <color rgb="FFFF494D"/>
        <color rgb="FF00FF66"/>
      </colorScale>
    </cfRule>
    <cfRule type="colorScale" priority="14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805" priority="1492" operator="between">
      <formula>2</formula>
      <formula>4.9</formula>
    </cfRule>
    <cfRule type="containsBlanks" dxfId="1804" priority="1490" stopIfTrue="1">
      <formula>LEN(TRIM(E460))=0</formula>
    </cfRule>
    <cfRule type="cellIs" dxfId="1803" priority="1498" stopIfTrue="1" operator="between">
      <formula>10</formula>
      <formula>10</formula>
    </cfRule>
    <cfRule type="cellIs" dxfId="1802" priority="1497" operator="between">
      <formula>9</formula>
      <formula>9.9</formula>
    </cfRule>
    <cfRule type="cellIs" dxfId="1801" priority="1495" operator="between">
      <formula>7</formula>
      <formula>7.9</formula>
    </cfRule>
    <cfRule type="cellIs" dxfId="1800" priority="1494" operator="between">
      <formula>10.1</formula>
      <formula>10.6</formula>
    </cfRule>
    <cfRule type="cellIs" dxfId="1799" priority="1493" operator="between">
      <formula>5</formula>
      <formula>6.9</formula>
    </cfRule>
    <cfRule type="cellIs" dxfId="1798" priority="1491" operator="lessThan">
      <formula>2</formula>
    </cfRule>
    <cfRule type="cellIs" dxfId="1797" priority="1496" stopIfTrue="1" operator="between">
      <formula>8</formula>
      <formula>8.9</formula>
    </cfRule>
  </conditionalFormatting>
  <conditionalFormatting sqref="E487">
    <cfRule type="colorScale" priority="1399">
      <colorScale>
        <cfvo type="num" val="5"/>
        <cfvo type="num" val="10"/>
        <color rgb="FFFF494D"/>
        <color rgb="FF00FF66"/>
      </colorScale>
    </cfRule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ontainsBlanks" dxfId="1796" priority="1389" stopIfTrue="1">
      <formula>LEN(TRIM(E488))=0</formula>
    </cfRule>
    <cfRule type="cellIs" dxfId="1795" priority="1390" operator="lessThan">
      <formula>2</formula>
    </cfRule>
    <cfRule type="cellIs" dxfId="1794" priority="1391" operator="between">
      <formula>2</formula>
      <formula>4.9</formula>
    </cfRule>
    <cfRule type="cellIs" dxfId="1793" priority="1392" operator="between">
      <formula>5</formula>
      <formula>6.9</formula>
    </cfRule>
    <cfRule type="cellIs" dxfId="1792" priority="1393" operator="between">
      <formula>10.1</formula>
      <formula>10.6</formula>
    </cfRule>
    <cfRule type="cellIs" dxfId="1791" priority="1397" stopIfTrue="1" operator="between">
      <formula>10</formula>
      <formula>10</formula>
    </cfRule>
    <cfRule type="cellIs" dxfId="1790" priority="1394" operator="between">
      <formula>7</formula>
      <formula>7.9</formula>
    </cfRule>
    <cfRule type="cellIs" dxfId="1789" priority="1395" stopIfTrue="1" operator="between">
      <formula>8</formula>
      <formula>8.9</formula>
    </cfRule>
    <cfRule type="cellIs" dxfId="1788" priority="1396" operator="between">
      <formula>9</formula>
      <formula>9.9</formula>
    </cfRule>
  </conditionalFormatting>
  <conditionalFormatting sqref="E499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787" priority="1355" stopIfTrue="1" operator="between">
      <formula>10</formula>
      <formula>10</formula>
    </cfRule>
    <cfRule type="cellIs" dxfId="1786" priority="1354" operator="between">
      <formula>9</formula>
      <formula>9.9</formula>
    </cfRule>
    <cfRule type="cellIs" dxfId="1785" priority="1353" stopIfTrue="1" operator="between">
      <formula>8</formula>
      <formula>8.9</formula>
    </cfRule>
    <cfRule type="cellIs" dxfId="1784" priority="1352" operator="between">
      <formula>7</formula>
      <formula>7.9</formula>
    </cfRule>
    <cfRule type="cellIs" dxfId="1783" priority="1351" operator="between">
      <formula>10.1</formula>
      <formula>10.6</formula>
    </cfRule>
    <cfRule type="cellIs" dxfId="1782" priority="1350" operator="between">
      <formula>5</formula>
      <formula>6.9</formula>
    </cfRule>
    <cfRule type="cellIs" dxfId="1781" priority="1349" operator="between">
      <formula>2</formula>
      <formula>4.9</formula>
    </cfRule>
    <cfRule type="cellIs" dxfId="1780" priority="1348" operator="lessThan">
      <formula>2</formula>
    </cfRule>
    <cfRule type="containsBlanks" dxfId="1779" priority="1347" stopIfTrue="1">
      <formula>LEN(TRIM(E500))=0</formula>
    </cfRule>
  </conditionalFormatting>
  <conditionalFormatting sqref="E514">
    <cfRule type="colorScale" priority="1269">
      <colorScale>
        <cfvo type="num" val="5"/>
        <cfvo type="num" val="10"/>
        <color rgb="FFFF494D"/>
        <color rgb="FF00FF66"/>
      </colorScale>
    </cfRule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778" priority="1276" stopIfTrue="1" operator="between">
      <formula>8</formula>
      <formula>8.9</formula>
    </cfRule>
    <cfRule type="cellIs" dxfId="1777" priority="1275" operator="between">
      <formula>7</formula>
      <formula>7.9</formula>
    </cfRule>
    <cfRule type="cellIs" dxfId="1776" priority="1277" operator="between">
      <formula>9</formula>
      <formula>9.9</formula>
    </cfRule>
    <cfRule type="cellIs" dxfId="1775" priority="1278" stopIfTrue="1" operator="between">
      <formula>10</formula>
      <formula>10</formula>
    </cfRule>
    <cfRule type="cellIs" dxfId="1774" priority="1274" operator="between">
      <formula>10.1</formula>
      <formula>10.6</formula>
    </cfRule>
    <cfRule type="cellIs" dxfId="1773" priority="1273" operator="between">
      <formula>5</formula>
      <formula>6.9</formula>
    </cfRule>
    <cfRule type="cellIs" dxfId="1772" priority="1272" operator="between">
      <formula>2</formula>
      <formula>4.9</formula>
    </cfRule>
    <cfRule type="cellIs" dxfId="1771" priority="1271" operator="lessThan">
      <formula>2</formula>
    </cfRule>
    <cfRule type="containsBlanks" dxfId="1770" priority="1270" stopIfTrue="1">
      <formula>LEN(TRIM(E515))=0</formula>
    </cfRule>
  </conditionalFormatting>
  <conditionalFormatting sqref="E528">
    <cfRule type="colorScale" priority="1203">
      <colorScale>
        <cfvo type="num" val="5"/>
        <cfvo type="num" val="10"/>
        <color rgb="FFFF494D"/>
        <color rgb="FF00FF66"/>
      </colorScale>
    </cfRule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769" priority="1212" stopIfTrue="1" operator="between">
      <formula>10</formula>
      <formula>10</formula>
    </cfRule>
    <cfRule type="cellIs" dxfId="1768" priority="1211" operator="between">
      <formula>9</formula>
      <formula>9.9</formula>
    </cfRule>
    <cfRule type="cellIs" dxfId="1767" priority="1210" stopIfTrue="1" operator="between">
      <formula>8</formula>
      <formula>8.9</formula>
    </cfRule>
    <cfRule type="cellIs" dxfId="1766" priority="1209" operator="between">
      <formula>7</formula>
      <formula>7.9</formula>
    </cfRule>
    <cfRule type="cellIs" dxfId="1765" priority="1208" operator="between">
      <formula>10.1</formula>
      <formula>10.6</formula>
    </cfRule>
    <cfRule type="cellIs" dxfId="1764" priority="1207" operator="between">
      <formula>5</formula>
      <formula>6.9</formula>
    </cfRule>
    <cfRule type="cellIs" dxfId="1763" priority="1206" operator="between">
      <formula>2</formula>
      <formula>4.9</formula>
    </cfRule>
    <cfRule type="cellIs" dxfId="1762" priority="1205" operator="lessThan">
      <formula>2</formula>
    </cfRule>
    <cfRule type="containsBlanks" dxfId="1761" priority="1204" stopIfTrue="1">
      <formula>LEN(TRIM(E529))=0</formula>
    </cfRule>
  </conditionalFormatting>
  <conditionalFormatting sqref="E542">
    <cfRule type="colorScale" priority="1159">
      <colorScale>
        <cfvo type="num" val="5"/>
        <cfvo type="num" val="10"/>
        <color rgb="FFFF494D"/>
        <color rgb="FF00FF66"/>
      </colorScale>
    </cfRule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ontainsBlanks" dxfId="1760" priority="1160" stopIfTrue="1">
      <formula>LEN(TRIM(E543))=0</formula>
    </cfRule>
    <cfRule type="cellIs" dxfId="1759" priority="1161" operator="lessThan">
      <formula>2</formula>
    </cfRule>
    <cfRule type="cellIs" dxfId="1758" priority="1162" operator="between">
      <formula>2</formula>
      <formula>4.9</formula>
    </cfRule>
    <cfRule type="cellIs" dxfId="1757" priority="1163" operator="between">
      <formula>5</formula>
      <formula>6.9</formula>
    </cfRule>
    <cfRule type="cellIs" dxfId="1756" priority="1165" operator="between">
      <formula>7</formula>
      <formula>7.9</formula>
    </cfRule>
    <cfRule type="cellIs" dxfId="1755" priority="1166" stopIfTrue="1" operator="between">
      <formula>8</formula>
      <formula>8.9</formula>
    </cfRule>
    <cfRule type="cellIs" dxfId="1754" priority="1167" operator="between">
      <formula>9</formula>
      <formula>9.9</formula>
    </cfRule>
    <cfRule type="cellIs" dxfId="1753" priority="1168" stopIfTrue="1" operator="between">
      <formula>10</formula>
      <formula>10</formula>
    </cfRule>
    <cfRule type="cellIs" dxfId="1752" priority="1164" operator="between">
      <formula>10.1</formula>
      <formula>10.6</formula>
    </cfRule>
  </conditionalFormatting>
  <conditionalFormatting sqref="E554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ontainsBlanks" dxfId="1751" priority="1103" stopIfTrue="1">
      <formula>LEN(TRIM(E555))=0</formula>
    </cfRule>
    <cfRule type="cellIs" dxfId="1750" priority="1105" operator="between">
      <formula>2</formula>
      <formula>4.9</formula>
    </cfRule>
    <cfRule type="cellIs" dxfId="1749" priority="1106" operator="between">
      <formula>5</formula>
      <formula>6.9</formula>
    </cfRule>
    <cfRule type="cellIs" dxfId="1748" priority="1107" operator="between">
      <formula>10.1</formula>
      <formula>10.6</formula>
    </cfRule>
    <cfRule type="cellIs" dxfId="1747" priority="1108" operator="between">
      <formula>7</formula>
      <formula>7.9</formula>
    </cfRule>
    <cfRule type="cellIs" dxfId="1746" priority="1109" stopIfTrue="1" operator="between">
      <formula>8</formula>
      <formula>8.9</formula>
    </cfRule>
    <cfRule type="cellIs" dxfId="1745" priority="1110" operator="between">
      <formula>9</formula>
      <formula>9.9</formula>
    </cfRule>
    <cfRule type="cellIs" dxfId="1744" priority="1111" stopIfTrue="1" operator="between">
      <formula>10</formula>
      <formula>10</formula>
    </cfRule>
    <cfRule type="cellIs" dxfId="1743" priority="1104" operator="lessThan">
      <formula>2</formula>
    </cfRule>
  </conditionalFormatting>
  <conditionalFormatting sqref="E571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742" priority="1042" operator="between">
      <formula>5</formula>
      <formula>6.9</formula>
    </cfRule>
    <cfRule type="cellIs" dxfId="1741" priority="1043" operator="between">
      <formula>10.1</formula>
      <formula>10.6</formula>
    </cfRule>
    <cfRule type="cellIs" dxfId="1740" priority="1044" operator="between">
      <formula>7</formula>
      <formula>7.9</formula>
    </cfRule>
    <cfRule type="cellIs" dxfId="1739" priority="1045" stopIfTrue="1" operator="between">
      <formula>8</formula>
      <formula>8.9</formula>
    </cfRule>
    <cfRule type="cellIs" dxfId="1738" priority="1046" operator="between">
      <formula>9</formula>
      <formula>9.9</formula>
    </cfRule>
    <cfRule type="cellIs" dxfId="1737" priority="1041" operator="between">
      <formula>2</formula>
      <formula>4.9</formula>
    </cfRule>
    <cfRule type="cellIs" dxfId="1736" priority="1040" operator="lessThan">
      <formula>2</formula>
    </cfRule>
    <cfRule type="containsBlanks" dxfId="1735" priority="1039" stopIfTrue="1">
      <formula>LEN(TRIM(E572))=0</formula>
    </cfRule>
    <cfRule type="cellIs" dxfId="1734" priority="1047" stopIfTrue="1" operator="between">
      <formula>10</formula>
      <formula>10</formula>
    </cfRule>
  </conditionalFormatting>
  <conditionalFormatting sqref="E583">
    <cfRule type="colorScale" priority="994">
      <colorScale>
        <cfvo type="num" val="5"/>
        <cfvo type="num" val="10"/>
        <color rgb="FFFF494D"/>
        <color rgb="FF00FF66"/>
      </colorScale>
    </cfRule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733" priority="1003" stopIfTrue="1" operator="between">
      <formula>10</formula>
      <formula>10</formula>
    </cfRule>
    <cfRule type="cellIs" dxfId="1732" priority="1002" operator="between">
      <formula>9</formula>
      <formula>9.9</formula>
    </cfRule>
    <cfRule type="cellIs" dxfId="1731" priority="1001" stopIfTrue="1" operator="between">
      <formula>8</formula>
      <formula>8.9</formula>
    </cfRule>
    <cfRule type="cellIs" dxfId="1730" priority="1000" operator="between">
      <formula>7</formula>
      <formula>7.9</formula>
    </cfRule>
    <cfRule type="cellIs" dxfId="1729" priority="999" operator="between">
      <formula>10.1</formula>
      <formula>10.6</formula>
    </cfRule>
    <cfRule type="cellIs" dxfId="1728" priority="998" operator="between">
      <formula>5</formula>
      <formula>6.9</formula>
    </cfRule>
    <cfRule type="cellIs" dxfId="1727" priority="997" operator="between">
      <formula>2</formula>
      <formula>4.9</formula>
    </cfRule>
    <cfRule type="cellIs" dxfId="1726" priority="996" operator="lessThan">
      <formula>2</formula>
    </cfRule>
    <cfRule type="containsBlanks" dxfId="1725" priority="995" stopIfTrue="1">
      <formula>LEN(TRIM(E584))=0</formula>
    </cfRule>
  </conditionalFormatting>
  <conditionalFormatting sqref="E599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ellIs" dxfId="1724" priority="917" operator="lessThan">
      <formula>2</formula>
    </cfRule>
    <cfRule type="cellIs" dxfId="1723" priority="924" stopIfTrue="1" operator="between">
      <formula>10</formula>
      <formula>10</formula>
    </cfRule>
    <cfRule type="containsBlanks" dxfId="1722" priority="916" stopIfTrue="1">
      <formula>LEN(TRIM(E600))=0</formula>
    </cfRule>
    <cfRule type="cellIs" dxfId="1721" priority="921" operator="between">
      <formula>7</formula>
      <formula>7.9</formula>
    </cfRule>
    <cfRule type="cellIs" dxfId="1720" priority="918" operator="between">
      <formula>2</formula>
      <formula>4.9</formula>
    </cfRule>
    <cfRule type="cellIs" dxfId="1719" priority="919" operator="between">
      <formula>5</formula>
      <formula>6.9</formula>
    </cfRule>
    <cfRule type="cellIs" dxfId="1718" priority="920" operator="between">
      <formula>10.1</formula>
      <formula>10.6</formula>
    </cfRule>
    <cfRule type="cellIs" dxfId="1717" priority="922" stopIfTrue="1" operator="between">
      <formula>8</formula>
      <formula>8.9</formula>
    </cfRule>
    <cfRule type="cellIs" dxfId="1716" priority="923" operator="between">
      <formula>9</formula>
      <formula>9.9</formula>
    </cfRule>
  </conditionalFormatting>
  <conditionalFormatting sqref="E610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ellIs" dxfId="1715" priority="878" operator="between">
      <formula>10.1</formula>
      <formula>10.6</formula>
    </cfRule>
    <cfRule type="cellIs" dxfId="1714" priority="882" stopIfTrue="1" operator="between">
      <formula>10</formula>
      <formula>10</formula>
    </cfRule>
    <cfRule type="cellIs" dxfId="1713" priority="881" operator="between">
      <formula>9</formula>
      <formula>9.9</formula>
    </cfRule>
    <cfRule type="containsBlanks" dxfId="1712" priority="874" stopIfTrue="1">
      <formula>LEN(TRIM(E611))=0</formula>
    </cfRule>
    <cfRule type="cellIs" dxfId="1711" priority="880" stopIfTrue="1" operator="between">
      <formula>8</formula>
      <formula>8.9</formula>
    </cfRule>
    <cfRule type="cellIs" dxfId="1710" priority="879" operator="between">
      <formula>7</formula>
      <formula>7.9</formula>
    </cfRule>
    <cfRule type="cellIs" dxfId="1709" priority="877" operator="between">
      <formula>5</formula>
      <formula>6.9</formula>
    </cfRule>
    <cfRule type="cellIs" dxfId="1708" priority="876" operator="between">
      <formula>2</formula>
      <formula>4.9</formula>
    </cfRule>
    <cfRule type="cellIs" dxfId="1707" priority="875" operator="lessThan">
      <formula>2</formula>
    </cfRule>
  </conditionalFormatting>
  <conditionalFormatting sqref="E623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ellIs" dxfId="1706" priority="833" operator="between">
      <formula>5</formula>
      <formula>6.9</formula>
    </cfRule>
    <cfRule type="containsBlanks" dxfId="1705" priority="830" stopIfTrue="1">
      <formula>LEN(TRIM(E624))=0</formula>
    </cfRule>
    <cfRule type="cellIs" dxfId="1704" priority="834" operator="between">
      <formula>10.1</formula>
      <formula>10.6</formula>
    </cfRule>
    <cfRule type="cellIs" dxfId="1703" priority="835" operator="between">
      <formula>7</formula>
      <formula>7.9</formula>
    </cfRule>
    <cfRule type="cellIs" dxfId="1702" priority="836" stopIfTrue="1" operator="between">
      <formula>8</formula>
      <formula>8.9</formula>
    </cfRule>
    <cfRule type="cellIs" dxfId="1701" priority="837" operator="between">
      <formula>9</formula>
      <formula>9.9</formula>
    </cfRule>
    <cfRule type="cellIs" dxfId="1700" priority="838" stopIfTrue="1" operator="between">
      <formula>10</formula>
      <formula>10</formula>
    </cfRule>
    <cfRule type="cellIs" dxfId="1699" priority="831" operator="lessThan">
      <formula>2</formula>
    </cfRule>
    <cfRule type="cellIs" dxfId="1698" priority="832" operator="between">
      <formula>2</formula>
      <formula>4.9</formula>
    </cfRule>
  </conditionalFormatting>
  <conditionalFormatting sqref="E635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36:E645">
    <cfRule type="cellIs" dxfId="1697" priority="782" operator="between">
      <formula>9</formula>
      <formula>9.9</formula>
    </cfRule>
    <cfRule type="cellIs" dxfId="1696" priority="781" stopIfTrue="1" operator="between">
      <formula>8</formula>
      <formula>8.9</formula>
    </cfRule>
    <cfRule type="cellIs" dxfId="1695" priority="780" operator="between">
      <formula>7</formula>
      <formula>7.9</formula>
    </cfRule>
    <cfRule type="cellIs" dxfId="1694" priority="779" operator="between">
      <formula>10.1</formula>
      <formula>10.6</formula>
    </cfRule>
    <cfRule type="cellIs" dxfId="1693" priority="783" stopIfTrue="1" operator="between">
      <formula>10</formula>
      <formula>10</formula>
    </cfRule>
    <cfRule type="cellIs" dxfId="1692" priority="777" operator="between">
      <formula>2</formula>
      <formula>4.9</formula>
    </cfRule>
    <cfRule type="cellIs" dxfId="1691" priority="776" operator="lessThan">
      <formula>2</formula>
    </cfRule>
    <cfRule type="containsBlanks" dxfId="1690" priority="775" stopIfTrue="1">
      <formula>LEN(TRIM(E636))=0</formula>
    </cfRule>
    <cfRule type="cellIs" dxfId="1689" priority="778" operator="between">
      <formula>5</formula>
      <formula>6.9</formula>
    </cfRule>
  </conditionalFormatting>
  <conditionalFormatting sqref="E647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ellIs" dxfId="1688" priority="721" operator="lessThan">
      <formula>2</formula>
    </cfRule>
    <cfRule type="cellIs" dxfId="1687" priority="724" operator="between">
      <formula>10.1</formula>
      <formula>10.6</formula>
    </cfRule>
    <cfRule type="cellIs" dxfId="1686" priority="728" stopIfTrue="1" operator="between">
      <formula>10</formula>
      <formula>10</formula>
    </cfRule>
    <cfRule type="cellIs" dxfId="1685" priority="722" operator="between">
      <formula>2</formula>
      <formula>4.9</formula>
    </cfRule>
    <cfRule type="cellIs" dxfId="1684" priority="725" operator="between">
      <formula>7</formula>
      <formula>7.9</formula>
    </cfRule>
    <cfRule type="containsBlanks" dxfId="1683" priority="720" stopIfTrue="1">
      <formula>LEN(TRIM(E648))=0</formula>
    </cfRule>
    <cfRule type="cellIs" dxfId="1682" priority="723" operator="between">
      <formula>5</formula>
      <formula>6.9</formula>
    </cfRule>
    <cfRule type="cellIs" dxfId="1681" priority="726" stopIfTrue="1" operator="between">
      <formula>8</formula>
      <formula>8.9</formula>
    </cfRule>
    <cfRule type="cellIs" dxfId="1680" priority="727" operator="between">
      <formula>9</formula>
      <formula>9.9</formula>
    </cfRule>
  </conditionalFormatting>
  <conditionalFormatting sqref="E652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ellIs" dxfId="1679" priority="703" operator="between">
      <formula>7</formula>
      <formula>7.9</formula>
    </cfRule>
    <cfRule type="cellIs" dxfId="1678" priority="704" stopIfTrue="1" operator="between">
      <formula>8</formula>
      <formula>8.9</formula>
    </cfRule>
    <cfRule type="cellIs" dxfId="1677" priority="702" operator="between">
      <formula>10.1</formula>
      <formula>10.6</formula>
    </cfRule>
    <cfRule type="cellIs" dxfId="1676" priority="706" stopIfTrue="1" operator="between">
      <formula>10</formula>
      <formula>10</formula>
    </cfRule>
    <cfRule type="cellIs" dxfId="1675" priority="705" operator="between">
      <formula>9</formula>
      <formula>9.9</formula>
    </cfRule>
    <cfRule type="cellIs" dxfId="1674" priority="701" operator="between">
      <formula>5</formula>
      <formula>6.9</formula>
    </cfRule>
    <cfRule type="containsBlanks" dxfId="1673" priority="698" stopIfTrue="1">
      <formula>LEN(TRIM(E653))=0</formula>
    </cfRule>
    <cfRule type="cellIs" dxfId="1672" priority="699" operator="lessThan">
      <formula>2</formula>
    </cfRule>
    <cfRule type="cellIs" dxfId="1671" priority="700" operator="between">
      <formula>2</formula>
      <formula>4.9</formula>
    </cfRule>
  </conditionalFormatting>
  <conditionalFormatting sqref="E676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77:E685">
    <cfRule type="cellIs" dxfId="1670" priority="601" operator="between">
      <formula>2</formula>
      <formula>4.9</formula>
    </cfRule>
    <cfRule type="cellIs" dxfId="1669" priority="600" operator="lessThan">
      <formula>2</formula>
    </cfRule>
    <cfRule type="cellIs" dxfId="1668" priority="603" operator="between">
      <formula>10.1</formula>
      <formula>10.6</formula>
    </cfRule>
    <cfRule type="cellIs" dxfId="1667" priority="602" operator="between">
      <formula>5</formula>
      <formula>6.9</formula>
    </cfRule>
    <cfRule type="cellIs" dxfId="1666" priority="604" operator="between">
      <formula>7</formula>
      <formula>7.9</formula>
    </cfRule>
    <cfRule type="containsBlanks" dxfId="1665" priority="599" stopIfTrue="1">
      <formula>LEN(TRIM(E677))=0</formula>
    </cfRule>
    <cfRule type="cellIs" dxfId="1664" priority="605" stopIfTrue="1" operator="between">
      <formula>8</formula>
      <formula>8.9</formula>
    </cfRule>
    <cfRule type="cellIs" dxfId="1663" priority="606" operator="between">
      <formula>9</formula>
      <formula>9.9</formula>
    </cfRule>
    <cfRule type="cellIs" dxfId="1662" priority="607" stopIfTrue="1" operator="between">
      <formula>10</formula>
      <formula>10</formula>
    </cfRule>
  </conditionalFormatting>
  <conditionalFormatting sqref="E687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ellIs" dxfId="1661" priority="549" operator="between">
      <formula>7</formula>
      <formula>7.9</formula>
    </cfRule>
    <cfRule type="cellIs" dxfId="1660" priority="552" stopIfTrue="1" operator="between">
      <formula>10</formula>
      <formula>10</formula>
    </cfRule>
    <cfRule type="cellIs" dxfId="1659" priority="551" operator="between">
      <formula>9</formula>
      <formula>9.9</formula>
    </cfRule>
    <cfRule type="cellIs" dxfId="1658" priority="550" stopIfTrue="1" operator="between">
      <formula>8</formula>
      <formula>8.9</formula>
    </cfRule>
    <cfRule type="cellIs" dxfId="1657" priority="548" operator="between">
      <formula>10.1</formula>
      <formula>10.6</formula>
    </cfRule>
    <cfRule type="cellIs" dxfId="1656" priority="547" operator="between">
      <formula>5</formula>
      <formula>6.9</formula>
    </cfRule>
    <cfRule type="containsBlanks" dxfId="1655" priority="544" stopIfTrue="1">
      <formula>LEN(TRIM(E688))=0</formula>
    </cfRule>
    <cfRule type="cellIs" dxfId="1654" priority="545" operator="lessThan">
      <formula>2</formula>
    </cfRule>
    <cfRule type="cellIs" dxfId="1653" priority="546" operator="between">
      <formula>2</formula>
      <formula>4.9</formula>
    </cfRule>
  </conditionalFormatting>
  <conditionalFormatting sqref="E701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ellIs" dxfId="1652" priority="490" operator="lessThan">
      <formula>2</formula>
    </cfRule>
    <cfRule type="containsBlanks" dxfId="1651" priority="489" stopIfTrue="1">
      <formula>LEN(TRIM(E702))=0</formula>
    </cfRule>
    <cfRule type="cellIs" dxfId="1650" priority="491" operator="between">
      <formula>2</formula>
      <formula>4.9</formula>
    </cfRule>
    <cfRule type="cellIs" dxfId="1649" priority="492" operator="between">
      <formula>5</formula>
      <formula>6.9</formula>
    </cfRule>
    <cfRule type="cellIs" dxfId="1648" priority="497" stopIfTrue="1" operator="between">
      <formula>10</formula>
      <formula>10</formula>
    </cfRule>
    <cfRule type="cellIs" dxfId="1647" priority="493" operator="between">
      <formula>10.1</formula>
      <formula>10.6</formula>
    </cfRule>
    <cfRule type="cellIs" dxfId="1646" priority="494" operator="between">
      <formula>7</formula>
      <formula>7.9</formula>
    </cfRule>
    <cfRule type="cellIs" dxfId="1645" priority="495" stopIfTrue="1" operator="between">
      <formula>8</formula>
      <formula>8.9</formula>
    </cfRule>
    <cfRule type="cellIs" dxfId="1644" priority="496" operator="between">
      <formula>9</formula>
      <formula>9.9</formula>
    </cfRule>
  </conditionalFormatting>
  <conditionalFormatting sqref="E711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12:E720">
    <cfRule type="cellIs" dxfId="1643" priority="442" stopIfTrue="1" operator="between">
      <formula>10</formula>
      <formula>10</formula>
    </cfRule>
    <cfRule type="cellIs" dxfId="1642" priority="441" operator="between">
      <formula>9</formula>
      <formula>9.9</formula>
    </cfRule>
    <cfRule type="cellIs" dxfId="1641" priority="439" operator="between">
      <formula>7</formula>
      <formula>7.9</formula>
    </cfRule>
    <cfRule type="cellIs" dxfId="1640" priority="438" operator="between">
      <formula>10.1</formula>
      <formula>10.6</formula>
    </cfRule>
    <cfRule type="cellIs" dxfId="1639" priority="437" operator="between">
      <formula>5</formula>
      <formula>6.9</formula>
    </cfRule>
    <cfRule type="cellIs" dxfId="1638" priority="436" operator="between">
      <formula>2</formula>
      <formula>4.9</formula>
    </cfRule>
    <cfRule type="cellIs" dxfId="1637" priority="435" operator="lessThan">
      <formula>2</formula>
    </cfRule>
    <cfRule type="containsBlanks" dxfId="1636" priority="434" stopIfTrue="1">
      <formula>LEN(TRIM(E712))=0</formula>
    </cfRule>
    <cfRule type="cellIs" dxfId="1635" priority="440" stopIfTrue="1" operator="between">
      <formula>8</formula>
      <formula>8.9</formula>
    </cfRule>
  </conditionalFormatting>
  <conditionalFormatting sqref="E722"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301">
      <colorScale>
        <cfvo type="num" val="5"/>
        <cfvo type="num" val="10"/>
        <color rgb="FFFF494D"/>
        <color rgb="FF00FF66"/>
      </colorScale>
    </cfRule>
    <cfRule type="colorScale" priority="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39:E749">
    <cfRule type="cellIs" dxfId="1634" priority="304" operator="between">
      <formula>2</formula>
      <formula>4.9</formula>
    </cfRule>
    <cfRule type="cellIs" dxfId="1633" priority="308" stopIfTrue="1" operator="between">
      <formula>8</formula>
      <formula>8.9</formula>
    </cfRule>
    <cfRule type="cellIs" dxfId="1632" priority="307" operator="between">
      <formula>7</formula>
      <formula>7.9</formula>
    </cfRule>
    <cfRule type="cellIs" dxfId="1631" priority="310" stopIfTrue="1" operator="between">
      <formula>10</formula>
      <formula>10</formula>
    </cfRule>
    <cfRule type="cellIs" dxfId="1630" priority="309" operator="between">
      <formula>9</formula>
      <formula>9.9</formula>
    </cfRule>
    <cfRule type="cellIs" dxfId="1629" priority="303" operator="lessThan">
      <formula>2</formula>
    </cfRule>
    <cfRule type="containsBlanks" dxfId="1628" priority="302" stopIfTrue="1">
      <formula>LEN(TRIM(E739))=0</formula>
    </cfRule>
    <cfRule type="cellIs" dxfId="1627" priority="306" operator="between">
      <formula>10.1</formula>
      <formula>10.6</formula>
    </cfRule>
    <cfRule type="cellIs" dxfId="1626" priority="305" operator="between">
      <formula>5</formula>
      <formula>6.9</formula>
    </cfRule>
  </conditionalFormatting>
  <conditionalFormatting sqref="E751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E752:E768">
    <cfRule type="cellIs" dxfId="1625" priority="242" stopIfTrue="1" operator="between">
      <formula>8</formula>
      <formula>8.9</formula>
    </cfRule>
    <cfRule type="cellIs" dxfId="1624" priority="239" operator="between">
      <formula>5</formula>
      <formula>6.9</formula>
    </cfRule>
    <cfRule type="cellIs" dxfId="1623" priority="240" operator="between">
      <formula>10.1</formula>
      <formula>10.6</formula>
    </cfRule>
    <cfRule type="cellIs" dxfId="1622" priority="241" operator="between">
      <formula>7</formula>
      <formula>7.9</formula>
    </cfRule>
    <cfRule type="cellIs" dxfId="1621" priority="238" operator="between">
      <formula>2</formula>
      <formula>4.9</formula>
    </cfRule>
    <cfRule type="cellIs" dxfId="1620" priority="243" operator="between">
      <formula>9</formula>
      <formula>9.9</formula>
    </cfRule>
    <cfRule type="cellIs" dxfId="1619" priority="244" stopIfTrue="1" operator="between">
      <formula>10</formula>
      <formula>10</formula>
    </cfRule>
    <cfRule type="cellIs" dxfId="1618" priority="237" operator="lessThan">
      <formula>2</formula>
    </cfRule>
    <cfRule type="containsBlanks" dxfId="1617" priority="236" stopIfTrue="1">
      <formula>LEN(TRIM(E752))=0</formula>
    </cfRule>
  </conditionalFormatting>
  <conditionalFormatting sqref="E770"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ellIs" dxfId="1616" priority="144" operator="between">
      <formula>9</formula>
      <formula>9.9</formula>
    </cfRule>
    <cfRule type="cellIs" dxfId="1615" priority="143" stopIfTrue="1" operator="between">
      <formula>8</formula>
      <formula>8.9</formula>
    </cfRule>
    <cfRule type="cellIs" dxfId="1614" priority="142" operator="between">
      <formula>7</formula>
      <formula>7.9</formula>
    </cfRule>
    <cfRule type="cellIs" dxfId="1613" priority="141" operator="between">
      <formula>10.1</formula>
      <formula>10.6</formula>
    </cfRule>
    <cfRule type="cellIs" dxfId="1612" priority="140" operator="between">
      <formula>5</formula>
      <formula>6.9</formula>
    </cfRule>
    <cfRule type="cellIs" dxfId="1611" priority="139" operator="between">
      <formula>2</formula>
      <formula>4.9</formula>
    </cfRule>
    <cfRule type="cellIs" dxfId="1610" priority="138" operator="lessThan">
      <formula>2</formula>
    </cfRule>
    <cfRule type="containsBlanks" dxfId="1609" priority="137" stopIfTrue="1">
      <formula>LEN(TRIM(E771))=0</formula>
    </cfRule>
    <cfRule type="cellIs" dxfId="1608" priority="145" stopIfTrue="1" operator="between">
      <formula>10</formula>
      <formula>10</formula>
    </cfRule>
  </conditionalFormatting>
  <conditionalFormatting sqref="E780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81:E784">
    <cfRule type="cellIs" dxfId="1607" priority="101" stopIfTrue="1" operator="between">
      <formula>10</formula>
      <formula>10</formula>
    </cfRule>
    <cfRule type="cellIs" dxfId="1606" priority="98" operator="between">
      <formula>7</formula>
      <formula>7.9</formula>
    </cfRule>
    <cfRule type="cellIs" dxfId="1605" priority="99" stopIfTrue="1" operator="between">
      <formula>8</formula>
      <formula>8.9</formula>
    </cfRule>
    <cfRule type="cellIs" dxfId="1604" priority="97" operator="between">
      <formula>10.1</formula>
      <formula>10.6</formula>
    </cfRule>
    <cfRule type="cellIs" dxfId="1603" priority="96" operator="between">
      <formula>5</formula>
      <formula>6.9</formula>
    </cfRule>
    <cfRule type="cellIs" dxfId="1602" priority="95" operator="between">
      <formula>2</formula>
      <formula>4.9</formula>
    </cfRule>
    <cfRule type="cellIs" dxfId="1601" priority="94" operator="lessThan">
      <formula>2</formula>
    </cfRule>
    <cfRule type="containsBlanks" dxfId="1600" priority="93" stopIfTrue="1">
      <formula>LEN(TRIM(E781))=0</formula>
    </cfRule>
    <cfRule type="cellIs" dxfId="1599" priority="100" operator="between">
      <formula>9</formula>
      <formula>9.9</formula>
    </cfRule>
  </conditionalFormatting>
  <conditionalFormatting sqref="E786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787:E802">
    <cfRule type="containsBlanks" dxfId="1598" priority="58" stopIfTrue="1">
      <formula>LEN(TRIM(E787))=0</formula>
    </cfRule>
    <cfRule type="cellIs" dxfId="1597" priority="61" operator="between">
      <formula>5</formula>
      <formula>6.9</formula>
    </cfRule>
    <cfRule type="cellIs" dxfId="1596" priority="60" operator="between">
      <formula>2</formula>
      <formula>4.9</formula>
    </cfRule>
    <cfRule type="cellIs" dxfId="1595" priority="59" operator="lessThan">
      <formula>2</formula>
    </cfRule>
    <cfRule type="cellIs" dxfId="1594" priority="62" operator="between">
      <formula>10.1</formula>
      <formula>10.6</formula>
    </cfRule>
    <cfRule type="cellIs" dxfId="1593" priority="63" operator="between">
      <formula>7</formula>
      <formula>7.9</formula>
    </cfRule>
    <cfRule type="cellIs" dxfId="1592" priority="64" stopIfTrue="1" operator="between">
      <formula>8</formula>
      <formula>8.9</formula>
    </cfRule>
    <cfRule type="cellIs" dxfId="1591" priority="65" operator="between">
      <formula>9</formula>
      <formula>9.9</formula>
    </cfRule>
    <cfRule type="cellIs" dxfId="1590" priority="66" stopIfTrue="1" operator="between">
      <formula>10</formula>
      <formula>10</formula>
    </cfRule>
  </conditionalFormatting>
  <conditionalFormatting sqref="H3:H15">
    <cfRule type="cellIs" dxfId="1589" priority="2339" operator="between">
      <formula>7</formula>
      <formula>7.9</formula>
    </cfRule>
    <cfRule type="cellIs" dxfId="1588" priority="2340" stopIfTrue="1" operator="between">
      <formula>8</formula>
      <formula>8.9</formula>
    </cfRule>
    <cfRule type="cellIs" dxfId="1587" priority="2341" operator="between">
      <formula>9</formula>
      <formula>9.9</formula>
    </cfRule>
    <cfRule type="cellIs" dxfId="1586" priority="2342" stopIfTrue="1" operator="between">
      <formula>10</formula>
      <formula>10</formula>
    </cfRule>
  </conditionalFormatting>
  <conditionalFormatting sqref="H7">
    <cfRule type="cellIs" dxfId="1585" priority="2338" operator="between">
      <formula>10.1</formula>
      <formula>10.6</formula>
    </cfRule>
    <cfRule type="containsBlanks" dxfId="1584" priority="2343" stopIfTrue="1">
      <formula>LEN(TRIM(H7))=0</formula>
    </cfRule>
  </conditionalFormatting>
  <conditionalFormatting sqref="H18:H28">
    <cfRule type="cellIs" dxfId="1583" priority="3333" operator="between">
      <formula>7</formula>
      <formula>7.9</formula>
    </cfRule>
    <cfRule type="cellIs" dxfId="1582" priority="3334" stopIfTrue="1" operator="between">
      <formula>8</formula>
      <formula>8.9</formula>
    </cfRule>
    <cfRule type="cellIs" dxfId="1581" priority="3335" operator="between">
      <formula>9</formula>
      <formula>9.9</formula>
    </cfRule>
    <cfRule type="cellIs" dxfId="1580" priority="3336" stopIfTrue="1" operator="between">
      <formula>10</formula>
      <formula>10</formula>
    </cfRule>
  </conditionalFormatting>
  <conditionalFormatting sqref="H30">
    <cfRule type="colorScale" priority="3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579" priority="3198" operator="between">
      <formula>9</formula>
      <formula>9.9</formula>
    </cfRule>
    <cfRule type="cellIs" dxfId="1578" priority="3197" stopIfTrue="1" operator="between">
      <formula>8</formula>
      <formula>8.9</formula>
    </cfRule>
    <cfRule type="cellIs" dxfId="1577" priority="3196" operator="between">
      <formula>7</formula>
      <formula>7.9</formula>
    </cfRule>
    <cfRule type="cellIs" dxfId="1576" priority="3195" operator="between">
      <formula>10.1</formula>
      <formula>10.6</formula>
    </cfRule>
    <cfRule type="cellIs" dxfId="1575" priority="3199" stopIfTrue="1" operator="between">
      <formula>10</formula>
      <formula>10</formula>
    </cfRule>
    <cfRule type="containsBlanks" dxfId="1574" priority="3200" stopIfTrue="1">
      <formula>LEN(TRIM(H31))=0</formula>
    </cfRule>
  </conditionalFormatting>
  <conditionalFormatting sqref="H47">
    <cfRule type="colorScale" priority="3550">
      <colorScale>
        <cfvo type="num" val="5"/>
        <cfvo type="num" val="10"/>
        <color rgb="FFFF494D"/>
        <color rgb="FF00FF66"/>
      </colorScale>
    </cfRule>
    <cfRule type="colorScale" priority="3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573" priority="3190" operator="between">
      <formula>7</formula>
      <formula>7.9</formula>
    </cfRule>
    <cfRule type="cellIs" dxfId="1572" priority="3192" operator="between">
      <formula>9</formula>
      <formula>9.9</formula>
    </cfRule>
    <cfRule type="containsBlanks" dxfId="1571" priority="3194" stopIfTrue="1">
      <formula>LEN(TRIM(H48))=0</formula>
    </cfRule>
    <cfRule type="cellIs" dxfId="1570" priority="3193" stopIfTrue="1" operator="between">
      <formula>10</formula>
      <formula>10</formula>
    </cfRule>
    <cfRule type="cellIs" dxfId="1569" priority="3189" operator="between">
      <formula>10.1</formula>
      <formula>10.6</formula>
    </cfRule>
    <cfRule type="cellIs" dxfId="1568" priority="3191" stopIfTrue="1" operator="between">
      <formula>8</formula>
      <formula>8.9</formula>
    </cfRule>
  </conditionalFormatting>
  <conditionalFormatting sqref="H57">
    <cfRule type="colorScale" priority="3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ontainsBlanks" dxfId="1567" priority="3067" stopIfTrue="1">
      <formula>LEN(TRIM(H58))=0</formula>
    </cfRule>
    <cfRule type="cellIs" dxfId="1566" priority="3065" operator="between">
      <formula>9</formula>
      <formula>9.9</formula>
    </cfRule>
    <cfRule type="cellIs" dxfId="1565" priority="3062" operator="between">
      <formula>10.1</formula>
      <formula>10.6</formula>
    </cfRule>
    <cfRule type="cellIs" dxfId="1564" priority="3063" operator="between">
      <formula>7</formula>
      <formula>7.9</formula>
    </cfRule>
    <cfRule type="cellIs" dxfId="1563" priority="3061" operator="between">
      <formula>6</formula>
      <formula>6.9</formula>
    </cfRule>
    <cfRule type="cellIs" dxfId="1562" priority="3066" stopIfTrue="1" operator="between">
      <formula>10</formula>
      <formula>10</formula>
    </cfRule>
    <cfRule type="cellIs" dxfId="1561" priority="3064" stopIfTrue="1" operator="between">
      <formula>8</formula>
      <formula>8.9</formula>
    </cfRule>
  </conditionalFormatting>
  <conditionalFormatting sqref="H69">
    <cfRule type="colorScale" priority="3097">
      <colorScale>
        <cfvo type="num" val="5"/>
        <cfvo type="num" val="10"/>
        <color rgb="FFFF494D"/>
        <color rgb="FF00FF66"/>
      </colorScale>
    </cfRule>
    <cfRule type="colorScale" priority="30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560" priority="3090" operator="between">
      <formula>10.1</formula>
      <formula>10.6</formula>
    </cfRule>
    <cfRule type="cellIs" dxfId="1559" priority="3091" operator="between">
      <formula>7</formula>
      <formula>7.9</formula>
    </cfRule>
    <cfRule type="cellIs" dxfId="1558" priority="3092" stopIfTrue="1" operator="between">
      <formula>8</formula>
      <formula>8.9</formula>
    </cfRule>
    <cfRule type="containsBlanks" dxfId="1557" priority="3095" stopIfTrue="1">
      <formula>LEN(TRIM(H70))=0</formula>
    </cfRule>
    <cfRule type="cellIs" dxfId="1556" priority="3094" stopIfTrue="1" operator="between">
      <formula>10</formula>
      <formula>10</formula>
    </cfRule>
    <cfRule type="cellIs" dxfId="1555" priority="3093" operator="between">
      <formula>9</formula>
      <formula>9.9</formula>
    </cfRule>
  </conditionalFormatting>
  <conditionalFormatting sqref="H83">
    <cfRule type="colorScale" priority="3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554" priority="3015" operator="between">
      <formula>10.1</formula>
      <formula>10.6</formula>
    </cfRule>
    <cfRule type="cellIs" dxfId="1553" priority="3019" stopIfTrue="1" operator="between">
      <formula>10</formula>
      <formula>10</formula>
    </cfRule>
    <cfRule type="cellIs" dxfId="1552" priority="3018" operator="between">
      <formula>9</formula>
      <formula>9.9</formula>
    </cfRule>
    <cfRule type="cellIs" dxfId="1551" priority="3014" operator="between">
      <formula>6</formula>
      <formula>6.9</formula>
    </cfRule>
    <cfRule type="containsBlanks" dxfId="1550" priority="3020" stopIfTrue="1">
      <formula>LEN(TRIM(H84))=0</formula>
    </cfRule>
    <cfRule type="cellIs" dxfId="1549" priority="3017" stopIfTrue="1" operator="between">
      <formula>8</formula>
      <formula>8.9</formula>
    </cfRule>
    <cfRule type="cellIs" dxfId="1548" priority="3016" operator="between">
      <formula>7</formula>
      <formula>7.9</formula>
    </cfRule>
  </conditionalFormatting>
  <conditionalFormatting sqref="H97">
    <cfRule type="colorScale" priority="2982">
      <colorScale>
        <cfvo type="num" val="5"/>
        <cfvo type="num" val="10"/>
        <color rgb="FFFF494D"/>
        <color rgb="FF00FF66"/>
      </colorScale>
    </cfRule>
    <cfRule type="colorScale" priority="29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547" priority="2968" stopIfTrue="1" operator="between">
      <formula>8</formula>
      <formula>8.9</formula>
    </cfRule>
    <cfRule type="cellIs" dxfId="1546" priority="2969" operator="between">
      <formula>9</formula>
      <formula>9.9</formula>
    </cfRule>
    <cfRule type="cellIs" dxfId="1545" priority="2970" stopIfTrue="1" operator="between">
      <formula>10</formula>
      <formula>10</formula>
    </cfRule>
    <cfRule type="containsBlanks" dxfId="1544" priority="2971" stopIfTrue="1">
      <formula>LEN(TRIM(H98))=0</formula>
    </cfRule>
    <cfRule type="cellIs" dxfId="1543" priority="2965" operator="between">
      <formula>6</formula>
      <formula>6.9</formula>
    </cfRule>
    <cfRule type="cellIs" dxfId="1542" priority="2966" operator="between">
      <formula>10.1</formula>
      <formula>10.6</formula>
    </cfRule>
    <cfRule type="cellIs" dxfId="1541" priority="2967" operator="between">
      <formula>7</formula>
      <formula>7.9</formula>
    </cfRule>
  </conditionalFormatting>
  <conditionalFormatting sqref="H110">
    <cfRule type="colorScale" priority="2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540" priority="2943" stopIfTrue="1" operator="between">
      <formula>8</formula>
      <formula>8.9</formula>
    </cfRule>
    <cfRule type="cellIs" dxfId="1539" priority="2942" operator="between">
      <formula>7</formula>
      <formula>7.9</formula>
    </cfRule>
    <cfRule type="cellIs" dxfId="1538" priority="2941" operator="between">
      <formula>10.1</formula>
      <formula>10.6</formula>
    </cfRule>
    <cfRule type="cellIs" dxfId="1537" priority="2944" operator="between">
      <formula>9</formula>
      <formula>9.9</formula>
    </cfRule>
    <cfRule type="cellIs" dxfId="1536" priority="2945" stopIfTrue="1" operator="between">
      <formula>10</formula>
      <formula>10</formula>
    </cfRule>
    <cfRule type="containsBlanks" dxfId="1535" priority="2946" stopIfTrue="1">
      <formula>LEN(TRIM(H111))=0</formula>
    </cfRule>
  </conditionalFormatting>
  <conditionalFormatting sqref="H125">
    <cfRule type="colorScale" priority="2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534" priority="2872" operator="between">
      <formula>9</formula>
      <formula>9.9</formula>
    </cfRule>
    <cfRule type="cellIs" dxfId="1533" priority="2870" operator="between">
      <formula>7</formula>
      <formula>7.9</formula>
    </cfRule>
    <cfRule type="cellIs" dxfId="1532" priority="2871" stopIfTrue="1" operator="between">
      <formula>8</formula>
      <formula>8.9</formula>
    </cfRule>
    <cfRule type="cellIs" dxfId="1531" priority="2873" stopIfTrue="1" operator="between">
      <formula>10</formula>
      <formula>10</formula>
    </cfRule>
    <cfRule type="cellIs" dxfId="1530" priority="2868" operator="between">
      <formula>6</formula>
      <formula>6.9</formula>
    </cfRule>
    <cfRule type="cellIs" dxfId="1529" priority="2869" operator="between">
      <formula>10.1</formula>
      <formula>10.6</formula>
    </cfRule>
    <cfRule type="containsBlanks" dxfId="1528" priority="2874" stopIfTrue="1">
      <formula>LEN(TRIM(H126))=0</formula>
    </cfRule>
  </conditionalFormatting>
  <conditionalFormatting sqref="H131">
    <cfRule type="colorScale" priority="2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527" priority="2838" stopIfTrue="1" operator="between">
      <formula>8</formula>
      <formula>8.9</formula>
    </cfRule>
    <cfRule type="cellIs" dxfId="1526" priority="2835" operator="between">
      <formula>6</formula>
      <formula>6.9</formula>
    </cfRule>
    <cfRule type="cellIs" dxfId="1525" priority="2836" operator="between">
      <formula>10.1</formula>
      <formula>10.6</formula>
    </cfRule>
    <cfRule type="cellIs" dxfId="1524" priority="2837" operator="between">
      <formula>7</formula>
      <formula>7.9</formula>
    </cfRule>
    <cfRule type="cellIs" dxfId="1523" priority="2839" operator="between">
      <formula>9</formula>
      <formula>9.9</formula>
    </cfRule>
    <cfRule type="cellIs" dxfId="1522" priority="2840" stopIfTrue="1" operator="between">
      <formula>10</formula>
      <formula>10</formula>
    </cfRule>
    <cfRule type="containsBlanks" dxfId="1521" priority="2841" stopIfTrue="1">
      <formula>LEN(TRIM(H132))=0</formula>
    </cfRule>
  </conditionalFormatting>
  <conditionalFormatting sqref="H149">
    <cfRule type="colorScale" priority="2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520" priority="2765" operator="between">
      <formula>7</formula>
      <formula>7.9</formula>
    </cfRule>
    <cfRule type="cellIs" dxfId="1519" priority="2764" operator="between">
      <formula>10.1</formula>
      <formula>10.6</formula>
    </cfRule>
    <cfRule type="cellIs" dxfId="1518" priority="2763" operator="between">
      <formula>6</formula>
      <formula>6.9</formula>
    </cfRule>
    <cfRule type="cellIs" dxfId="1517" priority="2766" stopIfTrue="1" operator="between">
      <formula>8</formula>
      <formula>8.9</formula>
    </cfRule>
    <cfRule type="cellIs" dxfId="1516" priority="2767" operator="between">
      <formula>9</formula>
      <formula>9.9</formula>
    </cfRule>
    <cfRule type="cellIs" dxfId="1515" priority="2768" stopIfTrue="1" operator="between">
      <formula>10</formula>
      <formula>10</formula>
    </cfRule>
    <cfRule type="containsBlanks" dxfId="1514" priority="2769" stopIfTrue="1">
      <formula>LEN(TRIM(H150))=0</formula>
    </cfRule>
  </conditionalFormatting>
  <conditionalFormatting sqref="H165">
    <cfRule type="colorScale" priority="2710">
      <colorScale>
        <cfvo type="num" val="5"/>
        <cfvo type="num" val="10"/>
        <color rgb="FFFF494D"/>
        <color rgb="FF00FF66"/>
      </colorScale>
    </cfRule>
    <cfRule type="colorScale" priority="27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513" priority="2716" stopIfTrue="1" operator="between">
      <formula>10</formula>
      <formula>10</formula>
    </cfRule>
    <cfRule type="cellIs" dxfId="1512" priority="2711" operator="between">
      <formula>6</formula>
      <formula>6.9</formula>
    </cfRule>
    <cfRule type="cellIs" dxfId="1511" priority="2712" operator="between">
      <formula>10.1</formula>
      <formula>10.6</formula>
    </cfRule>
    <cfRule type="cellIs" dxfId="1510" priority="2713" operator="between">
      <formula>7</formula>
      <formula>7.9</formula>
    </cfRule>
    <cfRule type="cellIs" dxfId="1509" priority="2714" stopIfTrue="1" operator="between">
      <formula>8</formula>
      <formula>8.9</formula>
    </cfRule>
    <cfRule type="cellIs" dxfId="1508" priority="2715" operator="between">
      <formula>9</formula>
      <formula>9.9</formula>
    </cfRule>
    <cfRule type="containsBlanks" dxfId="1507" priority="2717" stopIfTrue="1">
      <formula>LEN(TRIM(H166))=0</formula>
    </cfRule>
  </conditionalFormatting>
  <conditionalFormatting sqref="H177">
    <cfRule type="colorScale" priority="2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1506" priority="2668" stopIfTrue="1">
      <formula>LEN(TRIM(H178))=0</formula>
    </cfRule>
    <cfRule type="cellIs" dxfId="1505" priority="2667" stopIfTrue="1" operator="between">
      <formula>10</formula>
      <formula>10</formula>
    </cfRule>
    <cfRule type="cellIs" dxfId="1504" priority="2666" operator="between">
      <formula>9</formula>
      <formula>9.9</formula>
    </cfRule>
    <cfRule type="cellIs" dxfId="1503" priority="2665" stopIfTrue="1" operator="between">
      <formula>8</formula>
      <formula>8.9</formula>
    </cfRule>
    <cfRule type="cellIs" dxfId="1502" priority="2664" operator="between">
      <formula>7</formula>
      <formula>7.9</formula>
    </cfRule>
    <cfRule type="cellIs" dxfId="1501" priority="2663" operator="between">
      <formula>10.1</formula>
      <formula>10.6</formula>
    </cfRule>
    <cfRule type="cellIs" dxfId="1500" priority="2662" operator="between">
      <formula>6</formula>
      <formula>6.9</formula>
    </cfRule>
  </conditionalFormatting>
  <conditionalFormatting sqref="H191">
    <cfRule type="colorScale" priority="2610">
      <colorScale>
        <cfvo type="num" val="5"/>
        <cfvo type="num" val="10"/>
        <color rgb="FFFF494D"/>
        <color rgb="FF00FF66"/>
      </colorScale>
    </cfRule>
    <cfRule type="colorScale" priority="2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499" priority="2606" operator="between">
      <formula>9</formula>
      <formula>9.9</formula>
    </cfRule>
    <cfRule type="cellIs" dxfId="1498" priority="2603" operator="between">
      <formula>10.1</formula>
      <formula>10.6</formula>
    </cfRule>
    <cfRule type="containsBlanks" dxfId="1497" priority="2608" stopIfTrue="1">
      <formula>LEN(TRIM(H192))=0</formula>
    </cfRule>
    <cfRule type="cellIs" dxfId="1496" priority="2605" stopIfTrue="1" operator="between">
      <formula>8</formula>
      <formula>8.9</formula>
    </cfRule>
    <cfRule type="cellIs" dxfId="1495" priority="2607" stopIfTrue="1" operator="between">
      <formula>10</formula>
      <formula>10</formula>
    </cfRule>
    <cfRule type="cellIs" dxfId="1494" priority="2604" operator="between">
      <formula>7</formula>
      <formula>7.9</formula>
    </cfRule>
    <cfRule type="cellIs" dxfId="1493" priority="2602" operator="between">
      <formula>6</formula>
      <formula>6.9</formula>
    </cfRule>
  </conditionalFormatting>
  <conditionalFormatting sqref="H202">
    <cfRule type="colorScale" priority="2562">
      <colorScale>
        <cfvo type="num" val="5"/>
        <cfvo type="num" val="10"/>
        <color rgb="FFFF494D"/>
        <color rgb="FF00FF66"/>
      </colorScale>
    </cfRule>
    <cfRule type="colorScale" priority="2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1492" priority="2567" operator="between">
      <formula>9</formula>
      <formula>9.9</formula>
    </cfRule>
    <cfRule type="cellIs" dxfId="1491" priority="2568" stopIfTrue="1" operator="between">
      <formula>10</formula>
      <formula>10</formula>
    </cfRule>
    <cfRule type="cellIs" dxfId="1490" priority="2563" operator="between">
      <formula>6</formula>
      <formula>6.9</formula>
    </cfRule>
    <cfRule type="cellIs" dxfId="1489" priority="2565" operator="between">
      <formula>7</formula>
      <formula>7.9</formula>
    </cfRule>
    <cfRule type="cellIs" dxfId="1488" priority="2564" operator="between">
      <formula>10.1</formula>
      <formula>11</formula>
    </cfRule>
    <cfRule type="containsBlanks" dxfId="1487" priority="2569" stopIfTrue="1">
      <formula>LEN(TRIM(H203))=0</formula>
    </cfRule>
    <cfRule type="cellIs" dxfId="1486" priority="2566" stopIfTrue="1" operator="between">
      <formula>8</formula>
      <formula>8.9</formula>
    </cfRule>
  </conditionalFormatting>
  <conditionalFormatting sqref="H215">
    <cfRule type="colorScale" priority="2511">
      <colorScale>
        <cfvo type="num" val="5"/>
        <cfvo type="num" val="10"/>
        <color rgb="FFFF494D"/>
        <color rgb="FF00FF66"/>
      </colorScale>
    </cfRule>
    <cfRule type="colorScale" priority="2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485" priority="2514" operator="between">
      <formula>7</formula>
      <formula>7.9</formula>
    </cfRule>
    <cfRule type="cellIs" dxfId="1484" priority="2513" operator="between">
      <formula>10.1</formula>
      <formula>10.6</formula>
    </cfRule>
    <cfRule type="cellIs" dxfId="1483" priority="2512" operator="between">
      <formula>6</formula>
      <formula>6.9</formula>
    </cfRule>
    <cfRule type="cellIs" dxfId="1482" priority="2515" stopIfTrue="1" operator="between">
      <formula>8</formula>
      <formula>8.9</formula>
    </cfRule>
    <cfRule type="cellIs" dxfId="1481" priority="2516" operator="between">
      <formula>9</formula>
      <formula>9.9</formula>
    </cfRule>
    <cfRule type="cellIs" dxfId="1480" priority="2517" stopIfTrue="1" operator="between">
      <formula>10</formula>
      <formula>10</formula>
    </cfRule>
    <cfRule type="containsBlanks" dxfId="1479" priority="2518" stopIfTrue="1">
      <formula>LEN(TRIM(H216))=0</formula>
    </cfRule>
  </conditionalFormatting>
  <conditionalFormatting sqref="H229">
    <cfRule type="colorScale" priority="2480">
      <colorScale>
        <cfvo type="num" val="5"/>
        <cfvo type="num" val="10"/>
        <color rgb="FFFF494D"/>
        <color rgb="FF00FF66"/>
      </colorScale>
    </cfRule>
    <cfRule type="colorScale" priority="24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478" priority="2473" operator="between">
      <formula>10.1</formula>
      <formula>10.6</formula>
    </cfRule>
    <cfRule type="cellIs" dxfId="1477" priority="2472" operator="between">
      <formula>6</formula>
      <formula>6.9</formula>
    </cfRule>
    <cfRule type="cellIs" dxfId="1476" priority="2477" stopIfTrue="1" operator="between">
      <formula>10</formula>
      <formula>10</formula>
    </cfRule>
    <cfRule type="containsBlanks" dxfId="1475" priority="2478" stopIfTrue="1">
      <formula>LEN(TRIM(H230))=0</formula>
    </cfRule>
    <cfRule type="cellIs" dxfId="1474" priority="2476" operator="between">
      <formula>9</formula>
      <formula>9.9</formula>
    </cfRule>
    <cfRule type="cellIs" dxfId="1473" priority="2474" operator="between">
      <formula>7</formula>
      <formula>7.9</formula>
    </cfRule>
    <cfRule type="cellIs" dxfId="1472" priority="2475" stopIfTrue="1" operator="between">
      <formula>8</formula>
      <formula>8.9</formula>
    </cfRule>
  </conditionalFormatting>
  <conditionalFormatting sqref="H246">
    <cfRule type="colorScale" priority="2421">
      <colorScale>
        <cfvo type="num" val="5"/>
        <cfvo type="num" val="10"/>
        <color rgb="FFFF494D"/>
        <color rgb="FF00FF66"/>
      </colorScale>
    </cfRule>
    <cfRule type="colorScale" priority="2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1471" priority="2428" stopIfTrue="1">
      <formula>LEN(TRIM(H247))=0</formula>
    </cfRule>
    <cfRule type="cellIs" dxfId="1470" priority="2427" stopIfTrue="1" operator="between">
      <formula>10</formula>
      <formula>10</formula>
    </cfRule>
    <cfRule type="cellIs" dxfId="1469" priority="2426" operator="between">
      <formula>9</formula>
      <formula>9.9</formula>
    </cfRule>
    <cfRule type="cellIs" dxfId="1468" priority="2425" stopIfTrue="1" operator="between">
      <formula>8</formula>
      <formula>8.9</formula>
    </cfRule>
    <cfRule type="cellIs" dxfId="1467" priority="2424" operator="between">
      <formula>7</formula>
      <formula>7.9</formula>
    </cfRule>
    <cfRule type="cellIs" dxfId="1466" priority="2423" operator="between">
      <formula>10.1</formula>
      <formula>10.6</formula>
    </cfRule>
    <cfRule type="cellIs" dxfId="1465" priority="2422" operator="between">
      <formula>6</formula>
      <formula>6.9</formula>
    </cfRule>
  </conditionalFormatting>
  <conditionalFormatting sqref="H258">
    <cfRule type="colorScale" priority="2381">
      <colorScale>
        <cfvo type="num" val="5"/>
        <cfvo type="num" val="10"/>
        <color rgb="FFFF494D"/>
        <color rgb="FF00FF66"/>
      </colorScale>
    </cfRule>
    <cfRule type="colorScale" priority="23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464" priority="2383" operator="between">
      <formula>10.1</formula>
      <formula>10.6</formula>
    </cfRule>
    <cfRule type="cellIs" dxfId="1463" priority="2384" operator="between">
      <formula>7</formula>
      <formula>7.9</formula>
    </cfRule>
    <cfRule type="cellIs" dxfId="1462" priority="2385" stopIfTrue="1" operator="between">
      <formula>8</formula>
      <formula>8.9</formula>
    </cfRule>
    <cfRule type="cellIs" dxfId="1461" priority="2386" operator="between">
      <formula>9</formula>
      <formula>9.9</formula>
    </cfRule>
    <cfRule type="cellIs" dxfId="1460" priority="2382" operator="between">
      <formula>6</formula>
      <formula>6.9</formula>
    </cfRule>
    <cfRule type="cellIs" dxfId="1459" priority="2387" stopIfTrue="1" operator="between">
      <formula>10</formula>
      <formula>10</formula>
    </cfRule>
    <cfRule type="containsBlanks" dxfId="1458" priority="2388" stopIfTrue="1">
      <formula>LEN(TRIM(H259))=0</formula>
    </cfRule>
  </conditionalFormatting>
  <conditionalFormatting sqref="H265">
    <cfRule type="colorScale" priority="2352">
      <colorScale>
        <cfvo type="num" val="5"/>
        <cfvo type="num" val="10"/>
        <color rgb="FFFF494D"/>
        <color rgb="FF00FF66"/>
      </colorScale>
    </cfRule>
    <cfRule type="colorScale" priority="2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1457" priority="2350" stopIfTrue="1">
      <formula>LEN(TRIM(H266))=0</formula>
    </cfRule>
    <cfRule type="cellIs" dxfId="1456" priority="2349" stopIfTrue="1" operator="between">
      <formula>10</formula>
      <formula>10</formula>
    </cfRule>
    <cfRule type="cellIs" dxfId="1455" priority="2348" operator="between">
      <formula>9</formula>
      <formula>9.9</formula>
    </cfRule>
    <cfRule type="cellIs" dxfId="1454" priority="2347" stopIfTrue="1" operator="between">
      <formula>8</formula>
      <formula>8.9</formula>
    </cfRule>
    <cfRule type="cellIs" dxfId="1453" priority="2346" operator="between">
      <formula>7</formula>
      <formula>7.9</formula>
    </cfRule>
    <cfRule type="cellIs" dxfId="1452" priority="2345" operator="between">
      <formula>10.1</formula>
      <formula>10.6</formula>
    </cfRule>
    <cfRule type="cellIs" dxfId="1451" priority="2344" operator="between">
      <formula>6</formula>
      <formula>6.9</formula>
    </cfRule>
  </conditionalFormatting>
  <conditionalFormatting sqref="H276">
    <cfRule type="colorScale" priority="2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1450" priority="2326" stopIfTrue="1">
      <formula>LEN(TRIM(H277))=0</formula>
    </cfRule>
    <cfRule type="cellIs" dxfId="1449" priority="2322" operator="between">
      <formula>7</formula>
      <formula>7.9</formula>
    </cfRule>
    <cfRule type="cellIs" dxfId="1448" priority="2320" operator="between">
      <formula>6</formula>
      <formula>6.9</formula>
    </cfRule>
    <cfRule type="cellIs" dxfId="1447" priority="2321" operator="between">
      <formula>10.1</formula>
      <formula>10.6</formula>
    </cfRule>
    <cfRule type="cellIs" dxfId="1446" priority="2325" stopIfTrue="1" operator="between">
      <formula>10</formula>
      <formula>10</formula>
    </cfRule>
    <cfRule type="cellIs" dxfId="1445" priority="2324" operator="between">
      <formula>9</formula>
      <formula>9.9</formula>
    </cfRule>
    <cfRule type="cellIs" dxfId="1444" priority="2323" stopIfTrue="1" operator="between">
      <formula>8</formula>
      <formula>8.9</formula>
    </cfRule>
  </conditionalFormatting>
  <conditionalFormatting sqref="H288">
    <cfRule type="colorScale" priority="2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443" priority="2245" operator="between">
      <formula>6</formula>
      <formula>6.9</formula>
    </cfRule>
    <cfRule type="cellIs" dxfId="1442" priority="2250" stopIfTrue="1" operator="between">
      <formula>10</formula>
      <formula>10</formula>
    </cfRule>
    <cfRule type="cellIs" dxfId="1441" priority="2249" operator="between">
      <formula>9</formula>
      <formula>9.9</formula>
    </cfRule>
    <cfRule type="cellIs" dxfId="1440" priority="2248" stopIfTrue="1" operator="between">
      <formula>8</formula>
      <formula>8.9</formula>
    </cfRule>
    <cfRule type="cellIs" dxfId="1439" priority="2247" operator="between">
      <formula>7</formula>
      <formula>7.9</formula>
    </cfRule>
    <cfRule type="cellIs" dxfId="1438" priority="2246" operator="between">
      <formula>10.1</formula>
      <formula>10.6</formula>
    </cfRule>
    <cfRule type="containsBlanks" dxfId="1437" priority="2251" stopIfTrue="1">
      <formula>LEN(TRIM(H289))=0</formula>
    </cfRule>
  </conditionalFormatting>
  <conditionalFormatting sqref="H296">
    <cfRule type="colorScale" priority="2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436" priority="2236" operator="between">
      <formula>2</formula>
      <formula>4.9</formula>
    </cfRule>
    <cfRule type="cellIs" dxfId="1435" priority="2242" stopIfTrue="1" operator="between">
      <formula>10</formula>
      <formula>10</formula>
    </cfRule>
    <cfRule type="cellIs" dxfId="1434" priority="2238" operator="between">
      <formula>10.1</formula>
      <formula>10.6</formula>
    </cfRule>
    <cfRule type="cellIs" dxfId="1433" priority="2235" operator="lessThan">
      <formula>2</formula>
    </cfRule>
    <cfRule type="containsBlanks" dxfId="1432" priority="2234" stopIfTrue="1">
      <formula>LEN(TRIM(H297))=0</formula>
    </cfRule>
    <cfRule type="cellIs" dxfId="1431" priority="2237" operator="between">
      <formula>5</formula>
      <formula>6.9</formula>
    </cfRule>
    <cfRule type="cellIs" dxfId="1430" priority="2239" operator="between">
      <formula>7</formula>
      <formula>7.9</formula>
    </cfRule>
    <cfRule type="cellIs" dxfId="1429" priority="2240" stopIfTrue="1" operator="between">
      <formula>8</formula>
      <formula>8.9</formula>
    </cfRule>
    <cfRule type="cellIs" dxfId="1428" priority="2241" operator="between">
      <formula>9</formula>
      <formula>9.9</formula>
    </cfRule>
  </conditionalFormatting>
  <conditionalFormatting sqref="H309">
    <cfRule type="colorScale" priority="2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427" priority="2162" operator="lessThan">
      <formula>2</formula>
    </cfRule>
    <cfRule type="cellIs" dxfId="1426" priority="2169" stopIfTrue="1" operator="between">
      <formula>10</formula>
      <formula>10</formula>
    </cfRule>
    <cfRule type="cellIs" dxfId="1425" priority="2168" operator="between">
      <formula>9</formula>
      <formula>9.9</formula>
    </cfRule>
    <cfRule type="cellIs" dxfId="1424" priority="2167" stopIfTrue="1" operator="between">
      <formula>8</formula>
      <formula>8.9</formula>
    </cfRule>
    <cfRule type="cellIs" dxfId="1423" priority="2166" operator="between">
      <formula>7</formula>
      <formula>7.9</formula>
    </cfRule>
    <cfRule type="cellIs" dxfId="1422" priority="2165" operator="between">
      <formula>10.1</formula>
      <formula>10.6</formula>
    </cfRule>
    <cfRule type="cellIs" dxfId="1421" priority="2164" operator="between">
      <formula>5</formula>
      <formula>6.9</formula>
    </cfRule>
    <cfRule type="containsBlanks" dxfId="1420" priority="2161" stopIfTrue="1">
      <formula>LEN(TRIM(H310))=0</formula>
    </cfRule>
    <cfRule type="cellIs" dxfId="1419" priority="2163" operator="between">
      <formula>2</formula>
      <formula>4.9</formula>
    </cfRule>
  </conditionalFormatting>
  <conditionalFormatting sqref="H329">
    <cfRule type="colorScale" priority="2072">
      <colorScale>
        <cfvo type="num" val="5"/>
        <cfvo type="num" val="10"/>
        <color rgb="FFFF494D"/>
        <color rgb="FF00FF66"/>
      </colorScale>
    </cfRule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1418" priority="2062" stopIfTrue="1">
      <formula>LEN(TRIM(H330))=0</formula>
    </cfRule>
    <cfRule type="cellIs" dxfId="1417" priority="2070" stopIfTrue="1" operator="between">
      <formula>10</formula>
      <formula>10</formula>
    </cfRule>
    <cfRule type="cellIs" dxfId="1416" priority="2069" operator="between">
      <formula>9</formula>
      <formula>9.9</formula>
    </cfRule>
    <cfRule type="cellIs" dxfId="1415" priority="2068" stopIfTrue="1" operator="between">
      <formula>8</formula>
      <formula>8.9</formula>
    </cfRule>
    <cfRule type="cellIs" dxfId="1414" priority="2067" operator="between">
      <formula>7</formula>
      <formula>7.9</formula>
    </cfRule>
    <cfRule type="cellIs" dxfId="1413" priority="2066" operator="between">
      <formula>10.1</formula>
      <formula>10.6</formula>
    </cfRule>
    <cfRule type="cellIs" dxfId="1412" priority="2065" operator="between">
      <formula>5</formula>
      <formula>6.9</formula>
    </cfRule>
    <cfRule type="cellIs" dxfId="1411" priority="2064" operator="between">
      <formula>2</formula>
      <formula>4.9</formula>
    </cfRule>
    <cfRule type="cellIs" dxfId="1410" priority="2063" operator="lessThan">
      <formula>2</formula>
    </cfRule>
  </conditionalFormatting>
  <conditionalFormatting sqref="H339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409" priority="2046" operator="between">
      <formula>10.1</formula>
      <formula>10.6</formula>
    </cfRule>
    <cfRule type="cellIs" dxfId="1408" priority="2047" operator="between">
      <formula>7</formula>
      <formula>7.9</formula>
    </cfRule>
    <cfRule type="cellIs" dxfId="1407" priority="2045" operator="between">
      <formula>5</formula>
      <formula>6.9</formula>
    </cfRule>
    <cfRule type="cellIs" dxfId="1406" priority="2044" operator="between">
      <formula>2</formula>
      <formula>4.9</formula>
    </cfRule>
    <cfRule type="cellIs" dxfId="1405" priority="2043" operator="lessThan">
      <formula>2</formula>
    </cfRule>
    <cfRule type="containsBlanks" dxfId="1404" priority="2042" stopIfTrue="1">
      <formula>LEN(TRIM(H340))=0</formula>
    </cfRule>
    <cfRule type="cellIs" dxfId="1403" priority="2048" stopIfTrue="1" operator="between">
      <formula>8</formula>
      <formula>8.9</formula>
    </cfRule>
    <cfRule type="cellIs" dxfId="1402" priority="2049" operator="between">
      <formula>9</formula>
      <formula>9.9</formula>
    </cfRule>
    <cfRule type="cellIs" dxfId="1401" priority="2050" stopIfTrue="1" operator="between">
      <formula>10</formula>
      <formula>10</formula>
    </cfRule>
  </conditionalFormatting>
  <conditionalFormatting sqref="H353">
    <cfRule type="colorScale" priority="2008">
      <colorScale>
        <cfvo type="num" val="5"/>
        <cfvo type="num" val="10"/>
        <color rgb="FFFF494D"/>
        <color rgb="FF00FF66"/>
      </colorScale>
    </cfRule>
    <cfRule type="colorScale" priority="20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1400" priority="2010" operator="lessThan">
      <formula>2</formula>
    </cfRule>
    <cfRule type="containsBlanks" dxfId="1399" priority="2009" stopIfTrue="1">
      <formula>LEN(TRIM(H354))=0</formula>
    </cfRule>
    <cfRule type="cellIs" dxfId="1398" priority="2017" stopIfTrue="1" operator="between">
      <formula>10</formula>
      <formula>10</formula>
    </cfRule>
    <cfRule type="cellIs" dxfId="1397" priority="2016" operator="between">
      <formula>9</formula>
      <formula>9.9</formula>
    </cfRule>
    <cfRule type="cellIs" dxfId="1396" priority="2015" stopIfTrue="1" operator="between">
      <formula>8</formula>
      <formula>8.9</formula>
    </cfRule>
    <cfRule type="cellIs" dxfId="1395" priority="2014" operator="between">
      <formula>7</formula>
      <formula>7.9</formula>
    </cfRule>
    <cfRule type="cellIs" dxfId="1394" priority="2013" operator="between">
      <formula>10.1</formula>
      <formula>10.6</formula>
    </cfRule>
    <cfRule type="cellIs" dxfId="1393" priority="2012" operator="between">
      <formula>5</formula>
      <formula>6.9</formula>
    </cfRule>
    <cfRule type="cellIs" dxfId="1392" priority="2011" operator="between">
      <formula>2</formula>
      <formula>4.9</formula>
    </cfRule>
  </conditionalFormatting>
  <conditionalFormatting sqref="H365">
    <cfRule type="colorScale" priority="1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1391" priority="1971" stopIfTrue="1" operator="between">
      <formula>10</formula>
      <formula>10</formula>
    </cfRule>
    <cfRule type="cellIs" dxfId="1390" priority="1970" operator="between">
      <formula>9</formula>
      <formula>9.9</formula>
    </cfRule>
    <cfRule type="cellIs" dxfId="1389" priority="1969" stopIfTrue="1" operator="between">
      <formula>8</formula>
      <formula>8.9</formula>
    </cfRule>
    <cfRule type="cellIs" dxfId="1388" priority="1968" operator="between">
      <formula>7</formula>
      <formula>7.9</formula>
    </cfRule>
    <cfRule type="cellIs" dxfId="1387" priority="1967" operator="between">
      <formula>10.1</formula>
      <formula>10.6</formula>
    </cfRule>
    <cfRule type="cellIs" dxfId="1386" priority="1966" operator="between">
      <formula>5</formula>
      <formula>6.9</formula>
    </cfRule>
    <cfRule type="cellIs" dxfId="1385" priority="1965" operator="between">
      <formula>2</formula>
      <formula>4.9</formula>
    </cfRule>
    <cfRule type="cellIs" dxfId="1384" priority="1964" operator="lessThan">
      <formula>2</formula>
    </cfRule>
    <cfRule type="containsBlanks" dxfId="1383" priority="1963" stopIfTrue="1">
      <formula>LEN(TRIM(H366))=0</formula>
    </cfRule>
  </conditionalFormatting>
  <conditionalFormatting sqref="H374">
    <cfRule type="colorScale" priority="1925">
      <colorScale>
        <cfvo type="num" val="5"/>
        <cfvo type="num" val="10"/>
        <color rgb="FFFF494D"/>
        <color rgb="FF00FF66"/>
      </colorScale>
    </cfRule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382" priority="1917" operator="between">
      <formula>2</formula>
      <formula>4.9</formula>
    </cfRule>
    <cfRule type="cellIs" dxfId="1381" priority="1916" operator="lessThan">
      <formula>2</formula>
    </cfRule>
    <cfRule type="containsBlanks" dxfId="1380" priority="1915" stopIfTrue="1">
      <formula>LEN(TRIM(H375))=0</formula>
    </cfRule>
    <cfRule type="cellIs" dxfId="1379" priority="1918" operator="between">
      <formula>5</formula>
      <formula>6.9</formula>
    </cfRule>
    <cfRule type="cellIs" dxfId="1378" priority="1919" operator="between">
      <formula>10.1</formula>
      <formula>10.6</formula>
    </cfRule>
    <cfRule type="cellIs" dxfId="1377" priority="1920" operator="between">
      <formula>7</formula>
      <formula>7.9</formula>
    </cfRule>
    <cfRule type="cellIs" dxfId="1376" priority="1921" stopIfTrue="1" operator="between">
      <formula>8</formula>
      <formula>8.9</formula>
    </cfRule>
    <cfRule type="cellIs" dxfId="1375" priority="1922" operator="between">
      <formula>9</formula>
      <formula>9.9</formula>
    </cfRule>
    <cfRule type="cellIs" dxfId="1374" priority="1923" stopIfTrue="1" operator="between">
      <formula>10</formula>
      <formula>10</formula>
    </cfRule>
  </conditionalFormatting>
  <conditionalFormatting sqref="H387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373" priority="1839" stopIfTrue="1">
      <formula>LEN(TRIM(H388))=0</formula>
    </cfRule>
    <cfRule type="cellIs" dxfId="1372" priority="1847" stopIfTrue="1" operator="between">
      <formula>10</formula>
      <formula>10</formula>
    </cfRule>
    <cfRule type="cellIs" dxfId="1371" priority="1846" operator="between">
      <formula>9</formula>
      <formula>9.9</formula>
    </cfRule>
    <cfRule type="cellIs" dxfId="1370" priority="1841" operator="between">
      <formula>2</formula>
      <formula>4.9</formula>
    </cfRule>
    <cfRule type="cellIs" dxfId="1369" priority="1840" operator="lessThan">
      <formula>2</formula>
    </cfRule>
    <cfRule type="cellIs" dxfId="1368" priority="1842" operator="between">
      <formula>5</formula>
      <formula>6.9</formula>
    </cfRule>
    <cfRule type="cellIs" dxfId="1367" priority="1843" operator="between">
      <formula>10.1</formula>
      <formula>10.6</formula>
    </cfRule>
    <cfRule type="cellIs" dxfId="1366" priority="1844" operator="between">
      <formula>7</formula>
      <formula>7.9</formula>
    </cfRule>
    <cfRule type="cellIs" dxfId="1365" priority="1845" stopIfTrue="1" operator="between">
      <formula>8</formula>
      <formula>8.9</formula>
    </cfRule>
  </conditionalFormatting>
  <conditionalFormatting sqref="H401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1364" priority="1769" operator="between">
      <formula>7</formula>
      <formula>7.9</formula>
    </cfRule>
    <cfRule type="cellIs" dxfId="1363" priority="1767" operator="between">
      <formula>5</formula>
      <formula>6.9</formula>
    </cfRule>
    <cfRule type="cellIs" dxfId="1362" priority="1765" operator="lessThan">
      <formula>2</formula>
    </cfRule>
    <cfRule type="cellIs" dxfId="1361" priority="1768" operator="between">
      <formula>10.1</formula>
      <formula>10.6</formula>
    </cfRule>
    <cfRule type="containsBlanks" dxfId="1360" priority="1764" stopIfTrue="1">
      <formula>LEN(TRIM(H402))=0</formula>
    </cfRule>
    <cfRule type="cellIs" dxfId="1359" priority="1766" operator="between">
      <formula>2</formula>
      <formula>4.9</formula>
    </cfRule>
    <cfRule type="cellIs" dxfId="1358" priority="1772" stopIfTrue="1" operator="between">
      <formula>10</formula>
      <formula>10</formula>
    </cfRule>
    <cfRule type="cellIs" dxfId="1357" priority="1771" operator="between">
      <formula>9</formula>
      <formula>9.9</formula>
    </cfRule>
    <cfRule type="cellIs" dxfId="1356" priority="1770" stopIfTrue="1" operator="between">
      <formula>8</formula>
      <formula>8.9</formula>
    </cfRule>
  </conditionalFormatting>
  <conditionalFormatting sqref="H415">
    <cfRule type="colorScale" priority="1705">
      <colorScale>
        <cfvo type="num" val="5"/>
        <cfvo type="num" val="10"/>
        <color rgb="FFFF494D"/>
        <color rgb="FF00FF66"/>
      </colorScale>
    </cfRule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355" priority="1689" operator="between">
      <formula>5</formula>
      <formula>6.9</formula>
    </cfRule>
    <cfRule type="cellIs" dxfId="1354" priority="1690" operator="between">
      <formula>10.1</formula>
      <formula>10.6</formula>
    </cfRule>
    <cfRule type="cellIs" dxfId="1353" priority="1691" operator="between">
      <formula>7</formula>
      <formula>7.9</formula>
    </cfRule>
    <cfRule type="cellIs" dxfId="1352" priority="1692" stopIfTrue="1" operator="between">
      <formula>8</formula>
      <formula>8.9</formula>
    </cfRule>
    <cfRule type="cellIs" dxfId="1351" priority="1693" operator="between">
      <formula>9</formula>
      <formula>9.9</formula>
    </cfRule>
    <cfRule type="cellIs" dxfId="1350" priority="1688" operator="between">
      <formula>2</formula>
      <formula>4.9</formula>
    </cfRule>
    <cfRule type="cellIs" dxfId="1349" priority="1687" operator="lessThan">
      <formula>2</formula>
    </cfRule>
    <cfRule type="containsBlanks" dxfId="1348" priority="1686" stopIfTrue="1">
      <formula>LEN(TRIM(H416))=0</formula>
    </cfRule>
    <cfRule type="cellIs" dxfId="1347" priority="1694" stopIfTrue="1" operator="between">
      <formula>10</formula>
      <formula>10</formula>
    </cfRule>
  </conditionalFormatting>
  <conditionalFormatting sqref="H421"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4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346" priority="1664" stopIfTrue="1">
      <formula>LEN(TRIM(H422))=0</formula>
    </cfRule>
    <cfRule type="cellIs" dxfId="1345" priority="1672" stopIfTrue="1" operator="between">
      <formula>10</formula>
      <formula>10</formula>
    </cfRule>
    <cfRule type="cellIs" dxfId="1344" priority="1666" operator="between">
      <formula>2</formula>
      <formula>4.9</formula>
    </cfRule>
    <cfRule type="cellIs" dxfId="1343" priority="1671" operator="between">
      <formula>9</formula>
      <formula>9.9</formula>
    </cfRule>
    <cfRule type="cellIs" dxfId="1342" priority="1670" stopIfTrue="1" operator="between">
      <formula>8</formula>
      <formula>8.9</formula>
    </cfRule>
    <cfRule type="cellIs" dxfId="1341" priority="1669" operator="between">
      <formula>7</formula>
      <formula>7.9</formula>
    </cfRule>
    <cfRule type="cellIs" dxfId="1340" priority="1668" operator="between">
      <formula>10.1</formula>
      <formula>10.6</formula>
    </cfRule>
    <cfRule type="cellIs" dxfId="1339" priority="1665" operator="lessThan">
      <formula>2</formula>
    </cfRule>
    <cfRule type="cellIs" dxfId="1338" priority="1667" operator="between">
      <formula>5</formula>
      <formula>6.9</formula>
    </cfRule>
  </conditionalFormatting>
  <conditionalFormatting sqref="H434">
    <cfRule type="colorScale" priority="1597">
      <colorScale>
        <cfvo type="num" val="5"/>
        <cfvo type="num" val="10"/>
        <color rgb="FFFF494D"/>
        <color rgb="FF00FF66"/>
      </colorScale>
    </cfRule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1337" priority="1606" stopIfTrue="1" operator="between">
      <formula>10</formula>
      <formula>10</formula>
    </cfRule>
    <cfRule type="cellIs" dxfId="1336" priority="1605" operator="between">
      <formula>9</formula>
      <formula>9.9</formula>
    </cfRule>
    <cfRule type="containsBlanks" dxfId="1335" priority="1598" stopIfTrue="1">
      <formula>LEN(TRIM(H435))=0</formula>
    </cfRule>
    <cfRule type="cellIs" dxfId="1334" priority="1599" operator="lessThan">
      <formula>2</formula>
    </cfRule>
    <cfRule type="cellIs" dxfId="1333" priority="1600" operator="between">
      <formula>2</formula>
      <formula>4.9</formula>
    </cfRule>
    <cfRule type="cellIs" dxfId="1332" priority="1601" operator="between">
      <formula>5</formula>
      <formula>6.9</formula>
    </cfRule>
    <cfRule type="cellIs" dxfId="1331" priority="1602" operator="between">
      <formula>10.1</formula>
      <formula>10.6</formula>
    </cfRule>
    <cfRule type="cellIs" dxfId="1330" priority="1603" operator="between">
      <formula>7</formula>
      <formula>7.9</formula>
    </cfRule>
    <cfRule type="cellIs" dxfId="1329" priority="1604" stopIfTrue="1" operator="between">
      <formula>8</formula>
      <formula>8.9</formula>
    </cfRule>
  </conditionalFormatting>
  <conditionalFormatting sqref="H451">
    <cfRule type="colorScale" priority="1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1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1328" priority="1520" stopIfTrue="1" operator="between">
      <formula>10</formula>
      <formula>10</formula>
    </cfRule>
    <cfRule type="containsBlanks" dxfId="1327" priority="1512" stopIfTrue="1">
      <formula>LEN(TRIM(H452))=0</formula>
    </cfRule>
    <cfRule type="cellIs" dxfId="1326" priority="1513" operator="lessThan">
      <formula>2</formula>
    </cfRule>
    <cfRule type="cellIs" dxfId="1325" priority="1514" operator="between">
      <formula>2</formula>
      <formula>4.9</formula>
    </cfRule>
    <cfRule type="cellIs" dxfId="1324" priority="1515" operator="between">
      <formula>5</formula>
      <formula>6.9</formula>
    </cfRule>
    <cfRule type="cellIs" dxfId="1323" priority="1517" operator="between">
      <formula>7</formula>
      <formula>7.9</formula>
    </cfRule>
    <cfRule type="cellIs" dxfId="1322" priority="1518" stopIfTrue="1" operator="between">
      <formula>8</formula>
      <formula>8.9</formula>
    </cfRule>
    <cfRule type="cellIs" dxfId="1321" priority="1516" operator="between">
      <formula>10.1</formula>
      <formula>10.6</formula>
    </cfRule>
    <cfRule type="cellIs" dxfId="1320" priority="1519" operator="between">
      <formula>9</formula>
      <formula>9.9</formula>
    </cfRule>
  </conditionalFormatting>
  <conditionalFormatting sqref="H467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319" priority="1468" stopIfTrue="1">
      <formula>LEN(TRIM(H468))=0</formula>
    </cfRule>
    <cfRule type="cellIs" dxfId="1318" priority="1469" operator="lessThan">
      <formula>2</formula>
    </cfRule>
    <cfRule type="cellIs" dxfId="1317" priority="1470" operator="between">
      <formula>2</formula>
      <formula>4.9</formula>
    </cfRule>
    <cfRule type="cellIs" dxfId="1316" priority="1471" operator="between">
      <formula>5</formula>
      <formula>6.9</formula>
    </cfRule>
    <cfRule type="cellIs" dxfId="1315" priority="1472" operator="between">
      <formula>10.1</formula>
      <formula>10.6</formula>
    </cfRule>
    <cfRule type="cellIs" dxfId="1314" priority="1473" operator="between">
      <formula>7</formula>
      <formula>7.9</formula>
    </cfRule>
    <cfRule type="cellIs" dxfId="1313" priority="1474" stopIfTrue="1" operator="between">
      <formula>8</formula>
      <formula>8.9</formula>
    </cfRule>
    <cfRule type="cellIs" dxfId="1312" priority="1475" operator="between">
      <formula>9</formula>
      <formula>9.9</formula>
    </cfRule>
    <cfRule type="cellIs" dxfId="1311" priority="1476" stopIfTrue="1" operator="between">
      <formula>10</formula>
      <formula>10</formula>
    </cfRule>
  </conditionalFormatting>
  <conditionalFormatting sqref="H474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310" priority="1435" stopIfTrue="1">
      <formula>LEN(TRIM(H475))=0</formula>
    </cfRule>
    <cfRule type="cellIs" dxfId="1309" priority="1436" operator="lessThan">
      <formula>2</formula>
    </cfRule>
    <cfRule type="cellIs" dxfId="1308" priority="1443" stopIfTrue="1" operator="between">
      <formula>10</formula>
      <formula>10</formula>
    </cfRule>
    <cfRule type="cellIs" dxfId="1307" priority="1442" operator="between">
      <formula>9</formula>
      <formula>9.9</formula>
    </cfRule>
    <cfRule type="cellIs" dxfId="1306" priority="1441" stopIfTrue="1" operator="between">
      <formula>8</formula>
      <formula>8.9</formula>
    </cfRule>
    <cfRule type="cellIs" dxfId="1305" priority="1440" operator="between">
      <formula>7</formula>
      <formula>7.9</formula>
    </cfRule>
    <cfRule type="cellIs" dxfId="1304" priority="1439" operator="between">
      <formula>10.1</formula>
      <formula>10.6</formula>
    </cfRule>
    <cfRule type="cellIs" dxfId="1303" priority="1438" operator="between">
      <formula>5</formula>
      <formula>6.9</formula>
    </cfRule>
    <cfRule type="cellIs" dxfId="1302" priority="1437" operator="between">
      <formula>2</formula>
      <formula>4.9</formula>
    </cfRule>
  </conditionalFormatting>
  <conditionalFormatting sqref="H488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1301" priority="1386" stopIfTrue="1" operator="between">
      <formula>10</formula>
      <formula>10</formula>
    </cfRule>
    <cfRule type="cellIs" dxfId="1300" priority="1385" operator="between">
      <formula>9</formula>
      <formula>9.9</formula>
    </cfRule>
    <cfRule type="cellIs" dxfId="1299" priority="1384" stopIfTrue="1" operator="between">
      <formula>8</formula>
      <formula>8.9</formula>
    </cfRule>
    <cfRule type="cellIs" dxfId="1298" priority="1383" operator="between">
      <formula>7</formula>
      <formula>7.9</formula>
    </cfRule>
    <cfRule type="cellIs" dxfId="1297" priority="1382" operator="between">
      <formula>10.1</formula>
      <formula>10.6</formula>
    </cfRule>
    <cfRule type="cellIs" dxfId="1296" priority="1381" operator="between">
      <formula>5</formula>
      <formula>6.9</formula>
    </cfRule>
    <cfRule type="cellIs" dxfId="1295" priority="1380" operator="between">
      <formula>2</formula>
      <formula>4.9</formula>
    </cfRule>
    <cfRule type="cellIs" dxfId="1294" priority="1379" operator="lessThan">
      <formula>2</formula>
    </cfRule>
    <cfRule type="containsBlanks" dxfId="1293" priority="1378" stopIfTrue="1">
      <formula>LEN(TRIM(H489))=0</formula>
    </cfRule>
  </conditionalFormatting>
  <conditionalFormatting sqref="H500">
    <cfRule type="colorScale" priority="1324">
      <colorScale>
        <cfvo type="num" val="5"/>
        <cfvo type="num" val="10"/>
        <color rgb="FFFF494D"/>
        <color rgb="FF00FF66"/>
      </colorScale>
    </cfRule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1292" priority="1333" stopIfTrue="1" operator="between">
      <formula>10</formula>
      <formula>10</formula>
    </cfRule>
    <cfRule type="cellIs" dxfId="1291" priority="1332" operator="between">
      <formula>9</formula>
      <formula>9.9</formula>
    </cfRule>
    <cfRule type="cellIs" dxfId="1290" priority="1331" stopIfTrue="1" operator="between">
      <formula>8</formula>
      <formula>8.9</formula>
    </cfRule>
    <cfRule type="cellIs" dxfId="1289" priority="1330" operator="between">
      <formula>7</formula>
      <formula>7.9</formula>
    </cfRule>
    <cfRule type="cellIs" dxfId="1288" priority="1329" operator="between">
      <formula>10.1</formula>
      <formula>10.6</formula>
    </cfRule>
    <cfRule type="cellIs" dxfId="1287" priority="1328" operator="between">
      <formula>5</formula>
      <formula>6.9</formula>
    </cfRule>
    <cfRule type="cellIs" dxfId="1286" priority="1327" operator="between">
      <formula>2</formula>
      <formula>4.9</formula>
    </cfRule>
    <cfRule type="cellIs" dxfId="1285" priority="1326" operator="lessThan">
      <formula>2</formula>
    </cfRule>
    <cfRule type="containsBlanks" dxfId="1284" priority="1325" stopIfTrue="1">
      <formula>LEN(TRIM(H501))=0</formula>
    </cfRule>
  </conditionalFormatting>
  <conditionalFormatting sqref="H512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1283" priority="1295" operator="between">
      <formula>5</formula>
      <formula>6.9</formula>
    </cfRule>
    <cfRule type="containsBlanks" dxfId="1282" priority="1292" stopIfTrue="1">
      <formula>LEN(TRIM(H513))=0</formula>
    </cfRule>
    <cfRule type="cellIs" dxfId="1281" priority="1293" operator="lessThan">
      <formula>2</formula>
    </cfRule>
    <cfRule type="cellIs" dxfId="1280" priority="1294" operator="between">
      <formula>2</formula>
      <formula>4.9</formula>
    </cfRule>
    <cfRule type="cellIs" dxfId="1279" priority="1296" operator="between">
      <formula>10.1</formula>
      <formula>10.6</formula>
    </cfRule>
    <cfRule type="cellIs" dxfId="1278" priority="1297" operator="between">
      <formula>7</formula>
      <formula>7.9</formula>
    </cfRule>
    <cfRule type="cellIs" dxfId="1277" priority="1298" stopIfTrue="1" operator="between">
      <formula>8</formula>
      <formula>8.9</formula>
    </cfRule>
    <cfRule type="cellIs" dxfId="1276" priority="1299" operator="between">
      <formula>9</formula>
      <formula>9.9</formula>
    </cfRule>
    <cfRule type="cellIs" dxfId="1275" priority="1300" stopIfTrue="1" operator="between">
      <formula>10</formula>
      <formula>10</formula>
    </cfRule>
  </conditionalFormatting>
  <conditionalFormatting sqref="H521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1274" priority="1243" stopIfTrue="1" operator="between">
      <formula>10</formula>
      <formula>10</formula>
    </cfRule>
    <cfRule type="cellIs" dxfId="1273" priority="1242" operator="between">
      <formula>9</formula>
      <formula>9.9</formula>
    </cfRule>
    <cfRule type="containsBlanks" dxfId="1272" priority="1235" stopIfTrue="1">
      <formula>LEN(TRIM(H522))=0</formula>
    </cfRule>
    <cfRule type="cellIs" dxfId="1271" priority="1236" operator="lessThan">
      <formula>2</formula>
    </cfRule>
    <cfRule type="cellIs" dxfId="1270" priority="1237" operator="between">
      <formula>2</formula>
      <formula>4.9</formula>
    </cfRule>
    <cfRule type="cellIs" dxfId="1269" priority="1238" operator="between">
      <formula>5</formula>
      <formula>6.9</formula>
    </cfRule>
    <cfRule type="cellIs" dxfId="1268" priority="1239" operator="between">
      <formula>10.1</formula>
      <formula>10.6</formula>
    </cfRule>
    <cfRule type="cellIs" dxfId="1267" priority="1240" operator="between">
      <formula>7</formula>
      <formula>7.9</formula>
    </cfRule>
    <cfRule type="cellIs" dxfId="1266" priority="1241" stopIfTrue="1" operator="between">
      <formula>8</formula>
      <formula>8.9</formula>
    </cfRule>
  </conditionalFormatting>
  <conditionalFormatting sqref="H530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265" priority="1182" stopIfTrue="1">
      <formula>LEN(TRIM(H531))=0</formula>
    </cfRule>
    <cfRule type="cellIs" dxfId="1264" priority="1187" operator="between">
      <formula>7</formula>
      <formula>7.9</formula>
    </cfRule>
    <cfRule type="cellIs" dxfId="1263" priority="1188" stopIfTrue="1" operator="between">
      <formula>8</formula>
      <formula>8.9</formula>
    </cfRule>
    <cfRule type="cellIs" dxfId="1262" priority="1189" operator="between">
      <formula>9</formula>
      <formula>9.9</formula>
    </cfRule>
    <cfRule type="cellIs" dxfId="1261" priority="1190" stopIfTrue="1" operator="between">
      <formula>10</formula>
      <formula>10</formula>
    </cfRule>
    <cfRule type="cellIs" dxfId="1260" priority="1183" operator="lessThan">
      <formula>2</formula>
    </cfRule>
    <cfRule type="cellIs" dxfId="1259" priority="1184" operator="between">
      <formula>2</formula>
      <formula>4.9</formula>
    </cfRule>
    <cfRule type="cellIs" dxfId="1258" priority="1186" operator="between">
      <formula>10.1</formula>
      <formula>10.6</formula>
    </cfRule>
    <cfRule type="cellIs" dxfId="1257" priority="1185" operator="between">
      <formula>5</formula>
      <formula>6.9</formula>
    </cfRule>
  </conditionalFormatting>
  <conditionalFormatting sqref="H544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1256" priority="1144" stopIfTrue="1" operator="between">
      <formula>8</formula>
      <formula>8.9</formula>
    </cfRule>
    <cfRule type="cellIs" dxfId="1255" priority="1143" operator="between">
      <formula>7</formula>
      <formula>7.9</formula>
    </cfRule>
    <cfRule type="containsBlanks" dxfId="1254" priority="1138" stopIfTrue="1">
      <formula>LEN(TRIM(H545))=0</formula>
    </cfRule>
    <cfRule type="cellIs" dxfId="1253" priority="1139" operator="lessThan">
      <formula>2</formula>
    </cfRule>
    <cfRule type="cellIs" dxfId="1252" priority="1140" operator="between">
      <formula>2</formula>
      <formula>4.9</formula>
    </cfRule>
    <cfRule type="cellIs" dxfId="1251" priority="1141" operator="between">
      <formula>5</formula>
      <formula>6.9</formula>
    </cfRule>
    <cfRule type="cellIs" dxfId="1250" priority="1142" operator="between">
      <formula>10.1</formula>
      <formula>10.6</formula>
    </cfRule>
    <cfRule type="cellIs" dxfId="1249" priority="1146" stopIfTrue="1" operator="between">
      <formula>10</formula>
      <formula>10</formula>
    </cfRule>
    <cfRule type="cellIs" dxfId="1248" priority="1145" operator="between">
      <formula>9</formula>
      <formula>9.9</formula>
    </cfRule>
  </conditionalFormatting>
  <conditionalFormatting sqref="H562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1247" priority="1065" operator="between">
      <formula>10.1</formula>
      <formula>10.6</formula>
    </cfRule>
    <cfRule type="cellIs" dxfId="1246" priority="1064" operator="between">
      <formula>5</formula>
      <formula>6.9</formula>
    </cfRule>
    <cfRule type="cellIs" dxfId="1245" priority="1063" operator="between">
      <formula>2</formula>
      <formula>4.9</formula>
    </cfRule>
    <cfRule type="cellIs" dxfId="1244" priority="1062" operator="lessThan">
      <formula>2</formula>
    </cfRule>
    <cfRule type="containsBlanks" dxfId="1243" priority="1061" stopIfTrue="1">
      <formula>LEN(TRIM(H563))=0</formula>
    </cfRule>
    <cfRule type="cellIs" dxfId="1242" priority="1066" operator="between">
      <formula>7</formula>
      <formula>7.9</formula>
    </cfRule>
    <cfRule type="cellIs" dxfId="1241" priority="1067" stopIfTrue="1" operator="between">
      <formula>8</formula>
      <formula>8.9</formula>
    </cfRule>
    <cfRule type="cellIs" dxfId="1240" priority="1068" operator="between">
      <formula>9</formula>
      <formula>9.9</formula>
    </cfRule>
    <cfRule type="cellIs" dxfId="1239" priority="1069" stopIfTrue="1" operator="between">
      <formula>10</formula>
      <formula>10</formula>
    </cfRule>
  </conditionalFormatting>
  <conditionalFormatting sqref="H572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1238" priority="1025" stopIfTrue="1" operator="between">
      <formula>10</formula>
      <formula>10</formula>
    </cfRule>
    <cfRule type="cellIs" dxfId="1237" priority="1022" operator="between">
      <formula>7</formula>
      <formula>7.9</formula>
    </cfRule>
    <cfRule type="cellIs" dxfId="1236" priority="1021" operator="between">
      <formula>10.1</formula>
      <formula>10.6</formula>
    </cfRule>
    <cfRule type="cellIs" dxfId="1235" priority="1020" operator="between">
      <formula>5</formula>
      <formula>6.9</formula>
    </cfRule>
    <cfRule type="cellIs" dxfId="1234" priority="1019" operator="between">
      <formula>2</formula>
      <formula>4.9</formula>
    </cfRule>
    <cfRule type="cellIs" dxfId="1233" priority="1024" operator="between">
      <formula>9</formula>
      <formula>9.9</formula>
    </cfRule>
    <cfRule type="cellIs" dxfId="1232" priority="1023" stopIfTrue="1" operator="between">
      <formula>8</formula>
      <formula>8.9</formula>
    </cfRule>
    <cfRule type="cellIs" dxfId="1231" priority="1018" operator="lessThan">
      <formula>2</formula>
    </cfRule>
    <cfRule type="containsBlanks" dxfId="1230" priority="1017" stopIfTrue="1">
      <formula>LEN(TRIM(H573))=0</formula>
    </cfRule>
  </conditionalFormatting>
  <conditionalFormatting sqref="H587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1229" priority="981" stopIfTrue="1" operator="between">
      <formula>10</formula>
      <formula>10</formula>
    </cfRule>
    <cfRule type="containsBlanks" dxfId="1228" priority="973" stopIfTrue="1">
      <formula>LEN(TRIM(H588))=0</formula>
    </cfRule>
    <cfRule type="cellIs" dxfId="1227" priority="974" operator="lessThan">
      <formula>2</formula>
    </cfRule>
    <cfRule type="cellIs" dxfId="1226" priority="975" operator="between">
      <formula>2</formula>
      <formula>4.9</formula>
    </cfRule>
    <cfRule type="cellIs" dxfId="1225" priority="976" operator="between">
      <formula>5</formula>
      <formula>6.9</formula>
    </cfRule>
    <cfRule type="cellIs" dxfId="1224" priority="977" operator="between">
      <formula>10.1</formula>
      <formula>10.6</formula>
    </cfRule>
    <cfRule type="cellIs" dxfId="1223" priority="978" operator="between">
      <formula>7</formula>
      <formula>7.9</formula>
    </cfRule>
    <cfRule type="cellIs" dxfId="1222" priority="979" stopIfTrue="1" operator="between">
      <formula>8</formula>
      <formula>8.9</formula>
    </cfRule>
    <cfRule type="cellIs" dxfId="1221" priority="980" operator="between">
      <formula>9</formula>
      <formula>9.9</formula>
    </cfRule>
  </conditionalFormatting>
  <conditionalFormatting sqref="H596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ellIs" dxfId="1220" priority="945" operator="between">
      <formula>7</formula>
      <formula>7.9</formula>
    </cfRule>
    <cfRule type="cellIs" dxfId="1219" priority="948" stopIfTrue="1" operator="between">
      <formula>10</formula>
      <formula>10</formula>
    </cfRule>
    <cfRule type="cellIs" dxfId="1218" priority="946" stopIfTrue="1" operator="between">
      <formula>8</formula>
      <formula>8.9</formula>
    </cfRule>
    <cfRule type="cellIs" dxfId="1217" priority="947" operator="between">
      <formula>9</formula>
      <formula>9.9</formula>
    </cfRule>
    <cfRule type="containsBlanks" dxfId="1216" priority="940" stopIfTrue="1">
      <formula>LEN(TRIM(H597))=0</formula>
    </cfRule>
    <cfRule type="cellIs" dxfId="1215" priority="944" operator="between">
      <formula>10.1</formula>
      <formula>10.6</formula>
    </cfRule>
    <cfRule type="cellIs" dxfId="1214" priority="941" operator="lessThan">
      <formula>2</formula>
    </cfRule>
    <cfRule type="cellIs" dxfId="1213" priority="942" operator="between">
      <formula>2</formula>
      <formula>4.9</formula>
    </cfRule>
    <cfRule type="cellIs" dxfId="1212" priority="943" operator="between">
      <formula>5</formula>
      <formula>6.9</formula>
    </cfRule>
  </conditionalFormatting>
  <conditionalFormatting sqref="H604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ellIs" dxfId="1211" priority="893" stopIfTrue="1" operator="between">
      <formula>10</formula>
      <formula>10</formula>
    </cfRule>
    <cfRule type="containsBlanks" dxfId="1210" priority="885" stopIfTrue="1">
      <formula>LEN(TRIM(H605))=0</formula>
    </cfRule>
    <cfRule type="cellIs" dxfId="1209" priority="886" operator="lessThan">
      <formula>2</formula>
    </cfRule>
    <cfRule type="cellIs" dxfId="1208" priority="887" operator="between">
      <formula>2</formula>
      <formula>4.9</formula>
    </cfRule>
    <cfRule type="cellIs" dxfId="1207" priority="888" operator="between">
      <formula>5</formula>
      <formula>6.9</formula>
    </cfRule>
    <cfRule type="cellIs" dxfId="1206" priority="889" operator="between">
      <formula>10.1</formula>
      <formula>10.6</formula>
    </cfRule>
    <cfRule type="cellIs" dxfId="1205" priority="890" operator="between">
      <formula>7</formula>
      <formula>7.9</formula>
    </cfRule>
    <cfRule type="cellIs" dxfId="1204" priority="891" stopIfTrue="1" operator="between">
      <formula>8</formula>
      <formula>8.9</formula>
    </cfRule>
    <cfRule type="cellIs" dxfId="1203" priority="892" operator="between">
      <formula>9</formula>
      <formula>9.9</formula>
    </cfRule>
  </conditionalFormatting>
  <conditionalFormatting sqref="H636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1202" priority="772" stopIfTrue="1" operator="between">
      <formula>10</formula>
      <formula>10</formula>
    </cfRule>
    <cfRule type="cellIs" dxfId="1201" priority="765" operator="lessThan">
      <formula>2</formula>
    </cfRule>
    <cfRule type="cellIs" dxfId="1200" priority="766" operator="between">
      <formula>2</formula>
      <formula>4.9</formula>
    </cfRule>
    <cfRule type="cellIs" dxfId="1199" priority="767" operator="between">
      <formula>5</formula>
      <formula>6.9</formula>
    </cfRule>
    <cfRule type="cellIs" dxfId="1198" priority="768" operator="between">
      <formula>10.1</formula>
      <formula>10.6</formula>
    </cfRule>
    <cfRule type="containsBlanks" dxfId="1197" priority="764" stopIfTrue="1">
      <formula>LEN(TRIM(H637))=0</formula>
    </cfRule>
    <cfRule type="cellIs" dxfId="1196" priority="769" operator="between">
      <formula>7</formula>
      <formula>7.9</formula>
    </cfRule>
    <cfRule type="cellIs" dxfId="1195" priority="770" stopIfTrue="1" operator="between">
      <formula>8</formula>
      <formula>8.9</formula>
    </cfRule>
    <cfRule type="cellIs" dxfId="1194" priority="771" operator="between">
      <formula>9</formula>
      <formula>9.9</formula>
    </cfRule>
  </conditionalFormatting>
  <conditionalFormatting sqref="H646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ellIs" dxfId="1193" priority="739" stopIfTrue="1" operator="between">
      <formula>10</formula>
      <formula>10</formula>
    </cfRule>
    <cfRule type="cellIs" dxfId="1192" priority="738" operator="between">
      <formula>9</formula>
      <formula>9.9</formula>
    </cfRule>
    <cfRule type="cellIs" dxfId="1191" priority="737" stopIfTrue="1" operator="between">
      <formula>8</formula>
      <formula>8.9</formula>
    </cfRule>
    <cfRule type="containsBlanks" dxfId="1190" priority="731" stopIfTrue="1">
      <formula>LEN(TRIM(H647))=0</formula>
    </cfRule>
    <cfRule type="cellIs" dxfId="1189" priority="732" operator="lessThan">
      <formula>2</formula>
    </cfRule>
    <cfRule type="cellIs" dxfId="1188" priority="733" operator="between">
      <formula>2</formula>
      <formula>4.9</formula>
    </cfRule>
    <cfRule type="cellIs" dxfId="1187" priority="734" operator="between">
      <formula>5</formula>
      <formula>6.9</formula>
    </cfRule>
    <cfRule type="cellIs" dxfId="1186" priority="736" operator="between">
      <formula>7</formula>
      <formula>7.9</formula>
    </cfRule>
    <cfRule type="cellIs" dxfId="1185" priority="735" operator="between">
      <formula>10.1</formula>
      <formula>10.6</formula>
    </cfRule>
  </conditionalFormatting>
  <conditionalFormatting sqref="H657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ellIs" dxfId="1184" priority="694" operator="between">
      <formula>9</formula>
      <formula>9.9</formula>
    </cfRule>
    <cfRule type="containsBlanks" dxfId="1183" priority="687" stopIfTrue="1">
      <formula>LEN(TRIM(H658))=0</formula>
    </cfRule>
    <cfRule type="cellIs" dxfId="1182" priority="688" operator="lessThan">
      <formula>2</formula>
    </cfRule>
    <cfRule type="cellIs" dxfId="1181" priority="690" operator="between">
      <formula>5</formula>
      <formula>6.9</formula>
    </cfRule>
    <cfRule type="cellIs" dxfId="1180" priority="691" operator="between">
      <formula>10.1</formula>
      <formula>10.6</formula>
    </cfRule>
    <cfRule type="cellIs" dxfId="1179" priority="692" operator="between">
      <formula>7</formula>
      <formula>7.9</formula>
    </cfRule>
    <cfRule type="cellIs" dxfId="1178" priority="693" stopIfTrue="1" operator="between">
      <formula>8</formula>
      <formula>8.9</formula>
    </cfRule>
    <cfRule type="cellIs" dxfId="1177" priority="689" operator="between">
      <formula>2</formula>
      <formula>4.9</formula>
    </cfRule>
    <cfRule type="cellIs" dxfId="1176" priority="695" stopIfTrue="1" operator="between">
      <formula>10</formula>
      <formula>10</formula>
    </cfRule>
  </conditionalFormatting>
  <conditionalFormatting sqref="H670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ellIs" dxfId="1175" priority="629" stopIfTrue="1" operator="between">
      <formula>10</formula>
      <formula>10</formula>
    </cfRule>
    <cfRule type="cellIs" dxfId="1174" priority="628" operator="between">
      <formula>9</formula>
      <formula>9.9</formula>
    </cfRule>
    <cfRule type="cellIs" dxfId="1173" priority="627" stopIfTrue="1" operator="between">
      <formula>8</formula>
      <formula>8.9</formula>
    </cfRule>
    <cfRule type="cellIs" dxfId="1172" priority="626" operator="between">
      <formula>7</formula>
      <formula>7.9</formula>
    </cfRule>
    <cfRule type="containsBlanks" dxfId="1171" priority="621" stopIfTrue="1">
      <formula>LEN(TRIM(H671))=0</formula>
    </cfRule>
    <cfRule type="cellIs" dxfId="1170" priority="622" operator="lessThan">
      <formula>2</formula>
    </cfRule>
    <cfRule type="cellIs" dxfId="1169" priority="623" operator="between">
      <formula>2</formula>
      <formula>4.9</formula>
    </cfRule>
    <cfRule type="cellIs" dxfId="1168" priority="625" operator="between">
      <formula>10.1</formula>
      <formula>10.6</formula>
    </cfRule>
    <cfRule type="cellIs" dxfId="1167" priority="624" operator="between">
      <formula>5</formula>
      <formula>6.9</formula>
    </cfRule>
  </conditionalFormatting>
  <conditionalFormatting sqref="H681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ellIs" dxfId="1166" priority="571" operator="between">
      <formula>7</formula>
      <formula>7.9</formula>
    </cfRule>
    <cfRule type="containsBlanks" dxfId="1165" priority="566" stopIfTrue="1">
      <formula>LEN(TRIM(H682))=0</formula>
    </cfRule>
    <cfRule type="cellIs" dxfId="1164" priority="572" stopIfTrue="1" operator="between">
      <formula>8</formula>
      <formula>8.9</formula>
    </cfRule>
    <cfRule type="cellIs" dxfId="1163" priority="570" operator="between">
      <formula>10.1</formula>
      <formula>10.6</formula>
    </cfRule>
    <cfRule type="cellIs" dxfId="1162" priority="569" operator="between">
      <formula>5</formula>
      <formula>6.9</formula>
    </cfRule>
    <cfRule type="cellIs" dxfId="1161" priority="574" stopIfTrue="1" operator="between">
      <formula>10</formula>
      <formula>10</formula>
    </cfRule>
    <cfRule type="cellIs" dxfId="1160" priority="568" operator="between">
      <formula>2</formula>
      <formula>4.9</formula>
    </cfRule>
    <cfRule type="cellIs" dxfId="1159" priority="567" operator="lessThan">
      <formula>2</formula>
    </cfRule>
    <cfRule type="cellIs" dxfId="1158" priority="573" operator="between">
      <formula>9</formula>
      <formula>9.9</formula>
    </cfRule>
  </conditionalFormatting>
  <conditionalFormatting sqref="H685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157" priority="553" stopIfTrue="1">
      <formula>LEN(TRIM(H686))=0</formula>
    </cfRule>
    <cfRule type="cellIs" dxfId="1156" priority="554" operator="lessThan">
      <formula>2</formula>
    </cfRule>
    <cfRule type="cellIs" dxfId="1155" priority="555" operator="between">
      <formula>2</formula>
      <formula>4.9</formula>
    </cfRule>
    <cfRule type="cellIs" dxfId="1154" priority="556" operator="between">
      <formula>5</formula>
      <formula>6.9</formula>
    </cfRule>
    <cfRule type="cellIs" dxfId="1153" priority="557" operator="between">
      <formula>10.1</formula>
      <formula>10.6</formula>
    </cfRule>
    <cfRule type="cellIs" dxfId="1152" priority="558" operator="between">
      <formula>7</formula>
      <formula>7.9</formula>
    </cfRule>
    <cfRule type="cellIs" dxfId="1151" priority="559" stopIfTrue="1" operator="between">
      <formula>8</formula>
      <formula>8.9</formula>
    </cfRule>
    <cfRule type="cellIs" dxfId="1150" priority="560" operator="between">
      <formula>9</formula>
      <formula>9.9</formula>
    </cfRule>
    <cfRule type="cellIs" dxfId="1149" priority="561" stopIfTrue="1" operator="between">
      <formula>10</formula>
      <formula>10</formula>
    </cfRule>
  </conditionalFormatting>
  <conditionalFormatting sqref="H696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97:H705">
    <cfRule type="cellIs" dxfId="1148" priority="503" operator="between">
      <formula>5</formula>
      <formula>6.9</formula>
    </cfRule>
    <cfRule type="containsBlanks" dxfId="1147" priority="500" stopIfTrue="1">
      <formula>LEN(TRIM(H697))=0</formula>
    </cfRule>
    <cfRule type="cellIs" dxfId="1146" priority="501" operator="lessThan">
      <formula>2</formula>
    </cfRule>
    <cfRule type="cellIs" dxfId="1145" priority="502" operator="between">
      <formula>2</formula>
      <formula>4.9</formula>
    </cfRule>
    <cfRule type="cellIs" dxfId="1144" priority="504" operator="between">
      <formula>10.1</formula>
      <formula>10.6</formula>
    </cfRule>
    <cfRule type="cellIs" dxfId="1143" priority="505" operator="between">
      <formula>7</formula>
      <formula>7.9</formula>
    </cfRule>
    <cfRule type="cellIs" dxfId="1142" priority="506" stopIfTrue="1" operator="between">
      <formula>8</formula>
      <formula>8.9</formula>
    </cfRule>
    <cfRule type="cellIs" dxfId="1141" priority="507" operator="between">
      <formula>9</formula>
      <formula>9.9</formula>
    </cfRule>
    <cfRule type="cellIs" dxfId="1140" priority="508" stopIfTrue="1" operator="between">
      <formula>10</formula>
      <formula>10</formula>
    </cfRule>
  </conditionalFormatting>
  <conditionalFormatting sqref="H707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ellIs" dxfId="1139" priority="452" operator="between">
      <formula>9</formula>
      <formula>9.9</formula>
    </cfRule>
    <cfRule type="cellIs" dxfId="1138" priority="449" operator="between">
      <formula>10.1</formula>
      <formula>10.6</formula>
    </cfRule>
    <cfRule type="cellIs" dxfId="1137" priority="448" operator="between">
      <formula>5</formula>
      <formula>6.9</formula>
    </cfRule>
    <cfRule type="cellIs" dxfId="1136" priority="447" operator="between">
      <formula>2</formula>
      <formula>4.9</formula>
    </cfRule>
    <cfRule type="cellIs" dxfId="1135" priority="451" stopIfTrue="1" operator="between">
      <formula>8</formula>
      <formula>8.9</formula>
    </cfRule>
    <cfRule type="containsBlanks" dxfId="1134" priority="445" stopIfTrue="1">
      <formula>LEN(TRIM(H708))=0</formula>
    </cfRule>
    <cfRule type="cellIs" dxfId="1133" priority="446" operator="lessThan">
      <formula>2</formula>
    </cfRule>
    <cfRule type="cellIs" dxfId="1132" priority="450" operator="between">
      <formula>7</formula>
      <formula>7.9</formula>
    </cfRule>
    <cfRule type="cellIs" dxfId="1131" priority="453" stopIfTrue="1" operator="between">
      <formula>10</formula>
      <formula>10</formula>
    </cfRule>
  </conditionalFormatting>
  <conditionalFormatting sqref="H718"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1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ellIs" dxfId="1130" priority="420" stopIfTrue="1" operator="between">
      <formula>10</formula>
      <formula>10</formula>
    </cfRule>
    <cfRule type="cellIs" dxfId="1129" priority="419" operator="between">
      <formula>9</formula>
      <formula>9.9</formula>
    </cfRule>
    <cfRule type="cellIs" dxfId="1128" priority="418" stopIfTrue="1" operator="between">
      <formula>8</formula>
      <formula>8.9</formula>
    </cfRule>
    <cfRule type="cellIs" dxfId="1127" priority="417" operator="between">
      <formula>7</formula>
      <formula>7.9</formula>
    </cfRule>
    <cfRule type="cellIs" dxfId="1126" priority="416" operator="between">
      <formula>10.1</formula>
      <formula>10.6</formula>
    </cfRule>
    <cfRule type="cellIs" dxfId="1125" priority="415" operator="between">
      <formula>5</formula>
      <formula>6.9</formula>
    </cfRule>
    <cfRule type="cellIs" dxfId="1124" priority="414" operator="between">
      <formula>2</formula>
      <formula>4.9</formula>
    </cfRule>
    <cfRule type="cellIs" dxfId="1123" priority="413" operator="lessThan">
      <formula>2</formula>
    </cfRule>
    <cfRule type="containsBlanks" dxfId="1122" priority="412" stopIfTrue="1">
      <formula>LEN(TRIM(H719))=0</formula>
    </cfRule>
  </conditionalFormatting>
  <conditionalFormatting sqref="H728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29:H739">
    <cfRule type="cellIs" dxfId="1121" priority="338" operator="between">
      <formula>5</formula>
      <formula>6.9</formula>
    </cfRule>
    <cfRule type="cellIs" dxfId="1120" priority="337" operator="between">
      <formula>2</formula>
      <formula>4.9</formula>
    </cfRule>
    <cfRule type="cellIs" dxfId="1119" priority="336" operator="lessThan">
      <formula>2</formula>
    </cfRule>
    <cfRule type="cellIs" dxfId="1118" priority="339" operator="between">
      <formula>10.1</formula>
      <formula>10.6</formula>
    </cfRule>
    <cfRule type="containsBlanks" dxfId="1117" priority="335" stopIfTrue="1">
      <formula>LEN(TRIM(H729))=0</formula>
    </cfRule>
    <cfRule type="cellIs" dxfId="1116" priority="342" operator="between">
      <formula>9</formula>
      <formula>9.9</formula>
    </cfRule>
    <cfRule type="cellIs" dxfId="1115" priority="341" stopIfTrue="1" operator="between">
      <formula>8</formula>
      <formula>8.9</formula>
    </cfRule>
    <cfRule type="cellIs" dxfId="1114" priority="340" operator="between">
      <formula>7</formula>
      <formula>7.9</formula>
    </cfRule>
    <cfRule type="cellIs" dxfId="1113" priority="343" stopIfTrue="1" operator="between">
      <formula>10</formula>
      <formula>10</formula>
    </cfRule>
  </conditionalFormatting>
  <conditionalFormatting sqref="H741">
    <cfRule type="colorScale" priority="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ontainsBlanks" dxfId="1112" priority="280" stopIfTrue="1">
      <formula>LEN(TRIM(H742))=0</formula>
    </cfRule>
    <cfRule type="cellIs" dxfId="1111" priority="285" operator="between">
      <formula>7</formula>
      <formula>7.9</formula>
    </cfRule>
    <cfRule type="cellIs" dxfId="1110" priority="282" operator="between">
      <formula>2</formula>
      <formula>4.9</formula>
    </cfRule>
    <cfRule type="cellIs" dxfId="1109" priority="288" stopIfTrue="1" operator="between">
      <formula>10</formula>
      <formula>10</formula>
    </cfRule>
    <cfRule type="cellIs" dxfId="1108" priority="287" operator="between">
      <formula>9</formula>
      <formula>9.9</formula>
    </cfRule>
    <cfRule type="cellIs" dxfId="1107" priority="286" stopIfTrue="1" operator="between">
      <formula>8</formula>
      <formula>8.9</formula>
    </cfRule>
    <cfRule type="cellIs" dxfId="1106" priority="283" operator="between">
      <formula>5</formula>
      <formula>6.9</formula>
    </cfRule>
    <cfRule type="cellIs" dxfId="1105" priority="284" operator="between">
      <formula>10.1</formula>
      <formula>10.6</formula>
    </cfRule>
    <cfRule type="cellIs" dxfId="1104" priority="281" operator="lessThan">
      <formula>2</formula>
    </cfRule>
  </conditionalFormatting>
  <conditionalFormatting sqref="H754"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ellIs" dxfId="1103" priority="218" operator="between">
      <formula>10.1</formula>
      <formula>10.6</formula>
    </cfRule>
    <cfRule type="cellIs" dxfId="1102" priority="220" stopIfTrue="1" operator="between">
      <formula>8</formula>
      <formula>8.9</formula>
    </cfRule>
    <cfRule type="cellIs" dxfId="1101" priority="221" operator="between">
      <formula>9</formula>
      <formula>9.9</formula>
    </cfRule>
    <cfRule type="cellIs" dxfId="1100" priority="222" stopIfTrue="1" operator="between">
      <formula>10</formula>
      <formula>10</formula>
    </cfRule>
    <cfRule type="cellIs" dxfId="1099" priority="216" operator="between">
      <formula>2</formula>
      <formula>4.9</formula>
    </cfRule>
    <cfRule type="cellIs" dxfId="1098" priority="219" operator="between">
      <formula>7</formula>
      <formula>7.9</formula>
    </cfRule>
    <cfRule type="cellIs" dxfId="1097" priority="215" operator="lessThan">
      <formula>2</formula>
    </cfRule>
    <cfRule type="cellIs" dxfId="1096" priority="217" operator="between">
      <formula>5</formula>
      <formula>6.9</formula>
    </cfRule>
    <cfRule type="containsBlanks" dxfId="1095" priority="214" stopIfTrue="1">
      <formula>LEN(TRIM(H755))=0</formula>
    </cfRule>
  </conditionalFormatting>
  <conditionalFormatting sqref="H764">
    <cfRule type="colorScale" priority="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ellIs" dxfId="1094" priority="178" stopIfTrue="1" operator="between">
      <formula>10</formula>
      <formula>10</formula>
    </cfRule>
    <cfRule type="cellIs" dxfId="1093" priority="177" operator="between">
      <formula>9</formula>
      <formula>9.9</formula>
    </cfRule>
    <cfRule type="cellIs" dxfId="1092" priority="176" stopIfTrue="1" operator="between">
      <formula>8</formula>
      <formula>8.9</formula>
    </cfRule>
    <cfRule type="cellIs" dxfId="1091" priority="175" operator="between">
      <formula>7</formula>
      <formula>7.9</formula>
    </cfRule>
    <cfRule type="cellIs" dxfId="1090" priority="174" operator="between">
      <formula>10.1</formula>
      <formula>10.6</formula>
    </cfRule>
    <cfRule type="containsBlanks" dxfId="1089" priority="170" stopIfTrue="1">
      <formula>LEN(TRIM(H765))=0</formula>
    </cfRule>
    <cfRule type="cellIs" dxfId="1088" priority="171" operator="lessThan">
      <formula>2</formula>
    </cfRule>
    <cfRule type="cellIs" dxfId="1087" priority="173" operator="between">
      <formula>5</formula>
      <formula>6.9</formula>
    </cfRule>
    <cfRule type="cellIs" dxfId="1086" priority="172" operator="between">
      <formula>2</formula>
      <formula>4.9</formula>
    </cfRule>
  </conditionalFormatting>
  <conditionalFormatting sqref="H778">
    <cfRule type="colorScale" priority="103">
      <colorScale>
        <cfvo type="num" val="5"/>
        <cfvo type="num" val="10"/>
        <color rgb="FFFF494D"/>
        <color rgb="FF00FF66"/>
      </colorScale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79:H784">
    <cfRule type="cellIs" dxfId="1085" priority="111" operator="between">
      <formula>9</formula>
      <formula>9.9</formula>
    </cfRule>
    <cfRule type="cellIs" dxfId="1084" priority="106" operator="between">
      <formula>2</formula>
      <formula>4.9</formula>
    </cfRule>
    <cfRule type="cellIs" dxfId="1083" priority="110" stopIfTrue="1" operator="between">
      <formula>8</formula>
      <formula>8.9</formula>
    </cfRule>
    <cfRule type="cellIs" dxfId="1082" priority="109" operator="between">
      <formula>7</formula>
      <formula>7.9</formula>
    </cfRule>
    <cfRule type="cellIs" dxfId="1081" priority="108" operator="between">
      <formula>10.1</formula>
      <formula>10.6</formula>
    </cfRule>
    <cfRule type="cellIs" dxfId="1080" priority="112" stopIfTrue="1" operator="between">
      <formula>10</formula>
      <formula>10</formula>
    </cfRule>
    <cfRule type="cellIs" dxfId="1079" priority="107" operator="between">
      <formula>5</formula>
      <formula>6.9</formula>
    </cfRule>
    <cfRule type="containsBlanks" dxfId="1078" priority="104" stopIfTrue="1">
      <formula>LEN(TRIM(H779))=0</formula>
    </cfRule>
    <cfRule type="cellIs" dxfId="1077" priority="105" operator="lessThan">
      <formula>2</formula>
    </cfRule>
  </conditionalFormatting>
  <conditionalFormatting sqref="H786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787:H805">
    <cfRule type="cellIs" dxfId="1076" priority="44" stopIfTrue="1" operator="between">
      <formula>10</formula>
      <formula>10</formula>
    </cfRule>
    <cfRule type="cellIs" dxfId="1075" priority="43" operator="between">
      <formula>9</formula>
      <formula>9.9</formula>
    </cfRule>
    <cfRule type="containsBlanks" dxfId="1074" priority="36" stopIfTrue="1">
      <formula>LEN(TRIM(H787))=0</formula>
    </cfRule>
    <cfRule type="cellIs" dxfId="1073" priority="42" stopIfTrue="1" operator="between">
      <formula>8</formula>
      <formula>8.9</formula>
    </cfRule>
    <cfRule type="cellIs" dxfId="1072" priority="41" operator="between">
      <formula>7</formula>
      <formula>7.9</formula>
    </cfRule>
    <cfRule type="cellIs" dxfId="1071" priority="40" operator="between">
      <formula>10.1</formula>
      <formula>10.6</formula>
    </cfRule>
    <cfRule type="cellIs" dxfId="1070" priority="39" operator="between">
      <formula>5</formula>
      <formula>6.9</formula>
    </cfRule>
    <cfRule type="cellIs" dxfId="1069" priority="38" operator="between">
      <formula>2</formula>
      <formula>4.9</formula>
    </cfRule>
    <cfRule type="cellIs" dxfId="1068" priority="37" operator="lessThan">
      <formula>2</formula>
    </cfRule>
  </conditionalFormatting>
  <conditionalFormatting sqref="K3:K12">
    <cfRule type="cellIs" dxfId="1067" priority="3234" operator="between">
      <formula>9</formula>
      <formula>9.9</formula>
    </cfRule>
    <cfRule type="cellIs" dxfId="1066" priority="3231" operator="between">
      <formula>10.1</formula>
      <formula>10.6</formula>
    </cfRule>
    <cfRule type="cellIs" dxfId="1065" priority="3232" operator="between">
      <formula>7</formula>
      <formula>7.9</formula>
    </cfRule>
    <cfRule type="cellIs" dxfId="1064" priority="3235" stopIfTrue="1" operator="between">
      <formula>10</formula>
      <formula>10</formula>
    </cfRule>
    <cfRule type="containsBlanks" dxfId="1063" priority="3236" stopIfTrue="1">
      <formula>LEN(TRIM(K3))=0</formula>
    </cfRule>
    <cfRule type="cellIs" dxfId="1062" priority="3233" stopIfTrue="1" operator="between">
      <formula>8</formula>
      <formula>8.9</formula>
    </cfRule>
  </conditionalFormatting>
  <conditionalFormatting sqref="K15:K23">
    <cfRule type="cellIs" dxfId="1061" priority="2640" stopIfTrue="1" operator="between">
      <formula>8</formula>
      <formula>8.9</formula>
    </cfRule>
    <cfRule type="cellIs" dxfId="1060" priority="2641" operator="between">
      <formula>9</formula>
      <formula>9.9</formula>
    </cfRule>
    <cfRule type="cellIs" dxfId="1059" priority="2642" stopIfTrue="1" operator="between">
      <formula>10</formula>
      <formula>10</formula>
    </cfRule>
    <cfRule type="cellIs" dxfId="1058" priority="2639" operator="between">
      <formula>7</formula>
      <formula>7.9</formula>
    </cfRule>
  </conditionalFormatting>
  <conditionalFormatting sqref="K23">
    <cfRule type="containsBlanks" dxfId="1057" priority="2643" stopIfTrue="1">
      <formula>LEN(TRIM(K23))=0</formula>
    </cfRule>
    <cfRule type="cellIs" dxfId="1056" priority="2638" operator="between">
      <formula>10.1</formula>
      <formula>10.6</formula>
    </cfRule>
  </conditionalFormatting>
  <conditionalFormatting sqref="K26:K38">
    <cfRule type="containsBlanks" dxfId="1055" priority="3270" stopIfTrue="1">
      <formula>LEN(TRIM(K26))=0</formula>
    </cfRule>
    <cfRule type="cellIs" dxfId="1054" priority="3269" stopIfTrue="1" operator="between">
      <formula>10</formula>
      <formula>10</formula>
    </cfRule>
    <cfRule type="cellIs" dxfId="1053" priority="3268" operator="between">
      <formula>9</formula>
      <formula>9.9</formula>
    </cfRule>
    <cfRule type="cellIs" dxfId="1052" priority="3266" operator="between">
      <formula>7</formula>
      <formula>7.9</formula>
    </cfRule>
    <cfRule type="cellIs" dxfId="1051" priority="3267" stopIfTrue="1" operator="between">
      <formula>8</formula>
      <formula>8.9</formula>
    </cfRule>
  </conditionalFormatting>
  <conditionalFormatting sqref="K40">
    <cfRule type="colorScale" priority="3589">
      <colorScale>
        <cfvo type="num" val="5"/>
        <cfvo type="num" val="10"/>
        <color rgb="FFFF494D"/>
        <color rgb="FF00FF66"/>
      </colorScale>
    </cfRule>
    <cfRule type="colorScale" priority="3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1050" priority="3171" operator="between">
      <formula>10.1</formula>
      <formula>10.6</formula>
    </cfRule>
    <cfRule type="cellIs" dxfId="1049" priority="3172" operator="between">
      <formula>7</formula>
      <formula>7.9</formula>
    </cfRule>
    <cfRule type="cellIs" dxfId="1048" priority="3173" stopIfTrue="1" operator="between">
      <formula>8</formula>
      <formula>8.9</formula>
    </cfRule>
    <cfRule type="containsBlanks" dxfId="1047" priority="3176" stopIfTrue="1">
      <formula>LEN(TRIM(K41))=0</formula>
    </cfRule>
    <cfRule type="cellIs" dxfId="1046" priority="3175" stopIfTrue="1" operator="between">
      <formula>10</formula>
      <formula>10</formula>
    </cfRule>
    <cfRule type="cellIs" dxfId="1045" priority="3174" operator="between">
      <formula>9</formula>
      <formula>9.9</formula>
    </cfRule>
  </conditionalFormatting>
  <conditionalFormatting sqref="K54">
    <cfRule type="colorScale" priority="3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44" priority="3133" operator="between">
      <formula>10.1</formula>
      <formula>10.6</formula>
    </cfRule>
    <cfRule type="cellIs" dxfId="1043" priority="3137" stopIfTrue="1" operator="between">
      <formula>10</formula>
      <formula>10</formula>
    </cfRule>
    <cfRule type="cellIs" dxfId="1042" priority="3136" operator="between">
      <formula>9</formula>
      <formula>9.9</formula>
    </cfRule>
    <cfRule type="cellIs" dxfId="1041" priority="3135" stopIfTrue="1" operator="between">
      <formula>8</formula>
      <formula>8.9</formula>
    </cfRule>
    <cfRule type="containsBlanks" dxfId="1040" priority="3138" stopIfTrue="1">
      <formula>LEN(TRIM(K55))=0</formula>
    </cfRule>
    <cfRule type="cellIs" dxfId="1039" priority="3134" operator="between">
      <formula>7</formula>
      <formula>7.9</formula>
    </cfRule>
  </conditionalFormatting>
  <conditionalFormatting sqref="K66">
    <cfRule type="colorScale" priority="3113">
      <colorScale>
        <cfvo type="num" val="5"/>
        <cfvo type="num" val="10"/>
        <color rgb="FFFF494D"/>
        <color rgb="FF00FF66"/>
      </colorScale>
    </cfRule>
    <cfRule type="colorScale" priority="3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1038" priority="3107" operator="between">
      <formula>7</formula>
      <formula>7.9</formula>
    </cfRule>
    <cfRule type="containsBlanks" dxfId="1037" priority="3111" stopIfTrue="1">
      <formula>LEN(TRIM(K67))=0</formula>
    </cfRule>
    <cfRule type="cellIs" dxfId="1036" priority="3110" stopIfTrue="1" operator="between">
      <formula>10</formula>
      <formula>10</formula>
    </cfRule>
    <cfRule type="cellIs" dxfId="1035" priority="3109" operator="between">
      <formula>9</formula>
      <formula>9.9</formula>
    </cfRule>
    <cfRule type="cellIs" dxfId="1034" priority="3106" operator="between">
      <formula>10.1</formula>
      <formula>10.6</formula>
    </cfRule>
    <cfRule type="cellIs" dxfId="1033" priority="3108" stopIfTrue="1" operator="between">
      <formula>8</formula>
      <formula>8.9</formula>
    </cfRule>
  </conditionalFormatting>
  <conditionalFormatting sqref="K77">
    <cfRule type="colorScale" priority="3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1032" priority="3053" operator="between">
      <formula>10.1</formula>
      <formula>10.6</formula>
    </cfRule>
    <cfRule type="cellIs" dxfId="1031" priority="3054" operator="between">
      <formula>7</formula>
      <formula>7.9</formula>
    </cfRule>
    <cfRule type="cellIs" dxfId="1030" priority="3055" stopIfTrue="1" operator="between">
      <formula>8</formula>
      <formula>8.9</formula>
    </cfRule>
    <cfRule type="cellIs" dxfId="1029" priority="3056" operator="between">
      <formula>9</formula>
      <formula>9.9</formula>
    </cfRule>
    <cfRule type="cellIs" dxfId="1028" priority="3057" stopIfTrue="1" operator="between">
      <formula>10</formula>
      <formula>10</formula>
    </cfRule>
    <cfRule type="containsBlanks" dxfId="1027" priority="3058" stopIfTrue="1">
      <formula>LEN(TRIM(K78))=0</formula>
    </cfRule>
  </conditionalFormatting>
  <conditionalFormatting sqref="K90">
    <cfRule type="colorScale" priority="3007">
      <colorScale>
        <cfvo type="num" val="5"/>
        <cfvo type="num" val="10"/>
        <color rgb="FFFF494D"/>
        <color rgb="FF00FF66"/>
      </colorScale>
    </cfRule>
    <cfRule type="colorScale" priority="30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1026" priority="3013" stopIfTrue="1">
      <formula>LEN(TRIM(K91))=0</formula>
    </cfRule>
    <cfRule type="cellIs" dxfId="1025" priority="3012" stopIfTrue="1" operator="between">
      <formula>10</formula>
      <formula>10</formula>
    </cfRule>
    <cfRule type="cellIs" dxfId="1024" priority="3010" stopIfTrue="1" operator="between">
      <formula>8</formula>
      <formula>8.9</formula>
    </cfRule>
    <cfRule type="cellIs" dxfId="1023" priority="3009" operator="between">
      <formula>7</formula>
      <formula>7.9</formula>
    </cfRule>
    <cfRule type="cellIs" dxfId="1022" priority="3008" operator="between">
      <formula>10.1</formula>
      <formula>10.6</formula>
    </cfRule>
    <cfRule type="cellIs" dxfId="1021" priority="3011" operator="between">
      <formula>9</formula>
      <formula>9.9</formula>
    </cfRule>
  </conditionalFormatting>
  <conditionalFormatting sqref="K98">
    <cfRule type="colorScale" priority="2973">
      <colorScale>
        <cfvo type="num" val="5"/>
        <cfvo type="num" val="10"/>
        <color rgb="FFFF494D"/>
        <color rgb="FF00FF66"/>
      </colorScale>
    </cfRule>
    <cfRule type="colorScale" priority="29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1020" priority="2977" stopIfTrue="1" operator="between">
      <formula>8</formula>
      <formula>8.9</formula>
    </cfRule>
    <cfRule type="cellIs" dxfId="1019" priority="2976" operator="between">
      <formula>7</formula>
      <formula>7.9</formula>
    </cfRule>
    <cfRule type="cellIs" dxfId="1018" priority="2975" operator="between">
      <formula>10.1</formula>
      <formula>10.6</formula>
    </cfRule>
    <cfRule type="cellIs" dxfId="1017" priority="2974" operator="between">
      <formula>6</formula>
      <formula>6.9</formula>
    </cfRule>
    <cfRule type="cellIs" dxfId="1016" priority="2978" operator="between">
      <formula>9</formula>
      <formula>9.9</formula>
    </cfRule>
    <cfRule type="cellIs" dxfId="1015" priority="2979" stopIfTrue="1" operator="between">
      <formula>10</formula>
      <formula>10</formula>
    </cfRule>
    <cfRule type="containsBlanks" dxfId="1014" priority="2980" stopIfTrue="1">
      <formula>LEN(TRIM(K99))=0</formula>
    </cfRule>
  </conditionalFormatting>
  <conditionalFormatting sqref="K111">
    <cfRule type="colorScale" priority="2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1013" priority="2932" stopIfTrue="1">
      <formula>LEN(TRIM(K112))=0</formula>
    </cfRule>
    <cfRule type="cellIs" dxfId="1012" priority="2931" stopIfTrue="1" operator="between">
      <formula>10</formula>
      <formula>10</formula>
    </cfRule>
    <cfRule type="cellIs" dxfId="1011" priority="2929" stopIfTrue="1" operator="between">
      <formula>8</formula>
      <formula>8.9</formula>
    </cfRule>
    <cfRule type="cellIs" dxfId="1010" priority="2928" operator="between">
      <formula>7</formula>
      <formula>7.9</formula>
    </cfRule>
    <cfRule type="cellIs" dxfId="1009" priority="2927" operator="between">
      <formula>10.1</formula>
      <formula>10.6</formula>
    </cfRule>
    <cfRule type="cellIs" dxfId="1008" priority="2930" operator="between">
      <formula>9</formula>
      <formula>9.9</formula>
    </cfRule>
  </conditionalFormatting>
  <conditionalFormatting sqref="K114">
    <cfRule type="cellIs" dxfId="1007" priority="2926" operator="between">
      <formula>6</formula>
      <formula>6.9</formula>
    </cfRule>
  </conditionalFormatting>
  <conditionalFormatting sqref="K124">
    <cfRule type="colorScale" priority="2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1006" priority="2889" stopIfTrue="1">
      <formula>LEN(TRIM(K125))=0</formula>
    </cfRule>
    <cfRule type="cellIs" dxfId="1005" priority="2884" operator="between">
      <formula>10.1</formula>
      <formula>10.6</formula>
    </cfRule>
    <cfRule type="cellIs" dxfId="1004" priority="2885" operator="between">
      <formula>7</formula>
      <formula>7.9</formula>
    </cfRule>
    <cfRule type="cellIs" dxfId="1003" priority="2886" stopIfTrue="1" operator="between">
      <formula>8</formula>
      <formula>8.9</formula>
    </cfRule>
    <cfRule type="cellIs" dxfId="1002" priority="2887" operator="between">
      <formula>9</formula>
      <formula>9.9</formula>
    </cfRule>
    <cfRule type="cellIs" dxfId="1001" priority="2888" stopIfTrue="1" operator="between">
      <formula>10</formula>
      <formula>10</formula>
    </cfRule>
  </conditionalFormatting>
  <conditionalFormatting sqref="K125:K134">
    <cfRule type="cellIs" dxfId="1000" priority="2878" operator="between">
      <formula>10.1</formula>
      <formula>10.6</formula>
    </cfRule>
    <cfRule type="cellIs" dxfId="999" priority="2879" operator="between">
      <formula>7</formula>
      <formula>7.9</formula>
    </cfRule>
    <cfRule type="cellIs" dxfId="998" priority="2880" stopIfTrue="1" operator="between">
      <formula>8</formula>
      <formula>8.9</formula>
    </cfRule>
    <cfRule type="cellIs" dxfId="997" priority="2881" operator="between">
      <formula>9</formula>
      <formula>9.9</formula>
    </cfRule>
    <cfRule type="cellIs" dxfId="996" priority="2882" stopIfTrue="1" operator="between">
      <formula>10</formula>
      <formula>10</formula>
    </cfRule>
    <cfRule type="containsBlanks" dxfId="995" priority="2883" stopIfTrue="1">
      <formula>LEN(TRIM(K125))=0</formula>
    </cfRule>
    <cfRule type="cellIs" dxfId="994" priority="2877" operator="between">
      <formula>6</formula>
      <formula>6.9</formula>
    </cfRule>
  </conditionalFormatting>
  <conditionalFormatting sqref="K136">
    <cfRule type="colorScale" priority="2818">
      <colorScale>
        <cfvo type="num" val="5"/>
        <cfvo type="num" val="10"/>
        <color rgb="FFFF494D"/>
        <color rgb="FF00FF66"/>
      </colorScale>
    </cfRule>
    <cfRule type="colorScale" priority="2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993" priority="2819" operator="between">
      <formula>6</formula>
      <formula>6.9</formula>
    </cfRule>
    <cfRule type="cellIs" dxfId="992" priority="2820" operator="between">
      <formula>10.1</formula>
      <formula>10.6</formula>
    </cfRule>
    <cfRule type="cellIs" dxfId="991" priority="2821" operator="between">
      <formula>7</formula>
      <formula>7.9</formula>
    </cfRule>
    <cfRule type="cellIs" dxfId="990" priority="2822" stopIfTrue="1" operator="between">
      <formula>8</formula>
      <formula>8.9</formula>
    </cfRule>
    <cfRule type="cellIs" dxfId="989" priority="2823" operator="between">
      <formula>9</formula>
      <formula>9.9</formula>
    </cfRule>
    <cfRule type="cellIs" dxfId="988" priority="2824" stopIfTrue="1" operator="between">
      <formula>10</formula>
      <formula>10</formula>
    </cfRule>
    <cfRule type="containsBlanks" dxfId="987" priority="2825" stopIfTrue="1">
      <formula>LEN(TRIM(K137))=0</formula>
    </cfRule>
  </conditionalFormatting>
  <conditionalFormatting sqref="K149">
    <cfRule type="colorScale" priority="2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986" priority="2758" operator="between">
      <formula>7</formula>
      <formula>7.9</formula>
    </cfRule>
    <cfRule type="cellIs" dxfId="985" priority="2759" stopIfTrue="1" operator="between">
      <formula>8</formula>
      <formula>8.9</formula>
    </cfRule>
    <cfRule type="cellIs" dxfId="984" priority="2756" operator="between">
      <formula>6</formula>
      <formula>6.9</formula>
    </cfRule>
    <cfRule type="cellIs" dxfId="983" priority="2757" operator="between">
      <formula>10.1</formula>
      <formula>10.6</formula>
    </cfRule>
    <cfRule type="cellIs" dxfId="982" priority="2761" stopIfTrue="1" operator="between">
      <formula>10</formula>
      <formula>10</formula>
    </cfRule>
    <cfRule type="cellIs" dxfId="981" priority="2760" operator="between">
      <formula>9</formula>
      <formula>9.9</formula>
    </cfRule>
    <cfRule type="containsBlanks" dxfId="980" priority="2762" stopIfTrue="1">
      <formula>LEN(TRIM(K150))=0</formula>
    </cfRule>
  </conditionalFormatting>
  <conditionalFormatting sqref="K165">
    <cfRule type="colorScale" priority="2708">
      <colorScale>
        <cfvo type="num" val="5"/>
        <cfvo type="num" val="10"/>
        <color rgb="FFFF494D"/>
        <color rgb="FF00FF66"/>
      </colorScale>
    </cfRule>
    <cfRule type="colorScale" priority="2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979" priority="2706" stopIfTrue="1">
      <formula>LEN(TRIM(K166))=0</formula>
    </cfRule>
    <cfRule type="cellIs" dxfId="978" priority="2705" stopIfTrue="1" operator="between">
      <formula>10</formula>
      <formula>10</formula>
    </cfRule>
    <cfRule type="cellIs" dxfId="977" priority="2704" operator="between">
      <formula>9</formula>
      <formula>9.9</formula>
    </cfRule>
    <cfRule type="cellIs" dxfId="976" priority="2703" stopIfTrue="1" operator="between">
      <formula>8</formula>
      <formula>8.9</formula>
    </cfRule>
    <cfRule type="cellIs" dxfId="975" priority="2702" operator="between">
      <formula>7</formula>
      <formula>7.9</formula>
    </cfRule>
    <cfRule type="cellIs" dxfId="974" priority="2701" operator="between">
      <formula>10.1</formula>
      <formula>10.6</formula>
    </cfRule>
    <cfRule type="cellIs" dxfId="973" priority="2700" operator="between">
      <formula>6</formula>
      <formula>6.9</formula>
    </cfRule>
  </conditionalFormatting>
  <conditionalFormatting sqref="K175">
    <cfRule type="colorScale" priority="2672">
      <colorScale>
        <cfvo type="num" val="5"/>
        <cfvo type="num" val="10"/>
        <color rgb="FFFF494D"/>
        <color rgb="FF00FF66"/>
      </colorScale>
    </cfRule>
    <cfRule type="colorScale" priority="2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972" priority="2676" stopIfTrue="1" operator="between">
      <formula>8</formula>
      <formula>8.9</formula>
    </cfRule>
    <cfRule type="cellIs" dxfId="971" priority="2675" operator="between">
      <formula>7</formula>
      <formula>7.9</formula>
    </cfRule>
    <cfRule type="cellIs" dxfId="970" priority="2677" operator="between">
      <formula>9</formula>
      <formula>9.9</formula>
    </cfRule>
    <cfRule type="cellIs" dxfId="969" priority="2674" operator="between">
      <formula>10.1</formula>
      <formula>10.6</formula>
    </cfRule>
    <cfRule type="cellIs" dxfId="968" priority="2673" operator="between">
      <formula>6</formula>
      <formula>6.9</formula>
    </cfRule>
    <cfRule type="cellIs" dxfId="967" priority="2678" stopIfTrue="1" operator="between">
      <formula>10</formula>
      <formula>10</formula>
    </cfRule>
    <cfRule type="containsBlanks" dxfId="966" priority="2679" stopIfTrue="1">
      <formula>LEN(TRIM(K176))=0</formula>
    </cfRule>
  </conditionalFormatting>
  <conditionalFormatting sqref="K182">
    <cfRule type="colorScale" priority="2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965" priority="2653" operator="between">
      <formula>6</formula>
      <formula>6.9</formula>
    </cfRule>
    <cfRule type="cellIs" dxfId="964" priority="2654" operator="between">
      <formula>10.1</formula>
      <formula>10.6</formula>
    </cfRule>
    <cfRule type="cellIs" dxfId="963" priority="2655" operator="between">
      <formula>7</formula>
      <formula>7.9</formula>
    </cfRule>
    <cfRule type="cellIs" dxfId="962" priority="2656" stopIfTrue="1" operator="between">
      <formula>8</formula>
      <formula>8.9</formula>
    </cfRule>
    <cfRule type="cellIs" dxfId="961" priority="2657" operator="between">
      <formula>9</formula>
      <formula>9.9</formula>
    </cfRule>
    <cfRule type="containsBlanks" dxfId="960" priority="2659" stopIfTrue="1">
      <formula>LEN(TRIM(K183))=0</formula>
    </cfRule>
    <cfRule type="cellIs" dxfId="959" priority="2658" stopIfTrue="1" operator="between">
      <formula>10</formula>
      <formula>10</formula>
    </cfRule>
  </conditionalFormatting>
  <conditionalFormatting sqref="K189">
    <cfRule type="colorScale" priority="2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958" priority="2614" operator="between">
      <formula>10.1</formula>
      <formula>10.6</formula>
    </cfRule>
    <cfRule type="containsBlanks" dxfId="957" priority="2619" stopIfTrue="1">
      <formula>LEN(TRIM(K190))=0</formula>
    </cfRule>
    <cfRule type="cellIs" dxfId="956" priority="2618" stopIfTrue="1" operator="between">
      <formula>10</formula>
      <formula>10</formula>
    </cfRule>
    <cfRule type="cellIs" dxfId="955" priority="2617" operator="between">
      <formula>9</formula>
      <formula>9.9</formula>
    </cfRule>
    <cfRule type="cellIs" dxfId="954" priority="2616" stopIfTrue="1" operator="between">
      <formula>8</formula>
      <formula>8.9</formula>
    </cfRule>
    <cfRule type="cellIs" dxfId="953" priority="2615" operator="between">
      <formula>7</formula>
      <formula>7.9</formula>
    </cfRule>
    <cfRule type="cellIs" dxfId="952" priority="2613" operator="between">
      <formula>6</formula>
      <formula>6.9</formula>
    </cfRule>
  </conditionalFormatting>
  <conditionalFormatting sqref="K199">
    <cfRule type="colorScale" priority="2592">
      <colorScale>
        <cfvo type="num" val="5"/>
        <cfvo type="num" val="10"/>
        <color rgb="FFFF494D"/>
        <color rgb="FF00FF66"/>
      </colorScale>
    </cfRule>
    <cfRule type="colorScale" priority="25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951" priority="2590" stopIfTrue="1">
      <formula>LEN(TRIM(K200))=0</formula>
    </cfRule>
    <cfRule type="cellIs" dxfId="950" priority="2589" stopIfTrue="1" operator="between">
      <formula>10</formula>
      <formula>10</formula>
    </cfRule>
    <cfRule type="cellIs" dxfId="949" priority="2588" operator="between">
      <formula>9</formula>
      <formula>9.9</formula>
    </cfRule>
    <cfRule type="cellIs" dxfId="948" priority="2584" operator="between">
      <formula>6</formula>
      <formula>6.9</formula>
    </cfRule>
    <cfRule type="cellIs" dxfId="947" priority="2585" operator="between">
      <formula>10.1</formula>
      <formula>10.6</formula>
    </cfRule>
    <cfRule type="cellIs" dxfId="946" priority="2586" operator="between">
      <formula>7</formula>
      <formula>7.9</formula>
    </cfRule>
    <cfRule type="cellIs" dxfId="945" priority="2587" stopIfTrue="1" operator="between">
      <formula>8</formula>
      <formula>8.9</formula>
    </cfRule>
  </conditionalFormatting>
  <conditionalFormatting sqref="K208">
    <cfRule type="colorScale" priority="2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944" priority="2560" stopIfTrue="1">
      <formula>LEN(TRIM(K209))=0</formula>
    </cfRule>
    <cfRule type="cellIs" dxfId="943" priority="2559" stopIfTrue="1" operator="between">
      <formula>10</formula>
      <formula>10</formula>
    </cfRule>
    <cfRule type="cellIs" dxfId="942" priority="2558" operator="between">
      <formula>9</formula>
      <formula>9.9</formula>
    </cfRule>
    <cfRule type="cellIs" dxfId="941" priority="2557" stopIfTrue="1" operator="between">
      <formula>8</formula>
      <formula>8.9</formula>
    </cfRule>
    <cfRule type="cellIs" dxfId="940" priority="2556" operator="between">
      <formula>7</formula>
      <formula>7.9</formula>
    </cfRule>
    <cfRule type="cellIs" dxfId="939" priority="2554" operator="between">
      <formula>6</formula>
      <formula>6.9</formula>
    </cfRule>
    <cfRule type="cellIs" dxfId="938" priority="2555" operator="between">
      <formula>10.1</formula>
      <formula>11</formula>
    </cfRule>
  </conditionalFormatting>
  <conditionalFormatting sqref="K219">
    <cfRule type="colorScale" priority="2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37" priority="2501" operator="between">
      <formula>6</formula>
      <formula>6.9</formula>
    </cfRule>
    <cfRule type="cellIs" dxfId="936" priority="2503" operator="between">
      <formula>7</formula>
      <formula>7.9</formula>
    </cfRule>
    <cfRule type="cellIs" dxfId="935" priority="2504" stopIfTrue="1" operator="between">
      <formula>8</formula>
      <formula>8.9</formula>
    </cfRule>
    <cfRule type="cellIs" dxfId="934" priority="2502" operator="between">
      <formula>10.1</formula>
      <formula>10.6</formula>
    </cfRule>
    <cfRule type="cellIs" dxfId="933" priority="2505" operator="between">
      <formula>9</formula>
      <formula>9.9</formula>
    </cfRule>
    <cfRule type="cellIs" dxfId="932" priority="2506" stopIfTrue="1" operator="between">
      <formula>10</formula>
      <formula>10</formula>
    </cfRule>
    <cfRule type="containsBlanks" dxfId="931" priority="2507" stopIfTrue="1">
      <formula>LEN(TRIM(K220))=0</formula>
    </cfRule>
  </conditionalFormatting>
  <conditionalFormatting sqref="K237">
    <cfRule type="colorScale" priority="2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930" priority="2444" stopIfTrue="1">
      <formula>LEN(TRIM(K238))=0</formula>
    </cfRule>
    <cfRule type="cellIs" dxfId="929" priority="2438" operator="between">
      <formula>6</formula>
      <formula>6.9</formula>
    </cfRule>
    <cfRule type="cellIs" dxfId="928" priority="2439" operator="between">
      <formula>10.1</formula>
      <formula>10.6</formula>
    </cfRule>
    <cfRule type="cellIs" dxfId="927" priority="2440" operator="between">
      <formula>7</formula>
      <formula>7.9</formula>
    </cfRule>
    <cfRule type="cellIs" dxfId="926" priority="2441" stopIfTrue="1" operator="between">
      <formula>8</formula>
      <formula>8.9</formula>
    </cfRule>
    <cfRule type="cellIs" dxfId="925" priority="2442" operator="between">
      <formula>9</formula>
      <formula>9.9</formula>
    </cfRule>
    <cfRule type="cellIs" dxfId="924" priority="2443" stopIfTrue="1" operator="between">
      <formula>10</formula>
      <formula>10</formula>
    </cfRule>
  </conditionalFormatting>
  <conditionalFormatting sqref="K252">
    <cfRule type="colorScale" priority="2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923" priority="2393" operator="between">
      <formula>6</formula>
      <formula>6.9</formula>
    </cfRule>
    <cfRule type="cellIs" dxfId="922" priority="2394" operator="between">
      <formula>10.1</formula>
      <formula>10.6</formula>
    </cfRule>
    <cfRule type="cellIs" dxfId="921" priority="2395" operator="between">
      <formula>7</formula>
      <formula>7.9</formula>
    </cfRule>
    <cfRule type="cellIs" dxfId="920" priority="2397" operator="between">
      <formula>9</formula>
      <formula>9.9</formula>
    </cfRule>
    <cfRule type="cellIs" dxfId="919" priority="2398" stopIfTrue="1" operator="between">
      <formula>10</formula>
      <formula>10</formula>
    </cfRule>
    <cfRule type="containsBlanks" dxfId="918" priority="2399" stopIfTrue="1">
      <formula>LEN(TRIM(K253))=0</formula>
    </cfRule>
    <cfRule type="cellIs" dxfId="917" priority="2396" stopIfTrue="1" operator="between">
      <formula>8</formula>
      <formula>8.9</formula>
    </cfRule>
  </conditionalFormatting>
  <conditionalFormatting sqref="K264">
    <cfRule type="colorScale" priority="2363">
      <colorScale>
        <cfvo type="num" val="5"/>
        <cfvo type="num" val="10"/>
        <color rgb="FFFF494D"/>
        <color rgb="FF00FF66"/>
      </colorScale>
    </cfRule>
    <cfRule type="colorScale" priority="2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916" priority="2369" stopIfTrue="1" operator="between">
      <formula>10</formula>
      <formula>10</formula>
    </cfRule>
    <cfRule type="cellIs" dxfId="915" priority="2367" stopIfTrue="1" operator="between">
      <formula>8</formula>
      <formula>8.9</formula>
    </cfRule>
    <cfRule type="cellIs" dxfId="914" priority="2366" operator="between">
      <formula>7</formula>
      <formula>7.9</formula>
    </cfRule>
    <cfRule type="cellIs" dxfId="913" priority="2365" operator="between">
      <formula>10.1</formula>
      <formula>10.6</formula>
    </cfRule>
    <cfRule type="cellIs" dxfId="912" priority="2364" operator="between">
      <formula>6</formula>
      <formula>6.9</formula>
    </cfRule>
    <cfRule type="cellIs" dxfId="911" priority="2368" operator="between">
      <formula>9</formula>
      <formula>9.9</formula>
    </cfRule>
    <cfRule type="containsBlanks" dxfId="910" priority="2370" stopIfTrue="1">
      <formula>LEN(TRIM(K265))=0</formula>
    </cfRule>
  </conditionalFormatting>
  <conditionalFormatting sqref="K276">
    <cfRule type="colorScale" priority="2319">
      <colorScale>
        <cfvo type="num" val="5"/>
        <cfvo type="num" val="10"/>
        <color rgb="FFFF494D"/>
        <color rgb="FF00FF66"/>
      </colorScale>
    </cfRule>
    <cfRule type="colorScale" priority="2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909" priority="2311" operator="between">
      <formula>6</formula>
      <formula>6.9</formula>
    </cfRule>
    <cfRule type="cellIs" dxfId="908" priority="2312" operator="between">
      <formula>10.1</formula>
      <formula>10.6</formula>
    </cfRule>
    <cfRule type="cellIs" dxfId="907" priority="2316" stopIfTrue="1" operator="between">
      <formula>10</formula>
      <formula>10</formula>
    </cfRule>
    <cfRule type="cellIs" dxfId="906" priority="2315" operator="between">
      <formula>9</formula>
      <formula>9.9</formula>
    </cfRule>
    <cfRule type="cellIs" dxfId="905" priority="2314" stopIfTrue="1" operator="between">
      <formula>8</formula>
      <formula>8.9</formula>
    </cfRule>
    <cfRule type="cellIs" dxfId="904" priority="2313" operator="between">
      <formula>7</formula>
      <formula>7.9</formula>
    </cfRule>
    <cfRule type="containsBlanks" dxfId="903" priority="2317" stopIfTrue="1">
      <formula>LEN(TRIM(K277))=0</formula>
    </cfRule>
  </conditionalFormatting>
  <conditionalFormatting sqref="K286">
    <cfRule type="colorScale" priority="2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902" priority="2264" operator="between">
      <formula>10.1</formula>
      <formula>10.6</formula>
    </cfRule>
    <cfRule type="cellIs" dxfId="901" priority="2265" operator="between">
      <formula>7</formula>
      <formula>7.9</formula>
    </cfRule>
    <cfRule type="cellIs" dxfId="900" priority="2266" stopIfTrue="1" operator="between">
      <formula>8</formula>
      <formula>8.9</formula>
    </cfRule>
    <cfRule type="cellIs" dxfId="899" priority="2267" operator="between">
      <formula>9</formula>
      <formula>9.9</formula>
    </cfRule>
    <cfRule type="cellIs" dxfId="898" priority="2268" stopIfTrue="1" operator="between">
      <formula>10</formula>
      <formula>10</formula>
    </cfRule>
    <cfRule type="containsBlanks" dxfId="897" priority="2269" stopIfTrue="1">
      <formula>LEN(TRIM(K287))=0</formula>
    </cfRule>
    <cfRule type="cellIs" dxfId="896" priority="2263" operator="between">
      <formula>6</formula>
      <formula>6.9</formula>
    </cfRule>
  </conditionalFormatting>
  <conditionalFormatting sqref="K296">
    <cfRule type="colorScale" priority="2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895" priority="2226" operator="between">
      <formula>5</formula>
      <formula>6.9</formula>
    </cfRule>
    <cfRule type="cellIs" dxfId="894" priority="2227" operator="between">
      <formula>10.1</formula>
      <formula>10.6</formula>
    </cfRule>
    <cfRule type="cellIs" dxfId="893" priority="2228" operator="between">
      <formula>7</formula>
      <formula>7.9</formula>
    </cfRule>
    <cfRule type="cellIs" dxfId="892" priority="2229" stopIfTrue="1" operator="between">
      <formula>8</formula>
      <formula>8.9</formula>
    </cfRule>
    <cfRule type="cellIs" dxfId="891" priority="2230" operator="between">
      <formula>9</formula>
      <formula>9.9</formula>
    </cfRule>
    <cfRule type="cellIs" dxfId="890" priority="2231" stopIfTrue="1" operator="between">
      <formula>10</formula>
      <formula>10</formula>
    </cfRule>
    <cfRule type="cellIs" dxfId="889" priority="2225" operator="between">
      <formula>2</formula>
      <formula>4.9</formula>
    </cfRule>
    <cfRule type="cellIs" dxfId="888" priority="2224" operator="lessThan">
      <formula>2</formula>
    </cfRule>
    <cfRule type="containsBlanks" dxfId="887" priority="2223" stopIfTrue="1">
      <formula>LEN(TRIM(K297))=0</formula>
    </cfRule>
  </conditionalFormatting>
  <conditionalFormatting sqref="K304">
    <cfRule type="colorScale" priority="2202">
      <colorScale>
        <cfvo type="num" val="5"/>
        <cfvo type="num" val="10"/>
        <color rgb="FFFF494D"/>
        <color rgb="FF00FF66"/>
      </colorScale>
    </cfRule>
    <cfRule type="colorScale" priority="22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886" priority="2193" operator="lessThan">
      <formula>2</formula>
    </cfRule>
    <cfRule type="cellIs" dxfId="885" priority="2200" stopIfTrue="1" operator="between">
      <formula>10</formula>
      <formula>10</formula>
    </cfRule>
    <cfRule type="cellIs" dxfId="884" priority="2194" operator="between">
      <formula>2</formula>
      <formula>4.9</formula>
    </cfRule>
    <cfRule type="containsBlanks" dxfId="883" priority="2192" stopIfTrue="1">
      <formula>LEN(TRIM(K305))=0</formula>
    </cfRule>
    <cfRule type="cellIs" dxfId="882" priority="2195" operator="between">
      <formula>5</formula>
      <formula>6.9</formula>
    </cfRule>
    <cfRule type="cellIs" dxfId="881" priority="2196" operator="between">
      <formula>10.1</formula>
      <formula>10.6</formula>
    </cfRule>
    <cfRule type="cellIs" dxfId="880" priority="2197" operator="between">
      <formula>7</formula>
      <formula>7.9</formula>
    </cfRule>
    <cfRule type="cellIs" dxfId="879" priority="2198" stopIfTrue="1" operator="between">
      <formula>8</formula>
      <formula>8.9</formula>
    </cfRule>
    <cfRule type="cellIs" dxfId="878" priority="2199" operator="between">
      <formula>9</formula>
      <formula>9.9</formula>
    </cfRule>
  </conditionalFormatting>
  <conditionalFormatting sqref="K318">
    <cfRule type="colorScale" priority="2129">
      <colorScale>
        <cfvo type="num" val="5"/>
        <cfvo type="num" val="10"/>
        <color rgb="FFFF494D"/>
        <color rgb="FF00FF66"/>
      </colorScale>
    </cfRule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877" priority="2134" operator="between">
      <formula>10.1</formula>
      <formula>10.6</formula>
    </cfRule>
    <cfRule type="containsBlanks" dxfId="876" priority="2130" stopIfTrue="1">
      <formula>LEN(TRIM(K319))=0</formula>
    </cfRule>
    <cfRule type="cellIs" dxfId="875" priority="2131" operator="lessThan">
      <formula>2</formula>
    </cfRule>
    <cfRule type="cellIs" dxfId="874" priority="2132" operator="between">
      <formula>2</formula>
      <formula>4.9</formula>
    </cfRule>
    <cfRule type="cellIs" dxfId="873" priority="2133" operator="between">
      <formula>5</formula>
      <formula>6.9</formula>
    </cfRule>
    <cfRule type="cellIs" dxfId="872" priority="2135" operator="between">
      <formula>7</formula>
      <formula>7.9</formula>
    </cfRule>
    <cfRule type="cellIs" dxfId="871" priority="2136" stopIfTrue="1" operator="between">
      <formula>8</formula>
      <formula>8.9</formula>
    </cfRule>
    <cfRule type="cellIs" dxfId="870" priority="2137" operator="between">
      <formula>9</formula>
      <formula>9.9</formula>
    </cfRule>
    <cfRule type="cellIs" dxfId="869" priority="2138" stopIfTrue="1" operator="between">
      <formula>10</formula>
      <formula>10</formula>
    </cfRule>
  </conditionalFormatting>
  <conditionalFormatting sqref="K328">
    <cfRule type="colorScale" priority="2085">
      <colorScale>
        <cfvo type="num" val="5"/>
        <cfvo type="num" val="10"/>
        <color rgb="FFFF494D"/>
        <color rgb="FF00FF66"/>
      </colorScale>
    </cfRule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868" priority="2088" operator="between">
      <formula>2</formula>
      <formula>4.9</formula>
    </cfRule>
    <cfRule type="cellIs" dxfId="867" priority="2089" operator="between">
      <formula>5</formula>
      <formula>6.9</formula>
    </cfRule>
    <cfRule type="containsBlanks" dxfId="866" priority="2086" stopIfTrue="1">
      <formula>LEN(TRIM(K329))=0</formula>
    </cfRule>
    <cfRule type="cellIs" dxfId="865" priority="2090" operator="between">
      <formula>10.1</formula>
      <formula>10.6</formula>
    </cfRule>
    <cfRule type="cellIs" dxfId="864" priority="2091" operator="between">
      <formula>7</formula>
      <formula>7.9</formula>
    </cfRule>
    <cfRule type="cellIs" dxfId="863" priority="2092" stopIfTrue="1" operator="between">
      <formula>8</formula>
      <formula>8.9</formula>
    </cfRule>
    <cfRule type="cellIs" dxfId="862" priority="2093" operator="between">
      <formula>9</formula>
      <formula>9.9</formula>
    </cfRule>
    <cfRule type="cellIs" dxfId="861" priority="2094" stopIfTrue="1" operator="between">
      <formula>10</formula>
      <formula>10</formula>
    </cfRule>
    <cfRule type="cellIs" dxfId="860" priority="2087" operator="lessThan">
      <formula>2</formula>
    </cfRule>
  </conditionalFormatting>
  <conditionalFormatting sqref="K340">
    <cfRule type="colorScale" priority="2030">
      <colorScale>
        <cfvo type="num" val="5"/>
        <cfvo type="num" val="10"/>
        <color rgb="FFFF494D"/>
        <color rgb="FF00FF66"/>
      </colorScale>
    </cfRule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859" priority="2038" operator="between">
      <formula>9</formula>
      <formula>9.9</formula>
    </cfRule>
    <cfRule type="cellIs" dxfId="858" priority="2039" stopIfTrue="1" operator="between">
      <formula>10</formula>
      <formula>10</formula>
    </cfRule>
    <cfRule type="containsBlanks" dxfId="857" priority="2031" stopIfTrue="1">
      <formula>LEN(TRIM(K341))=0</formula>
    </cfRule>
    <cfRule type="cellIs" dxfId="856" priority="2032" operator="lessThan">
      <formula>2</formula>
    </cfRule>
    <cfRule type="cellIs" dxfId="855" priority="2033" operator="between">
      <formula>2</formula>
      <formula>4.9</formula>
    </cfRule>
    <cfRule type="cellIs" dxfId="854" priority="2034" operator="between">
      <formula>5</formula>
      <formula>6.9</formula>
    </cfRule>
    <cfRule type="cellIs" dxfId="853" priority="2035" operator="between">
      <formula>10.1</formula>
      <formula>10.6</formula>
    </cfRule>
    <cfRule type="cellIs" dxfId="852" priority="2036" operator="between">
      <formula>7</formula>
      <formula>7.9</formula>
    </cfRule>
    <cfRule type="cellIs" dxfId="851" priority="2037" stopIfTrue="1" operator="between">
      <formula>8</formula>
      <formula>8.9</formula>
    </cfRule>
  </conditionalFormatting>
  <conditionalFormatting sqref="K356">
    <cfRule type="colorScale" priority="1986">
      <colorScale>
        <cfvo type="num" val="5"/>
        <cfvo type="num" val="10"/>
        <color rgb="FFFF494D"/>
        <color rgb="FF00FF66"/>
      </colorScale>
    </cfRule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850" priority="1988" operator="lessThan">
      <formula>2</formula>
    </cfRule>
    <cfRule type="cellIs" dxfId="849" priority="1989" operator="between">
      <formula>2</formula>
      <formula>4.9</formula>
    </cfRule>
    <cfRule type="cellIs" dxfId="848" priority="1990" operator="between">
      <formula>5</formula>
      <formula>6.9</formula>
    </cfRule>
    <cfRule type="cellIs" dxfId="847" priority="1991" operator="between">
      <formula>10.1</formula>
      <formula>10.6</formula>
    </cfRule>
    <cfRule type="cellIs" dxfId="846" priority="1992" operator="between">
      <formula>7</formula>
      <formula>7.9</formula>
    </cfRule>
    <cfRule type="cellIs" dxfId="845" priority="1993" stopIfTrue="1" operator="between">
      <formula>8</formula>
      <formula>8.9</formula>
    </cfRule>
    <cfRule type="containsBlanks" dxfId="844" priority="1987" stopIfTrue="1">
      <formula>LEN(TRIM(K357))=0</formula>
    </cfRule>
    <cfRule type="cellIs" dxfId="843" priority="1994" operator="between">
      <formula>9</formula>
      <formula>9.9</formula>
    </cfRule>
    <cfRule type="cellIs" dxfId="842" priority="1995" stopIfTrue="1" operator="between">
      <formula>10</formula>
      <formula>10</formula>
    </cfRule>
  </conditionalFormatting>
  <conditionalFormatting sqref="K365">
    <cfRule type="colorScale" priority="1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841" priority="1953" operator="between">
      <formula>5</formula>
      <formula>6.9</formula>
    </cfRule>
    <cfRule type="cellIs" dxfId="840" priority="1952" operator="between">
      <formula>2</formula>
      <formula>4.9</formula>
    </cfRule>
    <cfRule type="cellIs" dxfId="839" priority="1951" operator="lessThan">
      <formula>2</formula>
    </cfRule>
    <cfRule type="containsBlanks" dxfId="838" priority="1950" stopIfTrue="1">
      <formula>LEN(TRIM(K366))=0</formula>
    </cfRule>
    <cfRule type="cellIs" dxfId="837" priority="1954" operator="between">
      <formula>10.1</formula>
      <formula>10.6</formula>
    </cfRule>
    <cfRule type="cellIs" dxfId="836" priority="1955" operator="between">
      <formula>7</formula>
      <formula>7.9</formula>
    </cfRule>
    <cfRule type="cellIs" dxfId="835" priority="1956" stopIfTrue="1" operator="between">
      <formula>8</formula>
      <formula>8.9</formula>
    </cfRule>
    <cfRule type="cellIs" dxfId="834" priority="1957" operator="between">
      <formula>9</formula>
      <formula>9.9</formula>
    </cfRule>
    <cfRule type="cellIs" dxfId="833" priority="1958" stopIfTrue="1" operator="between">
      <formula>10</formula>
      <formula>10</formula>
    </cfRule>
  </conditionalFormatting>
  <conditionalFormatting sqref="K380">
    <cfRule type="colorScale" priority="1882">
      <colorScale>
        <cfvo type="num" val="5"/>
        <cfvo type="num" val="10"/>
        <color rgb="FFFF494D"/>
        <color rgb="FF00FF66"/>
      </colorScale>
    </cfRule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832" priority="1880" stopIfTrue="1" operator="between">
      <formula>10</formula>
      <formula>10</formula>
    </cfRule>
    <cfRule type="cellIs" dxfId="831" priority="1879" operator="between">
      <formula>9</formula>
      <formula>9.9</formula>
    </cfRule>
    <cfRule type="cellIs" dxfId="830" priority="1878" stopIfTrue="1" operator="between">
      <formula>8</formula>
      <formula>8.9</formula>
    </cfRule>
    <cfRule type="cellIs" dxfId="829" priority="1877" operator="between">
      <formula>7</formula>
      <formula>7.9</formula>
    </cfRule>
    <cfRule type="cellIs" dxfId="828" priority="1876" operator="between">
      <formula>10.1</formula>
      <formula>10.6</formula>
    </cfRule>
    <cfRule type="cellIs" dxfId="827" priority="1875" operator="between">
      <formula>5</formula>
      <formula>6.9</formula>
    </cfRule>
    <cfRule type="cellIs" dxfId="826" priority="1874" operator="between">
      <formula>2</formula>
      <formula>4.9</formula>
    </cfRule>
    <cfRule type="cellIs" dxfId="825" priority="1873" operator="lessThan">
      <formula>2</formula>
    </cfRule>
    <cfRule type="containsBlanks" dxfId="824" priority="1872" stopIfTrue="1">
      <formula>LEN(TRIM(K381))=0</formula>
    </cfRule>
  </conditionalFormatting>
  <conditionalFormatting sqref="K391">
    <cfRule type="colorScale" priority="1816">
      <colorScale>
        <cfvo type="num" val="5"/>
        <cfvo type="num" val="10"/>
        <color rgb="FFFF494D"/>
        <color rgb="FF00FF66"/>
      </colorScale>
    </cfRule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823" priority="1814" stopIfTrue="1" operator="between">
      <formula>10</formula>
      <formula>10</formula>
    </cfRule>
    <cfRule type="containsBlanks" dxfId="822" priority="1806" stopIfTrue="1">
      <formula>LEN(TRIM(K392))=0</formula>
    </cfRule>
    <cfRule type="cellIs" dxfId="821" priority="1807" operator="lessThan">
      <formula>2</formula>
    </cfRule>
    <cfRule type="cellIs" dxfId="820" priority="1808" operator="between">
      <formula>2</formula>
      <formula>4.9</formula>
    </cfRule>
    <cfRule type="cellIs" dxfId="819" priority="1809" operator="between">
      <formula>5</formula>
      <formula>6.9</formula>
    </cfRule>
    <cfRule type="cellIs" dxfId="818" priority="1810" operator="between">
      <formula>10.1</formula>
      <formula>10.6</formula>
    </cfRule>
    <cfRule type="cellIs" dxfId="817" priority="1811" operator="between">
      <formula>7</formula>
      <formula>7.9</formula>
    </cfRule>
    <cfRule type="cellIs" dxfId="816" priority="1812" stopIfTrue="1" operator="between">
      <formula>8</formula>
      <formula>8.9</formula>
    </cfRule>
    <cfRule type="cellIs" dxfId="815" priority="1813" operator="between">
      <formula>9</formula>
      <formula>9.9</formula>
    </cfRule>
  </conditionalFormatting>
  <conditionalFormatting sqref="K399"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814" priority="1787" operator="between">
      <formula>5</formula>
      <formula>6.9</formula>
    </cfRule>
    <cfRule type="cellIs" dxfId="813" priority="1791" operator="between">
      <formula>9</formula>
      <formula>9.9</formula>
    </cfRule>
    <cfRule type="cellIs" dxfId="812" priority="1785" operator="lessThan">
      <formula>2</formula>
    </cfRule>
    <cfRule type="containsBlanks" dxfId="811" priority="1784" stopIfTrue="1">
      <formula>LEN(TRIM(K400))=0</formula>
    </cfRule>
    <cfRule type="cellIs" dxfId="810" priority="1792" stopIfTrue="1" operator="between">
      <formula>10</formula>
      <formula>10</formula>
    </cfRule>
    <cfRule type="cellIs" dxfId="809" priority="1788" operator="between">
      <formula>10.1</formula>
      <formula>10.6</formula>
    </cfRule>
    <cfRule type="cellIs" dxfId="808" priority="1786" operator="between">
      <formula>2</formula>
      <formula>4.9</formula>
    </cfRule>
    <cfRule type="cellIs" dxfId="807" priority="1789" operator="between">
      <formula>7</formula>
      <formula>7.9</formula>
    </cfRule>
    <cfRule type="cellIs" dxfId="806" priority="1790" stopIfTrue="1" operator="between">
      <formula>8</formula>
      <formula>8.9</formula>
    </cfRule>
  </conditionalFormatting>
  <conditionalFormatting sqref="K412">
    <cfRule type="colorScale" priority="1730">
      <colorScale>
        <cfvo type="num" val="5"/>
        <cfvo type="num" val="10"/>
        <color rgb="FFFF494D"/>
        <color rgb="FF00FF66"/>
      </colorScale>
    </cfRule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805" priority="1739" stopIfTrue="1" operator="between">
      <formula>10</formula>
      <formula>10</formula>
    </cfRule>
    <cfRule type="cellIs" dxfId="804" priority="1738" operator="between">
      <formula>9</formula>
      <formula>9.9</formula>
    </cfRule>
    <cfRule type="cellIs" dxfId="803" priority="1737" stopIfTrue="1" operator="between">
      <formula>8</formula>
      <formula>8.9</formula>
    </cfRule>
    <cfRule type="cellIs" dxfId="802" priority="1736" operator="between">
      <formula>7</formula>
      <formula>7.9</formula>
    </cfRule>
    <cfRule type="cellIs" dxfId="801" priority="1735" operator="between">
      <formula>10.1</formula>
      <formula>10.6</formula>
    </cfRule>
    <cfRule type="cellIs" dxfId="800" priority="1734" operator="between">
      <formula>5</formula>
      <formula>6.9</formula>
    </cfRule>
    <cfRule type="cellIs" dxfId="799" priority="1733" operator="between">
      <formula>2</formula>
      <formula>4.9</formula>
    </cfRule>
    <cfRule type="cellIs" dxfId="798" priority="1732" operator="lessThan">
      <formula>2</formula>
    </cfRule>
    <cfRule type="containsBlanks" dxfId="797" priority="1731" stopIfTrue="1">
      <formula>LEN(TRIM(K413))=0</formula>
    </cfRule>
  </conditionalFormatting>
  <conditionalFormatting sqref="K421">
    <cfRule type="colorScale" priority="1652">
      <colorScale>
        <cfvo type="num" val="5"/>
        <cfvo type="num" val="10"/>
        <color rgb="FFFF494D"/>
        <color rgb="FF00FF66"/>
      </colorScale>
    </cfRule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796" priority="1657" operator="between">
      <formula>2</formula>
      <formula>4.9</formula>
    </cfRule>
    <cfRule type="containsBlanks" dxfId="795" priority="1655" stopIfTrue="1">
      <formula>LEN(TRIM(K422))=0</formula>
    </cfRule>
    <cfRule type="cellIs" dxfId="794" priority="1663" stopIfTrue="1" operator="between">
      <formula>10</formula>
      <formula>10</formula>
    </cfRule>
    <cfRule type="cellIs" dxfId="793" priority="1662" operator="between">
      <formula>9</formula>
      <formula>9.9</formula>
    </cfRule>
    <cfRule type="cellIs" dxfId="792" priority="1656" operator="lessThan">
      <formula>2</formula>
    </cfRule>
    <cfRule type="cellIs" dxfId="791" priority="1661" stopIfTrue="1" operator="between">
      <formula>8</formula>
      <formula>8.9</formula>
    </cfRule>
    <cfRule type="cellIs" dxfId="790" priority="1660" operator="between">
      <formula>7</formula>
      <formula>7.9</formula>
    </cfRule>
    <cfRule type="cellIs" dxfId="789" priority="1659" operator="between">
      <formula>10.1</formula>
      <formula>10.6</formula>
    </cfRule>
    <cfRule type="cellIs" dxfId="788" priority="1658" operator="between">
      <formula>5</formula>
      <formula>6.9</formula>
    </cfRule>
  </conditionalFormatting>
  <conditionalFormatting sqref="K431"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7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787" priority="1549" stopIfTrue="1" operator="between">
      <formula>8</formula>
      <formula>8.9</formula>
    </cfRule>
    <cfRule type="cellIs" dxfId="786" priority="1550" operator="between">
      <formula>9</formula>
      <formula>9.9</formula>
    </cfRule>
    <cfRule type="cellIs" dxfId="785" priority="1545" operator="between">
      <formula>2</formula>
      <formula>4.9</formula>
    </cfRule>
    <cfRule type="cellIs" dxfId="784" priority="1546" operator="between">
      <formula>5</formula>
      <formula>6.9</formula>
    </cfRule>
    <cfRule type="cellIs" dxfId="783" priority="1547" operator="between">
      <formula>10.1</formula>
      <formula>10.6</formula>
    </cfRule>
    <cfRule type="cellIs" dxfId="782" priority="1548" operator="between">
      <formula>7</formula>
      <formula>7.9</formula>
    </cfRule>
    <cfRule type="cellIs" dxfId="781" priority="1544" operator="lessThan">
      <formula>2</formula>
    </cfRule>
    <cfRule type="containsBlanks" dxfId="780" priority="1543" stopIfTrue="1">
      <formula>LEN(TRIM(K432))=0</formula>
    </cfRule>
    <cfRule type="cellIs" dxfId="779" priority="1551" stopIfTrue="1" operator="between">
      <formula>10</formula>
      <formula>10</formula>
    </cfRule>
  </conditionalFormatting>
  <conditionalFormatting sqref="K445">
    <cfRule type="colorScale" priority="1522">
      <colorScale>
        <cfvo type="num" val="5"/>
        <cfvo type="num" val="10"/>
        <color rgb="FFFF494D"/>
        <color rgb="FF00FF66"/>
      </colorScale>
    </cfRule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778" priority="1530" operator="between">
      <formula>9</formula>
      <formula>9.9</formula>
    </cfRule>
    <cfRule type="cellIs" dxfId="777" priority="1528" operator="between">
      <formula>7</formula>
      <formula>7.9</formula>
    </cfRule>
    <cfRule type="cellIs" dxfId="776" priority="1527" operator="between">
      <formula>10.1</formula>
      <formula>10.6</formula>
    </cfRule>
    <cfRule type="cellIs" dxfId="775" priority="1531" stopIfTrue="1" operator="between">
      <formula>10</formula>
      <formula>10</formula>
    </cfRule>
    <cfRule type="cellIs" dxfId="774" priority="1526" operator="between">
      <formula>5</formula>
      <formula>6.9</formula>
    </cfRule>
    <cfRule type="cellIs" dxfId="773" priority="1525" operator="between">
      <formula>2</formula>
      <formula>4.9</formula>
    </cfRule>
    <cfRule type="cellIs" dxfId="772" priority="1524" operator="lessThan">
      <formula>2</formula>
    </cfRule>
    <cfRule type="containsBlanks" dxfId="771" priority="1523" stopIfTrue="1">
      <formula>LEN(TRIM(K446))=0</formula>
    </cfRule>
    <cfRule type="cellIs" dxfId="770" priority="1529" stopIfTrue="1" operator="between">
      <formula>8</formula>
      <formula>8.9</formula>
    </cfRule>
  </conditionalFormatting>
  <conditionalFormatting sqref="K465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769" priority="1486" operator="between">
      <formula>9</formula>
      <formula>9.9</formula>
    </cfRule>
    <cfRule type="cellIs" dxfId="768" priority="1480" operator="lessThan">
      <formula>2</formula>
    </cfRule>
    <cfRule type="containsBlanks" dxfId="767" priority="1479" stopIfTrue="1">
      <formula>LEN(TRIM(K466))=0</formula>
    </cfRule>
    <cfRule type="cellIs" dxfId="766" priority="1487" stopIfTrue="1" operator="between">
      <formula>10</formula>
      <formula>10</formula>
    </cfRule>
    <cfRule type="cellIs" dxfId="765" priority="1481" operator="between">
      <formula>2</formula>
      <formula>4.9</formula>
    </cfRule>
    <cfRule type="cellIs" dxfId="764" priority="1482" operator="between">
      <formula>5</formula>
      <formula>6.9</formula>
    </cfRule>
    <cfRule type="cellIs" dxfId="763" priority="1483" operator="between">
      <formula>10.1</formula>
      <formula>10.6</formula>
    </cfRule>
    <cfRule type="cellIs" dxfId="762" priority="1484" operator="between">
      <formula>7</formula>
      <formula>7.9</formula>
    </cfRule>
    <cfRule type="cellIs" dxfId="761" priority="1485" stopIfTrue="1" operator="between">
      <formula>8</formula>
      <formula>8.9</formula>
    </cfRule>
  </conditionalFormatting>
  <conditionalFormatting sqref="K479">
    <cfRule type="colorScale" priority="1423">
      <colorScale>
        <cfvo type="num" val="5"/>
        <cfvo type="num" val="10"/>
        <color rgb="FFFF494D"/>
        <color rgb="FF00FF66"/>
      </colorScale>
    </cfRule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760" priority="1427" operator="between">
      <formula>5</formula>
      <formula>6.9</formula>
    </cfRule>
    <cfRule type="cellIs" dxfId="759" priority="1426" operator="between">
      <formula>2</formula>
      <formula>4.9</formula>
    </cfRule>
    <cfRule type="cellIs" dxfId="758" priority="1429" operator="between">
      <formula>7</formula>
      <formula>7.9</formula>
    </cfRule>
    <cfRule type="cellIs" dxfId="757" priority="1430" stopIfTrue="1" operator="between">
      <formula>8</formula>
      <formula>8.9</formula>
    </cfRule>
    <cfRule type="cellIs" dxfId="756" priority="1425" operator="lessThan">
      <formula>2</formula>
    </cfRule>
    <cfRule type="cellIs" dxfId="755" priority="1431" operator="between">
      <formula>9</formula>
      <formula>9.9</formula>
    </cfRule>
    <cfRule type="cellIs" dxfId="754" priority="1432" stopIfTrue="1" operator="between">
      <formula>10</formula>
      <formula>10</formula>
    </cfRule>
    <cfRule type="containsBlanks" dxfId="753" priority="1424" stopIfTrue="1">
      <formula>LEN(TRIM(K480))=0</formula>
    </cfRule>
    <cfRule type="cellIs" dxfId="752" priority="1428" operator="between">
      <formula>10.1</formula>
      <formula>10.6</formula>
    </cfRule>
  </conditionalFormatting>
  <conditionalFormatting sqref="K491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751" priority="1363" operator="between">
      <formula>7</formula>
      <formula>7.9</formula>
    </cfRule>
    <cfRule type="cellIs" dxfId="750" priority="1362" operator="between">
      <formula>10.1</formula>
      <formula>10.6</formula>
    </cfRule>
    <cfRule type="cellIs" dxfId="749" priority="1361" operator="between">
      <formula>5</formula>
      <formula>6.9</formula>
    </cfRule>
    <cfRule type="cellIs" dxfId="748" priority="1360" operator="between">
      <formula>2</formula>
      <formula>4.9</formula>
    </cfRule>
    <cfRule type="cellIs" dxfId="747" priority="1359" operator="lessThan">
      <formula>2</formula>
    </cfRule>
    <cfRule type="containsBlanks" dxfId="746" priority="1358" stopIfTrue="1">
      <formula>LEN(TRIM(K492))=0</formula>
    </cfRule>
    <cfRule type="cellIs" dxfId="745" priority="1364" stopIfTrue="1" operator="between">
      <formula>8</formula>
      <formula>8.9</formula>
    </cfRule>
    <cfRule type="cellIs" dxfId="744" priority="1365" operator="between">
      <formula>9</formula>
      <formula>9.9</formula>
    </cfRule>
    <cfRule type="cellIs" dxfId="743" priority="1366" stopIfTrue="1" operator="between">
      <formula>10</formula>
      <formula>10</formula>
    </cfRule>
  </conditionalFormatting>
  <conditionalFormatting sqref="K499">
    <cfRule type="colorScale" priority="1335">
      <colorScale>
        <cfvo type="num" val="5"/>
        <cfvo type="num" val="10"/>
        <color rgb="FFFF494D"/>
        <color rgb="FF00FF66"/>
      </colorScale>
    </cfRule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742" priority="1344" stopIfTrue="1" operator="between">
      <formula>10</formula>
      <formula>10</formula>
    </cfRule>
    <cfRule type="containsBlanks" dxfId="741" priority="1336" stopIfTrue="1">
      <formula>LEN(TRIM(K500))=0</formula>
    </cfRule>
    <cfRule type="cellIs" dxfId="740" priority="1343" operator="between">
      <formula>9</formula>
      <formula>9.9</formula>
    </cfRule>
    <cfRule type="cellIs" dxfId="739" priority="1341" operator="between">
      <formula>7</formula>
      <formula>7.9</formula>
    </cfRule>
    <cfRule type="cellIs" dxfId="738" priority="1340" operator="between">
      <formula>10.1</formula>
      <formula>10.6</formula>
    </cfRule>
    <cfRule type="cellIs" dxfId="737" priority="1339" operator="between">
      <formula>5</formula>
      <formula>6.9</formula>
    </cfRule>
    <cfRule type="cellIs" dxfId="736" priority="1338" operator="between">
      <formula>2</formula>
      <formula>4.9</formula>
    </cfRule>
    <cfRule type="cellIs" dxfId="735" priority="1337" operator="lessThan">
      <formula>2</formula>
    </cfRule>
    <cfRule type="cellIs" dxfId="734" priority="1342" stopIfTrue="1" operator="between">
      <formula>8</formula>
      <formula>8.9</formula>
    </cfRule>
  </conditionalFormatting>
  <conditionalFormatting sqref="K519">
    <cfRule type="colorScale" priority="1247">
      <colorScale>
        <cfvo type="num" val="5"/>
        <cfvo type="num" val="10"/>
        <color rgb="FFFF494D"/>
        <color rgb="FF00FF66"/>
      </colorScale>
    </cfRule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733" priority="1254" stopIfTrue="1" operator="between">
      <formula>8</formula>
      <formula>8.9</formula>
    </cfRule>
    <cfRule type="cellIs" dxfId="732" priority="1253" operator="between">
      <formula>7</formula>
      <formula>7.9</formula>
    </cfRule>
    <cfRule type="cellIs" dxfId="731" priority="1256" stopIfTrue="1" operator="between">
      <formula>10</formula>
      <formula>10</formula>
    </cfRule>
    <cfRule type="cellIs" dxfId="730" priority="1249" operator="lessThan">
      <formula>2</formula>
    </cfRule>
    <cfRule type="cellIs" dxfId="729" priority="1250" operator="between">
      <formula>2</formula>
      <formula>4.9</formula>
    </cfRule>
    <cfRule type="cellIs" dxfId="728" priority="1251" operator="between">
      <formula>5</formula>
      <formula>6.9</formula>
    </cfRule>
    <cfRule type="cellIs" dxfId="727" priority="1255" operator="between">
      <formula>9</formula>
      <formula>9.9</formula>
    </cfRule>
    <cfRule type="cellIs" dxfId="726" priority="1252" operator="between">
      <formula>10.1</formula>
      <formula>10.6</formula>
    </cfRule>
    <cfRule type="containsBlanks" dxfId="725" priority="1248" stopIfTrue="1">
      <formula>LEN(TRIM(K520))=0</formula>
    </cfRule>
  </conditionalFormatting>
  <conditionalFormatting sqref="K528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724" priority="1201" stopIfTrue="1" operator="between">
      <formula>10</formula>
      <formula>10</formula>
    </cfRule>
    <cfRule type="cellIs" dxfId="723" priority="1196" operator="between">
      <formula>5</formula>
      <formula>6.9</formula>
    </cfRule>
    <cfRule type="cellIs" dxfId="722" priority="1197" operator="between">
      <formula>10.1</formula>
      <formula>10.6</formula>
    </cfRule>
    <cfRule type="cellIs" dxfId="721" priority="1198" operator="between">
      <formula>7</formula>
      <formula>7.9</formula>
    </cfRule>
    <cfRule type="cellIs" dxfId="720" priority="1199" stopIfTrue="1" operator="between">
      <formula>8</formula>
      <formula>8.9</formula>
    </cfRule>
    <cfRule type="cellIs" dxfId="719" priority="1195" operator="between">
      <formula>2</formula>
      <formula>4.9</formula>
    </cfRule>
    <cfRule type="cellIs" dxfId="718" priority="1194" operator="lessThan">
      <formula>2</formula>
    </cfRule>
    <cfRule type="containsBlanks" dxfId="717" priority="1193" stopIfTrue="1">
      <formula>LEN(TRIM(K529))=0</formula>
    </cfRule>
    <cfRule type="cellIs" dxfId="716" priority="1200" operator="between">
      <formula>9</formula>
      <formula>9.9</formula>
    </cfRule>
  </conditionalFormatting>
  <conditionalFormatting sqref="K545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715" priority="1131" operator="between">
      <formula>10.1</formula>
      <formula>10.6</formula>
    </cfRule>
    <cfRule type="containsBlanks" dxfId="714" priority="1127" stopIfTrue="1">
      <formula>LEN(TRIM(K546))=0</formula>
    </cfRule>
    <cfRule type="cellIs" dxfId="713" priority="1132" operator="between">
      <formula>7</formula>
      <formula>7.9</formula>
    </cfRule>
    <cfRule type="cellIs" dxfId="712" priority="1133" stopIfTrue="1" operator="between">
      <formula>8</formula>
      <formula>8.9</formula>
    </cfRule>
    <cfRule type="cellIs" dxfId="711" priority="1134" operator="between">
      <formula>9</formula>
      <formula>9.9</formula>
    </cfRule>
    <cfRule type="cellIs" dxfId="710" priority="1130" operator="between">
      <formula>5</formula>
      <formula>6.9</formula>
    </cfRule>
    <cfRule type="cellIs" dxfId="709" priority="1135" stopIfTrue="1" operator="between">
      <formula>10</formula>
      <formula>10</formula>
    </cfRule>
    <cfRule type="cellIs" dxfId="708" priority="1129" operator="between">
      <formula>2</formula>
      <formula>4.9</formula>
    </cfRule>
    <cfRule type="cellIs" dxfId="707" priority="1128" operator="lessThan">
      <formula>2</formula>
    </cfRule>
  </conditionalFormatting>
  <conditionalFormatting sqref="K571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706" priority="1035" operator="between">
      <formula>9</formula>
      <formula>9.9</formula>
    </cfRule>
    <cfRule type="cellIs" dxfId="705" priority="1036" stopIfTrue="1" operator="between">
      <formula>10</formula>
      <formula>10</formula>
    </cfRule>
    <cfRule type="cellIs" dxfId="704" priority="1034" stopIfTrue="1" operator="between">
      <formula>8</formula>
      <formula>8.9</formula>
    </cfRule>
    <cfRule type="cellIs" dxfId="703" priority="1033" operator="between">
      <formula>7</formula>
      <formula>7.9</formula>
    </cfRule>
    <cfRule type="cellIs" dxfId="702" priority="1032" operator="between">
      <formula>10.1</formula>
      <formula>10.6</formula>
    </cfRule>
    <cfRule type="cellIs" dxfId="701" priority="1031" operator="between">
      <formula>5</formula>
      <formula>6.9</formula>
    </cfRule>
    <cfRule type="cellIs" dxfId="700" priority="1030" operator="between">
      <formula>2</formula>
      <formula>4.9</formula>
    </cfRule>
    <cfRule type="cellIs" dxfId="699" priority="1029" operator="lessThan">
      <formula>2</formula>
    </cfRule>
    <cfRule type="containsBlanks" dxfId="698" priority="1028" stopIfTrue="1">
      <formula>LEN(TRIM(K572))=0</formula>
    </cfRule>
  </conditionalFormatting>
  <conditionalFormatting sqref="K585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697" priority="985" operator="lessThan">
      <formula>2</formula>
    </cfRule>
    <cfRule type="cellIs" dxfId="696" priority="992" stopIfTrue="1" operator="between">
      <formula>10</formula>
      <formula>10</formula>
    </cfRule>
    <cfRule type="containsBlanks" dxfId="695" priority="984" stopIfTrue="1">
      <formula>LEN(TRIM(K586))=0</formula>
    </cfRule>
    <cfRule type="cellIs" dxfId="694" priority="991" operator="between">
      <formula>9</formula>
      <formula>9.9</formula>
    </cfRule>
    <cfRule type="cellIs" dxfId="693" priority="990" stopIfTrue="1" operator="between">
      <formula>8</formula>
      <formula>8.9</formula>
    </cfRule>
    <cfRule type="cellIs" dxfId="692" priority="989" operator="between">
      <formula>7</formula>
      <formula>7.9</formula>
    </cfRule>
    <cfRule type="cellIs" dxfId="691" priority="987" operator="between">
      <formula>5</formula>
      <formula>6.9</formula>
    </cfRule>
    <cfRule type="cellIs" dxfId="690" priority="986" operator="between">
      <formula>2</formula>
      <formula>4.9</formula>
    </cfRule>
    <cfRule type="cellIs" dxfId="689" priority="988" operator="between">
      <formula>10.1</formula>
      <formula>10.6</formula>
    </cfRule>
  </conditionalFormatting>
  <conditionalFormatting sqref="K597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688" priority="931" operator="between">
      <formula>2</formula>
      <formula>4.9</formula>
    </cfRule>
    <cfRule type="cellIs" dxfId="687" priority="930" operator="lessThan">
      <formula>2</formula>
    </cfRule>
    <cfRule type="containsBlanks" dxfId="686" priority="929" stopIfTrue="1">
      <formula>LEN(TRIM(K598))=0</formula>
    </cfRule>
    <cfRule type="cellIs" dxfId="685" priority="937" stopIfTrue="1" operator="between">
      <formula>10</formula>
      <formula>10</formula>
    </cfRule>
    <cfRule type="cellIs" dxfId="684" priority="936" operator="between">
      <formula>9</formula>
      <formula>9.9</formula>
    </cfRule>
    <cfRule type="cellIs" dxfId="683" priority="935" stopIfTrue="1" operator="between">
      <formula>8</formula>
      <formula>8.9</formula>
    </cfRule>
    <cfRule type="cellIs" dxfId="682" priority="934" operator="between">
      <formula>7</formula>
      <formula>7.9</formula>
    </cfRule>
    <cfRule type="cellIs" dxfId="681" priority="933" operator="between">
      <formula>10.1</formula>
      <formula>10.6</formula>
    </cfRule>
    <cfRule type="cellIs" dxfId="680" priority="932" operator="between">
      <formula>5</formula>
      <formula>6.9</formula>
    </cfRule>
  </conditionalFormatting>
  <conditionalFormatting sqref="K612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679" priority="864" operator="lessThan">
      <formula>2</formula>
    </cfRule>
    <cfRule type="containsBlanks" dxfId="678" priority="863" stopIfTrue="1">
      <formula>LEN(TRIM(K613))=0</formula>
    </cfRule>
    <cfRule type="cellIs" dxfId="677" priority="866" operator="between">
      <formula>5</formula>
      <formula>6.9</formula>
    </cfRule>
    <cfRule type="cellIs" dxfId="676" priority="865" operator="between">
      <formula>2</formula>
      <formula>4.9</formula>
    </cfRule>
    <cfRule type="cellIs" dxfId="675" priority="871" stopIfTrue="1" operator="between">
      <formula>10</formula>
      <formula>10</formula>
    </cfRule>
    <cfRule type="cellIs" dxfId="674" priority="870" operator="between">
      <formula>9</formula>
      <formula>9.9</formula>
    </cfRule>
    <cfRule type="cellIs" dxfId="673" priority="869" stopIfTrue="1" operator="between">
      <formula>8</formula>
      <formula>8.9</formula>
    </cfRule>
    <cfRule type="cellIs" dxfId="672" priority="868" operator="between">
      <formula>7</formula>
      <formula>7.9</formula>
    </cfRule>
    <cfRule type="cellIs" dxfId="671" priority="867" operator="between">
      <formula>10.1</formula>
      <formula>10.6</formula>
    </cfRule>
  </conditionalFormatting>
  <conditionalFormatting sqref="K625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ontainsBlanks" dxfId="670" priority="808" stopIfTrue="1">
      <formula>LEN(TRIM(K626))=0</formula>
    </cfRule>
    <cfRule type="cellIs" dxfId="669" priority="810" operator="between">
      <formula>2</formula>
      <formula>4.9</formula>
    </cfRule>
    <cfRule type="cellIs" dxfId="668" priority="811" operator="between">
      <formula>5</formula>
      <formula>6.9</formula>
    </cfRule>
    <cfRule type="cellIs" dxfId="667" priority="812" operator="between">
      <formula>10.1</formula>
      <formula>10.6</formula>
    </cfRule>
    <cfRule type="cellIs" dxfId="666" priority="813" operator="between">
      <formula>7</formula>
      <formula>7.9</formula>
    </cfRule>
    <cfRule type="cellIs" dxfId="665" priority="814" stopIfTrue="1" operator="between">
      <formula>8</formula>
      <formula>8.9</formula>
    </cfRule>
    <cfRule type="cellIs" dxfId="664" priority="815" operator="between">
      <formula>9</formula>
      <formula>9.9</formula>
    </cfRule>
    <cfRule type="cellIs" dxfId="663" priority="816" stopIfTrue="1" operator="between">
      <formula>10</formula>
      <formula>10</formula>
    </cfRule>
    <cfRule type="cellIs" dxfId="662" priority="809" operator="lessThan">
      <formula>2</formula>
    </cfRule>
  </conditionalFormatting>
  <conditionalFormatting sqref="K638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ellIs" dxfId="661" priority="750" stopIfTrue="1" operator="between">
      <formula>10</formula>
      <formula>10</formula>
    </cfRule>
    <cfRule type="containsBlanks" dxfId="660" priority="742" stopIfTrue="1">
      <formula>LEN(TRIM(K639))=0</formula>
    </cfRule>
    <cfRule type="cellIs" dxfId="659" priority="743" operator="lessThan">
      <formula>2</formula>
    </cfRule>
    <cfRule type="cellIs" dxfId="658" priority="744" operator="between">
      <formula>2</formula>
      <formula>4.9</formula>
    </cfRule>
    <cfRule type="cellIs" dxfId="657" priority="745" operator="between">
      <formula>5</formula>
      <formula>6.9</formula>
    </cfRule>
    <cfRule type="cellIs" dxfId="656" priority="746" operator="between">
      <formula>10.1</formula>
      <formula>10.6</formula>
    </cfRule>
    <cfRule type="cellIs" dxfId="655" priority="747" operator="between">
      <formula>7</formula>
      <formula>7.9</formula>
    </cfRule>
    <cfRule type="cellIs" dxfId="654" priority="748" stopIfTrue="1" operator="between">
      <formula>8</formula>
      <formula>8.9</formula>
    </cfRule>
    <cfRule type="cellIs" dxfId="653" priority="749" operator="between">
      <formula>9</formula>
      <formula>9.9</formula>
    </cfRule>
  </conditionalFormatting>
  <conditionalFormatting sqref="K652">
    <cfRule type="colorScale" priority="675">
      <colorScale>
        <cfvo type="num" val="5"/>
        <cfvo type="num" val="10"/>
        <color rgb="FFFF494D"/>
        <color rgb="FF00FF66"/>
      </colorScale>
    </cfRule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53:K659">
    <cfRule type="cellIs" dxfId="652" priority="680" operator="between">
      <formula>10.1</formula>
      <formula>10.6</formula>
    </cfRule>
    <cfRule type="cellIs" dxfId="651" priority="679" operator="between">
      <formula>5</formula>
      <formula>6.9</formula>
    </cfRule>
    <cfRule type="containsBlanks" dxfId="650" priority="676" stopIfTrue="1">
      <formula>LEN(TRIM(K653))=0</formula>
    </cfRule>
    <cfRule type="cellIs" dxfId="649" priority="681" operator="between">
      <formula>7</formula>
      <formula>7.9</formula>
    </cfRule>
    <cfRule type="cellIs" dxfId="648" priority="682" stopIfTrue="1" operator="between">
      <formula>8</formula>
      <formula>8.9</formula>
    </cfRule>
    <cfRule type="cellIs" dxfId="647" priority="683" operator="between">
      <formula>9</formula>
      <formula>9.9</formula>
    </cfRule>
    <cfRule type="cellIs" dxfId="646" priority="684" stopIfTrue="1" operator="between">
      <formula>10</formula>
      <formula>10</formula>
    </cfRule>
    <cfRule type="cellIs" dxfId="645" priority="677" operator="lessThan">
      <formula>2</formula>
    </cfRule>
    <cfRule type="cellIs" dxfId="644" priority="678" operator="between">
      <formula>2</formula>
      <formula>4.9</formula>
    </cfRule>
  </conditionalFormatting>
  <conditionalFormatting sqref="K661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62:K674">
    <cfRule type="cellIs" dxfId="643" priority="651" stopIfTrue="1" operator="between">
      <formula>10</formula>
      <formula>10</formula>
    </cfRule>
    <cfRule type="containsBlanks" dxfId="642" priority="643" stopIfTrue="1">
      <formula>LEN(TRIM(K662))=0</formula>
    </cfRule>
    <cfRule type="cellIs" dxfId="641" priority="644" operator="lessThan">
      <formula>2</formula>
    </cfRule>
    <cfRule type="cellIs" dxfId="640" priority="645" operator="between">
      <formula>2</formula>
      <formula>4.9</formula>
    </cfRule>
    <cfRule type="cellIs" dxfId="639" priority="646" operator="between">
      <formula>5</formula>
      <formula>6.9</formula>
    </cfRule>
    <cfRule type="cellIs" dxfId="638" priority="647" operator="between">
      <formula>10.1</formula>
      <formula>10.6</formula>
    </cfRule>
    <cfRule type="cellIs" dxfId="637" priority="648" operator="between">
      <formula>7</formula>
      <formula>7.9</formula>
    </cfRule>
    <cfRule type="cellIs" dxfId="636" priority="649" stopIfTrue="1" operator="between">
      <formula>8</formula>
      <formula>8.9</formula>
    </cfRule>
    <cfRule type="cellIs" dxfId="635" priority="650" operator="between">
      <formula>9</formula>
      <formula>9.9</formula>
    </cfRule>
  </conditionalFormatting>
  <conditionalFormatting sqref="K676">
    <cfRule type="colorScale" priority="587">
      <colorScale>
        <cfvo type="num" val="5"/>
        <cfvo type="num" val="10"/>
        <color rgb="FFFF494D"/>
        <color rgb="FF00FF66"/>
      </colorScale>
    </cfRule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7:K689">
    <cfRule type="cellIs" dxfId="634" priority="589" operator="lessThan">
      <formula>2</formula>
    </cfRule>
    <cfRule type="cellIs" dxfId="633" priority="591" operator="between">
      <formula>5</formula>
      <formula>6.9</formula>
    </cfRule>
    <cfRule type="cellIs" dxfId="632" priority="595" operator="between">
      <formula>9</formula>
      <formula>9.9</formula>
    </cfRule>
    <cfRule type="containsBlanks" dxfId="631" priority="588" stopIfTrue="1">
      <formula>LEN(TRIM(K677))=0</formula>
    </cfRule>
    <cfRule type="cellIs" dxfId="630" priority="594" stopIfTrue="1" operator="between">
      <formula>8</formula>
      <formula>8.9</formula>
    </cfRule>
    <cfRule type="cellIs" dxfId="629" priority="593" operator="between">
      <formula>7</formula>
      <formula>7.9</formula>
    </cfRule>
    <cfRule type="cellIs" dxfId="628" priority="592" operator="between">
      <formula>10.1</formula>
      <formula>10.6</formula>
    </cfRule>
    <cfRule type="cellIs" dxfId="627" priority="590" operator="between">
      <formula>2</formula>
      <formula>4.9</formula>
    </cfRule>
    <cfRule type="cellIs" dxfId="626" priority="596" stopIfTrue="1" operator="between">
      <formula>10</formula>
      <formula>10</formula>
    </cfRule>
  </conditionalFormatting>
  <conditionalFormatting sqref="K691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92:K701">
    <cfRule type="cellIs" dxfId="625" priority="514" operator="between">
      <formula>5</formula>
      <formula>6.9</formula>
    </cfRule>
    <cfRule type="cellIs" dxfId="624" priority="512" operator="lessThan">
      <formula>2</formula>
    </cfRule>
    <cfRule type="containsBlanks" dxfId="623" priority="511" stopIfTrue="1">
      <formula>LEN(TRIM(K692))=0</formula>
    </cfRule>
    <cfRule type="cellIs" dxfId="622" priority="513" operator="between">
      <formula>2</formula>
      <formula>4.9</formula>
    </cfRule>
    <cfRule type="cellIs" dxfId="621" priority="518" operator="between">
      <formula>9</formula>
      <formula>9.9</formula>
    </cfRule>
    <cfRule type="cellIs" dxfId="620" priority="519" stopIfTrue="1" operator="between">
      <formula>10</formula>
      <formula>10</formula>
    </cfRule>
    <cfRule type="cellIs" dxfId="619" priority="517" stopIfTrue="1" operator="between">
      <formula>8</formula>
      <formula>8.9</formula>
    </cfRule>
    <cfRule type="cellIs" dxfId="618" priority="516" operator="between">
      <formula>7</formula>
      <formula>7.9</formula>
    </cfRule>
    <cfRule type="cellIs" dxfId="617" priority="515" operator="between">
      <formula>10.1</formula>
      <formula>10.6</formula>
    </cfRule>
  </conditionalFormatting>
  <conditionalFormatting sqref="K703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616" priority="465" stopIfTrue="1">
      <formula>LEN(TRIM(K704))=0</formula>
    </cfRule>
    <cfRule type="cellIs" dxfId="615" priority="466" operator="lessThan">
      <formula>2</formula>
    </cfRule>
    <cfRule type="cellIs" dxfId="614" priority="471" stopIfTrue="1" operator="between">
      <formula>8</formula>
      <formula>8.9</formula>
    </cfRule>
    <cfRule type="cellIs" dxfId="613" priority="470" operator="between">
      <formula>7</formula>
      <formula>7.9</formula>
    </cfRule>
    <cfRule type="cellIs" dxfId="612" priority="469" operator="between">
      <formula>10.1</formula>
      <formula>10.6</formula>
    </cfRule>
    <cfRule type="cellIs" dxfId="611" priority="468" operator="between">
      <formula>5</formula>
      <formula>6.9</formula>
    </cfRule>
    <cfRule type="cellIs" dxfId="610" priority="472" operator="between">
      <formula>9</formula>
      <formula>9.9</formula>
    </cfRule>
    <cfRule type="cellIs" dxfId="609" priority="473" stopIfTrue="1" operator="between">
      <formula>10</formula>
      <formula>10</formula>
    </cfRule>
    <cfRule type="cellIs" dxfId="608" priority="467" operator="between">
      <formula>2</formula>
      <formula>4.9</formula>
    </cfRule>
  </conditionalFormatting>
  <conditionalFormatting sqref="K719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607" priority="401" stopIfTrue="1">
      <formula>LEN(TRIM(K720))=0</formula>
    </cfRule>
    <cfRule type="cellIs" dxfId="606" priority="402" operator="lessThan">
      <formula>2</formula>
    </cfRule>
    <cfRule type="cellIs" dxfId="605" priority="403" operator="between">
      <formula>2</formula>
      <formula>4.9</formula>
    </cfRule>
    <cfRule type="cellIs" dxfId="604" priority="404" operator="between">
      <formula>5</formula>
      <formula>6.9</formula>
    </cfRule>
    <cfRule type="cellIs" dxfId="603" priority="406" operator="between">
      <formula>7</formula>
      <formula>7.9</formula>
    </cfRule>
    <cfRule type="cellIs" dxfId="602" priority="409" stopIfTrue="1" operator="between">
      <formula>10</formula>
      <formula>10</formula>
    </cfRule>
    <cfRule type="cellIs" dxfId="601" priority="408" operator="between">
      <formula>9</formula>
      <formula>9.9</formula>
    </cfRule>
    <cfRule type="cellIs" dxfId="600" priority="407" stopIfTrue="1" operator="between">
      <formula>8</formula>
      <formula>8.9</formula>
    </cfRule>
    <cfRule type="cellIs" dxfId="599" priority="405" operator="between">
      <formula>10.1</formula>
      <formula>10.6</formula>
    </cfRule>
  </conditionalFormatting>
  <conditionalFormatting sqref="K724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25:K729">
    <cfRule type="cellIs" dxfId="598" priority="371" operator="between">
      <formula>5</formula>
      <formula>6.9</formula>
    </cfRule>
    <cfRule type="cellIs" dxfId="597" priority="370" operator="between">
      <formula>2</formula>
      <formula>4.9</formula>
    </cfRule>
    <cfRule type="cellIs" dxfId="596" priority="369" operator="lessThan">
      <formula>2</formula>
    </cfRule>
    <cfRule type="containsBlanks" dxfId="595" priority="368" stopIfTrue="1">
      <formula>LEN(TRIM(K725))=0</formula>
    </cfRule>
    <cfRule type="cellIs" dxfId="594" priority="372" operator="between">
      <formula>10.1</formula>
      <formula>10.6</formula>
    </cfRule>
    <cfRule type="cellIs" dxfId="593" priority="373" operator="between">
      <formula>7</formula>
      <formula>7.9</formula>
    </cfRule>
    <cfRule type="cellIs" dxfId="592" priority="374" stopIfTrue="1" operator="between">
      <formula>8</formula>
      <formula>8.9</formula>
    </cfRule>
    <cfRule type="cellIs" dxfId="591" priority="375" operator="between">
      <formula>9</formula>
      <formula>9.9</formula>
    </cfRule>
    <cfRule type="cellIs" dxfId="590" priority="376" stopIfTrue="1" operator="between">
      <formula>10</formula>
      <formula>10</formula>
    </cfRule>
  </conditionalFormatting>
  <conditionalFormatting sqref="K731"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ellIs" dxfId="589" priority="328" operator="between">
      <formula>10.1</formula>
      <formula>10.6</formula>
    </cfRule>
    <cfRule type="cellIs" dxfId="588" priority="325" operator="lessThan">
      <formula>2</formula>
    </cfRule>
    <cfRule type="cellIs" dxfId="587" priority="326" operator="between">
      <formula>2</formula>
      <formula>4.9</formula>
    </cfRule>
    <cfRule type="containsBlanks" dxfId="586" priority="324" stopIfTrue="1">
      <formula>LEN(TRIM(K732))=0</formula>
    </cfRule>
    <cfRule type="cellIs" dxfId="585" priority="332" stopIfTrue="1" operator="between">
      <formula>10</formula>
      <formula>10</formula>
    </cfRule>
    <cfRule type="cellIs" dxfId="584" priority="331" operator="between">
      <formula>9</formula>
      <formula>9.9</formula>
    </cfRule>
    <cfRule type="cellIs" dxfId="583" priority="330" stopIfTrue="1" operator="between">
      <formula>8</formula>
      <formula>8.9</formula>
    </cfRule>
    <cfRule type="cellIs" dxfId="582" priority="329" operator="between">
      <formula>7</formula>
      <formula>7.9</formula>
    </cfRule>
    <cfRule type="cellIs" dxfId="581" priority="327" operator="between">
      <formula>5</formula>
      <formula>6.9</formula>
    </cfRule>
  </conditionalFormatting>
  <conditionalFormatting sqref="K739">
    <cfRule type="colorScale" priority="290">
      <colorScale>
        <cfvo type="num" val="5"/>
        <cfvo type="num" val="10"/>
        <color rgb="FFFF494D"/>
        <color rgb="FF00FF66"/>
      </colorScale>
    </cfRule>
    <cfRule type="colorScale" priority="2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0:K745">
    <cfRule type="cellIs" dxfId="580" priority="299" stopIfTrue="1" operator="between">
      <formula>10</formula>
      <formula>10</formula>
    </cfRule>
    <cfRule type="cellIs" dxfId="579" priority="298" operator="between">
      <formula>9</formula>
      <formula>9.9</formula>
    </cfRule>
    <cfRule type="cellIs" dxfId="578" priority="297" stopIfTrue="1" operator="between">
      <formula>8</formula>
      <formula>8.9</formula>
    </cfRule>
    <cfRule type="cellIs" dxfId="577" priority="296" operator="between">
      <formula>7</formula>
      <formula>7.9</formula>
    </cfRule>
    <cfRule type="cellIs" dxfId="576" priority="295" operator="between">
      <formula>10.1</formula>
      <formula>10.6</formula>
    </cfRule>
    <cfRule type="cellIs" dxfId="575" priority="294" operator="between">
      <formula>5</formula>
      <formula>6.9</formula>
    </cfRule>
    <cfRule type="cellIs" dxfId="574" priority="293" operator="between">
      <formula>2</formula>
      <formula>4.9</formula>
    </cfRule>
    <cfRule type="cellIs" dxfId="573" priority="292" operator="lessThan">
      <formula>2</formula>
    </cfRule>
    <cfRule type="containsBlanks" dxfId="572" priority="291" stopIfTrue="1">
      <formula>LEN(TRIM(K740))=0</formula>
    </cfRule>
  </conditionalFormatting>
  <conditionalFormatting sqref="K747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8:K757">
    <cfRule type="cellIs" dxfId="571" priority="251" stopIfTrue="1" operator="between">
      <formula>8</formula>
      <formula>8.9</formula>
    </cfRule>
    <cfRule type="cellIs" dxfId="570" priority="252" operator="between">
      <formula>9</formula>
      <formula>9.9</formula>
    </cfRule>
    <cfRule type="cellIs" dxfId="569" priority="253" stopIfTrue="1" operator="between">
      <formula>10</formula>
      <formula>10</formula>
    </cfRule>
    <cfRule type="cellIs" dxfId="568" priority="250" operator="between">
      <formula>7</formula>
      <formula>7.9</formula>
    </cfRule>
    <cfRule type="cellIs" dxfId="567" priority="249" operator="between">
      <formula>10.1</formula>
      <formula>10.6</formula>
    </cfRule>
    <cfRule type="cellIs" dxfId="566" priority="248" operator="between">
      <formula>5</formula>
      <formula>6.9</formula>
    </cfRule>
    <cfRule type="cellIs" dxfId="565" priority="247" operator="between">
      <formula>2</formula>
      <formula>4.9</formula>
    </cfRule>
    <cfRule type="cellIs" dxfId="564" priority="246" operator="lessThan">
      <formula>2</formula>
    </cfRule>
    <cfRule type="containsBlanks" dxfId="563" priority="245" stopIfTrue="1">
      <formula>LEN(TRIM(K748))=0</formula>
    </cfRule>
  </conditionalFormatting>
  <conditionalFormatting sqref="K759"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">
      <colorScale>
        <cfvo type="num" val="5"/>
        <cfvo type="num" val="10"/>
        <color rgb="FFFF494D"/>
        <color rgb="FF00FF66"/>
      </colorScale>
    </cfRule>
  </conditionalFormatting>
  <conditionalFormatting sqref="K760:K767">
    <cfRule type="containsBlanks" dxfId="562" priority="181" stopIfTrue="1">
      <formula>LEN(TRIM(K760))=0</formula>
    </cfRule>
    <cfRule type="cellIs" dxfId="561" priority="182" operator="lessThan">
      <formula>2</formula>
    </cfRule>
    <cfRule type="cellIs" dxfId="560" priority="183" operator="between">
      <formula>2</formula>
      <formula>4.9</formula>
    </cfRule>
    <cfRule type="cellIs" dxfId="559" priority="184" operator="between">
      <formula>5</formula>
      <formula>6.9</formula>
    </cfRule>
    <cfRule type="cellIs" dxfId="558" priority="185" operator="between">
      <formula>10.1</formula>
      <formula>10.6</formula>
    </cfRule>
    <cfRule type="cellIs" dxfId="557" priority="186" operator="between">
      <formula>7</formula>
      <formula>7.9</formula>
    </cfRule>
    <cfRule type="cellIs" dxfId="556" priority="187" stopIfTrue="1" operator="between">
      <formula>8</formula>
      <formula>8.9</formula>
    </cfRule>
    <cfRule type="cellIs" dxfId="555" priority="188" operator="between">
      <formula>9</formula>
      <formula>9.9</formula>
    </cfRule>
    <cfRule type="cellIs" dxfId="554" priority="189" stopIfTrue="1" operator="between">
      <formula>10</formula>
      <formula>10</formula>
    </cfRule>
  </conditionalFormatting>
  <conditionalFormatting sqref="K769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70:K781">
    <cfRule type="cellIs" dxfId="553" priority="154" stopIfTrue="1" operator="between">
      <formula>8</formula>
      <formula>8.9</formula>
    </cfRule>
    <cfRule type="containsBlanks" dxfId="552" priority="148" stopIfTrue="1">
      <formula>LEN(TRIM(K770))=0</formula>
    </cfRule>
    <cfRule type="cellIs" dxfId="551" priority="149" operator="lessThan">
      <formula>2</formula>
    </cfRule>
    <cfRule type="cellIs" dxfId="550" priority="150" operator="between">
      <formula>2</formula>
      <formula>4.9</formula>
    </cfRule>
    <cfRule type="cellIs" dxfId="549" priority="151" operator="between">
      <formula>5</formula>
      <formula>6.9</formula>
    </cfRule>
    <cfRule type="cellIs" dxfId="548" priority="152" operator="between">
      <formula>10.1</formula>
      <formula>10.6</formula>
    </cfRule>
    <cfRule type="cellIs" dxfId="547" priority="153" operator="between">
      <formula>7</formula>
      <formula>7.9</formula>
    </cfRule>
    <cfRule type="cellIs" dxfId="546" priority="156" stopIfTrue="1" operator="between">
      <formula>10</formula>
      <formula>10</formula>
    </cfRule>
    <cfRule type="cellIs" dxfId="545" priority="155" operator="between">
      <formula>9</formula>
      <formula>9.9</formula>
    </cfRule>
  </conditionalFormatting>
  <conditionalFormatting sqref="K783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4:K796">
    <cfRule type="cellIs" dxfId="544" priority="88" stopIfTrue="1" operator="between">
      <formula>8</formula>
      <formula>8.9</formula>
    </cfRule>
    <cfRule type="cellIs" dxfId="543" priority="89" operator="between">
      <formula>9</formula>
      <formula>9.9</formula>
    </cfRule>
    <cfRule type="cellIs" dxfId="542" priority="87" operator="between">
      <formula>7</formula>
      <formula>7.9</formula>
    </cfRule>
    <cfRule type="cellIs" dxfId="541" priority="90" stopIfTrue="1" operator="between">
      <formula>10</formula>
      <formula>10</formula>
    </cfRule>
    <cfRule type="cellIs" dxfId="540" priority="86" operator="between">
      <formula>10.1</formula>
      <formula>10.6</formula>
    </cfRule>
    <cfRule type="cellIs" dxfId="539" priority="85" operator="between">
      <formula>5</formula>
      <formula>6.9</formula>
    </cfRule>
    <cfRule type="cellIs" dxfId="538" priority="84" operator="between">
      <formula>2</formula>
      <formula>4.9</formula>
    </cfRule>
    <cfRule type="cellIs" dxfId="537" priority="83" operator="lessThan">
      <formula>2</formula>
    </cfRule>
    <cfRule type="containsBlanks" dxfId="536" priority="82" stopIfTrue="1">
      <formula>LEN(TRIM(K784))=0</formula>
    </cfRule>
  </conditionalFormatting>
  <conditionalFormatting sqref="K79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799:K802">
    <cfRule type="containsBlanks" dxfId="535" priority="14" stopIfTrue="1">
      <formula>LEN(TRIM(K799))=0</formula>
    </cfRule>
    <cfRule type="cellIs" dxfId="534" priority="19" operator="between">
      <formula>7</formula>
      <formula>7.9</formula>
    </cfRule>
    <cfRule type="cellIs" dxfId="533" priority="20" stopIfTrue="1" operator="between">
      <formula>8</formula>
      <formula>8.9</formula>
    </cfRule>
    <cfRule type="cellIs" dxfId="532" priority="21" operator="between">
      <formula>9</formula>
      <formula>9.9</formula>
    </cfRule>
    <cfRule type="cellIs" dxfId="531" priority="22" stopIfTrue="1" operator="between">
      <formula>10</formula>
      <formula>10</formula>
    </cfRule>
    <cfRule type="cellIs" dxfId="530" priority="18" operator="between">
      <formula>10.1</formula>
      <formula>10.6</formula>
    </cfRule>
    <cfRule type="cellIs" dxfId="529" priority="17" operator="between">
      <formula>5</formula>
      <formula>6.9</formula>
    </cfRule>
    <cfRule type="cellIs" dxfId="528" priority="16" operator="between">
      <formula>2</formula>
      <formula>4.9</formula>
    </cfRule>
    <cfRule type="cellIs" dxfId="527" priority="15" operator="lessThan">
      <formula>2</formula>
    </cfRule>
  </conditionalFormatting>
  <conditionalFormatting sqref="M28">
    <cfRule type="colorScale" priority="3629">
      <colorScale>
        <cfvo type="num" val="5"/>
        <cfvo type="num" val="10"/>
        <color rgb="FFFF494D"/>
        <color rgb="FF00FF66"/>
      </colorScale>
    </cfRule>
    <cfRule type="colorScale" priority="3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3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26" priority="3228" operator="between">
      <formula>9</formula>
      <formula>9.9</formula>
    </cfRule>
    <cfRule type="cellIs" dxfId="525" priority="3227" stopIfTrue="1" operator="between">
      <formula>8</formula>
      <formula>8.9</formula>
    </cfRule>
    <cfRule type="cellIs" dxfId="524" priority="3226" operator="between">
      <formula>7</formula>
      <formula>7.9</formula>
    </cfRule>
    <cfRule type="cellIs" dxfId="523" priority="3225" operator="between">
      <formula>10.1</formula>
      <formula>10.6</formula>
    </cfRule>
    <cfRule type="cellIs" dxfId="522" priority="3229" stopIfTrue="1" operator="between">
      <formula>10</formula>
      <formula>10</formula>
    </cfRule>
    <cfRule type="containsBlanks" dxfId="521" priority="3230" stopIfTrue="1">
      <formula>LEN(TRIM(N3))=0</formula>
    </cfRule>
  </conditionalFormatting>
  <conditionalFormatting sqref="N15:N26">
    <cfRule type="cellIs" dxfId="520" priority="3357" operator="between">
      <formula>7</formula>
      <formula>7.9</formula>
    </cfRule>
    <cfRule type="cellIs" dxfId="519" priority="3358" stopIfTrue="1" operator="between">
      <formula>8</formula>
      <formula>8.9</formula>
    </cfRule>
    <cfRule type="cellIs" dxfId="518" priority="3359" operator="between">
      <formula>9</formula>
      <formula>9.9</formula>
    </cfRule>
    <cfRule type="cellIs" dxfId="517" priority="3360" stopIfTrue="1" operator="between">
      <formula>10</formula>
      <formula>10</formula>
    </cfRule>
  </conditionalFormatting>
  <conditionalFormatting sqref="N28">
    <cfRule type="colorScale" priority="3123">
      <colorScale>
        <cfvo type="num" val="5"/>
        <cfvo type="num" val="10"/>
        <color rgb="FFFF494D"/>
        <color rgb="FF00FF66"/>
      </colorScale>
    </cfRule>
    <cfRule type="colorScale" priority="3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516" priority="3362" stopIfTrue="1" operator="between">
      <formula>8</formula>
      <formula>8.9</formula>
    </cfRule>
    <cfRule type="cellIs" dxfId="515" priority="3364" stopIfTrue="1" operator="between">
      <formula>10</formula>
      <formula>10</formula>
    </cfRule>
    <cfRule type="cellIs" dxfId="514" priority="3361" operator="between">
      <formula>7</formula>
      <formula>7.9</formula>
    </cfRule>
    <cfRule type="cellIs" dxfId="513" priority="3363" operator="between">
      <formula>9</formula>
      <formula>9.9</formula>
    </cfRule>
  </conditionalFormatting>
  <conditionalFormatting sqref="N39">
    <cfRule type="colorScale" priority="3596">
      <colorScale>
        <cfvo type="num" val="5"/>
        <cfvo type="num" val="10"/>
        <color rgb="FFFF494D"/>
        <color rgb="FF00FF66"/>
      </colorScale>
    </cfRule>
    <cfRule type="colorScale" priority="3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512" priority="3167" stopIfTrue="1" operator="between">
      <formula>8</formula>
      <formula>8.9</formula>
    </cfRule>
    <cfRule type="cellIs" dxfId="511" priority="3166" operator="between">
      <formula>7</formula>
      <formula>7.9</formula>
    </cfRule>
    <cfRule type="containsBlanks" dxfId="510" priority="3170" stopIfTrue="1">
      <formula>LEN(TRIM(N40))=0</formula>
    </cfRule>
    <cfRule type="cellIs" dxfId="509" priority="3169" stopIfTrue="1" operator="between">
      <formula>10</formula>
      <formula>10</formula>
    </cfRule>
    <cfRule type="cellIs" dxfId="508" priority="3165" operator="between">
      <formula>10.1</formula>
      <formula>10.6</formula>
    </cfRule>
    <cfRule type="cellIs" dxfId="507" priority="3168" operator="between">
      <formula>9</formula>
      <formula>9.9</formula>
    </cfRule>
  </conditionalFormatting>
  <conditionalFormatting sqref="N54">
    <cfRule type="colorScale" priority="3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5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506" priority="3148" operator="between">
      <formula>7</formula>
      <formula>7.9</formula>
    </cfRule>
    <cfRule type="containsBlanks" dxfId="505" priority="3152" stopIfTrue="1">
      <formula>LEN(TRIM(N55))=0</formula>
    </cfRule>
    <cfRule type="cellIs" dxfId="504" priority="3151" stopIfTrue="1" operator="between">
      <formula>10</formula>
      <formula>10</formula>
    </cfRule>
    <cfRule type="cellIs" dxfId="503" priority="3150" operator="between">
      <formula>9</formula>
      <formula>9.9</formula>
    </cfRule>
    <cfRule type="cellIs" dxfId="502" priority="3149" stopIfTrue="1" operator="between">
      <formula>8</formula>
      <formula>8.9</formula>
    </cfRule>
    <cfRule type="cellIs" dxfId="501" priority="3147" operator="between">
      <formula>10.1</formula>
      <formula>10.6</formula>
    </cfRule>
  </conditionalFormatting>
  <conditionalFormatting sqref="N67">
    <cfRule type="colorScale" priority="3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500" priority="3098" operator="between">
      <formula>10.1</formula>
      <formula>10.6</formula>
    </cfRule>
    <cfRule type="cellIs" dxfId="499" priority="3099" operator="between">
      <formula>7</formula>
      <formula>7.9</formula>
    </cfRule>
    <cfRule type="cellIs" dxfId="498" priority="3100" stopIfTrue="1" operator="between">
      <formula>8</formula>
      <formula>8.9</formula>
    </cfRule>
    <cfRule type="cellIs" dxfId="497" priority="3101" operator="between">
      <formula>9</formula>
      <formula>9.9</formula>
    </cfRule>
    <cfRule type="cellIs" dxfId="496" priority="3102" stopIfTrue="1" operator="between">
      <formula>10</formula>
      <formula>10</formula>
    </cfRule>
    <cfRule type="containsBlanks" dxfId="495" priority="3103" stopIfTrue="1">
      <formula>LEN(TRIM(N68))=0</formula>
    </cfRule>
  </conditionalFormatting>
  <conditionalFormatting sqref="N79">
    <cfRule type="colorScale" priority="3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94" priority="3030" operator="between">
      <formula>7</formula>
      <formula>7.9</formula>
    </cfRule>
    <cfRule type="cellIs" dxfId="493" priority="3031" stopIfTrue="1" operator="between">
      <formula>8</formula>
      <formula>8.9</formula>
    </cfRule>
    <cfRule type="cellIs" dxfId="492" priority="3032" operator="between">
      <formula>9</formula>
      <formula>9.9</formula>
    </cfRule>
    <cfRule type="cellIs" dxfId="491" priority="3033" stopIfTrue="1" operator="between">
      <formula>10</formula>
      <formula>10</formula>
    </cfRule>
    <cfRule type="containsBlanks" dxfId="490" priority="3034" stopIfTrue="1">
      <formula>LEN(TRIM(N80))=0</formula>
    </cfRule>
    <cfRule type="cellIs" dxfId="489" priority="3029" operator="between">
      <formula>10.1</formula>
      <formula>10.6</formula>
    </cfRule>
  </conditionalFormatting>
  <conditionalFormatting sqref="N93">
    <cfRule type="colorScale" priority="2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88" priority="2993" operator="between">
      <formula>7</formula>
      <formula>7.9</formula>
    </cfRule>
    <cfRule type="cellIs" dxfId="487" priority="2994" stopIfTrue="1" operator="between">
      <formula>8</formula>
      <formula>8.9</formula>
    </cfRule>
    <cfRule type="cellIs" dxfId="486" priority="2995" operator="between">
      <formula>9</formula>
      <formula>9.9</formula>
    </cfRule>
    <cfRule type="cellIs" dxfId="485" priority="2996" stopIfTrue="1" operator="between">
      <formula>10</formula>
      <formula>10</formula>
    </cfRule>
    <cfRule type="containsBlanks" dxfId="484" priority="2997" stopIfTrue="1">
      <formula>LEN(TRIM(N94))=0</formula>
    </cfRule>
    <cfRule type="cellIs" dxfId="483" priority="2992" operator="between">
      <formula>10.1</formula>
      <formula>10.6</formula>
    </cfRule>
  </conditionalFormatting>
  <conditionalFormatting sqref="N112">
    <cfRule type="colorScale" priority="2925">
      <colorScale>
        <cfvo type="num" val="5"/>
        <cfvo type="num" val="10"/>
        <color rgb="FFFF494D"/>
        <color rgb="FF00FF66"/>
      </colorScale>
    </cfRule>
    <cfRule type="colorScale" priority="2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482" priority="2918" operator="between">
      <formula>10.1</formula>
      <formula>10.6</formula>
    </cfRule>
    <cfRule type="cellIs" dxfId="481" priority="2919" operator="between">
      <formula>7</formula>
      <formula>7.9</formula>
    </cfRule>
    <cfRule type="containsBlanks" dxfId="480" priority="2923" stopIfTrue="1">
      <formula>LEN(TRIM(N113))=0</formula>
    </cfRule>
    <cfRule type="cellIs" dxfId="479" priority="2922" stopIfTrue="1" operator="between">
      <formula>10</formula>
      <formula>10</formula>
    </cfRule>
    <cfRule type="cellIs" dxfId="478" priority="2921" operator="between">
      <formula>9</formula>
      <formula>9.9</formula>
    </cfRule>
    <cfRule type="cellIs" dxfId="477" priority="2920" stopIfTrue="1" operator="between">
      <formula>8</formula>
      <formula>8.9</formula>
    </cfRule>
  </conditionalFormatting>
  <conditionalFormatting sqref="N127">
    <cfRule type="colorScale" priority="2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76" priority="2852" operator="between">
      <formula>7</formula>
      <formula>7.9</formula>
    </cfRule>
    <cfRule type="containsBlanks" dxfId="475" priority="2856" stopIfTrue="1">
      <formula>LEN(TRIM(N128))=0</formula>
    </cfRule>
    <cfRule type="cellIs" dxfId="474" priority="2845" operator="between">
      <formula>10.1</formula>
      <formula>10.6</formula>
    </cfRule>
    <cfRule type="cellIs" dxfId="473" priority="2854" operator="between">
      <formula>9</formula>
      <formula>9.9</formula>
    </cfRule>
    <cfRule type="cellIs" dxfId="472" priority="2853" stopIfTrue="1" operator="between">
      <formula>8</formula>
      <formula>8.9</formula>
    </cfRule>
    <cfRule type="cellIs" dxfId="471" priority="2846" operator="between">
      <formula>7</formula>
      <formula>7.9</formula>
    </cfRule>
    <cfRule type="cellIs" dxfId="470" priority="2847" stopIfTrue="1" operator="between">
      <formula>8</formula>
      <formula>8.9</formula>
    </cfRule>
    <cfRule type="cellIs" dxfId="469" priority="2855" stopIfTrue="1" operator="between">
      <formula>10</formula>
      <formula>10</formula>
    </cfRule>
    <cfRule type="cellIs" dxfId="468" priority="2851" operator="between">
      <formula>10.1</formula>
      <formula>10.6</formula>
    </cfRule>
    <cfRule type="containsBlanks" dxfId="467" priority="2850" stopIfTrue="1">
      <formula>LEN(TRIM(N128))=0</formula>
    </cfRule>
    <cfRule type="cellIs" dxfId="466" priority="2848" operator="between">
      <formula>9</formula>
      <formula>9.9</formula>
    </cfRule>
    <cfRule type="cellIs" dxfId="465" priority="2844" operator="between">
      <formula>6</formula>
      <formula>6.9</formula>
    </cfRule>
    <cfRule type="cellIs" dxfId="464" priority="2849" stopIfTrue="1" operator="between">
      <formula>10</formula>
      <formula>10</formula>
    </cfRule>
  </conditionalFormatting>
  <conditionalFormatting sqref="N137">
    <cfRule type="colorScale" priority="2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63" priority="2811" stopIfTrue="1" operator="between">
      <formula>8</formula>
      <formula>8.9</formula>
    </cfRule>
    <cfRule type="containsBlanks" dxfId="462" priority="2814" stopIfTrue="1">
      <formula>LEN(TRIM(N138))=0</formula>
    </cfRule>
    <cfRule type="cellIs" dxfId="461" priority="2813" stopIfTrue="1" operator="between">
      <formula>10</formula>
      <formula>10</formula>
    </cfRule>
    <cfRule type="cellIs" dxfId="460" priority="2812" operator="between">
      <formula>9</formula>
      <formula>9.9</formula>
    </cfRule>
    <cfRule type="cellIs" dxfId="459" priority="2808" operator="between">
      <formula>6</formula>
      <formula>6.9</formula>
    </cfRule>
    <cfRule type="cellIs" dxfId="458" priority="2809" operator="between">
      <formula>10.1</formula>
      <formula>10.6</formula>
    </cfRule>
    <cfRule type="cellIs" dxfId="457" priority="2810" operator="between">
      <formula>7</formula>
      <formula>7.9</formula>
    </cfRule>
  </conditionalFormatting>
  <conditionalFormatting sqref="N144">
    <cfRule type="colorScale" priority="2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56" priority="2803" operator="between">
      <formula>9</formula>
      <formula>9.9</formula>
    </cfRule>
    <cfRule type="cellIs" dxfId="455" priority="2801" operator="between">
      <formula>7</formula>
      <formula>7.9</formula>
    </cfRule>
    <cfRule type="cellIs" dxfId="454" priority="2800" operator="between">
      <formula>10.1</formula>
      <formula>10.6</formula>
    </cfRule>
    <cfRule type="cellIs" dxfId="453" priority="2804" stopIfTrue="1" operator="between">
      <formula>10</formula>
      <formula>10</formula>
    </cfRule>
    <cfRule type="containsBlanks" dxfId="452" priority="2805" stopIfTrue="1">
      <formula>LEN(TRIM(N145))=0</formula>
    </cfRule>
    <cfRule type="cellIs" dxfId="451" priority="2799" operator="between">
      <formula>6</formula>
      <formula>6.9</formula>
    </cfRule>
    <cfRule type="cellIs" dxfId="450" priority="2802" stopIfTrue="1" operator="between">
      <formula>8</formula>
      <formula>8.9</formula>
    </cfRule>
  </conditionalFormatting>
  <conditionalFormatting sqref="N152">
    <cfRule type="colorScale" priority="2753">
      <colorScale>
        <cfvo type="num" val="5"/>
        <cfvo type="num" val="10"/>
        <color rgb="FFFF494D"/>
        <color rgb="FF00FF66"/>
      </colorScale>
    </cfRule>
    <cfRule type="colorScale" priority="2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449" priority="2745" operator="between">
      <formula>6</formula>
      <formula>6.9</formula>
    </cfRule>
    <cfRule type="cellIs" dxfId="448" priority="2747" operator="between">
      <formula>7</formula>
      <formula>7.9</formula>
    </cfRule>
    <cfRule type="cellIs" dxfId="447" priority="2748" stopIfTrue="1" operator="between">
      <formula>8</formula>
      <formula>8.9</formula>
    </cfRule>
    <cfRule type="cellIs" dxfId="446" priority="2749" operator="between">
      <formula>9</formula>
      <formula>9.9</formula>
    </cfRule>
    <cfRule type="cellIs" dxfId="445" priority="2746" operator="between">
      <formula>10.1</formula>
      <formula>10.6</formula>
    </cfRule>
    <cfRule type="cellIs" dxfId="444" priority="2750" stopIfTrue="1" operator="between">
      <formula>10</formula>
      <formula>10</formula>
    </cfRule>
    <cfRule type="containsBlanks" dxfId="443" priority="2751" stopIfTrue="1">
      <formula>LEN(TRIM(N153))=0</formula>
    </cfRule>
  </conditionalFormatting>
  <conditionalFormatting sqref="N161">
    <cfRule type="colorScale" priority="2728">
      <colorScale>
        <cfvo type="num" val="5"/>
        <cfvo type="num" val="10"/>
        <color rgb="FFFF494D"/>
        <color rgb="FF00FF66"/>
      </colorScale>
    </cfRule>
    <cfRule type="colorScale" priority="2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442" priority="2735" stopIfTrue="1">
      <formula>LEN(TRIM(N162))=0</formula>
    </cfRule>
    <cfRule type="cellIs" dxfId="441" priority="2734" stopIfTrue="1" operator="between">
      <formula>10</formula>
      <formula>10</formula>
    </cfRule>
    <cfRule type="cellIs" dxfId="440" priority="2733" operator="between">
      <formula>9</formula>
      <formula>9.9</formula>
    </cfRule>
    <cfRule type="cellIs" dxfId="439" priority="2732" stopIfTrue="1" operator="between">
      <formula>8</formula>
      <formula>8.9</formula>
    </cfRule>
    <cfRule type="cellIs" dxfId="438" priority="2731" operator="between">
      <formula>7</formula>
      <formula>7.9</formula>
    </cfRule>
    <cfRule type="cellIs" dxfId="437" priority="2730" operator="between">
      <formula>10.1</formula>
      <formula>10.6</formula>
    </cfRule>
    <cfRule type="cellIs" dxfId="436" priority="2729" operator="between">
      <formula>6</formula>
      <formula>6.9</formula>
    </cfRule>
  </conditionalFormatting>
  <conditionalFormatting sqref="N182">
    <cfRule type="colorScale" priority="2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35" priority="2623" stopIfTrue="1" operator="between">
      <formula>8</formula>
      <formula>8.9</formula>
    </cfRule>
    <cfRule type="containsBlanks" dxfId="434" priority="2626" stopIfTrue="1">
      <formula>LEN(TRIM(N186))=0</formula>
    </cfRule>
    <cfRule type="cellIs" dxfId="433" priority="2620" operator="between">
      <formula>6</formula>
      <formula>6.9</formula>
    </cfRule>
    <cfRule type="cellIs" dxfId="432" priority="2621" operator="between">
      <formula>10.1</formula>
      <formula>10.6</formula>
    </cfRule>
    <cfRule type="cellIs" dxfId="431" priority="2622" operator="between">
      <formula>7</formula>
      <formula>7.9</formula>
    </cfRule>
    <cfRule type="cellIs" dxfId="430" priority="2625" stopIfTrue="1" operator="between">
      <formula>10</formula>
      <formula>10</formula>
    </cfRule>
    <cfRule type="cellIs" dxfId="429" priority="2624" operator="between">
      <formula>9</formula>
      <formula>9.9</formula>
    </cfRule>
  </conditionalFormatting>
  <conditionalFormatting sqref="N211">
    <cfRule type="colorScale" priority="2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428" priority="2543" stopIfTrue="1">
      <formula>LEN(TRIM(N212))=0</formula>
    </cfRule>
    <cfRule type="cellIs" dxfId="427" priority="2542" stopIfTrue="1" operator="between">
      <formula>10</formula>
      <formula>10</formula>
    </cfRule>
    <cfRule type="cellIs" dxfId="426" priority="2541" operator="between">
      <formula>9</formula>
      <formula>9.9</formula>
    </cfRule>
    <cfRule type="cellIs" dxfId="425" priority="2540" stopIfTrue="1" operator="between">
      <formula>8</formula>
      <formula>8.9</formula>
    </cfRule>
    <cfRule type="cellIs" dxfId="424" priority="2539" operator="between">
      <formula>7</formula>
      <formula>7.9</formula>
    </cfRule>
    <cfRule type="cellIs" dxfId="423" priority="2538" operator="between">
      <formula>10.1</formula>
      <formula>11</formula>
    </cfRule>
    <cfRule type="cellIs" dxfId="422" priority="2537" operator="between">
      <formula>6</formula>
      <formula>6.9</formula>
    </cfRule>
  </conditionalFormatting>
  <conditionalFormatting sqref="N228">
    <cfRule type="colorScale" priority="2482">
      <colorScale>
        <cfvo type="num" val="5"/>
        <cfvo type="num" val="10"/>
        <color rgb="FFFF494D"/>
        <color rgb="FF00FF66"/>
      </colorScale>
    </cfRule>
    <cfRule type="colorScale" priority="2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421" priority="2485" operator="between">
      <formula>7</formula>
      <formula>7.9</formula>
    </cfRule>
    <cfRule type="cellIs" dxfId="420" priority="2486" stopIfTrue="1" operator="between">
      <formula>8</formula>
      <formula>8.9</formula>
    </cfRule>
    <cfRule type="cellIs" dxfId="419" priority="2487" operator="between">
      <formula>9</formula>
      <formula>9.9</formula>
    </cfRule>
    <cfRule type="cellIs" dxfId="418" priority="2488" stopIfTrue="1" operator="between">
      <formula>10</formula>
      <formula>10</formula>
    </cfRule>
    <cfRule type="containsBlanks" dxfId="417" priority="2489" stopIfTrue="1">
      <formula>LEN(TRIM(N229))=0</formula>
    </cfRule>
    <cfRule type="cellIs" dxfId="416" priority="2484" operator="between">
      <formula>10.1</formula>
      <formula>11</formula>
    </cfRule>
    <cfRule type="cellIs" dxfId="415" priority="2483" operator="between">
      <formula>6</formula>
      <formula>6.9</formula>
    </cfRule>
  </conditionalFormatting>
  <conditionalFormatting sqref="N240">
    <cfRule type="colorScale" priority="2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14" priority="2434" stopIfTrue="1" operator="between">
      <formula>10</formula>
      <formula>10</formula>
    </cfRule>
    <cfRule type="cellIs" dxfId="413" priority="2431" operator="between">
      <formula>7</formula>
      <formula>7.9</formula>
    </cfRule>
    <cfRule type="cellIs" dxfId="412" priority="2429" operator="between">
      <formula>6</formula>
      <formula>6.9</formula>
    </cfRule>
    <cfRule type="cellIs" dxfId="411" priority="2430" operator="between">
      <formula>10.1</formula>
      <formula>10.6</formula>
    </cfRule>
    <cfRule type="cellIs" dxfId="410" priority="2432" stopIfTrue="1" operator="between">
      <formula>8</formula>
      <formula>8.9</formula>
    </cfRule>
    <cfRule type="cellIs" dxfId="409" priority="2433" operator="between">
      <formula>9</formula>
      <formula>9.9</formula>
    </cfRule>
    <cfRule type="containsBlanks" dxfId="408" priority="2435" stopIfTrue="1">
      <formula>LEN(TRIM(N241))=0</formula>
    </cfRule>
  </conditionalFormatting>
  <conditionalFormatting sqref="N249">
    <cfRule type="colorScale" priority="2410">
      <colorScale>
        <cfvo type="num" val="5"/>
        <cfvo type="num" val="10"/>
        <color rgb="FFFF494D"/>
        <color rgb="FF00FF66"/>
      </colorScale>
    </cfRule>
    <cfRule type="colorScale" priority="2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407" priority="2408" stopIfTrue="1">
      <formula>LEN(TRIM(N250))=0</formula>
    </cfRule>
    <cfRule type="cellIs" dxfId="406" priority="2407" stopIfTrue="1" operator="between">
      <formula>10</formula>
      <formula>10</formula>
    </cfRule>
    <cfRule type="cellIs" dxfId="405" priority="2406" operator="between">
      <formula>9</formula>
      <formula>9.9</formula>
    </cfRule>
    <cfRule type="cellIs" dxfId="404" priority="2405" stopIfTrue="1" operator="between">
      <formula>8</formula>
      <formula>8.9</formula>
    </cfRule>
    <cfRule type="cellIs" dxfId="403" priority="2404" operator="between">
      <formula>7</formula>
      <formula>7.9</formula>
    </cfRule>
    <cfRule type="cellIs" dxfId="402" priority="2403" operator="between">
      <formula>10.1</formula>
      <formula>10.6</formula>
    </cfRule>
    <cfRule type="cellIs" dxfId="401" priority="2402" operator="between">
      <formula>6</formula>
      <formula>6.9</formula>
    </cfRule>
  </conditionalFormatting>
  <conditionalFormatting sqref="N277">
    <cfRule type="colorScale" priority="2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400" priority="2292" operator="between">
      <formula>6</formula>
      <formula>6.9</formula>
    </cfRule>
    <cfRule type="cellIs" dxfId="399" priority="2294" operator="between">
      <formula>7</formula>
      <formula>7.9</formula>
    </cfRule>
    <cfRule type="cellIs" dxfId="398" priority="2296" operator="between">
      <formula>9</formula>
      <formula>9.9</formula>
    </cfRule>
    <cfRule type="cellIs" dxfId="397" priority="2295" stopIfTrue="1" operator="between">
      <formula>8</formula>
      <formula>8.9</formula>
    </cfRule>
    <cfRule type="cellIs" dxfId="396" priority="2297" stopIfTrue="1" operator="between">
      <formula>10</formula>
      <formula>10</formula>
    </cfRule>
    <cfRule type="containsBlanks" dxfId="395" priority="2298" stopIfTrue="1">
      <formula>LEN(TRIM(N278))=0</formula>
    </cfRule>
    <cfRule type="cellIs" dxfId="394" priority="2293" operator="between">
      <formula>10.1</formula>
      <formula>10.6</formula>
    </cfRule>
  </conditionalFormatting>
  <conditionalFormatting sqref="N284">
    <cfRule type="colorScale" priority="2273">
      <colorScale>
        <cfvo type="num" val="5"/>
        <cfvo type="num" val="10"/>
        <color rgb="FFFF494D"/>
        <color rgb="FF00FF66"/>
      </colorScale>
    </cfRule>
    <cfRule type="colorScale" priority="2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393" priority="2277" stopIfTrue="1" operator="between">
      <formula>8</formula>
      <formula>8.9</formula>
    </cfRule>
    <cfRule type="cellIs" dxfId="392" priority="2276" operator="between">
      <formula>7</formula>
      <formula>7.9</formula>
    </cfRule>
    <cfRule type="cellIs" dxfId="391" priority="2279" stopIfTrue="1" operator="between">
      <formula>10</formula>
      <formula>10</formula>
    </cfRule>
    <cfRule type="containsBlanks" dxfId="390" priority="2280" stopIfTrue="1">
      <formula>LEN(TRIM(N285))=0</formula>
    </cfRule>
    <cfRule type="cellIs" dxfId="389" priority="2275" operator="between">
      <formula>10.1</formula>
      <formula>10.6</formula>
    </cfRule>
    <cfRule type="cellIs" dxfId="388" priority="2274" operator="between">
      <formula>6</formula>
      <formula>6.9</formula>
    </cfRule>
    <cfRule type="cellIs" dxfId="387" priority="2278" operator="between">
      <formula>9</formula>
      <formula>9.9</formula>
    </cfRule>
  </conditionalFormatting>
  <conditionalFormatting sqref="N297">
    <cfRule type="colorScale" priority="2222">
      <colorScale>
        <cfvo type="num" val="5"/>
        <cfvo type="num" val="10"/>
        <color rgb="FFFF494D"/>
        <color rgb="FF00FF66"/>
      </colorScale>
    </cfRule>
    <cfRule type="colorScale" priority="2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386" priority="2217" operator="between">
      <formula>7</formula>
      <formula>7.9</formula>
    </cfRule>
    <cfRule type="cellIs" dxfId="385" priority="2220" stopIfTrue="1" operator="between">
      <formula>10</formula>
      <formula>10</formula>
    </cfRule>
    <cfRule type="cellIs" dxfId="384" priority="2219" operator="between">
      <formula>9</formula>
      <formula>9.9</formula>
    </cfRule>
    <cfRule type="cellIs" dxfId="383" priority="2218" stopIfTrue="1" operator="between">
      <formula>8</formula>
      <formula>8.9</formula>
    </cfRule>
    <cfRule type="containsBlanks" dxfId="382" priority="2212" stopIfTrue="1">
      <formula>LEN(TRIM(N298))=0</formula>
    </cfRule>
    <cfRule type="cellIs" dxfId="381" priority="2213" operator="lessThan">
      <formula>2</formula>
    </cfRule>
    <cfRule type="cellIs" dxfId="380" priority="2214" operator="between">
      <formula>2</formula>
      <formula>4.9</formula>
    </cfRule>
    <cfRule type="cellIs" dxfId="379" priority="2215" operator="between">
      <formula>5</formula>
      <formula>6.9</formula>
    </cfRule>
    <cfRule type="cellIs" dxfId="378" priority="2216" operator="between">
      <formula>10.1</formula>
      <formula>10.6</formula>
    </cfRule>
  </conditionalFormatting>
  <conditionalFormatting sqref="N306">
    <cfRule type="colorScale" priority="2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377" priority="2187" stopIfTrue="1" operator="between">
      <formula>8</formula>
      <formula>8.9</formula>
    </cfRule>
    <cfRule type="cellIs" dxfId="376" priority="2182" operator="lessThan">
      <formula>2</formula>
    </cfRule>
    <cfRule type="cellIs" dxfId="375" priority="2186" operator="between">
      <formula>7</formula>
      <formula>7.9</formula>
    </cfRule>
    <cfRule type="cellIs" dxfId="374" priority="2185" operator="between">
      <formula>10.1</formula>
      <formula>10.6</formula>
    </cfRule>
    <cfRule type="cellIs" dxfId="373" priority="2189" stopIfTrue="1" operator="between">
      <formula>10</formula>
      <formula>10</formula>
    </cfRule>
    <cfRule type="cellIs" dxfId="372" priority="2188" operator="between">
      <formula>9</formula>
      <formula>9.9</formula>
    </cfRule>
    <cfRule type="cellIs" dxfId="371" priority="2184" operator="between">
      <formula>5</formula>
      <formula>6.9</formula>
    </cfRule>
    <cfRule type="containsBlanks" dxfId="370" priority="2181" stopIfTrue="1">
      <formula>LEN(TRIM(N307))=0</formula>
    </cfRule>
    <cfRule type="cellIs" dxfId="369" priority="2183" operator="between">
      <formula>2</formula>
      <formula>4.9</formula>
    </cfRule>
  </conditionalFormatting>
  <conditionalFormatting sqref="N318">
    <cfRule type="colorScale" priority="2127">
      <colorScale>
        <cfvo type="num" val="5"/>
        <cfvo type="num" val="10"/>
        <color rgb="FFFF494D"/>
        <color rgb="FF00FF66"/>
      </colorScale>
    </cfRule>
    <cfRule type="colorScale" priority="2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368" priority="2122" operator="between">
      <formula>7</formula>
      <formula>7.9</formula>
    </cfRule>
    <cfRule type="cellIs" dxfId="367" priority="2120" operator="between">
      <formula>5</formula>
      <formula>6.9</formula>
    </cfRule>
    <cfRule type="cellIs" dxfId="366" priority="2118" operator="lessThan">
      <formula>2</formula>
    </cfRule>
    <cfRule type="cellIs" dxfId="365" priority="2125" stopIfTrue="1" operator="between">
      <formula>10</formula>
      <formula>10</formula>
    </cfRule>
    <cfRule type="cellIs" dxfId="364" priority="2124" operator="between">
      <formula>9</formula>
      <formula>9.9</formula>
    </cfRule>
    <cfRule type="containsBlanks" dxfId="363" priority="2117" stopIfTrue="1">
      <formula>LEN(TRIM(N319))=0</formula>
    </cfRule>
    <cfRule type="cellIs" dxfId="362" priority="2121" operator="between">
      <formula>10.1</formula>
      <formula>10.6</formula>
    </cfRule>
    <cfRule type="cellIs" dxfId="361" priority="2119" operator="between">
      <formula>2</formula>
      <formula>4.9</formula>
    </cfRule>
    <cfRule type="cellIs" dxfId="360" priority="2123" stopIfTrue="1" operator="between">
      <formula>8</formula>
      <formula>8.9</formula>
    </cfRule>
  </conditionalFormatting>
  <conditionalFormatting sqref="N328">
    <cfRule type="colorScale" priority="2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359" priority="2077" operator="between">
      <formula>10.1</formula>
      <formula>10.6</formula>
    </cfRule>
    <cfRule type="cellIs" dxfId="358" priority="2074" operator="lessThan">
      <formula>2</formula>
    </cfRule>
    <cfRule type="cellIs" dxfId="357" priority="2078" operator="between">
      <formula>7</formula>
      <formula>7.9</formula>
    </cfRule>
    <cfRule type="containsBlanks" dxfId="356" priority="2073" stopIfTrue="1">
      <formula>LEN(TRIM(N329))=0</formula>
    </cfRule>
    <cfRule type="cellIs" dxfId="355" priority="2079" stopIfTrue="1" operator="between">
      <formula>8</formula>
      <formula>8.9</formula>
    </cfRule>
    <cfRule type="cellIs" dxfId="354" priority="2080" operator="between">
      <formula>9</formula>
      <formula>9.9</formula>
    </cfRule>
    <cfRule type="cellIs" dxfId="353" priority="2081" stopIfTrue="1" operator="between">
      <formula>10</formula>
      <formula>10</formula>
    </cfRule>
    <cfRule type="cellIs" dxfId="352" priority="2075" operator="between">
      <formula>2</formula>
      <formula>4.9</formula>
    </cfRule>
    <cfRule type="cellIs" dxfId="351" priority="2076" operator="between">
      <formula>5</formula>
      <formula>6.9</formula>
    </cfRule>
  </conditionalFormatting>
  <conditionalFormatting sqref="N338">
    <cfRule type="colorScale" priority="2061">
      <colorScale>
        <cfvo type="num" val="5"/>
        <cfvo type="num" val="10"/>
        <color rgb="FFFF494D"/>
        <color rgb="FF00FF66"/>
      </colorScale>
    </cfRule>
    <cfRule type="colorScale" priority="20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350" priority="2051" stopIfTrue="1">
      <formula>LEN(TRIM(N339))=0</formula>
    </cfRule>
    <cfRule type="cellIs" dxfId="349" priority="2054" operator="between">
      <formula>5</formula>
      <formula>6.9</formula>
    </cfRule>
    <cfRule type="cellIs" dxfId="348" priority="2059" stopIfTrue="1" operator="between">
      <formula>10</formula>
      <formula>10</formula>
    </cfRule>
    <cfRule type="cellIs" dxfId="347" priority="2058" operator="between">
      <formula>9</formula>
      <formula>9.9</formula>
    </cfRule>
    <cfRule type="cellIs" dxfId="346" priority="2057" stopIfTrue="1" operator="between">
      <formula>8</formula>
      <formula>8.9</formula>
    </cfRule>
    <cfRule type="cellIs" dxfId="345" priority="2056" operator="between">
      <formula>7</formula>
      <formula>7.9</formula>
    </cfRule>
    <cfRule type="cellIs" dxfId="344" priority="2053" operator="between">
      <formula>2</formula>
      <formula>4.9</formula>
    </cfRule>
    <cfRule type="cellIs" dxfId="343" priority="2052" operator="lessThan">
      <formula>2</formula>
    </cfRule>
    <cfRule type="cellIs" dxfId="342" priority="2055" operator="between">
      <formula>10.1</formula>
      <formula>10.6</formula>
    </cfRule>
  </conditionalFormatting>
  <conditionalFormatting sqref="N355">
    <cfRule type="colorScale" priority="1997">
      <colorScale>
        <cfvo type="num" val="5"/>
        <cfvo type="num" val="10"/>
        <color rgb="FFFF494D"/>
        <color rgb="FF00FF66"/>
      </colorScale>
    </cfRule>
    <cfRule type="colorScale" priority="19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341" priority="1999" operator="lessThan">
      <formula>2</formula>
    </cfRule>
    <cfRule type="cellIs" dxfId="340" priority="2006" stopIfTrue="1" operator="between">
      <formula>10</formula>
      <formula>10</formula>
    </cfRule>
    <cfRule type="cellIs" dxfId="339" priority="2005" operator="between">
      <formula>9</formula>
      <formula>9.9</formula>
    </cfRule>
    <cfRule type="containsBlanks" dxfId="338" priority="1998" stopIfTrue="1">
      <formula>LEN(TRIM(N356))=0</formula>
    </cfRule>
    <cfRule type="cellIs" dxfId="337" priority="2004" stopIfTrue="1" operator="between">
      <formula>8</formula>
      <formula>8.9</formula>
    </cfRule>
    <cfRule type="cellIs" dxfId="336" priority="2003" operator="between">
      <formula>7</formula>
      <formula>7.9</formula>
    </cfRule>
    <cfRule type="cellIs" dxfId="335" priority="2002" operator="between">
      <formula>10.1</formula>
      <formula>10.6</formula>
    </cfRule>
    <cfRule type="cellIs" dxfId="334" priority="2001" operator="between">
      <formula>5</formula>
      <formula>6.9</formula>
    </cfRule>
    <cfRule type="cellIs" dxfId="333" priority="2000" operator="between">
      <formula>2</formula>
      <formula>4.9</formula>
    </cfRule>
  </conditionalFormatting>
  <conditionalFormatting sqref="N367">
    <cfRule type="colorScale" priority="1940">
      <colorScale>
        <cfvo type="num" val="5"/>
        <cfvo type="num" val="10"/>
        <color rgb="FFFF494D"/>
        <color rgb="FF00FF66"/>
      </colorScale>
    </cfRule>
    <cfRule type="colorScale" priority="19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332" priority="1941" stopIfTrue="1">
      <formula>LEN(TRIM(N368))=0</formula>
    </cfRule>
    <cfRule type="cellIs" dxfId="331" priority="1942" operator="lessThan">
      <formula>2</formula>
    </cfRule>
    <cfRule type="cellIs" dxfId="330" priority="1943" operator="between">
      <formula>2</formula>
      <formula>4.9</formula>
    </cfRule>
    <cfRule type="cellIs" dxfId="329" priority="1944" operator="between">
      <formula>5</formula>
      <formula>6.9</formula>
    </cfRule>
    <cfRule type="cellIs" dxfId="328" priority="1945" operator="between">
      <formula>10.1</formula>
      <formula>10.6</formula>
    </cfRule>
    <cfRule type="cellIs" dxfId="327" priority="1946" operator="between">
      <formula>7</formula>
      <formula>7.9</formula>
    </cfRule>
    <cfRule type="cellIs" dxfId="326" priority="1947" stopIfTrue="1" operator="between">
      <formula>8</formula>
      <formula>8.9</formula>
    </cfRule>
    <cfRule type="cellIs" dxfId="325" priority="1948" operator="between">
      <formula>9</formula>
      <formula>9.9</formula>
    </cfRule>
    <cfRule type="cellIs" dxfId="324" priority="1949" stopIfTrue="1" operator="between">
      <formula>10</formula>
      <formula>10</formula>
    </cfRule>
  </conditionalFormatting>
  <conditionalFormatting sqref="N374">
    <cfRule type="colorScale" priority="1914">
      <colorScale>
        <cfvo type="num" val="5"/>
        <cfvo type="num" val="10"/>
        <color rgb="FFFF494D"/>
        <color rgb="FF00FF66"/>
      </colorScale>
    </cfRule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323" priority="1905" operator="lessThan">
      <formula>2</formula>
    </cfRule>
    <cfRule type="cellIs" dxfId="322" priority="1908" operator="between">
      <formula>10.1</formula>
      <formula>10.6</formula>
    </cfRule>
    <cfRule type="containsBlanks" dxfId="321" priority="1904" stopIfTrue="1">
      <formula>LEN(TRIM(N375))=0</formula>
    </cfRule>
    <cfRule type="cellIs" dxfId="320" priority="1906" operator="between">
      <formula>2</formula>
      <formula>4.9</formula>
    </cfRule>
    <cfRule type="cellIs" dxfId="319" priority="1912" stopIfTrue="1" operator="between">
      <formula>10</formula>
      <formula>10</formula>
    </cfRule>
    <cfRule type="cellIs" dxfId="318" priority="1911" operator="between">
      <formula>9</formula>
      <formula>9.9</formula>
    </cfRule>
    <cfRule type="cellIs" dxfId="317" priority="1910" stopIfTrue="1" operator="between">
      <formula>8</formula>
      <formula>8.9</formula>
    </cfRule>
    <cfRule type="cellIs" dxfId="316" priority="1907" operator="between">
      <formula>5</formula>
      <formula>6.9</formula>
    </cfRule>
    <cfRule type="cellIs" dxfId="315" priority="1909" operator="between">
      <formula>7</formula>
      <formula>7.9</formula>
    </cfRule>
  </conditionalFormatting>
  <conditionalFormatting sqref="N384"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314" priority="1854" operator="between">
      <formula>10.1</formula>
      <formula>10.6</formula>
    </cfRule>
    <cfRule type="cellIs" dxfId="313" priority="1852" operator="between">
      <formula>2</formula>
      <formula>4.9</formula>
    </cfRule>
    <cfRule type="cellIs" dxfId="312" priority="1856" stopIfTrue="1" operator="between">
      <formula>8</formula>
      <formula>8.9</formula>
    </cfRule>
    <cfRule type="cellIs" dxfId="311" priority="1857" operator="between">
      <formula>9</formula>
      <formula>9.9</formula>
    </cfRule>
    <cfRule type="cellIs" dxfId="310" priority="1858" stopIfTrue="1" operator="between">
      <formula>10</formula>
      <formula>10</formula>
    </cfRule>
    <cfRule type="cellIs" dxfId="309" priority="1851" operator="lessThan">
      <formula>2</formula>
    </cfRule>
    <cfRule type="containsBlanks" dxfId="308" priority="1850" stopIfTrue="1">
      <formula>LEN(TRIM(N385))=0</formula>
    </cfRule>
    <cfRule type="cellIs" dxfId="307" priority="1855" operator="between">
      <formula>7</formula>
      <formula>7.9</formula>
    </cfRule>
    <cfRule type="cellIs" dxfId="306" priority="1853" operator="between">
      <formula>5</formula>
      <formula>6.9</formula>
    </cfRule>
  </conditionalFormatting>
  <conditionalFormatting sqref="N397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305" priority="1803" stopIfTrue="1" operator="between">
      <formula>10</formula>
      <formula>10</formula>
    </cfRule>
    <cfRule type="cellIs" dxfId="304" priority="1800" operator="between">
      <formula>7</formula>
      <formula>7.9</formula>
    </cfRule>
    <cfRule type="containsBlanks" dxfId="303" priority="1795" stopIfTrue="1">
      <formula>LEN(TRIM(N398))=0</formula>
    </cfRule>
    <cfRule type="cellIs" dxfId="302" priority="1796" operator="lessThan">
      <formula>2</formula>
    </cfRule>
    <cfRule type="cellIs" dxfId="301" priority="1797" operator="between">
      <formula>2</formula>
      <formula>4.9</formula>
    </cfRule>
    <cfRule type="cellIs" dxfId="300" priority="1798" operator="between">
      <formula>5</formula>
      <formula>6.9</formula>
    </cfRule>
    <cfRule type="cellIs" dxfId="299" priority="1799" operator="between">
      <formula>10.1</formula>
      <formula>10.6</formula>
    </cfRule>
    <cfRule type="cellIs" dxfId="298" priority="1802" operator="between">
      <formula>9</formula>
      <formula>9.9</formula>
    </cfRule>
    <cfRule type="cellIs" dxfId="297" priority="1801" stopIfTrue="1" operator="between">
      <formula>8</formula>
      <formula>8.9</formula>
    </cfRule>
  </conditionalFormatting>
  <conditionalFormatting sqref="N412">
    <cfRule type="colorScale" priority="1718">
      <colorScale>
        <cfvo type="num" val="5"/>
        <cfvo type="num" val="10"/>
        <color rgb="FFFF494D"/>
        <color rgb="FF00FF66"/>
      </colorScale>
    </cfRule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296" priority="1720" operator="lessThan">
      <formula>2</formula>
    </cfRule>
    <cfRule type="cellIs" dxfId="295" priority="1727" stopIfTrue="1" operator="between">
      <formula>10</formula>
      <formula>10</formula>
    </cfRule>
    <cfRule type="cellIs" dxfId="294" priority="1726" operator="between">
      <formula>9</formula>
      <formula>9.9</formula>
    </cfRule>
    <cfRule type="containsBlanks" dxfId="293" priority="1719" stopIfTrue="1">
      <formula>LEN(TRIM(N413))=0</formula>
    </cfRule>
    <cfRule type="cellIs" dxfId="292" priority="1721" operator="between">
      <formula>2</formula>
      <formula>4.9</formula>
    </cfRule>
    <cfRule type="cellIs" dxfId="291" priority="1722" operator="between">
      <formula>5</formula>
      <formula>6.9</formula>
    </cfRule>
    <cfRule type="cellIs" dxfId="290" priority="1723" operator="between">
      <formula>10.1</formula>
      <formula>10.6</formula>
    </cfRule>
    <cfRule type="cellIs" dxfId="289" priority="1724" operator="between">
      <formula>7</formula>
      <formula>7.9</formula>
    </cfRule>
    <cfRule type="cellIs" dxfId="288" priority="1725" stopIfTrue="1" operator="between">
      <formula>8</formula>
      <formula>8.9</formula>
    </cfRule>
  </conditionalFormatting>
  <conditionalFormatting sqref="N417">
    <cfRule type="colorScale" priority="1676">
      <colorScale>
        <cfvo type="num" val="5"/>
        <cfvo type="num" val="10"/>
        <color rgb="FFFF494D"/>
        <color rgb="FF00FF66"/>
      </colorScale>
    </cfRule>
    <cfRule type="colorScale" priority="16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287" priority="1685" stopIfTrue="1" operator="between">
      <formula>10</formula>
      <formula>10</formula>
    </cfRule>
    <cfRule type="cellIs" dxfId="286" priority="1679" operator="between">
      <formula>2</formula>
      <formula>4.9</formula>
    </cfRule>
    <cfRule type="cellIs" dxfId="285" priority="1678" operator="lessThan">
      <formula>2</formula>
    </cfRule>
    <cfRule type="containsBlanks" dxfId="284" priority="1677" stopIfTrue="1">
      <formula>LEN(TRIM(N418))=0</formula>
    </cfRule>
    <cfRule type="cellIs" dxfId="283" priority="1680" operator="between">
      <formula>5</formula>
      <formula>6.9</formula>
    </cfRule>
    <cfRule type="cellIs" dxfId="282" priority="1681" operator="between">
      <formula>10.1</formula>
      <formula>10.6</formula>
    </cfRule>
    <cfRule type="cellIs" dxfId="281" priority="1682" operator="between">
      <formula>7</formula>
      <formula>7.9</formula>
    </cfRule>
    <cfRule type="cellIs" dxfId="280" priority="1683" stopIfTrue="1" operator="between">
      <formula>8</formula>
      <formula>8.9</formula>
    </cfRule>
    <cfRule type="cellIs" dxfId="279" priority="1684" operator="between">
      <formula>9</formula>
      <formula>9.9</formula>
    </cfRule>
  </conditionalFormatting>
  <conditionalFormatting sqref="N430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278" priority="1622" operator="between">
      <formula>10.1</formula>
      <formula>10.6</formula>
    </cfRule>
    <cfRule type="cellIs" dxfId="277" priority="1626" stopIfTrue="1" operator="between">
      <formula>10</formula>
      <formula>10</formula>
    </cfRule>
    <cfRule type="cellIs" dxfId="276" priority="1625" operator="between">
      <formula>9</formula>
      <formula>9.9</formula>
    </cfRule>
    <cfRule type="cellIs" dxfId="275" priority="1624" stopIfTrue="1" operator="between">
      <formula>8</formula>
      <formula>8.9</formula>
    </cfRule>
    <cfRule type="cellIs" dxfId="274" priority="1623" operator="between">
      <formula>7</formula>
      <formula>7.9</formula>
    </cfRule>
    <cfRule type="cellIs" dxfId="273" priority="1619" operator="lessThan">
      <formula>2</formula>
    </cfRule>
    <cfRule type="cellIs" dxfId="272" priority="1620" operator="between">
      <formula>2</formula>
      <formula>4.9</formula>
    </cfRule>
    <cfRule type="cellIs" dxfId="271" priority="1621" operator="between">
      <formula>5</formula>
      <formula>6.9</formula>
    </cfRule>
    <cfRule type="containsBlanks" dxfId="270" priority="1618" stopIfTrue="1">
      <formula>LEN(TRIM(N431))=0</formula>
    </cfRule>
  </conditionalFormatting>
  <conditionalFormatting sqref="N443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269" priority="1540" stopIfTrue="1" operator="between">
      <formula>8</formula>
      <formula>8.9</formula>
    </cfRule>
    <cfRule type="cellIs" dxfId="268" priority="1535" operator="lessThan">
      <formula>2</formula>
    </cfRule>
    <cfRule type="cellIs" dxfId="267" priority="1541" operator="between">
      <formula>9</formula>
      <formula>9.9</formula>
    </cfRule>
    <cfRule type="cellIs" dxfId="266" priority="1542" stopIfTrue="1" operator="between">
      <formula>10</formula>
      <formula>10</formula>
    </cfRule>
    <cfRule type="cellIs" dxfId="265" priority="1539" operator="between">
      <formula>7</formula>
      <formula>7.9</formula>
    </cfRule>
    <cfRule type="cellIs" dxfId="264" priority="1538" operator="between">
      <formula>10.1</formula>
      <formula>10.6</formula>
    </cfRule>
    <cfRule type="cellIs" dxfId="263" priority="1537" operator="between">
      <formula>5</formula>
      <formula>6.9</formula>
    </cfRule>
    <cfRule type="cellIs" dxfId="262" priority="1536" operator="between">
      <formula>2</formula>
      <formula>4.9</formula>
    </cfRule>
    <cfRule type="containsBlanks" dxfId="261" priority="1534" stopIfTrue="1">
      <formula>LEN(TRIM(N444))=0</formula>
    </cfRule>
  </conditionalFormatting>
  <conditionalFormatting sqref="N468"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260" priority="1459" operator="between">
      <formula>2</formula>
      <formula>4.9</formula>
    </cfRule>
    <cfRule type="containsBlanks" dxfId="259" priority="1457" stopIfTrue="1">
      <formula>LEN(TRIM(N469))=0</formula>
    </cfRule>
    <cfRule type="cellIs" dxfId="258" priority="1461" operator="between">
      <formula>10.1</formula>
      <formula>10.6</formula>
    </cfRule>
    <cfRule type="cellIs" dxfId="257" priority="1462" operator="between">
      <formula>7</formula>
      <formula>7.9</formula>
    </cfRule>
    <cfRule type="cellIs" dxfId="256" priority="1463" stopIfTrue="1" operator="between">
      <formula>8</formula>
      <formula>8.9</formula>
    </cfRule>
    <cfRule type="cellIs" dxfId="255" priority="1458" operator="lessThan">
      <formula>2</formula>
    </cfRule>
    <cfRule type="cellIs" dxfId="254" priority="1464" operator="between">
      <formula>9</formula>
      <formula>9.9</formula>
    </cfRule>
    <cfRule type="cellIs" dxfId="253" priority="1465" stopIfTrue="1" operator="between">
      <formula>10</formula>
      <formula>10</formula>
    </cfRule>
    <cfRule type="cellIs" dxfId="252" priority="1460" operator="between">
      <formula>5</formula>
      <formula>6.9</formula>
    </cfRule>
  </conditionalFormatting>
  <conditionalFormatting sqref="N480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251" priority="1415" operator="between">
      <formula>2</formula>
      <formula>4.9</formula>
    </cfRule>
    <cfRule type="cellIs" dxfId="250" priority="1420" operator="between">
      <formula>9</formula>
      <formula>9.9</formula>
    </cfRule>
    <cfRule type="cellIs" dxfId="249" priority="1421" stopIfTrue="1" operator="between">
      <formula>10</formula>
      <formula>10</formula>
    </cfRule>
    <cfRule type="containsBlanks" dxfId="248" priority="1413" stopIfTrue="1">
      <formula>LEN(TRIM(N481))=0</formula>
    </cfRule>
    <cfRule type="cellIs" dxfId="247" priority="1414" operator="lessThan">
      <formula>2</formula>
    </cfRule>
    <cfRule type="cellIs" dxfId="246" priority="1419" stopIfTrue="1" operator="between">
      <formula>8</formula>
      <formula>8.9</formula>
    </cfRule>
    <cfRule type="cellIs" dxfId="245" priority="1418" operator="between">
      <formula>7</formula>
      <formula>7.9</formula>
    </cfRule>
    <cfRule type="cellIs" dxfId="244" priority="1417" operator="between">
      <formula>10.1</formula>
      <formula>10.6</formula>
    </cfRule>
    <cfRule type="cellIs" dxfId="243" priority="1416" operator="between">
      <formula>5</formula>
      <formula>6.9</formula>
    </cfRule>
  </conditionalFormatting>
  <conditionalFormatting sqref="N488">
    <cfRule type="colorScale" priority="1368">
      <colorScale>
        <cfvo type="num" val="5"/>
        <cfvo type="num" val="10"/>
        <color rgb="FFFF494D"/>
        <color rgb="FF00FF66"/>
      </colorScale>
    </cfRule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42" priority="1375" stopIfTrue="1" operator="between">
      <formula>8</formula>
      <formula>8.9</formula>
    </cfRule>
    <cfRule type="cellIs" dxfId="241" priority="1372" operator="between">
      <formula>5</formula>
      <formula>6.9</formula>
    </cfRule>
    <cfRule type="cellIs" dxfId="240" priority="1373" operator="between">
      <formula>10.1</formula>
      <formula>10.6</formula>
    </cfRule>
    <cfRule type="cellIs" dxfId="239" priority="1377" stopIfTrue="1" operator="between">
      <formula>10</formula>
      <formula>10</formula>
    </cfRule>
    <cfRule type="cellIs" dxfId="238" priority="1376" operator="between">
      <formula>9</formula>
      <formula>9.9</formula>
    </cfRule>
    <cfRule type="cellIs" dxfId="237" priority="1374" operator="between">
      <formula>7</formula>
      <formula>7.9</formula>
    </cfRule>
    <cfRule type="containsBlanks" dxfId="236" priority="1369" stopIfTrue="1">
      <formula>LEN(TRIM(N489))=0</formula>
    </cfRule>
    <cfRule type="cellIs" dxfId="235" priority="1370" operator="lessThan">
      <formula>2</formula>
    </cfRule>
    <cfRule type="cellIs" dxfId="234" priority="1371" operator="between">
      <formula>2</formula>
      <formula>4.9</formula>
    </cfRule>
  </conditionalFormatting>
  <conditionalFormatting sqref="N500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233" priority="1317" operator="between">
      <formula>5</formula>
      <formula>6.9</formula>
    </cfRule>
    <cfRule type="containsBlanks" dxfId="232" priority="1314" stopIfTrue="1">
      <formula>LEN(TRIM(N501))=0</formula>
    </cfRule>
    <cfRule type="cellIs" dxfId="231" priority="1315" operator="lessThan">
      <formula>2</formula>
    </cfRule>
    <cfRule type="cellIs" dxfId="230" priority="1316" operator="between">
      <formula>2</formula>
      <formula>4.9</formula>
    </cfRule>
    <cfRule type="cellIs" dxfId="229" priority="1322" stopIfTrue="1" operator="between">
      <formula>10</formula>
      <formula>10</formula>
    </cfRule>
    <cfRule type="cellIs" dxfId="228" priority="1321" operator="between">
      <formula>9</formula>
      <formula>9.9</formula>
    </cfRule>
    <cfRule type="cellIs" dxfId="227" priority="1320" stopIfTrue="1" operator="between">
      <formula>8</formula>
      <formula>8.9</formula>
    </cfRule>
    <cfRule type="cellIs" dxfId="226" priority="1319" operator="between">
      <formula>7</formula>
      <formula>7.9</formula>
    </cfRule>
    <cfRule type="cellIs" dxfId="225" priority="1318" operator="between">
      <formula>10.1</formula>
      <formula>10.6</formula>
    </cfRule>
  </conditionalFormatting>
  <conditionalFormatting sqref="N512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224" priority="1289" stopIfTrue="1" operator="between">
      <formula>10</formula>
      <formula>10</formula>
    </cfRule>
    <cfRule type="cellIs" dxfId="223" priority="1288" operator="between">
      <formula>9</formula>
      <formula>9.9</formula>
    </cfRule>
    <cfRule type="cellIs" dxfId="222" priority="1287" stopIfTrue="1" operator="between">
      <formula>8</formula>
      <formula>8.9</formula>
    </cfRule>
    <cfRule type="cellIs" dxfId="221" priority="1286" operator="between">
      <formula>7</formula>
      <formula>7.9</formula>
    </cfRule>
    <cfRule type="cellIs" dxfId="220" priority="1285" operator="between">
      <formula>10.1</formula>
      <formula>10.6</formula>
    </cfRule>
    <cfRule type="cellIs" dxfId="219" priority="1284" operator="between">
      <formula>5</formula>
      <formula>6.9</formula>
    </cfRule>
    <cfRule type="cellIs" dxfId="218" priority="1283" operator="between">
      <formula>2</formula>
      <formula>4.9</formula>
    </cfRule>
    <cfRule type="cellIs" dxfId="217" priority="1282" operator="lessThan">
      <formula>2</formula>
    </cfRule>
    <cfRule type="containsBlanks" dxfId="216" priority="1281" stopIfTrue="1">
      <formula>LEN(TRIM(N513))=0</formula>
    </cfRule>
  </conditionalFormatting>
  <conditionalFormatting sqref="N525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215" priority="1216" operator="lessThan">
      <formula>2</formula>
    </cfRule>
    <cfRule type="cellIs" dxfId="214" priority="1219" operator="between">
      <formula>10.1</formula>
      <formula>10.6</formula>
    </cfRule>
    <cfRule type="cellIs" dxfId="213" priority="1217" operator="between">
      <formula>2</formula>
      <formula>4.9</formula>
    </cfRule>
    <cfRule type="cellIs" dxfId="212" priority="1221" stopIfTrue="1" operator="between">
      <formula>8</formula>
      <formula>8.9</formula>
    </cfRule>
    <cfRule type="cellIs" dxfId="211" priority="1222" operator="between">
      <formula>9</formula>
      <formula>9.9</formula>
    </cfRule>
    <cfRule type="cellIs" dxfId="210" priority="1218" operator="between">
      <formula>5</formula>
      <formula>6.9</formula>
    </cfRule>
    <cfRule type="cellIs" dxfId="209" priority="1223" stopIfTrue="1" operator="between">
      <formula>10</formula>
      <formula>10</formula>
    </cfRule>
    <cfRule type="containsBlanks" dxfId="208" priority="1215" stopIfTrue="1">
      <formula>LEN(TRIM(N526))=0</formula>
    </cfRule>
    <cfRule type="cellIs" dxfId="207" priority="1220" operator="between">
      <formula>7</formula>
      <formula>7.9</formula>
    </cfRule>
  </conditionalFormatting>
  <conditionalFormatting sqref="N536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06" priority="1179" stopIfTrue="1" operator="between">
      <formula>10</formula>
      <formula>10</formula>
    </cfRule>
    <cfRule type="containsBlanks" dxfId="205" priority="1171" stopIfTrue="1">
      <formula>LEN(TRIM(N537))=0</formula>
    </cfRule>
    <cfRule type="cellIs" dxfId="204" priority="1172" operator="lessThan">
      <formula>2</formula>
    </cfRule>
    <cfRule type="cellIs" dxfId="203" priority="1173" operator="between">
      <formula>2</formula>
      <formula>4.9</formula>
    </cfRule>
    <cfRule type="cellIs" dxfId="202" priority="1174" operator="between">
      <formula>5</formula>
      <formula>6.9</formula>
    </cfRule>
    <cfRule type="cellIs" dxfId="201" priority="1175" operator="between">
      <formula>10.1</formula>
      <formula>10.6</formula>
    </cfRule>
    <cfRule type="cellIs" dxfId="200" priority="1176" operator="between">
      <formula>7</formula>
      <formula>7.9</formula>
    </cfRule>
    <cfRule type="cellIs" dxfId="199" priority="1177" stopIfTrue="1" operator="between">
      <formula>8</formula>
      <formula>8.9</formula>
    </cfRule>
    <cfRule type="cellIs" dxfId="198" priority="1178" operator="between">
      <formula>9</formula>
      <formula>9.9</formula>
    </cfRule>
  </conditionalFormatting>
  <conditionalFormatting sqref="N546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197" priority="1118" operator="between">
      <formula>2</formula>
      <formula>4.9</formula>
    </cfRule>
    <cfRule type="cellIs" dxfId="196" priority="1120" operator="between">
      <formula>10.1</formula>
      <formula>10.6</formula>
    </cfRule>
    <cfRule type="cellIs" dxfId="195" priority="1121" operator="between">
      <formula>7</formula>
      <formula>7.9</formula>
    </cfRule>
    <cfRule type="cellIs" dxfId="194" priority="1122" stopIfTrue="1" operator="between">
      <formula>8</formula>
      <formula>8.9</formula>
    </cfRule>
    <cfRule type="cellIs" dxfId="193" priority="1123" operator="between">
      <formula>9</formula>
      <formula>9.9</formula>
    </cfRule>
    <cfRule type="cellIs" dxfId="192" priority="1124" stopIfTrue="1" operator="between">
      <formula>10</formula>
      <formula>10</formula>
    </cfRule>
    <cfRule type="cellIs" dxfId="191" priority="1117" operator="lessThan">
      <formula>2</formula>
    </cfRule>
    <cfRule type="containsBlanks" dxfId="190" priority="1116" stopIfTrue="1">
      <formula>LEN(TRIM(N547))=0</formula>
    </cfRule>
    <cfRule type="cellIs" dxfId="189" priority="1119" operator="between">
      <formula>5</formula>
      <formula>6.9</formula>
    </cfRule>
  </conditionalFormatting>
  <conditionalFormatting sqref="N559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188" priority="1087" operator="between">
      <formula>10.1</formula>
      <formula>10.6</formula>
    </cfRule>
    <cfRule type="cellIs" dxfId="187" priority="1088" operator="between">
      <formula>7</formula>
      <formula>7.9</formula>
    </cfRule>
    <cfRule type="cellIs" dxfId="186" priority="1089" stopIfTrue="1" operator="between">
      <formula>8</formula>
      <formula>8.9</formula>
    </cfRule>
    <cfRule type="cellIs" dxfId="185" priority="1085" operator="between">
      <formula>2</formula>
      <formula>4.9</formula>
    </cfRule>
    <cfRule type="cellIs" dxfId="184" priority="1090" operator="between">
      <formula>9</formula>
      <formula>9.9</formula>
    </cfRule>
    <cfRule type="cellIs" dxfId="183" priority="1091" stopIfTrue="1" operator="between">
      <formula>10</formula>
      <formula>10</formula>
    </cfRule>
    <cfRule type="cellIs" dxfId="182" priority="1084" operator="lessThan">
      <formula>2</formula>
    </cfRule>
    <cfRule type="cellIs" dxfId="181" priority="1086" operator="between">
      <formula>5</formula>
      <formula>6.9</formula>
    </cfRule>
    <cfRule type="containsBlanks" dxfId="180" priority="1083" stopIfTrue="1">
      <formula>LEN(TRIM(N560))=0</formula>
    </cfRule>
  </conditionalFormatting>
  <conditionalFormatting sqref="N566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179" priority="1053" operator="between">
      <formula>7</formula>
      <formula>7.9</formula>
    </cfRule>
    <cfRule type="cellIs" dxfId="178" priority="1051" operator="between">
      <formula>5</formula>
      <formula>6.9</formula>
    </cfRule>
    <cfRule type="cellIs" dxfId="177" priority="1056" stopIfTrue="1" operator="between">
      <formula>10</formula>
      <formula>10</formula>
    </cfRule>
    <cfRule type="cellIs" dxfId="176" priority="1055" operator="between">
      <formula>9</formula>
      <formula>9.9</formula>
    </cfRule>
    <cfRule type="cellIs" dxfId="175" priority="1054" stopIfTrue="1" operator="between">
      <formula>8</formula>
      <formula>8.9</formula>
    </cfRule>
    <cfRule type="cellIs" dxfId="174" priority="1052" operator="between">
      <formula>10.1</formula>
      <formula>10.6</formula>
    </cfRule>
    <cfRule type="containsBlanks" dxfId="173" priority="1048" stopIfTrue="1">
      <formula>LEN(TRIM(N567))=0</formula>
    </cfRule>
    <cfRule type="cellIs" dxfId="172" priority="1049" operator="lessThan">
      <formula>2</formula>
    </cfRule>
    <cfRule type="cellIs" dxfId="171" priority="1050" operator="between">
      <formula>2</formula>
      <formula>4.9</formula>
    </cfRule>
  </conditionalFormatting>
  <conditionalFormatting sqref="N580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ontainsBlanks" dxfId="170" priority="1006" stopIfTrue="1">
      <formula>LEN(TRIM(N581))=0</formula>
    </cfRule>
    <cfRule type="cellIs" dxfId="169" priority="1007" operator="lessThan">
      <formula>2</formula>
    </cfRule>
    <cfRule type="cellIs" dxfId="168" priority="1008" operator="between">
      <formula>2</formula>
      <formula>4.9</formula>
    </cfRule>
    <cfRule type="cellIs" dxfId="167" priority="1010" operator="between">
      <formula>10.1</formula>
      <formula>10.6</formula>
    </cfRule>
    <cfRule type="cellIs" dxfId="166" priority="1011" operator="between">
      <formula>7</formula>
      <formula>7.9</formula>
    </cfRule>
    <cfRule type="cellIs" dxfId="165" priority="1012" stopIfTrue="1" operator="between">
      <formula>8</formula>
      <formula>8.9</formula>
    </cfRule>
    <cfRule type="cellIs" dxfId="164" priority="1013" operator="between">
      <formula>9</formula>
      <formula>9.9</formula>
    </cfRule>
    <cfRule type="cellIs" dxfId="163" priority="1014" stopIfTrue="1" operator="between">
      <formula>10</formula>
      <formula>10</formula>
    </cfRule>
    <cfRule type="cellIs" dxfId="162" priority="1009" operator="between">
      <formula>5</formula>
      <formula>6.9</formula>
    </cfRule>
  </conditionalFormatting>
  <conditionalFormatting sqref="N591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61" priority="951" stopIfTrue="1">
      <formula>LEN(TRIM(N592))=0</formula>
    </cfRule>
    <cfRule type="cellIs" dxfId="160" priority="959" stopIfTrue="1" operator="between">
      <formula>10</formula>
      <formula>10</formula>
    </cfRule>
    <cfRule type="cellIs" dxfId="159" priority="958" operator="between">
      <formula>9</formula>
      <formula>9.9</formula>
    </cfRule>
    <cfRule type="cellIs" dxfId="158" priority="957" stopIfTrue="1" operator="between">
      <formula>8</formula>
      <formula>8.9</formula>
    </cfRule>
    <cfRule type="cellIs" dxfId="157" priority="956" operator="between">
      <formula>7</formula>
      <formula>7.9</formula>
    </cfRule>
    <cfRule type="cellIs" dxfId="156" priority="955" operator="between">
      <formula>10.1</formula>
      <formula>10.6</formula>
    </cfRule>
    <cfRule type="cellIs" dxfId="155" priority="954" operator="between">
      <formula>5</formula>
      <formula>6.9</formula>
    </cfRule>
    <cfRule type="cellIs" dxfId="154" priority="953" operator="between">
      <formula>2</formula>
      <formula>4.9</formula>
    </cfRule>
    <cfRule type="cellIs" dxfId="153" priority="952" operator="lessThan">
      <formula>2</formula>
    </cfRule>
  </conditionalFormatting>
  <conditionalFormatting sqref="N603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152" priority="915" stopIfTrue="1" operator="between">
      <formula>10</formula>
      <formula>10</formula>
    </cfRule>
    <cfRule type="cellIs" dxfId="151" priority="914" operator="between">
      <formula>9</formula>
      <formula>9.9</formula>
    </cfRule>
    <cfRule type="cellIs" dxfId="150" priority="913" stopIfTrue="1" operator="between">
      <formula>8</formula>
      <formula>8.9</formula>
    </cfRule>
    <cfRule type="cellIs" dxfId="149" priority="912" operator="between">
      <formula>7</formula>
      <formula>7.9</formula>
    </cfRule>
    <cfRule type="cellIs" dxfId="148" priority="911" operator="between">
      <formula>10.1</formula>
      <formula>10.6</formula>
    </cfRule>
    <cfRule type="cellIs" dxfId="147" priority="910" operator="between">
      <formula>5</formula>
      <formula>6.9</formula>
    </cfRule>
    <cfRule type="cellIs" dxfId="146" priority="909" operator="between">
      <formula>2</formula>
      <formula>4.9</formula>
    </cfRule>
    <cfRule type="cellIs" dxfId="145" priority="908" operator="lessThan">
      <formula>2</formula>
    </cfRule>
    <cfRule type="containsBlanks" dxfId="144" priority="907" stopIfTrue="1">
      <formula>LEN(TRIM(N604))=0</formula>
    </cfRule>
  </conditionalFormatting>
  <conditionalFormatting sqref="N614">
    <cfRule type="colorScale" priority="840">
      <colorScale>
        <cfvo type="num" val="5"/>
        <cfvo type="num" val="10"/>
        <color rgb="FFFF494D"/>
        <color rgb="FF00FF66"/>
      </colorScale>
    </cfRule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15:N622">
    <cfRule type="containsBlanks" dxfId="143" priority="841" stopIfTrue="1">
      <formula>LEN(TRIM(N615))=0</formula>
    </cfRule>
    <cfRule type="cellIs" dxfId="142" priority="847" stopIfTrue="1" operator="between">
      <formula>8</formula>
      <formula>8.9</formula>
    </cfRule>
    <cfRule type="cellIs" dxfId="141" priority="848" operator="between">
      <formula>9</formula>
      <formula>9.9</formula>
    </cfRule>
    <cfRule type="cellIs" dxfId="140" priority="849" stopIfTrue="1" operator="between">
      <formula>10</formula>
      <formula>10</formula>
    </cfRule>
    <cfRule type="cellIs" dxfId="139" priority="846" operator="between">
      <formula>7</formula>
      <formula>7.9</formula>
    </cfRule>
    <cfRule type="cellIs" dxfId="138" priority="845" operator="between">
      <formula>10.1</formula>
      <formula>10.6</formula>
    </cfRule>
    <cfRule type="cellIs" dxfId="137" priority="844" operator="between">
      <formula>5</formula>
      <formula>6.9</formula>
    </cfRule>
    <cfRule type="cellIs" dxfId="136" priority="843" operator="between">
      <formula>2</formula>
      <formula>4.9</formula>
    </cfRule>
    <cfRule type="cellIs" dxfId="135" priority="842" operator="lessThan">
      <formula>2</formula>
    </cfRule>
  </conditionalFormatting>
  <conditionalFormatting sqref="N624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34" priority="825" stopIfTrue="1" operator="between">
      <formula>8</formula>
      <formula>8.9</formula>
    </cfRule>
    <cfRule type="cellIs" dxfId="133" priority="826" operator="between">
      <formula>9</formula>
      <formula>9.9</formula>
    </cfRule>
    <cfRule type="cellIs" dxfId="132" priority="824" operator="between">
      <formula>7</formula>
      <formula>7.9</formula>
    </cfRule>
    <cfRule type="cellIs" dxfId="131" priority="823" operator="between">
      <formula>10.1</formula>
      <formula>10.6</formula>
    </cfRule>
    <cfRule type="cellIs" dxfId="130" priority="822" operator="between">
      <formula>5</formula>
      <formula>6.9</formula>
    </cfRule>
    <cfRule type="cellIs" dxfId="129" priority="821" operator="between">
      <formula>2</formula>
      <formula>4.9</formula>
    </cfRule>
    <cfRule type="cellIs" dxfId="128" priority="820" operator="lessThan">
      <formula>2</formula>
    </cfRule>
    <cfRule type="containsBlanks" dxfId="127" priority="819" stopIfTrue="1">
      <formula>LEN(TRIM(N625))=0</formula>
    </cfRule>
    <cfRule type="cellIs" dxfId="126" priority="827" stopIfTrue="1" operator="between">
      <formula>10</formula>
      <formula>10</formula>
    </cfRule>
  </conditionalFormatting>
  <conditionalFormatting sqref="N635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36:N650">
    <cfRule type="cellIs" dxfId="125" priority="759" stopIfTrue="1" operator="between">
      <formula>8</formula>
      <formula>8.9</formula>
    </cfRule>
    <cfRule type="containsBlanks" dxfId="124" priority="753" stopIfTrue="1">
      <formula>LEN(TRIM(N636))=0</formula>
    </cfRule>
    <cfRule type="cellIs" dxfId="123" priority="761" stopIfTrue="1" operator="between">
      <formula>10</formula>
      <formula>10</formula>
    </cfRule>
    <cfRule type="cellIs" dxfId="122" priority="760" operator="between">
      <formula>9</formula>
      <formula>9.9</formula>
    </cfRule>
    <cfRule type="cellIs" dxfId="121" priority="758" operator="between">
      <formula>7</formula>
      <formula>7.9</formula>
    </cfRule>
    <cfRule type="cellIs" dxfId="120" priority="757" operator="between">
      <formula>10.1</formula>
      <formula>10.6</formula>
    </cfRule>
    <cfRule type="cellIs" dxfId="119" priority="756" operator="between">
      <formula>5</formula>
      <formula>6.9</formula>
    </cfRule>
    <cfRule type="cellIs" dxfId="118" priority="755" operator="between">
      <formula>2</formula>
      <formula>4.9</formula>
    </cfRule>
    <cfRule type="cellIs" dxfId="117" priority="754" operator="lessThan">
      <formula>2</formula>
    </cfRule>
  </conditionalFormatting>
  <conditionalFormatting sqref="N652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53:N658">
    <cfRule type="cellIs" dxfId="116" priority="666" operator="lessThan">
      <formula>2</formula>
    </cfRule>
    <cfRule type="cellIs" dxfId="115" priority="667" operator="between">
      <formula>2</formula>
      <formula>4.9</formula>
    </cfRule>
    <cfRule type="cellIs" dxfId="114" priority="673" stopIfTrue="1" operator="between">
      <formula>10</formula>
      <formula>10</formula>
    </cfRule>
    <cfRule type="cellIs" dxfId="113" priority="672" operator="between">
      <formula>9</formula>
      <formula>9.9</formula>
    </cfRule>
    <cfRule type="cellIs" dxfId="112" priority="671" stopIfTrue="1" operator="between">
      <formula>8</formula>
      <formula>8.9</formula>
    </cfRule>
    <cfRule type="cellIs" dxfId="111" priority="670" operator="between">
      <formula>7</formula>
      <formula>7.9</formula>
    </cfRule>
    <cfRule type="cellIs" dxfId="110" priority="669" operator="between">
      <formula>10.1</formula>
      <formula>10.6</formula>
    </cfRule>
    <cfRule type="cellIs" dxfId="109" priority="668" operator="between">
      <formula>5</formula>
      <formula>6.9</formula>
    </cfRule>
    <cfRule type="containsBlanks" dxfId="108" priority="665" stopIfTrue="1">
      <formula>LEN(TRIM(N653))=0</formula>
    </cfRule>
  </conditionalFormatting>
  <conditionalFormatting sqref="N660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107" priority="652" stopIfTrue="1">
      <formula>LEN(TRIM(N661))=0</formula>
    </cfRule>
    <cfRule type="cellIs" dxfId="106" priority="653" operator="lessThan">
      <formula>2</formula>
    </cfRule>
    <cfRule type="cellIs" dxfId="105" priority="654" operator="between">
      <formula>2</formula>
      <formula>4.9</formula>
    </cfRule>
    <cfRule type="cellIs" dxfId="104" priority="655" operator="between">
      <formula>5</formula>
      <formula>6.9</formula>
    </cfRule>
    <cfRule type="cellIs" dxfId="103" priority="656" operator="between">
      <formula>10.1</formula>
      <formula>10.6</formula>
    </cfRule>
    <cfRule type="cellIs" dxfId="102" priority="658" stopIfTrue="1" operator="between">
      <formula>8</formula>
      <formula>8.9</formula>
    </cfRule>
    <cfRule type="cellIs" dxfId="101" priority="659" operator="between">
      <formula>9</formula>
      <formula>9.9</formula>
    </cfRule>
    <cfRule type="cellIs" dxfId="100" priority="660" stopIfTrue="1" operator="between">
      <formula>10</formula>
      <formula>10</formula>
    </cfRule>
    <cfRule type="cellIs" dxfId="99" priority="657" operator="between">
      <formula>7</formula>
      <formula>7.9</formula>
    </cfRule>
  </conditionalFormatting>
  <conditionalFormatting sqref="N676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ellIs" dxfId="98" priority="583" stopIfTrue="1" operator="between">
      <formula>8</formula>
      <formula>8.9</formula>
    </cfRule>
    <cfRule type="cellIs" dxfId="97" priority="582" operator="between">
      <formula>7</formula>
      <formula>7.9</formula>
    </cfRule>
    <cfRule type="cellIs" dxfId="96" priority="581" operator="between">
      <formula>10.1</formula>
      <formula>10.6</formula>
    </cfRule>
    <cfRule type="cellIs" dxfId="95" priority="580" operator="between">
      <formula>5</formula>
      <formula>6.9</formula>
    </cfRule>
    <cfRule type="cellIs" dxfId="94" priority="579" operator="between">
      <formula>2</formula>
      <formula>4.9</formula>
    </cfRule>
    <cfRule type="cellIs" dxfId="93" priority="578" operator="lessThan">
      <formula>2</formula>
    </cfRule>
    <cfRule type="containsBlanks" dxfId="92" priority="577" stopIfTrue="1">
      <formula>LEN(TRIM(N677))=0</formula>
    </cfRule>
    <cfRule type="cellIs" dxfId="91" priority="584" operator="between">
      <formula>9</formula>
      <formula>9.9</formula>
    </cfRule>
    <cfRule type="cellIs" dxfId="90" priority="585" stopIfTrue="1" operator="between">
      <formula>10</formula>
      <formula>10</formula>
    </cfRule>
  </conditionalFormatting>
  <conditionalFormatting sqref="N688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9:N700">
    <cfRule type="cellIs" dxfId="89" priority="530" stopIfTrue="1" operator="between">
      <formula>10</formula>
      <formula>10</formula>
    </cfRule>
    <cfRule type="cellIs" dxfId="88" priority="529" operator="between">
      <formula>9</formula>
      <formula>9.9</formula>
    </cfRule>
    <cfRule type="cellIs" dxfId="87" priority="528" stopIfTrue="1" operator="between">
      <formula>8</formula>
      <formula>8.9</formula>
    </cfRule>
    <cfRule type="cellIs" dxfId="86" priority="527" operator="between">
      <formula>7</formula>
      <formula>7.9</formula>
    </cfRule>
    <cfRule type="cellIs" dxfId="85" priority="526" operator="between">
      <formula>10.1</formula>
      <formula>10.6</formula>
    </cfRule>
    <cfRule type="cellIs" dxfId="84" priority="525" operator="between">
      <formula>5</formula>
      <formula>6.9</formula>
    </cfRule>
    <cfRule type="cellIs" dxfId="83" priority="524" operator="between">
      <formula>2</formula>
      <formula>4.9</formula>
    </cfRule>
    <cfRule type="cellIs" dxfId="82" priority="523" operator="lessThan">
      <formula>2</formula>
    </cfRule>
    <cfRule type="containsBlanks" dxfId="81" priority="522" stopIfTrue="1">
      <formula>LEN(TRIM(N689))=0</formula>
    </cfRule>
  </conditionalFormatting>
  <conditionalFormatting sqref="N702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03:N710">
    <cfRule type="cellIs" dxfId="80" priority="486" stopIfTrue="1" operator="between">
      <formula>10</formula>
      <formula>10</formula>
    </cfRule>
    <cfRule type="cellIs" dxfId="79" priority="485" operator="between">
      <formula>9</formula>
      <formula>9.9</formula>
    </cfRule>
    <cfRule type="cellIs" dxfId="78" priority="484" stopIfTrue="1" operator="between">
      <formula>8</formula>
      <formula>8.9</formula>
    </cfRule>
    <cfRule type="cellIs" dxfId="77" priority="483" operator="between">
      <formula>7</formula>
      <formula>7.9</formula>
    </cfRule>
    <cfRule type="cellIs" dxfId="76" priority="482" operator="between">
      <formula>10.1</formula>
      <formula>10.6</formula>
    </cfRule>
    <cfRule type="cellIs" dxfId="75" priority="481" operator="between">
      <formula>5</formula>
      <formula>6.9</formula>
    </cfRule>
    <cfRule type="cellIs" dxfId="74" priority="480" operator="between">
      <formula>2</formula>
      <formula>4.9</formula>
    </cfRule>
    <cfRule type="cellIs" dxfId="73" priority="479" operator="lessThan">
      <formula>2</formula>
    </cfRule>
    <cfRule type="containsBlanks" dxfId="72" priority="478" stopIfTrue="1">
      <formula>LEN(TRIM(N703))=0</formula>
    </cfRule>
  </conditionalFormatting>
  <conditionalFormatting sqref="N712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ellIs" dxfId="71" priority="425" operator="between">
      <formula>2</formula>
      <formula>4.9</formula>
    </cfRule>
    <cfRule type="cellIs" dxfId="70" priority="429" stopIfTrue="1" operator="between">
      <formula>8</formula>
      <formula>8.9</formula>
    </cfRule>
    <cfRule type="containsBlanks" dxfId="69" priority="423" stopIfTrue="1">
      <formula>LEN(TRIM(N713))=0</formula>
    </cfRule>
    <cfRule type="cellIs" dxfId="68" priority="424" operator="lessThan">
      <formula>2</formula>
    </cfRule>
    <cfRule type="cellIs" dxfId="67" priority="431" stopIfTrue="1" operator="between">
      <formula>10</formula>
      <formula>10</formula>
    </cfRule>
    <cfRule type="cellIs" dxfId="66" priority="426" operator="between">
      <formula>5</formula>
      <formula>6.9</formula>
    </cfRule>
    <cfRule type="cellIs" dxfId="65" priority="427" operator="between">
      <formula>10.1</formula>
      <formula>10.6</formula>
    </cfRule>
    <cfRule type="cellIs" dxfId="64" priority="428" operator="between">
      <formula>7</formula>
      <formula>7.9</formula>
    </cfRule>
    <cfRule type="cellIs" dxfId="63" priority="430" operator="between">
      <formula>9</formula>
      <formula>9.9</formula>
    </cfRule>
  </conditionalFormatting>
  <conditionalFormatting sqref="N727">
    <cfRule type="colorScale" priority="345">
      <colorScale>
        <cfvo type="num" val="5"/>
        <cfvo type="num" val="10"/>
        <color rgb="FFFF494D"/>
        <color rgb="FF00FF66"/>
      </colorScale>
    </cfRule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28:N738">
    <cfRule type="cellIs" dxfId="62" priority="354" stopIfTrue="1" operator="between">
      <formula>10</formula>
      <formula>10</formula>
    </cfRule>
    <cfRule type="cellIs" dxfId="61" priority="353" operator="between">
      <formula>9</formula>
      <formula>9.9</formula>
    </cfRule>
    <cfRule type="cellIs" dxfId="60" priority="351" operator="between">
      <formula>7</formula>
      <formula>7.9</formula>
    </cfRule>
    <cfRule type="cellIs" dxfId="59" priority="350" operator="between">
      <formula>10.1</formula>
      <formula>10.6</formula>
    </cfRule>
    <cfRule type="cellIs" dxfId="58" priority="349" operator="between">
      <formula>5</formula>
      <formula>6.9</formula>
    </cfRule>
    <cfRule type="cellIs" dxfId="57" priority="348" operator="between">
      <formula>2</formula>
      <formula>4.9</formula>
    </cfRule>
    <cfRule type="cellIs" dxfId="56" priority="347" operator="lessThan">
      <formula>2</formula>
    </cfRule>
    <cfRule type="containsBlanks" dxfId="55" priority="346" stopIfTrue="1">
      <formula>LEN(TRIM(N728))=0</formula>
    </cfRule>
    <cfRule type="cellIs" dxfId="54" priority="352" stopIfTrue="1" operator="between">
      <formula>8</formula>
      <formula>8.9</formula>
    </cfRule>
  </conditionalFormatting>
  <conditionalFormatting sqref="N740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41:N750">
    <cfRule type="cellIs" dxfId="53" priority="268" operator="lessThan">
      <formula>2</formula>
    </cfRule>
    <cfRule type="cellIs" dxfId="52" priority="273" stopIfTrue="1" operator="between">
      <formula>8</formula>
      <formula>8.9</formula>
    </cfRule>
    <cfRule type="cellIs" dxfId="51" priority="274" operator="between">
      <formula>9</formula>
      <formula>9.9</formula>
    </cfRule>
    <cfRule type="cellIs" dxfId="50" priority="271" operator="between">
      <formula>10.1</formula>
      <formula>10.6</formula>
    </cfRule>
    <cfRule type="cellIs" dxfId="49" priority="270" operator="between">
      <formula>5</formula>
      <formula>6.9</formula>
    </cfRule>
    <cfRule type="cellIs" dxfId="48" priority="269" operator="between">
      <formula>2</formula>
      <formula>4.9</formula>
    </cfRule>
    <cfRule type="cellIs" dxfId="47" priority="272" operator="between">
      <formula>7</formula>
      <formula>7.9</formula>
    </cfRule>
    <cfRule type="cellIs" dxfId="46" priority="275" stopIfTrue="1" operator="between">
      <formula>10</formula>
      <formula>10</formula>
    </cfRule>
    <cfRule type="containsBlanks" dxfId="45" priority="267" stopIfTrue="1">
      <formula>LEN(TRIM(N741))=0</formula>
    </cfRule>
  </conditionalFormatting>
  <conditionalFormatting sqref="N752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ellIs" dxfId="44" priority="224" operator="lessThan">
      <formula>2</formula>
    </cfRule>
    <cfRule type="containsBlanks" dxfId="43" priority="223" stopIfTrue="1">
      <formula>LEN(TRIM(N753))=0</formula>
    </cfRule>
    <cfRule type="cellIs" dxfId="42" priority="231" stopIfTrue="1" operator="between">
      <formula>10</formula>
      <formula>10</formula>
    </cfRule>
    <cfRule type="cellIs" dxfId="41" priority="230" operator="between">
      <formula>9</formula>
      <formula>9.9</formula>
    </cfRule>
    <cfRule type="cellIs" dxfId="40" priority="229" stopIfTrue="1" operator="between">
      <formula>8</formula>
      <formula>8.9</formula>
    </cfRule>
    <cfRule type="cellIs" dxfId="39" priority="228" operator="between">
      <formula>7</formula>
      <formula>7.9</formula>
    </cfRule>
    <cfRule type="cellIs" dxfId="38" priority="227" operator="between">
      <formula>10.1</formula>
      <formula>10.6</formula>
    </cfRule>
    <cfRule type="cellIs" dxfId="37" priority="226" operator="between">
      <formula>5</formula>
      <formula>6.9</formula>
    </cfRule>
    <cfRule type="cellIs" dxfId="36" priority="225" operator="between">
      <formula>2</formula>
      <formula>4.9</formula>
    </cfRule>
  </conditionalFormatting>
  <conditionalFormatting sqref="N757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ellIs" dxfId="35" priority="204" operator="lessThan">
      <formula>2</formula>
    </cfRule>
    <cfRule type="cellIs" dxfId="34" priority="205" operator="between">
      <formula>2</formula>
      <formula>4.9</formula>
    </cfRule>
    <cfRule type="cellIs" dxfId="33" priority="206" operator="between">
      <formula>5</formula>
      <formula>6.9</formula>
    </cfRule>
    <cfRule type="cellIs" dxfId="32" priority="207" operator="between">
      <formula>10.1</formula>
      <formula>10.6</formula>
    </cfRule>
    <cfRule type="cellIs" dxfId="31" priority="208" operator="between">
      <formula>7</formula>
      <formula>7.9</formula>
    </cfRule>
    <cfRule type="cellIs" dxfId="30" priority="209" stopIfTrue="1" operator="between">
      <formula>8</formula>
      <formula>8.9</formula>
    </cfRule>
    <cfRule type="cellIs" dxfId="29" priority="210" operator="between">
      <formula>9</formula>
      <formula>9.9</formula>
    </cfRule>
    <cfRule type="cellIs" dxfId="28" priority="211" stopIfTrue="1" operator="between">
      <formula>10</formula>
      <formula>10</formula>
    </cfRule>
    <cfRule type="containsBlanks" dxfId="27" priority="203" stopIfTrue="1">
      <formula>LEN(TRIM(N758))=0</formula>
    </cfRule>
  </conditionalFormatting>
  <conditionalFormatting sqref="N765"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ellIs" dxfId="26" priority="164" operator="between">
      <formula>7</formula>
      <formula>7.9</formula>
    </cfRule>
    <cfRule type="cellIs" dxfId="25" priority="166" operator="between">
      <formula>9</formula>
      <formula>9.9</formula>
    </cfRule>
    <cfRule type="containsBlanks" dxfId="24" priority="159" stopIfTrue="1">
      <formula>LEN(TRIM(N766))=0</formula>
    </cfRule>
    <cfRule type="cellIs" dxfId="23" priority="160" operator="lessThan">
      <formula>2</formula>
    </cfRule>
    <cfRule type="cellIs" dxfId="22" priority="161" operator="between">
      <formula>2</formula>
      <formula>4.9</formula>
    </cfRule>
    <cfRule type="cellIs" dxfId="21" priority="162" operator="between">
      <formula>5</formula>
      <formula>6.9</formula>
    </cfRule>
    <cfRule type="cellIs" dxfId="20" priority="163" operator="between">
      <formula>10.1</formula>
      <formula>10.6</formula>
    </cfRule>
    <cfRule type="cellIs" dxfId="19" priority="167" stopIfTrue="1" operator="between">
      <formula>10</formula>
      <formula>10</formula>
    </cfRule>
    <cfRule type="cellIs" dxfId="18" priority="165" stopIfTrue="1" operator="between">
      <formula>8</formula>
      <formula>8.9</formula>
    </cfRule>
  </conditionalFormatting>
  <conditionalFormatting sqref="N772"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">
      <colorScale>
        <cfvo type="num" val="5"/>
        <cfvo type="num" val="10"/>
        <color rgb="FFFF494D"/>
        <color rgb="FF00FF66"/>
      </colorScale>
    </cfRule>
  </conditionalFormatting>
  <conditionalFormatting sqref="N773:N800">
    <cfRule type="cellIs" dxfId="17" priority="134" stopIfTrue="1" operator="between">
      <formula>10</formula>
      <formula>10</formula>
    </cfRule>
    <cfRule type="cellIs" dxfId="16" priority="132" stopIfTrue="1" operator="between">
      <formula>8</formula>
      <formula>8.9</formula>
    </cfRule>
    <cfRule type="cellIs" dxfId="15" priority="131" operator="between">
      <formula>7</formula>
      <formula>7.9</formula>
    </cfRule>
    <cfRule type="cellIs" dxfId="14" priority="130" operator="between">
      <formula>10.1</formula>
      <formula>10.6</formula>
    </cfRule>
    <cfRule type="cellIs" dxfId="13" priority="129" operator="between">
      <formula>5</formula>
      <formula>6.9</formula>
    </cfRule>
    <cfRule type="cellIs" dxfId="12" priority="128" operator="between">
      <formula>2</formula>
      <formula>4.9</formula>
    </cfRule>
    <cfRule type="cellIs" dxfId="11" priority="127" operator="lessThan">
      <formula>2</formula>
    </cfRule>
    <cfRule type="containsBlanks" dxfId="10" priority="126" stopIfTrue="1">
      <formula>LEN(TRIM(N773))=0</formula>
    </cfRule>
    <cfRule type="cellIs" dxfId="9" priority="133" operator="between">
      <formula>9</formula>
      <formula>9.9</formula>
    </cfRule>
  </conditionalFormatting>
  <conditionalFormatting sqref="N802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3:N810">
    <cfRule type="cellIs" dxfId="8" priority="10" operator="between">
      <formula>9</formula>
      <formula>9.9</formula>
    </cfRule>
    <cfRule type="cellIs" dxfId="7" priority="9" stopIfTrue="1" operator="between">
      <formula>8</formula>
      <formula>8.9</formula>
    </cfRule>
    <cfRule type="cellIs" dxfId="6" priority="8" operator="between">
      <formula>7</formula>
      <formula>7.9</formula>
    </cfRule>
    <cfRule type="cellIs" dxfId="5" priority="7" operator="between">
      <formula>10.1</formula>
      <formula>10.6</formula>
    </cfRule>
    <cfRule type="cellIs" dxfId="4" priority="6" operator="between">
      <formula>5</formula>
      <formula>6.9</formula>
    </cfRule>
    <cfRule type="cellIs" dxfId="3" priority="5" operator="between">
      <formula>2</formula>
      <formula>4.9</formula>
    </cfRule>
    <cfRule type="cellIs" dxfId="2" priority="4" operator="lessThan">
      <formula>2</formula>
    </cfRule>
    <cfRule type="cellIs" dxfId="1" priority="11" stopIfTrue="1" operator="between">
      <formula>10</formula>
      <formula>10</formula>
    </cfRule>
    <cfRule type="containsBlanks" dxfId="0" priority="3" stopIfTrue="1">
      <formula>LEN(TRIM(N803))=0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18"/>
  <sheetViews>
    <sheetView tabSelected="1" zoomScale="90" zoomScaleNormal="90" workbookViewId="0">
      <selection activeCell="E45" sqref="E45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42" t="s">
        <v>1225</v>
      </c>
      <c r="B1" s="542"/>
      <c r="C1" s="542"/>
      <c r="D1" s="542"/>
      <c r="E1" s="542"/>
      <c r="F1" s="542"/>
      <c r="G1" s="542"/>
      <c r="H1" s="542"/>
      <c r="I1" s="542"/>
      <c r="J1" s="542"/>
      <c r="K1" s="542"/>
      <c r="L1" s="542"/>
      <c r="M1" s="542"/>
      <c r="N1" s="542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3049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1765</v>
      </c>
      <c r="N3" s="228" t="s">
        <v>2917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1764</v>
      </c>
      <c r="N4" s="231" t="s">
        <v>2012</v>
      </c>
    </row>
    <row r="5" spans="1:14" x14ac:dyDescent="0.2">
      <c r="A5" s="235">
        <v>3</v>
      </c>
      <c r="B5" s="226" t="s">
        <v>2293</v>
      </c>
      <c r="C5" s="227" t="s">
        <v>2278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987</v>
      </c>
      <c r="L5" s="227">
        <v>1972</v>
      </c>
      <c r="M5" s="227" t="s">
        <v>1776</v>
      </c>
      <c r="N5" s="228" t="s">
        <v>2309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1766</v>
      </c>
      <c r="N6" s="231" t="s">
        <v>1991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1767</v>
      </c>
      <c r="N7" s="228" t="s">
        <v>1974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1770</v>
      </c>
      <c r="N8" s="231" t="s">
        <v>2005</v>
      </c>
    </row>
    <row r="9" spans="1:14" x14ac:dyDescent="0.2">
      <c r="A9" s="236">
        <v>7</v>
      </c>
      <c r="B9" s="226" t="s">
        <v>2460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1005</v>
      </c>
      <c r="L9" s="227">
        <v>2000</v>
      </c>
      <c r="M9" s="227" t="s">
        <v>2465</v>
      </c>
      <c r="N9" s="228" t="s">
        <v>2008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1767</v>
      </c>
      <c r="N10" s="231" t="s">
        <v>2021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1768</v>
      </c>
      <c r="N11" s="228" t="s">
        <v>1988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1769</v>
      </c>
      <c r="N12" s="231" t="s">
        <v>2005</v>
      </c>
    </row>
    <row r="13" spans="1:14" x14ac:dyDescent="0.2">
      <c r="A13" s="236">
        <v>11</v>
      </c>
      <c r="B13" s="226" t="s">
        <v>4567</v>
      </c>
      <c r="C13" s="227" t="s">
        <v>4568</v>
      </c>
      <c r="D13" s="227">
        <v>9.5</v>
      </c>
      <c r="E13" s="503">
        <v>9.77</v>
      </c>
      <c r="F13" s="227">
        <v>10</v>
      </c>
      <c r="G13" s="227">
        <v>0.91</v>
      </c>
      <c r="H13" s="227">
        <v>4</v>
      </c>
      <c r="I13" s="227">
        <v>6</v>
      </c>
      <c r="J13" s="227">
        <v>0</v>
      </c>
      <c r="K13" s="226" t="s">
        <v>4574</v>
      </c>
      <c r="L13" s="227">
        <v>2008</v>
      </c>
      <c r="M13" s="227" t="s">
        <v>1790</v>
      </c>
      <c r="N13" s="228" t="s">
        <v>4575</v>
      </c>
    </row>
    <row r="14" spans="1:14" x14ac:dyDescent="0.2">
      <c r="A14" s="236">
        <v>12</v>
      </c>
      <c r="B14" s="229" t="s">
        <v>298</v>
      </c>
      <c r="C14" s="230" t="s">
        <v>727</v>
      </c>
      <c r="D14" s="230">
        <v>9.4</v>
      </c>
      <c r="E14" s="239">
        <v>9.5500000000000007</v>
      </c>
      <c r="F14" s="230">
        <v>9.5</v>
      </c>
      <c r="G14" s="230">
        <v>0.8</v>
      </c>
      <c r="H14" s="230">
        <v>2</v>
      </c>
      <c r="I14" s="230">
        <v>5</v>
      </c>
      <c r="J14" s="230">
        <v>0</v>
      </c>
      <c r="K14" s="229" t="s">
        <v>715</v>
      </c>
      <c r="L14" s="230">
        <v>1977</v>
      </c>
      <c r="M14" s="230" t="s">
        <v>1772</v>
      </c>
      <c r="N14" s="231" t="s">
        <v>2002</v>
      </c>
    </row>
    <row r="15" spans="1:14" x14ac:dyDescent="0.2">
      <c r="A15" s="236">
        <v>13</v>
      </c>
      <c r="B15" s="226" t="s">
        <v>296</v>
      </c>
      <c r="C15" s="227" t="s">
        <v>239</v>
      </c>
      <c r="D15" s="227">
        <v>9.3800000000000008</v>
      </c>
      <c r="E15" s="240">
        <v>9.5299999999999994</v>
      </c>
      <c r="F15" s="227">
        <v>9.5</v>
      </c>
      <c r="G15" s="227">
        <v>0.78</v>
      </c>
      <c r="H15" s="227">
        <v>3</v>
      </c>
      <c r="I15" s="227">
        <v>8</v>
      </c>
      <c r="J15" s="227">
        <v>0</v>
      </c>
      <c r="K15" s="226" t="s">
        <v>720</v>
      </c>
      <c r="L15" s="227">
        <v>1971</v>
      </c>
      <c r="M15" s="227" t="s">
        <v>1767</v>
      </c>
      <c r="N15" s="228" t="s">
        <v>2020</v>
      </c>
    </row>
    <row r="16" spans="1:14" x14ac:dyDescent="0.2">
      <c r="A16" s="236">
        <v>14</v>
      </c>
      <c r="B16" s="229" t="s">
        <v>292</v>
      </c>
      <c r="C16" s="230" t="s">
        <v>2367</v>
      </c>
      <c r="D16" s="230">
        <v>9.25</v>
      </c>
      <c r="E16" s="240">
        <v>9.5299999999999994</v>
      </c>
      <c r="F16" s="230">
        <v>9.5</v>
      </c>
      <c r="G16" s="230">
        <v>1.18</v>
      </c>
      <c r="H16" s="230">
        <v>3</v>
      </c>
      <c r="I16" s="230">
        <v>8</v>
      </c>
      <c r="J16" s="230">
        <v>2</v>
      </c>
      <c r="K16" s="229" t="s">
        <v>2368</v>
      </c>
      <c r="L16" s="230">
        <v>2000</v>
      </c>
      <c r="M16" s="230" t="s">
        <v>1786</v>
      </c>
      <c r="N16" s="231" t="s">
        <v>2256</v>
      </c>
    </row>
    <row r="17" spans="1:14" x14ac:dyDescent="0.2">
      <c r="A17" s="236">
        <v>15</v>
      </c>
      <c r="B17" s="226" t="s">
        <v>297</v>
      </c>
      <c r="C17" s="227" t="s">
        <v>1079</v>
      </c>
      <c r="D17" s="227">
        <v>9.4</v>
      </c>
      <c r="E17" s="241">
        <v>9.4600000000000009</v>
      </c>
      <c r="F17" s="227">
        <v>9</v>
      </c>
      <c r="G17" s="227">
        <v>0.73</v>
      </c>
      <c r="H17" s="227">
        <v>2</v>
      </c>
      <c r="I17" s="227">
        <v>5</v>
      </c>
      <c r="J17" s="227">
        <v>0</v>
      </c>
      <c r="K17" s="226" t="s">
        <v>714</v>
      </c>
      <c r="L17" s="227">
        <v>1969</v>
      </c>
      <c r="M17" s="227" t="s">
        <v>1773</v>
      </c>
      <c r="N17" s="228" t="s">
        <v>2021</v>
      </c>
    </row>
    <row r="18" spans="1:14" x14ac:dyDescent="0.2">
      <c r="A18" s="236">
        <v>16</v>
      </c>
      <c r="B18" s="229" t="s">
        <v>300</v>
      </c>
      <c r="C18" s="230" t="s">
        <v>131</v>
      </c>
      <c r="D18" s="230">
        <v>9.2899999999999991</v>
      </c>
      <c r="E18" s="403">
        <v>9.44</v>
      </c>
      <c r="F18" s="230">
        <v>9.5</v>
      </c>
      <c r="G18" s="230">
        <v>0.8</v>
      </c>
      <c r="H18" s="230">
        <v>2</v>
      </c>
      <c r="I18" s="230">
        <v>7</v>
      </c>
      <c r="J18" s="230">
        <v>0</v>
      </c>
      <c r="K18" s="229" t="s">
        <v>735</v>
      </c>
      <c r="L18" s="230">
        <v>2001</v>
      </c>
      <c r="M18" s="230" t="s">
        <v>1765</v>
      </c>
      <c r="N18" s="231" t="s">
        <v>2022</v>
      </c>
    </row>
    <row r="19" spans="1:14" x14ac:dyDescent="0.2">
      <c r="A19" s="236">
        <v>17</v>
      </c>
      <c r="B19" s="226" t="s">
        <v>1872</v>
      </c>
      <c r="C19" s="227" t="s">
        <v>1865</v>
      </c>
      <c r="D19" s="227">
        <v>9.31</v>
      </c>
      <c r="E19" s="242">
        <v>9.43</v>
      </c>
      <c r="F19" s="227">
        <v>9.25</v>
      </c>
      <c r="G19" s="227">
        <v>0.75</v>
      </c>
      <c r="H19" s="227">
        <v>3</v>
      </c>
      <c r="I19" s="227">
        <v>8</v>
      </c>
      <c r="J19" s="227">
        <v>0</v>
      </c>
      <c r="K19" s="226" t="s">
        <v>1873</v>
      </c>
      <c r="L19" s="227">
        <v>1970</v>
      </c>
      <c r="M19" s="227" t="s">
        <v>1772</v>
      </c>
      <c r="N19" s="228" t="s">
        <v>1959</v>
      </c>
    </row>
    <row r="20" spans="1:14" x14ac:dyDescent="0.2">
      <c r="A20" s="236">
        <v>18</v>
      </c>
      <c r="B20" s="229" t="s">
        <v>292</v>
      </c>
      <c r="C20" s="230" t="s">
        <v>1138</v>
      </c>
      <c r="D20" s="230">
        <v>9.2899999999999991</v>
      </c>
      <c r="E20" s="371">
        <v>9.42</v>
      </c>
      <c r="F20" s="230">
        <v>9.5</v>
      </c>
      <c r="G20" s="230">
        <v>0.92</v>
      </c>
      <c r="H20" s="230">
        <v>3</v>
      </c>
      <c r="I20" s="230">
        <v>10</v>
      </c>
      <c r="J20" s="230">
        <v>3</v>
      </c>
      <c r="K20" s="229" t="s">
        <v>1150</v>
      </c>
      <c r="L20" s="230">
        <v>2019</v>
      </c>
      <c r="M20" s="230" t="s">
        <v>1771</v>
      </c>
      <c r="N20" s="231" t="s">
        <v>1987</v>
      </c>
    </row>
    <row r="21" spans="1:14" x14ac:dyDescent="0.2">
      <c r="A21" s="236">
        <v>19</v>
      </c>
      <c r="B21" s="226" t="s">
        <v>301</v>
      </c>
      <c r="C21" s="227" t="s">
        <v>56</v>
      </c>
      <c r="D21" s="227">
        <v>9.25</v>
      </c>
      <c r="E21" s="243">
        <v>9.3699999999999992</v>
      </c>
      <c r="F21" s="227">
        <v>9.25</v>
      </c>
      <c r="G21" s="227">
        <v>0.83</v>
      </c>
      <c r="H21" s="227">
        <v>3</v>
      </c>
      <c r="I21" s="227">
        <v>8</v>
      </c>
      <c r="J21" s="227">
        <v>0</v>
      </c>
      <c r="K21" s="226" t="s">
        <v>734</v>
      </c>
      <c r="L21" s="227">
        <v>1986</v>
      </c>
      <c r="M21" s="227" t="s">
        <v>1774</v>
      </c>
      <c r="N21" s="228" t="s">
        <v>2021</v>
      </c>
    </row>
    <row r="22" spans="1:14" x14ac:dyDescent="0.2">
      <c r="A22" s="236">
        <v>20</v>
      </c>
      <c r="B22" s="229" t="s">
        <v>293</v>
      </c>
      <c r="C22" s="230" t="s">
        <v>251</v>
      </c>
      <c r="D22" s="230">
        <v>9.15</v>
      </c>
      <c r="E22" s="243">
        <v>9.3699999999999992</v>
      </c>
      <c r="F22" s="230">
        <v>9</v>
      </c>
      <c r="G22" s="230">
        <v>1</v>
      </c>
      <c r="H22" s="230">
        <v>4</v>
      </c>
      <c r="I22" s="230">
        <v>11</v>
      </c>
      <c r="J22" s="230">
        <v>1</v>
      </c>
      <c r="K22" s="229" t="s">
        <v>814</v>
      </c>
      <c r="L22" s="230">
        <v>2000</v>
      </c>
      <c r="M22" s="230" t="s">
        <v>1775</v>
      </c>
      <c r="N22" s="231" t="s">
        <v>2016</v>
      </c>
    </row>
    <row r="23" spans="1:14" x14ac:dyDescent="0.2">
      <c r="A23" s="236">
        <v>21</v>
      </c>
      <c r="B23" s="226" t="s">
        <v>297</v>
      </c>
      <c r="C23" s="227" t="s">
        <v>959</v>
      </c>
      <c r="D23" s="227">
        <v>9.3000000000000007</v>
      </c>
      <c r="E23" s="244">
        <v>9.36</v>
      </c>
      <c r="F23" s="227">
        <v>9</v>
      </c>
      <c r="G23" s="227">
        <v>0.87</v>
      </c>
      <c r="H23" s="227">
        <v>2</v>
      </c>
      <c r="I23" s="227">
        <v>5</v>
      </c>
      <c r="J23" s="227">
        <v>0</v>
      </c>
      <c r="K23" s="226" t="s">
        <v>714</v>
      </c>
      <c r="L23" s="227">
        <v>2024</v>
      </c>
      <c r="M23" s="227" t="s">
        <v>1776</v>
      </c>
      <c r="N23" s="228" t="s">
        <v>1992</v>
      </c>
    </row>
    <row r="24" spans="1:14" x14ac:dyDescent="0.2">
      <c r="A24" s="236">
        <v>22</v>
      </c>
      <c r="B24" s="229" t="s">
        <v>302</v>
      </c>
      <c r="C24" s="230" t="s">
        <v>186</v>
      </c>
      <c r="D24" s="230">
        <v>9.2100000000000009</v>
      </c>
      <c r="E24" s="245">
        <v>9.34</v>
      </c>
      <c r="F24" s="230">
        <v>9.25</v>
      </c>
      <c r="G24" s="230">
        <v>0.85</v>
      </c>
      <c r="H24" s="230">
        <v>5</v>
      </c>
      <c r="I24" s="230">
        <v>13</v>
      </c>
      <c r="J24" s="230">
        <v>1</v>
      </c>
      <c r="K24" s="229" t="s">
        <v>717</v>
      </c>
      <c r="L24" s="230">
        <v>2008</v>
      </c>
      <c r="M24" s="230" t="s">
        <v>1777</v>
      </c>
      <c r="N24" s="231" t="s">
        <v>2021</v>
      </c>
    </row>
    <row r="25" spans="1:14" x14ac:dyDescent="0.2">
      <c r="A25" s="236">
        <v>23</v>
      </c>
      <c r="B25" s="226" t="s">
        <v>4134</v>
      </c>
      <c r="C25" s="227" t="s">
        <v>4135</v>
      </c>
      <c r="D25" s="227">
        <v>9.09</v>
      </c>
      <c r="E25" s="452">
        <v>9.33</v>
      </c>
      <c r="F25" s="227">
        <v>9</v>
      </c>
      <c r="G25" s="227">
        <v>0.81</v>
      </c>
      <c r="H25" s="227">
        <v>6</v>
      </c>
      <c r="I25" s="227">
        <v>22</v>
      </c>
      <c r="J25" s="227">
        <v>0</v>
      </c>
      <c r="K25" s="226" t="s">
        <v>1011</v>
      </c>
      <c r="L25" s="227">
        <v>2013</v>
      </c>
      <c r="M25" s="227" t="s">
        <v>4140</v>
      </c>
      <c r="N25" s="228" t="s">
        <v>4141</v>
      </c>
    </row>
    <row r="26" spans="1:14" x14ac:dyDescent="0.2">
      <c r="A26" s="236">
        <v>24</v>
      </c>
      <c r="B26" s="229" t="s">
        <v>300</v>
      </c>
      <c r="C26" s="230" t="s">
        <v>922</v>
      </c>
      <c r="D26" s="230">
        <v>9.1300000000000008</v>
      </c>
      <c r="E26" s="460">
        <v>9.24</v>
      </c>
      <c r="F26" s="230">
        <v>9.25</v>
      </c>
      <c r="G26" s="230">
        <v>0.86</v>
      </c>
      <c r="H26" s="230">
        <v>2</v>
      </c>
      <c r="I26" s="230">
        <v>8</v>
      </c>
      <c r="J26" s="230">
        <v>0</v>
      </c>
      <c r="K26" s="229" t="s">
        <v>735</v>
      </c>
      <c r="L26" s="230">
        <v>2005</v>
      </c>
      <c r="M26" s="230" t="s">
        <v>1783</v>
      </c>
      <c r="N26" s="231" t="s">
        <v>1994</v>
      </c>
    </row>
    <row r="27" spans="1:14" x14ac:dyDescent="0.2">
      <c r="A27" s="236">
        <v>25</v>
      </c>
      <c r="B27" s="226" t="s">
        <v>405</v>
      </c>
      <c r="C27" s="227" t="s">
        <v>36</v>
      </c>
      <c r="D27" s="227">
        <v>9.15</v>
      </c>
      <c r="E27" s="246">
        <v>9.23</v>
      </c>
      <c r="F27" s="227">
        <v>9</v>
      </c>
      <c r="G27" s="227">
        <v>0.78</v>
      </c>
      <c r="H27" s="227">
        <v>3</v>
      </c>
      <c r="I27" s="227">
        <v>10</v>
      </c>
      <c r="J27" s="227">
        <v>0</v>
      </c>
      <c r="K27" s="226" t="s">
        <v>714</v>
      </c>
      <c r="L27" s="227">
        <v>1982</v>
      </c>
      <c r="M27" s="227" t="s">
        <v>1767</v>
      </c>
      <c r="N27" s="228" t="s">
        <v>2022</v>
      </c>
    </row>
    <row r="28" spans="1:14" x14ac:dyDescent="0.2">
      <c r="A28" s="236">
        <v>26</v>
      </c>
      <c r="B28" s="229" t="s">
        <v>441</v>
      </c>
      <c r="C28" s="230" t="s">
        <v>459</v>
      </c>
      <c r="D28" s="230">
        <v>9.17</v>
      </c>
      <c r="E28" s="246">
        <v>9.23</v>
      </c>
      <c r="F28" s="230">
        <v>9</v>
      </c>
      <c r="G28" s="230">
        <v>0.69</v>
      </c>
      <c r="H28" s="230">
        <v>1</v>
      </c>
      <c r="I28" s="230">
        <v>6</v>
      </c>
      <c r="J28" s="230">
        <v>0</v>
      </c>
      <c r="K28" s="229" t="s">
        <v>716</v>
      </c>
      <c r="L28" s="230">
        <v>2007</v>
      </c>
      <c r="M28" s="230" t="s">
        <v>1778</v>
      </c>
      <c r="N28" s="231" t="s">
        <v>2014</v>
      </c>
    </row>
    <row r="29" spans="1:14" x14ac:dyDescent="0.2">
      <c r="A29" s="236">
        <v>27</v>
      </c>
      <c r="B29" s="226" t="s">
        <v>3034</v>
      </c>
      <c r="C29" s="227" t="s">
        <v>3035</v>
      </c>
      <c r="D29" s="227">
        <v>9.14</v>
      </c>
      <c r="E29" s="246">
        <v>9.23</v>
      </c>
      <c r="F29" s="227">
        <v>9</v>
      </c>
      <c r="G29" s="227">
        <v>0.74</v>
      </c>
      <c r="H29" s="227">
        <v>2</v>
      </c>
      <c r="I29" s="227">
        <v>7</v>
      </c>
      <c r="J29" s="227">
        <v>0</v>
      </c>
      <c r="K29" s="226" t="s">
        <v>733</v>
      </c>
      <c r="L29" s="227">
        <v>2012</v>
      </c>
      <c r="M29" s="227" t="s">
        <v>1805</v>
      </c>
      <c r="N29" s="228" t="s">
        <v>3025</v>
      </c>
    </row>
    <row r="30" spans="1:14" x14ac:dyDescent="0.2">
      <c r="A30" s="236">
        <v>28</v>
      </c>
      <c r="B30" s="229" t="s">
        <v>301</v>
      </c>
      <c r="C30" s="230" t="s">
        <v>653</v>
      </c>
      <c r="D30" s="230">
        <v>9.1300000000000008</v>
      </c>
      <c r="E30" s="247">
        <v>9.2100000000000009</v>
      </c>
      <c r="F30" s="230">
        <v>9</v>
      </c>
      <c r="G30" s="230">
        <v>0.93</v>
      </c>
      <c r="H30" s="230">
        <v>3</v>
      </c>
      <c r="I30" s="230">
        <v>8</v>
      </c>
      <c r="J30" s="230">
        <v>0</v>
      </c>
      <c r="K30" s="229" t="s">
        <v>734</v>
      </c>
      <c r="L30" s="230">
        <v>1984</v>
      </c>
      <c r="M30" s="230" t="s">
        <v>1775</v>
      </c>
      <c r="N30" s="231" t="s">
        <v>2006</v>
      </c>
    </row>
    <row r="31" spans="1:14" x14ac:dyDescent="0.2">
      <c r="A31" s="236">
        <v>29</v>
      </c>
      <c r="B31" s="226" t="s">
        <v>303</v>
      </c>
      <c r="C31" s="227" t="s">
        <v>2366</v>
      </c>
      <c r="D31" s="227">
        <v>9.08</v>
      </c>
      <c r="E31" s="248">
        <v>9.17</v>
      </c>
      <c r="F31" s="227">
        <v>9</v>
      </c>
      <c r="G31" s="227">
        <v>0.73</v>
      </c>
      <c r="H31" s="227">
        <v>3</v>
      </c>
      <c r="I31" s="227">
        <v>13</v>
      </c>
      <c r="J31" s="227">
        <v>0</v>
      </c>
      <c r="K31" s="226" t="s">
        <v>2380</v>
      </c>
      <c r="L31" s="227">
        <v>2007</v>
      </c>
      <c r="M31" s="227" t="s">
        <v>1777</v>
      </c>
      <c r="N31" s="228" t="s">
        <v>2350</v>
      </c>
    </row>
    <row r="32" spans="1:14" x14ac:dyDescent="0.2">
      <c r="A32" s="236">
        <v>30</v>
      </c>
      <c r="B32" s="229" t="s">
        <v>357</v>
      </c>
      <c r="C32" s="230" t="s">
        <v>351</v>
      </c>
      <c r="D32" s="230">
        <v>9.0500000000000007</v>
      </c>
      <c r="E32" s="249">
        <v>9.14</v>
      </c>
      <c r="F32" s="230">
        <v>9</v>
      </c>
      <c r="G32" s="230">
        <v>0.88</v>
      </c>
      <c r="H32" s="230">
        <v>3</v>
      </c>
      <c r="I32" s="230">
        <v>10</v>
      </c>
      <c r="J32" s="230">
        <v>0</v>
      </c>
      <c r="K32" s="229" t="s">
        <v>722</v>
      </c>
      <c r="L32" s="230">
        <v>1990</v>
      </c>
      <c r="M32" s="230" t="s">
        <v>1801</v>
      </c>
      <c r="N32" s="231" t="s">
        <v>2018</v>
      </c>
    </row>
    <row r="33" spans="1:14" x14ac:dyDescent="0.2">
      <c r="A33" s="236">
        <v>31</v>
      </c>
      <c r="B33" s="226" t="s">
        <v>293</v>
      </c>
      <c r="C33" s="227" t="s">
        <v>393</v>
      </c>
      <c r="D33" s="227">
        <v>9.0399999999999991</v>
      </c>
      <c r="E33" s="249">
        <v>9.14</v>
      </c>
      <c r="F33" s="227">
        <v>9</v>
      </c>
      <c r="G33" s="227">
        <v>0.78</v>
      </c>
      <c r="H33" s="227">
        <v>3</v>
      </c>
      <c r="I33" s="227">
        <v>12</v>
      </c>
      <c r="J33" s="227">
        <v>0</v>
      </c>
      <c r="K33" s="226" t="s">
        <v>732</v>
      </c>
      <c r="L33" s="227">
        <v>1995</v>
      </c>
      <c r="M33" s="227" t="s">
        <v>1784</v>
      </c>
      <c r="N33" s="228" t="s">
        <v>2015</v>
      </c>
    </row>
    <row r="34" spans="1:14" x14ac:dyDescent="0.2">
      <c r="A34" s="236">
        <v>32</v>
      </c>
      <c r="B34" s="229" t="s">
        <v>866</v>
      </c>
      <c r="C34" s="230" t="s">
        <v>857</v>
      </c>
      <c r="D34" s="230">
        <v>9.06</v>
      </c>
      <c r="E34" s="250">
        <v>9.1</v>
      </c>
      <c r="F34" s="230">
        <v>8.75</v>
      </c>
      <c r="G34" s="230">
        <v>0.92</v>
      </c>
      <c r="H34" s="230">
        <v>3</v>
      </c>
      <c r="I34" s="230">
        <v>9</v>
      </c>
      <c r="J34" s="230">
        <v>1</v>
      </c>
      <c r="K34" s="229" t="s">
        <v>867</v>
      </c>
      <c r="L34" s="230">
        <v>1979</v>
      </c>
      <c r="M34" s="230" t="s">
        <v>1764</v>
      </c>
      <c r="N34" s="231" t="s">
        <v>1998</v>
      </c>
    </row>
    <row r="35" spans="1:14" x14ac:dyDescent="0.2">
      <c r="A35" s="236">
        <v>33</v>
      </c>
      <c r="B35" s="226" t="s">
        <v>296</v>
      </c>
      <c r="C35" s="227" t="s">
        <v>4012</v>
      </c>
      <c r="D35" s="227">
        <v>9.1300000000000008</v>
      </c>
      <c r="E35" s="250">
        <v>9.1</v>
      </c>
      <c r="F35" s="227">
        <v>9.25</v>
      </c>
      <c r="G35" s="227">
        <v>0.96</v>
      </c>
      <c r="H35" s="227">
        <v>3</v>
      </c>
      <c r="I35" s="227">
        <v>8</v>
      </c>
      <c r="J35" s="227">
        <v>0</v>
      </c>
      <c r="K35" s="226" t="s">
        <v>1894</v>
      </c>
      <c r="L35" s="227">
        <v>1973</v>
      </c>
      <c r="M35" s="227" t="s">
        <v>1780</v>
      </c>
      <c r="N35" s="228" t="s">
        <v>4016</v>
      </c>
    </row>
    <row r="36" spans="1:14" x14ac:dyDescent="0.2">
      <c r="A36" s="236">
        <v>34</v>
      </c>
      <c r="B36" s="229" t="s">
        <v>303</v>
      </c>
      <c r="C36" s="230" t="s">
        <v>157</v>
      </c>
      <c r="D36" s="230">
        <v>9</v>
      </c>
      <c r="E36" s="250">
        <v>9.09</v>
      </c>
      <c r="F36" s="230">
        <v>9</v>
      </c>
      <c r="G36" s="230">
        <v>0.85</v>
      </c>
      <c r="H36" s="230">
        <v>3</v>
      </c>
      <c r="I36" s="230">
        <v>14</v>
      </c>
      <c r="J36" s="230">
        <v>1</v>
      </c>
      <c r="K36" s="229" t="s">
        <v>718</v>
      </c>
      <c r="L36" s="230">
        <v>2001</v>
      </c>
      <c r="M36" s="230" t="s">
        <v>1779</v>
      </c>
      <c r="N36" s="231" t="s">
        <v>2022</v>
      </c>
    </row>
    <row r="37" spans="1:14" x14ac:dyDescent="0.2">
      <c r="A37" s="236">
        <v>35</v>
      </c>
      <c r="B37" s="226" t="s">
        <v>304</v>
      </c>
      <c r="C37" s="227" t="s">
        <v>229</v>
      </c>
      <c r="D37" s="227">
        <v>9</v>
      </c>
      <c r="E37" s="250">
        <v>9.09</v>
      </c>
      <c r="F37" s="227">
        <v>9</v>
      </c>
      <c r="G37" s="227">
        <v>0.82</v>
      </c>
      <c r="H37" s="227">
        <v>2</v>
      </c>
      <c r="I37" s="227">
        <v>9</v>
      </c>
      <c r="J37" s="227">
        <v>0</v>
      </c>
      <c r="K37" s="226" t="s">
        <v>734</v>
      </c>
      <c r="L37" s="227">
        <v>1990</v>
      </c>
      <c r="M37" s="227" t="s">
        <v>1780</v>
      </c>
      <c r="N37" s="228" t="s">
        <v>2020</v>
      </c>
    </row>
    <row r="38" spans="1:14" x14ac:dyDescent="0.2">
      <c r="A38" s="236">
        <v>36</v>
      </c>
      <c r="B38" s="229" t="s">
        <v>301</v>
      </c>
      <c r="C38" s="230" t="s">
        <v>1026</v>
      </c>
      <c r="D38" s="230">
        <v>9</v>
      </c>
      <c r="E38" s="251">
        <v>9.08</v>
      </c>
      <c r="F38" s="230">
        <v>9</v>
      </c>
      <c r="G38" s="230">
        <v>0.88</v>
      </c>
      <c r="H38" s="230">
        <v>2</v>
      </c>
      <c r="I38" s="230">
        <v>9</v>
      </c>
      <c r="J38" s="230">
        <v>0</v>
      </c>
      <c r="K38" s="229" t="s">
        <v>734</v>
      </c>
      <c r="L38" s="230">
        <v>1988</v>
      </c>
      <c r="M38" s="230" t="s">
        <v>1781</v>
      </c>
      <c r="N38" s="231" t="s">
        <v>1990</v>
      </c>
    </row>
    <row r="39" spans="1:14" x14ac:dyDescent="0.2">
      <c r="A39" s="236">
        <v>37</v>
      </c>
      <c r="B39" s="226" t="s">
        <v>1477</v>
      </c>
      <c r="C39" s="227" t="s">
        <v>1478</v>
      </c>
      <c r="D39" s="227">
        <v>9.1</v>
      </c>
      <c r="E39" s="434">
        <v>9.06</v>
      </c>
      <c r="F39" s="227">
        <v>9</v>
      </c>
      <c r="G39" s="227">
        <v>0.8</v>
      </c>
      <c r="H39" s="227">
        <v>2</v>
      </c>
      <c r="I39" s="227">
        <v>5</v>
      </c>
      <c r="J39" s="227">
        <v>0</v>
      </c>
      <c r="K39" s="226" t="s">
        <v>1479</v>
      </c>
      <c r="L39" s="227">
        <v>1974</v>
      </c>
      <c r="M39" s="227" t="s">
        <v>1773</v>
      </c>
      <c r="N39" s="228" t="s">
        <v>1974</v>
      </c>
    </row>
    <row r="40" spans="1:14" x14ac:dyDescent="0.2">
      <c r="A40" s="236">
        <v>38</v>
      </c>
      <c r="B40" s="229" t="s">
        <v>441</v>
      </c>
      <c r="C40" s="230" t="s">
        <v>609</v>
      </c>
      <c r="D40" s="230">
        <v>8.94</v>
      </c>
      <c r="E40" s="252">
        <v>9.0399999999999991</v>
      </c>
      <c r="F40" s="230">
        <v>9</v>
      </c>
      <c r="G40" s="230">
        <v>0.86</v>
      </c>
      <c r="H40" s="230">
        <v>2</v>
      </c>
      <c r="I40" s="230">
        <v>9</v>
      </c>
      <c r="J40" s="230">
        <v>0</v>
      </c>
      <c r="K40" s="229" t="s">
        <v>716</v>
      </c>
      <c r="L40" s="230">
        <v>2005</v>
      </c>
      <c r="M40" s="230" t="s">
        <v>1782</v>
      </c>
      <c r="N40" s="231" t="s">
        <v>2009</v>
      </c>
    </row>
    <row r="41" spans="1:14" x14ac:dyDescent="0.2">
      <c r="A41" s="236">
        <v>39</v>
      </c>
      <c r="B41" s="226" t="s">
        <v>2699</v>
      </c>
      <c r="C41" s="227" t="s">
        <v>2700</v>
      </c>
      <c r="D41" s="227">
        <v>8.8800000000000008</v>
      </c>
      <c r="E41" s="252">
        <v>9.0399999999999991</v>
      </c>
      <c r="F41" s="227">
        <v>8.5</v>
      </c>
      <c r="G41" s="227">
        <v>0.87</v>
      </c>
      <c r="H41" s="227">
        <v>4</v>
      </c>
      <c r="I41" s="227">
        <v>18</v>
      </c>
      <c r="J41" s="227">
        <v>1</v>
      </c>
      <c r="K41" s="226" t="s">
        <v>2705</v>
      </c>
      <c r="L41" s="227">
        <v>1998</v>
      </c>
      <c r="M41" s="227" t="s">
        <v>1798</v>
      </c>
      <c r="N41" s="228" t="s">
        <v>2706</v>
      </c>
    </row>
    <row r="42" spans="1:14" x14ac:dyDescent="0.2">
      <c r="A42" s="236">
        <v>40</v>
      </c>
      <c r="B42" s="229" t="s">
        <v>307</v>
      </c>
      <c r="C42" s="230" t="s">
        <v>95</v>
      </c>
      <c r="D42" s="230">
        <v>8.94</v>
      </c>
      <c r="E42" s="253">
        <v>9.0299999999999994</v>
      </c>
      <c r="F42" s="230">
        <v>9</v>
      </c>
      <c r="G42" s="230">
        <v>0.96</v>
      </c>
      <c r="H42" s="230">
        <v>2</v>
      </c>
      <c r="I42" s="230">
        <v>9</v>
      </c>
      <c r="J42" s="230">
        <v>0</v>
      </c>
      <c r="K42" s="229" t="s">
        <v>720</v>
      </c>
      <c r="L42" s="230">
        <v>1985</v>
      </c>
      <c r="M42" s="230" t="s">
        <v>1774</v>
      </c>
      <c r="N42" s="231" t="s">
        <v>2022</v>
      </c>
    </row>
    <row r="43" spans="1:14" x14ac:dyDescent="0.2">
      <c r="A43" s="236">
        <v>41</v>
      </c>
      <c r="B43" s="226" t="s">
        <v>4709</v>
      </c>
      <c r="C43" s="227" t="s">
        <v>4710</v>
      </c>
      <c r="D43" s="227">
        <v>9.08</v>
      </c>
      <c r="E43" s="253">
        <v>9.0299999999999994</v>
      </c>
      <c r="F43" s="227">
        <v>9</v>
      </c>
      <c r="G43" s="227">
        <v>0.84</v>
      </c>
      <c r="H43" s="227">
        <v>2</v>
      </c>
      <c r="I43" s="227">
        <v>6</v>
      </c>
      <c r="J43" s="227">
        <v>0</v>
      </c>
      <c r="K43" s="226" t="s">
        <v>987</v>
      </c>
      <c r="L43" s="227">
        <v>2021</v>
      </c>
      <c r="M43" s="227" t="s">
        <v>1803</v>
      </c>
      <c r="N43" s="228" t="s">
        <v>4700</v>
      </c>
    </row>
    <row r="44" spans="1:14" x14ac:dyDescent="0.2">
      <c r="A44" s="236">
        <v>42</v>
      </c>
      <c r="B44" s="229" t="s">
        <v>5638</v>
      </c>
      <c r="C44" s="230" t="s">
        <v>5639</v>
      </c>
      <c r="D44" s="230">
        <v>9</v>
      </c>
      <c r="E44" s="253">
        <v>9.0299999999999994</v>
      </c>
      <c r="F44" s="230">
        <v>8.75</v>
      </c>
      <c r="G44" s="230">
        <v>0.94</v>
      </c>
      <c r="H44" s="230">
        <v>1</v>
      </c>
      <c r="I44" s="230">
        <v>4</v>
      </c>
      <c r="J44" s="230">
        <v>0</v>
      </c>
      <c r="K44" s="229" t="s">
        <v>5655</v>
      </c>
      <c r="L44" s="230">
        <v>1973</v>
      </c>
      <c r="M44" s="230" t="s">
        <v>1772</v>
      </c>
      <c r="N44" s="231" t="s">
        <v>5632</v>
      </c>
    </row>
    <row r="45" spans="1:14" x14ac:dyDescent="0.2">
      <c r="A45" s="236">
        <v>43</v>
      </c>
      <c r="B45" s="226" t="s">
        <v>5665</v>
      </c>
      <c r="C45" s="227" t="s">
        <v>5666</v>
      </c>
      <c r="D45" s="227">
        <v>9.06</v>
      </c>
      <c r="E45" s="253">
        <v>9.0299999999999994</v>
      </c>
      <c r="F45" s="227">
        <v>9</v>
      </c>
      <c r="G45" s="227">
        <v>0.57999999999999996</v>
      </c>
      <c r="H45" s="227">
        <v>2</v>
      </c>
      <c r="I45" s="227">
        <v>8</v>
      </c>
      <c r="J45" s="227">
        <v>0</v>
      </c>
      <c r="K45" s="226" t="s">
        <v>5702</v>
      </c>
      <c r="L45" s="227">
        <v>2003</v>
      </c>
      <c r="M45" s="227" t="s">
        <v>1790</v>
      </c>
      <c r="N45" s="228" t="s">
        <v>5703</v>
      </c>
    </row>
    <row r="46" spans="1:14" x14ac:dyDescent="0.2">
      <c r="A46" s="236">
        <v>44</v>
      </c>
      <c r="B46" s="229" t="s">
        <v>1491</v>
      </c>
      <c r="C46" s="230" t="s">
        <v>2190</v>
      </c>
      <c r="D46" s="230">
        <v>9.07</v>
      </c>
      <c r="E46" s="254">
        <v>9.02</v>
      </c>
      <c r="F46" s="230">
        <v>9</v>
      </c>
      <c r="G46" s="230">
        <v>0.73</v>
      </c>
      <c r="H46" s="230">
        <v>2</v>
      </c>
      <c r="I46" s="230">
        <v>7</v>
      </c>
      <c r="J46" s="230">
        <v>0</v>
      </c>
      <c r="K46" s="229" t="s">
        <v>1493</v>
      </c>
      <c r="L46" s="230">
        <v>1977</v>
      </c>
      <c r="M46" s="230" t="s">
        <v>1803</v>
      </c>
      <c r="N46" s="231" t="s">
        <v>2191</v>
      </c>
    </row>
    <row r="47" spans="1:14" x14ac:dyDescent="0.2">
      <c r="A47" s="236">
        <v>45</v>
      </c>
      <c r="B47" s="226" t="s">
        <v>2540</v>
      </c>
      <c r="C47" s="227" t="s">
        <v>2533</v>
      </c>
      <c r="D47" s="227">
        <v>9.06</v>
      </c>
      <c r="E47" s="254">
        <v>9.02</v>
      </c>
      <c r="F47" s="227">
        <v>9</v>
      </c>
      <c r="G47" s="227">
        <v>0.72</v>
      </c>
      <c r="H47" s="227">
        <v>3</v>
      </c>
      <c r="I47" s="227">
        <v>9</v>
      </c>
      <c r="J47" s="227">
        <v>0</v>
      </c>
      <c r="K47" s="226" t="s">
        <v>2542</v>
      </c>
      <c r="L47" s="227">
        <v>1982</v>
      </c>
      <c r="M47" s="227" t="s">
        <v>1767</v>
      </c>
      <c r="N47" s="228" t="s">
        <v>2543</v>
      </c>
    </row>
    <row r="48" spans="1:14" x14ac:dyDescent="0.2">
      <c r="A48" s="236">
        <v>46</v>
      </c>
      <c r="B48" s="229" t="s">
        <v>1440</v>
      </c>
      <c r="C48" s="230" t="s">
        <v>1441</v>
      </c>
      <c r="D48" s="230">
        <v>8.67</v>
      </c>
      <c r="E48" s="255">
        <v>9</v>
      </c>
      <c r="F48" s="230">
        <v>8.5</v>
      </c>
      <c r="G48" s="230">
        <v>0.98</v>
      </c>
      <c r="H48" s="230">
        <v>5</v>
      </c>
      <c r="I48" s="230">
        <v>26</v>
      </c>
      <c r="J48" s="230">
        <v>0</v>
      </c>
      <c r="K48" s="229" t="s">
        <v>1442</v>
      </c>
      <c r="L48" s="230">
        <v>2017</v>
      </c>
      <c r="M48" s="230" t="s">
        <v>1773</v>
      </c>
      <c r="N48" s="231" t="s">
        <v>1975</v>
      </c>
    </row>
    <row r="49" spans="1:14" x14ac:dyDescent="0.2">
      <c r="A49" s="236">
        <v>47</v>
      </c>
      <c r="B49" s="226" t="s">
        <v>315</v>
      </c>
      <c r="C49" s="227" t="s">
        <v>2206</v>
      </c>
      <c r="D49" s="227">
        <v>8.92</v>
      </c>
      <c r="E49" s="255">
        <v>9</v>
      </c>
      <c r="F49" s="227">
        <v>9</v>
      </c>
      <c r="G49" s="227">
        <v>1.02</v>
      </c>
      <c r="H49" s="227">
        <v>3</v>
      </c>
      <c r="I49" s="227">
        <v>13</v>
      </c>
      <c r="J49" s="227">
        <v>1</v>
      </c>
      <c r="K49" s="226" t="s">
        <v>725</v>
      </c>
      <c r="L49" s="227">
        <v>2003</v>
      </c>
      <c r="M49" s="227" t="s">
        <v>1791</v>
      </c>
      <c r="N49" s="228" t="s">
        <v>2226</v>
      </c>
    </row>
    <row r="50" spans="1:14" x14ac:dyDescent="0.2">
      <c r="A50" s="236">
        <v>48</v>
      </c>
      <c r="B50" s="229" t="s">
        <v>2617</v>
      </c>
      <c r="C50" s="230" t="s">
        <v>2613</v>
      </c>
      <c r="D50" s="230">
        <v>8.83</v>
      </c>
      <c r="E50" s="255">
        <v>9</v>
      </c>
      <c r="F50" s="230">
        <v>8.5</v>
      </c>
      <c r="G50" s="230">
        <v>0.87</v>
      </c>
      <c r="H50" s="230">
        <v>3</v>
      </c>
      <c r="I50" s="230">
        <v>15</v>
      </c>
      <c r="J50" s="230">
        <v>0</v>
      </c>
      <c r="K50" s="229" t="s">
        <v>731</v>
      </c>
      <c r="L50" s="230">
        <v>2001</v>
      </c>
      <c r="M50" s="230" t="s">
        <v>1766</v>
      </c>
      <c r="N50" s="231" t="s">
        <v>2600</v>
      </c>
    </row>
    <row r="51" spans="1:14" x14ac:dyDescent="0.2">
      <c r="A51" s="236">
        <v>49</v>
      </c>
      <c r="B51" s="226" t="s">
        <v>4844</v>
      </c>
      <c r="C51" s="227" t="s">
        <v>4845</v>
      </c>
      <c r="D51" s="227">
        <v>8.92</v>
      </c>
      <c r="E51" s="502">
        <v>8.98</v>
      </c>
      <c r="F51" s="227">
        <v>8.75</v>
      </c>
      <c r="G51" s="227">
        <v>0.81</v>
      </c>
      <c r="H51" s="227">
        <v>3</v>
      </c>
      <c r="I51" s="227">
        <v>12</v>
      </c>
      <c r="J51" s="227">
        <v>0</v>
      </c>
      <c r="K51" s="226" t="s">
        <v>989</v>
      </c>
      <c r="L51" s="227">
        <v>2002</v>
      </c>
      <c r="M51" s="227" t="s">
        <v>1766</v>
      </c>
      <c r="N51" s="228" t="s">
        <v>4847</v>
      </c>
    </row>
    <row r="52" spans="1:14" x14ac:dyDescent="0.2">
      <c r="A52" s="236">
        <v>50</v>
      </c>
      <c r="B52" s="229" t="s">
        <v>298</v>
      </c>
      <c r="C52" s="230" t="s">
        <v>1680</v>
      </c>
      <c r="D52" s="230">
        <v>8.92</v>
      </c>
      <c r="E52" s="256">
        <v>8.9700000000000006</v>
      </c>
      <c r="F52" s="230">
        <v>8.75</v>
      </c>
      <c r="G52" s="230">
        <v>0.79</v>
      </c>
      <c r="H52" s="230">
        <v>1</v>
      </c>
      <c r="I52" s="230">
        <v>6</v>
      </c>
      <c r="J52" s="230">
        <v>0</v>
      </c>
      <c r="K52" s="229" t="s">
        <v>987</v>
      </c>
      <c r="L52" s="230">
        <v>1971</v>
      </c>
      <c r="M52" s="230" t="s">
        <v>1785</v>
      </c>
      <c r="N52" s="231" t="s">
        <v>1964</v>
      </c>
    </row>
    <row r="53" spans="1:14" x14ac:dyDescent="0.2">
      <c r="A53" s="236">
        <v>51</v>
      </c>
      <c r="B53" s="226" t="s">
        <v>300</v>
      </c>
      <c r="C53" s="227" t="s">
        <v>2345</v>
      </c>
      <c r="D53" s="227">
        <v>9</v>
      </c>
      <c r="E53" s="256">
        <v>8.9700000000000006</v>
      </c>
      <c r="F53" s="227">
        <v>8.5</v>
      </c>
      <c r="G53" s="227">
        <v>0.89</v>
      </c>
      <c r="H53" s="227">
        <v>1</v>
      </c>
      <c r="I53" s="227">
        <v>6</v>
      </c>
      <c r="J53" s="227">
        <v>1</v>
      </c>
      <c r="K53" s="226" t="s">
        <v>735</v>
      </c>
      <c r="L53" s="227">
        <v>2002</v>
      </c>
      <c r="M53" s="227" t="s">
        <v>1779</v>
      </c>
      <c r="N53" s="228" t="s">
        <v>2350</v>
      </c>
    </row>
    <row r="54" spans="1:14" x14ac:dyDescent="0.2">
      <c r="A54" s="236">
        <v>52</v>
      </c>
      <c r="B54" s="229" t="s">
        <v>298</v>
      </c>
      <c r="C54" s="230" t="s">
        <v>2771</v>
      </c>
      <c r="D54" s="230">
        <v>8.8000000000000007</v>
      </c>
      <c r="E54" s="256">
        <v>8.9700000000000006</v>
      </c>
      <c r="F54" s="230">
        <v>8.5</v>
      </c>
      <c r="G54" s="230">
        <v>0.73</v>
      </c>
      <c r="H54" s="230">
        <v>3</v>
      </c>
      <c r="I54" s="230">
        <v>26</v>
      </c>
      <c r="J54" s="230">
        <v>4</v>
      </c>
      <c r="K54" s="229" t="s">
        <v>2775</v>
      </c>
      <c r="L54" s="230">
        <v>1979</v>
      </c>
      <c r="M54" s="230" t="s">
        <v>2776</v>
      </c>
      <c r="N54" s="231" t="s">
        <v>2743</v>
      </c>
    </row>
    <row r="55" spans="1:14" x14ac:dyDescent="0.2">
      <c r="A55" s="236">
        <v>53</v>
      </c>
      <c r="B55" s="226" t="s">
        <v>4959</v>
      </c>
      <c r="C55" s="227" t="s">
        <v>4960</v>
      </c>
      <c r="D55" s="227">
        <v>9</v>
      </c>
      <c r="E55" s="256">
        <v>8.9700000000000006</v>
      </c>
      <c r="F55" s="227">
        <v>9</v>
      </c>
      <c r="G55" s="227">
        <v>0.55000000000000004</v>
      </c>
      <c r="H55" s="227">
        <v>1</v>
      </c>
      <c r="I55" s="227">
        <v>5</v>
      </c>
      <c r="J55" s="227">
        <v>0</v>
      </c>
      <c r="K55" s="226" t="s">
        <v>987</v>
      </c>
      <c r="L55" s="227">
        <v>1975</v>
      </c>
      <c r="M55" s="227" t="s">
        <v>1767</v>
      </c>
      <c r="N55" s="228" t="s">
        <v>4961</v>
      </c>
    </row>
    <row r="56" spans="1:14" x14ac:dyDescent="0.2">
      <c r="A56" s="236">
        <v>54</v>
      </c>
      <c r="B56" s="229" t="s">
        <v>4567</v>
      </c>
      <c r="C56" s="230" t="s">
        <v>5409</v>
      </c>
      <c r="D56" s="230">
        <v>8.92</v>
      </c>
      <c r="E56" s="256">
        <v>8.9700000000000006</v>
      </c>
      <c r="F56" s="230">
        <v>8.75</v>
      </c>
      <c r="G56" s="230">
        <v>0.79</v>
      </c>
      <c r="H56" s="230">
        <v>1</v>
      </c>
      <c r="I56" s="230">
        <v>6</v>
      </c>
      <c r="J56" s="230">
        <v>0</v>
      </c>
      <c r="K56" s="229" t="s">
        <v>988</v>
      </c>
      <c r="L56" s="230">
        <v>2011</v>
      </c>
      <c r="M56" s="230" t="s">
        <v>1803</v>
      </c>
      <c r="N56" s="231" t="s">
        <v>5411</v>
      </c>
    </row>
    <row r="57" spans="1:14" x14ac:dyDescent="0.2">
      <c r="A57" s="236">
        <v>55</v>
      </c>
      <c r="B57" s="226" t="s">
        <v>1226</v>
      </c>
      <c r="C57" s="227" t="s">
        <v>1217</v>
      </c>
      <c r="D57" s="227">
        <v>9</v>
      </c>
      <c r="E57" s="257">
        <v>8.9600000000000009</v>
      </c>
      <c r="F57" s="227">
        <v>9</v>
      </c>
      <c r="G57" s="227">
        <v>0.6</v>
      </c>
      <c r="H57" s="227">
        <v>2</v>
      </c>
      <c r="I57" s="227">
        <v>11</v>
      </c>
      <c r="J57" s="227">
        <v>0</v>
      </c>
      <c r="K57" s="226" t="s">
        <v>1230</v>
      </c>
      <c r="L57" s="227">
        <v>2025</v>
      </c>
      <c r="M57" s="227" t="s">
        <v>1790</v>
      </c>
      <c r="N57" s="228" t="s">
        <v>1985</v>
      </c>
    </row>
    <row r="58" spans="1:14" x14ac:dyDescent="0.2">
      <c r="A58" s="236">
        <v>56</v>
      </c>
      <c r="B58" s="229" t="s">
        <v>312</v>
      </c>
      <c r="C58" s="230" t="s">
        <v>1715</v>
      </c>
      <c r="D58" s="230">
        <v>9</v>
      </c>
      <c r="E58" s="257">
        <v>8.9600000000000009</v>
      </c>
      <c r="F58" s="230">
        <v>9</v>
      </c>
      <c r="G58" s="230">
        <v>0.61</v>
      </c>
      <c r="H58" s="230">
        <v>2</v>
      </c>
      <c r="I58" s="230">
        <v>12</v>
      </c>
      <c r="J58" s="230">
        <v>0</v>
      </c>
      <c r="K58" s="229" t="s">
        <v>3824</v>
      </c>
      <c r="L58" s="230">
        <v>2003</v>
      </c>
      <c r="M58" s="230" t="s">
        <v>1786</v>
      </c>
      <c r="N58" s="231" t="s">
        <v>1962</v>
      </c>
    </row>
    <row r="59" spans="1:14" x14ac:dyDescent="0.2">
      <c r="A59" s="236">
        <v>57</v>
      </c>
      <c r="B59" s="226" t="s">
        <v>2460</v>
      </c>
      <c r="C59" s="227" t="s">
        <v>3440</v>
      </c>
      <c r="D59" s="227">
        <v>9</v>
      </c>
      <c r="E59" s="257">
        <v>8.9600000000000009</v>
      </c>
      <c r="F59" s="227">
        <v>9</v>
      </c>
      <c r="G59" s="227">
        <v>0.32</v>
      </c>
      <c r="H59" s="227">
        <v>0</v>
      </c>
      <c r="I59" s="227">
        <v>5</v>
      </c>
      <c r="J59" s="227">
        <v>0</v>
      </c>
      <c r="K59" s="226" t="s">
        <v>1005</v>
      </c>
      <c r="L59" s="227">
        <v>2002</v>
      </c>
      <c r="M59" s="227" t="s">
        <v>1792</v>
      </c>
      <c r="N59" s="228" t="s">
        <v>3441</v>
      </c>
    </row>
    <row r="60" spans="1:14" x14ac:dyDescent="0.2">
      <c r="A60" s="236">
        <v>58</v>
      </c>
      <c r="B60" s="229" t="s">
        <v>311</v>
      </c>
      <c r="C60" s="230" t="s">
        <v>1502</v>
      </c>
      <c r="D60" s="230">
        <v>8.94</v>
      </c>
      <c r="E60" s="258">
        <v>8.9499999999999993</v>
      </c>
      <c r="F60" s="230">
        <v>8.5</v>
      </c>
      <c r="G60" s="230">
        <v>0.76</v>
      </c>
      <c r="H60" s="230">
        <v>2</v>
      </c>
      <c r="I60" s="230">
        <v>10</v>
      </c>
      <c r="J60" s="230">
        <v>1</v>
      </c>
      <c r="K60" s="229" t="s">
        <v>1519</v>
      </c>
      <c r="L60" s="230">
        <v>2000</v>
      </c>
      <c r="M60" s="230" t="s">
        <v>1772</v>
      </c>
      <c r="N60" s="231" t="s">
        <v>1973</v>
      </c>
    </row>
    <row r="61" spans="1:14" x14ac:dyDescent="0.2">
      <c r="A61" s="236">
        <v>59</v>
      </c>
      <c r="B61" s="226" t="s">
        <v>3602</v>
      </c>
      <c r="C61" s="227" t="s">
        <v>3603</v>
      </c>
      <c r="D61" s="227">
        <v>9</v>
      </c>
      <c r="E61" s="258">
        <v>8.9499999999999993</v>
      </c>
      <c r="F61" s="227">
        <v>9</v>
      </c>
      <c r="G61" s="227">
        <v>0.55000000000000004</v>
      </c>
      <c r="H61" s="227">
        <v>1</v>
      </c>
      <c r="I61" s="227">
        <v>10</v>
      </c>
      <c r="J61" s="227">
        <v>0</v>
      </c>
      <c r="K61" s="226" t="s">
        <v>3604</v>
      </c>
      <c r="L61" s="227">
        <v>1999</v>
      </c>
      <c r="M61" s="227" t="s">
        <v>1780</v>
      </c>
      <c r="N61" s="228" t="s">
        <v>3605</v>
      </c>
    </row>
    <row r="62" spans="1:14" x14ac:dyDescent="0.2">
      <c r="A62" s="236">
        <v>60</v>
      </c>
      <c r="B62" s="229" t="s">
        <v>2556</v>
      </c>
      <c r="C62" s="230" t="s">
        <v>168</v>
      </c>
      <c r="D62" s="230">
        <v>9</v>
      </c>
      <c r="E62" s="392">
        <v>8.94</v>
      </c>
      <c r="F62" s="230">
        <v>9</v>
      </c>
      <c r="G62" s="230">
        <v>0.74</v>
      </c>
      <c r="H62" s="230">
        <v>2</v>
      </c>
      <c r="I62" s="230">
        <v>11</v>
      </c>
      <c r="J62" s="230">
        <v>0</v>
      </c>
      <c r="K62" s="229" t="s">
        <v>2560</v>
      </c>
      <c r="L62" s="230">
        <v>1977</v>
      </c>
      <c r="M62" s="230" t="s">
        <v>1796</v>
      </c>
      <c r="N62" s="231" t="s">
        <v>2561</v>
      </c>
    </row>
    <row r="63" spans="1:14" x14ac:dyDescent="0.2">
      <c r="A63" s="236">
        <v>61</v>
      </c>
      <c r="B63" s="226" t="s">
        <v>699</v>
      </c>
      <c r="C63" s="227" t="s">
        <v>700</v>
      </c>
      <c r="D63" s="227">
        <v>8.91</v>
      </c>
      <c r="E63" s="259">
        <v>8.93</v>
      </c>
      <c r="F63" s="227">
        <v>8.5</v>
      </c>
      <c r="G63" s="227">
        <v>0.85</v>
      </c>
      <c r="H63" s="227">
        <v>3</v>
      </c>
      <c r="I63" s="227">
        <v>11</v>
      </c>
      <c r="J63" s="227">
        <v>0</v>
      </c>
      <c r="K63" s="226" t="s">
        <v>797</v>
      </c>
      <c r="L63" s="227">
        <v>2002</v>
      </c>
      <c r="M63" s="227" t="s">
        <v>1789</v>
      </c>
      <c r="N63" s="228" t="s">
        <v>2003</v>
      </c>
    </row>
    <row r="64" spans="1:14" x14ac:dyDescent="0.2">
      <c r="A64" s="236">
        <v>62</v>
      </c>
      <c r="B64" s="229" t="s">
        <v>311</v>
      </c>
      <c r="C64" s="230" t="s">
        <v>947</v>
      </c>
      <c r="D64" s="230">
        <v>8.82</v>
      </c>
      <c r="E64" s="259">
        <v>8.93</v>
      </c>
      <c r="F64" s="230">
        <v>9</v>
      </c>
      <c r="G64" s="230">
        <v>0.89</v>
      </c>
      <c r="H64" s="230">
        <v>2</v>
      </c>
      <c r="I64" s="230">
        <v>11</v>
      </c>
      <c r="J64" s="230">
        <v>0</v>
      </c>
      <c r="K64" s="229" t="s">
        <v>953</v>
      </c>
      <c r="L64" s="230">
        <v>2002</v>
      </c>
      <c r="M64" s="230" t="s">
        <v>1774</v>
      </c>
      <c r="N64" s="231" t="s">
        <v>1993</v>
      </c>
    </row>
    <row r="65" spans="1:14" x14ac:dyDescent="0.2">
      <c r="A65" s="236">
        <v>63</v>
      </c>
      <c r="B65" s="226" t="s">
        <v>1330</v>
      </c>
      <c r="C65" s="227" t="s">
        <v>1565</v>
      </c>
      <c r="D65" s="227">
        <v>8.93</v>
      </c>
      <c r="E65" s="259">
        <v>8.93</v>
      </c>
      <c r="F65" s="227">
        <v>8.5</v>
      </c>
      <c r="G65" s="227">
        <v>0.9</v>
      </c>
      <c r="H65" s="227">
        <v>2</v>
      </c>
      <c r="I65" s="227">
        <v>8</v>
      </c>
      <c r="J65" s="227">
        <v>1</v>
      </c>
      <c r="K65" s="226" t="s">
        <v>1566</v>
      </c>
      <c r="L65" s="227">
        <v>2006</v>
      </c>
      <c r="M65" s="227" t="s">
        <v>1804</v>
      </c>
      <c r="N65" s="228" t="s">
        <v>1969</v>
      </c>
    </row>
    <row r="66" spans="1:14" x14ac:dyDescent="0.2">
      <c r="A66" s="236">
        <v>64</v>
      </c>
      <c r="B66" s="229" t="s">
        <v>2844</v>
      </c>
      <c r="C66" s="230" t="s">
        <v>2845</v>
      </c>
      <c r="D66" s="230">
        <v>8.9600000000000009</v>
      </c>
      <c r="E66" s="260">
        <v>8.92</v>
      </c>
      <c r="F66" s="230">
        <v>9</v>
      </c>
      <c r="G66" s="230">
        <v>0.75</v>
      </c>
      <c r="H66" s="230">
        <v>3</v>
      </c>
      <c r="I66" s="230">
        <v>12</v>
      </c>
      <c r="J66" s="230">
        <v>0</v>
      </c>
      <c r="K66" s="229" t="s">
        <v>731</v>
      </c>
      <c r="L66" s="230">
        <v>2000</v>
      </c>
      <c r="M66" s="230" t="s">
        <v>1794</v>
      </c>
      <c r="N66" s="231" t="s">
        <v>2830</v>
      </c>
    </row>
    <row r="67" spans="1:14" x14ac:dyDescent="0.2">
      <c r="A67" s="236">
        <v>65</v>
      </c>
      <c r="B67" s="226" t="s">
        <v>3402</v>
      </c>
      <c r="C67" s="227" t="s">
        <v>3403</v>
      </c>
      <c r="D67" s="227">
        <v>9</v>
      </c>
      <c r="E67" s="260">
        <v>8.92</v>
      </c>
      <c r="F67" s="227">
        <v>8.75</v>
      </c>
      <c r="G67" s="227">
        <v>0.61</v>
      </c>
      <c r="H67" s="227">
        <v>1</v>
      </c>
      <c r="I67" s="227">
        <v>4</v>
      </c>
      <c r="J67" s="227">
        <v>0</v>
      </c>
      <c r="K67" s="226" t="s">
        <v>3404</v>
      </c>
      <c r="L67" s="227">
        <v>1988</v>
      </c>
      <c r="M67" s="227" t="s">
        <v>1780</v>
      </c>
      <c r="N67" s="228" t="s">
        <v>3405</v>
      </c>
    </row>
    <row r="68" spans="1:14" x14ac:dyDescent="0.2">
      <c r="A68" s="236">
        <v>66</v>
      </c>
      <c r="B68" s="229" t="s">
        <v>4093</v>
      </c>
      <c r="C68" s="230" t="s">
        <v>4094</v>
      </c>
      <c r="D68" s="230">
        <v>9</v>
      </c>
      <c r="E68" s="260">
        <v>8.92</v>
      </c>
      <c r="F68" s="230">
        <v>8.75</v>
      </c>
      <c r="G68" s="230">
        <v>0.89</v>
      </c>
      <c r="H68" s="230">
        <v>5</v>
      </c>
      <c r="I68" s="230">
        <v>12</v>
      </c>
      <c r="J68" s="230">
        <v>0</v>
      </c>
      <c r="K68" s="229" t="s">
        <v>2384</v>
      </c>
      <c r="L68" s="230">
        <v>1991</v>
      </c>
      <c r="M68" s="230" t="s">
        <v>1767</v>
      </c>
      <c r="N68" s="231" t="s">
        <v>4096</v>
      </c>
    </row>
    <row r="69" spans="1:14" x14ac:dyDescent="0.2">
      <c r="A69" s="236">
        <v>67</v>
      </c>
      <c r="B69" s="226" t="s">
        <v>774</v>
      </c>
      <c r="C69" s="227" t="s">
        <v>4398</v>
      </c>
      <c r="D69" s="227">
        <v>8.86</v>
      </c>
      <c r="E69" s="260">
        <v>8.92</v>
      </c>
      <c r="F69" s="227">
        <v>8.75</v>
      </c>
      <c r="G69" s="227">
        <v>0.83</v>
      </c>
      <c r="H69" s="227">
        <v>3</v>
      </c>
      <c r="I69" s="227">
        <v>14</v>
      </c>
      <c r="J69" s="227">
        <v>0</v>
      </c>
      <c r="K69" s="226" t="s">
        <v>994</v>
      </c>
      <c r="L69" s="227">
        <v>2007</v>
      </c>
      <c r="M69" s="227" t="s">
        <v>1774</v>
      </c>
      <c r="N69" s="228" t="s">
        <v>4383</v>
      </c>
    </row>
    <row r="70" spans="1:14" x14ac:dyDescent="0.2">
      <c r="A70" s="236">
        <v>68</v>
      </c>
      <c r="B70" s="229" t="s">
        <v>1075</v>
      </c>
      <c r="C70" s="230" t="s">
        <v>1927</v>
      </c>
      <c r="D70" s="230">
        <v>8.7200000000000006</v>
      </c>
      <c r="E70" s="261">
        <v>8.91</v>
      </c>
      <c r="F70" s="230">
        <v>8.5</v>
      </c>
      <c r="G70" s="230">
        <v>0.85</v>
      </c>
      <c r="H70" s="230">
        <v>5</v>
      </c>
      <c r="I70" s="230">
        <v>30</v>
      </c>
      <c r="J70" s="230">
        <v>1</v>
      </c>
      <c r="K70" s="229" t="s">
        <v>1442</v>
      </c>
      <c r="L70" s="230">
        <v>2013</v>
      </c>
      <c r="M70" s="230" t="s">
        <v>1929</v>
      </c>
      <c r="N70" s="231" t="s">
        <v>1957</v>
      </c>
    </row>
    <row r="71" spans="1:14" x14ac:dyDescent="0.2">
      <c r="A71" s="236">
        <v>69</v>
      </c>
      <c r="B71" s="226" t="s">
        <v>951</v>
      </c>
      <c r="C71" s="227" t="s">
        <v>4452</v>
      </c>
      <c r="D71" s="227">
        <v>9</v>
      </c>
      <c r="E71" s="261">
        <v>8.91</v>
      </c>
      <c r="F71" s="227">
        <v>8.75</v>
      </c>
      <c r="G71" s="227">
        <v>0.71</v>
      </c>
      <c r="H71" s="227">
        <v>2</v>
      </c>
      <c r="I71" s="227">
        <v>8</v>
      </c>
      <c r="J71" s="227">
        <v>0</v>
      </c>
      <c r="K71" s="226" t="s">
        <v>4455</v>
      </c>
      <c r="L71" s="227">
        <v>1997</v>
      </c>
      <c r="M71" s="227" t="s">
        <v>1787</v>
      </c>
      <c r="N71" s="228" t="s">
        <v>4456</v>
      </c>
    </row>
    <row r="72" spans="1:14" x14ac:dyDescent="0.2">
      <c r="A72" s="236">
        <v>70</v>
      </c>
      <c r="B72" s="229" t="s">
        <v>312</v>
      </c>
      <c r="C72" s="230" t="s">
        <v>1080</v>
      </c>
      <c r="D72" s="230">
        <v>8.77</v>
      </c>
      <c r="E72" s="262">
        <v>8.89</v>
      </c>
      <c r="F72" s="230">
        <v>9</v>
      </c>
      <c r="G72" s="230">
        <v>0.87</v>
      </c>
      <c r="H72" s="230">
        <v>2</v>
      </c>
      <c r="I72" s="230">
        <v>13</v>
      </c>
      <c r="J72" s="230">
        <v>0</v>
      </c>
      <c r="K72" s="229" t="s">
        <v>1082</v>
      </c>
      <c r="L72" s="230">
        <v>2009</v>
      </c>
      <c r="M72" s="230" t="s">
        <v>1797</v>
      </c>
      <c r="N72" s="231" t="s">
        <v>2022</v>
      </c>
    </row>
    <row r="73" spans="1:14" x14ac:dyDescent="0.2">
      <c r="A73" s="236">
        <v>71</v>
      </c>
      <c r="B73" s="226" t="s">
        <v>1075</v>
      </c>
      <c r="C73" s="227" t="s">
        <v>1439</v>
      </c>
      <c r="D73" s="227">
        <v>8.7200000000000006</v>
      </c>
      <c r="E73" s="262">
        <v>8.89</v>
      </c>
      <c r="F73" s="227">
        <v>8.5</v>
      </c>
      <c r="G73" s="227">
        <v>1.03</v>
      </c>
      <c r="H73" s="227">
        <v>5</v>
      </c>
      <c r="I73" s="227">
        <v>24</v>
      </c>
      <c r="J73" s="227">
        <v>1</v>
      </c>
      <c r="K73" s="226" t="s">
        <v>1442</v>
      </c>
      <c r="L73" s="227">
        <v>2011</v>
      </c>
      <c r="M73" s="227" t="s">
        <v>1787</v>
      </c>
      <c r="N73" s="228" t="s">
        <v>1989</v>
      </c>
    </row>
    <row r="74" spans="1:14" x14ac:dyDescent="0.2">
      <c r="A74" s="236">
        <v>72</v>
      </c>
      <c r="B74" s="229" t="s">
        <v>677</v>
      </c>
      <c r="C74" s="230" t="s">
        <v>1318</v>
      </c>
      <c r="D74" s="230">
        <v>8.8800000000000008</v>
      </c>
      <c r="E74" s="262">
        <v>8.89</v>
      </c>
      <c r="F74" s="230">
        <v>8.5</v>
      </c>
      <c r="G74" s="230">
        <v>0.74</v>
      </c>
      <c r="H74" s="230">
        <v>2</v>
      </c>
      <c r="I74" s="230">
        <v>15</v>
      </c>
      <c r="J74" s="230">
        <v>2</v>
      </c>
      <c r="K74" s="229" t="s">
        <v>1319</v>
      </c>
      <c r="L74" s="230">
        <v>2005</v>
      </c>
      <c r="M74" s="230" t="s">
        <v>1778</v>
      </c>
      <c r="N74" s="231" t="s">
        <v>1981</v>
      </c>
    </row>
    <row r="75" spans="1:14" x14ac:dyDescent="0.2">
      <c r="A75" s="236">
        <v>73</v>
      </c>
      <c r="B75" s="226" t="s">
        <v>1378</v>
      </c>
      <c r="C75" s="227" t="s">
        <v>1379</v>
      </c>
      <c r="D75" s="227">
        <v>8.93</v>
      </c>
      <c r="E75" s="263">
        <v>8.8800000000000008</v>
      </c>
      <c r="F75" s="227">
        <v>9</v>
      </c>
      <c r="G75" s="227">
        <v>0.73</v>
      </c>
      <c r="H75" s="227">
        <v>1</v>
      </c>
      <c r="I75" s="227">
        <v>7</v>
      </c>
      <c r="J75" s="227">
        <v>0</v>
      </c>
      <c r="K75" s="226" t="s">
        <v>1382</v>
      </c>
      <c r="L75" s="227">
        <v>2000</v>
      </c>
      <c r="M75" s="227" t="s">
        <v>1784</v>
      </c>
      <c r="N75" s="228" t="s">
        <v>1977</v>
      </c>
    </row>
    <row r="76" spans="1:14" x14ac:dyDescent="0.2">
      <c r="A76" s="236">
        <v>74</v>
      </c>
      <c r="B76" s="229" t="s">
        <v>1625</v>
      </c>
      <c r="C76" s="230" t="s">
        <v>1626</v>
      </c>
      <c r="D76" s="230">
        <v>8.91</v>
      </c>
      <c r="E76" s="263">
        <v>8.8800000000000008</v>
      </c>
      <c r="F76" s="230">
        <v>9</v>
      </c>
      <c r="G76" s="230">
        <v>0.67</v>
      </c>
      <c r="H76" s="230">
        <v>2</v>
      </c>
      <c r="I76" s="230">
        <v>11</v>
      </c>
      <c r="J76" s="230">
        <v>0</v>
      </c>
      <c r="K76" s="229" t="s">
        <v>1002</v>
      </c>
      <c r="L76" s="230">
        <v>1994</v>
      </c>
      <c r="M76" s="230" t="s">
        <v>1789</v>
      </c>
      <c r="N76" s="231" t="s">
        <v>1966</v>
      </c>
    </row>
    <row r="77" spans="1:14" x14ac:dyDescent="0.2">
      <c r="A77" s="236">
        <v>75</v>
      </c>
      <c r="B77" s="226" t="s">
        <v>2381</v>
      </c>
      <c r="C77" s="227" t="s">
        <v>2382</v>
      </c>
      <c r="D77" s="227">
        <v>8.86</v>
      </c>
      <c r="E77" s="263">
        <v>8.8800000000000008</v>
      </c>
      <c r="F77" s="227">
        <v>8.5</v>
      </c>
      <c r="G77" s="227">
        <v>0.93</v>
      </c>
      <c r="H77" s="227">
        <v>3</v>
      </c>
      <c r="I77" s="227">
        <v>11</v>
      </c>
      <c r="J77" s="227">
        <v>0</v>
      </c>
      <c r="K77" s="226" t="s">
        <v>2384</v>
      </c>
      <c r="L77" s="227">
        <v>1991</v>
      </c>
      <c r="M77" s="227" t="s">
        <v>1774</v>
      </c>
      <c r="N77" s="228" t="s">
        <v>2385</v>
      </c>
    </row>
    <row r="78" spans="1:14" x14ac:dyDescent="0.2">
      <c r="A78" s="236">
        <v>76</v>
      </c>
      <c r="B78" s="229" t="s">
        <v>305</v>
      </c>
      <c r="C78" s="230" t="s">
        <v>306</v>
      </c>
      <c r="D78" s="230">
        <v>8.89</v>
      </c>
      <c r="E78" s="264">
        <v>8.8699999999999992</v>
      </c>
      <c r="F78" s="230">
        <v>9</v>
      </c>
      <c r="G78" s="230">
        <v>0.7</v>
      </c>
      <c r="H78" s="230">
        <v>2</v>
      </c>
      <c r="I78" s="230">
        <v>9</v>
      </c>
      <c r="J78" s="230">
        <v>0</v>
      </c>
      <c r="K78" s="229" t="s">
        <v>719</v>
      </c>
      <c r="L78" s="230">
        <v>2020</v>
      </c>
      <c r="M78" s="230" t="s">
        <v>1790</v>
      </c>
      <c r="N78" s="231" t="s">
        <v>2022</v>
      </c>
    </row>
    <row r="79" spans="1:14" x14ac:dyDescent="0.2">
      <c r="A79" s="236">
        <v>77</v>
      </c>
      <c r="B79" s="226" t="s">
        <v>2901</v>
      </c>
      <c r="C79" s="227" t="s">
        <v>2886</v>
      </c>
      <c r="D79" s="227">
        <v>8.8000000000000007</v>
      </c>
      <c r="E79" s="264">
        <v>8.8699999999999992</v>
      </c>
      <c r="F79" s="227">
        <v>8.75</v>
      </c>
      <c r="G79" s="227">
        <v>0.87</v>
      </c>
      <c r="H79" s="227">
        <v>2</v>
      </c>
      <c r="I79" s="227">
        <v>10</v>
      </c>
      <c r="J79" s="227">
        <v>0</v>
      </c>
      <c r="K79" s="226" t="s">
        <v>2903</v>
      </c>
      <c r="L79" s="227">
        <v>1986</v>
      </c>
      <c r="M79" s="227" t="s">
        <v>1801</v>
      </c>
      <c r="N79" s="228" t="s">
        <v>2899</v>
      </c>
    </row>
    <row r="80" spans="1:14" x14ac:dyDescent="0.2">
      <c r="A80" s="236">
        <v>78</v>
      </c>
      <c r="B80" s="229" t="s">
        <v>4428</v>
      </c>
      <c r="C80" s="230" t="s">
        <v>4400</v>
      </c>
      <c r="D80" s="230">
        <v>8.86</v>
      </c>
      <c r="E80" s="264">
        <v>8.8699999999999992</v>
      </c>
      <c r="F80" s="230">
        <v>8.5</v>
      </c>
      <c r="G80" s="230">
        <v>1.07</v>
      </c>
      <c r="H80" s="230">
        <v>4</v>
      </c>
      <c r="I80" s="230">
        <v>12</v>
      </c>
      <c r="J80" s="230">
        <v>1</v>
      </c>
      <c r="K80" s="229" t="s">
        <v>4429</v>
      </c>
      <c r="L80" s="230">
        <v>1985</v>
      </c>
      <c r="M80" s="230" t="s">
        <v>1775</v>
      </c>
      <c r="N80" s="231" t="s">
        <v>4426</v>
      </c>
    </row>
    <row r="81" spans="1:14" x14ac:dyDescent="0.2">
      <c r="A81" s="236">
        <v>79</v>
      </c>
      <c r="B81" s="226" t="s">
        <v>307</v>
      </c>
      <c r="C81" s="227" t="s">
        <v>307</v>
      </c>
      <c r="D81" s="227">
        <v>8.83</v>
      </c>
      <c r="E81" s="265">
        <v>8.86</v>
      </c>
      <c r="F81" s="227">
        <v>8.5</v>
      </c>
      <c r="G81" s="227">
        <v>0.82</v>
      </c>
      <c r="H81" s="227">
        <v>2</v>
      </c>
      <c r="I81" s="227">
        <v>9</v>
      </c>
      <c r="J81" s="227">
        <v>0</v>
      </c>
      <c r="K81" s="226" t="s">
        <v>1106</v>
      </c>
      <c r="L81" s="227">
        <v>1978</v>
      </c>
      <c r="M81" s="227" t="s">
        <v>1772</v>
      </c>
      <c r="N81" s="228" t="s">
        <v>1988</v>
      </c>
    </row>
    <row r="82" spans="1:14" x14ac:dyDescent="0.2">
      <c r="A82" s="236">
        <v>80</v>
      </c>
      <c r="B82" s="229" t="s">
        <v>2165</v>
      </c>
      <c r="C82" s="230" t="s">
        <v>2314</v>
      </c>
      <c r="D82" s="230">
        <v>8.7899999999999991</v>
      </c>
      <c r="E82" s="265">
        <v>8.86</v>
      </c>
      <c r="F82" s="230">
        <v>8.75</v>
      </c>
      <c r="G82" s="230">
        <v>0.75</v>
      </c>
      <c r="H82" s="230">
        <v>1</v>
      </c>
      <c r="I82" s="230">
        <v>13</v>
      </c>
      <c r="J82" s="230">
        <v>1</v>
      </c>
      <c r="K82" s="229" t="s">
        <v>2327</v>
      </c>
      <c r="L82" s="230">
        <v>1967</v>
      </c>
      <c r="M82" s="230" t="s">
        <v>1796</v>
      </c>
      <c r="N82" s="231" t="s">
        <v>2328</v>
      </c>
    </row>
    <row r="83" spans="1:14" x14ac:dyDescent="0.2">
      <c r="A83" s="236">
        <v>81</v>
      </c>
      <c r="B83" s="226" t="s">
        <v>300</v>
      </c>
      <c r="C83" s="227" t="s">
        <v>855</v>
      </c>
      <c r="D83" s="227">
        <v>8.86</v>
      </c>
      <c r="E83" s="266">
        <v>8.85</v>
      </c>
      <c r="F83" s="227">
        <v>8.5</v>
      </c>
      <c r="G83" s="227">
        <v>0.95</v>
      </c>
      <c r="H83" s="227">
        <v>1</v>
      </c>
      <c r="I83" s="227">
        <v>7</v>
      </c>
      <c r="J83" s="227">
        <v>0</v>
      </c>
      <c r="K83" s="226" t="s">
        <v>735</v>
      </c>
      <c r="L83" s="227">
        <v>1999</v>
      </c>
      <c r="M83" s="227" t="s">
        <v>1800</v>
      </c>
      <c r="N83" s="228" t="s">
        <v>1997</v>
      </c>
    </row>
    <row r="84" spans="1:14" x14ac:dyDescent="0.2">
      <c r="A84" s="236">
        <v>82</v>
      </c>
      <c r="B84" s="229" t="s">
        <v>3955</v>
      </c>
      <c r="C84" s="230" t="s">
        <v>3950</v>
      </c>
      <c r="D84" s="230">
        <v>8.83</v>
      </c>
      <c r="E84" s="266">
        <v>8.85</v>
      </c>
      <c r="F84" s="230">
        <v>8.5</v>
      </c>
      <c r="G84" s="230">
        <v>0.85</v>
      </c>
      <c r="H84" s="230">
        <v>2</v>
      </c>
      <c r="I84" s="230">
        <v>9</v>
      </c>
      <c r="J84" s="230">
        <v>0</v>
      </c>
      <c r="K84" s="229" t="s">
        <v>3956</v>
      </c>
      <c r="L84" s="230">
        <v>1969</v>
      </c>
      <c r="M84" s="230" t="s">
        <v>1767</v>
      </c>
      <c r="N84" s="231" t="s">
        <v>3957</v>
      </c>
    </row>
    <row r="85" spans="1:14" x14ac:dyDescent="0.2">
      <c r="A85" s="236">
        <v>83</v>
      </c>
      <c r="B85" s="226" t="s">
        <v>1174</v>
      </c>
      <c r="C85" s="227" t="s">
        <v>1175</v>
      </c>
      <c r="D85" s="227">
        <v>8.7200000000000006</v>
      </c>
      <c r="E85" s="267">
        <v>8.84</v>
      </c>
      <c r="F85" s="227">
        <v>9</v>
      </c>
      <c r="G85" s="227">
        <v>1.06</v>
      </c>
      <c r="H85" s="227">
        <v>2</v>
      </c>
      <c r="I85" s="227">
        <v>9</v>
      </c>
      <c r="J85" s="227">
        <v>0</v>
      </c>
      <c r="K85" s="226" t="s">
        <v>1178</v>
      </c>
      <c r="L85" s="227">
        <v>2008</v>
      </c>
      <c r="M85" s="227" t="s">
        <v>1794</v>
      </c>
      <c r="N85" s="228" t="s">
        <v>1987</v>
      </c>
    </row>
    <row r="86" spans="1:14" x14ac:dyDescent="0.2">
      <c r="A86" s="236">
        <v>84</v>
      </c>
      <c r="B86" s="229" t="s">
        <v>1410</v>
      </c>
      <c r="C86" s="230" t="s">
        <v>1411</v>
      </c>
      <c r="D86" s="230">
        <v>8.82</v>
      </c>
      <c r="E86" s="267">
        <v>8.84</v>
      </c>
      <c r="F86" s="230">
        <v>8.5</v>
      </c>
      <c r="G86" s="230">
        <v>0.81</v>
      </c>
      <c r="H86" s="230">
        <v>2</v>
      </c>
      <c r="I86" s="230">
        <v>12</v>
      </c>
      <c r="J86" s="230">
        <v>1</v>
      </c>
      <c r="K86" s="229" t="s">
        <v>735</v>
      </c>
      <c r="L86" s="230">
        <v>2005</v>
      </c>
      <c r="M86" s="230" t="s">
        <v>1783</v>
      </c>
      <c r="N86" s="231" t="s">
        <v>1976</v>
      </c>
    </row>
    <row r="87" spans="1:14" x14ac:dyDescent="0.2">
      <c r="A87" s="236">
        <v>85</v>
      </c>
      <c r="B87" s="226" t="s">
        <v>2460</v>
      </c>
      <c r="C87" s="227" t="s">
        <v>2461</v>
      </c>
      <c r="D87" s="227">
        <v>8.83</v>
      </c>
      <c r="E87" s="267">
        <v>8.84</v>
      </c>
      <c r="F87" s="227">
        <v>9</v>
      </c>
      <c r="G87" s="227">
        <v>0.24</v>
      </c>
      <c r="H87" s="227">
        <v>0</v>
      </c>
      <c r="I87" s="227">
        <v>3</v>
      </c>
      <c r="J87" s="227">
        <v>0</v>
      </c>
      <c r="K87" s="226" t="s">
        <v>1005</v>
      </c>
      <c r="L87" s="227">
        <v>1997</v>
      </c>
      <c r="M87" s="227" t="s">
        <v>1798</v>
      </c>
      <c r="N87" s="228" t="s">
        <v>2463</v>
      </c>
    </row>
    <row r="88" spans="1:14" x14ac:dyDescent="0.2">
      <c r="A88" s="236">
        <v>86</v>
      </c>
      <c r="B88" s="229" t="s">
        <v>2699</v>
      </c>
      <c r="C88" s="230" t="s">
        <v>2701</v>
      </c>
      <c r="D88" s="230">
        <v>8.8800000000000008</v>
      </c>
      <c r="E88" s="267">
        <v>8.84</v>
      </c>
      <c r="F88" s="230">
        <v>9</v>
      </c>
      <c r="G88" s="230">
        <v>0.79</v>
      </c>
      <c r="H88" s="230">
        <v>3</v>
      </c>
      <c r="I88" s="230">
        <v>23</v>
      </c>
      <c r="J88" s="230">
        <v>10</v>
      </c>
      <c r="K88" s="229" t="s">
        <v>2705</v>
      </c>
      <c r="L88" s="230">
        <v>2002</v>
      </c>
      <c r="M88" s="230" t="s">
        <v>1783</v>
      </c>
      <c r="N88" s="231" t="s">
        <v>2600</v>
      </c>
    </row>
    <row r="89" spans="1:14" x14ac:dyDescent="0.2">
      <c r="A89" s="236">
        <v>87</v>
      </c>
      <c r="B89" s="226" t="s">
        <v>4150</v>
      </c>
      <c r="C89" s="227" t="s">
        <v>4151</v>
      </c>
      <c r="D89" s="227">
        <v>8.86</v>
      </c>
      <c r="E89" s="267">
        <v>8.84</v>
      </c>
      <c r="F89" s="227">
        <v>9</v>
      </c>
      <c r="G89" s="227">
        <v>0.57999999999999996</v>
      </c>
      <c r="H89" s="227">
        <v>1</v>
      </c>
      <c r="I89" s="227">
        <v>7</v>
      </c>
      <c r="J89" s="227">
        <v>0</v>
      </c>
      <c r="K89" s="226" t="s">
        <v>4158</v>
      </c>
      <c r="L89" s="227">
        <v>2004</v>
      </c>
      <c r="M89" s="227" t="s">
        <v>1782</v>
      </c>
      <c r="N89" s="228" t="s">
        <v>4139</v>
      </c>
    </row>
    <row r="90" spans="1:14" x14ac:dyDescent="0.2">
      <c r="A90" s="236">
        <v>88</v>
      </c>
      <c r="B90" s="229" t="s">
        <v>1276</v>
      </c>
      <c r="C90" s="230" t="s">
        <v>1269</v>
      </c>
      <c r="D90" s="230">
        <v>8.86</v>
      </c>
      <c r="E90" s="267">
        <v>8.83</v>
      </c>
      <c r="F90" s="230">
        <v>9</v>
      </c>
      <c r="G90" s="230">
        <v>0.69</v>
      </c>
      <c r="H90" s="230">
        <v>1</v>
      </c>
      <c r="I90" s="230">
        <v>7</v>
      </c>
      <c r="J90" s="230">
        <v>0</v>
      </c>
      <c r="K90" s="229" t="s">
        <v>1278</v>
      </c>
      <c r="L90" s="230">
        <v>1971</v>
      </c>
      <c r="M90" s="230" t="s">
        <v>1791</v>
      </c>
      <c r="N90" s="231" t="s">
        <v>1982</v>
      </c>
    </row>
    <row r="91" spans="1:14" x14ac:dyDescent="0.2">
      <c r="A91" s="236">
        <v>89</v>
      </c>
      <c r="B91" s="226" t="s">
        <v>1656</v>
      </c>
      <c r="C91" s="227" t="s">
        <v>1657</v>
      </c>
      <c r="D91" s="227">
        <v>8.92</v>
      </c>
      <c r="E91" s="267">
        <v>8.83</v>
      </c>
      <c r="F91" s="227">
        <v>8.75</v>
      </c>
      <c r="G91" s="227">
        <v>0.67</v>
      </c>
      <c r="H91" s="227">
        <v>1</v>
      </c>
      <c r="I91" s="227">
        <v>6</v>
      </c>
      <c r="J91" s="227">
        <v>0</v>
      </c>
      <c r="K91" s="226" t="s">
        <v>1658</v>
      </c>
      <c r="L91" s="227">
        <v>1991</v>
      </c>
      <c r="M91" s="227" t="s">
        <v>1796</v>
      </c>
      <c r="N91" s="228" t="s">
        <v>1965</v>
      </c>
    </row>
    <row r="92" spans="1:14" x14ac:dyDescent="0.2">
      <c r="A92" s="236">
        <v>90</v>
      </c>
      <c r="B92" s="229" t="s">
        <v>1577</v>
      </c>
      <c r="C92" s="230" t="s">
        <v>1949</v>
      </c>
      <c r="D92" s="230">
        <v>8.81</v>
      </c>
      <c r="E92" s="267">
        <v>8.83</v>
      </c>
      <c r="F92" s="230">
        <v>8.5</v>
      </c>
      <c r="G92" s="230">
        <v>0.79</v>
      </c>
      <c r="H92" s="230">
        <v>1</v>
      </c>
      <c r="I92" s="230">
        <v>8</v>
      </c>
      <c r="J92" s="230">
        <v>0</v>
      </c>
      <c r="K92" s="229" t="s">
        <v>1247</v>
      </c>
      <c r="L92" s="230">
        <v>1988</v>
      </c>
      <c r="M92" s="230" t="s">
        <v>1766</v>
      </c>
      <c r="N92" s="231" t="s">
        <v>1956</v>
      </c>
    </row>
    <row r="93" spans="1:14" x14ac:dyDescent="0.2">
      <c r="A93" s="236">
        <v>91</v>
      </c>
      <c r="B93" s="226" t="s">
        <v>2165</v>
      </c>
      <c r="C93" s="227" t="s">
        <v>2166</v>
      </c>
      <c r="D93" s="227">
        <v>8.81</v>
      </c>
      <c r="E93" s="267">
        <v>8.83</v>
      </c>
      <c r="F93" s="227">
        <v>8.5</v>
      </c>
      <c r="G93" s="227">
        <v>0.73</v>
      </c>
      <c r="H93" s="227">
        <v>2</v>
      </c>
      <c r="I93" s="227">
        <v>17</v>
      </c>
      <c r="J93" s="227">
        <v>1</v>
      </c>
      <c r="K93" s="226" t="s">
        <v>1007</v>
      </c>
      <c r="L93" s="227">
        <v>1969</v>
      </c>
      <c r="M93" s="227" t="s">
        <v>1775</v>
      </c>
      <c r="N93" s="228" t="s">
        <v>2167</v>
      </c>
    </row>
    <row r="94" spans="1:14" x14ac:dyDescent="0.2">
      <c r="A94" s="236">
        <v>92</v>
      </c>
      <c r="B94" s="229" t="s">
        <v>3273</v>
      </c>
      <c r="C94" s="230" t="s">
        <v>3273</v>
      </c>
      <c r="D94" s="230">
        <v>8.82</v>
      </c>
      <c r="E94" s="267">
        <v>8.83</v>
      </c>
      <c r="F94" s="230">
        <v>8.5</v>
      </c>
      <c r="G94" s="230">
        <v>0.86</v>
      </c>
      <c r="H94" s="230">
        <v>2</v>
      </c>
      <c r="I94" s="230">
        <v>12</v>
      </c>
      <c r="J94" s="230">
        <v>1</v>
      </c>
      <c r="K94" s="229" t="s">
        <v>3274</v>
      </c>
      <c r="L94" s="230">
        <v>1989</v>
      </c>
      <c r="M94" s="230" t="s">
        <v>1787</v>
      </c>
      <c r="N94" s="231" t="s">
        <v>3275</v>
      </c>
    </row>
    <row r="95" spans="1:14" x14ac:dyDescent="0.2">
      <c r="A95" s="236">
        <v>93</v>
      </c>
      <c r="B95" s="226" t="s">
        <v>2586</v>
      </c>
      <c r="C95" s="227" t="s">
        <v>3451</v>
      </c>
      <c r="D95" s="227">
        <v>8.81</v>
      </c>
      <c r="E95" s="267">
        <v>8.83</v>
      </c>
      <c r="F95" s="227">
        <v>8.5</v>
      </c>
      <c r="G95" s="227">
        <v>0.79</v>
      </c>
      <c r="H95" s="227">
        <v>1</v>
      </c>
      <c r="I95" s="227">
        <v>8</v>
      </c>
      <c r="J95" s="227">
        <v>0</v>
      </c>
      <c r="K95" s="226" t="s">
        <v>3455</v>
      </c>
      <c r="L95" s="227">
        <v>1973</v>
      </c>
      <c r="M95" s="227" t="s">
        <v>1770</v>
      </c>
      <c r="N95" s="228" t="s">
        <v>3456</v>
      </c>
    </row>
    <row r="96" spans="1:14" x14ac:dyDescent="0.2">
      <c r="A96" s="236">
        <v>94</v>
      </c>
      <c r="B96" s="229" t="s">
        <v>4605</v>
      </c>
      <c r="C96" s="230" t="s">
        <v>4606</v>
      </c>
      <c r="D96" s="230">
        <v>8.86</v>
      </c>
      <c r="E96" s="267">
        <v>8.83</v>
      </c>
      <c r="F96" s="230">
        <v>9</v>
      </c>
      <c r="G96" s="230">
        <v>0.71</v>
      </c>
      <c r="H96" s="230">
        <v>2</v>
      </c>
      <c r="I96" s="230">
        <v>14</v>
      </c>
      <c r="J96" s="230">
        <v>3</v>
      </c>
      <c r="K96" s="229" t="s">
        <v>4607</v>
      </c>
      <c r="L96" s="230">
        <v>2020</v>
      </c>
      <c r="M96" s="230" t="s">
        <v>1789</v>
      </c>
      <c r="N96" s="231" t="s">
        <v>4608</v>
      </c>
    </row>
    <row r="97" spans="1:14" x14ac:dyDescent="0.2">
      <c r="A97" s="236">
        <v>95</v>
      </c>
      <c r="B97" s="226" t="s">
        <v>3402</v>
      </c>
      <c r="C97" s="227" t="s">
        <v>4679</v>
      </c>
      <c r="D97" s="227">
        <v>8.92</v>
      </c>
      <c r="E97" s="267">
        <v>8.83</v>
      </c>
      <c r="F97" s="227">
        <v>8.75</v>
      </c>
      <c r="G97" s="227">
        <v>0.45</v>
      </c>
      <c r="H97" s="227">
        <v>0</v>
      </c>
      <c r="I97" s="227">
        <v>6</v>
      </c>
      <c r="J97" s="227">
        <v>0</v>
      </c>
      <c r="K97" s="226" t="s">
        <v>3404</v>
      </c>
      <c r="L97" s="227">
        <v>1991</v>
      </c>
      <c r="M97" s="227" t="s">
        <v>1767</v>
      </c>
      <c r="N97" s="228" t="s">
        <v>4682</v>
      </c>
    </row>
    <row r="98" spans="1:14" x14ac:dyDescent="0.2">
      <c r="A98" s="236">
        <v>96</v>
      </c>
      <c r="B98" s="229" t="s">
        <v>297</v>
      </c>
      <c r="C98" s="230" t="s">
        <v>2455</v>
      </c>
      <c r="D98" s="230">
        <v>8.86</v>
      </c>
      <c r="E98" s="268">
        <v>8.82</v>
      </c>
      <c r="F98" s="230">
        <v>9</v>
      </c>
      <c r="G98" s="230">
        <v>0.52</v>
      </c>
      <c r="H98" s="230">
        <v>0</v>
      </c>
      <c r="I98" s="230">
        <v>7</v>
      </c>
      <c r="J98" s="230">
        <v>0</v>
      </c>
      <c r="K98" s="229" t="s">
        <v>714</v>
      </c>
      <c r="L98" s="230">
        <v>1981</v>
      </c>
      <c r="M98" s="230" t="s">
        <v>1801</v>
      </c>
      <c r="N98" s="231" t="s">
        <v>2462</v>
      </c>
    </row>
    <row r="99" spans="1:14" x14ac:dyDescent="0.2">
      <c r="A99" s="236">
        <v>97</v>
      </c>
      <c r="B99" s="226" t="s">
        <v>441</v>
      </c>
      <c r="C99" s="227" t="s">
        <v>442</v>
      </c>
      <c r="D99" s="227">
        <v>8.7899999999999991</v>
      </c>
      <c r="E99" s="269">
        <v>8.81</v>
      </c>
      <c r="F99" s="227">
        <v>8.5</v>
      </c>
      <c r="G99" s="227">
        <v>0.99</v>
      </c>
      <c r="H99" s="227">
        <v>3</v>
      </c>
      <c r="I99" s="227">
        <v>12</v>
      </c>
      <c r="J99" s="227">
        <v>0</v>
      </c>
      <c r="K99" s="226" t="s">
        <v>716</v>
      </c>
      <c r="L99" s="227">
        <v>2002</v>
      </c>
      <c r="M99" s="227" t="s">
        <v>1793</v>
      </c>
      <c r="N99" s="228" t="s">
        <v>2015</v>
      </c>
    </row>
    <row r="100" spans="1:14" x14ac:dyDescent="0.2">
      <c r="A100" s="236">
        <v>98</v>
      </c>
      <c r="B100" s="229" t="s">
        <v>2478</v>
      </c>
      <c r="C100" s="230" t="s">
        <v>2477</v>
      </c>
      <c r="D100" s="230">
        <v>8.8800000000000008</v>
      </c>
      <c r="E100" s="269">
        <v>8.81</v>
      </c>
      <c r="F100" s="230">
        <v>8.75</v>
      </c>
      <c r="G100" s="230">
        <v>0.74</v>
      </c>
      <c r="H100" s="230">
        <v>1</v>
      </c>
      <c r="I100" s="230">
        <v>4</v>
      </c>
      <c r="J100" s="230">
        <v>0</v>
      </c>
      <c r="K100" s="229" t="s">
        <v>2514</v>
      </c>
      <c r="L100" s="230">
        <v>2000</v>
      </c>
      <c r="M100" s="230" t="s">
        <v>2515</v>
      </c>
      <c r="N100" s="231" t="s">
        <v>2516</v>
      </c>
    </row>
    <row r="101" spans="1:14" x14ac:dyDescent="0.2">
      <c r="A101" s="236">
        <v>99</v>
      </c>
      <c r="B101" s="226" t="s">
        <v>307</v>
      </c>
      <c r="C101" s="227" t="s">
        <v>2644</v>
      </c>
      <c r="D101" s="227">
        <v>8.8000000000000007</v>
      </c>
      <c r="E101" s="269">
        <v>8.81</v>
      </c>
      <c r="F101" s="227">
        <v>8.5</v>
      </c>
      <c r="G101" s="227">
        <v>0.93</v>
      </c>
      <c r="H101" s="227">
        <v>1</v>
      </c>
      <c r="I101" s="227">
        <v>5</v>
      </c>
      <c r="J101" s="227">
        <v>0</v>
      </c>
      <c r="K101" s="226" t="s">
        <v>988</v>
      </c>
      <c r="L101" s="227">
        <v>1982</v>
      </c>
      <c r="M101" s="227" t="s">
        <v>1772</v>
      </c>
      <c r="N101" s="228" t="s">
        <v>2648</v>
      </c>
    </row>
    <row r="102" spans="1:14" x14ac:dyDescent="0.2">
      <c r="A102" s="236">
        <v>100</v>
      </c>
      <c r="B102" s="229" t="s">
        <v>545</v>
      </c>
      <c r="C102" s="230" t="s">
        <v>546</v>
      </c>
      <c r="D102" s="230">
        <v>8.7799999999999994</v>
      </c>
      <c r="E102" s="270">
        <v>8.7899999999999991</v>
      </c>
      <c r="F102" s="230">
        <v>8.5</v>
      </c>
      <c r="G102" s="230">
        <v>0.97</v>
      </c>
      <c r="H102" s="230">
        <v>2</v>
      </c>
      <c r="I102" s="230">
        <v>9</v>
      </c>
      <c r="J102" s="230">
        <v>0</v>
      </c>
      <c r="K102" s="229" t="s">
        <v>777</v>
      </c>
      <c r="L102" s="230">
        <v>1983</v>
      </c>
      <c r="M102" s="230" t="s">
        <v>1775</v>
      </c>
      <c r="N102" s="231" t="s">
        <v>2012</v>
      </c>
    </row>
    <row r="103" spans="1:14" x14ac:dyDescent="0.2">
      <c r="A103" s="236">
        <v>101</v>
      </c>
      <c r="B103" s="226" t="s">
        <v>303</v>
      </c>
      <c r="C103" s="227" t="s">
        <v>588</v>
      </c>
      <c r="D103" s="227">
        <v>8.77</v>
      </c>
      <c r="E103" s="270">
        <v>8.7899999999999991</v>
      </c>
      <c r="F103" s="227">
        <v>8.5</v>
      </c>
      <c r="G103" s="227">
        <v>0.99</v>
      </c>
      <c r="H103" s="227">
        <v>3</v>
      </c>
      <c r="I103" s="227">
        <v>13</v>
      </c>
      <c r="J103" s="227">
        <v>0</v>
      </c>
      <c r="K103" s="226" t="s">
        <v>718</v>
      </c>
      <c r="L103" s="227">
        <v>2013</v>
      </c>
      <c r="M103" s="227" t="s">
        <v>1792</v>
      </c>
      <c r="N103" s="228" t="s">
        <v>2010</v>
      </c>
    </row>
    <row r="104" spans="1:14" x14ac:dyDescent="0.2">
      <c r="A104" s="236">
        <v>102</v>
      </c>
      <c r="B104" s="229" t="s">
        <v>774</v>
      </c>
      <c r="C104" s="230" t="s">
        <v>775</v>
      </c>
      <c r="D104" s="230">
        <v>8.82</v>
      </c>
      <c r="E104" s="270">
        <v>8.7899999999999991</v>
      </c>
      <c r="F104" s="230">
        <v>9</v>
      </c>
      <c r="G104" s="230">
        <v>0.86</v>
      </c>
      <c r="H104" s="230">
        <v>3</v>
      </c>
      <c r="I104" s="230">
        <v>13</v>
      </c>
      <c r="J104" s="230">
        <v>2</v>
      </c>
      <c r="K104" s="229" t="s">
        <v>776</v>
      </c>
      <c r="L104" s="230">
        <v>2010</v>
      </c>
      <c r="M104" s="230" t="s">
        <v>1793</v>
      </c>
      <c r="N104" s="231" t="s">
        <v>2000</v>
      </c>
    </row>
    <row r="105" spans="1:14" x14ac:dyDescent="0.2">
      <c r="A105" s="236">
        <v>103</v>
      </c>
      <c r="B105" s="226" t="s">
        <v>4036</v>
      </c>
      <c r="C105" s="227" t="s">
        <v>4037</v>
      </c>
      <c r="D105" s="227">
        <v>8.77</v>
      </c>
      <c r="E105" s="270">
        <v>8.7899999999999991</v>
      </c>
      <c r="F105" s="227">
        <v>8.5</v>
      </c>
      <c r="G105" s="227">
        <v>0.89</v>
      </c>
      <c r="H105" s="227">
        <v>3</v>
      </c>
      <c r="I105" s="227">
        <v>15</v>
      </c>
      <c r="J105" s="227">
        <v>0</v>
      </c>
      <c r="K105" s="226" t="s">
        <v>4038</v>
      </c>
      <c r="L105" s="227">
        <v>1989</v>
      </c>
      <c r="M105" s="227" t="s">
        <v>1776</v>
      </c>
      <c r="N105" s="228" t="s">
        <v>4016</v>
      </c>
    </row>
    <row r="106" spans="1:14" x14ac:dyDescent="0.2">
      <c r="A106" s="236">
        <v>104</v>
      </c>
      <c r="B106" s="229" t="s">
        <v>1555</v>
      </c>
      <c r="C106" s="230" t="s">
        <v>1554</v>
      </c>
      <c r="D106" s="230">
        <v>8.85</v>
      </c>
      <c r="E106" s="271">
        <v>8.7799999999999994</v>
      </c>
      <c r="F106" s="230">
        <v>8.75</v>
      </c>
      <c r="G106" s="230">
        <v>0.55000000000000004</v>
      </c>
      <c r="H106" s="230">
        <v>1</v>
      </c>
      <c r="I106" s="230">
        <v>10</v>
      </c>
      <c r="J106" s="230">
        <v>0</v>
      </c>
      <c r="K106" s="229" t="s">
        <v>1556</v>
      </c>
      <c r="L106" s="230">
        <v>2014</v>
      </c>
      <c r="M106" s="230" t="s">
        <v>1795</v>
      </c>
      <c r="N106" s="231" t="s">
        <v>1970</v>
      </c>
    </row>
    <row r="107" spans="1:14" x14ac:dyDescent="0.2">
      <c r="A107" s="236">
        <v>105</v>
      </c>
      <c r="B107" s="226" t="s">
        <v>441</v>
      </c>
      <c r="C107" s="227" t="s">
        <v>2330</v>
      </c>
      <c r="D107" s="227">
        <v>8.75</v>
      </c>
      <c r="E107" s="271">
        <v>8.7799999999999994</v>
      </c>
      <c r="F107" s="227">
        <v>8.5</v>
      </c>
      <c r="G107" s="227">
        <v>0.68</v>
      </c>
      <c r="H107" s="227">
        <v>1</v>
      </c>
      <c r="I107" s="227">
        <v>10</v>
      </c>
      <c r="J107" s="227">
        <v>0</v>
      </c>
      <c r="K107" s="226" t="s">
        <v>4823</v>
      </c>
      <c r="L107" s="227">
        <v>2000</v>
      </c>
      <c r="M107" s="227" t="s">
        <v>1799</v>
      </c>
      <c r="N107" s="228" t="s">
        <v>2328</v>
      </c>
    </row>
    <row r="108" spans="1:14" x14ac:dyDescent="0.2">
      <c r="A108" s="236">
        <v>106</v>
      </c>
      <c r="B108" s="229" t="s">
        <v>3637</v>
      </c>
      <c r="C108" s="230" t="s">
        <v>3638</v>
      </c>
      <c r="D108" s="230">
        <v>8.75</v>
      </c>
      <c r="E108" s="271">
        <v>8.7799999999999994</v>
      </c>
      <c r="F108" s="230">
        <v>8.5</v>
      </c>
      <c r="G108" s="230">
        <v>0.85</v>
      </c>
      <c r="H108" s="230">
        <v>1</v>
      </c>
      <c r="I108" s="230">
        <v>6</v>
      </c>
      <c r="J108" s="230">
        <v>0</v>
      </c>
      <c r="K108" s="229" t="s">
        <v>3642</v>
      </c>
      <c r="L108" s="230">
        <v>1969</v>
      </c>
      <c r="M108" s="230" t="s">
        <v>1803</v>
      </c>
      <c r="N108" s="231" t="s">
        <v>3605</v>
      </c>
    </row>
    <row r="109" spans="1:14" x14ac:dyDescent="0.2">
      <c r="A109" s="236">
        <v>107</v>
      </c>
      <c r="B109" s="226" t="s">
        <v>297</v>
      </c>
      <c r="C109" s="227" t="s">
        <v>1286</v>
      </c>
      <c r="D109" s="227">
        <v>8.83</v>
      </c>
      <c r="E109" s="272">
        <v>8.77</v>
      </c>
      <c r="F109" s="227">
        <v>8.75</v>
      </c>
      <c r="G109" s="227">
        <v>0.62</v>
      </c>
      <c r="H109" s="227">
        <v>1</v>
      </c>
      <c r="I109" s="227">
        <v>6</v>
      </c>
      <c r="J109" s="227">
        <v>0</v>
      </c>
      <c r="K109" s="226" t="s">
        <v>1288</v>
      </c>
      <c r="L109" s="227">
        <v>2023</v>
      </c>
      <c r="M109" s="227" t="s">
        <v>1796</v>
      </c>
      <c r="N109" s="228" t="s">
        <v>1982</v>
      </c>
    </row>
    <row r="110" spans="1:14" x14ac:dyDescent="0.2">
      <c r="A110" s="236">
        <v>108</v>
      </c>
      <c r="B110" s="229" t="s">
        <v>2418</v>
      </c>
      <c r="C110" s="230" t="s">
        <v>2419</v>
      </c>
      <c r="D110" s="230">
        <v>8.8800000000000008</v>
      </c>
      <c r="E110" s="272">
        <v>8.77</v>
      </c>
      <c r="F110" s="230">
        <v>8.75</v>
      </c>
      <c r="G110" s="230">
        <v>0.89</v>
      </c>
      <c r="H110" s="230">
        <v>1</v>
      </c>
      <c r="I110" s="230">
        <v>6</v>
      </c>
      <c r="J110" s="230">
        <v>2</v>
      </c>
      <c r="K110" s="229" t="s">
        <v>2422</v>
      </c>
      <c r="L110" s="230">
        <v>2000</v>
      </c>
      <c r="M110" s="230" t="s">
        <v>2423</v>
      </c>
      <c r="N110" s="231" t="s">
        <v>2424</v>
      </c>
    </row>
    <row r="111" spans="1:14" x14ac:dyDescent="0.2">
      <c r="A111" s="236">
        <v>109</v>
      </c>
      <c r="B111" s="226" t="s">
        <v>2844</v>
      </c>
      <c r="C111" s="227" t="s">
        <v>3065</v>
      </c>
      <c r="D111" s="227">
        <v>8.73</v>
      </c>
      <c r="E111" s="272">
        <v>8.77</v>
      </c>
      <c r="F111" s="227">
        <v>8.5</v>
      </c>
      <c r="G111" s="227">
        <v>0.96</v>
      </c>
      <c r="H111" s="227">
        <v>3</v>
      </c>
      <c r="I111" s="227">
        <v>11</v>
      </c>
      <c r="J111" s="227">
        <v>0</v>
      </c>
      <c r="K111" s="226" t="s">
        <v>731</v>
      </c>
      <c r="L111" s="227">
        <v>2012</v>
      </c>
      <c r="M111" s="227" t="s">
        <v>1778</v>
      </c>
      <c r="N111" s="228" t="s">
        <v>3066</v>
      </c>
    </row>
    <row r="112" spans="1:14" x14ac:dyDescent="0.2">
      <c r="A112" s="236">
        <v>110</v>
      </c>
      <c r="B112" s="229" t="s">
        <v>308</v>
      </c>
      <c r="C112" s="230" t="s">
        <v>240</v>
      </c>
      <c r="D112" s="230">
        <v>8.7799999999999994</v>
      </c>
      <c r="E112" s="273">
        <v>8.76</v>
      </c>
      <c r="F112" s="230">
        <v>9</v>
      </c>
      <c r="G112" s="230">
        <v>0.79</v>
      </c>
      <c r="H112" s="230">
        <v>2</v>
      </c>
      <c r="I112" s="230">
        <v>10</v>
      </c>
      <c r="J112" s="230">
        <v>1</v>
      </c>
      <c r="K112" s="229" t="s">
        <v>721</v>
      </c>
      <c r="L112" s="230">
        <v>1994</v>
      </c>
      <c r="M112" s="230" t="s">
        <v>1796</v>
      </c>
      <c r="N112" s="231" t="s">
        <v>2020</v>
      </c>
    </row>
    <row r="113" spans="1:14" x14ac:dyDescent="0.2">
      <c r="A113" s="236">
        <v>111</v>
      </c>
      <c r="B113" s="226" t="s">
        <v>795</v>
      </c>
      <c r="C113" s="227" t="s">
        <v>790</v>
      </c>
      <c r="D113" s="227">
        <v>8.7100000000000009</v>
      </c>
      <c r="E113" s="273">
        <v>8.76</v>
      </c>
      <c r="F113" s="227">
        <v>8.5</v>
      </c>
      <c r="G113" s="227">
        <v>0.75</v>
      </c>
      <c r="H113" s="227">
        <v>2</v>
      </c>
      <c r="I113" s="227">
        <v>14</v>
      </c>
      <c r="J113" s="227">
        <v>0</v>
      </c>
      <c r="K113" s="226" t="s">
        <v>796</v>
      </c>
      <c r="L113" s="227">
        <v>2005</v>
      </c>
      <c r="M113" s="227" t="s">
        <v>1798</v>
      </c>
      <c r="N113" s="228" t="s">
        <v>1999</v>
      </c>
    </row>
    <row r="114" spans="1:14" x14ac:dyDescent="0.2">
      <c r="A114" s="236">
        <v>112</v>
      </c>
      <c r="B114" s="229" t="s">
        <v>1368</v>
      </c>
      <c r="C114" s="230" t="s">
        <v>1369</v>
      </c>
      <c r="D114" s="230">
        <v>8.73</v>
      </c>
      <c r="E114" s="273">
        <v>8.76</v>
      </c>
      <c r="F114" s="230">
        <v>8.5</v>
      </c>
      <c r="G114" s="230">
        <v>0.75</v>
      </c>
      <c r="H114" s="230">
        <v>1</v>
      </c>
      <c r="I114" s="230">
        <v>13</v>
      </c>
      <c r="J114" s="230">
        <v>0</v>
      </c>
      <c r="K114" s="229" t="s">
        <v>4053</v>
      </c>
      <c r="L114" s="230">
        <v>1992</v>
      </c>
      <c r="M114" s="230" t="s">
        <v>1792</v>
      </c>
      <c r="N114" s="231" t="s">
        <v>1978</v>
      </c>
    </row>
    <row r="115" spans="1:14" x14ac:dyDescent="0.2">
      <c r="A115" s="236">
        <v>113</v>
      </c>
      <c r="B115" s="226" t="s">
        <v>293</v>
      </c>
      <c r="C115" s="227" t="s">
        <v>518</v>
      </c>
      <c r="D115" s="227">
        <v>8.77</v>
      </c>
      <c r="E115" s="274">
        <v>8.75</v>
      </c>
      <c r="F115" s="227">
        <v>9</v>
      </c>
      <c r="G115" s="227">
        <v>0.72</v>
      </c>
      <c r="H115" s="227">
        <v>1</v>
      </c>
      <c r="I115" s="227">
        <v>11</v>
      </c>
      <c r="J115" s="227">
        <v>0</v>
      </c>
      <c r="K115" s="226" t="s">
        <v>713</v>
      </c>
      <c r="L115" s="227">
        <v>2016</v>
      </c>
      <c r="M115" s="227" t="s">
        <v>1794</v>
      </c>
      <c r="N115" s="228" t="s">
        <v>2013</v>
      </c>
    </row>
    <row r="116" spans="1:14" x14ac:dyDescent="0.2">
      <c r="A116" s="236">
        <v>114</v>
      </c>
      <c r="B116" s="229" t="s">
        <v>677</v>
      </c>
      <c r="C116" s="230" t="s">
        <v>673</v>
      </c>
      <c r="D116" s="230">
        <v>8.67</v>
      </c>
      <c r="E116" s="274">
        <v>8.75</v>
      </c>
      <c r="F116" s="230">
        <v>8</v>
      </c>
      <c r="G116" s="230">
        <v>1.04</v>
      </c>
      <c r="H116" s="230">
        <v>4</v>
      </c>
      <c r="I116" s="230">
        <v>16</v>
      </c>
      <c r="J116" s="230">
        <v>1</v>
      </c>
      <c r="K116" s="229" t="s">
        <v>736</v>
      </c>
      <c r="L116" s="230">
        <v>2010</v>
      </c>
      <c r="M116" s="230" t="s">
        <v>1799</v>
      </c>
      <c r="N116" s="231" t="s">
        <v>2006</v>
      </c>
    </row>
    <row r="117" spans="1:14" x14ac:dyDescent="0.2">
      <c r="A117" s="236">
        <v>115</v>
      </c>
      <c r="B117" s="226" t="s">
        <v>2239</v>
      </c>
      <c r="C117" s="227" t="s">
        <v>2229</v>
      </c>
      <c r="D117" s="227">
        <v>8.86</v>
      </c>
      <c r="E117" s="275">
        <v>8.74</v>
      </c>
      <c r="F117" s="227">
        <v>8.5</v>
      </c>
      <c r="G117" s="227">
        <v>0.86</v>
      </c>
      <c r="H117" s="227">
        <v>3</v>
      </c>
      <c r="I117" s="227">
        <v>11</v>
      </c>
      <c r="J117" s="227">
        <v>0</v>
      </c>
      <c r="K117" s="226" t="s">
        <v>2240</v>
      </c>
      <c r="L117" s="227">
        <v>1994</v>
      </c>
      <c r="M117" s="227" t="s">
        <v>1778</v>
      </c>
      <c r="N117" s="228" t="s">
        <v>2241</v>
      </c>
    </row>
    <row r="118" spans="1:14" x14ac:dyDescent="0.2">
      <c r="A118" s="236">
        <v>116</v>
      </c>
      <c r="B118" s="229" t="s">
        <v>1368</v>
      </c>
      <c r="C118" s="230" t="s">
        <v>4078</v>
      </c>
      <c r="D118" s="230">
        <v>8.83</v>
      </c>
      <c r="E118" s="275">
        <v>8.74</v>
      </c>
      <c r="F118" s="230">
        <v>8</v>
      </c>
      <c r="G118" s="230">
        <v>1.18</v>
      </c>
      <c r="H118" s="230">
        <v>1</v>
      </c>
      <c r="I118" s="230">
        <v>3</v>
      </c>
      <c r="J118" s="230">
        <v>0</v>
      </c>
      <c r="K118" s="229" t="s">
        <v>1716</v>
      </c>
      <c r="L118" s="230">
        <v>1995</v>
      </c>
      <c r="M118" s="230" t="s">
        <v>4095</v>
      </c>
      <c r="N118" s="231" t="s">
        <v>4069</v>
      </c>
    </row>
    <row r="119" spans="1:14" x14ac:dyDescent="0.2">
      <c r="A119" s="236">
        <v>117</v>
      </c>
      <c r="B119" s="226" t="s">
        <v>2844</v>
      </c>
      <c r="C119" s="227" t="s">
        <v>4338</v>
      </c>
      <c r="D119" s="227">
        <v>8.6999999999999993</v>
      </c>
      <c r="E119" s="275">
        <v>8.74</v>
      </c>
      <c r="F119" s="227">
        <v>8.5</v>
      </c>
      <c r="G119" s="227">
        <v>0.84</v>
      </c>
      <c r="H119" s="227">
        <v>2</v>
      </c>
      <c r="I119" s="227">
        <v>10</v>
      </c>
      <c r="J119" s="227">
        <v>0</v>
      </c>
      <c r="K119" s="226" t="s">
        <v>3878</v>
      </c>
      <c r="L119" s="227">
        <v>1997</v>
      </c>
      <c r="M119" s="227" t="s">
        <v>1792</v>
      </c>
      <c r="N119" s="228" t="s">
        <v>4345</v>
      </c>
    </row>
    <row r="120" spans="1:14" x14ac:dyDescent="0.2">
      <c r="A120" s="236">
        <v>118</v>
      </c>
      <c r="B120" s="229" t="s">
        <v>4763</v>
      </c>
      <c r="C120" s="230" t="s">
        <v>4762</v>
      </c>
      <c r="D120" s="230">
        <v>8.86</v>
      </c>
      <c r="E120" s="275">
        <v>8.74</v>
      </c>
      <c r="F120" s="230">
        <v>8.5</v>
      </c>
      <c r="G120" s="230">
        <v>0.68</v>
      </c>
      <c r="H120" s="230">
        <v>2</v>
      </c>
      <c r="I120" s="230">
        <v>11</v>
      </c>
      <c r="J120" s="230">
        <v>0</v>
      </c>
      <c r="K120" s="229" t="s">
        <v>4765</v>
      </c>
      <c r="L120" s="230">
        <v>2020</v>
      </c>
      <c r="M120" s="230" t="s">
        <v>1796</v>
      </c>
      <c r="N120" s="231" t="s">
        <v>4766</v>
      </c>
    </row>
    <row r="121" spans="1:14" x14ac:dyDescent="0.2">
      <c r="A121" s="236">
        <v>119</v>
      </c>
      <c r="B121" s="226" t="s">
        <v>300</v>
      </c>
      <c r="C121" s="227" t="s">
        <v>473</v>
      </c>
      <c r="D121" s="227">
        <v>8.81</v>
      </c>
      <c r="E121" s="373">
        <v>8.73</v>
      </c>
      <c r="F121" s="227">
        <v>8.75</v>
      </c>
      <c r="G121" s="227">
        <v>0.79</v>
      </c>
      <c r="H121" s="227">
        <v>1</v>
      </c>
      <c r="I121" s="227">
        <v>8</v>
      </c>
      <c r="J121" s="227">
        <v>0</v>
      </c>
      <c r="K121" s="226" t="s">
        <v>735</v>
      </c>
      <c r="L121" s="227">
        <v>2003</v>
      </c>
      <c r="M121" s="227" t="s">
        <v>1803</v>
      </c>
      <c r="N121" s="228" t="s">
        <v>2014</v>
      </c>
    </row>
    <row r="122" spans="1:14" x14ac:dyDescent="0.2">
      <c r="A122" s="236">
        <v>120</v>
      </c>
      <c r="B122" s="229" t="s">
        <v>759</v>
      </c>
      <c r="C122" s="230" t="s">
        <v>4471</v>
      </c>
      <c r="D122" s="230">
        <v>8.69</v>
      </c>
      <c r="E122" s="373">
        <v>8.73</v>
      </c>
      <c r="F122" s="230">
        <v>8.5</v>
      </c>
      <c r="G122" s="230">
        <v>0.97</v>
      </c>
      <c r="H122" s="230">
        <v>3</v>
      </c>
      <c r="I122" s="230">
        <v>14</v>
      </c>
      <c r="J122" s="230">
        <v>1</v>
      </c>
      <c r="K122" s="229" t="s">
        <v>780</v>
      </c>
      <c r="L122" s="230">
        <v>1997</v>
      </c>
      <c r="M122" s="230" t="s">
        <v>1803</v>
      </c>
      <c r="N122" s="231" t="s">
        <v>4488</v>
      </c>
    </row>
    <row r="123" spans="1:14" x14ac:dyDescent="0.2">
      <c r="A123" s="236">
        <v>121</v>
      </c>
      <c r="B123" s="226" t="s">
        <v>1330</v>
      </c>
      <c r="C123" s="227" t="s">
        <v>1331</v>
      </c>
      <c r="D123" s="227">
        <v>8.83</v>
      </c>
      <c r="E123" s="276">
        <v>8.7200000000000006</v>
      </c>
      <c r="F123" s="227">
        <v>8.5</v>
      </c>
      <c r="G123" s="227">
        <v>0.57999999999999996</v>
      </c>
      <c r="H123" s="227">
        <v>1</v>
      </c>
      <c r="I123" s="227">
        <v>9</v>
      </c>
      <c r="J123" s="227">
        <v>0</v>
      </c>
      <c r="K123" s="226" t="s">
        <v>1332</v>
      </c>
      <c r="L123" s="227">
        <v>2002</v>
      </c>
      <c r="M123" s="227" t="s">
        <v>1793</v>
      </c>
      <c r="N123" s="228" t="s">
        <v>1980</v>
      </c>
    </row>
    <row r="124" spans="1:14" x14ac:dyDescent="0.2">
      <c r="A124" s="236">
        <v>122</v>
      </c>
      <c r="B124" s="229" t="s">
        <v>2896</v>
      </c>
      <c r="C124" s="230" t="s">
        <v>2897</v>
      </c>
      <c r="D124" s="230">
        <v>8.85</v>
      </c>
      <c r="E124" s="276">
        <v>8.7200000000000006</v>
      </c>
      <c r="F124" s="230">
        <v>8.5</v>
      </c>
      <c r="G124" s="230">
        <v>0.66</v>
      </c>
      <c r="H124" s="230">
        <v>2</v>
      </c>
      <c r="I124" s="230">
        <v>14</v>
      </c>
      <c r="J124" s="230">
        <v>1</v>
      </c>
      <c r="K124" s="229" t="s">
        <v>2898</v>
      </c>
      <c r="L124" s="230">
        <v>2020</v>
      </c>
      <c r="M124" s="230" t="s">
        <v>1811</v>
      </c>
      <c r="N124" s="231" t="s">
        <v>2899</v>
      </c>
    </row>
    <row r="125" spans="1:14" x14ac:dyDescent="0.2">
      <c r="A125" s="236">
        <v>123</v>
      </c>
      <c r="B125" s="226" t="s">
        <v>632</v>
      </c>
      <c r="C125" s="227" t="s">
        <v>3975</v>
      </c>
      <c r="D125" s="227">
        <v>8.75</v>
      </c>
      <c r="E125" s="276">
        <v>8.7200000000000006</v>
      </c>
      <c r="F125" s="227">
        <v>8.75</v>
      </c>
      <c r="G125" s="227">
        <v>0.25</v>
      </c>
      <c r="H125" s="227">
        <v>0</v>
      </c>
      <c r="I125" s="227">
        <v>2</v>
      </c>
      <c r="J125" s="227">
        <v>0</v>
      </c>
      <c r="K125" s="226" t="s">
        <v>3978</v>
      </c>
      <c r="L125" s="227">
        <v>2003</v>
      </c>
      <c r="M125" s="227" t="s">
        <v>1805</v>
      </c>
      <c r="N125" s="228" t="s">
        <v>3979</v>
      </c>
    </row>
    <row r="126" spans="1:14" x14ac:dyDescent="0.2">
      <c r="A126" s="236">
        <v>124</v>
      </c>
      <c r="B126" s="229" t="s">
        <v>4421</v>
      </c>
      <c r="C126" s="230" t="s">
        <v>4422</v>
      </c>
      <c r="D126" s="230">
        <v>8.69</v>
      </c>
      <c r="E126" s="276">
        <v>8.7200000000000006</v>
      </c>
      <c r="F126" s="230">
        <v>8.5</v>
      </c>
      <c r="G126" s="230">
        <v>0.83</v>
      </c>
      <c r="H126" s="230">
        <v>1</v>
      </c>
      <c r="I126" s="230">
        <v>10</v>
      </c>
      <c r="J126" s="230">
        <v>2</v>
      </c>
      <c r="K126" s="229" t="s">
        <v>4425</v>
      </c>
      <c r="L126" s="230">
        <v>2003</v>
      </c>
      <c r="M126" s="230" t="s">
        <v>1773</v>
      </c>
      <c r="N126" s="231" t="s">
        <v>4426</v>
      </c>
    </row>
    <row r="127" spans="1:14" x14ac:dyDescent="0.2">
      <c r="A127" s="236">
        <v>125</v>
      </c>
      <c r="B127" s="226" t="s">
        <v>313</v>
      </c>
      <c r="C127" s="227" t="s">
        <v>4566</v>
      </c>
      <c r="D127" s="227">
        <v>8.69</v>
      </c>
      <c r="E127" s="276">
        <v>8.7200000000000006</v>
      </c>
      <c r="F127" s="227">
        <v>8.5</v>
      </c>
      <c r="G127" s="227">
        <v>0.89</v>
      </c>
      <c r="H127" s="227">
        <v>2</v>
      </c>
      <c r="I127" s="227">
        <v>13</v>
      </c>
      <c r="J127" s="227">
        <v>0</v>
      </c>
      <c r="K127" s="226" t="s">
        <v>4572</v>
      </c>
      <c r="L127" s="227">
        <v>1996</v>
      </c>
      <c r="M127" s="227" t="s">
        <v>1805</v>
      </c>
      <c r="N127" s="228" t="s">
        <v>4573</v>
      </c>
    </row>
    <row r="128" spans="1:14" x14ac:dyDescent="0.2">
      <c r="A128" s="236">
        <v>126</v>
      </c>
      <c r="B128" s="229" t="s">
        <v>370</v>
      </c>
      <c r="C128" s="230" t="s">
        <v>368</v>
      </c>
      <c r="D128" s="230">
        <v>8.67</v>
      </c>
      <c r="E128" s="277">
        <v>8.7100000000000009</v>
      </c>
      <c r="F128" s="230">
        <v>8.5</v>
      </c>
      <c r="G128" s="230">
        <v>0.85</v>
      </c>
      <c r="H128" s="230">
        <v>2</v>
      </c>
      <c r="I128" s="230">
        <v>12</v>
      </c>
      <c r="J128" s="230">
        <v>0</v>
      </c>
      <c r="K128" s="229" t="s">
        <v>777</v>
      </c>
      <c r="L128" s="230">
        <v>1989</v>
      </c>
      <c r="M128" s="230" t="s">
        <v>1802</v>
      </c>
      <c r="N128" s="231" t="s">
        <v>2018</v>
      </c>
    </row>
    <row r="129" spans="1:14" x14ac:dyDescent="0.2">
      <c r="A129" s="236">
        <v>127</v>
      </c>
      <c r="B129" s="226" t="s">
        <v>1265</v>
      </c>
      <c r="C129" s="227" t="s">
        <v>1266</v>
      </c>
      <c r="D129" s="227">
        <v>8.7899999999999991</v>
      </c>
      <c r="E129" s="277">
        <v>8.7100000000000009</v>
      </c>
      <c r="F129" s="227">
        <v>8.75</v>
      </c>
      <c r="G129" s="227">
        <v>0.86</v>
      </c>
      <c r="H129" s="227">
        <v>3</v>
      </c>
      <c r="I129" s="227">
        <v>16</v>
      </c>
      <c r="J129" s="227">
        <v>2</v>
      </c>
      <c r="K129" s="226" t="s">
        <v>1267</v>
      </c>
      <c r="L129" s="227">
        <v>2015</v>
      </c>
      <c r="M129" s="227" t="s">
        <v>1788</v>
      </c>
      <c r="N129" s="228" t="s">
        <v>1983</v>
      </c>
    </row>
    <row r="130" spans="1:14" x14ac:dyDescent="0.2">
      <c r="A130" s="236">
        <v>128</v>
      </c>
      <c r="B130" s="229" t="s">
        <v>1368</v>
      </c>
      <c r="C130" s="230" t="s">
        <v>3857</v>
      </c>
      <c r="D130" s="230">
        <v>8.65</v>
      </c>
      <c r="E130" s="277">
        <v>8.7100000000000009</v>
      </c>
      <c r="F130" s="230">
        <v>8.5</v>
      </c>
      <c r="G130" s="230">
        <v>0.65</v>
      </c>
      <c r="H130" s="230">
        <v>2</v>
      </c>
      <c r="I130" s="230">
        <v>30</v>
      </c>
      <c r="J130" s="230">
        <v>4</v>
      </c>
      <c r="K130" s="229" t="s">
        <v>3862</v>
      </c>
      <c r="L130" s="230">
        <v>2001</v>
      </c>
      <c r="M130" s="230" t="s">
        <v>3863</v>
      </c>
      <c r="N130" s="231" t="s">
        <v>3864</v>
      </c>
    </row>
    <row r="131" spans="1:14" x14ac:dyDescent="0.2">
      <c r="A131" s="236">
        <v>129</v>
      </c>
      <c r="B131" s="226" t="s">
        <v>2699</v>
      </c>
      <c r="C131" s="227" t="s">
        <v>3911</v>
      </c>
      <c r="D131" s="227">
        <v>8.68</v>
      </c>
      <c r="E131" s="277">
        <v>8.7100000000000009</v>
      </c>
      <c r="F131" s="227">
        <v>8.5</v>
      </c>
      <c r="G131" s="227">
        <v>0.91</v>
      </c>
      <c r="H131" s="227">
        <v>2</v>
      </c>
      <c r="I131" s="227">
        <v>15</v>
      </c>
      <c r="J131" s="227">
        <v>4</v>
      </c>
      <c r="K131" s="226" t="s">
        <v>3914</v>
      </c>
      <c r="L131" s="227">
        <v>2005</v>
      </c>
      <c r="M131" s="227" t="s">
        <v>1800</v>
      </c>
      <c r="N131" s="228" t="s">
        <v>3915</v>
      </c>
    </row>
    <row r="132" spans="1:14" x14ac:dyDescent="0.2">
      <c r="A132" s="236">
        <v>130</v>
      </c>
      <c r="B132" s="229" t="s">
        <v>2844</v>
      </c>
      <c r="C132" s="230" t="s">
        <v>4688</v>
      </c>
      <c r="D132" s="230">
        <v>8.82</v>
      </c>
      <c r="E132" s="277">
        <v>8.7100000000000009</v>
      </c>
      <c r="F132" s="230">
        <v>8.5</v>
      </c>
      <c r="G132" s="230">
        <v>0.68</v>
      </c>
      <c r="H132" s="230">
        <v>2</v>
      </c>
      <c r="I132" s="230">
        <v>11</v>
      </c>
      <c r="J132" s="230">
        <v>0</v>
      </c>
      <c r="K132" s="229" t="s">
        <v>731</v>
      </c>
      <c r="L132" s="230">
        <v>2010</v>
      </c>
      <c r="M132" s="230" t="s">
        <v>1772</v>
      </c>
      <c r="N132" s="231" t="s">
        <v>4700</v>
      </c>
    </row>
    <row r="133" spans="1:14" x14ac:dyDescent="0.2">
      <c r="A133" s="236">
        <v>131</v>
      </c>
      <c r="B133" s="226" t="s">
        <v>4800</v>
      </c>
      <c r="C133" s="227" t="s">
        <v>4799</v>
      </c>
      <c r="D133" s="227">
        <v>8.83</v>
      </c>
      <c r="E133" s="277">
        <v>8.7100000000000009</v>
      </c>
      <c r="F133" s="227">
        <v>8.5</v>
      </c>
      <c r="G133" s="227">
        <v>0.47</v>
      </c>
      <c r="H133" s="227">
        <v>0</v>
      </c>
      <c r="I133" s="227">
        <v>3</v>
      </c>
      <c r="J133" s="227">
        <v>0</v>
      </c>
      <c r="K133" s="226" t="s">
        <v>4802</v>
      </c>
      <c r="L133" s="227">
        <v>1984</v>
      </c>
      <c r="M133" s="227" t="s">
        <v>1787</v>
      </c>
      <c r="N133" s="228" t="s">
        <v>4803</v>
      </c>
    </row>
    <row r="134" spans="1:14" x14ac:dyDescent="0.2">
      <c r="A134" s="236">
        <v>132</v>
      </c>
      <c r="B134" s="229" t="s">
        <v>1393</v>
      </c>
      <c r="C134" s="230" t="s">
        <v>1394</v>
      </c>
      <c r="D134" s="230">
        <v>8.75</v>
      </c>
      <c r="E134" s="278">
        <v>8.6999999999999993</v>
      </c>
      <c r="F134" s="230">
        <v>8.75</v>
      </c>
      <c r="G134" s="230">
        <v>0.75</v>
      </c>
      <c r="H134" s="230">
        <v>2</v>
      </c>
      <c r="I134" s="230">
        <v>10</v>
      </c>
      <c r="J134" s="230">
        <v>0</v>
      </c>
      <c r="K134" s="229" t="s">
        <v>1395</v>
      </c>
      <c r="L134" s="230">
        <v>1998</v>
      </c>
      <c r="M134" s="230" t="s">
        <v>1803</v>
      </c>
      <c r="N134" s="231" t="s">
        <v>1976</v>
      </c>
    </row>
    <row r="135" spans="1:14" x14ac:dyDescent="0.2">
      <c r="A135" s="236">
        <v>133</v>
      </c>
      <c r="B135" s="226" t="s">
        <v>1577</v>
      </c>
      <c r="C135" s="227" t="s">
        <v>1573</v>
      </c>
      <c r="D135" s="227">
        <v>8.81</v>
      </c>
      <c r="E135" s="278">
        <v>8.6999999999999993</v>
      </c>
      <c r="F135" s="227">
        <v>8.5</v>
      </c>
      <c r="G135" s="227">
        <v>0.83</v>
      </c>
      <c r="H135" s="227">
        <v>2</v>
      </c>
      <c r="I135" s="227">
        <v>8</v>
      </c>
      <c r="J135" s="227">
        <v>0</v>
      </c>
      <c r="K135" s="226" t="s">
        <v>1247</v>
      </c>
      <c r="L135" s="227">
        <v>1982</v>
      </c>
      <c r="M135" s="227" t="s">
        <v>1780</v>
      </c>
      <c r="N135" s="228" t="s">
        <v>1969</v>
      </c>
    </row>
    <row r="136" spans="1:14" x14ac:dyDescent="0.2">
      <c r="A136" s="236">
        <v>134</v>
      </c>
      <c r="B136" s="229" t="s">
        <v>2799</v>
      </c>
      <c r="C136" s="230" t="s">
        <v>4628</v>
      </c>
      <c r="D136" s="230">
        <v>8.8000000000000007</v>
      </c>
      <c r="E136" s="278">
        <v>8.6999999999999993</v>
      </c>
      <c r="F136" s="230">
        <v>8.5</v>
      </c>
      <c r="G136" s="230">
        <v>0.68</v>
      </c>
      <c r="H136" s="230">
        <v>1</v>
      </c>
      <c r="I136" s="230">
        <v>5</v>
      </c>
      <c r="J136" s="230">
        <v>0</v>
      </c>
      <c r="K136" s="229" t="s">
        <v>4657</v>
      </c>
      <c r="L136" s="230">
        <v>2007</v>
      </c>
      <c r="M136" s="230" t="s">
        <v>2800</v>
      </c>
      <c r="N136" s="231" t="s">
        <v>2111</v>
      </c>
    </row>
    <row r="137" spans="1:14" x14ac:dyDescent="0.2">
      <c r="A137" s="236">
        <v>135</v>
      </c>
      <c r="B137" s="226" t="s">
        <v>1368</v>
      </c>
      <c r="C137" s="227" t="s">
        <v>3305</v>
      </c>
      <c r="D137" s="227">
        <v>8.8000000000000007</v>
      </c>
      <c r="E137" s="278">
        <v>8.6999999999999993</v>
      </c>
      <c r="F137" s="227">
        <v>8.5</v>
      </c>
      <c r="G137" s="227">
        <v>0.68</v>
      </c>
      <c r="H137" s="227">
        <v>2</v>
      </c>
      <c r="I137" s="227">
        <v>10</v>
      </c>
      <c r="J137" s="227">
        <v>0</v>
      </c>
      <c r="K137" s="226" t="s">
        <v>3309</v>
      </c>
      <c r="L137" s="227">
        <v>1996</v>
      </c>
      <c r="M137" s="227" t="s">
        <v>3310</v>
      </c>
      <c r="N137" s="228" t="s">
        <v>3308</v>
      </c>
    </row>
    <row r="138" spans="1:14" x14ac:dyDescent="0.2">
      <c r="A138" s="236">
        <v>136</v>
      </c>
      <c r="B138" s="229" t="s">
        <v>4166</v>
      </c>
      <c r="C138" s="230" t="s">
        <v>4167</v>
      </c>
      <c r="D138" s="230">
        <v>8.75</v>
      </c>
      <c r="E138" s="278">
        <v>8.6999999999999993</v>
      </c>
      <c r="F138" s="230">
        <v>8.75</v>
      </c>
      <c r="G138" s="230">
        <v>0.69</v>
      </c>
      <c r="H138" s="230">
        <v>1</v>
      </c>
      <c r="I138" s="230">
        <v>6</v>
      </c>
      <c r="J138" s="230">
        <v>0</v>
      </c>
      <c r="K138" s="229" t="s">
        <v>4168</v>
      </c>
      <c r="L138" s="230">
        <v>2015</v>
      </c>
      <c r="M138" s="230" t="s">
        <v>1767</v>
      </c>
      <c r="N138" s="231" t="s">
        <v>4169</v>
      </c>
    </row>
    <row r="139" spans="1:14" x14ac:dyDescent="0.2">
      <c r="A139" s="236">
        <v>137</v>
      </c>
      <c r="B139" s="226" t="s">
        <v>2307</v>
      </c>
      <c r="C139" s="227" t="s">
        <v>4248</v>
      </c>
      <c r="D139" s="227">
        <v>8.65</v>
      </c>
      <c r="E139" s="278">
        <v>8.6999999999999993</v>
      </c>
      <c r="F139" s="227">
        <v>8.5</v>
      </c>
      <c r="G139" s="227">
        <v>0.86</v>
      </c>
      <c r="H139" s="227">
        <v>2</v>
      </c>
      <c r="I139" s="227">
        <v>13</v>
      </c>
      <c r="J139" s="227">
        <v>0</v>
      </c>
      <c r="K139" s="226" t="s">
        <v>1743</v>
      </c>
      <c r="L139" s="227">
        <v>2006</v>
      </c>
      <c r="M139" s="227" t="s">
        <v>1772</v>
      </c>
      <c r="N139" s="228" t="s">
        <v>4226</v>
      </c>
    </row>
    <row r="140" spans="1:14" x14ac:dyDescent="0.2">
      <c r="A140" s="236">
        <v>138</v>
      </c>
      <c r="B140" s="229" t="s">
        <v>3515</v>
      </c>
      <c r="C140" s="230" t="s">
        <v>3508</v>
      </c>
      <c r="D140" s="230">
        <v>8.82</v>
      </c>
      <c r="E140" s="336">
        <v>8.69</v>
      </c>
      <c r="F140" s="230">
        <v>8.5</v>
      </c>
      <c r="G140" s="230">
        <v>0.61</v>
      </c>
      <c r="H140" s="230">
        <v>1</v>
      </c>
      <c r="I140" s="230">
        <v>13</v>
      </c>
      <c r="J140" s="230">
        <v>2</v>
      </c>
      <c r="K140" s="229" t="s">
        <v>3516</v>
      </c>
      <c r="L140" s="230">
        <v>2007</v>
      </c>
      <c r="M140" s="230" t="s">
        <v>1811</v>
      </c>
      <c r="N140" s="231" t="s">
        <v>3497</v>
      </c>
    </row>
    <row r="141" spans="1:14" x14ac:dyDescent="0.2">
      <c r="A141" s="236">
        <v>139</v>
      </c>
      <c r="B141" s="226" t="s">
        <v>293</v>
      </c>
      <c r="C141" s="227" t="s">
        <v>4569</v>
      </c>
      <c r="D141" s="227">
        <v>8.75</v>
      </c>
      <c r="E141" s="336">
        <v>8.69</v>
      </c>
      <c r="F141" s="227">
        <v>8.75</v>
      </c>
      <c r="G141" s="227">
        <v>0.69</v>
      </c>
      <c r="H141" s="227">
        <v>1</v>
      </c>
      <c r="I141" s="227">
        <v>8</v>
      </c>
      <c r="J141" s="227">
        <v>2</v>
      </c>
      <c r="K141" s="226" t="s">
        <v>1230</v>
      </c>
      <c r="L141" s="227">
        <v>2007</v>
      </c>
      <c r="M141" s="227" t="s">
        <v>3022</v>
      </c>
      <c r="N141" s="228" t="s">
        <v>4576</v>
      </c>
    </row>
    <row r="142" spans="1:14" x14ac:dyDescent="0.2">
      <c r="A142" s="236">
        <v>140</v>
      </c>
      <c r="B142" s="229" t="s">
        <v>4760</v>
      </c>
      <c r="C142" s="230" t="s">
        <v>4741</v>
      </c>
      <c r="D142" s="230">
        <v>8.65</v>
      </c>
      <c r="E142" s="336">
        <v>8.69</v>
      </c>
      <c r="F142" s="230">
        <v>8.5</v>
      </c>
      <c r="G142" s="230">
        <v>0.98</v>
      </c>
      <c r="H142" s="230">
        <v>2</v>
      </c>
      <c r="I142" s="230">
        <v>10</v>
      </c>
      <c r="J142" s="230">
        <v>0</v>
      </c>
      <c r="K142" s="229" t="s">
        <v>4767</v>
      </c>
      <c r="L142" s="230">
        <v>1971</v>
      </c>
      <c r="M142" s="230" t="s">
        <v>1784</v>
      </c>
      <c r="N142" s="231" t="s">
        <v>4768</v>
      </c>
    </row>
    <row r="143" spans="1:14" x14ac:dyDescent="0.2">
      <c r="A143" s="236">
        <v>141</v>
      </c>
      <c r="B143" s="226" t="s">
        <v>545</v>
      </c>
      <c r="C143" s="227" t="s">
        <v>4861</v>
      </c>
      <c r="D143" s="227">
        <v>8.81</v>
      </c>
      <c r="E143" s="336">
        <v>8.69</v>
      </c>
      <c r="F143" s="227">
        <v>8.5</v>
      </c>
      <c r="G143" s="227">
        <v>0.7</v>
      </c>
      <c r="H143" s="227">
        <v>1</v>
      </c>
      <c r="I143" s="227">
        <v>8</v>
      </c>
      <c r="J143" s="227">
        <v>0</v>
      </c>
      <c r="K143" s="226" t="s">
        <v>777</v>
      </c>
      <c r="L143" s="227">
        <v>1980</v>
      </c>
      <c r="M143" s="227" t="s">
        <v>1796</v>
      </c>
      <c r="N143" s="228" t="s">
        <v>4862</v>
      </c>
    </row>
    <row r="144" spans="1:14" x14ac:dyDescent="0.2">
      <c r="A144" s="236">
        <v>142</v>
      </c>
      <c r="B144" s="229" t="s">
        <v>5349</v>
      </c>
      <c r="C144" s="230" t="s">
        <v>5350</v>
      </c>
      <c r="D144" s="230">
        <v>8.65</v>
      </c>
      <c r="E144" s="336">
        <v>8.69</v>
      </c>
      <c r="F144" s="230">
        <v>8.5</v>
      </c>
      <c r="G144" s="230">
        <v>0.8</v>
      </c>
      <c r="H144" s="230">
        <v>3</v>
      </c>
      <c r="I144" s="230">
        <v>28</v>
      </c>
      <c r="J144" s="230">
        <v>4</v>
      </c>
      <c r="K144" s="229" t="s">
        <v>1442</v>
      </c>
      <c r="L144" s="230">
        <v>2019</v>
      </c>
      <c r="M144" s="230" t="s">
        <v>2974</v>
      </c>
      <c r="N144" s="231" t="s">
        <v>5355</v>
      </c>
    </row>
    <row r="145" spans="1:14" x14ac:dyDescent="0.2">
      <c r="A145" s="236">
        <v>143</v>
      </c>
      <c r="B145" s="226" t="s">
        <v>5512</v>
      </c>
      <c r="C145" s="227" t="s">
        <v>5513</v>
      </c>
      <c r="D145" s="227">
        <v>8.75</v>
      </c>
      <c r="E145" s="336">
        <v>8.69</v>
      </c>
      <c r="F145" s="227">
        <v>8.75</v>
      </c>
      <c r="G145" s="227">
        <v>0.9</v>
      </c>
      <c r="H145" s="227">
        <v>1</v>
      </c>
      <c r="I145" s="227">
        <v>4</v>
      </c>
      <c r="J145" s="227">
        <v>0</v>
      </c>
      <c r="K145" s="226" t="s">
        <v>5514</v>
      </c>
      <c r="L145" s="227">
        <v>2011</v>
      </c>
      <c r="M145" s="227" t="s">
        <v>5515</v>
      </c>
      <c r="N145" s="228" t="s">
        <v>5516</v>
      </c>
    </row>
    <row r="146" spans="1:14" x14ac:dyDescent="0.2">
      <c r="A146" s="236">
        <v>144</v>
      </c>
      <c r="B146" s="229" t="s">
        <v>5568</v>
      </c>
      <c r="C146" s="230" t="s">
        <v>5564</v>
      </c>
      <c r="D146" s="230">
        <v>8.8000000000000007</v>
      </c>
      <c r="E146" s="336">
        <v>8.69</v>
      </c>
      <c r="F146" s="230">
        <v>8.5</v>
      </c>
      <c r="G146" s="230">
        <v>0.73</v>
      </c>
      <c r="H146" s="230">
        <v>3</v>
      </c>
      <c r="I146" s="230">
        <v>16</v>
      </c>
      <c r="J146" s="230">
        <v>1</v>
      </c>
      <c r="K146" s="229" t="s">
        <v>5581</v>
      </c>
      <c r="L146" s="230">
        <v>1998</v>
      </c>
      <c r="M146" s="230" t="s">
        <v>1769</v>
      </c>
      <c r="N146" s="231" t="s">
        <v>5582</v>
      </c>
    </row>
    <row r="147" spans="1:14" x14ac:dyDescent="0.2">
      <c r="A147" s="236">
        <v>145</v>
      </c>
      <c r="B147" s="226" t="s">
        <v>1348</v>
      </c>
      <c r="C147" s="227" t="s">
        <v>1353</v>
      </c>
      <c r="D147" s="227">
        <v>8.8000000000000007</v>
      </c>
      <c r="E147" s="279">
        <v>8.68</v>
      </c>
      <c r="F147" s="227">
        <v>8.5</v>
      </c>
      <c r="G147" s="227">
        <v>0.7</v>
      </c>
      <c r="H147" s="227">
        <v>2</v>
      </c>
      <c r="I147" s="227">
        <v>15</v>
      </c>
      <c r="J147" s="227">
        <v>0</v>
      </c>
      <c r="K147" s="226" t="s">
        <v>1350</v>
      </c>
      <c r="L147" s="227">
        <v>2012</v>
      </c>
      <c r="M147" s="227" t="s">
        <v>1779</v>
      </c>
      <c r="N147" s="228" t="s">
        <v>1979</v>
      </c>
    </row>
    <row r="148" spans="1:14" x14ac:dyDescent="0.2">
      <c r="A148" s="236">
        <v>146</v>
      </c>
      <c r="B148" s="229" t="s">
        <v>1410</v>
      </c>
      <c r="C148" s="230" t="s">
        <v>3173</v>
      </c>
      <c r="D148" s="230">
        <v>8.64</v>
      </c>
      <c r="E148" s="279">
        <v>8.68</v>
      </c>
      <c r="F148" s="230">
        <v>8.5</v>
      </c>
      <c r="G148" s="230">
        <v>0.88</v>
      </c>
      <c r="H148" s="230">
        <v>2</v>
      </c>
      <c r="I148" s="230">
        <v>12</v>
      </c>
      <c r="J148" s="230">
        <v>1</v>
      </c>
      <c r="K148" s="229" t="s">
        <v>735</v>
      </c>
      <c r="L148" s="230">
        <v>2008</v>
      </c>
      <c r="M148" s="230" t="s">
        <v>1768</v>
      </c>
      <c r="N148" s="231" t="s">
        <v>3250</v>
      </c>
    </row>
    <row r="149" spans="1:14" x14ac:dyDescent="0.2">
      <c r="A149" s="236">
        <v>147</v>
      </c>
      <c r="B149" s="226" t="s">
        <v>4518</v>
      </c>
      <c r="C149" s="227" t="s">
        <v>4519</v>
      </c>
      <c r="D149" s="227">
        <v>8.8000000000000007</v>
      </c>
      <c r="E149" s="279">
        <v>8.68</v>
      </c>
      <c r="F149" s="227">
        <v>8.5</v>
      </c>
      <c r="G149" s="227">
        <v>0.64</v>
      </c>
      <c r="H149" s="227">
        <v>1</v>
      </c>
      <c r="I149" s="227">
        <v>11</v>
      </c>
      <c r="J149" s="227">
        <v>1</v>
      </c>
      <c r="K149" s="226" t="s">
        <v>4531</v>
      </c>
      <c r="L149" s="227">
        <v>2005</v>
      </c>
      <c r="M149" s="227" t="s">
        <v>1776</v>
      </c>
      <c r="N149" s="228" t="s">
        <v>4532</v>
      </c>
    </row>
    <row r="150" spans="1:14" x14ac:dyDescent="0.2">
      <c r="A150" s="236">
        <v>148</v>
      </c>
      <c r="B150" s="229" t="s">
        <v>1368</v>
      </c>
      <c r="C150" s="230" t="s">
        <v>2417</v>
      </c>
      <c r="D150" s="230">
        <v>8.6300000000000008</v>
      </c>
      <c r="E150" s="280">
        <v>8.67</v>
      </c>
      <c r="F150" s="230">
        <v>8.5</v>
      </c>
      <c r="G150" s="230">
        <v>0.89</v>
      </c>
      <c r="H150" s="230">
        <v>2</v>
      </c>
      <c r="I150" s="230">
        <v>12</v>
      </c>
      <c r="J150" s="230">
        <v>0</v>
      </c>
      <c r="K150" s="229" t="s">
        <v>1716</v>
      </c>
      <c r="L150" s="230">
        <v>1995</v>
      </c>
      <c r="M150" s="230" t="s">
        <v>1798</v>
      </c>
      <c r="N150" s="231" t="s">
        <v>2425</v>
      </c>
    </row>
    <row r="151" spans="1:14" x14ac:dyDescent="0.2">
      <c r="A151" s="236">
        <v>149</v>
      </c>
      <c r="B151" s="226" t="s">
        <v>2508</v>
      </c>
      <c r="C151" s="227" t="s">
        <v>2509</v>
      </c>
      <c r="D151" s="227">
        <v>8.75</v>
      </c>
      <c r="E151" s="280">
        <v>8.67</v>
      </c>
      <c r="F151" s="227">
        <v>8.75</v>
      </c>
      <c r="G151" s="227">
        <v>0.75</v>
      </c>
      <c r="H151" s="227">
        <v>1</v>
      </c>
      <c r="I151" s="227">
        <v>11</v>
      </c>
      <c r="J151" s="227">
        <v>1</v>
      </c>
      <c r="K151" s="226" t="s">
        <v>2541</v>
      </c>
      <c r="L151" s="227">
        <v>1991</v>
      </c>
      <c r="M151" s="227" t="s">
        <v>1784</v>
      </c>
      <c r="N151" s="228" t="s">
        <v>2512</v>
      </c>
    </row>
    <row r="152" spans="1:14" x14ac:dyDescent="0.2">
      <c r="A152" s="236">
        <v>150</v>
      </c>
      <c r="B152" s="229" t="s">
        <v>2556</v>
      </c>
      <c r="C152" s="230" t="s">
        <v>3093</v>
      </c>
      <c r="D152" s="230">
        <v>8.7899999999999991</v>
      </c>
      <c r="E152" s="280">
        <v>8.67</v>
      </c>
      <c r="F152" s="230">
        <v>8.5</v>
      </c>
      <c r="G152" s="230">
        <v>0.7</v>
      </c>
      <c r="H152" s="230">
        <v>1</v>
      </c>
      <c r="I152" s="230">
        <v>7</v>
      </c>
      <c r="J152" s="230">
        <v>0</v>
      </c>
      <c r="K152" s="229" t="s">
        <v>988</v>
      </c>
      <c r="L152" s="230">
        <v>2016</v>
      </c>
      <c r="M152" s="230" t="s">
        <v>1772</v>
      </c>
      <c r="N152" s="231" t="s">
        <v>3094</v>
      </c>
    </row>
    <row r="153" spans="1:14" x14ac:dyDescent="0.2">
      <c r="A153" s="236">
        <v>151</v>
      </c>
      <c r="B153" s="226" t="s">
        <v>3585</v>
      </c>
      <c r="C153" s="227" t="s">
        <v>3586</v>
      </c>
      <c r="D153" s="227">
        <v>8.7899999999999991</v>
      </c>
      <c r="E153" s="280">
        <v>8.67</v>
      </c>
      <c r="F153" s="227">
        <v>8.5</v>
      </c>
      <c r="G153" s="227">
        <v>0.7</v>
      </c>
      <c r="H153" s="227">
        <v>1</v>
      </c>
      <c r="I153" s="227">
        <v>7</v>
      </c>
      <c r="J153" s="227">
        <v>0</v>
      </c>
      <c r="K153" s="226" t="s">
        <v>3587</v>
      </c>
      <c r="L153" s="227">
        <v>1981</v>
      </c>
      <c r="M153" s="227" t="s">
        <v>1780</v>
      </c>
      <c r="N153" s="228" t="s">
        <v>3547</v>
      </c>
    </row>
    <row r="154" spans="1:14" x14ac:dyDescent="0.2">
      <c r="A154" s="236">
        <v>152</v>
      </c>
      <c r="B154" s="229" t="s">
        <v>309</v>
      </c>
      <c r="C154" s="230" t="s">
        <v>218</v>
      </c>
      <c r="D154" s="230">
        <v>8.77</v>
      </c>
      <c r="E154" s="281">
        <v>8.66</v>
      </c>
      <c r="F154" s="230">
        <v>8.5</v>
      </c>
      <c r="G154" s="230">
        <v>0.86</v>
      </c>
      <c r="H154" s="230">
        <v>3</v>
      </c>
      <c r="I154" s="230">
        <v>11</v>
      </c>
      <c r="J154" s="230">
        <v>0</v>
      </c>
      <c r="K154" s="229" t="s">
        <v>723</v>
      </c>
      <c r="L154" s="230">
        <v>1998</v>
      </c>
      <c r="M154" s="230" t="s">
        <v>1798</v>
      </c>
      <c r="N154" s="231" t="s">
        <v>2022</v>
      </c>
    </row>
    <row r="155" spans="1:14" x14ac:dyDescent="0.2">
      <c r="A155" s="236">
        <v>153</v>
      </c>
      <c r="B155" s="226" t="s">
        <v>1368</v>
      </c>
      <c r="C155" s="227" t="s">
        <v>3356</v>
      </c>
      <c r="D155" s="227">
        <v>8.6</v>
      </c>
      <c r="E155" s="281">
        <v>8.66</v>
      </c>
      <c r="F155" s="227">
        <v>8.5</v>
      </c>
      <c r="G155" s="227">
        <v>0.89</v>
      </c>
      <c r="H155" s="227">
        <v>4</v>
      </c>
      <c r="I155" s="227">
        <v>24</v>
      </c>
      <c r="J155" s="227">
        <v>0</v>
      </c>
      <c r="K155" s="226" t="s">
        <v>3371</v>
      </c>
      <c r="L155" s="227">
        <v>1994</v>
      </c>
      <c r="M155" s="227" t="s">
        <v>3372</v>
      </c>
      <c r="N155" s="228" t="s">
        <v>3373</v>
      </c>
    </row>
    <row r="156" spans="1:14" x14ac:dyDescent="0.2">
      <c r="A156" s="236">
        <v>154</v>
      </c>
      <c r="B156" s="229" t="s">
        <v>4363</v>
      </c>
      <c r="C156" s="230" t="s">
        <v>4364</v>
      </c>
      <c r="D156" s="230">
        <v>8.75</v>
      </c>
      <c r="E156" s="281">
        <v>8.66</v>
      </c>
      <c r="F156" s="230">
        <v>8.75</v>
      </c>
      <c r="G156" s="230">
        <v>0.75</v>
      </c>
      <c r="H156" s="230">
        <v>0</v>
      </c>
      <c r="I156" s="230">
        <v>2</v>
      </c>
      <c r="J156" s="230">
        <v>0</v>
      </c>
      <c r="K156" s="229" t="s">
        <v>987</v>
      </c>
      <c r="L156" s="230">
        <v>1972</v>
      </c>
      <c r="M156" s="230" t="s">
        <v>1803</v>
      </c>
      <c r="N156" s="231" t="s">
        <v>4345</v>
      </c>
    </row>
    <row r="157" spans="1:14" x14ac:dyDescent="0.2">
      <c r="A157" s="236">
        <v>155</v>
      </c>
      <c r="B157" s="226" t="s">
        <v>310</v>
      </c>
      <c r="C157" s="227" t="s">
        <v>159</v>
      </c>
      <c r="D157" s="227">
        <v>8.7100000000000009</v>
      </c>
      <c r="E157" s="282">
        <v>8.65</v>
      </c>
      <c r="F157" s="227">
        <v>8.75</v>
      </c>
      <c r="G157" s="227">
        <v>0.78</v>
      </c>
      <c r="H157" s="227">
        <v>2</v>
      </c>
      <c r="I157" s="227">
        <v>12</v>
      </c>
      <c r="J157" s="227">
        <v>0</v>
      </c>
      <c r="K157" s="226" t="s">
        <v>2571</v>
      </c>
      <c r="L157" s="227">
        <v>1977</v>
      </c>
      <c r="M157" s="227" t="s">
        <v>1796</v>
      </c>
      <c r="N157" s="228" t="s">
        <v>1955</v>
      </c>
    </row>
    <row r="158" spans="1:14" x14ac:dyDescent="0.2">
      <c r="A158" s="236">
        <v>156</v>
      </c>
      <c r="B158" s="229" t="s">
        <v>1227</v>
      </c>
      <c r="C158" s="230" t="s">
        <v>1228</v>
      </c>
      <c r="D158" s="230">
        <v>8.77</v>
      </c>
      <c r="E158" s="282">
        <v>8.65</v>
      </c>
      <c r="F158" s="230">
        <v>8.5</v>
      </c>
      <c r="G158" s="230">
        <v>0.75</v>
      </c>
      <c r="H158" s="230">
        <v>2</v>
      </c>
      <c r="I158" s="230">
        <v>14</v>
      </c>
      <c r="J158" s="230">
        <v>1</v>
      </c>
      <c r="K158" s="229" t="s">
        <v>1231</v>
      </c>
      <c r="L158" s="230">
        <v>2002</v>
      </c>
      <c r="M158" s="230" t="s">
        <v>1781</v>
      </c>
      <c r="N158" s="231" t="s">
        <v>1985</v>
      </c>
    </row>
    <row r="159" spans="1:14" x14ac:dyDescent="0.2">
      <c r="A159" s="236">
        <v>157</v>
      </c>
      <c r="B159" s="226" t="s">
        <v>301</v>
      </c>
      <c r="C159" s="227" t="s">
        <v>301</v>
      </c>
      <c r="D159" s="227">
        <v>8.4600000000000009</v>
      </c>
      <c r="E159" s="282">
        <v>8.65</v>
      </c>
      <c r="F159" s="227">
        <v>8.5</v>
      </c>
      <c r="G159" s="227">
        <v>1.33</v>
      </c>
      <c r="H159" s="227">
        <v>3</v>
      </c>
      <c r="I159" s="227">
        <v>12</v>
      </c>
      <c r="J159" s="227">
        <v>0</v>
      </c>
      <c r="K159" s="226" t="s">
        <v>1247</v>
      </c>
      <c r="L159" s="227">
        <v>2021</v>
      </c>
      <c r="M159" s="227" t="s">
        <v>1800</v>
      </c>
      <c r="N159" s="228" t="s">
        <v>1984</v>
      </c>
    </row>
    <row r="160" spans="1:14" x14ac:dyDescent="0.2">
      <c r="A160" s="236">
        <v>158</v>
      </c>
      <c r="B160" s="229" t="s">
        <v>1530</v>
      </c>
      <c r="C160" s="230" t="s">
        <v>1526</v>
      </c>
      <c r="D160" s="230">
        <v>8.75</v>
      </c>
      <c r="E160" s="282">
        <v>8.65</v>
      </c>
      <c r="F160" s="230">
        <v>8.5</v>
      </c>
      <c r="G160" s="230">
        <v>0.56000000000000005</v>
      </c>
      <c r="H160" s="230">
        <v>1</v>
      </c>
      <c r="I160" s="230">
        <v>9</v>
      </c>
      <c r="J160" s="230">
        <v>1</v>
      </c>
      <c r="K160" s="229" t="s">
        <v>1531</v>
      </c>
      <c r="L160" s="230">
        <v>2000</v>
      </c>
      <c r="M160" s="230" t="s">
        <v>1768</v>
      </c>
      <c r="N160" s="231" t="s">
        <v>1972</v>
      </c>
    </row>
    <row r="161" spans="1:14" x14ac:dyDescent="0.2">
      <c r="A161" s="236">
        <v>159</v>
      </c>
      <c r="B161" s="226" t="s">
        <v>2699</v>
      </c>
      <c r="C161" s="227" t="s">
        <v>2973</v>
      </c>
      <c r="D161" s="227">
        <v>8.75</v>
      </c>
      <c r="E161" s="282">
        <v>8.65</v>
      </c>
      <c r="F161" s="227">
        <v>8.5</v>
      </c>
      <c r="G161" s="227">
        <v>0.61</v>
      </c>
      <c r="H161" s="227">
        <v>2</v>
      </c>
      <c r="I161" s="227">
        <v>18</v>
      </c>
      <c r="J161" s="227">
        <v>2</v>
      </c>
      <c r="K161" s="226" t="s">
        <v>2705</v>
      </c>
      <c r="L161" s="227">
        <v>2026</v>
      </c>
      <c r="M161" s="227" t="s">
        <v>2974</v>
      </c>
      <c r="N161" s="228" t="s">
        <v>2975</v>
      </c>
    </row>
    <row r="162" spans="1:14" x14ac:dyDescent="0.2">
      <c r="A162" s="236">
        <v>160</v>
      </c>
      <c r="B162" s="229" t="s">
        <v>2034</v>
      </c>
      <c r="C162" s="230" t="s">
        <v>2035</v>
      </c>
      <c r="D162" s="230">
        <v>8.75</v>
      </c>
      <c r="E162" s="283">
        <v>8.64</v>
      </c>
      <c r="F162" s="230">
        <v>8.5</v>
      </c>
      <c r="G162" s="230">
        <v>0.66</v>
      </c>
      <c r="H162" s="230">
        <v>1</v>
      </c>
      <c r="I162" s="230">
        <v>8</v>
      </c>
      <c r="J162" s="230">
        <v>0</v>
      </c>
      <c r="K162" s="229" t="s">
        <v>2036</v>
      </c>
      <c r="L162" s="230">
        <v>1996</v>
      </c>
      <c r="M162" s="230" t="s">
        <v>1780</v>
      </c>
      <c r="N162" s="231" t="s">
        <v>1955</v>
      </c>
    </row>
    <row r="163" spans="1:14" x14ac:dyDescent="0.2">
      <c r="A163" s="236">
        <v>161</v>
      </c>
      <c r="B163" s="226" t="s">
        <v>5624</v>
      </c>
      <c r="C163" s="227" t="s">
        <v>5625</v>
      </c>
      <c r="D163" s="227">
        <v>8.75</v>
      </c>
      <c r="E163" s="283">
        <v>8.64</v>
      </c>
      <c r="F163" s="227">
        <v>8.5</v>
      </c>
      <c r="G163" s="227">
        <v>0.6</v>
      </c>
      <c r="H163" s="227">
        <v>1</v>
      </c>
      <c r="I163" s="227">
        <v>10</v>
      </c>
      <c r="J163" s="227">
        <v>0</v>
      </c>
      <c r="K163" s="226" t="s">
        <v>5631</v>
      </c>
      <c r="L163" s="227">
        <v>1976</v>
      </c>
      <c r="M163" s="227" t="s">
        <v>2426</v>
      </c>
      <c r="N163" s="228" t="s">
        <v>5632</v>
      </c>
    </row>
    <row r="164" spans="1:14" x14ac:dyDescent="0.2">
      <c r="A164" s="236">
        <v>162</v>
      </c>
      <c r="B164" s="229" t="s">
        <v>1134</v>
      </c>
      <c r="C164" s="230" t="s">
        <v>1129</v>
      </c>
      <c r="D164" s="230">
        <v>8.75</v>
      </c>
      <c r="E164" s="284">
        <v>8.6300000000000008</v>
      </c>
      <c r="F164" s="230">
        <v>8.5</v>
      </c>
      <c r="G164" s="230">
        <v>0.8</v>
      </c>
      <c r="H164" s="230">
        <v>1</v>
      </c>
      <c r="I164" s="230">
        <v>7</v>
      </c>
      <c r="J164" s="230">
        <v>1</v>
      </c>
      <c r="K164" s="229" t="s">
        <v>1135</v>
      </c>
      <c r="L164" s="230">
        <v>2013</v>
      </c>
      <c r="M164" s="230" t="s">
        <v>1782</v>
      </c>
      <c r="N164" s="231" t="s">
        <v>1988</v>
      </c>
    </row>
    <row r="165" spans="1:14" x14ac:dyDescent="0.2">
      <c r="A165" s="236">
        <v>163</v>
      </c>
      <c r="B165" s="226" t="s">
        <v>1491</v>
      </c>
      <c r="C165" s="227" t="s">
        <v>1484</v>
      </c>
      <c r="D165" s="227">
        <v>8.75</v>
      </c>
      <c r="E165" s="284">
        <v>8.6300000000000008</v>
      </c>
      <c r="F165" s="227">
        <v>8.5</v>
      </c>
      <c r="G165" s="227">
        <v>0.87</v>
      </c>
      <c r="H165" s="227">
        <v>2</v>
      </c>
      <c r="I165" s="227">
        <v>10</v>
      </c>
      <c r="J165" s="227">
        <v>0</v>
      </c>
      <c r="K165" s="226" t="s">
        <v>1493</v>
      </c>
      <c r="L165" s="227">
        <v>1979</v>
      </c>
      <c r="M165" s="227" t="s">
        <v>1785</v>
      </c>
      <c r="N165" s="228" t="s">
        <v>1974</v>
      </c>
    </row>
    <row r="166" spans="1:14" x14ac:dyDescent="0.2">
      <c r="A166" s="236">
        <v>164</v>
      </c>
      <c r="B166" s="229" t="s">
        <v>1048</v>
      </c>
      <c r="C166" s="230" t="s">
        <v>1586</v>
      </c>
      <c r="D166" s="230">
        <v>8.57</v>
      </c>
      <c r="E166" s="284">
        <v>8.6300000000000008</v>
      </c>
      <c r="F166" s="230">
        <v>8.5</v>
      </c>
      <c r="G166" s="230">
        <v>0.78</v>
      </c>
      <c r="H166" s="230">
        <v>3</v>
      </c>
      <c r="I166" s="230">
        <v>28</v>
      </c>
      <c r="J166" s="230">
        <v>1</v>
      </c>
      <c r="K166" s="229" t="s">
        <v>1613</v>
      </c>
      <c r="L166" s="230">
        <v>1995</v>
      </c>
      <c r="M166" s="230" t="s">
        <v>1795</v>
      </c>
      <c r="N166" s="231" t="s">
        <v>1967</v>
      </c>
    </row>
    <row r="167" spans="1:14" x14ac:dyDescent="0.2">
      <c r="A167" s="236">
        <v>165</v>
      </c>
      <c r="B167" s="226" t="s">
        <v>2053</v>
      </c>
      <c r="C167" s="227" t="s">
        <v>2054</v>
      </c>
      <c r="D167" s="227">
        <v>8.73</v>
      </c>
      <c r="E167" s="284">
        <v>8.6300000000000008</v>
      </c>
      <c r="F167" s="227">
        <v>8.5</v>
      </c>
      <c r="G167" s="227">
        <v>0.67</v>
      </c>
      <c r="H167" s="227">
        <v>2</v>
      </c>
      <c r="I167" s="227">
        <v>15</v>
      </c>
      <c r="J167" s="227">
        <v>2</v>
      </c>
      <c r="K167" s="226" t="s">
        <v>4491</v>
      </c>
      <c r="L167" s="227">
        <v>2024</v>
      </c>
      <c r="M167" s="227" t="s">
        <v>1770</v>
      </c>
      <c r="N167" s="228" t="s">
        <v>2055</v>
      </c>
    </row>
    <row r="168" spans="1:14" x14ac:dyDescent="0.2">
      <c r="A168" s="236">
        <v>166</v>
      </c>
      <c r="B168" s="229" t="s">
        <v>1054</v>
      </c>
      <c r="C168" s="230" t="s">
        <v>3519</v>
      </c>
      <c r="D168" s="230">
        <v>8.7200000000000006</v>
      </c>
      <c r="E168" s="284">
        <v>8.6300000000000008</v>
      </c>
      <c r="F168" s="230">
        <v>8.5</v>
      </c>
      <c r="G168" s="230">
        <v>0.57999999999999996</v>
      </c>
      <c r="H168" s="230">
        <v>1</v>
      </c>
      <c r="I168" s="230">
        <v>9</v>
      </c>
      <c r="J168" s="230">
        <v>0</v>
      </c>
      <c r="K168" s="229" t="s">
        <v>2036</v>
      </c>
      <c r="L168" s="230">
        <v>1995</v>
      </c>
      <c r="M168" s="230" t="s">
        <v>1811</v>
      </c>
      <c r="N168" s="231" t="s">
        <v>3529</v>
      </c>
    </row>
    <row r="169" spans="1:14" x14ac:dyDescent="0.2">
      <c r="A169" s="236">
        <v>167</v>
      </c>
      <c r="B169" s="226" t="s">
        <v>560</v>
      </c>
      <c r="C169" s="227" t="s">
        <v>561</v>
      </c>
      <c r="D169" s="227">
        <v>8.73</v>
      </c>
      <c r="E169" s="285">
        <v>8.6199999999999992</v>
      </c>
      <c r="F169" s="227">
        <v>8.5</v>
      </c>
      <c r="G169" s="227">
        <v>0.89</v>
      </c>
      <c r="H169" s="227">
        <v>3</v>
      </c>
      <c r="I169" s="227">
        <v>13</v>
      </c>
      <c r="J169" s="227">
        <v>2</v>
      </c>
      <c r="K169" s="226" t="s">
        <v>778</v>
      </c>
      <c r="L169" s="227">
        <v>2015</v>
      </c>
      <c r="M169" s="227" t="s">
        <v>1778</v>
      </c>
      <c r="N169" s="228" t="s">
        <v>2011</v>
      </c>
    </row>
    <row r="170" spans="1:14" x14ac:dyDescent="0.2">
      <c r="A170" s="236">
        <v>168</v>
      </c>
      <c r="B170" s="229" t="s">
        <v>774</v>
      </c>
      <c r="C170" s="230" t="s">
        <v>2639</v>
      </c>
      <c r="D170" s="230">
        <v>8.73</v>
      </c>
      <c r="E170" s="285">
        <v>8.6199999999999992</v>
      </c>
      <c r="F170" s="230">
        <v>8.5</v>
      </c>
      <c r="G170" s="230">
        <v>0.56999999999999995</v>
      </c>
      <c r="H170" s="230">
        <v>1</v>
      </c>
      <c r="I170" s="230">
        <v>21</v>
      </c>
      <c r="J170" s="230">
        <v>6</v>
      </c>
      <c r="K170" s="229" t="s">
        <v>2640</v>
      </c>
      <c r="L170" s="230">
        <v>2004</v>
      </c>
      <c r="M170" s="230" t="s">
        <v>1765</v>
      </c>
      <c r="N170" s="231" t="s">
        <v>2600</v>
      </c>
    </row>
    <row r="171" spans="1:14" x14ac:dyDescent="0.2">
      <c r="A171" s="236">
        <v>169</v>
      </c>
      <c r="B171" s="226" t="s">
        <v>1849</v>
      </c>
      <c r="C171" s="227" t="s">
        <v>1850</v>
      </c>
      <c r="D171" s="227">
        <v>8.67</v>
      </c>
      <c r="E171" s="286">
        <v>8.61</v>
      </c>
      <c r="F171" s="227">
        <v>8.75</v>
      </c>
      <c r="G171" s="227">
        <v>0.62</v>
      </c>
      <c r="H171" s="227">
        <v>0</v>
      </c>
      <c r="I171" s="227">
        <v>6</v>
      </c>
      <c r="J171" s="227">
        <v>0</v>
      </c>
      <c r="K171" s="226" t="s">
        <v>987</v>
      </c>
      <c r="L171" s="227">
        <v>2013</v>
      </c>
      <c r="M171" s="227" t="s">
        <v>1774</v>
      </c>
      <c r="N171" s="228" t="s">
        <v>1959</v>
      </c>
    </row>
    <row r="172" spans="1:14" x14ac:dyDescent="0.2">
      <c r="A172" s="236">
        <v>170</v>
      </c>
      <c r="B172" s="229" t="s">
        <v>301</v>
      </c>
      <c r="C172" s="230" t="s">
        <v>2123</v>
      </c>
      <c r="D172" s="230">
        <v>8.6999999999999993</v>
      </c>
      <c r="E172" s="286">
        <v>8.61</v>
      </c>
      <c r="F172" s="230">
        <v>8.5</v>
      </c>
      <c r="G172" s="230">
        <v>0.75</v>
      </c>
      <c r="H172" s="230">
        <v>2</v>
      </c>
      <c r="I172" s="230">
        <v>10</v>
      </c>
      <c r="J172" s="230">
        <v>0</v>
      </c>
      <c r="K172" s="229" t="s">
        <v>734</v>
      </c>
      <c r="L172" s="230">
        <v>1983</v>
      </c>
      <c r="M172" s="230" t="s">
        <v>1778</v>
      </c>
      <c r="N172" s="231" t="s">
        <v>2111</v>
      </c>
    </row>
    <row r="173" spans="1:14" x14ac:dyDescent="0.2">
      <c r="A173" s="236">
        <v>171</v>
      </c>
      <c r="B173" s="226" t="s">
        <v>3007</v>
      </c>
      <c r="C173" s="227" t="s">
        <v>3008</v>
      </c>
      <c r="D173" s="227">
        <v>8.6999999999999993</v>
      </c>
      <c r="E173" s="286">
        <v>8.61</v>
      </c>
      <c r="F173" s="227">
        <v>8.5</v>
      </c>
      <c r="G173" s="227">
        <v>0.56000000000000005</v>
      </c>
      <c r="H173" s="227">
        <v>1</v>
      </c>
      <c r="I173" s="227">
        <v>10</v>
      </c>
      <c r="J173" s="227">
        <v>0</v>
      </c>
      <c r="K173" s="226" t="s">
        <v>3009</v>
      </c>
      <c r="L173" s="227">
        <v>1997</v>
      </c>
      <c r="M173" s="227" t="s">
        <v>1799</v>
      </c>
      <c r="N173" s="228" t="s">
        <v>3010</v>
      </c>
    </row>
    <row r="174" spans="1:14" x14ac:dyDescent="0.2">
      <c r="A174" s="236">
        <v>172</v>
      </c>
      <c r="B174" s="229" t="s">
        <v>888</v>
      </c>
      <c r="C174" s="230" t="s">
        <v>869</v>
      </c>
      <c r="D174" s="230">
        <v>8.5500000000000007</v>
      </c>
      <c r="E174" s="287">
        <v>8.6</v>
      </c>
      <c r="F174" s="230">
        <v>8.5</v>
      </c>
      <c r="G174" s="230">
        <v>0.96</v>
      </c>
      <c r="H174" s="230">
        <v>3</v>
      </c>
      <c r="I174" s="230">
        <v>19</v>
      </c>
      <c r="J174" s="230">
        <v>0</v>
      </c>
      <c r="K174" s="229" t="s">
        <v>889</v>
      </c>
      <c r="L174" s="230">
        <v>1979</v>
      </c>
      <c r="M174" s="230" t="s">
        <v>1781</v>
      </c>
      <c r="N174" s="231" t="s">
        <v>1996</v>
      </c>
    </row>
    <row r="175" spans="1:14" x14ac:dyDescent="0.2">
      <c r="A175" s="236">
        <v>173</v>
      </c>
      <c r="B175" s="226" t="s">
        <v>2858</v>
      </c>
      <c r="C175" s="227">
        <v>4</v>
      </c>
      <c r="D175" s="227">
        <v>8.6</v>
      </c>
      <c r="E175" s="287">
        <v>8.6</v>
      </c>
      <c r="F175" s="227">
        <v>8.25</v>
      </c>
      <c r="G175" s="227">
        <v>0.97</v>
      </c>
      <c r="H175" s="227">
        <v>2</v>
      </c>
      <c r="I175" s="227">
        <v>10</v>
      </c>
      <c r="J175" s="227">
        <v>0</v>
      </c>
      <c r="K175" s="226" t="s">
        <v>2859</v>
      </c>
      <c r="L175" s="227">
        <v>1981</v>
      </c>
      <c r="M175" s="227" t="s">
        <v>1772</v>
      </c>
      <c r="N175" s="228" t="s">
        <v>2860</v>
      </c>
    </row>
    <row r="176" spans="1:14" x14ac:dyDescent="0.2">
      <c r="A176" s="236">
        <v>174</v>
      </c>
      <c r="B176" s="229" t="s">
        <v>4150</v>
      </c>
      <c r="C176" s="230" t="s">
        <v>4314</v>
      </c>
      <c r="D176" s="230">
        <v>8.69</v>
      </c>
      <c r="E176" s="287">
        <v>8.6</v>
      </c>
      <c r="F176" s="230">
        <v>8.5</v>
      </c>
      <c r="G176" s="230">
        <v>0.61</v>
      </c>
      <c r="H176" s="230">
        <v>1</v>
      </c>
      <c r="I176" s="230">
        <v>9</v>
      </c>
      <c r="J176" s="230">
        <v>1</v>
      </c>
      <c r="K176" s="229" t="s">
        <v>4158</v>
      </c>
      <c r="L176" s="230">
        <v>2002</v>
      </c>
      <c r="M176" s="230" t="s">
        <v>1798</v>
      </c>
      <c r="N176" s="231" t="s">
        <v>4315</v>
      </c>
    </row>
    <row r="177" spans="1:14" x14ac:dyDescent="0.2">
      <c r="A177" s="236">
        <v>175</v>
      </c>
      <c r="B177" s="226" t="s">
        <v>3116</v>
      </c>
      <c r="C177" s="227" t="s">
        <v>3117</v>
      </c>
      <c r="D177" s="227">
        <v>8.57</v>
      </c>
      <c r="E177" s="337">
        <v>8.59</v>
      </c>
      <c r="F177" s="227">
        <v>9</v>
      </c>
      <c r="G177" s="227">
        <v>0.56000000000000005</v>
      </c>
      <c r="H177" s="227">
        <v>0</v>
      </c>
      <c r="I177" s="227">
        <v>7</v>
      </c>
      <c r="J177" s="227">
        <v>0</v>
      </c>
      <c r="K177" s="226" t="s">
        <v>3118</v>
      </c>
      <c r="L177" s="227">
        <v>2009</v>
      </c>
      <c r="M177" s="227" t="s">
        <v>1811</v>
      </c>
      <c r="N177" s="228" t="s">
        <v>3119</v>
      </c>
    </row>
    <row r="178" spans="1:14" x14ac:dyDescent="0.2">
      <c r="A178" s="236">
        <v>176</v>
      </c>
      <c r="B178" s="229" t="s">
        <v>2901</v>
      </c>
      <c r="C178" s="230" t="s">
        <v>2901</v>
      </c>
      <c r="D178" s="230">
        <v>8.68</v>
      </c>
      <c r="E178" s="337">
        <v>8.59</v>
      </c>
      <c r="F178" s="230">
        <v>8.5</v>
      </c>
      <c r="G178" s="230">
        <v>0.56999999999999995</v>
      </c>
      <c r="H178" s="230">
        <v>1</v>
      </c>
      <c r="I178" s="230">
        <v>11</v>
      </c>
      <c r="J178" s="230">
        <v>0</v>
      </c>
      <c r="K178" s="229" t="s">
        <v>2903</v>
      </c>
      <c r="L178" s="230">
        <v>1984</v>
      </c>
      <c r="M178" s="230" t="s">
        <v>1790</v>
      </c>
      <c r="N178" s="231" t="s">
        <v>4658</v>
      </c>
    </row>
    <row r="179" spans="1:14" x14ac:dyDescent="0.2">
      <c r="A179" s="236">
        <v>177</v>
      </c>
      <c r="B179" s="226" t="s">
        <v>687</v>
      </c>
      <c r="C179" s="227" t="s">
        <v>688</v>
      </c>
      <c r="D179" s="227">
        <v>8.67</v>
      </c>
      <c r="E179" s="288">
        <v>8.58</v>
      </c>
      <c r="F179" s="227">
        <v>8.5</v>
      </c>
      <c r="G179" s="227">
        <v>0.62</v>
      </c>
      <c r="H179" s="227">
        <v>1</v>
      </c>
      <c r="I179" s="227">
        <v>9</v>
      </c>
      <c r="J179" s="227">
        <v>0</v>
      </c>
      <c r="K179" s="226" t="s">
        <v>737</v>
      </c>
      <c r="L179" s="227">
        <v>1992</v>
      </c>
      <c r="M179" s="227" t="s">
        <v>1790</v>
      </c>
      <c r="N179" s="228" t="s">
        <v>2004</v>
      </c>
    </row>
    <row r="180" spans="1:14" x14ac:dyDescent="0.2">
      <c r="A180" s="236">
        <v>178</v>
      </c>
      <c r="B180" s="229" t="s">
        <v>728</v>
      </c>
      <c r="C180" s="230" t="s">
        <v>729</v>
      </c>
      <c r="D180" s="230">
        <v>8.67</v>
      </c>
      <c r="E180" s="289">
        <v>8.57</v>
      </c>
      <c r="F180" s="230">
        <v>8.5</v>
      </c>
      <c r="G180" s="230">
        <v>0.75</v>
      </c>
      <c r="H180" s="230">
        <v>1</v>
      </c>
      <c r="I180" s="230">
        <v>6</v>
      </c>
      <c r="J180" s="230">
        <v>0</v>
      </c>
      <c r="K180" s="229" t="s">
        <v>730</v>
      </c>
      <c r="L180" s="230">
        <v>2024</v>
      </c>
      <c r="M180" s="230" t="s">
        <v>1803</v>
      </c>
      <c r="N180" s="231" t="s">
        <v>2002</v>
      </c>
    </row>
    <row r="181" spans="1:14" x14ac:dyDescent="0.2">
      <c r="A181" s="236">
        <v>179</v>
      </c>
      <c r="B181" s="226" t="s">
        <v>2179</v>
      </c>
      <c r="C181" s="227" t="s">
        <v>2178</v>
      </c>
      <c r="D181" s="227">
        <v>8.67</v>
      </c>
      <c r="E181" s="289">
        <v>8.57</v>
      </c>
      <c r="F181" s="227">
        <v>8.5</v>
      </c>
      <c r="G181" s="227">
        <v>0.82</v>
      </c>
      <c r="H181" s="227">
        <v>2</v>
      </c>
      <c r="I181" s="227">
        <v>10</v>
      </c>
      <c r="J181" s="227">
        <v>1</v>
      </c>
      <c r="K181" s="226" t="s">
        <v>2180</v>
      </c>
      <c r="L181" s="227">
        <v>2015</v>
      </c>
      <c r="M181" s="227" t="s">
        <v>1799</v>
      </c>
      <c r="N181" s="228" t="s">
        <v>2181</v>
      </c>
    </row>
    <row r="182" spans="1:14" x14ac:dyDescent="0.2">
      <c r="A182" s="236">
        <v>180</v>
      </c>
      <c r="B182" s="229" t="s">
        <v>3659</v>
      </c>
      <c r="C182" s="230" t="s">
        <v>3647</v>
      </c>
      <c r="D182" s="230">
        <v>8.67</v>
      </c>
      <c r="E182" s="289">
        <v>8.57</v>
      </c>
      <c r="F182" s="230">
        <v>8.5</v>
      </c>
      <c r="G182" s="230">
        <v>0.67</v>
      </c>
      <c r="H182" s="230">
        <v>1</v>
      </c>
      <c r="I182" s="230">
        <v>9</v>
      </c>
      <c r="J182" s="230">
        <v>0</v>
      </c>
      <c r="K182" s="229" t="s">
        <v>3660</v>
      </c>
      <c r="L182" s="230">
        <v>1981</v>
      </c>
      <c r="M182" s="230" t="s">
        <v>1796</v>
      </c>
      <c r="N182" s="231" t="s">
        <v>3661</v>
      </c>
    </row>
    <row r="183" spans="1:14" x14ac:dyDescent="0.2">
      <c r="A183" s="236">
        <v>181</v>
      </c>
      <c r="B183" s="226" t="s">
        <v>311</v>
      </c>
      <c r="C183" s="227" t="s">
        <v>158</v>
      </c>
      <c r="D183" s="227">
        <v>8.65</v>
      </c>
      <c r="E183" s="290">
        <v>8.56</v>
      </c>
      <c r="F183" s="227">
        <v>8.5</v>
      </c>
      <c r="G183" s="227">
        <v>0.72</v>
      </c>
      <c r="H183" s="227">
        <v>2</v>
      </c>
      <c r="I183" s="227">
        <v>13</v>
      </c>
      <c r="J183" s="227">
        <v>0</v>
      </c>
      <c r="K183" s="226" t="s">
        <v>741</v>
      </c>
      <c r="L183" s="227">
        <v>2005</v>
      </c>
      <c r="M183" s="227" t="s">
        <v>1800</v>
      </c>
      <c r="N183" s="228" t="s">
        <v>2017</v>
      </c>
    </row>
    <row r="184" spans="1:14" x14ac:dyDescent="0.2">
      <c r="A184" s="236">
        <v>182</v>
      </c>
      <c r="B184" s="229" t="s">
        <v>293</v>
      </c>
      <c r="C184" s="230" t="s">
        <v>813</v>
      </c>
      <c r="D184" s="230">
        <v>8.5</v>
      </c>
      <c r="E184" s="290">
        <v>8.56</v>
      </c>
      <c r="F184" s="230">
        <v>8.5</v>
      </c>
      <c r="G184" s="230">
        <v>0.96</v>
      </c>
      <c r="H184" s="230">
        <v>2</v>
      </c>
      <c r="I184" s="230">
        <v>14</v>
      </c>
      <c r="J184" s="230">
        <v>1</v>
      </c>
      <c r="K184" s="229" t="s">
        <v>713</v>
      </c>
      <c r="L184" s="230">
        <v>2003</v>
      </c>
      <c r="M184" s="230" t="s">
        <v>1799</v>
      </c>
      <c r="N184" s="231" t="s">
        <v>1999</v>
      </c>
    </row>
    <row r="185" spans="1:14" x14ac:dyDescent="0.2">
      <c r="A185" s="236">
        <v>183</v>
      </c>
      <c r="B185" s="226" t="s">
        <v>912</v>
      </c>
      <c r="C185" s="227" t="s">
        <v>910</v>
      </c>
      <c r="D185" s="227">
        <v>8.67</v>
      </c>
      <c r="E185" s="290">
        <v>8.56</v>
      </c>
      <c r="F185" s="227">
        <v>8.5</v>
      </c>
      <c r="G185" s="227">
        <v>0.71</v>
      </c>
      <c r="H185" s="227">
        <v>1</v>
      </c>
      <c r="I185" s="227">
        <v>10</v>
      </c>
      <c r="J185" s="227">
        <v>1</v>
      </c>
      <c r="K185" s="226" t="s">
        <v>913</v>
      </c>
      <c r="L185" s="227">
        <v>1999</v>
      </c>
      <c r="M185" s="227" t="s">
        <v>1805</v>
      </c>
      <c r="N185" s="228" t="s">
        <v>1995</v>
      </c>
    </row>
    <row r="186" spans="1:14" x14ac:dyDescent="0.2">
      <c r="A186" s="236">
        <v>184</v>
      </c>
      <c r="B186" s="229" t="s">
        <v>2722</v>
      </c>
      <c r="C186" s="230" t="s">
        <v>2723</v>
      </c>
      <c r="D186" s="230">
        <v>8.65</v>
      </c>
      <c r="E186" s="290">
        <v>8.56</v>
      </c>
      <c r="F186" s="230">
        <v>8.5</v>
      </c>
      <c r="G186" s="230">
        <v>0.77</v>
      </c>
      <c r="H186" s="230">
        <v>2</v>
      </c>
      <c r="I186" s="230">
        <v>14</v>
      </c>
      <c r="J186" s="230">
        <v>1</v>
      </c>
      <c r="K186" s="229" t="s">
        <v>2724</v>
      </c>
      <c r="L186" s="230">
        <v>2026</v>
      </c>
      <c r="M186" s="230" t="s">
        <v>1767</v>
      </c>
      <c r="N186" s="231" t="s">
        <v>2725</v>
      </c>
    </row>
    <row r="187" spans="1:14" x14ac:dyDescent="0.2">
      <c r="A187" s="236">
        <v>185</v>
      </c>
      <c r="B187" s="226" t="s">
        <v>2478</v>
      </c>
      <c r="C187" s="227" t="s">
        <v>3361</v>
      </c>
      <c r="D187" s="227">
        <v>8.65</v>
      </c>
      <c r="E187" s="290">
        <v>8.56</v>
      </c>
      <c r="F187" s="227">
        <v>8.5</v>
      </c>
      <c r="G187" s="227">
        <v>0.5</v>
      </c>
      <c r="H187" s="227">
        <v>0</v>
      </c>
      <c r="I187" s="227">
        <v>11</v>
      </c>
      <c r="J187" s="227">
        <v>1</v>
      </c>
      <c r="K187" s="226" t="s">
        <v>3374</v>
      </c>
      <c r="L187" s="227">
        <v>2005</v>
      </c>
      <c r="M187" s="227" t="s">
        <v>1775</v>
      </c>
      <c r="N187" s="228" t="s">
        <v>3373</v>
      </c>
    </row>
    <row r="188" spans="1:14" x14ac:dyDescent="0.2">
      <c r="A188" s="236">
        <v>186</v>
      </c>
      <c r="B188" s="229" t="s">
        <v>4014</v>
      </c>
      <c r="C188" s="230" t="s">
        <v>4013</v>
      </c>
      <c r="D188" s="230">
        <v>8.67</v>
      </c>
      <c r="E188" s="290">
        <v>8.56</v>
      </c>
      <c r="F188" s="230">
        <v>8.5</v>
      </c>
      <c r="G188" s="230">
        <v>0.8</v>
      </c>
      <c r="H188" s="230">
        <v>2</v>
      </c>
      <c r="I188" s="230">
        <v>13</v>
      </c>
      <c r="J188" s="230">
        <v>1</v>
      </c>
      <c r="K188" s="229" t="s">
        <v>712</v>
      </c>
      <c r="L188" s="230">
        <v>1997</v>
      </c>
      <c r="M188" s="230" t="s">
        <v>1786</v>
      </c>
      <c r="N188" s="231" t="s">
        <v>4017</v>
      </c>
    </row>
    <row r="189" spans="1:14" x14ac:dyDescent="0.2">
      <c r="A189" s="236">
        <v>187</v>
      </c>
      <c r="B189" s="226" t="s">
        <v>5539</v>
      </c>
      <c r="C189" s="227" t="s">
        <v>5522</v>
      </c>
      <c r="D189" s="227">
        <v>8.65</v>
      </c>
      <c r="E189" s="290">
        <v>8.56</v>
      </c>
      <c r="F189" s="227">
        <v>8.5</v>
      </c>
      <c r="G189" s="227">
        <v>0.63</v>
      </c>
      <c r="H189" s="227">
        <v>1</v>
      </c>
      <c r="I189" s="227">
        <v>13</v>
      </c>
      <c r="J189" s="227">
        <v>3</v>
      </c>
      <c r="K189" s="226" t="s">
        <v>5583</v>
      </c>
      <c r="L189" s="227">
        <v>1990</v>
      </c>
      <c r="M189" s="227" t="s">
        <v>1778</v>
      </c>
      <c r="N189" s="228" t="s">
        <v>5516</v>
      </c>
    </row>
    <row r="190" spans="1:14" x14ac:dyDescent="0.2">
      <c r="A190" s="236">
        <v>188</v>
      </c>
      <c r="B190" s="229" t="s">
        <v>300</v>
      </c>
      <c r="C190" s="230" t="s">
        <v>2147</v>
      </c>
      <c r="D190" s="230">
        <v>8.64</v>
      </c>
      <c r="E190" s="291">
        <v>8.5500000000000007</v>
      </c>
      <c r="F190" s="230">
        <v>8.5</v>
      </c>
      <c r="G190" s="230">
        <v>0.74</v>
      </c>
      <c r="H190" s="230">
        <v>1</v>
      </c>
      <c r="I190" s="230">
        <v>7</v>
      </c>
      <c r="J190" s="230">
        <v>0</v>
      </c>
      <c r="K190" s="229" t="s">
        <v>733</v>
      </c>
      <c r="L190" s="230">
        <v>2008</v>
      </c>
      <c r="M190" s="230" t="s">
        <v>1807</v>
      </c>
      <c r="N190" s="231" t="s">
        <v>2167</v>
      </c>
    </row>
    <row r="191" spans="1:14" x14ac:dyDescent="0.2">
      <c r="A191" s="236">
        <v>189</v>
      </c>
      <c r="B191" s="226" t="s">
        <v>2222</v>
      </c>
      <c r="C191" s="227" t="s">
        <v>2223</v>
      </c>
      <c r="D191" s="227">
        <v>8.61</v>
      </c>
      <c r="E191" s="291">
        <v>8.5500000000000007</v>
      </c>
      <c r="F191" s="227">
        <v>8</v>
      </c>
      <c r="G191" s="227">
        <v>1.24</v>
      </c>
      <c r="H191" s="227">
        <v>3</v>
      </c>
      <c r="I191" s="227">
        <v>9</v>
      </c>
      <c r="J191" s="227">
        <v>0</v>
      </c>
      <c r="K191" s="226" t="s">
        <v>2072</v>
      </c>
      <c r="L191" s="227">
        <v>1990</v>
      </c>
      <c r="M191" s="227" t="s">
        <v>1775</v>
      </c>
      <c r="N191" s="228" t="s">
        <v>2226</v>
      </c>
    </row>
    <row r="192" spans="1:14" x14ac:dyDescent="0.2">
      <c r="A192" s="236">
        <v>190</v>
      </c>
      <c r="B192" s="229" t="s">
        <v>1368</v>
      </c>
      <c r="C192" s="230" t="s">
        <v>4052</v>
      </c>
      <c r="D192" s="230">
        <v>8.64</v>
      </c>
      <c r="E192" s="291">
        <v>8.5500000000000007</v>
      </c>
      <c r="F192" s="230">
        <v>8.5</v>
      </c>
      <c r="G192" s="230">
        <v>0.64</v>
      </c>
      <c r="H192" s="230">
        <v>1</v>
      </c>
      <c r="I192" s="230">
        <v>12</v>
      </c>
      <c r="J192" s="230">
        <v>1</v>
      </c>
      <c r="K192" s="229" t="s">
        <v>1716</v>
      </c>
      <c r="L192" s="230">
        <v>2014</v>
      </c>
      <c r="M192" s="230" t="s">
        <v>1818</v>
      </c>
      <c r="N192" s="231" t="s">
        <v>4054</v>
      </c>
    </row>
    <row r="193" spans="1:14" x14ac:dyDescent="0.2">
      <c r="A193" s="236">
        <v>191</v>
      </c>
      <c r="B193" s="226" t="s">
        <v>296</v>
      </c>
      <c r="C193" s="227" t="s">
        <v>1940</v>
      </c>
      <c r="D193" s="227">
        <v>8.6</v>
      </c>
      <c r="E193" s="292">
        <v>8.5399999999999991</v>
      </c>
      <c r="F193" s="227">
        <v>8</v>
      </c>
      <c r="G193" s="227">
        <v>1.02</v>
      </c>
      <c r="H193" s="227">
        <v>2</v>
      </c>
      <c r="I193" s="227">
        <v>10</v>
      </c>
      <c r="J193" s="227">
        <v>0</v>
      </c>
      <c r="K193" s="226" t="s">
        <v>1943</v>
      </c>
      <c r="L193" s="227">
        <v>1970</v>
      </c>
      <c r="M193" s="227" t="s">
        <v>1803</v>
      </c>
      <c r="N193" s="228" t="s">
        <v>1957</v>
      </c>
    </row>
    <row r="194" spans="1:14" x14ac:dyDescent="0.2">
      <c r="A194" s="236">
        <v>192</v>
      </c>
      <c r="B194" s="229" t="s">
        <v>1368</v>
      </c>
      <c r="C194" s="230" t="s">
        <v>2467</v>
      </c>
      <c r="D194" s="230">
        <v>8.69</v>
      </c>
      <c r="E194" s="292">
        <v>8.5399999999999991</v>
      </c>
      <c r="F194" s="230">
        <v>8.25</v>
      </c>
      <c r="G194" s="230">
        <v>1.06</v>
      </c>
      <c r="H194" s="230">
        <v>3</v>
      </c>
      <c r="I194" s="230">
        <v>8</v>
      </c>
      <c r="J194" s="230">
        <v>0</v>
      </c>
      <c r="K194" s="229" t="s">
        <v>3862</v>
      </c>
      <c r="L194" s="230">
        <v>1997</v>
      </c>
      <c r="M194" s="230" t="s">
        <v>2423</v>
      </c>
      <c r="N194" s="231" t="s">
        <v>2475</v>
      </c>
    </row>
    <row r="195" spans="1:14" x14ac:dyDescent="0.2">
      <c r="A195" s="236">
        <v>193</v>
      </c>
      <c r="B195" s="226" t="s">
        <v>2597</v>
      </c>
      <c r="C195" s="227" t="s">
        <v>2597</v>
      </c>
      <c r="D195" s="227">
        <v>8.6300000000000008</v>
      </c>
      <c r="E195" s="292">
        <v>8.5399999999999991</v>
      </c>
      <c r="F195" s="227">
        <v>8.5</v>
      </c>
      <c r="G195" s="227">
        <v>0.71</v>
      </c>
      <c r="H195" s="227">
        <v>2</v>
      </c>
      <c r="I195" s="227">
        <v>12</v>
      </c>
      <c r="J195" s="227">
        <v>0</v>
      </c>
      <c r="K195" s="226" t="s">
        <v>2599</v>
      </c>
      <c r="L195" s="227">
        <v>2007</v>
      </c>
      <c r="M195" s="227" t="s">
        <v>1784</v>
      </c>
      <c r="N195" s="228" t="s">
        <v>2600</v>
      </c>
    </row>
    <row r="196" spans="1:14" x14ac:dyDescent="0.2">
      <c r="A196" s="236">
        <v>194</v>
      </c>
      <c r="B196" s="229" t="s">
        <v>2253</v>
      </c>
      <c r="C196" s="230" t="s">
        <v>2254</v>
      </c>
      <c r="D196" s="230">
        <v>8.69</v>
      </c>
      <c r="E196" s="293">
        <v>8.5299999999999994</v>
      </c>
      <c r="F196" s="230">
        <v>8.25</v>
      </c>
      <c r="G196" s="230">
        <v>0.79</v>
      </c>
      <c r="H196" s="230">
        <v>1</v>
      </c>
      <c r="I196" s="230">
        <v>8</v>
      </c>
      <c r="J196" s="230">
        <v>0</v>
      </c>
      <c r="K196" s="229" t="s">
        <v>2255</v>
      </c>
      <c r="L196" s="230">
        <v>1976</v>
      </c>
      <c r="M196" s="230" t="s">
        <v>1780</v>
      </c>
      <c r="N196" s="231" t="s">
        <v>2256</v>
      </c>
    </row>
    <row r="197" spans="1:14" x14ac:dyDescent="0.2">
      <c r="A197" s="236">
        <v>195</v>
      </c>
      <c r="B197" s="226" t="s">
        <v>1054</v>
      </c>
      <c r="C197" s="227" t="s">
        <v>2292</v>
      </c>
      <c r="D197" s="227">
        <v>8.61</v>
      </c>
      <c r="E197" s="293">
        <v>8.5299999999999994</v>
      </c>
      <c r="F197" s="227">
        <v>8.5</v>
      </c>
      <c r="G197" s="227">
        <v>0.66</v>
      </c>
      <c r="H197" s="227">
        <v>1</v>
      </c>
      <c r="I197" s="227">
        <v>9</v>
      </c>
      <c r="J197" s="227">
        <v>0</v>
      </c>
      <c r="K197" s="226" t="s">
        <v>735</v>
      </c>
      <c r="L197" s="227">
        <v>1998</v>
      </c>
      <c r="M197" s="227" t="s">
        <v>1799</v>
      </c>
      <c r="N197" s="228" t="s">
        <v>2310</v>
      </c>
    </row>
    <row r="198" spans="1:14" x14ac:dyDescent="0.2">
      <c r="A198" s="236">
        <v>196</v>
      </c>
      <c r="B198" s="229" t="s">
        <v>2953</v>
      </c>
      <c r="C198" s="230" t="s">
        <v>2941</v>
      </c>
      <c r="D198" s="230">
        <v>8.6300000000000008</v>
      </c>
      <c r="E198" s="293">
        <v>8.5299999999999994</v>
      </c>
      <c r="F198" s="230">
        <v>8.5</v>
      </c>
      <c r="G198" s="230">
        <v>0.68</v>
      </c>
      <c r="H198" s="230">
        <v>1</v>
      </c>
      <c r="I198" s="230">
        <v>13</v>
      </c>
      <c r="J198" s="230">
        <v>1</v>
      </c>
      <c r="K198" s="229" t="s">
        <v>2954</v>
      </c>
      <c r="L198" s="230">
        <v>2017</v>
      </c>
      <c r="M198" s="230" t="s">
        <v>1767</v>
      </c>
      <c r="N198" s="231" t="s">
        <v>2931</v>
      </c>
    </row>
    <row r="199" spans="1:14" x14ac:dyDescent="0.2">
      <c r="A199" s="236">
        <v>197</v>
      </c>
      <c r="B199" s="226" t="s">
        <v>2992</v>
      </c>
      <c r="C199" s="227" t="s">
        <v>2993</v>
      </c>
      <c r="D199" s="227">
        <v>8.6</v>
      </c>
      <c r="E199" s="293">
        <v>8.5299999999999994</v>
      </c>
      <c r="F199" s="227">
        <v>8.5</v>
      </c>
      <c r="G199" s="227">
        <v>0.57999999999999996</v>
      </c>
      <c r="H199" s="227">
        <v>1</v>
      </c>
      <c r="I199" s="227">
        <v>10</v>
      </c>
      <c r="J199" s="227">
        <v>0</v>
      </c>
      <c r="K199" s="226" t="s">
        <v>2994</v>
      </c>
      <c r="L199" s="227">
        <v>1992</v>
      </c>
      <c r="M199" s="227" t="s">
        <v>1791</v>
      </c>
      <c r="N199" s="228" t="s">
        <v>2995</v>
      </c>
    </row>
    <row r="200" spans="1:14" x14ac:dyDescent="0.2">
      <c r="A200" s="236">
        <v>198</v>
      </c>
      <c r="B200" s="229" t="s">
        <v>2597</v>
      </c>
      <c r="C200" s="230" t="s">
        <v>3246</v>
      </c>
      <c r="D200" s="230">
        <v>8.6300000000000008</v>
      </c>
      <c r="E200" s="293">
        <v>8.5299999999999994</v>
      </c>
      <c r="F200" s="230">
        <v>8.5</v>
      </c>
      <c r="G200" s="230">
        <v>0.69</v>
      </c>
      <c r="H200" s="230">
        <v>1</v>
      </c>
      <c r="I200" s="230">
        <v>15</v>
      </c>
      <c r="J200" s="230">
        <v>0</v>
      </c>
      <c r="K200" s="229" t="s">
        <v>3247</v>
      </c>
      <c r="L200" s="230">
        <v>2018</v>
      </c>
      <c r="M200" s="230" t="s">
        <v>1777</v>
      </c>
      <c r="N200" s="231" t="s">
        <v>3248</v>
      </c>
    </row>
    <row r="201" spans="1:14" x14ac:dyDescent="0.2">
      <c r="A201" s="236">
        <v>199</v>
      </c>
      <c r="B201" s="226" t="s">
        <v>3891</v>
      </c>
      <c r="C201" s="227" t="s">
        <v>3892</v>
      </c>
      <c r="D201" s="227">
        <v>8.64</v>
      </c>
      <c r="E201" s="293">
        <v>8.5299999999999994</v>
      </c>
      <c r="F201" s="227">
        <v>8.5</v>
      </c>
      <c r="G201" s="227">
        <v>0.61</v>
      </c>
      <c r="H201" s="227">
        <v>0</v>
      </c>
      <c r="I201" s="227">
        <v>11</v>
      </c>
      <c r="J201" s="227">
        <v>0</v>
      </c>
      <c r="K201" s="226" t="s">
        <v>3895</v>
      </c>
      <c r="L201" s="227">
        <v>1995</v>
      </c>
      <c r="M201" s="227" t="s">
        <v>1806</v>
      </c>
      <c r="N201" s="228" t="s">
        <v>3864</v>
      </c>
    </row>
    <row r="202" spans="1:14" x14ac:dyDescent="0.2">
      <c r="A202" s="236">
        <v>200</v>
      </c>
      <c r="B202" s="229" t="s">
        <v>4622</v>
      </c>
      <c r="C202" s="230" t="s">
        <v>4614</v>
      </c>
      <c r="D202" s="230">
        <v>8.6300000000000008</v>
      </c>
      <c r="E202" s="293">
        <v>8.5299999999999994</v>
      </c>
      <c r="F202" s="230">
        <v>8.5</v>
      </c>
      <c r="G202" s="230">
        <v>0.78</v>
      </c>
      <c r="H202" s="230">
        <v>1</v>
      </c>
      <c r="I202" s="230">
        <v>8</v>
      </c>
      <c r="J202" s="230">
        <v>0</v>
      </c>
      <c r="K202" s="229" t="s">
        <v>4623</v>
      </c>
      <c r="L202" s="230">
        <v>2024</v>
      </c>
      <c r="M202" s="230" t="s">
        <v>1790</v>
      </c>
      <c r="N202" s="231" t="s">
        <v>4608</v>
      </c>
    </row>
    <row r="203" spans="1:14" x14ac:dyDescent="0.2">
      <c r="A203" s="236">
        <v>201</v>
      </c>
      <c r="B203" s="226" t="s">
        <v>1728</v>
      </c>
      <c r="C203" s="227" t="s">
        <v>1729</v>
      </c>
      <c r="D203" s="227">
        <v>8.6</v>
      </c>
      <c r="E203" s="294">
        <v>8.52</v>
      </c>
      <c r="F203" s="227">
        <v>8.5</v>
      </c>
      <c r="G203" s="227">
        <v>0.66</v>
      </c>
      <c r="H203" s="227">
        <v>1</v>
      </c>
      <c r="I203" s="227">
        <v>10</v>
      </c>
      <c r="J203" s="227">
        <v>0</v>
      </c>
      <c r="K203" s="226" t="s">
        <v>1730</v>
      </c>
      <c r="L203" s="227">
        <v>2024</v>
      </c>
      <c r="M203" s="227" t="s">
        <v>1803</v>
      </c>
      <c r="N203" s="228" t="s">
        <v>1962</v>
      </c>
    </row>
    <row r="204" spans="1:14" x14ac:dyDescent="0.2">
      <c r="A204" s="236">
        <v>202</v>
      </c>
      <c r="B204" s="229" t="s">
        <v>1555</v>
      </c>
      <c r="C204" s="230" t="s">
        <v>3452</v>
      </c>
      <c r="D204" s="230">
        <v>8.61</v>
      </c>
      <c r="E204" s="294">
        <v>8.52</v>
      </c>
      <c r="F204" s="230">
        <v>8.5</v>
      </c>
      <c r="G204" s="230">
        <v>0.62</v>
      </c>
      <c r="H204" s="230">
        <v>2</v>
      </c>
      <c r="I204" s="230">
        <v>26</v>
      </c>
      <c r="J204" s="230">
        <v>3</v>
      </c>
      <c r="K204" s="229" t="s">
        <v>1556</v>
      </c>
      <c r="L204" s="230">
        <v>1996</v>
      </c>
      <c r="M204" s="230" t="s">
        <v>3496</v>
      </c>
      <c r="N204" s="231" t="s">
        <v>3405</v>
      </c>
    </row>
    <row r="205" spans="1:14" x14ac:dyDescent="0.2">
      <c r="A205" s="236">
        <v>203</v>
      </c>
      <c r="B205" s="226" t="s">
        <v>4610</v>
      </c>
      <c r="C205" s="227" t="s">
        <v>4611</v>
      </c>
      <c r="D205" s="227">
        <v>8.6</v>
      </c>
      <c r="E205" s="294">
        <v>8.52</v>
      </c>
      <c r="F205" s="227">
        <v>8.5</v>
      </c>
      <c r="G205" s="227">
        <v>0.49</v>
      </c>
      <c r="H205" s="227">
        <v>0</v>
      </c>
      <c r="I205" s="227">
        <v>5</v>
      </c>
      <c r="J205" s="227">
        <v>0</v>
      </c>
      <c r="K205" s="226" t="s">
        <v>4624</v>
      </c>
      <c r="L205" s="227">
        <v>2021</v>
      </c>
      <c r="M205" s="227" t="s">
        <v>4625</v>
      </c>
      <c r="N205" s="228" t="s">
        <v>4608</v>
      </c>
    </row>
    <row r="206" spans="1:14" x14ac:dyDescent="0.2">
      <c r="A206" s="236">
        <v>204</v>
      </c>
      <c r="B206" s="229" t="s">
        <v>4761</v>
      </c>
      <c r="C206" s="230" t="s">
        <v>891</v>
      </c>
      <c r="D206" s="230">
        <v>8.6</v>
      </c>
      <c r="E206" s="294">
        <v>8.52</v>
      </c>
      <c r="F206" s="230">
        <v>8.5</v>
      </c>
      <c r="G206" s="230">
        <v>0.62</v>
      </c>
      <c r="H206" s="230">
        <v>1</v>
      </c>
      <c r="I206" s="230">
        <v>10</v>
      </c>
      <c r="J206" s="230">
        <v>0</v>
      </c>
      <c r="K206" s="229" t="s">
        <v>1082</v>
      </c>
      <c r="L206" s="230">
        <v>2012</v>
      </c>
      <c r="M206" s="230" t="s">
        <v>4140</v>
      </c>
      <c r="N206" s="231" t="s">
        <v>4769</v>
      </c>
    </row>
    <row r="207" spans="1:14" x14ac:dyDescent="0.2">
      <c r="A207" s="236">
        <v>205</v>
      </c>
      <c r="B207" s="226" t="s">
        <v>3082</v>
      </c>
      <c r="C207" s="227" t="s">
        <v>3083</v>
      </c>
      <c r="D207" s="227">
        <v>8.58</v>
      </c>
      <c r="E207" s="363">
        <v>8.51</v>
      </c>
      <c r="F207" s="227">
        <v>8.5</v>
      </c>
      <c r="G207" s="227">
        <v>0.76</v>
      </c>
      <c r="H207" s="227">
        <v>2</v>
      </c>
      <c r="I207" s="227">
        <v>12</v>
      </c>
      <c r="J207" s="227">
        <v>0</v>
      </c>
      <c r="K207" s="226" t="s">
        <v>3084</v>
      </c>
      <c r="L207" s="227">
        <v>1997</v>
      </c>
      <c r="M207" s="227" t="s">
        <v>1801</v>
      </c>
      <c r="N207" s="228" t="s">
        <v>3066</v>
      </c>
    </row>
    <row r="208" spans="1:14" x14ac:dyDescent="0.2">
      <c r="A208" s="236">
        <v>206</v>
      </c>
      <c r="B208" s="229" t="s">
        <v>4136</v>
      </c>
      <c r="C208" s="230" t="s">
        <v>4137</v>
      </c>
      <c r="D208" s="230">
        <v>8.59</v>
      </c>
      <c r="E208" s="363">
        <v>8.51</v>
      </c>
      <c r="F208" s="230">
        <v>8.5</v>
      </c>
      <c r="G208" s="230">
        <v>0.76</v>
      </c>
      <c r="H208" s="230">
        <v>2</v>
      </c>
      <c r="I208" s="230">
        <v>11</v>
      </c>
      <c r="J208" s="230">
        <v>0</v>
      </c>
      <c r="K208" s="229" t="s">
        <v>4138</v>
      </c>
      <c r="L208" s="230">
        <v>1994</v>
      </c>
      <c r="M208" s="230" t="s">
        <v>1778</v>
      </c>
      <c r="N208" s="231" t="s">
        <v>4139</v>
      </c>
    </row>
    <row r="209" spans="1:14" x14ac:dyDescent="0.2">
      <c r="A209" s="236">
        <v>207</v>
      </c>
      <c r="B209" s="226" t="s">
        <v>5540</v>
      </c>
      <c r="C209" s="227" t="s">
        <v>5537</v>
      </c>
      <c r="D209" s="227">
        <v>8.6</v>
      </c>
      <c r="E209" s="363">
        <v>8.51</v>
      </c>
      <c r="F209" s="227">
        <v>8.5</v>
      </c>
      <c r="G209" s="227">
        <v>0.57999999999999996</v>
      </c>
      <c r="H209" s="227">
        <v>0</v>
      </c>
      <c r="I209" s="227">
        <v>7</v>
      </c>
      <c r="J209" s="227">
        <v>2</v>
      </c>
      <c r="K209" s="226" t="s">
        <v>5546</v>
      </c>
      <c r="L209" s="227">
        <v>2026</v>
      </c>
      <c r="M209" s="227" t="s">
        <v>1784</v>
      </c>
      <c r="N209" s="228" t="s">
        <v>5547</v>
      </c>
    </row>
    <row r="210" spans="1:14" x14ac:dyDescent="0.2">
      <c r="A210" s="236">
        <v>208</v>
      </c>
      <c r="B210" s="229" t="s">
        <v>1517</v>
      </c>
      <c r="C210" s="230" t="s">
        <v>1518</v>
      </c>
      <c r="D210" s="230">
        <v>8.6</v>
      </c>
      <c r="E210" s="295">
        <v>8.5</v>
      </c>
      <c r="F210" s="230">
        <v>8.5</v>
      </c>
      <c r="G210" s="230">
        <v>0.83</v>
      </c>
      <c r="H210" s="230">
        <v>1</v>
      </c>
      <c r="I210" s="230">
        <v>10</v>
      </c>
      <c r="J210" s="230">
        <v>0</v>
      </c>
      <c r="K210" s="229" t="s">
        <v>722</v>
      </c>
      <c r="L210" s="230">
        <v>1993</v>
      </c>
      <c r="M210" s="230" t="s">
        <v>1780</v>
      </c>
      <c r="N210" s="231" t="s">
        <v>1973</v>
      </c>
    </row>
    <row r="211" spans="1:14" x14ac:dyDescent="0.2">
      <c r="A211" s="236">
        <v>209</v>
      </c>
      <c r="B211" s="226" t="s">
        <v>2069</v>
      </c>
      <c r="C211" s="227" t="s">
        <v>2070</v>
      </c>
      <c r="D211" s="227">
        <v>8.58</v>
      </c>
      <c r="E211" s="295">
        <v>8.5</v>
      </c>
      <c r="F211" s="227">
        <v>8.5</v>
      </c>
      <c r="G211" s="227">
        <v>0.67</v>
      </c>
      <c r="H211" s="227">
        <v>1</v>
      </c>
      <c r="I211" s="227">
        <v>12</v>
      </c>
      <c r="J211" s="227">
        <v>0</v>
      </c>
      <c r="K211" s="226" t="s">
        <v>2073</v>
      </c>
      <c r="L211" s="227">
        <v>1992</v>
      </c>
      <c r="M211" s="227" t="s">
        <v>1799</v>
      </c>
      <c r="N211" s="228" t="s">
        <v>2055</v>
      </c>
    </row>
    <row r="212" spans="1:14" x14ac:dyDescent="0.2">
      <c r="A212" s="236">
        <v>210</v>
      </c>
      <c r="B212" s="229" t="s">
        <v>2867</v>
      </c>
      <c r="C212" s="230" t="s">
        <v>2868</v>
      </c>
      <c r="D212" s="230">
        <v>8.58</v>
      </c>
      <c r="E212" s="295">
        <v>8.5</v>
      </c>
      <c r="F212" s="230">
        <v>8.5</v>
      </c>
      <c r="G212" s="230">
        <v>0.79</v>
      </c>
      <c r="H212" s="230">
        <v>1</v>
      </c>
      <c r="I212" s="230">
        <v>6</v>
      </c>
      <c r="J212" s="230">
        <v>0</v>
      </c>
      <c r="K212" s="229" t="s">
        <v>2870</v>
      </c>
      <c r="L212" s="230">
        <v>1976</v>
      </c>
      <c r="M212" s="230" t="s">
        <v>2423</v>
      </c>
      <c r="N212" s="231" t="s">
        <v>2860</v>
      </c>
    </row>
    <row r="213" spans="1:14" x14ac:dyDescent="0.2">
      <c r="A213" s="236">
        <v>211</v>
      </c>
      <c r="B213" s="226" t="s">
        <v>4641</v>
      </c>
      <c r="C213" s="227" t="s">
        <v>4642</v>
      </c>
      <c r="D213" s="227">
        <v>8.59</v>
      </c>
      <c r="E213" s="295">
        <v>8.5</v>
      </c>
      <c r="F213" s="227">
        <v>8.5</v>
      </c>
      <c r="G213" s="227">
        <v>0.7</v>
      </c>
      <c r="H213" s="227">
        <v>1</v>
      </c>
      <c r="I213" s="227">
        <v>11</v>
      </c>
      <c r="J213" s="227">
        <v>0</v>
      </c>
      <c r="K213" s="226" t="s">
        <v>4643</v>
      </c>
      <c r="L213" s="227">
        <v>2024</v>
      </c>
      <c r="M213" s="227" t="s">
        <v>4644</v>
      </c>
      <c r="N213" s="228" t="s">
        <v>4608</v>
      </c>
    </row>
    <row r="214" spans="1:14" x14ac:dyDescent="0.2">
      <c r="A214" s="236">
        <v>212</v>
      </c>
      <c r="B214" s="229" t="s">
        <v>1330</v>
      </c>
      <c r="C214" s="230" t="s">
        <v>5265</v>
      </c>
      <c r="D214" s="230">
        <v>8.56</v>
      </c>
      <c r="E214" s="295">
        <v>8.5</v>
      </c>
      <c r="F214" s="230">
        <v>8.5</v>
      </c>
      <c r="G214" s="230">
        <v>0.63</v>
      </c>
      <c r="H214" s="230">
        <v>1</v>
      </c>
      <c r="I214" s="230">
        <v>8</v>
      </c>
      <c r="J214" s="230">
        <v>0</v>
      </c>
      <c r="K214" s="229" t="s">
        <v>5269</v>
      </c>
      <c r="L214" s="230">
        <v>1999</v>
      </c>
      <c r="M214" s="230" t="s">
        <v>1800</v>
      </c>
      <c r="N214" s="231" t="s">
        <v>5221</v>
      </c>
    </row>
    <row r="215" spans="1:14" x14ac:dyDescent="0.2">
      <c r="A215" s="236">
        <v>213</v>
      </c>
      <c r="B215" s="226" t="s">
        <v>795</v>
      </c>
      <c r="C215" s="227" t="s">
        <v>2110</v>
      </c>
      <c r="D215" s="227">
        <v>8.57</v>
      </c>
      <c r="E215" s="296">
        <v>8.49</v>
      </c>
      <c r="F215" s="227">
        <v>8.5</v>
      </c>
      <c r="G215" s="227">
        <v>0.6</v>
      </c>
      <c r="H215" s="227">
        <v>1</v>
      </c>
      <c r="I215" s="227">
        <v>15</v>
      </c>
      <c r="J215" s="227">
        <v>0</v>
      </c>
      <c r="K215" s="226" t="s">
        <v>796</v>
      </c>
      <c r="L215" s="227">
        <v>2003</v>
      </c>
      <c r="M215" s="227" t="s">
        <v>1800</v>
      </c>
      <c r="N215" s="228" t="s">
        <v>2111</v>
      </c>
    </row>
    <row r="216" spans="1:14" x14ac:dyDescent="0.2">
      <c r="A216" s="236">
        <v>214</v>
      </c>
      <c r="B216" s="229" t="s">
        <v>3639</v>
      </c>
      <c r="C216" s="230" t="s">
        <v>3640</v>
      </c>
      <c r="D216" s="230">
        <v>8.5399999999999991</v>
      </c>
      <c r="E216" s="296">
        <v>8.49</v>
      </c>
      <c r="F216" s="230">
        <v>8</v>
      </c>
      <c r="G216" s="230">
        <v>0.82</v>
      </c>
      <c r="H216" s="230">
        <v>1</v>
      </c>
      <c r="I216" s="230">
        <v>13</v>
      </c>
      <c r="J216" s="230">
        <v>0</v>
      </c>
      <c r="K216" s="229" t="s">
        <v>3645</v>
      </c>
      <c r="L216" s="230">
        <v>2023</v>
      </c>
      <c r="M216" s="230" t="s">
        <v>1775</v>
      </c>
      <c r="N216" s="231" t="s">
        <v>3644</v>
      </c>
    </row>
    <row r="217" spans="1:14" x14ac:dyDescent="0.2">
      <c r="A217" s="236">
        <v>215</v>
      </c>
      <c r="B217" s="226" t="s">
        <v>759</v>
      </c>
      <c r="C217" s="227" t="s">
        <v>760</v>
      </c>
      <c r="D217" s="227">
        <v>8.5299999999999994</v>
      </c>
      <c r="E217" s="370">
        <v>8.48</v>
      </c>
      <c r="F217" s="227">
        <v>8</v>
      </c>
      <c r="G217" s="227">
        <v>1.22</v>
      </c>
      <c r="H217" s="227">
        <v>4</v>
      </c>
      <c r="I217" s="227">
        <v>15</v>
      </c>
      <c r="J217" s="227">
        <v>0</v>
      </c>
      <c r="K217" s="226" t="s">
        <v>780</v>
      </c>
      <c r="L217" s="227">
        <v>2003</v>
      </c>
      <c r="M217" s="227" t="s">
        <v>1807</v>
      </c>
      <c r="N217" s="228" t="s">
        <v>2001</v>
      </c>
    </row>
    <row r="218" spans="1:14" x14ac:dyDescent="0.2">
      <c r="A218" s="236">
        <v>216</v>
      </c>
      <c r="B218" s="229" t="s">
        <v>2293</v>
      </c>
      <c r="C218" s="230" t="s">
        <v>3153</v>
      </c>
      <c r="D218" s="230">
        <v>8.56</v>
      </c>
      <c r="E218" s="370">
        <v>8.48</v>
      </c>
      <c r="F218" s="230">
        <v>8.5</v>
      </c>
      <c r="G218" s="230">
        <v>0.73</v>
      </c>
      <c r="H218" s="230">
        <v>1</v>
      </c>
      <c r="I218" s="230">
        <v>9</v>
      </c>
      <c r="J218" s="230">
        <v>1</v>
      </c>
      <c r="K218" s="229" t="s">
        <v>987</v>
      </c>
      <c r="L218" s="230">
        <v>1971</v>
      </c>
      <c r="M218" s="230" t="s">
        <v>1772</v>
      </c>
      <c r="N218" s="231" t="s">
        <v>3154</v>
      </c>
    </row>
    <row r="219" spans="1:14" x14ac:dyDescent="0.2">
      <c r="A219" s="236">
        <v>217</v>
      </c>
      <c r="B219" s="226" t="s">
        <v>4227</v>
      </c>
      <c r="C219" s="227" t="s">
        <v>4219</v>
      </c>
      <c r="D219" s="227">
        <v>8.56</v>
      </c>
      <c r="E219" s="370">
        <v>8.48</v>
      </c>
      <c r="F219" s="227">
        <v>8.5</v>
      </c>
      <c r="G219" s="227">
        <v>0.68</v>
      </c>
      <c r="H219" s="227">
        <v>1</v>
      </c>
      <c r="I219" s="227">
        <v>9</v>
      </c>
      <c r="J219" s="227">
        <v>0</v>
      </c>
      <c r="K219" s="226" t="s">
        <v>4230</v>
      </c>
      <c r="L219" s="227">
        <v>2007</v>
      </c>
      <c r="M219" s="227" t="s">
        <v>1807</v>
      </c>
      <c r="N219" s="228" t="s">
        <v>4226</v>
      </c>
    </row>
    <row r="220" spans="1:14" x14ac:dyDescent="0.2">
      <c r="A220" s="236">
        <v>218</v>
      </c>
      <c r="B220" s="229" t="s">
        <v>976</v>
      </c>
      <c r="C220" s="230" t="s">
        <v>977</v>
      </c>
      <c r="D220" s="230">
        <v>8.5500000000000007</v>
      </c>
      <c r="E220" s="297">
        <v>8.4700000000000006</v>
      </c>
      <c r="F220" s="230">
        <v>8.5</v>
      </c>
      <c r="G220" s="230">
        <v>0.69</v>
      </c>
      <c r="H220" s="230">
        <v>1</v>
      </c>
      <c r="I220" s="230">
        <v>12</v>
      </c>
      <c r="J220" s="230">
        <v>1</v>
      </c>
      <c r="K220" s="229" t="s">
        <v>733</v>
      </c>
      <c r="L220" s="230">
        <v>1999</v>
      </c>
      <c r="M220" s="230" t="s">
        <v>1769</v>
      </c>
      <c r="N220" s="231" t="s">
        <v>1991</v>
      </c>
    </row>
    <row r="221" spans="1:14" x14ac:dyDescent="0.2">
      <c r="A221" s="236">
        <v>219</v>
      </c>
      <c r="B221" s="226" t="s">
        <v>2510</v>
      </c>
      <c r="C221" s="227" t="s">
        <v>2506</v>
      </c>
      <c r="D221" s="227">
        <v>8.5500000000000007</v>
      </c>
      <c r="E221" s="297">
        <v>8.4700000000000006</v>
      </c>
      <c r="F221" s="227">
        <v>8.5</v>
      </c>
      <c r="G221" s="227">
        <v>0.78</v>
      </c>
      <c r="H221" s="227">
        <v>2</v>
      </c>
      <c r="I221" s="227">
        <v>11</v>
      </c>
      <c r="J221" s="227">
        <v>0</v>
      </c>
      <c r="K221" s="226" t="s">
        <v>2511</v>
      </c>
      <c r="L221" s="227">
        <v>1970</v>
      </c>
      <c r="M221" s="227" t="s">
        <v>1791</v>
      </c>
      <c r="N221" s="228" t="s">
        <v>2512</v>
      </c>
    </row>
    <row r="222" spans="1:14" x14ac:dyDescent="0.2">
      <c r="A222" s="236">
        <v>220</v>
      </c>
      <c r="B222" s="229" t="s">
        <v>1625</v>
      </c>
      <c r="C222" s="230" t="s">
        <v>2582</v>
      </c>
      <c r="D222" s="230">
        <v>8.5</v>
      </c>
      <c r="E222" s="297">
        <v>8.4700000000000006</v>
      </c>
      <c r="F222" s="230">
        <v>8</v>
      </c>
      <c r="G222" s="230">
        <v>0.8</v>
      </c>
      <c r="H222" s="230">
        <v>1</v>
      </c>
      <c r="I222" s="230">
        <v>11</v>
      </c>
      <c r="J222" s="230">
        <v>0</v>
      </c>
      <c r="K222" s="229" t="s">
        <v>900</v>
      </c>
      <c r="L222" s="230">
        <v>2008</v>
      </c>
      <c r="M222" s="230" t="s">
        <v>1789</v>
      </c>
      <c r="N222" s="231" t="s">
        <v>2584</v>
      </c>
    </row>
    <row r="223" spans="1:14" x14ac:dyDescent="0.2">
      <c r="A223" s="236">
        <v>221</v>
      </c>
      <c r="B223" s="226" t="s">
        <v>300</v>
      </c>
      <c r="C223" s="227" t="s">
        <v>1841</v>
      </c>
      <c r="D223" s="227">
        <v>8.5</v>
      </c>
      <c r="E223" s="298">
        <v>8.4600000000000009</v>
      </c>
      <c r="F223" s="227">
        <v>8.5</v>
      </c>
      <c r="G223" s="227">
        <v>0.35</v>
      </c>
      <c r="H223" s="227">
        <v>0</v>
      </c>
      <c r="I223" s="227">
        <v>8</v>
      </c>
      <c r="J223" s="227">
        <v>0</v>
      </c>
      <c r="K223" s="226" t="s">
        <v>733</v>
      </c>
      <c r="L223" s="227">
        <v>2024</v>
      </c>
      <c r="M223" s="227" t="s">
        <v>1811</v>
      </c>
      <c r="N223" s="228" t="s">
        <v>1960</v>
      </c>
    </row>
    <row r="224" spans="1:14" x14ac:dyDescent="0.2">
      <c r="A224" s="236">
        <v>222</v>
      </c>
      <c r="B224" s="229" t="s">
        <v>1121</v>
      </c>
      <c r="C224" s="230" t="s">
        <v>1122</v>
      </c>
      <c r="D224" s="230">
        <v>8.5299999999999994</v>
      </c>
      <c r="E224" s="299">
        <v>8.4499999999999993</v>
      </c>
      <c r="F224" s="230">
        <v>8.5</v>
      </c>
      <c r="G224" s="230">
        <v>0.96</v>
      </c>
      <c r="H224" s="230">
        <v>3</v>
      </c>
      <c r="I224" s="230">
        <v>15</v>
      </c>
      <c r="J224" s="230">
        <v>0</v>
      </c>
      <c r="K224" s="229" t="s">
        <v>1125</v>
      </c>
      <c r="L224" s="230">
        <v>2024</v>
      </c>
      <c r="M224" s="230" t="s">
        <v>1772</v>
      </c>
      <c r="N224" s="231" t="s">
        <v>1988</v>
      </c>
    </row>
    <row r="225" spans="1:14" x14ac:dyDescent="0.2">
      <c r="A225" s="236">
        <v>223</v>
      </c>
      <c r="B225" s="226" t="s">
        <v>1648</v>
      </c>
      <c r="C225" s="227" t="s">
        <v>1649</v>
      </c>
      <c r="D225" s="227">
        <v>8.5</v>
      </c>
      <c r="E225" s="299">
        <v>8.4499999999999993</v>
      </c>
      <c r="F225" s="227">
        <v>8.5</v>
      </c>
      <c r="G225" s="227">
        <v>0.41</v>
      </c>
      <c r="H225" s="227">
        <v>0</v>
      </c>
      <c r="I225" s="227">
        <v>9</v>
      </c>
      <c r="J225" s="227">
        <v>0</v>
      </c>
      <c r="K225" s="226" t="s">
        <v>1125</v>
      </c>
      <c r="L225" s="227">
        <v>2026</v>
      </c>
      <c r="M225" s="227" t="s">
        <v>1806</v>
      </c>
      <c r="N225" s="228" t="s">
        <v>1966</v>
      </c>
    </row>
    <row r="226" spans="1:14" x14ac:dyDescent="0.2">
      <c r="A226" s="236">
        <v>224</v>
      </c>
      <c r="B226" s="229" t="s">
        <v>3944</v>
      </c>
      <c r="C226" s="230" t="s">
        <v>3939</v>
      </c>
      <c r="D226" s="230">
        <v>8.5</v>
      </c>
      <c r="E226" s="299">
        <v>8.4499999999999993</v>
      </c>
      <c r="F226" s="230">
        <v>8.5</v>
      </c>
      <c r="G226" s="230">
        <v>0.59</v>
      </c>
      <c r="H226" s="230">
        <v>1</v>
      </c>
      <c r="I226" s="230">
        <v>10</v>
      </c>
      <c r="J226" s="230">
        <v>0</v>
      </c>
      <c r="K226" s="229" t="s">
        <v>3945</v>
      </c>
      <c r="L226" s="230">
        <v>1998</v>
      </c>
      <c r="M226" s="230" t="s">
        <v>1790</v>
      </c>
      <c r="N226" s="231" t="s">
        <v>3915</v>
      </c>
    </row>
    <row r="227" spans="1:14" x14ac:dyDescent="0.2">
      <c r="A227" s="236">
        <v>225</v>
      </c>
      <c r="B227" s="226" t="s">
        <v>493</v>
      </c>
      <c r="C227" s="227" t="s">
        <v>494</v>
      </c>
      <c r="D227" s="227">
        <v>8.5</v>
      </c>
      <c r="E227" s="300">
        <v>8.43</v>
      </c>
      <c r="F227" s="227">
        <v>8.5</v>
      </c>
      <c r="G227" s="227">
        <v>0.59</v>
      </c>
      <c r="H227" s="227">
        <v>0</v>
      </c>
      <c r="I227" s="227">
        <v>17</v>
      </c>
      <c r="J227" s="227">
        <v>4</v>
      </c>
      <c r="K227" s="226" t="s">
        <v>742</v>
      </c>
      <c r="L227" s="227">
        <v>2016</v>
      </c>
      <c r="M227" s="227" t="s">
        <v>1804</v>
      </c>
      <c r="N227" s="228" t="s">
        <v>2013</v>
      </c>
    </row>
    <row r="228" spans="1:14" x14ac:dyDescent="0.2">
      <c r="A228" s="236">
        <v>226</v>
      </c>
      <c r="B228" s="229" t="s">
        <v>3558</v>
      </c>
      <c r="C228" s="230" t="s">
        <v>3552</v>
      </c>
      <c r="D228" s="230">
        <v>8.5</v>
      </c>
      <c r="E228" s="300">
        <v>8.43</v>
      </c>
      <c r="F228" s="230">
        <v>8.5</v>
      </c>
      <c r="G228" s="230">
        <v>0.53</v>
      </c>
      <c r="H228" s="230">
        <v>0</v>
      </c>
      <c r="I228" s="230">
        <v>10</v>
      </c>
      <c r="J228" s="230">
        <v>1</v>
      </c>
      <c r="K228" s="229" t="s">
        <v>3561</v>
      </c>
      <c r="L228" s="230">
        <v>2021</v>
      </c>
      <c r="M228" s="230" t="s">
        <v>1779</v>
      </c>
      <c r="N228" s="231" t="s">
        <v>3547</v>
      </c>
    </row>
    <row r="229" spans="1:14" x14ac:dyDescent="0.2">
      <c r="A229" s="236">
        <v>227</v>
      </c>
      <c r="B229" s="226" t="s">
        <v>1300</v>
      </c>
      <c r="C229" s="227" t="s">
        <v>3971</v>
      </c>
      <c r="D229" s="227">
        <v>8.5</v>
      </c>
      <c r="E229" s="300">
        <v>8.43</v>
      </c>
      <c r="F229" s="227">
        <v>8.5</v>
      </c>
      <c r="G229" s="227">
        <v>0.67</v>
      </c>
      <c r="H229" s="227">
        <v>1</v>
      </c>
      <c r="I229" s="227">
        <v>11</v>
      </c>
      <c r="J229" s="227">
        <v>1</v>
      </c>
      <c r="K229" s="226" t="s">
        <v>3972</v>
      </c>
      <c r="L229" s="227">
        <v>2009</v>
      </c>
      <c r="M229" s="227" t="s">
        <v>1802</v>
      </c>
      <c r="N229" s="228" t="s">
        <v>3957</v>
      </c>
    </row>
    <row r="230" spans="1:14" x14ac:dyDescent="0.2">
      <c r="A230" s="236">
        <v>228</v>
      </c>
      <c r="B230" s="229" t="s">
        <v>2089</v>
      </c>
      <c r="C230" s="230" t="s">
        <v>2090</v>
      </c>
      <c r="D230" s="230">
        <v>8.5399999999999991</v>
      </c>
      <c r="E230" s="301">
        <v>8.41</v>
      </c>
      <c r="F230" s="230">
        <v>8.25</v>
      </c>
      <c r="G230" s="230">
        <v>0.81</v>
      </c>
      <c r="H230" s="230">
        <v>2</v>
      </c>
      <c r="I230" s="230">
        <v>14</v>
      </c>
      <c r="J230" s="230">
        <v>0</v>
      </c>
      <c r="K230" s="229" t="s">
        <v>2091</v>
      </c>
      <c r="L230" s="230">
        <v>1991</v>
      </c>
      <c r="M230" s="230" t="s">
        <v>1784</v>
      </c>
      <c r="N230" s="231" t="s">
        <v>2109</v>
      </c>
    </row>
    <row r="231" spans="1:14" x14ac:dyDescent="0.2">
      <c r="A231" s="236">
        <v>229</v>
      </c>
      <c r="B231" s="226" t="s">
        <v>4329</v>
      </c>
      <c r="C231" s="227" t="s">
        <v>4323</v>
      </c>
      <c r="D231" s="227">
        <v>8.42</v>
      </c>
      <c r="E231" s="301">
        <v>8.41</v>
      </c>
      <c r="F231" s="227">
        <v>8</v>
      </c>
      <c r="G231" s="227">
        <v>0.73</v>
      </c>
      <c r="H231" s="227">
        <v>1</v>
      </c>
      <c r="I231" s="227">
        <v>13</v>
      </c>
      <c r="J231" s="227">
        <v>0</v>
      </c>
      <c r="K231" s="226" t="s">
        <v>732</v>
      </c>
      <c r="L231" s="227">
        <v>1999</v>
      </c>
      <c r="M231" s="227" t="s">
        <v>1784</v>
      </c>
      <c r="N231" s="228" t="s">
        <v>4315</v>
      </c>
    </row>
    <row r="232" spans="1:14" x14ac:dyDescent="0.2">
      <c r="A232" s="236">
        <v>230</v>
      </c>
      <c r="B232" s="229" t="s">
        <v>1174</v>
      </c>
      <c r="C232" s="230" t="s">
        <v>3925</v>
      </c>
      <c r="D232" s="230">
        <v>8.3800000000000008</v>
      </c>
      <c r="E232" s="426">
        <v>8.4</v>
      </c>
      <c r="F232" s="230">
        <v>8.25</v>
      </c>
      <c r="G232" s="230">
        <v>0.99</v>
      </c>
      <c r="H232" s="230">
        <v>1</v>
      </c>
      <c r="I232" s="230">
        <v>8</v>
      </c>
      <c r="J232" s="230">
        <v>0</v>
      </c>
      <c r="K232" s="229" t="s">
        <v>3930</v>
      </c>
      <c r="L232" s="230">
        <v>1998</v>
      </c>
      <c r="M232" s="230" t="s">
        <v>1775</v>
      </c>
      <c r="N232" s="231" t="s">
        <v>3915</v>
      </c>
    </row>
    <row r="233" spans="1:14" x14ac:dyDescent="0.2">
      <c r="A233" s="236">
        <v>231</v>
      </c>
      <c r="B233" s="226" t="s">
        <v>334</v>
      </c>
      <c r="C233" s="227" t="s">
        <v>335</v>
      </c>
      <c r="D233" s="227">
        <v>8.4600000000000009</v>
      </c>
      <c r="E233" s="302">
        <v>8.39</v>
      </c>
      <c r="F233" s="227">
        <v>8.5</v>
      </c>
      <c r="G233" s="227">
        <v>0.84</v>
      </c>
      <c r="H233" s="227">
        <v>2</v>
      </c>
      <c r="I233" s="227">
        <v>13</v>
      </c>
      <c r="J233" s="227">
        <v>0</v>
      </c>
      <c r="K233" s="226" t="s">
        <v>739</v>
      </c>
      <c r="L233" s="227">
        <v>2018</v>
      </c>
      <c r="M233" s="227" t="s">
        <v>1787</v>
      </c>
      <c r="N233" s="228" t="s">
        <v>2019</v>
      </c>
    </row>
    <row r="234" spans="1:14" x14ac:dyDescent="0.2">
      <c r="A234" s="236">
        <v>232</v>
      </c>
      <c r="B234" s="229" t="s">
        <v>2165</v>
      </c>
      <c r="C234" s="230" t="s">
        <v>2742</v>
      </c>
      <c r="D234" s="230">
        <v>8.39</v>
      </c>
      <c r="E234" s="302">
        <v>8.39</v>
      </c>
      <c r="F234" s="230">
        <v>8</v>
      </c>
      <c r="G234" s="230">
        <v>0.83</v>
      </c>
      <c r="H234" s="230">
        <v>2</v>
      </c>
      <c r="I234" s="230">
        <v>14</v>
      </c>
      <c r="J234" s="230">
        <v>0</v>
      </c>
      <c r="K234" s="229" t="s">
        <v>2726</v>
      </c>
      <c r="L234" s="230">
        <v>1966</v>
      </c>
      <c r="M234" s="230" t="s">
        <v>1806</v>
      </c>
      <c r="N234" s="231" t="s">
        <v>2743</v>
      </c>
    </row>
    <row r="235" spans="1:14" x14ac:dyDescent="0.2">
      <c r="A235" s="236">
        <v>233</v>
      </c>
      <c r="B235" s="226" t="s">
        <v>2812</v>
      </c>
      <c r="C235" s="227" t="s">
        <v>2802</v>
      </c>
      <c r="D235" s="227">
        <v>8.44</v>
      </c>
      <c r="E235" s="302">
        <v>8.39</v>
      </c>
      <c r="F235" s="227">
        <v>8.5</v>
      </c>
      <c r="G235" s="227">
        <v>0.55000000000000004</v>
      </c>
      <c r="H235" s="227">
        <v>0</v>
      </c>
      <c r="I235" s="227">
        <v>10</v>
      </c>
      <c r="J235" s="227">
        <v>1</v>
      </c>
      <c r="K235" s="226" t="s">
        <v>2813</v>
      </c>
      <c r="L235" s="227">
        <v>2022</v>
      </c>
      <c r="M235" s="227" t="s">
        <v>1776</v>
      </c>
      <c r="N235" s="228" t="s">
        <v>2798</v>
      </c>
    </row>
    <row r="236" spans="1:14" x14ac:dyDescent="0.2">
      <c r="A236" s="236">
        <v>234</v>
      </c>
      <c r="B236" s="229" t="s">
        <v>5606</v>
      </c>
      <c r="C236" s="230" t="s">
        <v>5607</v>
      </c>
      <c r="D236" s="230">
        <v>8.4700000000000006</v>
      </c>
      <c r="E236" s="302">
        <v>8.39</v>
      </c>
      <c r="F236" s="230">
        <v>8.5</v>
      </c>
      <c r="G236" s="230">
        <v>0.77</v>
      </c>
      <c r="H236" s="230">
        <v>1</v>
      </c>
      <c r="I236" s="230">
        <v>19</v>
      </c>
      <c r="J236" s="230">
        <v>0</v>
      </c>
      <c r="K236" s="229" t="s">
        <v>1011</v>
      </c>
      <c r="L236" s="230">
        <v>2012</v>
      </c>
      <c r="M236" s="230" t="s">
        <v>1822</v>
      </c>
      <c r="N236" s="231" t="s">
        <v>5612</v>
      </c>
    </row>
    <row r="237" spans="1:14" x14ac:dyDescent="0.2">
      <c r="A237" s="236">
        <v>235</v>
      </c>
      <c r="B237" s="226" t="s">
        <v>1163</v>
      </c>
      <c r="C237" s="227" t="s">
        <v>1153</v>
      </c>
      <c r="D237" s="227">
        <v>8.4499999999999993</v>
      </c>
      <c r="E237" s="303">
        <v>8.3800000000000008</v>
      </c>
      <c r="F237" s="227">
        <v>8.5</v>
      </c>
      <c r="G237" s="227">
        <v>0.78</v>
      </c>
      <c r="H237" s="227">
        <v>1</v>
      </c>
      <c r="I237" s="227">
        <v>11</v>
      </c>
      <c r="J237" s="227">
        <v>0</v>
      </c>
      <c r="K237" s="226" t="s">
        <v>1164</v>
      </c>
      <c r="L237" s="227">
        <v>2024</v>
      </c>
      <c r="M237" s="227" t="s">
        <v>1806</v>
      </c>
      <c r="N237" s="228" t="s">
        <v>1987</v>
      </c>
    </row>
    <row r="238" spans="1:14" x14ac:dyDescent="0.2">
      <c r="A238" s="236">
        <v>236</v>
      </c>
      <c r="B238" s="229" t="s">
        <v>1860</v>
      </c>
      <c r="C238" s="230" t="s">
        <v>1861</v>
      </c>
      <c r="D238" s="230">
        <v>8.43</v>
      </c>
      <c r="E238" s="303">
        <v>8.3800000000000008</v>
      </c>
      <c r="F238" s="230">
        <v>8.5</v>
      </c>
      <c r="G238" s="230">
        <v>0.49</v>
      </c>
      <c r="H238" s="230">
        <v>0</v>
      </c>
      <c r="I238" s="230">
        <v>8</v>
      </c>
      <c r="J238" s="230">
        <v>1</v>
      </c>
      <c r="K238" s="229" t="s">
        <v>1862</v>
      </c>
      <c r="L238" s="230">
        <v>2026</v>
      </c>
      <c r="M238" s="230" t="s">
        <v>1798</v>
      </c>
      <c r="N238" s="231" t="s">
        <v>1959</v>
      </c>
    </row>
    <row r="239" spans="1:14" x14ac:dyDescent="0.2">
      <c r="A239" s="236">
        <v>237</v>
      </c>
      <c r="B239" s="226" t="s">
        <v>1540</v>
      </c>
      <c r="C239" s="227" t="s">
        <v>1541</v>
      </c>
      <c r="D239" s="227">
        <v>8.4</v>
      </c>
      <c r="E239" s="304">
        <v>8.3699999999999992</v>
      </c>
      <c r="F239" s="227">
        <v>8.5</v>
      </c>
      <c r="G239" s="227">
        <v>0.37</v>
      </c>
      <c r="H239" s="227">
        <v>0</v>
      </c>
      <c r="I239" s="227">
        <v>5</v>
      </c>
      <c r="J239" s="227">
        <v>0</v>
      </c>
      <c r="K239" s="226" t="s">
        <v>1542</v>
      </c>
      <c r="L239" s="227">
        <v>2026</v>
      </c>
      <c r="M239" s="227" t="s">
        <v>1778</v>
      </c>
      <c r="N239" s="228" t="s">
        <v>1971</v>
      </c>
    </row>
    <row r="240" spans="1:14" x14ac:dyDescent="0.2">
      <c r="A240" s="236">
        <v>238</v>
      </c>
      <c r="B240" s="229" t="s">
        <v>2702</v>
      </c>
      <c r="C240" s="230" t="s">
        <v>2703</v>
      </c>
      <c r="D240" s="230">
        <v>8.4</v>
      </c>
      <c r="E240" s="304">
        <v>8.3699999999999992</v>
      </c>
      <c r="F240" s="230">
        <v>8.5</v>
      </c>
      <c r="G240" s="230">
        <v>0.37</v>
      </c>
      <c r="H240" s="230">
        <v>0</v>
      </c>
      <c r="I240" s="230">
        <v>7</v>
      </c>
      <c r="J240" s="230">
        <v>2</v>
      </c>
      <c r="K240" s="229" t="s">
        <v>2704</v>
      </c>
      <c r="L240" s="230">
        <v>1990</v>
      </c>
      <c r="M240" s="230" t="s">
        <v>1780</v>
      </c>
      <c r="N240" s="231" t="s">
        <v>2561</v>
      </c>
    </row>
    <row r="241" spans="1:14" x14ac:dyDescent="0.2">
      <c r="A241" s="236">
        <v>239</v>
      </c>
      <c r="B241" s="226" t="s">
        <v>3641</v>
      </c>
      <c r="C241" s="227" t="s">
        <v>3641</v>
      </c>
      <c r="D241" s="227">
        <v>8.39</v>
      </c>
      <c r="E241" s="416">
        <v>8.36</v>
      </c>
      <c r="F241" s="227">
        <v>8.5</v>
      </c>
      <c r="G241" s="227">
        <v>0.39</v>
      </c>
      <c r="H241" s="227">
        <v>0</v>
      </c>
      <c r="I241" s="227">
        <v>9</v>
      </c>
      <c r="J241" s="227">
        <v>0</v>
      </c>
      <c r="K241" s="226" t="s">
        <v>3643</v>
      </c>
      <c r="L241" s="227">
        <v>1999</v>
      </c>
      <c r="M241" s="227" t="s">
        <v>1780</v>
      </c>
      <c r="N241" s="228" t="s">
        <v>3644</v>
      </c>
    </row>
    <row r="242" spans="1:14" x14ac:dyDescent="0.2">
      <c r="A242" s="236">
        <v>240</v>
      </c>
      <c r="B242" s="229" t="s">
        <v>4184</v>
      </c>
      <c r="C242" s="230" t="s">
        <v>4185</v>
      </c>
      <c r="D242" s="230">
        <v>8.4600000000000009</v>
      </c>
      <c r="E242" s="446">
        <v>8.35</v>
      </c>
      <c r="F242" s="230">
        <v>8.25</v>
      </c>
      <c r="G242" s="230">
        <v>0.72</v>
      </c>
      <c r="H242" s="230">
        <v>1</v>
      </c>
      <c r="I242" s="230">
        <v>14</v>
      </c>
      <c r="J242" s="230">
        <v>0</v>
      </c>
      <c r="K242" s="229" t="s">
        <v>731</v>
      </c>
      <c r="L242" s="230">
        <v>1992</v>
      </c>
      <c r="M242" s="230" t="s">
        <v>1787</v>
      </c>
      <c r="N242" s="231" t="s">
        <v>4169</v>
      </c>
    </row>
    <row r="243" spans="1:14" x14ac:dyDescent="0.2">
      <c r="A243" s="236">
        <v>241</v>
      </c>
      <c r="B243" s="226" t="s">
        <v>315</v>
      </c>
      <c r="C243" s="227" t="s">
        <v>316</v>
      </c>
      <c r="D243" s="227">
        <v>8.42</v>
      </c>
      <c r="E243" s="305">
        <v>8.34</v>
      </c>
      <c r="F243" s="227">
        <v>8.5</v>
      </c>
      <c r="G243" s="227">
        <v>0.91</v>
      </c>
      <c r="H243" s="227">
        <v>1</v>
      </c>
      <c r="I243" s="227">
        <v>13</v>
      </c>
      <c r="J243" s="227">
        <v>1</v>
      </c>
      <c r="K243" s="226" t="s">
        <v>725</v>
      </c>
      <c r="L243" s="227">
        <v>2000</v>
      </c>
      <c r="M243" s="227" t="s">
        <v>1801</v>
      </c>
      <c r="N243" s="228" t="s">
        <v>2022</v>
      </c>
    </row>
    <row r="244" spans="1:14" x14ac:dyDescent="0.2">
      <c r="A244" s="236">
        <v>242</v>
      </c>
      <c r="B244" s="229" t="s">
        <v>1410</v>
      </c>
      <c r="C244" s="230" t="s">
        <v>1464</v>
      </c>
      <c r="D244" s="230">
        <v>8.44</v>
      </c>
      <c r="E244" s="305">
        <v>8.34</v>
      </c>
      <c r="F244" s="230">
        <v>8.5</v>
      </c>
      <c r="G244" s="230">
        <v>1.28</v>
      </c>
      <c r="H244" s="230">
        <v>2</v>
      </c>
      <c r="I244" s="230">
        <v>10</v>
      </c>
      <c r="J244" s="230">
        <v>1</v>
      </c>
      <c r="K244" s="229" t="s">
        <v>1469</v>
      </c>
      <c r="L244" s="230">
        <v>2016</v>
      </c>
      <c r="M244" s="230" t="s">
        <v>1803</v>
      </c>
      <c r="N244" s="231" t="s">
        <v>1974</v>
      </c>
    </row>
    <row r="245" spans="1:14" x14ac:dyDescent="0.2">
      <c r="A245" s="236">
        <v>243</v>
      </c>
      <c r="B245" s="226" t="s">
        <v>2928</v>
      </c>
      <c r="C245" s="227" t="s">
        <v>2929</v>
      </c>
      <c r="D245" s="227">
        <v>8.4499999999999993</v>
      </c>
      <c r="E245" s="305">
        <v>8.34</v>
      </c>
      <c r="F245" s="227">
        <v>8.25</v>
      </c>
      <c r="G245" s="227">
        <v>0.69</v>
      </c>
      <c r="H245" s="227">
        <v>1</v>
      </c>
      <c r="I245" s="227">
        <v>10</v>
      </c>
      <c r="J245" s="227">
        <v>0</v>
      </c>
      <c r="K245" s="226" t="s">
        <v>734</v>
      </c>
      <c r="L245" s="227">
        <v>1986</v>
      </c>
      <c r="M245" s="227" t="s">
        <v>2930</v>
      </c>
      <c r="N245" s="228" t="s">
        <v>2931</v>
      </c>
    </row>
    <row r="246" spans="1:14" x14ac:dyDescent="0.2">
      <c r="A246" s="236">
        <v>244</v>
      </c>
      <c r="B246" s="229" t="s">
        <v>1300</v>
      </c>
      <c r="C246" s="230" t="s">
        <v>3485</v>
      </c>
      <c r="D246" s="230">
        <v>8.36</v>
      </c>
      <c r="E246" s="305">
        <v>8.34</v>
      </c>
      <c r="F246" s="230">
        <v>8</v>
      </c>
      <c r="G246" s="230">
        <v>0.91</v>
      </c>
      <c r="H246" s="230">
        <v>1</v>
      </c>
      <c r="I246" s="230">
        <v>12</v>
      </c>
      <c r="J246" s="230">
        <v>1</v>
      </c>
      <c r="K246" s="229" t="s">
        <v>2368</v>
      </c>
      <c r="L246" s="230">
        <v>2005</v>
      </c>
      <c r="M246" s="230" t="s">
        <v>1784</v>
      </c>
      <c r="N246" s="231" t="s">
        <v>3497</v>
      </c>
    </row>
    <row r="247" spans="1:14" x14ac:dyDescent="0.2">
      <c r="A247" s="236">
        <v>245</v>
      </c>
      <c r="B247" s="226" t="s">
        <v>1728</v>
      </c>
      <c r="C247" s="227" t="s">
        <v>4813</v>
      </c>
      <c r="D247" s="227">
        <v>8.3800000000000008</v>
      </c>
      <c r="E247" s="305">
        <v>8.34</v>
      </c>
      <c r="F247" s="227">
        <v>8.5</v>
      </c>
      <c r="G247" s="227">
        <v>0.48</v>
      </c>
      <c r="H247" s="227">
        <v>0</v>
      </c>
      <c r="I247" s="227">
        <v>8</v>
      </c>
      <c r="J247" s="227">
        <v>0</v>
      </c>
      <c r="K247" s="226" t="s">
        <v>4814</v>
      </c>
      <c r="L247" s="227">
        <v>2017</v>
      </c>
      <c r="M247" s="227" t="s">
        <v>4815</v>
      </c>
      <c r="N247" s="228" t="s">
        <v>4803</v>
      </c>
    </row>
    <row r="248" spans="1:14" x14ac:dyDescent="0.2">
      <c r="A248" s="236">
        <v>246</v>
      </c>
      <c r="B248" s="229" t="s">
        <v>1893</v>
      </c>
      <c r="C248" s="230" t="s">
        <v>1879</v>
      </c>
      <c r="D248" s="230">
        <v>8.3800000000000008</v>
      </c>
      <c r="E248" s="306">
        <v>8.33</v>
      </c>
      <c r="F248" s="230">
        <v>8.5</v>
      </c>
      <c r="G248" s="230">
        <v>0.78</v>
      </c>
      <c r="H248" s="230">
        <v>2</v>
      </c>
      <c r="I248" s="230">
        <v>19</v>
      </c>
      <c r="J248" s="230">
        <v>2</v>
      </c>
      <c r="K248" s="229" t="s">
        <v>1895</v>
      </c>
      <c r="L248" s="230">
        <v>1994</v>
      </c>
      <c r="M248" s="230" t="s">
        <v>1765</v>
      </c>
      <c r="N248" s="231" t="s">
        <v>1958</v>
      </c>
    </row>
    <row r="249" spans="1:14" x14ac:dyDescent="0.2">
      <c r="A249" s="236">
        <v>247</v>
      </c>
      <c r="B249" s="226" t="s">
        <v>4381</v>
      </c>
      <c r="C249" s="227" t="s">
        <v>4382</v>
      </c>
      <c r="D249" s="227">
        <v>8.3800000000000008</v>
      </c>
      <c r="E249" s="464">
        <v>8.32</v>
      </c>
      <c r="F249" s="227">
        <v>8.5</v>
      </c>
      <c r="G249" s="227">
        <v>0.79</v>
      </c>
      <c r="H249" s="227">
        <v>1</v>
      </c>
      <c r="I249" s="227">
        <v>12</v>
      </c>
      <c r="J249" s="227">
        <v>0</v>
      </c>
      <c r="K249" s="226" t="s">
        <v>1613</v>
      </c>
      <c r="L249" s="227">
        <v>2001</v>
      </c>
      <c r="M249" s="227" t="s">
        <v>1807</v>
      </c>
      <c r="N249" s="228" t="s">
        <v>4383</v>
      </c>
    </row>
    <row r="250" spans="1:14" x14ac:dyDescent="0.2">
      <c r="A250" s="236">
        <v>248</v>
      </c>
      <c r="B250" s="229" t="s">
        <v>4825</v>
      </c>
      <c r="C250" s="230" t="s">
        <v>4826</v>
      </c>
      <c r="D250" s="230">
        <v>8.42</v>
      </c>
      <c r="E250" s="407">
        <v>8.31</v>
      </c>
      <c r="F250" s="230">
        <v>8.25</v>
      </c>
      <c r="G250" s="230">
        <v>0.89</v>
      </c>
      <c r="H250" s="230">
        <v>1</v>
      </c>
      <c r="I250" s="230">
        <v>6</v>
      </c>
      <c r="J250" s="230">
        <v>0</v>
      </c>
      <c r="K250" s="229" t="s">
        <v>4830</v>
      </c>
      <c r="L250" s="230">
        <v>1996</v>
      </c>
      <c r="M250" s="230" t="s">
        <v>1818</v>
      </c>
      <c r="N250" s="231" t="s">
        <v>4803</v>
      </c>
    </row>
    <row r="251" spans="1:14" x14ac:dyDescent="0.2">
      <c r="A251" s="236">
        <v>249</v>
      </c>
      <c r="B251" s="226" t="s">
        <v>2914</v>
      </c>
      <c r="C251" s="227" t="s">
        <v>2915</v>
      </c>
      <c r="D251" s="227">
        <v>8.4</v>
      </c>
      <c r="E251" s="348">
        <v>8.3000000000000007</v>
      </c>
      <c r="F251" s="227">
        <v>8.25</v>
      </c>
      <c r="G251" s="227">
        <v>0.73</v>
      </c>
      <c r="H251" s="227">
        <v>1</v>
      </c>
      <c r="I251" s="227">
        <v>10</v>
      </c>
      <c r="J251" s="227">
        <v>0</v>
      </c>
      <c r="K251" s="226" t="s">
        <v>997</v>
      </c>
      <c r="L251" s="227">
        <v>1989</v>
      </c>
      <c r="M251" s="227" t="s">
        <v>1785</v>
      </c>
      <c r="N251" s="228" t="s">
        <v>2899</v>
      </c>
    </row>
    <row r="252" spans="1:14" x14ac:dyDescent="0.2">
      <c r="A252" s="236">
        <v>250</v>
      </c>
      <c r="B252" s="229" t="s">
        <v>3281</v>
      </c>
      <c r="C252" s="230" t="s">
        <v>3282</v>
      </c>
      <c r="D252" s="230">
        <v>8.2899999999999991</v>
      </c>
      <c r="E252" s="348">
        <v>8.3000000000000007</v>
      </c>
      <c r="F252" s="230">
        <v>8.5</v>
      </c>
      <c r="G252" s="230">
        <v>0.25</v>
      </c>
      <c r="H252" s="230">
        <v>0</v>
      </c>
      <c r="I252" s="230">
        <v>8</v>
      </c>
      <c r="J252" s="230">
        <v>1</v>
      </c>
      <c r="K252" s="229" t="s">
        <v>3283</v>
      </c>
      <c r="L252" s="230">
        <v>1995</v>
      </c>
      <c r="M252" s="230" t="s">
        <v>1803</v>
      </c>
      <c r="N252" s="231" t="s">
        <v>3275</v>
      </c>
    </row>
    <row r="253" spans="1:14" x14ac:dyDescent="0.2">
      <c r="A253" s="236">
        <v>251</v>
      </c>
      <c r="B253" s="226" t="s">
        <v>607</v>
      </c>
      <c r="C253" s="227" t="s">
        <v>3329</v>
      </c>
      <c r="D253" s="227">
        <v>8.3800000000000008</v>
      </c>
      <c r="E253" s="387">
        <v>8.2799999999999994</v>
      </c>
      <c r="F253" s="227">
        <v>8.25</v>
      </c>
      <c r="G253" s="227">
        <v>0.67</v>
      </c>
      <c r="H253" s="227">
        <v>1</v>
      </c>
      <c r="I253" s="227">
        <v>16</v>
      </c>
      <c r="J253" s="227">
        <v>0</v>
      </c>
      <c r="K253" s="226" t="s">
        <v>739</v>
      </c>
      <c r="L253" s="227">
        <v>2024</v>
      </c>
      <c r="M253" s="227" t="s">
        <v>1778</v>
      </c>
      <c r="N253" s="228" t="s">
        <v>3330</v>
      </c>
    </row>
    <row r="254" spans="1:14" x14ac:dyDescent="0.2">
      <c r="A254" s="236">
        <v>252</v>
      </c>
      <c r="B254" s="229" t="s">
        <v>1048</v>
      </c>
      <c r="C254" s="230" t="s">
        <v>1049</v>
      </c>
      <c r="D254" s="230">
        <v>8.4600000000000009</v>
      </c>
      <c r="E254" s="307">
        <v>8.27</v>
      </c>
      <c r="F254" s="230">
        <v>8</v>
      </c>
      <c r="G254" s="230">
        <v>1.1299999999999999</v>
      </c>
      <c r="H254" s="230">
        <v>3</v>
      </c>
      <c r="I254" s="230">
        <v>13</v>
      </c>
      <c r="J254" s="230">
        <v>1</v>
      </c>
      <c r="K254" s="229" t="s">
        <v>1050</v>
      </c>
      <c r="L254" s="230">
        <v>1993</v>
      </c>
      <c r="M254" s="230" t="s">
        <v>1800</v>
      </c>
      <c r="N254" s="231" t="s">
        <v>1989</v>
      </c>
    </row>
    <row r="255" spans="1:14" x14ac:dyDescent="0.2">
      <c r="A255" s="236">
        <v>253</v>
      </c>
      <c r="B255" s="226" t="s">
        <v>300</v>
      </c>
      <c r="C255" s="227" t="s">
        <v>1701</v>
      </c>
      <c r="D255" s="227">
        <v>8.2899999999999991</v>
      </c>
      <c r="E255" s="307">
        <v>8.27</v>
      </c>
      <c r="F255" s="227">
        <v>8.5</v>
      </c>
      <c r="G255" s="227">
        <v>0.45</v>
      </c>
      <c r="H255" s="227">
        <v>0</v>
      </c>
      <c r="I255" s="227">
        <v>9</v>
      </c>
      <c r="J255" s="227">
        <v>2</v>
      </c>
      <c r="K255" s="226" t="s">
        <v>735</v>
      </c>
      <c r="L255" s="227">
        <v>1998</v>
      </c>
      <c r="M255" s="227" t="s">
        <v>1800</v>
      </c>
      <c r="N255" s="228" t="s">
        <v>1963</v>
      </c>
    </row>
    <row r="256" spans="1:14" x14ac:dyDescent="0.2">
      <c r="A256" s="236">
        <v>254</v>
      </c>
      <c r="B256" s="229" t="s">
        <v>3583</v>
      </c>
      <c r="C256" s="230" t="s">
        <v>3584</v>
      </c>
      <c r="D256" s="230">
        <v>8.35</v>
      </c>
      <c r="E256" s="307">
        <v>8.27</v>
      </c>
      <c r="F256" s="230">
        <v>8.25</v>
      </c>
      <c r="G256" s="230">
        <v>0.5</v>
      </c>
      <c r="H256" s="230">
        <v>0</v>
      </c>
      <c r="I256" s="230">
        <v>10</v>
      </c>
      <c r="J256" s="230">
        <v>0</v>
      </c>
      <c r="K256" s="229" t="s">
        <v>3588</v>
      </c>
      <c r="L256" s="230">
        <v>2025</v>
      </c>
      <c r="M256" s="230" t="s">
        <v>1787</v>
      </c>
      <c r="N256" s="231" t="s">
        <v>3589</v>
      </c>
    </row>
    <row r="257" spans="1:14" x14ac:dyDescent="0.2">
      <c r="A257" s="236">
        <v>255</v>
      </c>
      <c r="B257" s="226" t="s">
        <v>313</v>
      </c>
      <c r="C257" s="227" t="s">
        <v>160</v>
      </c>
      <c r="D257" s="227">
        <v>8.3800000000000008</v>
      </c>
      <c r="E257" s="308">
        <v>8.25</v>
      </c>
      <c r="F257" s="227">
        <v>8.25</v>
      </c>
      <c r="G257" s="227">
        <v>1.06</v>
      </c>
      <c r="H257" s="227">
        <v>2</v>
      </c>
      <c r="I257" s="227">
        <v>12</v>
      </c>
      <c r="J257" s="227">
        <v>0</v>
      </c>
      <c r="K257" s="226" t="s">
        <v>779</v>
      </c>
      <c r="L257" s="227">
        <v>1992</v>
      </c>
      <c r="M257" s="227" t="s">
        <v>1797</v>
      </c>
      <c r="N257" s="228" t="s">
        <v>1955</v>
      </c>
    </row>
    <row r="258" spans="1:14" x14ac:dyDescent="0.2">
      <c r="A258" s="236">
        <v>256</v>
      </c>
      <c r="B258" s="229" t="s">
        <v>300</v>
      </c>
      <c r="C258" s="230" t="s">
        <v>1584</v>
      </c>
      <c r="D258" s="230">
        <v>8.4</v>
      </c>
      <c r="E258" s="308">
        <v>8.25</v>
      </c>
      <c r="F258" s="230">
        <v>8</v>
      </c>
      <c r="G258" s="230">
        <v>0.86</v>
      </c>
      <c r="H258" s="230">
        <v>1</v>
      </c>
      <c r="I258" s="230">
        <v>5</v>
      </c>
      <c r="J258" s="230">
        <v>0</v>
      </c>
      <c r="K258" s="229" t="s">
        <v>733</v>
      </c>
      <c r="L258" s="230">
        <v>1996</v>
      </c>
      <c r="M258" s="230" t="s">
        <v>1792</v>
      </c>
      <c r="N258" s="231" t="s">
        <v>1968</v>
      </c>
    </row>
    <row r="259" spans="1:14" x14ac:dyDescent="0.2">
      <c r="A259" s="236">
        <v>257</v>
      </c>
      <c r="B259" s="226" t="s">
        <v>2826</v>
      </c>
      <c r="C259" s="227" t="s">
        <v>2827</v>
      </c>
      <c r="D259" s="227">
        <v>8.41</v>
      </c>
      <c r="E259" s="309">
        <v>8.24</v>
      </c>
      <c r="F259" s="227">
        <v>8</v>
      </c>
      <c r="G259" s="227">
        <v>0.95</v>
      </c>
      <c r="H259" s="227">
        <v>2</v>
      </c>
      <c r="I259" s="227">
        <v>12</v>
      </c>
      <c r="J259" s="227">
        <v>1</v>
      </c>
      <c r="K259" s="226" t="s">
        <v>2829</v>
      </c>
      <c r="L259" s="227">
        <v>2003</v>
      </c>
      <c r="M259" s="227" t="s">
        <v>1811</v>
      </c>
      <c r="N259" s="228" t="s">
        <v>2830</v>
      </c>
    </row>
    <row r="260" spans="1:14" x14ac:dyDescent="0.2">
      <c r="A260" s="236">
        <v>258</v>
      </c>
      <c r="B260" s="229" t="s">
        <v>2826</v>
      </c>
      <c r="C260" s="230" t="s">
        <v>3470</v>
      </c>
      <c r="D260" s="230">
        <v>8.35</v>
      </c>
      <c r="E260" s="309">
        <v>8.24</v>
      </c>
      <c r="F260" s="230">
        <v>8.25</v>
      </c>
      <c r="G260" s="230">
        <v>0.87</v>
      </c>
      <c r="H260" s="230">
        <v>1</v>
      </c>
      <c r="I260" s="230">
        <v>12</v>
      </c>
      <c r="J260" s="230">
        <v>2</v>
      </c>
      <c r="K260" s="229" t="s">
        <v>2829</v>
      </c>
      <c r="L260" s="230">
        <v>2000</v>
      </c>
      <c r="M260" s="230" t="s">
        <v>1766</v>
      </c>
      <c r="N260" s="231" t="s">
        <v>3471</v>
      </c>
    </row>
    <row r="261" spans="1:14" x14ac:dyDescent="0.2">
      <c r="A261" s="236">
        <v>259</v>
      </c>
      <c r="B261" s="226" t="s">
        <v>677</v>
      </c>
      <c r="C261" s="227" t="s">
        <v>677</v>
      </c>
      <c r="D261" s="227">
        <v>8.24</v>
      </c>
      <c r="E261" s="310">
        <v>8.23</v>
      </c>
      <c r="F261" s="227">
        <v>8</v>
      </c>
      <c r="G261" s="227">
        <v>1.1299999999999999</v>
      </c>
      <c r="H261" s="227">
        <v>3</v>
      </c>
      <c r="I261" s="227">
        <v>17</v>
      </c>
      <c r="J261" s="227">
        <v>0</v>
      </c>
      <c r="K261" s="226" t="s">
        <v>2446</v>
      </c>
      <c r="L261" s="227">
        <v>2001</v>
      </c>
      <c r="M261" s="227" t="s">
        <v>1818</v>
      </c>
      <c r="N261" s="228" t="s">
        <v>2447</v>
      </c>
    </row>
    <row r="262" spans="1:14" x14ac:dyDescent="0.2">
      <c r="A262" s="236">
        <v>260</v>
      </c>
      <c r="B262" s="229" t="s">
        <v>292</v>
      </c>
      <c r="C262" s="230" t="s">
        <v>278</v>
      </c>
      <c r="D262" s="230">
        <v>8.35</v>
      </c>
      <c r="E262" s="311">
        <v>8.2200000000000006</v>
      </c>
      <c r="F262" s="230">
        <v>8.25</v>
      </c>
      <c r="G262" s="230">
        <v>1.32</v>
      </c>
      <c r="H262" s="230">
        <v>3</v>
      </c>
      <c r="I262" s="230">
        <v>10</v>
      </c>
      <c r="J262" s="230">
        <v>0</v>
      </c>
      <c r="K262" s="229" t="s">
        <v>731</v>
      </c>
      <c r="L262" s="230">
        <v>1993</v>
      </c>
      <c r="M262" s="230" t="s">
        <v>1793</v>
      </c>
      <c r="N262" s="231" t="s">
        <v>2019</v>
      </c>
    </row>
    <row r="263" spans="1:14" x14ac:dyDescent="0.2">
      <c r="A263" s="236">
        <v>261</v>
      </c>
      <c r="B263" s="226" t="s">
        <v>4362</v>
      </c>
      <c r="C263" s="227" t="s">
        <v>4359</v>
      </c>
      <c r="D263" s="227">
        <v>8.39</v>
      </c>
      <c r="E263" s="311">
        <v>8.2200000000000006</v>
      </c>
      <c r="F263" s="227">
        <v>8</v>
      </c>
      <c r="G263" s="227">
        <v>0.87</v>
      </c>
      <c r="H263" s="227">
        <v>1</v>
      </c>
      <c r="I263" s="227">
        <v>9</v>
      </c>
      <c r="J263" s="227">
        <v>0</v>
      </c>
      <c r="K263" s="226" t="s">
        <v>1479</v>
      </c>
      <c r="L263" s="227">
        <v>1972</v>
      </c>
      <c r="M263" s="227" t="s">
        <v>1767</v>
      </c>
      <c r="N263" s="228" t="s">
        <v>4367</v>
      </c>
    </row>
    <row r="264" spans="1:14" x14ac:dyDescent="0.2">
      <c r="A264" s="236">
        <v>262</v>
      </c>
      <c r="B264" s="229" t="s">
        <v>4758</v>
      </c>
      <c r="C264" s="230" t="s">
        <v>4759</v>
      </c>
      <c r="D264" s="230">
        <v>8.35</v>
      </c>
      <c r="E264" s="311">
        <v>8.2200000000000006</v>
      </c>
      <c r="F264" s="230">
        <v>8</v>
      </c>
      <c r="G264" s="230">
        <v>0.5</v>
      </c>
      <c r="H264" s="230">
        <v>0</v>
      </c>
      <c r="I264" s="230">
        <v>10</v>
      </c>
      <c r="J264" s="230">
        <v>0</v>
      </c>
      <c r="K264" s="229" t="s">
        <v>4643</v>
      </c>
      <c r="L264" s="230">
        <v>1997</v>
      </c>
      <c r="M264" s="230" t="s">
        <v>1781</v>
      </c>
      <c r="N264" s="231" t="s">
        <v>4764</v>
      </c>
    </row>
    <row r="265" spans="1:14" x14ac:dyDescent="0.2">
      <c r="A265" s="236">
        <v>263</v>
      </c>
      <c r="B265" s="226" t="s">
        <v>1174</v>
      </c>
      <c r="C265" s="227" t="s">
        <v>3306</v>
      </c>
      <c r="D265" s="227">
        <v>8.1999999999999993</v>
      </c>
      <c r="E265" s="385">
        <v>8.2100000000000009</v>
      </c>
      <c r="F265" s="227">
        <v>8</v>
      </c>
      <c r="G265" s="227">
        <v>0.95</v>
      </c>
      <c r="H265" s="227">
        <v>1</v>
      </c>
      <c r="I265" s="227">
        <v>10</v>
      </c>
      <c r="J265" s="227">
        <v>0</v>
      </c>
      <c r="K265" s="226" t="s">
        <v>3307</v>
      </c>
      <c r="L265" s="227">
        <v>2002</v>
      </c>
      <c r="M265" s="227" t="s">
        <v>1770</v>
      </c>
      <c r="N265" s="228" t="s">
        <v>3308</v>
      </c>
    </row>
    <row r="266" spans="1:14" x14ac:dyDescent="0.2">
      <c r="A266" s="236">
        <v>264</v>
      </c>
      <c r="B266" s="229" t="s">
        <v>314</v>
      </c>
      <c r="C266" s="230" t="s">
        <v>271</v>
      </c>
      <c r="D266" s="230">
        <v>8.35</v>
      </c>
      <c r="E266" s="312">
        <v>8.1999999999999993</v>
      </c>
      <c r="F266" s="230">
        <v>8</v>
      </c>
      <c r="G266" s="230">
        <v>0.78</v>
      </c>
      <c r="H266" s="230">
        <v>1</v>
      </c>
      <c r="I266" s="230">
        <v>10</v>
      </c>
      <c r="J266" s="230">
        <v>0</v>
      </c>
      <c r="K266" s="229" t="s">
        <v>781</v>
      </c>
      <c r="L266" s="230">
        <v>1979</v>
      </c>
      <c r="M266" s="230" t="s">
        <v>1796</v>
      </c>
      <c r="N266" s="231" t="s">
        <v>2019</v>
      </c>
    </row>
    <row r="267" spans="1:14" x14ac:dyDescent="0.2">
      <c r="A267" s="236">
        <v>265</v>
      </c>
      <c r="B267" s="226" t="s">
        <v>4680</v>
      </c>
      <c r="C267" s="227" t="s">
        <v>4680</v>
      </c>
      <c r="D267" s="227">
        <v>8.35</v>
      </c>
      <c r="E267" s="491">
        <v>8.19</v>
      </c>
      <c r="F267" s="227">
        <v>8</v>
      </c>
      <c r="G267" s="227">
        <v>0.87</v>
      </c>
      <c r="H267" s="227">
        <v>1</v>
      </c>
      <c r="I267" s="227">
        <v>10</v>
      </c>
      <c r="J267" s="227">
        <v>0</v>
      </c>
      <c r="K267" s="226" t="s">
        <v>4683</v>
      </c>
      <c r="L267" s="227">
        <v>1994</v>
      </c>
      <c r="M267" s="227" t="s">
        <v>1772</v>
      </c>
      <c r="N267" s="228" t="s">
        <v>4682</v>
      </c>
    </row>
    <row r="268" spans="1:14" x14ac:dyDescent="0.2">
      <c r="A268" s="236">
        <v>266</v>
      </c>
      <c r="B268" s="229" t="s">
        <v>2793</v>
      </c>
      <c r="C268" s="230" t="s">
        <v>2794</v>
      </c>
      <c r="D268" s="230">
        <v>8.25</v>
      </c>
      <c r="E268" s="313">
        <v>8.18</v>
      </c>
      <c r="F268" s="230">
        <v>8.25</v>
      </c>
      <c r="G268" s="230">
        <v>0.6</v>
      </c>
      <c r="H268" s="230">
        <v>0</v>
      </c>
      <c r="I268" s="230">
        <v>12</v>
      </c>
      <c r="J268" s="230">
        <v>0</v>
      </c>
      <c r="K268" s="229" t="s">
        <v>1730</v>
      </c>
      <c r="L268" s="230">
        <v>2024</v>
      </c>
      <c r="M268" s="230" t="s">
        <v>1806</v>
      </c>
      <c r="N268" s="231" t="s">
        <v>2798</v>
      </c>
    </row>
    <row r="269" spans="1:14" x14ac:dyDescent="0.2">
      <c r="A269" s="236">
        <v>267</v>
      </c>
      <c r="B269" s="226" t="s">
        <v>699</v>
      </c>
      <c r="C269" s="227" t="s">
        <v>4863</v>
      </c>
      <c r="D269" s="227">
        <v>8.25</v>
      </c>
      <c r="E269" s="313">
        <v>8.18</v>
      </c>
      <c r="F269" s="227">
        <v>8.25</v>
      </c>
      <c r="G269" s="227">
        <v>0.6</v>
      </c>
      <c r="H269" s="227">
        <v>0</v>
      </c>
      <c r="I269" s="227">
        <v>12</v>
      </c>
      <c r="J269" s="227">
        <v>0</v>
      </c>
      <c r="K269" s="226" t="s">
        <v>4881</v>
      </c>
      <c r="L269" s="227">
        <v>2026</v>
      </c>
      <c r="M269" s="227" t="s">
        <v>1770</v>
      </c>
      <c r="N269" s="228" t="s">
        <v>4882</v>
      </c>
    </row>
    <row r="270" spans="1:14" x14ac:dyDescent="0.2">
      <c r="A270" s="236">
        <v>268</v>
      </c>
      <c r="B270" s="229" t="s">
        <v>319</v>
      </c>
      <c r="C270" s="230" t="s">
        <v>320</v>
      </c>
      <c r="D270" s="230">
        <v>8.33</v>
      </c>
      <c r="E270" s="314">
        <v>8.17</v>
      </c>
      <c r="F270" s="230">
        <v>8</v>
      </c>
      <c r="G270" s="230">
        <v>0.94</v>
      </c>
      <c r="H270" s="230">
        <v>1</v>
      </c>
      <c r="I270" s="230">
        <v>9</v>
      </c>
      <c r="J270" s="230">
        <v>0</v>
      </c>
      <c r="K270" s="229" t="s">
        <v>721</v>
      </c>
      <c r="L270" s="230">
        <v>1993</v>
      </c>
      <c r="M270" s="230" t="s">
        <v>1791</v>
      </c>
      <c r="N270" s="231" t="s">
        <v>2020</v>
      </c>
    </row>
    <row r="271" spans="1:14" x14ac:dyDescent="0.2">
      <c r="A271" s="236">
        <v>269</v>
      </c>
      <c r="B271" s="226" t="s">
        <v>533</v>
      </c>
      <c r="C271" s="227" t="s">
        <v>534</v>
      </c>
      <c r="D271" s="227">
        <v>8.31</v>
      </c>
      <c r="E271" s="314">
        <v>8.16</v>
      </c>
      <c r="F271" s="227">
        <v>8</v>
      </c>
      <c r="G271" s="227">
        <v>0.89</v>
      </c>
      <c r="H271" s="227">
        <v>2</v>
      </c>
      <c r="I271" s="227">
        <v>14</v>
      </c>
      <c r="J271" s="227">
        <v>1</v>
      </c>
      <c r="K271" s="226" t="s">
        <v>724</v>
      </c>
      <c r="L271" s="227">
        <v>2016</v>
      </c>
      <c r="M271" s="227" t="s">
        <v>1787</v>
      </c>
      <c r="N271" s="228" t="s">
        <v>2012</v>
      </c>
    </row>
    <row r="272" spans="1:14" x14ac:dyDescent="0.2">
      <c r="A272" s="236">
        <v>270</v>
      </c>
      <c r="B272" s="229" t="s">
        <v>1689</v>
      </c>
      <c r="C272" s="230" t="s">
        <v>1689</v>
      </c>
      <c r="D272" s="230">
        <v>8.2899999999999991</v>
      </c>
      <c r="E272" s="314">
        <v>8.16</v>
      </c>
      <c r="F272" s="230">
        <v>8</v>
      </c>
      <c r="G272" s="230">
        <v>0.52</v>
      </c>
      <c r="H272" s="230">
        <v>0</v>
      </c>
      <c r="I272" s="230">
        <v>7</v>
      </c>
      <c r="J272" s="230">
        <v>0</v>
      </c>
      <c r="K272" s="229" t="s">
        <v>1690</v>
      </c>
      <c r="L272" s="230">
        <v>2018</v>
      </c>
      <c r="M272" s="230" t="s">
        <v>1808</v>
      </c>
      <c r="N272" s="231" t="s">
        <v>1964</v>
      </c>
    </row>
    <row r="273" spans="1:14" x14ac:dyDescent="0.2">
      <c r="A273" s="236">
        <v>271</v>
      </c>
      <c r="B273" s="226" t="s">
        <v>2527</v>
      </c>
      <c r="C273" s="227" t="s">
        <v>2528</v>
      </c>
      <c r="D273" s="227">
        <v>8.31</v>
      </c>
      <c r="E273" s="314">
        <v>8.16</v>
      </c>
      <c r="F273" s="227">
        <v>8</v>
      </c>
      <c r="G273" s="227">
        <v>0.93</v>
      </c>
      <c r="H273" s="227">
        <v>1</v>
      </c>
      <c r="I273" s="227">
        <v>8</v>
      </c>
      <c r="J273" s="227">
        <v>0</v>
      </c>
      <c r="K273" s="226" t="s">
        <v>987</v>
      </c>
      <c r="L273" s="227">
        <v>2016</v>
      </c>
      <c r="M273" s="227" t="s">
        <v>1772</v>
      </c>
      <c r="N273" s="228" t="s">
        <v>2529</v>
      </c>
    </row>
    <row r="274" spans="1:14" x14ac:dyDescent="0.2">
      <c r="A274" s="236">
        <v>272</v>
      </c>
      <c r="B274" s="229" t="s">
        <v>300</v>
      </c>
      <c r="C274" s="230" t="s">
        <v>1637</v>
      </c>
      <c r="D274" s="230">
        <v>8.25</v>
      </c>
      <c r="E274" s="315">
        <v>8.1300000000000008</v>
      </c>
      <c r="F274" s="230">
        <v>8.25</v>
      </c>
      <c r="G274" s="230">
        <v>0.97</v>
      </c>
      <c r="H274" s="230">
        <v>0</v>
      </c>
      <c r="I274" s="230">
        <v>8</v>
      </c>
      <c r="J274" s="230">
        <v>0</v>
      </c>
      <c r="K274" s="229" t="s">
        <v>987</v>
      </c>
      <c r="L274" s="230">
        <v>2014</v>
      </c>
      <c r="M274" s="230" t="s">
        <v>1807</v>
      </c>
      <c r="N274" s="231" t="s">
        <v>1966</v>
      </c>
    </row>
    <row r="275" spans="1:14" x14ac:dyDescent="0.2">
      <c r="A275" s="236">
        <v>273</v>
      </c>
      <c r="B275" s="226" t="s">
        <v>2224</v>
      </c>
      <c r="C275" s="227" t="s">
        <v>2225</v>
      </c>
      <c r="D275" s="227">
        <v>8.1999999999999993</v>
      </c>
      <c r="E275" s="315">
        <v>8.1300000000000008</v>
      </c>
      <c r="F275" s="227">
        <v>8</v>
      </c>
      <c r="G275" s="227">
        <v>0.24</v>
      </c>
      <c r="H275" s="227">
        <v>0</v>
      </c>
      <c r="I275" s="227">
        <v>5</v>
      </c>
      <c r="J275" s="227">
        <v>0</v>
      </c>
      <c r="K275" s="226" t="s">
        <v>996</v>
      </c>
      <c r="L275" s="227">
        <v>2026</v>
      </c>
      <c r="M275" s="227" t="s">
        <v>1809</v>
      </c>
      <c r="N275" s="228" t="s">
        <v>2226</v>
      </c>
    </row>
    <row r="276" spans="1:14" x14ac:dyDescent="0.2">
      <c r="A276" s="236">
        <v>274</v>
      </c>
      <c r="B276" s="229" t="s">
        <v>2844</v>
      </c>
      <c r="C276" s="230" t="s">
        <v>3877</v>
      </c>
      <c r="D276" s="230">
        <v>8.27</v>
      </c>
      <c r="E276" s="315">
        <v>8.1300000000000008</v>
      </c>
      <c r="F276" s="230">
        <v>8</v>
      </c>
      <c r="G276" s="230">
        <v>0.86</v>
      </c>
      <c r="H276" s="230">
        <v>1</v>
      </c>
      <c r="I276" s="230">
        <v>11</v>
      </c>
      <c r="J276" s="230">
        <v>0</v>
      </c>
      <c r="K276" s="229" t="s">
        <v>3878</v>
      </c>
      <c r="L276" s="230">
        <v>1995</v>
      </c>
      <c r="M276" s="230" t="s">
        <v>1775</v>
      </c>
      <c r="N276" s="231" t="s">
        <v>3864</v>
      </c>
    </row>
    <row r="277" spans="1:14" x14ac:dyDescent="0.2">
      <c r="A277" s="236">
        <v>275</v>
      </c>
      <c r="B277" s="226" t="s">
        <v>293</v>
      </c>
      <c r="C277" s="227" t="s">
        <v>573</v>
      </c>
      <c r="D277" s="227">
        <v>8.0500000000000007</v>
      </c>
      <c r="E277" s="316">
        <v>8.11</v>
      </c>
      <c r="F277" s="227">
        <v>8.25</v>
      </c>
      <c r="G277" s="227">
        <v>1.19</v>
      </c>
      <c r="H277" s="227">
        <v>1</v>
      </c>
      <c r="I277" s="227">
        <v>11</v>
      </c>
      <c r="J277" s="227">
        <v>1</v>
      </c>
      <c r="K277" s="226" t="s">
        <v>713</v>
      </c>
      <c r="L277" s="227">
        <v>2001</v>
      </c>
      <c r="M277" s="227" t="s">
        <v>1803</v>
      </c>
      <c r="N277" s="228" t="s">
        <v>2011</v>
      </c>
    </row>
    <row r="278" spans="1:14" x14ac:dyDescent="0.2">
      <c r="A278" s="236">
        <v>276</v>
      </c>
      <c r="B278" s="229" t="s">
        <v>5347</v>
      </c>
      <c r="C278" s="230" t="s">
        <v>5348</v>
      </c>
      <c r="D278" s="230">
        <v>8.23</v>
      </c>
      <c r="E278" s="528">
        <v>8.1</v>
      </c>
      <c r="F278" s="230">
        <v>8</v>
      </c>
      <c r="G278" s="230">
        <v>0.84</v>
      </c>
      <c r="H278" s="230">
        <v>1</v>
      </c>
      <c r="I278" s="230">
        <v>11</v>
      </c>
      <c r="J278" s="230">
        <v>0</v>
      </c>
      <c r="K278" s="229" t="s">
        <v>4232</v>
      </c>
      <c r="L278" s="230">
        <v>2010</v>
      </c>
      <c r="M278" s="230" t="s">
        <v>1766</v>
      </c>
      <c r="N278" s="231" t="s">
        <v>5356</v>
      </c>
    </row>
    <row r="279" spans="1:14" x14ac:dyDescent="0.2">
      <c r="A279" s="236">
        <v>277</v>
      </c>
      <c r="B279" s="226" t="s">
        <v>4066</v>
      </c>
      <c r="C279" s="227" t="s">
        <v>4067</v>
      </c>
      <c r="D279" s="227">
        <v>8.17</v>
      </c>
      <c r="E279" s="437">
        <v>8.07</v>
      </c>
      <c r="F279" s="227">
        <v>8</v>
      </c>
      <c r="G279" s="227">
        <v>0.47</v>
      </c>
      <c r="H279" s="227">
        <v>0</v>
      </c>
      <c r="I279" s="227">
        <v>9</v>
      </c>
      <c r="J279" s="227">
        <v>0</v>
      </c>
      <c r="K279" s="226" t="s">
        <v>4068</v>
      </c>
      <c r="L279" s="227">
        <v>1992</v>
      </c>
      <c r="M279" s="227" t="s">
        <v>1796</v>
      </c>
      <c r="N279" s="228" t="s">
        <v>4069</v>
      </c>
    </row>
    <row r="280" spans="1:14" x14ac:dyDescent="0.2">
      <c r="A280" s="236">
        <v>278</v>
      </c>
      <c r="B280" s="229" t="s">
        <v>426</v>
      </c>
      <c r="C280" s="230" t="s">
        <v>427</v>
      </c>
      <c r="D280" s="230">
        <v>8.18</v>
      </c>
      <c r="E280" s="317">
        <v>8.06</v>
      </c>
      <c r="F280" s="230">
        <v>8</v>
      </c>
      <c r="G280" s="230">
        <v>0.89</v>
      </c>
      <c r="H280" s="230">
        <v>2</v>
      </c>
      <c r="I280" s="230">
        <v>19</v>
      </c>
      <c r="J280" s="230">
        <v>0</v>
      </c>
      <c r="K280" s="229" t="s">
        <v>738</v>
      </c>
      <c r="L280" s="230">
        <v>2023</v>
      </c>
      <c r="M280" s="230" t="s">
        <v>1786</v>
      </c>
      <c r="N280" s="231" t="s">
        <v>2015</v>
      </c>
    </row>
    <row r="281" spans="1:14" x14ac:dyDescent="0.2">
      <c r="A281" s="236">
        <v>279</v>
      </c>
      <c r="B281" s="226" t="s">
        <v>305</v>
      </c>
      <c r="C281" s="227" t="s">
        <v>1733</v>
      </c>
      <c r="D281" s="227">
        <v>8.18</v>
      </c>
      <c r="E281" s="317">
        <v>8.06</v>
      </c>
      <c r="F281" s="227">
        <v>8</v>
      </c>
      <c r="G281" s="227">
        <v>0.86</v>
      </c>
      <c r="H281" s="227">
        <v>1</v>
      </c>
      <c r="I281" s="227">
        <v>11</v>
      </c>
      <c r="J281" s="227">
        <v>0</v>
      </c>
      <c r="K281" s="226" t="s">
        <v>1743</v>
      </c>
      <c r="L281" s="227">
        <v>2001</v>
      </c>
      <c r="M281" s="227" t="s">
        <v>1764</v>
      </c>
      <c r="N281" s="228" t="s">
        <v>1961</v>
      </c>
    </row>
    <row r="282" spans="1:14" x14ac:dyDescent="0.2">
      <c r="A282" s="236">
        <v>280</v>
      </c>
      <c r="B282" s="229" t="s">
        <v>2293</v>
      </c>
      <c r="C282" s="230" t="s">
        <v>4570</v>
      </c>
      <c r="D282" s="230">
        <v>8.17</v>
      </c>
      <c r="E282" s="317">
        <v>8.06</v>
      </c>
      <c r="F282" s="230">
        <v>8</v>
      </c>
      <c r="G282" s="230">
        <v>0.62</v>
      </c>
      <c r="H282" s="230">
        <v>0</v>
      </c>
      <c r="I282" s="230">
        <v>3</v>
      </c>
      <c r="J282" s="230">
        <v>0</v>
      </c>
      <c r="K282" s="229" t="s">
        <v>1479</v>
      </c>
      <c r="L282" s="230">
        <v>1974</v>
      </c>
      <c r="M282" s="230" t="s">
        <v>1780</v>
      </c>
      <c r="N282" s="231" t="s">
        <v>4576</v>
      </c>
    </row>
    <row r="283" spans="1:14" x14ac:dyDescent="0.2">
      <c r="A283" s="236">
        <v>281</v>
      </c>
      <c r="B283" s="226" t="s">
        <v>300</v>
      </c>
      <c r="C283" s="227" t="s">
        <v>2282</v>
      </c>
      <c r="D283" s="227">
        <v>8.11</v>
      </c>
      <c r="E283" s="318">
        <v>8.0299999999999994</v>
      </c>
      <c r="F283" s="227">
        <v>8</v>
      </c>
      <c r="G283" s="227">
        <v>0.46</v>
      </c>
      <c r="H283" s="227">
        <v>0</v>
      </c>
      <c r="I283" s="227">
        <v>11</v>
      </c>
      <c r="J283" s="227">
        <v>2</v>
      </c>
      <c r="K283" s="226" t="s">
        <v>987</v>
      </c>
      <c r="L283" s="227">
        <v>2016</v>
      </c>
      <c r="M283" s="227" t="s">
        <v>1799</v>
      </c>
      <c r="N283" s="228" t="s">
        <v>2311</v>
      </c>
    </row>
    <row r="284" spans="1:14" x14ac:dyDescent="0.2">
      <c r="A284" s="236">
        <v>282</v>
      </c>
      <c r="B284" s="229" t="s">
        <v>3821</v>
      </c>
      <c r="C284" s="230" t="s">
        <v>3822</v>
      </c>
      <c r="D284" s="230">
        <v>8.11</v>
      </c>
      <c r="E284" s="420">
        <v>8.01</v>
      </c>
      <c r="F284" s="230">
        <v>8</v>
      </c>
      <c r="G284" s="230">
        <v>0.81</v>
      </c>
      <c r="H284" s="230">
        <v>1</v>
      </c>
      <c r="I284" s="230">
        <v>10</v>
      </c>
      <c r="J284" s="230">
        <v>1</v>
      </c>
      <c r="K284" s="229" t="s">
        <v>996</v>
      </c>
      <c r="L284" s="230">
        <v>2018</v>
      </c>
      <c r="M284" s="230" t="s">
        <v>1805</v>
      </c>
      <c r="N284" s="231" t="s">
        <v>3823</v>
      </c>
    </row>
    <row r="285" spans="1:14" x14ac:dyDescent="0.2">
      <c r="A285" s="236">
        <v>283</v>
      </c>
      <c r="B285" s="226" t="s">
        <v>677</v>
      </c>
      <c r="C285" s="227" t="s">
        <v>1180</v>
      </c>
      <c r="D285" s="227">
        <v>8.11</v>
      </c>
      <c r="E285" s="319">
        <v>8</v>
      </c>
      <c r="F285" s="227">
        <v>8</v>
      </c>
      <c r="G285" s="227">
        <v>0.71</v>
      </c>
      <c r="H285" s="227">
        <v>0</v>
      </c>
      <c r="I285" s="227">
        <v>15</v>
      </c>
      <c r="J285" s="227">
        <v>1</v>
      </c>
      <c r="K285" s="226" t="s">
        <v>1196</v>
      </c>
      <c r="L285" s="227">
        <v>2026</v>
      </c>
      <c r="M285" s="227" t="s">
        <v>1783</v>
      </c>
      <c r="N285" s="228" t="s">
        <v>1986</v>
      </c>
    </row>
    <row r="286" spans="1:14" x14ac:dyDescent="0.2">
      <c r="A286" s="236">
        <v>284</v>
      </c>
      <c r="B286" s="229" t="s">
        <v>297</v>
      </c>
      <c r="C286" s="230" t="s">
        <v>4508</v>
      </c>
      <c r="D286" s="230">
        <v>8.11</v>
      </c>
      <c r="E286" s="319">
        <v>8</v>
      </c>
      <c r="F286" s="230">
        <v>8</v>
      </c>
      <c r="G286" s="230">
        <v>0.7</v>
      </c>
      <c r="H286" s="230">
        <v>0</v>
      </c>
      <c r="I286" s="230">
        <v>9</v>
      </c>
      <c r="J286" s="230">
        <v>0</v>
      </c>
      <c r="K286" s="229" t="s">
        <v>4533</v>
      </c>
      <c r="L286" s="230">
        <v>1984</v>
      </c>
      <c r="M286" s="230" t="s">
        <v>1772</v>
      </c>
      <c r="N286" s="231" t="s">
        <v>4534</v>
      </c>
    </row>
    <row r="287" spans="1:14" x14ac:dyDescent="0.2">
      <c r="A287" s="236">
        <v>285</v>
      </c>
      <c r="B287" s="226" t="s">
        <v>346</v>
      </c>
      <c r="C287" s="227" t="s">
        <v>339</v>
      </c>
      <c r="D287" s="227">
        <v>8</v>
      </c>
      <c r="E287" s="320">
        <v>7.98</v>
      </c>
      <c r="F287" s="227">
        <v>8.25</v>
      </c>
      <c r="G287" s="227">
        <v>0.56000000000000005</v>
      </c>
      <c r="H287" s="227">
        <v>0</v>
      </c>
      <c r="I287" s="227">
        <v>9</v>
      </c>
      <c r="J287" s="227">
        <v>1</v>
      </c>
      <c r="K287" s="226" t="s">
        <v>716</v>
      </c>
      <c r="L287" s="227">
        <v>2005</v>
      </c>
      <c r="M287" s="227" t="s">
        <v>1798</v>
      </c>
      <c r="N287" s="228" t="s">
        <v>2019</v>
      </c>
    </row>
    <row r="288" spans="1:14" x14ac:dyDescent="0.2">
      <c r="A288" s="236">
        <v>286</v>
      </c>
      <c r="B288" s="229" t="s">
        <v>301</v>
      </c>
      <c r="C288" s="230" t="s">
        <v>3544</v>
      </c>
      <c r="D288" s="230">
        <v>8.0399999999999991</v>
      </c>
      <c r="E288" s="404">
        <v>7.96</v>
      </c>
      <c r="F288" s="230">
        <v>8</v>
      </c>
      <c r="G288" s="230">
        <v>0.57999999999999996</v>
      </c>
      <c r="H288" s="230">
        <v>0</v>
      </c>
      <c r="I288" s="230">
        <v>14</v>
      </c>
      <c r="J288" s="230">
        <v>0</v>
      </c>
      <c r="K288" s="229" t="s">
        <v>2870</v>
      </c>
      <c r="L288" s="230">
        <v>1996</v>
      </c>
      <c r="M288" s="230" t="s">
        <v>3546</v>
      </c>
      <c r="N288" s="231" t="s">
        <v>3547</v>
      </c>
    </row>
    <row r="289" spans="1:14" x14ac:dyDescent="0.2">
      <c r="A289" s="236">
        <v>287</v>
      </c>
      <c r="B289" s="226" t="s">
        <v>303</v>
      </c>
      <c r="C289" s="227" t="s">
        <v>651</v>
      </c>
      <c r="D289" s="227">
        <v>8.07</v>
      </c>
      <c r="E289" s="321">
        <v>7.95</v>
      </c>
      <c r="F289" s="227">
        <v>8</v>
      </c>
      <c r="G289" s="227">
        <v>1.07</v>
      </c>
      <c r="H289" s="227">
        <v>2</v>
      </c>
      <c r="I289" s="227">
        <v>16</v>
      </c>
      <c r="J289" s="227">
        <v>2</v>
      </c>
      <c r="K289" s="226" t="s">
        <v>718</v>
      </c>
      <c r="L289" s="227">
        <v>1997</v>
      </c>
      <c r="M289" s="227" t="s">
        <v>1792</v>
      </c>
      <c r="N289" s="228" t="s">
        <v>2007</v>
      </c>
    </row>
    <row r="290" spans="1:14" x14ac:dyDescent="0.2">
      <c r="A290" s="236">
        <v>288</v>
      </c>
      <c r="B290" s="229" t="s">
        <v>1300</v>
      </c>
      <c r="C290" s="230" t="s">
        <v>1301</v>
      </c>
      <c r="D290" s="230">
        <v>8.0500000000000007</v>
      </c>
      <c r="E290" s="321">
        <v>7.95</v>
      </c>
      <c r="F290" s="230">
        <v>8</v>
      </c>
      <c r="G290" s="230">
        <v>0.72</v>
      </c>
      <c r="H290" s="230">
        <v>0</v>
      </c>
      <c r="I290" s="230">
        <v>10</v>
      </c>
      <c r="J290" s="230">
        <v>0</v>
      </c>
      <c r="K290" s="229" t="s">
        <v>712</v>
      </c>
      <c r="L290" s="230">
        <v>2026</v>
      </c>
      <c r="M290" s="230" t="s">
        <v>1798</v>
      </c>
      <c r="N290" s="231" t="s">
        <v>1981</v>
      </c>
    </row>
    <row r="291" spans="1:14" x14ac:dyDescent="0.2">
      <c r="A291" s="236">
        <v>289</v>
      </c>
      <c r="B291" s="226" t="s">
        <v>2137</v>
      </c>
      <c r="C291" s="227" t="s">
        <v>2138</v>
      </c>
      <c r="D291" s="227">
        <v>8</v>
      </c>
      <c r="E291" s="322">
        <v>7.94</v>
      </c>
      <c r="F291" s="227">
        <v>8</v>
      </c>
      <c r="G291" s="227">
        <v>0.45</v>
      </c>
      <c r="H291" s="227">
        <v>0</v>
      </c>
      <c r="I291" s="227">
        <v>10</v>
      </c>
      <c r="J291" s="227">
        <v>0</v>
      </c>
      <c r="K291" s="226" t="s">
        <v>996</v>
      </c>
      <c r="L291" s="227">
        <v>2025</v>
      </c>
      <c r="M291" s="227" t="s">
        <v>1801</v>
      </c>
      <c r="N291" s="228" t="s">
        <v>2111</v>
      </c>
    </row>
    <row r="292" spans="1:14" x14ac:dyDescent="0.2">
      <c r="A292" s="236">
        <v>290</v>
      </c>
      <c r="B292" s="229" t="s">
        <v>300</v>
      </c>
      <c r="C292" s="230" t="s">
        <v>3104</v>
      </c>
      <c r="D292" s="230">
        <v>8</v>
      </c>
      <c r="E292" s="322">
        <v>7.94</v>
      </c>
      <c r="F292" s="230">
        <v>8</v>
      </c>
      <c r="G292" s="230">
        <v>0.5</v>
      </c>
      <c r="H292" s="230">
        <v>0</v>
      </c>
      <c r="I292" s="230">
        <v>7</v>
      </c>
      <c r="J292" s="230">
        <v>1</v>
      </c>
      <c r="K292" s="229" t="s">
        <v>3105</v>
      </c>
      <c r="L292" s="230">
        <v>1995</v>
      </c>
      <c r="M292" s="230" t="s">
        <v>1805</v>
      </c>
      <c r="N292" s="231" t="s">
        <v>3106</v>
      </c>
    </row>
    <row r="293" spans="1:14" x14ac:dyDescent="0.2">
      <c r="A293" s="236">
        <v>291</v>
      </c>
      <c r="B293" s="226" t="s">
        <v>4440</v>
      </c>
      <c r="C293" s="227" t="s">
        <v>4435</v>
      </c>
      <c r="D293" s="227">
        <v>8</v>
      </c>
      <c r="E293" s="322">
        <v>7.94</v>
      </c>
      <c r="F293" s="227">
        <v>8</v>
      </c>
      <c r="G293" s="227">
        <v>0.47</v>
      </c>
      <c r="H293" s="227">
        <v>0</v>
      </c>
      <c r="I293" s="227">
        <v>9</v>
      </c>
      <c r="J293" s="227">
        <v>0</v>
      </c>
      <c r="K293" s="226" t="s">
        <v>4441</v>
      </c>
      <c r="L293" s="227">
        <v>2016</v>
      </c>
      <c r="M293" s="227" t="s">
        <v>1774</v>
      </c>
      <c r="N293" s="228" t="s">
        <v>4442</v>
      </c>
    </row>
    <row r="294" spans="1:14" x14ac:dyDescent="0.2">
      <c r="A294" s="236">
        <v>292</v>
      </c>
      <c r="B294" s="229" t="s">
        <v>795</v>
      </c>
      <c r="C294" s="230" t="s">
        <v>4801</v>
      </c>
      <c r="D294" s="230">
        <v>8.0299999999999994</v>
      </c>
      <c r="E294" s="322">
        <v>7.94</v>
      </c>
      <c r="F294" s="230">
        <v>8</v>
      </c>
      <c r="G294" s="230">
        <v>0.78</v>
      </c>
      <c r="H294" s="230">
        <v>1</v>
      </c>
      <c r="I294" s="230">
        <v>17</v>
      </c>
      <c r="J294" s="230">
        <v>0</v>
      </c>
      <c r="K294" s="229" t="s">
        <v>4846</v>
      </c>
      <c r="L294" s="230">
        <v>2004</v>
      </c>
      <c r="M294" s="230" t="s">
        <v>1793</v>
      </c>
      <c r="N294" s="231" t="s">
        <v>4803</v>
      </c>
    </row>
    <row r="295" spans="1:14" x14ac:dyDescent="0.2">
      <c r="A295" s="236">
        <v>293</v>
      </c>
      <c r="B295" s="226" t="s">
        <v>300</v>
      </c>
      <c r="C295" s="227" t="s">
        <v>3023</v>
      </c>
      <c r="D295" s="227">
        <v>7.95</v>
      </c>
      <c r="E295" s="356">
        <v>7.89</v>
      </c>
      <c r="F295" s="227">
        <v>8</v>
      </c>
      <c r="G295" s="227">
        <v>0.56999999999999995</v>
      </c>
      <c r="H295" s="227">
        <v>0</v>
      </c>
      <c r="I295" s="227">
        <v>10</v>
      </c>
      <c r="J295" s="227">
        <v>0</v>
      </c>
      <c r="K295" s="226" t="s">
        <v>987</v>
      </c>
      <c r="L295" s="227">
        <v>2019</v>
      </c>
      <c r="M295" s="227" t="s">
        <v>1793</v>
      </c>
      <c r="N295" s="228" t="s">
        <v>3025</v>
      </c>
    </row>
    <row r="296" spans="1:14" x14ac:dyDescent="0.2">
      <c r="A296" s="236">
        <v>294</v>
      </c>
      <c r="B296" s="229" t="s">
        <v>4221</v>
      </c>
      <c r="C296" s="230" t="s">
        <v>4222</v>
      </c>
      <c r="D296" s="230">
        <v>7.92</v>
      </c>
      <c r="E296" s="451">
        <v>7.87</v>
      </c>
      <c r="F296" s="230">
        <v>8</v>
      </c>
      <c r="G296" s="230">
        <v>0.57999999999999996</v>
      </c>
      <c r="H296" s="230">
        <v>0</v>
      </c>
      <c r="I296" s="230">
        <v>13</v>
      </c>
      <c r="J296" s="230">
        <v>0</v>
      </c>
      <c r="K296" s="229" t="s">
        <v>4228</v>
      </c>
      <c r="L296" s="230">
        <v>2026</v>
      </c>
      <c r="M296" s="230" t="s">
        <v>1778</v>
      </c>
      <c r="N296" s="231" t="s">
        <v>4229</v>
      </c>
    </row>
    <row r="297" spans="1:14" x14ac:dyDescent="0.2">
      <c r="A297" s="236">
        <v>295</v>
      </c>
      <c r="B297" s="226" t="s">
        <v>292</v>
      </c>
      <c r="C297" s="227" t="s">
        <v>2937</v>
      </c>
      <c r="D297" s="227">
        <v>7.92</v>
      </c>
      <c r="E297" s="350">
        <v>7.84</v>
      </c>
      <c r="F297" s="227">
        <v>8</v>
      </c>
      <c r="G297" s="227">
        <v>0.79</v>
      </c>
      <c r="H297" s="227">
        <v>0</v>
      </c>
      <c r="I297" s="227">
        <v>6</v>
      </c>
      <c r="J297" s="227">
        <v>0</v>
      </c>
      <c r="K297" s="226" t="s">
        <v>731</v>
      </c>
      <c r="L297" s="227">
        <v>1992</v>
      </c>
      <c r="M297" s="227" t="s">
        <v>3022</v>
      </c>
      <c r="N297" s="228" t="s">
        <v>2931</v>
      </c>
    </row>
    <row r="298" spans="1:14" x14ac:dyDescent="0.2">
      <c r="A298" s="236">
        <v>296</v>
      </c>
      <c r="B298" s="229" t="s">
        <v>4485</v>
      </c>
      <c r="C298" s="230" t="s">
        <v>4486</v>
      </c>
      <c r="D298" s="230">
        <v>7.88</v>
      </c>
      <c r="E298" s="350">
        <v>7.84</v>
      </c>
      <c r="F298" s="230">
        <v>8</v>
      </c>
      <c r="G298" s="230">
        <v>0.48</v>
      </c>
      <c r="H298" s="230">
        <v>0</v>
      </c>
      <c r="I298" s="230">
        <v>8</v>
      </c>
      <c r="J298" s="230">
        <v>0</v>
      </c>
      <c r="K298" s="229" t="s">
        <v>4487</v>
      </c>
      <c r="L298" s="230">
        <v>2026</v>
      </c>
      <c r="M298" s="230" t="s">
        <v>1801</v>
      </c>
      <c r="N298" s="231" t="s">
        <v>4488</v>
      </c>
    </row>
    <row r="299" spans="1:14" x14ac:dyDescent="0.2">
      <c r="A299" s="236">
        <v>297</v>
      </c>
      <c r="B299" s="226" t="s">
        <v>303</v>
      </c>
      <c r="C299" s="227" t="s">
        <v>1444</v>
      </c>
      <c r="D299" s="227">
        <v>8</v>
      </c>
      <c r="E299" s="323">
        <v>7.79</v>
      </c>
      <c r="F299" s="227">
        <v>7.5</v>
      </c>
      <c r="G299" s="227">
        <v>0.88</v>
      </c>
      <c r="H299" s="227">
        <v>0</v>
      </c>
      <c r="I299" s="227">
        <v>10</v>
      </c>
      <c r="J299" s="227">
        <v>1</v>
      </c>
      <c r="K299" s="226" t="s">
        <v>1455</v>
      </c>
      <c r="L299" s="227">
        <v>2005</v>
      </c>
      <c r="M299" s="227" t="s">
        <v>1790</v>
      </c>
      <c r="N299" s="228" t="s">
        <v>1975</v>
      </c>
    </row>
    <row r="300" spans="1:14" x14ac:dyDescent="0.2">
      <c r="A300" s="236">
        <v>298</v>
      </c>
      <c r="B300" s="229" t="s">
        <v>293</v>
      </c>
      <c r="C300" s="230" t="s">
        <v>899</v>
      </c>
      <c r="D300" s="230">
        <v>7.88</v>
      </c>
      <c r="E300" s="324">
        <v>7.74</v>
      </c>
      <c r="F300" s="230">
        <v>7.75</v>
      </c>
      <c r="G300" s="230">
        <v>0.86</v>
      </c>
      <c r="H300" s="230">
        <v>0</v>
      </c>
      <c r="I300" s="230">
        <v>8</v>
      </c>
      <c r="J300" s="230">
        <v>0</v>
      </c>
      <c r="K300" s="229" t="s">
        <v>900</v>
      </c>
      <c r="L300" s="230">
        <v>2011</v>
      </c>
      <c r="M300" s="230" t="s">
        <v>1801</v>
      </c>
      <c r="N300" s="231" t="s">
        <v>1996</v>
      </c>
    </row>
    <row r="301" spans="1:14" x14ac:dyDescent="0.2">
      <c r="A301" s="236">
        <v>299</v>
      </c>
      <c r="B301" s="226" t="s">
        <v>607</v>
      </c>
      <c r="C301" s="227" t="s">
        <v>608</v>
      </c>
      <c r="D301" s="227">
        <v>7.72</v>
      </c>
      <c r="E301" s="325">
        <v>7.7</v>
      </c>
      <c r="F301" s="227">
        <v>8</v>
      </c>
      <c r="G301" s="227">
        <v>0.57999999999999996</v>
      </c>
      <c r="H301" s="227">
        <v>0</v>
      </c>
      <c r="I301" s="227">
        <v>18</v>
      </c>
      <c r="J301" s="227">
        <v>0</v>
      </c>
      <c r="K301" s="226" t="s">
        <v>739</v>
      </c>
      <c r="L301" s="227">
        <v>2026</v>
      </c>
      <c r="M301" s="227" t="s">
        <v>1789</v>
      </c>
      <c r="N301" s="228" t="s">
        <v>2009</v>
      </c>
    </row>
    <row r="302" spans="1:14" x14ac:dyDescent="0.2">
      <c r="A302" s="236">
        <v>300</v>
      </c>
      <c r="B302" s="229" t="s">
        <v>4011</v>
      </c>
      <c r="C302" s="230" t="s">
        <v>4001</v>
      </c>
      <c r="D302" s="230">
        <v>7.75</v>
      </c>
      <c r="E302" s="325">
        <v>7.69</v>
      </c>
      <c r="F302" s="230">
        <v>7.75</v>
      </c>
      <c r="G302" s="230">
        <v>0.51</v>
      </c>
      <c r="H302" s="230">
        <v>0</v>
      </c>
      <c r="I302" s="230">
        <v>10</v>
      </c>
      <c r="J302" s="230">
        <v>0</v>
      </c>
      <c r="K302" s="229" t="s">
        <v>4015</v>
      </c>
      <c r="L302" s="230">
        <v>2026</v>
      </c>
      <c r="M302" s="230" t="s">
        <v>2423</v>
      </c>
      <c r="N302" s="231" t="s">
        <v>4016</v>
      </c>
    </row>
    <row r="303" spans="1:14" x14ac:dyDescent="0.2">
      <c r="A303" s="236">
        <v>301</v>
      </c>
      <c r="B303" s="226" t="s">
        <v>456</v>
      </c>
      <c r="C303" s="227" t="s">
        <v>457</v>
      </c>
      <c r="D303" s="227">
        <v>7.67</v>
      </c>
      <c r="E303" s="326">
        <v>7.66</v>
      </c>
      <c r="F303" s="227">
        <v>8</v>
      </c>
      <c r="G303" s="227">
        <v>0.59</v>
      </c>
      <c r="H303" s="227">
        <v>0</v>
      </c>
      <c r="I303" s="227">
        <v>12</v>
      </c>
      <c r="J303" s="227">
        <v>0</v>
      </c>
      <c r="K303" s="226" t="s">
        <v>726</v>
      </c>
      <c r="L303" s="227">
        <v>2021</v>
      </c>
      <c r="M303" s="227" t="s">
        <v>1804</v>
      </c>
      <c r="N303" s="228" t="s">
        <v>2014</v>
      </c>
    </row>
    <row r="304" spans="1:14" x14ac:dyDescent="0.2">
      <c r="A304" s="236">
        <v>302</v>
      </c>
      <c r="B304" s="229" t="s">
        <v>3395</v>
      </c>
      <c r="C304" s="230" t="s">
        <v>3395</v>
      </c>
      <c r="D304" s="230">
        <v>7.75</v>
      </c>
      <c r="E304" s="326">
        <v>7.66</v>
      </c>
      <c r="F304" s="230">
        <v>7.75</v>
      </c>
      <c r="G304" s="230">
        <v>0.73</v>
      </c>
      <c r="H304" s="230">
        <v>0</v>
      </c>
      <c r="I304" s="230">
        <v>15</v>
      </c>
      <c r="J304" s="230">
        <v>1</v>
      </c>
      <c r="K304" s="229" t="s">
        <v>1018</v>
      </c>
      <c r="L304" s="230">
        <v>1999</v>
      </c>
      <c r="M304" s="230" t="s">
        <v>1811</v>
      </c>
      <c r="N304" s="231" t="s">
        <v>3396</v>
      </c>
    </row>
    <row r="305" spans="1:14" x14ac:dyDescent="0.2">
      <c r="A305" s="236">
        <v>303</v>
      </c>
      <c r="B305" s="226" t="s">
        <v>300</v>
      </c>
      <c r="C305" s="227" t="s">
        <v>3472</v>
      </c>
      <c r="D305" s="227">
        <v>7.75</v>
      </c>
      <c r="E305" s="326">
        <v>7.66</v>
      </c>
      <c r="F305" s="227">
        <v>7.75</v>
      </c>
      <c r="G305" s="227">
        <v>0.75</v>
      </c>
      <c r="H305" s="227">
        <v>0</v>
      </c>
      <c r="I305" s="227">
        <v>10</v>
      </c>
      <c r="J305" s="227">
        <v>0</v>
      </c>
      <c r="K305" s="226" t="s">
        <v>987</v>
      </c>
      <c r="L305" s="227">
        <v>2011</v>
      </c>
      <c r="M305" s="227" t="s">
        <v>1797</v>
      </c>
      <c r="N305" s="228" t="s">
        <v>3471</v>
      </c>
    </row>
    <row r="306" spans="1:14" x14ac:dyDescent="0.2">
      <c r="A306" s="236">
        <v>304</v>
      </c>
      <c r="B306" s="229" t="s">
        <v>304</v>
      </c>
      <c r="C306" s="230" t="s">
        <v>304</v>
      </c>
      <c r="D306" s="230">
        <v>7.77</v>
      </c>
      <c r="E306" s="327">
        <v>7.64</v>
      </c>
      <c r="F306" s="230">
        <v>7.5</v>
      </c>
      <c r="G306" s="230">
        <v>0.62</v>
      </c>
      <c r="H306" s="230">
        <v>0</v>
      </c>
      <c r="I306" s="230">
        <v>11</v>
      </c>
      <c r="J306" s="230">
        <v>0</v>
      </c>
      <c r="K306" s="229" t="s">
        <v>734</v>
      </c>
      <c r="L306" s="230">
        <v>2026</v>
      </c>
      <c r="M306" s="230" t="s">
        <v>1775</v>
      </c>
      <c r="N306" s="231" t="s">
        <v>2016</v>
      </c>
    </row>
    <row r="307" spans="1:14" x14ac:dyDescent="0.2">
      <c r="A307" s="236">
        <v>305</v>
      </c>
      <c r="B307" s="226" t="s">
        <v>1092</v>
      </c>
      <c r="C307" s="227" t="s">
        <v>1093</v>
      </c>
      <c r="D307" s="227">
        <v>7.71</v>
      </c>
      <c r="E307" s="328">
        <v>7.61</v>
      </c>
      <c r="F307" s="227">
        <v>7.5</v>
      </c>
      <c r="G307" s="227">
        <v>0.45</v>
      </c>
      <c r="H307" s="227">
        <v>0</v>
      </c>
      <c r="I307" s="227">
        <v>8</v>
      </c>
      <c r="J307" s="227">
        <v>1</v>
      </c>
      <c r="K307" s="226" t="s">
        <v>1095</v>
      </c>
      <c r="L307" s="227">
        <v>2020</v>
      </c>
      <c r="M307" s="227" t="s">
        <v>1809</v>
      </c>
      <c r="N307" s="228" t="s">
        <v>1988</v>
      </c>
    </row>
    <row r="308" spans="1:14" x14ac:dyDescent="0.2">
      <c r="A308" s="236">
        <v>306</v>
      </c>
      <c r="B308" s="229" t="s">
        <v>293</v>
      </c>
      <c r="C308" s="230" t="s">
        <v>936</v>
      </c>
      <c r="D308" s="230">
        <v>7.5</v>
      </c>
      <c r="E308" s="329">
        <v>7.4</v>
      </c>
      <c r="F308" s="230">
        <v>7.5</v>
      </c>
      <c r="G308" s="230">
        <v>0.76</v>
      </c>
      <c r="H308" s="230">
        <v>0</v>
      </c>
      <c r="I308" s="230">
        <v>12</v>
      </c>
      <c r="J308" s="230">
        <v>0</v>
      </c>
      <c r="K308" s="229" t="s">
        <v>732</v>
      </c>
      <c r="L308" s="230">
        <v>1993</v>
      </c>
      <c r="M308" s="230" t="s">
        <v>1767</v>
      </c>
      <c r="N308" s="231" t="s">
        <v>1994</v>
      </c>
    </row>
    <row r="309" spans="1:14" x14ac:dyDescent="0.2">
      <c r="A309" s="236">
        <v>307</v>
      </c>
      <c r="B309" s="226" t="s">
        <v>774</v>
      </c>
      <c r="C309" s="227" t="s">
        <v>1752</v>
      </c>
      <c r="D309" s="227">
        <v>7.31</v>
      </c>
      <c r="E309" s="330">
        <v>7.2</v>
      </c>
      <c r="F309" s="227">
        <v>7.25</v>
      </c>
      <c r="G309" s="227">
        <v>0.73</v>
      </c>
      <c r="H309" s="227">
        <v>0</v>
      </c>
      <c r="I309" s="227">
        <v>18</v>
      </c>
      <c r="J309" s="227">
        <v>0</v>
      </c>
      <c r="K309" s="226" t="s">
        <v>1020</v>
      </c>
      <c r="L309" s="227">
        <v>2026</v>
      </c>
      <c r="M309" s="227" t="s">
        <v>1767</v>
      </c>
      <c r="N309" s="228" t="s">
        <v>1961</v>
      </c>
    </row>
    <row r="310" spans="1:14" x14ac:dyDescent="0.2">
      <c r="A310" s="236">
        <v>308</v>
      </c>
      <c r="B310" s="229" t="s">
        <v>378</v>
      </c>
      <c r="C310" s="230" t="s">
        <v>379</v>
      </c>
      <c r="D310" s="230">
        <v>7.29</v>
      </c>
      <c r="E310" s="331">
        <v>7.16</v>
      </c>
      <c r="F310" s="230">
        <v>7</v>
      </c>
      <c r="G310" s="230">
        <v>0.52</v>
      </c>
      <c r="H310" s="230">
        <v>0</v>
      </c>
      <c r="I310" s="230">
        <v>7</v>
      </c>
      <c r="J310" s="230">
        <v>0</v>
      </c>
      <c r="K310" s="229" t="s">
        <v>740</v>
      </c>
      <c r="L310" s="230">
        <v>2021</v>
      </c>
      <c r="M310" s="230" t="s">
        <v>1810</v>
      </c>
      <c r="N310" s="231" t="s">
        <v>2017</v>
      </c>
    </row>
    <row r="311" spans="1:14" x14ac:dyDescent="0.2">
      <c r="A311" s="236">
        <v>309</v>
      </c>
      <c r="B311" s="226" t="s">
        <v>2307</v>
      </c>
      <c r="C311" s="227" t="s">
        <v>2308</v>
      </c>
      <c r="D311" s="227">
        <v>7.17</v>
      </c>
      <c r="E311" s="332">
        <v>7.04</v>
      </c>
      <c r="F311" s="227">
        <v>7</v>
      </c>
      <c r="G311" s="227">
        <v>0.72</v>
      </c>
      <c r="H311" s="227">
        <v>0</v>
      </c>
      <c r="I311" s="227">
        <v>12</v>
      </c>
      <c r="J311" s="227">
        <v>0</v>
      </c>
      <c r="K311" s="226" t="s">
        <v>2312</v>
      </c>
      <c r="L311" s="227">
        <v>2013</v>
      </c>
      <c r="M311" s="227" t="s">
        <v>1772</v>
      </c>
      <c r="N311" s="228" t="s">
        <v>2311</v>
      </c>
    </row>
    <row r="312" spans="1:14" x14ac:dyDescent="0.2">
      <c r="A312" s="236">
        <v>310</v>
      </c>
      <c r="B312" s="229" t="s">
        <v>628</v>
      </c>
      <c r="C312" s="230" t="s">
        <v>629</v>
      </c>
      <c r="D312" s="230">
        <v>7.06</v>
      </c>
      <c r="E312" s="333">
        <v>6.99</v>
      </c>
      <c r="F312" s="230">
        <v>7</v>
      </c>
      <c r="G312" s="230">
        <v>0.44</v>
      </c>
      <c r="H312" s="230">
        <v>0</v>
      </c>
      <c r="I312" s="230">
        <v>10</v>
      </c>
      <c r="J312" s="230">
        <v>1</v>
      </c>
      <c r="K312" s="229" t="s">
        <v>733</v>
      </c>
      <c r="L312" s="230">
        <v>2026</v>
      </c>
      <c r="M312" s="230" t="s">
        <v>1811</v>
      </c>
      <c r="N312" s="231" t="s">
        <v>2008</v>
      </c>
    </row>
    <row r="313" spans="1:14" x14ac:dyDescent="0.2">
      <c r="A313" s="236">
        <v>311</v>
      </c>
      <c r="B313" s="226" t="s">
        <v>315</v>
      </c>
      <c r="C313" s="227" t="s">
        <v>4977</v>
      </c>
      <c r="D313" s="227">
        <v>7.14</v>
      </c>
      <c r="E313" s="517">
        <v>6.98</v>
      </c>
      <c r="F313" s="227">
        <v>7</v>
      </c>
      <c r="G313" s="227">
        <v>1.07</v>
      </c>
      <c r="H313" s="227">
        <v>0</v>
      </c>
      <c r="I313" s="227">
        <v>12</v>
      </c>
      <c r="J313" s="227">
        <v>1</v>
      </c>
      <c r="K313" s="226" t="s">
        <v>5220</v>
      </c>
      <c r="L313" s="227">
        <v>2007</v>
      </c>
      <c r="M313" s="227" t="s">
        <v>1803</v>
      </c>
      <c r="N313" s="228" t="s">
        <v>5221</v>
      </c>
    </row>
    <row r="314" spans="1:14" x14ac:dyDescent="0.2">
      <c r="A314" s="236">
        <v>312</v>
      </c>
      <c r="B314" s="229" t="s">
        <v>305</v>
      </c>
      <c r="C314" s="230" t="s">
        <v>4535</v>
      </c>
      <c r="D314" s="230">
        <v>6.06</v>
      </c>
      <c r="E314" s="485">
        <v>5.9</v>
      </c>
      <c r="F314" s="230">
        <v>6</v>
      </c>
      <c r="G314" s="230">
        <v>1.19</v>
      </c>
      <c r="H314" s="230">
        <v>0</v>
      </c>
      <c r="I314" s="230">
        <v>9</v>
      </c>
      <c r="J314" s="230">
        <v>0</v>
      </c>
      <c r="K314" s="229" t="s">
        <v>996</v>
      </c>
      <c r="L314" s="230">
        <v>2026</v>
      </c>
      <c r="M314" s="230" t="s">
        <v>1767</v>
      </c>
      <c r="N314" s="231" t="s">
        <v>4534</v>
      </c>
    </row>
    <row r="315" spans="1:14" x14ac:dyDescent="0.2">
      <c r="A315" s="236">
        <v>313</v>
      </c>
      <c r="B315" s="226" t="s">
        <v>3140</v>
      </c>
      <c r="C315" s="227" t="s">
        <v>3141</v>
      </c>
      <c r="D315" s="227">
        <v>4.79</v>
      </c>
      <c r="E315" s="334">
        <v>4.62</v>
      </c>
      <c r="F315" s="227">
        <v>5</v>
      </c>
      <c r="G315" s="227">
        <v>1.72</v>
      </c>
      <c r="H315" s="227">
        <v>0</v>
      </c>
      <c r="I315" s="227">
        <v>17</v>
      </c>
      <c r="J315" s="227">
        <v>0</v>
      </c>
      <c r="K315" s="226" t="s">
        <v>3142</v>
      </c>
      <c r="L315" s="227">
        <v>2025</v>
      </c>
      <c r="M315" s="227" t="s">
        <v>1800</v>
      </c>
      <c r="N315" s="228" t="s">
        <v>3119</v>
      </c>
    </row>
    <row r="316" spans="1:14" x14ac:dyDescent="0.2">
      <c r="A316" s="236">
        <v>314</v>
      </c>
      <c r="B316" s="229" t="s">
        <v>301</v>
      </c>
      <c r="C316" s="230" t="s">
        <v>1662</v>
      </c>
      <c r="D316" s="230">
        <v>3.68</v>
      </c>
      <c r="E316" s="334">
        <v>3.37</v>
      </c>
      <c r="F316" s="230">
        <v>3</v>
      </c>
      <c r="G316" s="230">
        <v>1.37</v>
      </c>
      <c r="H316" s="230">
        <v>0</v>
      </c>
      <c r="I316" s="230">
        <v>11</v>
      </c>
      <c r="J316" s="230">
        <v>0</v>
      </c>
      <c r="K316" s="229" t="s">
        <v>731</v>
      </c>
      <c r="L316" s="230">
        <v>2003</v>
      </c>
      <c r="M316" s="230" t="s">
        <v>1768</v>
      </c>
      <c r="N316" s="231" t="s">
        <v>1965</v>
      </c>
    </row>
    <row r="317" spans="1:14" x14ac:dyDescent="0.2">
      <c r="A317" s="236">
        <v>315</v>
      </c>
      <c r="B317" s="226" t="s">
        <v>2420</v>
      </c>
      <c r="C317" s="227" t="s">
        <v>2421</v>
      </c>
      <c r="D317" s="227">
        <v>2.5</v>
      </c>
      <c r="E317" s="334">
        <v>2.39</v>
      </c>
      <c r="F317" s="227">
        <v>2.75</v>
      </c>
      <c r="G317" s="227">
        <v>1.3</v>
      </c>
      <c r="H317" s="227">
        <v>0</v>
      </c>
      <c r="I317" s="227">
        <v>10</v>
      </c>
      <c r="J317" s="227">
        <v>0</v>
      </c>
      <c r="K317" s="226" t="s">
        <v>1007</v>
      </c>
      <c r="L317" s="227">
        <v>2025</v>
      </c>
      <c r="M317" s="227" t="s">
        <v>2426</v>
      </c>
      <c r="N317" s="228" t="s">
        <v>2425</v>
      </c>
    </row>
    <row r="318" spans="1:14" x14ac:dyDescent="0.2">
      <c r="A318" s="236">
        <v>316</v>
      </c>
      <c r="B318" s="229" t="s">
        <v>4223</v>
      </c>
      <c r="C318" s="230" t="s">
        <v>4224</v>
      </c>
      <c r="D318" s="230">
        <v>0.81</v>
      </c>
      <c r="E318" s="334">
        <v>0.76</v>
      </c>
      <c r="F318" s="230">
        <v>1</v>
      </c>
      <c r="G318" s="230">
        <v>0.7</v>
      </c>
      <c r="H318" s="230">
        <v>0</v>
      </c>
      <c r="I318" s="230">
        <v>8</v>
      </c>
      <c r="J318" s="230">
        <v>0</v>
      </c>
      <c r="K318" s="229" t="s">
        <v>4225</v>
      </c>
      <c r="L318" s="230">
        <v>2021</v>
      </c>
      <c r="M318" s="230" t="s">
        <v>2800</v>
      </c>
      <c r="N318" s="231" t="s">
        <v>4226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0"/>
  <sheetViews>
    <sheetView topLeftCell="A51" zoomScale="90" zoomScaleNormal="90" workbookViewId="0">
      <selection activeCell="E79" sqref="E79:E81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42" t="s">
        <v>1229</v>
      </c>
      <c r="B1" s="542"/>
      <c r="C1" s="542"/>
      <c r="D1" s="542"/>
      <c r="E1" s="542"/>
      <c r="F1" s="542"/>
      <c r="G1" s="542"/>
      <c r="H1" s="542"/>
      <c r="I1" s="542"/>
      <c r="J1" s="542"/>
      <c r="K1" s="542"/>
      <c r="L1" s="542"/>
      <c r="M1" s="542"/>
      <c r="N1" s="542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3049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5222</v>
      </c>
      <c r="L3" s="227" t="s">
        <v>4458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5223</v>
      </c>
      <c r="L4" s="230" t="s">
        <v>2777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5224</v>
      </c>
      <c r="L5" s="227" t="s">
        <v>3024</v>
      </c>
      <c r="M5" s="227" t="s">
        <v>2974</v>
      </c>
      <c r="N5" s="228" t="s">
        <v>2023</v>
      </c>
    </row>
    <row r="6" spans="1:14" x14ac:dyDescent="0.2">
      <c r="A6" s="236">
        <v>4</v>
      </c>
      <c r="B6" s="229" t="s">
        <v>4567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5436</v>
      </c>
      <c r="L6" s="230" t="s">
        <v>5437</v>
      </c>
      <c r="M6" s="230" t="s">
        <v>1766</v>
      </c>
      <c r="N6" s="231" t="s">
        <v>2023</v>
      </c>
    </row>
    <row r="7" spans="1:14" x14ac:dyDescent="0.2">
      <c r="A7" s="236">
        <v>5</v>
      </c>
      <c r="B7" s="226" t="s">
        <v>2460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3453</v>
      </c>
      <c r="M7" s="227" t="s">
        <v>1768</v>
      </c>
      <c r="N7" s="228" t="s">
        <v>2023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5225</v>
      </c>
      <c r="L8" s="230" t="s">
        <v>4018</v>
      </c>
      <c r="M8" s="230" t="s">
        <v>1767</v>
      </c>
      <c r="N8" s="231" t="s">
        <v>2023</v>
      </c>
    </row>
    <row r="9" spans="1:14" x14ac:dyDescent="0.2">
      <c r="A9" s="236">
        <v>7</v>
      </c>
      <c r="B9" s="226" t="s">
        <v>2293</v>
      </c>
      <c r="C9" s="227">
        <v>3</v>
      </c>
      <c r="D9" s="227">
        <v>8.91</v>
      </c>
      <c r="E9" s="466">
        <v>8.99</v>
      </c>
      <c r="F9" s="227">
        <v>9</v>
      </c>
      <c r="G9" s="227">
        <v>0.69</v>
      </c>
      <c r="H9" s="227">
        <v>3</v>
      </c>
      <c r="I9" s="227">
        <v>15</v>
      </c>
      <c r="J9" s="227">
        <v>1</v>
      </c>
      <c r="K9" s="226" t="s">
        <v>3455</v>
      </c>
      <c r="L9" s="227" t="s">
        <v>4577</v>
      </c>
      <c r="M9" s="227" t="s">
        <v>1780</v>
      </c>
      <c r="N9" s="228" t="s">
        <v>2023</v>
      </c>
    </row>
    <row r="10" spans="1:14" x14ac:dyDescent="0.2">
      <c r="A10" s="236">
        <v>8</v>
      </c>
      <c r="B10" s="229" t="s">
        <v>441</v>
      </c>
      <c r="C10" s="230">
        <v>4</v>
      </c>
      <c r="D10" s="230">
        <v>8.91</v>
      </c>
      <c r="E10" s="256">
        <v>8.9700000000000006</v>
      </c>
      <c r="F10" s="230">
        <v>8.75</v>
      </c>
      <c r="G10" s="230">
        <v>0.81</v>
      </c>
      <c r="H10" s="230">
        <v>7</v>
      </c>
      <c r="I10" s="230">
        <v>37</v>
      </c>
      <c r="J10" s="230">
        <v>0</v>
      </c>
      <c r="K10" s="229" t="s">
        <v>5226</v>
      </c>
      <c r="L10" s="230" t="s">
        <v>2341</v>
      </c>
      <c r="M10" s="230" t="s">
        <v>1782</v>
      </c>
      <c r="N10" s="231" t="s">
        <v>2023</v>
      </c>
    </row>
    <row r="11" spans="1:14" x14ac:dyDescent="0.2">
      <c r="A11" s="236">
        <v>9</v>
      </c>
      <c r="B11" s="226" t="s">
        <v>312</v>
      </c>
      <c r="C11" s="227">
        <v>2</v>
      </c>
      <c r="D11" s="227">
        <v>8.89</v>
      </c>
      <c r="E11" s="259">
        <v>8.93</v>
      </c>
      <c r="F11" s="227">
        <v>9</v>
      </c>
      <c r="G11" s="227">
        <v>0.74</v>
      </c>
      <c r="H11" s="227">
        <v>4</v>
      </c>
      <c r="I11" s="227">
        <v>25</v>
      </c>
      <c r="J11" s="227">
        <v>0</v>
      </c>
      <c r="K11" s="226" t="s">
        <v>3858</v>
      </c>
      <c r="L11" s="227" t="s">
        <v>1815</v>
      </c>
      <c r="M11" s="227" t="s">
        <v>1781</v>
      </c>
      <c r="N11" s="228" t="s">
        <v>2023</v>
      </c>
    </row>
    <row r="12" spans="1:14" x14ac:dyDescent="0.2">
      <c r="A12" s="236">
        <v>10</v>
      </c>
      <c r="B12" s="229" t="s">
        <v>307</v>
      </c>
      <c r="C12" s="230">
        <v>3</v>
      </c>
      <c r="D12" s="230">
        <v>8.86</v>
      </c>
      <c r="E12" s="261">
        <v>8.9</v>
      </c>
      <c r="F12" s="230">
        <v>8.67</v>
      </c>
      <c r="G12" s="230">
        <v>0.9</v>
      </c>
      <c r="H12" s="230">
        <v>5</v>
      </c>
      <c r="I12" s="230">
        <v>23</v>
      </c>
      <c r="J12" s="230">
        <v>0</v>
      </c>
      <c r="K12" s="229" t="s">
        <v>5227</v>
      </c>
      <c r="L12" s="230" t="s">
        <v>1816</v>
      </c>
      <c r="M12" s="230" t="s">
        <v>1790</v>
      </c>
      <c r="N12" s="231" t="s">
        <v>2023</v>
      </c>
    </row>
    <row r="13" spans="1:14" x14ac:dyDescent="0.2">
      <c r="A13" s="236">
        <v>11</v>
      </c>
      <c r="B13" s="226" t="s">
        <v>1075</v>
      </c>
      <c r="C13" s="227">
        <v>2</v>
      </c>
      <c r="D13" s="227">
        <v>8.7200000000000006</v>
      </c>
      <c r="E13" s="261">
        <v>8.9</v>
      </c>
      <c r="F13" s="227">
        <v>8.5</v>
      </c>
      <c r="G13" s="227">
        <v>0.94</v>
      </c>
      <c r="H13" s="227">
        <v>10</v>
      </c>
      <c r="I13" s="227">
        <v>54</v>
      </c>
      <c r="J13" s="227">
        <v>2</v>
      </c>
      <c r="K13" s="226" t="s">
        <v>1442</v>
      </c>
      <c r="L13" s="227" t="s">
        <v>1941</v>
      </c>
      <c r="M13" s="227" t="s">
        <v>1942</v>
      </c>
      <c r="N13" s="228" t="s">
        <v>2023</v>
      </c>
    </row>
    <row r="14" spans="1:14" x14ac:dyDescent="0.2">
      <c r="A14" s="236">
        <v>12</v>
      </c>
      <c r="B14" s="229" t="s">
        <v>297</v>
      </c>
      <c r="C14" s="230">
        <v>5</v>
      </c>
      <c r="D14" s="230">
        <v>8.9</v>
      </c>
      <c r="E14" s="263">
        <v>8.8800000000000008</v>
      </c>
      <c r="F14" s="230">
        <v>8.75</v>
      </c>
      <c r="G14" s="230">
        <v>0.69</v>
      </c>
      <c r="H14" s="230">
        <v>5</v>
      </c>
      <c r="I14" s="230">
        <v>32</v>
      </c>
      <c r="J14" s="230">
        <v>0</v>
      </c>
      <c r="K14" s="229" t="s">
        <v>5228</v>
      </c>
      <c r="L14" s="230" t="s">
        <v>1814</v>
      </c>
      <c r="M14" s="230" t="s">
        <v>1766</v>
      </c>
      <c r="N14" s="231" t="s">
        <v>2023</v>
      </c>
    </row>
    <row r="15" spans="1:14" x14ac:dyDescent="0.2">
      <c r="A15" s="236">
        <v>13</v>
      </c>
      <c r="B15" s="226" t="s">
        <v>3402</v>
      </c>
      <c r="C15" s="227">
        <v>2</v>
      </c>
      <c r="D15" s="227">
        <v>8.9600000000000009</v>
      </c>
      <c r="E15" s="263">
        <v>8.8800000000000008</v>
      </c>
      <c r="F15" s="227">
        <v>8.75</v>
      </c>
      <c r="G15" s="227">
        <v>0.53</v>
      </c>
      <c r="H15" s="227">
        <v>1</v>
      </c>
      <c r="I15" s="227">
        <v>10</v>
      </c>
      <c r="J15" s="227">
        <v>0</v>
      </c>
      <c r="K15" s="226" t="s">
        <v>3404</v>
      </c>
      <c r="L15" s="227" t="s">
        <v>4684</v>
      </c>
      <c r="M15" s="227" t="s">
        <v>1772</v>
      </c>
      <c r="N15" s="228" t="s">
        <v>2023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5229</v>
      </c>
      <c r="L16" s="230" t="s">
        <v>1819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2192</v>
      </c>
      <c r="M17" s="227" t="s">
        <v>1790</v>
      </c>
      <c r="N17" s="228" t="s">
        <v>2023</v>
      </c>
    </row>
    <row r="18" spans="1:14" x14ac:dyDescent="0.2">
      <c r="A18" s="236">
        <v>16</v>
      </c>
      <c r="B18" s="229" t="s">
        <v>2699</v>
      </c>
      <c r="C18" s="230">
        <v>4</v>
      </c>
      <c r="D18" s="230">
        <v>8.8000000000000007</v>
      </c>
      <c r="E18" s="269">
        <v>8.81</v>
      </c>
      <c r="F18" s="230">
        <v>8.6300000000000008</v>
      </c>
      <c r="G18" s="230">
        <v>0.8</v>
      </c>
      <c r="H18" s="230">
        <v>11</v>
      </c>
      <c r="I18" s="230">
        <v>74</v>
      </c>
      <c r="J18" s="230">
        <v>17</v>
      </c>
      <c r="K18" s="229" t="s">
        <v>5230</v>
      </c>
      <c r="L18" s="230" t="s">
        <v>2976</v>
      </c>
      <c r="M18" s="230" t="s">
        <v>1781</v>
      </c>
      <c r="N18" s="231" t="s">
        <v>2023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3859</v>
      </c>
      <c r="L19" s="227" t="s">
        <v>1817</v>
      </c>
      <c r="M19" s="227" t="s">
        <v>1794</v>
      </c>
      <c r="N19" s="228" t="s">
        <v>2023</v>
      </c>
    </row>
    <row r="20" spans="1:14" x14ac:dyDescent="0.2">
      <c r="A20" s="236">
        <v>18</v>
      </c>
      <c r="B20" s="229" t="s">
        <v>2556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2560</v>
      </c>
      <c r="L20" s="230" t="s">
        <v>3095</v>
      </c>
      <c r="M20" s="230" t="s">
        <v>1780</v>
      </c>
      <c r="N20" s="231" t="s">
        <v>2023</v>
      </c>
    </row>
    <row r="21" spans="1:14" x14ac:dyDescent="0.2">
      <c r="A21" s="236">
        <v>19</v>
      </c>
      <c r="B21" s="226" t="s">
        <v>1577</v>
      </c>
      <c r="C21" s="227">
        <v>2</v>
      </c>
      <c r="D21" s="227">
        <v>8.81</v>
      </c>
      <c r="E21" s="272">
        <v>8.77</v>
      </c>
      <c r="F21" s="227">
        <v>8.5</v>
      </c>
      <c r="G21" s="227">
        <v>0.81</v>
      </c>
      <c r="H21" s="227">
        <v>3</v>
      </c>
      <c r="I21" s="227">
        <v>16</v>
      </c>
      <c r="J21" s="227">
        <v>0</v>
      </c>
      <c r="K21" s="226" t="s">
        <v>1247</v>
      </c>
      <c r="L21" s="227" t="s">
        <v>1954</v>
      </c>
      <c r="M21" s="227" t="s">
        <v>1767</v>
      </c>
      <c r="N21" s="228" t="s">
        <v>2023</v>
      </c>
    </row>
    <row r="22" spans="1:14" x14ac:dyDescent="0.2">
      <c r="A22" s="236">
        <v>20</v>
      </c>
      <c r="B22" s="229" t="s">
        <v>545</v>
      </c>
      <c r="C22" s="230">
        <v>2</v>
      </c>
      <c r="D22" s="230">
        <v>8.8000000000000007</v>
      </c>
      <c r="E22" s="275">
        <v>8.74</v>
      </c>
      <c r="F22" s="230">
        <v>8.5</v>
      </c>
      <c r="G22" s="230">
        <v>0.84</v>
      </c>
      <c r="H22" s="230">
        <v>3</v>
      </c>
      <c r="I22" s="230">
        <v>17</v>
      </c>
      <c r="J22" s="230">
        <v>0</v>
      </c>
      <c r="K22" s="229" t="s">
        <v>777</v>
      </c>
      <c r="L22" s="230" t="s">
        <v>4876</v>
      </c>
      <c r="M22" s="230" t="s">
        <v>1803</v>
      </c>
      <c r="N22" s="231" t="s">
        <v>2023</v>
      </c>
    </row>
    <row r="23" spans="1:14" x14ac:dyDescent="0.2">
      <c r="A23" s="236">
        <v>21</v>
      </c>
      <c r="B23" s="226" t="s">
        <v>2901</v>
      </c>
      <c r="C23" s="227">
        <v>2</v>
      </c>
      <c r="D23" s="227">
        <v>8.74</v>
      </c>
      <c r="E23" s="373">
        <v>8.73</v>
      </c>
      <c r="F23" s="227">
        <v>8.6300000000000008</v>
      </c>
      <c r="G23" s="227">
        <v>0.72</v>
      </c>
      <c r="H23" s="227">
        <v>3</v>
      </c>
      <c r="I23" s="227">
        <v>21</v>
      </c>
      <c r="J23" s="227">
        <v>0</v>
      </c>
      <c r="K23" s="226" t="s">
        <v>2903</v>
      </c>
      <c r="L23" s="227" t="s">
        <v>4659</v>
      </c>
      <c r="M23" s="227" t="s">
        <v>1772</v>
      </c>
      <c r="N23" s="228" t="s">
        <v>2023</v>
      </c>
    </row>
    <row r="24" spans="1:14" x14ac:dyDescent="0.2">
      <c r="A24" s="236">
        <v>22</v>
      </c>
      <c r="B24" s="229" t="s">
        <v>1330</v>
      </c>
      <c r="C24" s="230">
        <v>3</v>
      </c>
      <c r="D24" s="230">
        <v>8.77</v>
      </c>
      <c r="E24" s="276">
        <v>8.7200000000000006</v>
      </c>
      <c r="F24" s="230">
        <v>8.5</v>
      </c>
      <c r="G24" s="230">
        <v>0.7</v>
      </c>
      <c r="H24" s="230">
        <v>4</v>
      </c>
      <c r="I24" s="230">
        <v>25</v>
      </c>
      <c r="J24" s="230">
        <v>1</v>
      </c>
      <c r="K24" s="229" t="s">
        <v>4365</v>
      </c>
      <c r="L24" s="230" t="s">
        <v>5351</v>
      </c>
      <c r="M24" s="230" t="s">
        <v>1798</v>
      </c>
      <c r="N24" s="231" t="s">
        <v>2023</v>
      </c>
    </row>
    <row r="25" spans="1:14" x14ac:dyDescent="0.2">
      <c r="A25" s="236">
        <v>23</v>
      </c>
      <c r="B25" s="226" t="s">
        <v>4150</v>
      </c>
      <c r="C25" s="227">
        <v>2</v>
      </c>
      <c r="D25" s="227">
        <v>8.77</v>
      </c>
      <c r="E25" s="276">
        <v>8.7200000000000006</v>
      </c>
      <c r="F25" s="227">
        <v>8.75</v>
      </c>
      <c r="G25" s="227">
        <v>0.6</v>
      </c>
      <c r="H25" s="227">
        <v>2</v>
      </c>
      <c r="I25" s="227">
        <v>16</v>
      </c>
      <c r="J25" s="227">
        <v>1</v>
      </c>
      <c r="K25" s="226" t="s">
        <v>4158</v>
      </c>
      <c r="L25" s="227" t="s">
        <v>4330</v>
      </c>
      <c r="M25" s="227" t="s">
        <v>1779</v>
      </c>
      <c r="N25" s="228" t="s">
        <v>2023</v>
      </c>
    </row>
    <row r="26" spans="1:14" x14ac:dyDescent="0.2">
      <c r="A26" s="236">
        <v>24</v>
      </c>
      <c r="B26" s="229" t="s">
        <v>2165</v>
      </c>
      <c r="C26" s="230">
        <v>3</v>
      </c>
      <c r="D26" s="230">
        <v>8.66</v>
      </c>
      <c r="E26" s="336">
        <v>8.69</v>
      </c>
      <c r="F26" s="230">
        <v>8.42</v>
      </c>
      <c r="G26" s="230">
        <v>0.77</v>
      </c>
      <c r="H26" s="230">
        <v>5</v>
      </c>
      <c r="I26" s="230">
        <v>44</v>
      </c>
      <c r="J26" s="230">
        <v>2</v>
      </c>
      <c r="K26" s="229" t="s">
        <v>2327</v>
      </c>
      <c r="L26" s="230" t="s">
        <v>2772</v>
      </c>
      <c r="M26" s="230" t="s">
        <v>1780</v>
      </c>
      <c r="N26" s="231" t="s">
        <v>2023</v>
      </c>
    </row>
    <row r="27" spans="1:14" x14ac:dyDescent="0.2">
      <c r="A27" s="236">
        <v>25</v>
      </c>
      <c r="B27" s="226" t="s">
        <v>2478</v>
      </c>
      <c r="C27" s="227">
        <v>2</v>
      </c>
      <c r="D27" s="227">
        <v>8.77</v>
      </c>
      <c r="E27" s="336">
        <v>8.69</v>
      </c>
      <c r="F27" s="227">
        <v>8.6300000000000008</v>
      </c>
      <c r="G27" s="227">
        <v>0.62</v>
      </c>
      <c r="H27" s="227">
        <v>1</v>
      </c>
      <c r="I27" s="227">
        <v>15</v>
      </c>
      <c r="J27" s="227">
        <v>1</v>
      </c>
      <c r="K27" s="226" t="s">
        <v>5231</v>
      </c>
      <c r="L27" s="227" t="s">
        <v>1817</v>
      </c>
      <c r="M27" s="227" t="s">
        <v>1782</v>
      </c>
      <c r="N27" s="228" t="s">
        <v>2023</v>
      </c>
    </row>
    <row r="28" spans="1:14" x14ac:dyDescent="0.2">
      <c r="A28" s="236">
        <v>26</v>
      </c>
      <c r="B28" s="229" t="s">
        <v>1625</v>
      </c>
      <c r="C28" s="230">
        <v>2</v>
      </c>
      <c r="D28" s="230">
        <v>8.7100000000000009</v>
      </c>
      <c r="E28" s="279">
        <v>8.68</v>
      </c>
      <c r="F28" s="230">
        <v>8.5</v>
      </c>
      <c r="G28" s="230">
        <v>0.74</v>
      </c>
      <c r="H28" s="230">
        <v>3</v>
      </c>
      <c r="I28" s="230">
        <v>22</v>
      </c>
      <c r="J28" s="230">
        <v>0</v>
      </c>
      <c r="K28" s="229" t="s">
        <v>5232</v>
      </c>
      <c r="L28" s="230" t="s">
        <v>2598</v>
      </c>
      <c r="M28" s="230" t="s">
        <v>1789</v>
      </c>
      <c r="N28" s="231" t="s">
        <v>2023</v>
      </c>
    </row>
    <row r="29" spans="1:14" x14ac:dyDescent="0.2">
      <c r="A29" s="236">
        <v>27</v>
      </c>
      <c r="B29" s="226" t="s">
        <v>1368</v>
      </c>
      <c r="C29" s="227">
        <v>8</v>
      </c>
      <c r="D29" s="227">
        <v>8.6999999999999993</v>
      </c>
      <c r="E29" s="280">
        <v>8.67</v>
      </c>
      <c r="F29" s="227">
        <v>8.41</v>
      </c>
      <c r="G29" s="227">
        <v>0.84</v>
      </c>
      <c r="H29" s="227">
        <v>16</v>
      </c>
      <c r="I29" s="227">
        <v>112</v>
      </c>
      <c r="J29" s="227">
        <v>5</v>
      </c>
      <c r="K29" s="226" t="s">
        <v>5233</v>
      </c>
      <c r="L29" s="227" t="s">
        <v>4055</v>
      </c>
      <c r="M29" s="227" t="s">
        <v>1773</v>
      </c>
      <c r="N29" s="228" t="s">
        <v>2023</v>
      </c>
    </row>
    <row r="30" spans="1:14" x14ac:dyDescent="0.2">
      <c r="A30" s="236">
        <v>28</v>
      </c>
      <c r="B30" s="229" t="s">
        <v>2844</v>
      </c>
      <c r="C30" s="230">
        <v>5</v>
      </c>
      <c r="D30" s="230">
        <v>8.6999999999999993</v>
      </c>
      <c r="E30" s="282">
        <v>8.65</v>
      </c>
      <c r="F30" s="230">
        <v>8.5</v>
      </c>
      <c r="G30" s="230">
        <v>0.82</v>
      </c>
      <c r="H30" s="230">
        <v>11</v>
      </c>
      <c r="I30" s="230">
        <v>55</v>
      </c>
      <c r="J30" s="230">
        <v>0</v>
      </c>
      <c r="K30" s="229" t="s">
        <v>3893</v>
      </c>
      <c r="L30" s="230" t="s">
        <v>3894</v>
      </c>
      <c r="M30" s="230" t="s">
        <v>1770</v>
      </c>
      <c r="N30" s="231" t="s">
        <v>2023</v>
      </c>
    </row>
    <row r="31" spans="1:14" x14ac:dyDescent="0.2">
      <c r="A31" s="236">
        <v>29</v>
      </c>
      <c r="B31" s="226" t="s">
        <v>1555</v>
      </c>
      <c r="C31" s="227">
        <v>2</v>
      </c>
      <c r="D31" s="227">
        <v>8.73</v>
      </c>
      <c r="E31" s="282">
        <v>8.65</v>
      </c>
      <c r="F31" s="227">
        <v>8.6300000000000008</v>
      </c>
      <c r="G31" s="227">
        <v>0.59</v>
      </c>
      <c r="H31" s="227">
        <v>3</v>
      </c>
      <c r="I31" s="227">
        <v>36</v>
      </c>
      <c r="J31" s="227">
        <v>3</v>
      </c>
      <c r="K31" s="226" t="s">
        <v>1556</v>
      </c>
      <c r="L31" s="227" t="s">
        <v>3498</v>
      </c>
      <c r="M31" s="227" t="s">
        <v>3499</v>
      </c>
      <c r="N31" s="228" t="s">
        <v>2023</v>
      </c>
    </row>
    <row r="32" spans="1:14" x14ac:dyDescent="0.2">
      <c r="A32" s="236">
        <v>30</v>
      </c>
      <c r="B32" s="229" t="s">
        <v>1410</v>
      </c>
      <c r="C32" s="230">
        <v>3</v>
      </c>
      <c r="D32" s="230">
        <v>8.6300000000000008</v>
      </c>
      <c r="E32" s="285">
        <v>8.6199999999999992</v>
      </c>
      <c r="F32" s="230">
        <v>8.5</v>
      </c>
      <c r="G32" s="230">
        <v>0.99</v>
      </c>
      <c r="H32" s="230">
        <v>6</v>
      </c>
      <c r="I32" s="230">
        <v>34</v>
      </c>
      <c r="J32" s="230">
        <v>3</v>
      </c>
      <c r="K32" s="229" t="s">
        <v>3860</v>
      </c>
      <c r="L32" s="230" t="s">
        <v>1820</v>
      </c>
      <c r="M32" s="230" t="s">
        <v>1779</v>
      </c>
      <c r="N32" s="231" t="s">
        <v>2023</v>
      </c>
    </row>
    <row r="33" spans="1:14" x14ac:dyDescent="0.2">
      <c r="A33" s="236">
        <v>31</v>
      </c>
      <c r="B33" s="226" t="s">
        <v>759</v>
      </c>
      <c r="C33" s="227">
        <v>2</v>
      </c>
      <c r="D33" s="227">
        <v>8.61</v>
      </c>
      <c r="E33" s="286">
        <v>8.61</v>
      </c>
      <c r="F33" s="227">
        <v>8.25</v>
      </c>
      <c r="G33" s="227">
        <v>1.1000000000000001</v>
      </c>
      <c r="H33" s="227">
        <v>7</v>
      </c>
      <c r="I33" s="227">
        <v>29</v>
      </c>
      <c r="J33" s="227">
        <v>1</v>
      </c>
      <c r="K33" s="226" t="s">
        <v>780</v>
      </c>
      <c r="L33" s="227" t="s">
        <v>4492</v>
      </c>
      <c r="M33" s="227" t="s">
        <v>1789</v>
      </c>
      <c r="N33" s="228" t="s">
        <v>2023</v>
      </c>
    </row>
    <row r="34" spans="1:14" x14ac:dyDescent="0.2">
      <c r="A34" s="236">
        <v>32</v>
      </c>
      <c r="B34" s="229" t="s">
        <v>1054</v>
      </c>
      <c r="C34" s="230">
        <v>2</v>
      </c>
      <c r="D34" s="230">
        <v>8.66</v>
      </c>
      <c r="E34" s="288">
        <v>8.58</v>
      </c>
      <c r="F34" s="230">
        <v>8.5</v>
      </c>
      <c r="G34" s="230">
        <v>0.62</v>
      </c>
      <c r="H34" s="230">
        <v>2</v>
      </c>
      <c r="I34" s="230">
        <v>18</v>
      </c>
      <c r="J34" s="230">
        <v>0</v>
      </c>
      <c r="K34" s="229" t="s">
        <v>3861</v>
      </c>
      <c r="L34" s="230" t="s">
        <v>3545</v>
      </c>
      <c r="M34" s="230" t="s">
        <v>1770</v>
      </c>
      <c r="N34" s="231" t="s">
        <v>2023</v>
      </c>
    </row>
    <row r="35" spans="1:14" x14ac:dyDescent="0.2">
      <c r="A35" s="236">
        <v>33</v>
      </c>
      <c r="B35" s="226" t="s">
        <v>303</v>
      </c>
      <c r="C35" s="227">
        <v>5</v>
      </c>
      <c r="D35" s="227">
        <v>8.58</v>
      </c>
      <c r="E35" s="290">
        <v>8.56</v>
      </c>
      <c r="F35" s="227">
        <v>8.4</v>
      </c>
      <c r="G35" s="227">
        <v>0.9</v>
      </c>
      <c r="H35" s="227">
        <v>11</v>
      </c>
      <c r="I35" s="227">
        <v>66</v>
      </c>
      <c r="J35" s="227">
        <v>4</v>
      </c>
      <c r="K35" s="226" t="s">
        <v>5234</v>
      </c>
      <c r="L35" s="227" t="s">
        <v>1823</v>
      </c>
      <c r="M35" s="227" t="s">
        <v>1793</v>
      </c>
      <c r="N35" s="228" t="s">
        <v>2023</v>
      </c>
    </row>
    <row r="36" spans="1:14" x14ac:dyDescent="0.2">
      <c r="A36" s="236">
        <v>34</v>
      </c>
      <c r="B36" s="229" t="s">
        <v>699</v>
      </c>
      <c r="C36" s="230">
        <v>2</v>
      </c>
      <c r="D36" s="230">
        <v>8.58</v>
      </c>
      <c r="E36" s="290">
        <v>8.56</v>
      </c>
      <c r="F36" s="230">
        <v>8.3800000000000008</v>
      </c>
      <c r="G36" s="230">
        <v>0.73</v>
      </c>
      <c r="H36" s="230">
        <v>3</v>
      </c>
      <c r="I36" s="230">
        <v>23</v>
      </c>
      <c r="J36" s="230">
        <v>0</v>
      </c>
      <c r="K36" s="229" t="s">
        <v>5235</v>
      </c>
      <c r="L36" s="230" t="s">
        <v>4883</v>
      </c>
      <c r="M36" s="230" t="s">
        <v>1778</v>
      </c>
      <c r="N36" s="231" t="s">
        <v>2023</v>
      </c>
    </row>
    <row r="37" spans="1:14" x14ac:dyDescent="0.2">
      <c r="A37" s="236">
        <v>35</v>
      </c>
      <c r="B37" s="226" t="s">
        <v>2597</v>
      </c>
      <c r="C37" s="227">
        <v>2</v>
      </c>
      <c r="D37" s="227">
        <v>8.6300000000000008</v>
      </c>
      <c r="E37" s="292">
        <v>8.5399999999999991</v>
      </c>
      <c r="F37" s="227">
        <v>8.5</v>
      </c>
      <c r="G37" s="227">
        <v>0.7</v>
      </c>
      <c r="H37" s="227">
        <v>3</v>
      </c>
      <c r="I37" s="227">
        <v>27</v>
      </c>
      <c r="J37" s="227">
        <v>0</v>
      </c>
      <c r="K37" s="226" t="s">
        <v>3247</v>
      </c>
      <c r="L37" s="227" t="s">
        <v>3251</v>
      </c>
      <c r="M37" s="227" t="s">
        <v>1783</v>
      </c>
      <c r="N37" s="228" t="s">
        <v>2023</v>
      </c>
    </row>
    <row r="38" spans="1:14" x14ac:dyDescent="0.2">
      <c r="A38" s="236">
        <v>36</v>
      </c>
      <c r="B38" s="229" t="s">
        <v>313</v>
      </c>
      <c r="C38" s="230">
        <v>2</v>
      </c>
      <c r="D38" s="230">
        <v>8.5399999999999991</v>
      </c>
      <c r="E38" s="296">
        <v>8.49</v>
      </c>
      <c r="F38" s="230">
        <v>8.3800000000000008</v>
      </c>
      <c r="G38" s="230">
        <v>0.98</v>
      </c>
      <c r="H38" s="230">
        <v>4</v>
      </c>
      <c r="I38" s="230">
        <v>25</v>
      </c>
      <c r="J38" s="230">
        <v>0</v>
      </c>
      <c r="K38" s="229" t="s">
        <v>4578</v>
      </c>
      <c r="L38" s="230" t="s">
        <v>4579</v>
      </c>
      <c r="M38" s="230" t="s">
        <v>1818</v>
      </c>
      <c r="N38" s="231" t="s">
        <v>2023</v>
      </c>
    </row>
    <row r="39" spans="1:14" x14ac:dyDescent="0.2">
      <c r="A39" s="236">
        <v>37</v>
      </c>
      <c r="B39" s="226" t="s">
        <v>1174</v>
      </c>
      <c r="C39" s="227">
        <v>3</v>
      </c>
      <c r="D39" s="227">
        <v>8.43</v>
      </c>
      <c r="E39" s="370">
        <v>8.48</v>
      </c>
      <c r="F39" s="227">
        <v>8.42</v>
      </c>
      <c r="G39" s="227">
        <v>1</v>
      </c>
      <c r="H39" s="227">
        <v>4</v>
      </c>
      <c r="I39" s="227">
        <v>27</v>
      </c>
      <c r="J39" s="227">
        <v>0</v>
      </c>
      <c r="K39" s="226" t="s">
        <v>5237</v>
      </c>
      <c r="L39" s="227" t="s">
        <v>3931</v>
      </c>
      <c r="M39" s="227" t="s">
        <v>1778</v>
      </c>
      <c r="N39" s="228" t="s">
        <v>2023</v>
      </c>
    </row>
    <row r="40" spans="1:14" x14ac:dyDescent="0.2">
      <c r="A40" s="236">
        <v>38</v>
      </c>
      <c r="B40" s="229" t="s">
        <v>677</v>
      </c>
      <c r="C40" s="230">
        <v>4</v>
      </c>
      <c r="D40" s="230">
        <v>8.48</v>
      </c>
      <c r="E40" s="297">
        <v>8.4700000000000006</v>
      </c>
      <c r="F40" s="230">
        <v>8.1300000000000008</v>
      </c>
      <c r="G40" s="230">
        <v>0.91</v>
      </c>
      <c r="H40" s="230">
        <v>9</v>
      </c>
      <c r="I40" s="230">
        <v>63</v>
      </c>
      <c r="J40" s="230">
        <v>4</v>
      </c>
      <c r="K40" s="229" t="s">
        <v>5236</v>
      </c>
      <c r="L40" s="230" t="s">
        <v>2456</v>
      </c>
      <c r="M40" s="230" t="s">
        <v>1782</v>
      </c>
      <c r="N40" s="231" t="s">
        <v>2023</v>
      </c>
    </row>
    <row r="41" spans="1:14" x14ac:dyDescent="0.2">
      <c r="A41" s="236">
        <v>39</v>
      </c>
      <c r="B41" s="226" t="s">
        <v>300</v>
      </c>
      <c r="C41" s="227">
        <v>14</v>
      </c>
      <c r="D41" s="227">
        <v>8.5</v>
      </c>
      <c r="E41" s="298">
        <v>8.4600000000000009</v>
      </c>
      <c r="F41" s="227">
        <v>8.43</v>
      </c>
      <c r="G41" s="227">
        <v>0.71</v>
      </c>
      <c r="H41" s="227">
        <v>9</v>
      </c>
      <c r="I41" s="227">
        <v>111</v>
      </c>
      <c r="J41" s="227">
        <v>6</v>
      </c>
      <c r="K41" s="226" t="s">
        <v>5238</v>
      </c>
      <c r="L41" s="227" t="s">
        <v>3107</v>
      </c>
      <c r="M41" s="227" t="s">
        <v>1779</v>
      </c>
      <c r="N41" s="228" t="s">
        <v>2023</v>
      </c>
    </row>
    <row r="42" spans="1:14" x14ac:dyDescent="0.2">
      <c r="A42" s="236">
        <v>40</v>
      </c>
      <c r="B42" s="229" t="s">
        <v>1048</v>
      </c>
      <c r="C42" s="230">
        <v>2</v>
      </c>
      <c r="D42" s="230">
        <v>8.52</v>
      </c>
      <c r="E42" s="299">
        <v>8.4499999999999993</v>
      </c>
      <c r="F42" s="230">
        <v>8.25</v>
      </c>
      <c r="G42" s="230">
        <v>0.96</v>
      </c>
      <c r="H42" s="230">
        <v>6</v>
      </c>
      <c r="I42" s="230">
        <v>41</v>
      </c>
      <c r="J42" s="230">
        <v>2</v>
      </c>
      <c r="K42" s="229" t="s">
        <v>1627</v>
      </c>
      <c r="L42" s="230" t="s">
        <v>1821</v>
      </c>
      <c r="M42" s="230" t="s">
        <v>1822</v>
      </c>
      <c r="N42" s="231" t="s">
        <v>2023</v>
      </c>
    </row>
    <row r="43" spans="1:14" x14ac:dyDescent="0.2">
      <c r="A43" s="236">
        <v>41</v>
      </c>
      <c r="B43" s="226" t="s">
        <v>1728</v>
      </c>
      <c r="C43" s="227">
        <v>2</v>
      </c>
      <c r="D43" s="227">
        <v>8.49</v>
      </c>
      <c r="E43" s="300">
        <v>8.43</v>
      </c>
      <c r="F43" s="227">
        <v>8.5</v>
      </c>
      <c r="G43" s="227">
        <v>0.56999999999999995</v>
      </c>
      <c r="H43" s="227">
        <v>1</v>
      </c>
      <c r="I43" s="227">
        <v>18</v>
      </c>
      <c r="J43" s="227">
        <v>0</v>
      </c>
      <c r="K43" s="226" t="s">
        <v>4814</v>
      </c>
      <c r="L43" s="227" t="s">
        <v>4827</v>
      </c>
      <c r="M43" s="227" t="s">
        <v>1806</v>
      </c>
      <c r="N43" s="228" t="s">
        <v>2023</v>
      </c>
    </row>
    <row r="44" spans="1:14" x14ac:dyDescent="0.2">
      <c r="A44" s="236">
        <v>42</v>
      </c>
      <c r="B44" s="229" t="s">
        <v>795</v>
      </c>
      <c r="C44" s="230">
        <v>3</v>
      </c>
      <c r="D44" s="230">
        <v>8.44</v>
      </c>
      <c r="E44" s="426">
        <v>8.4</v>
      </c>
      <c r="F44" s="230">
        <v>8.33</v>
      </c>
      <c r="G44" s="230">
        <v>0.71</v>
      </c>
      <c r="H44" s="230">
        <v>4</v>
      </c>
      <c r="I44" s="230">
        <v>46</v>
      </c>
      <c r="J44" s="230">
        <v>0</v>
      </c>
      <c r="K44" s="229" t="s">
        <v>5239</v>
      </c>
      <c r="L44" s="230" t="s">
        <v>2124</v>
      </c>
      <c r="M44" s="230" t="s">
        <v>1818</v>
      </c>
      <c r="N44" s="231" t="s">
        <v>2023</v>
      </c>
    </row>
    <row r="45" spans="1:14" x14ac:dyDescent="0.2">
      <c r="A45" s="236">
        <v>43</v>
      </c>
      <c r="B45" s="226" t="s">
        <v>774</v>
      </c>
      <c r="C45" s="227">
        <v>4</v>
      </c>
      <c r="D45" s="227">
        <v>8.43</v>
      </c>
      <c r="E45" s="303">
        <v>8.3800000000000008</v>
      </c>
      <c r="F45" s="227">
        <v>8.3800000000000008</v>
      </c>
      <c r="G45" s="227">
        <v>0.75</v>
      </c>
      <c r="H45" s="227">
        <v>7</v>
      </c>
      <c r="I45" s="227">
        <v>66</v>
      </c>
      <c r="J45" s="227">
        <v>8</v>
      </c>
      <c r="K45" s="226" t="s">
        <v>5240</v>
      </c>
      <c r="L45" s="227" t="s">
        <v>2646</v>
      </c>
      <c r="M45" s="227" t="s">
        <v>1804</v>
      </c>
      <c r="N45" s="228" t="s">
        <v>2023</v>
      </c>
    </row>
    <row r="46" spans="1:14" x14ac:dyDescent="0.2">
      <c r="A46" s="236">
        <v>44</v>
      </c>
      <c r="B46" s="229" t="s">
        <v>304</v>
      </c>
      <c r="C46" s="230">
        <v>2</v>
      </c>
      <c r="D46" s="230">
        <v>8.39</v>
      </c>
      <c r="E46" s="304">
        <v>8.3699999999999992</v>
      </c>
      <c r="F46" s="230">
        <v>8.25</v>
      </c>
      <c r="G46" s="230">
        <v>0.72</v>
      </c>
      <c r="H46" s="230">
        <v>2</v>
      </c>
      <c r="I46" s="230">
        <v>20</v>
      </c>
      <c r="J46" s="230">
        <v>0</v>
      </c>
      <c r="K46" s="229" t="s">
        <v>734</v>
      </c>
      <c r="L46" s="230" t="s">
        <v>1824</v>
      </c>
      <c r="M46" s="230" t="s">
        <v>1766</v>
      </c>
      <c r="N46" s="231" t="s">
        <v>2023</v>
      </c>
    </row>
    <row r="47" spans="1:14" x14ac:dyDescent="0.2">
      <c r="A47" s="236">
        <v>45</v>
      </c>
      <c r="B47" s="226" t="s">
        <v>1300</v>
      </c>
      <c r="C47" s="227">
        <v>3</v>
      </c>
      <c r="D47" s="227">
        <v>8.3000000000000007</v>
      </c>
      <c r="E47" s="309">
        <v>8.24</v>
      </c>
      <c r="F47" s="227">
        <v>8.17</v>
      </c>
      <c r="G47" s="227">
        <v>0.77</v>
      </c>
      <c r="H47" s="227">
        <v>2</v>
      </c>
      <c r="I47" s="227">
        <v>33</v>
      </c>
      <c r="J47" s="227">
        <v>2</v>
      </c>
      <c r="K47" s="226" t="s">
        <v>3977</v>
      </c>
      <c r="L47" s="227" t="s">
        <v>3500</v>
      </c>
      <c r="M47" s="227" t="s">
        <v>1779</v>
      </c>
      <c r="N47" s="228" t="s">
        <v>2023</v>
      </c>
    </row>
    <row r="48" spans="1:14" x14ac:dyDescent="0.2">
      <c r="A48" s="236">
        <v>46</v>
      </c>
      <c r="B48" s="229" t="s">
        <v>2826</v>
      </c>
      <c r="C48" s="230">
        <v>2</v>
      </c>
      <c r="D48" s="230">
        <v>8.3800000000000008</v>
      </c>
      <c r="E48" s="309">
        <v>8.24</v>
      </c>
      <c r="F48" s="230">
        <v>8.1300000000000008</v>
      </c>
      <c r="G48" s="230">
        <v>0.91</v>
      </c>
      <c r="H48" s="230">
        <v>3</v>
      </c>
      <c r="I48" s="230">
        <v>24</v>
      </c>
      <c r="J48" s="230">
        <v>3</v>
      </c>
      <c r="K48" s="229" t="s">
        <v>2829</v>
      </c>
      <c r="L48" s="230" t="s">
        <v>2242</v>
      </c>
      <c r="M48" s="230" t="s">
        <v>1775</v>
      </c>
      <c r="N48" s="231" t="s">
        <v>2023</v>
      </c>
    </row>
    <row r="49" spans="1:14" x14ac:dyDescent="0.2">
      <c r="A49" s="236">
        <v>47</v>
      </c>
      <c r="B49" s="226" t="s">
        <v>315</v>
      </c>
      <c r="C49" s="227">
        <v>3</v>
      </c>
      <c r="D49" s="227">
        <v>8.16</v>
      </c>
      <c r="E49" s="316">
        <v>8.11</v>
      </c>
      <c r="F49" s="227">
        <v>8.17</v>
      </c>
      <c r="G49" s="227">
        <v>1</v>
      </c>
      <c r="H49" s="227">
        <v>4</v>
      </c>
      <c r="I49" s="227">
        <v>38</v>
      </c>
      <c r="J49" s="227">
        <v>3</v>
      </c>
      <c r="K49" s="226" t="s">
        <v>5241</v>
      </c>
      <c r="L49" s="227" t="s">
        <v>2341</v>
      </c>
      <c r="M49" s="227" t="s">
        <v>1796</v>
      </c>
      <c r="N49" s="228" t="s">
        <v>2023</v>
      </c>
    </row>
    <row r="50" spans="1:14" x14ac:dyDescent="0.2">
      <c r="A50" s="236">
        <v>48</v>
      </c>
      <c r="B50" s="229" t="s">
        <v>301</v>
      </c>
      <c r="C50" s="230">
        <v>7</v>
      </c>
      <c r="D50" s="230">
        <v>8.0399999999999991</v>
      </c>
      <c r="E50" s="405">
        <v>8.0399999999999991</v>
      </c>
      <c r="F50" s="230">
        <v>7.89</v>
      </c>
      <c r="G50" s="230">
        <v>0.95</v>
      </c>
      <c r="H50" s="230">
        <v>13</v>
      </c>
      <c r="I50" s="230">
        <v>72</v>
      </c>
      <c r="J50" s="230">
        <v>0</v>
      </c>
      <c r="K50" s="229" t="s">
        <v>5242</v>
      </c>
      <c r="L50" s="230" t="s">
        <v>2125</v>
      </c>
      <c r="M50" s="230" t="s">
        <v>1800</v>
      </c>
      <c r="N50" s="231" t="s">
        <v>2023</v>
      </c>
    </row>
    <row r="51" spans="1:14" x14ac:dyDescent="0.2">
      <c r="A51" s="236">
        <v>49</v>
      </c>
      <c r="B51" s="226" t="s">
        <v>607</v>
      </c>
      <c r="C51" s="227">
        <v>2</v>
      </c>
      <c r="D51" s="227">
        <v>8.0500000000000007</v>
      </c>
      <c r="E51" s="388">
        <v>7.99</v>
      </c>
      <c r="F51" s="227">
        <v>8.1300000000000008</v>
      </c>
      <c r="G51" s="227">
        <v>0.63</v>
      </c>
      <c r="H51" s="227">
        <v>1</v>
      </c>
      <c r="I51" s="227">
        <v>34</v>
      </c>
      <c r="J51" s="227">
        <v>0</v>
      </c>
      <c r="K51" s="226" t="s">
        <v>739</v>
      </c>
      <c r="L51" s="227" t="s">
        <v>3357</v>
      </c>
      <c r="M51" s="227" t="s">
        <v>1811</v>
      </c>
      <c r="N51" s="228" t="s">
        <v>2023</v>
      </c>
    </row>
    <row r="52" spans="1:14" x14ac:dyDescent="0.2">
      <c r="A52" s="236">
        <v>50</v>
      </c>
      <c r="B52" s="229" t="s">
        <v>2307</v>
      </c>
      <c r="C52" s="230">
        <v>2</v>
      </c>
      <c r="D52" s="230">
        <v>7.91</v>
      </c>
      <c r="E52" s="451">
        <v>7.87</v>
      </c>
      <c r="F52" s="230">
        <v>7.75</v>
      </c>
      <c r="G52" s="230">
        <v>0.79</v>
      </c>
      <c r="H52" s="230">
        <v>2</v>
      </c>
      <c r="I52" s="230">
        <v>25</v>
      </c>
      <c r="J52" s="230">
        <v>0</v>
      </c>
      <c r="K52" s="229" t="s">
        <v>4249</v>
      </c>
      <c r="L52" s="230" t="s">
        <v>4250</v>
      </c>
      <c r="M52" s="230" t="s">
        <v>1772</v>
      </c>
      <c r="N52" s="231" t="s">
        <v>2023</v>
      </c>
    </row>
    <row r="53" spans="1:14" x14ac:dyDescent="0.2">
      <c r="A53" s="236">
        <v>51</v>
      </c>
      <c r="B53" s="226" t="s">
        <v>305</v>
      </c>
      <c r="C53" s="227">
        <v>3</v>
      </c>
      <c r="D53" s="227">
        <v>7.71</v>
      </c>
      <c r="E53" s="328">
        <v>7.61</v>
      </c>
      <c r="F53" s="227">
        <v>7.67</v>
      </c>
      <c r="G53" s="227">
        <v>0.92</v>
      </c>
      <c r="H53" s="227">
        <v>3</v>
      </c>
      <c r="I53" s="227">
        <v>29</v>
      </c>
      <c r="J53" s="227">
        <v>0</v>
      </c>
      <c r="K53" s="226" t="s">
        <v>5243</v>
      </c>
      <c r="L53" s="227" t="s">
        <v>2456</v>
      </c>
      <c r="M53" s="227" t="s">
        <v>1772</v>
      </c>
      <c r="N53" s="228" t="s">
        <v>2023</v>
      </c>
    </row>
    <row r="55" spans="1:14" ht="18" x14ac:dyDescent="0.25">
      <c r="A55" s="542" t="s">
        <v>4074</v>
      </c>
      <c r="B55" s="542"/>
      <c r="C55" s="542"/>
      <c r="D55" s="542"/>
      <c r="E55" s="542"/>
    </row>
    <row r="56" spans="1:14" x14ac:dyDescent="0.2">
      <c r="A56" s="225" t="s">
        <v>318</v>
      </c>
      <c r="B56" s="225" t="s">
        <v>285</v>
      </c>
      <c r="C56" s="225" t="s">
        <v>286</v>
      </c>
      <c r="D56" s="225" t="s">
        <v>287</v>
      </c>
      <c r="E56" s="225" t="s">
        <v>957</v>
      </c>
    </row>
    <row r="57" spans="1:14" x14ac:dyDescent="0.2">
      <c r="A57" s="232">
        <v>1</v>
      </c>
      <c r="B57" s="226" t="s">
        <v>292</v>
      </c>
      <c r="C57" s="226" t="s">
        <v>7</v>
      </c>
      <c r="D57" s="227">
        <v>10.11</v>
      </c>
      <c r="E57" s="233">
        <v>10.99</v>
      </c>
    </row>
    <row r="58" spans="1:14" x14ac:dyDescent="0.2">
      <c r="A58" s="234">
        <v>2</v>
      </c>
      <c r="B58" s="229" t="s">
        <v>951</v>
      </c>
      <c r="C58" s="229" t="s">
        <v>949</v>
      </c>
      <c r="D58" s="230">
        <v>10.5</v>
      </c>
      <c r="E58" s="233">
        <v>10.85</v>
      </c>
    </row>
    <row r="59" spans="1:14" x14ac:dyDescent="0.2">
      <c r="A59" s="235">
        <v>3</v>
      </c>
      <c r="B59" s="226" t="s">
        <v>2293</v>
      </c>
      <c r="C59" s="226" t="s">
        <v>2278</v>
      </c>
      <c r="D59" s="227">
        <v>10</v>
      </c>
      <c r="E59" s="233">
        <v>10.44</v>
      </c>
    </row>
    <row r="60" spans="1:14" x14ac:dyDescent="0.2">
      <c r="A60" s="236">
        <v>4</v>
      </c>
      <c r="B60" s="229" t="s">
        <v>298</v>
      </c>
      <c r="C60" s="229" t="s">
        <v>981</v>
      </c>
      <c r="D60" s="230">
        <v>10</v>
      </c>
      <c r="E60" s="233">
        <v>10.39</v>
      </c>
    </row>
    <row r="61" spans="1:14" x14ac:dyDescent="0.2">
      <c r="A61" s="236">
        <v>5</v>
      </c>
      <c r="B61" s="226" t="s">
        <v>293</v>
      </c>
      <c r="C61" s="226" t="s">
        <v>294</v>
      </c>
      <c r="D61" s="227">
        <v>9.6999999999999993</v>
      </c>
      <c r="E61" s="233">
        <v>10.37</v>
      </c>
    </row>
    <row r="62" spans="1:14" x14ac:dyDescent="0.2">
      <c r="A62" s="236">
        <v>6</v>
      </c>
      <c r="B62" s="229" t="s">
        <v>2460</v>
      </c>
      <c r="C62" s="229" t="s">
        <v>634</v>
      </c>
      <c r="D62" s="230">
        <v>9.8800000000000008</v>
      </c>
      <c r="E62" s="233">
        <v>10.050000000000001</v>
      </c>
    </row>
    <row r="63" spans="1:14" x14ac:dyDescent="0.2">
      <c r="A63" s="236">
        <v>7</v>
      </c>
      <c r="B63" s="226" t="s">
        <v>4567</v>
      </c>
      <c r="C63" s="226" t="s">
        <v>4568</v>
      </c>
      <c r="D63" s="227">
        <v>9.5</v>
      </c>
      <c r="E63" s="503">
        <v>9.77</v>
      </c>
    </row>
    <row r="64" spans="1:14" x14ac:dyDescent="0.2">
      <c r="A64" s="236">
        <v>8</v>
      </c>
      <c r="B64" s="229" t="s">
        <v>296</v>
      </c>
      <c r="C64" s="229" t="s">
        <v>239</v>
      </c>
      <c r="D64" s="230">
        <v>9.3800000000000008</v>
      </c>
      <c r="E64" s="240">
        <v>9.5299999999999994</v>
      </c>
    </row>
    <row r="65" spans="1:5" x14ac:dyDescent="0.2">
      <c r="A65" s="236">
        <v>9</v>
      </c>
      <c r="B65" s="226" t="s">
        <v>297</v>
      </c>
      <c r="C65" s="226" t="s">
        <v>1079</v>
      </c>
      <c r="D65" s="227">
        <v>9.4</v>
      </c>
      <c r="E65" s="241">
        <v>9.4600000000000009</v>
      </c>
    </row>
    <row r="66" spans="1:5" x14ac:dyDescent="0.2">
      <c r="A66" s="236">
        <v>10</v>
      </c>
      <c r="B66" s="229" t="s">
        <v>300</v>
      </c>
      <c r="C66" s="229" t="s">
        <v>131</v>
      </c>
      <c r="D66" s="230">
        <v>9.2899999999999991</v>
      </c>
      <c r="E66" s="403">
        <v>9.44</v>
      </c>
    </row>
    <row r="67" spans="1:5" x14ac:dyDescent="0.2">
      <c r="A67" s="236">
        <v>11</v>
      </c>
      <c r="B67" s="226" t="s">
        <v>1872</v>
      </c>
      <c r="C67" s="226" t="s">
        <v>1865</v>
      </c>
      <c r="D67" s="227">
        <v>9.31</v>
      </c>
      <c r="E67" s="242">
        <v>9.43</v>
      </c>
    </row>
    <row r="68" spans="1:5" x14ac:dyDescent="0.2">
      <c r="A68" s="236">
        <v>12</v>
      </c>
      <c r="B68" s="229" t="s">
        <v>301</v>
      </c>
      <c r="C68" s="229" t="s">
        <v>56</v>
      </c>
      <c r="D68" s="230">
        <v>9.25</v>
      </c>
      <c r="E68" s="243">
        <v>9.3699999999999992</v>
      </c>
    </row>
    <row r="69" spans="1:5" x14ac:dyDescent="0.2">
      <c r="A69" s="236">
        <v>13</v>
      </c>
      <c r="B69" s="226" t="s">
        <v>302</v>
      </c>
      <c r="C69" s="226" t="s">
        <v>186</v>
      </c>
      <c r="D69" s="227">
        <v>9.2100000000000009</v>
      </c>
      <c r="E69" s="245">
        <v>9.34</v>
      </c>
    </row>
    <row r="70" spans="1:5" x14ac:dyDescent="0.2">
      <c r="A70" s="236">
        <v>14</v>
      </c>
      <c r="B70" s="229" t="s">
        <v>405</v>
      </c>
      <c r="C70" s="229" t="s">
        <v>36</v>
      </c>
      <c r="D70" s="230">
        <v>9.15</v>
      </c>
      <c r="E70" s="246">
        <v>9.23</v>
      </c>
    </row>
    <row r="71" spans="1:5" x14ac:dyDescent="0.2">
      <c r="A71" s="236">
        <v>15</v>
      </c>
      <c r="B71" s="226" t="s">
        <v>441</v>
      </c>
      <c r="C71" s="226" t="s">
        <v>459</v>
      </c>
      <c r="D71" s="227">
        <v>9.17</v>
      </c>
      <c r="E71" s="246">
        <v>9.23</v>
      </c>
    </row>
    <row r="72" spans="1:5" x14ac:dyDescent="0.2">
      <c r="A72" s="236">
        <v>16</v>
      </c>
      <c r="B72" s="229" t="s">
        <v>3034</v>
      </c>
      <c r="C72" s="229" t="s">
        <v>3035</v>
      </c>
      <c r="D72" s="230">
        <v>9.14</v>
      </c>
      <c r="E72" s="246">
        <v>9.23</v>
      </c>
    </row>
    <row r="73" spans="1:5" x14ac:dyDescent="0.2">
      <c r="A73" s="236">
        <v>17</v>
      </c>
      <c r="B73" s="226" t="s">
        <v>357</v>
      </c>
      <c r="C73" s="226" t="s">
        <v>351</v>
      </c>
      <c r="D73" s="227">
        <v>9.0500000000000007</v>
      </c>
      <c r="E73" s="249">
        <v>9.14</v>
      </c>
    </row>
    <row r="74" spans="1:5" x14ac:dyDescent="0.2">
      <c r="A74" s="236">
        <v>18</v>
      </c>
      <c r="B74" s="229" t="s">
        <v>866</v>
      </c>
      <c r="C74" s="229" t="s">
        <v>857</v>
      </c>
      <c r="D74" s="230">
        <v>9.06</v>
      </c>
      <c r="E74" s="250">
        <v>9.1</v>
      </c>
    </row>
    <row r="75" spans="1:5" x14ac:dyDescent="0.2">
      <c r="A75" s="236">
        <v>19</v>
      </c>
      <c r="B75" s="226" t="s">
        <v>303</v>
      </c>
      <c r="C75" s="226" t="s">
        <v>157</v>
      </c>
      <c r="D75" s="227">
        <v>9</v>
      </c>
      <c r="E75" s="250">
        <v>9.09</v>
      </c>
    </row>
    <row r="76" spans="1:5" x14ac:dyDescent="0.2">
      <c r="A76" s="236">
        <v>20</v>
      </c>
      <c r="B76" s="229" t="s">
        <v>304</v>
      </c>
      <c r="C76" s="229" t="s">
        <v>229</v>
      </c>
      <c r="D76" s="230">
        <v>9</v>
      </c>
      <c r="E76" s="250">
        <v>9.09</v>
      </c>
    </row>
    <row r="77" spans="1:5" x14ac:dyDescent="0.2">
      <c r="A77" s="236">
        <v>21</v>
      </c>
      <c r="B77" s="226" t="s">
        <v>1477</v>
      </c>
      <c r="C77" s="226" t="s">
        <v>1478</v>
      </c>
      <c r="D77" s="227">
        <v>9.1</v>
      </c>
      <c r="E77" s="434">
        <v>9.06</v>
      </c>
    </row>
    <row r="78" spans="1:5" x14ac:dyDescent="0.2">
      <c r="A78" s="236">
        <v>22</v>
      </c>
      <c r="B78" s="229" t="s">
        <v>2699</v>
      </c>
      <c r="C78" s="229" t="s">
        <v>2700</v>
      </c>
      <c r="D78" s="230">
        <v>8.8800000000000008</v>
      </c>
      <c r="E78" s="252">
        <v>9.0399999999999991</v>
      </c>
    </row>
    <row r="79" spans="1:5" x14ac:dyDescent="0.2">
      <c r="A79" s="236">
        <v>23</v>
      </c>
      <c r="B79" s="226" t="s">
        <v>307</v>
      </c>
      <c r="C79" s="226" t="s">
        <v>95</v>
      </c>
      <c r="D79" s="227">
        <v>8.94</v>
      </c>
      <c r="E79" s="253">
        <v>9.0299999999999994</v>
      </c>
    </row>
    <row r="80" spans="1:5" x14ac:dyDescent="0.2">
      <c r="A80" s="236">
        <v>24</v>
      </c>
      <c r="B80" s="229" t="s">
        <v>4709</v>
      </c>
      <c r="C80" s="229" t="s">
        <v>4710</v>
      </c>
      <c r="D80" s="230">
        <v>9.08</v>
      </c>
      <c r="E80" s="253">
        <v>9.0299999999999994</v>
      </c>
    </row>
    <row r="81" spans="1:5" x14ac:dyDescent="0.2">
      <c r="A81" s="236">
        <v>25</v>
      </c>
      <c r="B81" s="226" t="s">
        <v>5638</v>
      </c>
      <c r="C81" s="226" t="s">
        <v>5639</v>
      </c>
      <c r="D81" s="227">
        <v>9</v>
      </c>
      <c r="E81" s="253">
        <v>9.0299999999999994</v>
      </c>
    </row>
    <row r="83" spans="1:5" ht="18" x14ac:dyDescent="0.25">
      <c r="A83" s="542" t="s">
        <v>2562</v>
      </c>
      <c r="B83" s="542"/>
      <c r="C83" s="542"/>
      <c r="D83" s="542"/>
      <c r="E83" s="542"/>
    </row>
    <row r="84" spans="1:5" x14ac:dyDescent="0.2">
      <c r="A84" s="225" t="s">
        <v>318</v>
      </c>
      <c r="B84" s="225" t="s">
        <v>285</v>
      </c>
      <c r="C84" s="225" t="s">
        <v>286</v>
      </c>
      <c r="D84" s="225" t="s">
        <v>287</v>
      </c>
      <c r="E84" s="225" t="s">
        <v>957</v>
      </c>
    </row>
    <row r="85" spans="1:5" x14ac:dyDescent="0.2">
      <c r="A85" s="232">
        <v>1</v>
      </c>
      <c r="B85" s="226" t="s">
        <v>292</v>
      </c>
      <c r="C85" s="226" t="s">
        <v>7</v>
      </c>
      <c r="D85" s="227">
        <v>10.11</v>
      </c>
      <c r="E85" s="233">
        <v>10.99</v>
      </c>
    </row>
    <row r="86" spans="1:5" x14ac:dyDescent="0.2">
      <c r="A86" s="234">
        <v>2</v>
      </c>
      <c r="B86" s="229" t="s">
        <v>951</v>
      </c>
      <c r="C86" s="229" t="s">
        <v>949</v>
      </c>
      <c r="D86" s="230">
        <v>10.5</v>
      </c>
      <c r="E86" s="233">
        <v>10.85</v>
      </c>
    </row>
    <row r="87" spans="1:5" x14ac:dyDescent="0.2">
      <c r="A87" s="235">
        <v>3</v>
      </c>
      <c r="B87" s="226" t="s">
        <v>2293</v>
      </c>
      <c r="C87" s="226" t="s">
        <v>2278</v>
      </c>
      <c r="D87" s="227">
        <v>10</v>
      </c>
      <c r="E87" s="233">
        <v>10.44</v>
      </c>
    </row>
    <row r="88" spans="1:5" x14ac:dyDescent="0.2">
      <c r="A88" s="236">
        <v>4</v>
      </c>
      <c r="B88" s="229" t="s">
        <v>298</v>
      </c>
      <c r="C88" s="229" t="s">
        <v>981</v>
      </c>
      <c r="D88" s="230">
        <v>10</v>
      </c>
      <c r="E88" s="233">
        <v>10.39</v>
      </c>
    </row>
    <row r="89" spans="1:5" x14ac:dyDescent="0.2">
      <c r="A89" s="236">
        <v>5</v>
      </c>
      <c r="B89" s="226" t="s">
        <v>293</v>
      </c>
      <c r="C89" s="226" t="s">
        <v>294</v>
      </c>
      <c r="D89" s="227">
        <v>9.6999999999999993</v>
      </c>
      <c r="E89" s="233">
        <v>10.37</v>
      </c>
    </row>
    <row r="90" spans="1:5" x14ac:dyDescent="0.2">
      <c r="A90" s="236">
        <v>6</v>
      </c>
      <c r="B90" s="229" t="s">
        <v>293</v>
      </c>
      <c r="C90" s="229" t="s">
        <v>295</v>
      </c>
      <c r="D90" s="230">
        <v>9.68</v>
      </c>
      <c r="E90" s="233">
        <v>10.07</v>
      </c>
    </row>
    <row r="91" spans="1:5" x14ac:dyDescent="0.2">
      <c r="A91" s="236">
        <v>7</v>
      </c>
      <c r="B91" s="226" t="s">
        <v>2460</v>
      </c>
      <c r="C91" s="226" t="s">
        <v>634</v>
      </c>
      <c r="D91" s="227">
        <v>9.8800000000000008</v>
      </c>
      <c r="E91" s="233">
        <v>10.050000000000001</v>
      </c>
    </row>
    <row r="92" spans="1:5" x14ac:dyDescent="0.2">
      <c r="A92" s="236">
        <v>8</v>
      </c>
      <c r="B92" s="229" t="s">
        <v>298</v>
      </c>
      <c r="C92" s="229" t="s">
        <v>299</v>
      </c>
      <c r="D92" s="230">
        <v>9.61</v>
      </c>
      <c r="E92" s="233">
        <v>10</v>
      </c>
    </row>
    <row r="93" spans="1:5" x14ac:dyDescent="0.2">
      <c r="A93" s="236">
        <v>9</v>
      </c>
      <c r="B93" s="226" t="s">
        <v>292</v>
      </c>
      <c r="C93" s="226" t="s">
        <v>517</v>
      </c>
      <c r="D93" s="227">
        <v>9.61</v>
      </c>
      <c r="E93" s="237">
        <v>9.99</v>
      </c>
    </row>
    <row r="94" spans="1:5" x14ac:dyDescent="0.2">
      <c r="A94" s="236">
        <v>10</v>
      </c>
      <c r="B94" s="229" t="s">
        <v>292</v>
      </c>
      <c r="C94" s="229" t="s">
        <v>156</v>
      </c>
      <c r="D94" s="230">
        <v>9.61</v>
      </c>
      <c r="E94" s="238">
        <v>9.9600000000000009</v>
      </c>
    </row>
    <row r="95" spans="1:5" x14ac:dyDescent="0.2">
      <c r="A95" s="236">
        <v>11</v>
      </c>
      <c r="B95" s="226" t="s">
        <v>4567</v>
      </c>
      <c r="C95" s="226" t="s">
        <v>4568</v>
      </c>
      <c r="D95" s="227">
        <v>9.5</v>
      </c>
      <c r="E95" s="503">
        <v>9.77</v>
      </c>
    </row>
    <row r="96" spans="1:5" x14ac:dyDescent="0.2">
      <c r="A96" s="236">
        <v>12</v>
      </c>
      <c r="B96" s="229" t="s">
        <v>298</v>
      </c>
      <c r="C96" s="229" t="s">
        <v>727</v>
      </c>
      <c r="D96" s="230">
        <v>9.4</v>
      </c>
      <c r="E96" s="239">
        <v>9.5500000000000007</v>
      </c>
    </row>
    <row r="97" spans="1:5" x14ac:dyDescent="0.2">
      <c r="A97" s="236">
        <v>13</v>
      </c>
      <c r="B97" s="226" t="s">
        <v>296</v>
      </c>
      <c r="C97" s="226" t="s">
        <v>239</v>
      </c>
      <c r="D97" s="227">
        <v>9.3800000000000008</v>
      </c>
      <c r="E97" s="240">
        <v>9.5299999999999994</v>
      </c>
    </row>
    <row r="98" spans="1:5" x14ac:dyDescent="0.2">
      <c r="A98" s="236">
        <v>14</v>
      </c>
      <c r="B98" s="229" t="s">
        <v>292</v>
      </c>
      <c r="C98" s="229" t="s">
        <v>2367</v>
      </c>
      <c r="D98" s="230">
        <v>9.25</v>
      </c>
      <c r="E98" s="240">
        <v>9.5299999999999994</v>
      </c>
    </row>
    <row r="99" spans="1:5" x14ac:dyDescent="0.2">
      <c r="A99" s="236">
        <v>15</v>
      </c>
      <c r="B99" s="226" t="s">
        <v>297</v>
      </c>
      <c r="C99" s="226" t="s">
        <v>1079</v>
      </c>
      <c r="D99" s="227">
        <v>9.4</v>
      </c>
      <c r="E99" s="241">
        <v>9.4600000000000009</v>
      </c>
    </row>
    <row r="100" spans="1:5" x14ac:dyDescent="0.2">
      <c r="A100" s="236">
        <v>16</v>
      </c>
      <c r="B100" s="229" t="s">
        <v>300</v>
      </c>
      <c r="C100" s="229" t="s">
        <v>131</v>
      </c>
      <c r="D100" s="230">
        <v>9.2899999999999991</v>
      </c>
      <c r="E100" s="403">
        <v>9.44</v>
      </c>
    </row>
    <row r="101" spans="1:5" x14ac:dyDescent="0.2">
      <c r="A101" s="236">
        <v>17</v>
      </c>
      <c r="B101" s="226" t="s">
        <v>1872</v>
      </c>
      <c r="C101" s="226" t="s">
        <v>1865</v>
      </c>
      <c r="D101" s="227">
        <v>9.31</v>
      </c>
      <c r="E101" s="242">
        <v>9.43</v>
      </c>
    </row>
    <row r="102" spans="1:5" x14ac:dyDescent="0.2">
      <c r="A102" s="236">
        <v>18</v>
      </c>
      <c r="B102" s="229" t="s">
        <v>292</v>
      </c>
      <c r="C102" s="229" t="s">
        <v>1138</v>
      </c>
      <c r="D102" s="230">
        <v>9.2899999999999991</v>
      </c>
      <c r="E102" s="371">
        <v>9.42</v>
      </c>
    </row>
    <row r="103" spans="1:5" x14ac:dyDescent="0.2">
      <c r="A103" s="236">
        <v>19</v>
      </c>
      <c r="B103" s="226" t="s">
        <v>301</v>
      </c>
      <c r="C103" s="226" t="s">
        <v>56</v>
      </c>
      <c r="D103" s="227">
        <v>9.25</v>
      </c>
      <c r="E103" s="243">
        <v>9.3699999999999992</v>
      </c>
    </row>
    <row r="104" spans="1:5" x14ac:dyDescent="0.2">
      <c r="A104" s="236">
        <v>20</v>
      </c>
      <c r="B104" s="229" t="s">
        <v>293</v>
      </c>
      <c r="C104" s="229" t="s">
        <v>251</v>
      </c>
      <c r="D104" s="230">
        <v>9.15</v>
      </c>
      <c r="E104" s="243">
        <v>9.3699999999999992</v>
      </c>
    </row>
    <row r="105" spans="1:5" x14ac:dyDescent="0.2">
      <c r="A105" s="236">
        <v>21</v>
      </c>
      <c r="B105" s="226" t="s">
        <v>297</v>
      </c>
      <c r="C105" s="226" t="s">
        <v>959</v>
      </c>
      <c r="D105" s="227">
        <v>9.3000000000000007</v>
      </c>
      <c r="E105" s="244">
        <v>9.36</v>
      </c>
    </row>
    <row r="106" spans="1:5" x14ac:dyDescent="0.2">
      <c r="A106" s="236">
        <v>22</v>
      </c>
      <c r="B106" s="229" t="s">
        <v>302</v>
      </c>
      <c r="C106" s="229" t="s">
        <v>186</v>
      </c>
      <c r="D106" s="230">
        <v>9.2100000000000009</v>
      </c>
      <c r="E106" s="245">
        <v>9.34</v>
      </c>
    </row>
    <row r="107" spans="1:5" x14ac:dyDescent="0.2">
      <c r="A107" s="236">
        <v>23</v>
      </c>
      <c r="B107" s="226" t="s">
        <v>4134</v>
      </c>
      <c r="C107" s="226" t="s">
        <v>4135</v>
      </c>
      <c r="D107" s="227">
        <v>9.09</v>
      </c>
      <c r="E107" s="452">
        <v>9.33</v>
      </c>
    </row>
    <row r="108" spans="1:5" x14ac:dyDescent="0.2">
      <c r="A108" s="236">
        <v>24</v>
      </c>
      <c r="B108" s="229" t="s">
        <v>300</v>
      </c>
      <c r="C108" s="229" t="s">
        <v>922</v>
      </c>
      <c r="D108" s="230">
        <v>9.1300000000000008</v>
      </c>
      <c r="E108" s="460">
        <v>9.24</v>
      </c>
    </row>
    <row r="109" spans="1:5" x14ac:dyDescent="0.2">
      <c r="A109" s="236">
        <v>25</v>
      </c>
      <c r="B109" s="226" t="s">
        <v>405</v>
      </c>
      <c r="C109" s="226" t="s">
        <v>36</v>
      </c>
      <c r="D109" s="227">
        <v>9.15</v>
      </c>
      <c r="E109" s="246">
        <v>9.23</v>
      </c>
    </row>
    <row r="114" spans="1:5" ht="18" x14ac:dyDescent="0.25">
      <c r="A114" s="542" t="s">
        <v>5266</v>
      </c>
      <c r="B114" s="542"/>
      <c r="C114" s="542"/>
      <c r="D114" s="542"/>
      <c r="E114" s="542"/>
    </row>
    <row r="115" spans="1:5" x14ac:dyDescent="0.2">
      <c r="A115" s="225" t="s">
        <v>318</v>
      </c>
      <c r="B115" s="225" t="s">
        <v>285</v>
      </c>
      <c r="C115" s="225" t="s">
        <v>286</v>
      </c>
      <c r="D115" s="225" t="s">
        <v>287</v>
      </c>
      <c r="E115" s="225" t="s">
        <v>957</v>
      </c>
    </row>
    <row r="116" spans="1:5" x14ac:dyDescent="0.2">
      <c r="A116" s="232">
        <v>1</v>
      </c>
      <c r="B116" s="226" t="s">
        <v>2293</v>
      </c>
      <c r="C116" s="226" t="s">
        <v>2278</v>
      </c>
      <c r="D116" s="227">
        <v>10</v>
      </c>
      <c r="E116" s="233">
        <v>10.44</v>
      </c>
    </row>
    <row r="117" spans="1:5" x14ac:dyDescent="0.2">
      <c r="A117" s="234">
        <v>2</v>
      </c>
      <c r="B117" s="229" t="s">
        <v>298</v>
      </c>
      <c r="C117" s="229" t="s">
        <v>4582</v>
      </c>
      <c r="D117" s="230">
        <v>9.67</v>
      </c>
      <c r="E117" s="372">
        <v>9.98</v>
      </c>
    </row>
    <row r="118" spans="1:5" x14ac:dyDescent="0.2">
      <c r="A118" s="235">
        <v>3</v>
      </c>
      <c r="B118" s="226" t="s">
        <v>4567</v>
      </c>
      <c r="C118" s="226" t="s">
        <v>4568</v>
      </c>
      <c r="D118" s="227">
        <v>9.5</v>
      </c>
      <c r="E118" s="503">
        <v>9.77</v>
      </c>
    </row>
    <row r="119" spans="1:5" x14ac:dyDescent="0.2">
      <c r="A119" s="236">
        <v>4</v>
      </c>
      <c r="B119" s="229" t="s">
        <v>297</v>
      </c>
      <c r="C119" s="229" t="s">
        <v>2563</v>
      </c>
      <c r="D119" s="230">
        <v>9.35</v>
      </c>
      <c r="E119" s="338">
        <v>9.41</v>
      </c>
    </row>
    <row r="120" spans="1:5" x14ac:dyDescent="0.2">
      <c r="A120" s="236">
        <v>5</v>
      </c>
      <c r="B120" s="226" t="s">
        <v>405</v>
      </c>
      <c r="C120" s="226" t="s">
        <v>36</v>
      </c>
      <c r="D120" s="227">
        <v>9.15</v>
      </c>
      <c r="E120" s="246">
        <v>9.23</v>
      </c>
    </row>
    <row r="122" spans="1:5" ht="18" x14ac:dyDescent="0.25">
      <c r="A122" s="542" t="s">
        <v>4453</v>
      </c>
      <c r="B122" s="542"/>
      <c r="C122" s="542"/>
      <c r="D122" s="542"/>
      <c r="E122" s="542"/>
    </row>
    <row r="123" spans="1:5" x14ac:dyDescent="0.2">
      <c r="A123" s="225" t="s">
        <v>318</v>
      </c>
      <c r="B123" s="225" t="s">
        <v>285</v>
      </c>
      <c r="C123" s="225" t="s">
        <v>286</v>
      </c>
      <c r="D123" s="225" t="s">
        <v>287</v>
      </c>
      <c r="E123" s="225" t="s">
        <v>957</v>
      </c>
    </row>
    <row r="124" spans="1:5" x14ac:dyDescent="0.2">
      <c r="A124" s="232">
        <v>1</v>
      </c>
      <c r="B124" s="226" t="s">
        <v>292</v>
      </c>
      <c r="C124" s="226" t="s">
        <v>3156</v>
      </c>
      <c r="D124" s="227">
        <v>9.57</v>
      </c>
      <c r="E124" s="372">
        <v>9.98</v>
      </c>
    </row>
    <row r="125" spans="1:5" x14ac:dyDescent="0.2">
      <c r="A125" s="234">
        <v>2</v>
      </c>
      <c r="B125" s="229" t="s">
        <v>300</v>
      </c>
      <c r="C125" s="229" t="s">
        <v>3158</v>
      </c>
      <c r="D125" s="230">
        <v>9.07</v>
      </c>
      <c r="E125" s="461">
        <v>9.1300000000000008</v>
      </c>
    </row>
    <row r="126" spans="1:5" x14ac:dyDescent="0.2">
      <c r="A126" s="235">
        <v>3</v>
      </c>
      <c r="B126" s="226" t="s">
        <v>441</v>
      </c>
      <c r="C126" s="226" t="s">
        <v>5667</v>
      </c>
      <c r="D126" s="227">
        <v>9.06</v>
      </c>
      <c r="E126" s="249">
        <v>9.14</v>
      </c>
    </row>
    <row r="127" spans="1:5" x14ac:dyDescent="0.2">
      <c r="A127" s="236">
        <v>4</v>
      </c>
      <c r="B127" s="229" t="s">
        <v>3034</v>
      </c>
      <c r="C127" s="229" t="s">
        <v>3035</v>
      </c>
      <c r="D127" s="230">
        <v>9.14</v>
      </c>
      <c r="E127" s="246">
        <v>9.23</v>
      </c>
    </row>
    <row r="128" spans="1:5" x14ac:dyDescent="0.2">
      <c r="A128" s="236">
        <v>5</v>
      </c>
      <c r="B128" s="226" t="s">
        <v>1174</v>
      </c>
      <c r="C128" s="226" t="s">
        <v>1175</v>
      </c>
      <c r="D128" s="227">
        <v>8.7200000000000006</v>
      </c>
      <c r="E128" s="267">
        <v>8.84</v>
      </c>
    </row>
    <row r="130" spans="1:5" ht="18" x14ac:dyDescent="0.25">
      <c r="A130" s="542" t="s">
        <v>5438</v>
      </c>
      <c r="B130" s="542"/>
      <c r="C130" s="542"/>
      <c r="D130" s="542"/>
      <c r="E130" s="542"/>
    </row>
    <row r="131" spans="1:5" x14ac:dyDescent="0.2">
      <c r="A131" s="225" t="s">
        <v>318</v>
      </c>
      <c r="B131" s="225" t="s">
        <v>285</v>
      </c>
      <c r="C131" s="225" t="s">
        <v>286</v>
      </c>
      <c r="D131" s="225" t="s">
        <v>287</v>
      </c>
      <c r="E131" s="225" t="s">
        <v>957</v>
      </c>
    </row>
    <row r="132" spans="1:5" x14ac:dyDescent="0.2">
      <c r="A132" s="232">
        <v>1</v>
      </c>
      <c r="B132" s="226" t="s">
        <v>298</v>
      </c>
      <c r="C132" s="226" t="s">
        <v>2778</v>
      </c>
      <c r="D132" s="227">
        <v>9.4</v>
      </c>
      <c r="E132" s="339">
        <v>9.68</v>
      </c>
    </row>
    <row r="133" spans="1:5" x14ac:dyDescent="0.2">
      <c r="A133" s="234">
        <v>2</v>
      </c>
      <c r="B133" s="229" t="s">
        <v>293</v>
      </c>
      <c r="C133" s="229" t="s">
        <v>2564</v>
      </c>
      <c r="D133" s="230">
        <v>9.51</v>
      </c>
      <c r="E133" s="340">
        <v>9.94</v>
      </c>
    </row>
    <row r="134" spans="1:5" x14ac:dyDescent="0.2">
      <c r="A134" s="235">
        <v>3</v>
      </c>
      <c r="B134" s="226" t="s">
        <v>297</v>
      </c>
      <c r="C134" s="226" t="s">
        <v>2563</v>
      </c>
      <c r="D134" s="227">
        <v>9.35</v>
      </c>
      <c r="E134" s="338">
        <v>9.41</v>
      </c>
    </row>
    <row r="135" spans="1:5" x14ac:dyDescent="0.2">
      <c r="A135" s="236">
        <v>4</v>
      </c>
      <c r="B135" s="229" t="s">
        <v>405</v>
      </c>
      <c r="C135" s="229" t="s">
        <v>36</v>
      </c>
      <c r="D135" s="230">
        <v>9.15</v>
      </c>
      <c r="E135" s="246">
        <v>9.23</v>
      </c>
    </row>
    <row r="136" spans="1:5" x14ac:dyDescent="0.2">
      <c r="A136" s="236">
        <v>5</v>
      </c>
      <c r="B136" s="226" t="s">
        <v>4567</v>
      </c>
      <c r="C136" s="226" t="s">
        <v>5409</v>
      </c>
      <c r="D136" s="227">
        <v>8.92</v>
      </c>
      <c r="E136" s="256">
        <v>8.9700000000000006</v>
      </c>
    </row>
    <row r="138" spans="1:5" ht="18" x14ac:dyDescent="0.25">
      <c r="A138" s="542" t="s">
        <v>5244</v>
      </c>
      <c r="B138" s="542"/>
      <c r="C138" s="542"/>
      <c r="D138" s="542"/>
      <c r="E138" s="542"/>
    </row>
    <row r="139" spans="1:5" x14ac:dyDescent="0.2">
      <c r="A139" s="225" t="s">
        <v>318</v>
      </c>
      <c r="B139" s="225" t="s">
        <v>285</v>
      </c>
      <c r="C139" s="225" t="s">
        <v>286</v>
      </c>
      <c r="D139" s="225" t="s">
        <v>287</v>
      </c>
      <c r="E139" s="225" t="s">
        <v>957</v>
      </c>
    </row>
    <row r="140" spans="1:5" x14ac:dyDescent="0.2">
      <c r="A140" s="232">
        <v>1</v>
      </c>
      <c r="B140" s="226" t="s">
        <v>293</v>
      </c>
      <c r="C140" s="226" t="s">
        <v>4097</v>
      </c>
      <c r="D140" s="227">
        <v>9.4700000000000006</v>
      </c>
      <c r="E140" s="439">
        <v>9.86</v>
      </c>
    </row>
    <row r="141" spans="1:5" x14ac:dyDescent="0.2">
      <c r="A141" s="234">
        <v>2</v>
      </c>
      <c r="B141" s="229" t="s">
        <v>3602</v>
      </c>
      <c r="C141" s="229" t="s">
        <v>3603</v>
      </c>
      <c r="D141" s="230">
        <v>9</v>
      </c>
      <c r="E141" s="258">
        <v>8.9499999999999993</v>
      </c>
    </row>
    <row r="142" spans="1:5" x14ac:dyDescent="0.2">
      <c r="A142" s="235">
        <v>3</v>
      </c>
      <c r="B142" s="226" t="s">
        <v>4093</v>
      </c>
      <c r="C142" s="226" t="s">
        <v>4094</v>
      </c>
      <c r="D142" s="227">
        <v>9</v>
      </c>
      <c r="E142" s="260">
        <v>8.92</v>
      </c>
    </row>
    <row r="143" spans="1:5" x14ac:dyDescent="0.2">
      <c r="A143" s="236">
        <v>4</v>
      </c>
      <c r="B143" s="229" t="s">
        <v>677</v>
      </c>
      <c r="C143" s="229" t="s">
        <v>1318</v>
      </c>
      <c r="D143" s="230">
        <v>8.8800000000000008</v>
      </c>
      <c r="E143" s="262">
        <v>8.89</v>
      </c>
    </row>
    <row r="144" spans="1:5" x14ac:dyDescent="0.2">
      <c r="A144" s="236">
        <v>5</v>
      </c>
      <c r="B144" s="226" t="s">
        <v>2381</v>
      </c>
      <c r="C144" s="226" t="s">
        <v>2382</v>
      </c>
      <c r="D144" s="227">
        <v>8.86</v>
      </c>
      <c r="E144" s="263">
        <v>8.8800000000000008</v>
      </c>
    </row>
    <row r="146" spans="1:5" ht="18" x14ac:dyDescent="0.25">
      <c r="A146" s="542" t="s">
        <v>4711</v>
      </c>
      <c r="B146" s="542"/>
      <c r="C146" s="542"/>
      <c r="D146" s="542"/>
      <c r="E146" s="542"/>
    </row>
    <row r="147" spans="1:5" x14ac:dyDescent="0.2">
      <c r="A147" s="225" t="s">
        <v>318</v>
      </c>
      <c r="B147" s="225" t="s">
        <v>285</v>
      </c>
      <c r="C147" s="225" t="s">
        <v>286</v>
      </c>
      <c r="D147" s="225" t="s">
        <v>287</v>
      </c>
      <c r="E147" s="225" t="s">
        <v>957</v>
      </c>
    </row>
    <row r="148" spans="1:5" x14ac:dyDescent="0.2">
      <c r="A148" s="232">
        <v>1</v>
      </c>
      <c r="B148" s="226" t="s">
        <v>292</v>
      </c>
      <c r="C148" s="226" t="s">
        <v>3501</v>
      </c>
      <c r="D148" s="227">
        <v>9.65</v>
      </c>
      <c r="E148" s="233">
        <v>10.119999999999999</v>
      </c>
    </row>
    <row r="149" spans="1:5" x14ac:dyDescent="0.2">
      <c r="A149" s="234">
        <v>2</v>
      </c>
      <c r="B149" s="229" t="s">
        <v>2617</v>
      </c>
      <c r="C149" s="229" t="s">
        <v>2613</v>
      </c>
      <c r="D149" s="230">
        <v>8.83</v>
      </c>
      <c r="E149" s="255">
        <v>9</v>
      </c>
    </row>
    <row r="150" spans="1:5" x14ac:dyDescent="0.2">
      <c r="A150" s="235">
        <v>3</v>
      </c>
      <c r="B150" s="226" t="s">
        <v>2844</v>
      </c>
      <c r="C150" s="226" t="s">
        <v>4712</v>
      </c>
      <c r="D150" s="227">
        <v>8.8000000000000007</v>
      </c>
      <c r="E150" s="270">
        <v>8.7899999999999991</v>
      </c>
    </row>
    <row r="151" spans="1:5" x14ac:dyDescent="0.2">
      <c r="A151" s="236">
        <v>4</v>
      </c>
      <c r="B151" s="229" t="s">
        <v>4605</v>
      </c>
      <c r="C151" s="229" t="s">
        <v>4606</v>
      </c>
      <c r="D151" s="230">
        <v>8.86</v>
      </c>
      <c r="E151" s="267">
        <v>8.83</v>
      </c>
    </row>
    <row r="152" spans="1:5" x14ac:dyDescent="0.2">
      <c r="A152" s="236">
        <v>5</v>
      </c>
      <c r="B152" s="226" t="s">
        <v>4014</v>
      </c>
      <c r="C152" s="226" t="s">
        <v>4013</v>
      </c>
      <c r="D152" s="227">
        <v>8.67</v>
      </c>
      <c r="E152" s="290">
        <v>8.56</v>
      </c>
    </row>
    <row r="154" spans="1:5" ht="18" x14ac:dyDescent="0.25">
      <c r="A154" s="542" t="s">
        <v>4626</v>
      </c>
      <c r="B154" s="542"/>
      <c r="C154" s="542"/>
      <c r="D154" s="542"/>
      <c r="E154" s="542"/>
    </row>
    <row r="155" spans="1:5" x14ac:dyDescent="0.2">
      <c r="A155" s="225" t="s">
        <v>318</v>
      </c>
      <c r="B155" s="225" t="s">
        <v>285</v>
      </c>
      <c r="C155" s="225" t="s">
        <v>286</v>
      </c>
      <c r="D155" s="225" t="s">
        <v>287</v>
      </c>
      <c r="E155" s="225" t="s">
        <v>957</v>
      </c>
    </row>
    <row r="156" spans="1:5" x14ac:dyDescent="0.2">
      <c r="A156" s="232">
        <v>1</v>
      </c>
      <c r="B156" s="226" t="s">
        <v>1226</v>
      </c>
      <c r="C156" s="226" t="s">
        <v>1217</v>
      </c>
      <c r="D156" s="227">
        <v>9</v>
      </c>
      <c r="E156" s="257">
        <v>8.9600000000000009</v>
      </c>
    </row>
    <row r="157" spans="1:5" x14ac:dyDescent="0.2">
      <c r="A157" s="234">
        <v>2</v>
      </c>
      <c r="B157" s="229" t="s">
        <v>699</v>
      </c>
      <c r="C157" s="229" t="s">
        <v>700</v>
      </c>
      <c r="D157" s="230">
        <v>8.91</v>
      </c>
      <c r="E157" s="259">
        <v>8.93</v>
      </c>
    </row>
    <row r="158" spans="1:5" x14ac:dyDescent="0.2">
      <c r="A158" s="235">
        <v>3</v>
      </c>
      <c r="B158" s="226" t="s">
        <v>1378</v>
      </c>
      <c r="C158" s="226" t="s">
        <v>1379</v>
      </c>
      <c r="D158" s="227">
        <v>8.93</v>
      </c>
      <c r="E158" s="263">
        <v>8.8800000000000008</v>
      </c>
    </row>
    <row r="159" spans="1:5" x14ac:dyDescent="0.2">
      <c r="A159" s="236">
        <v>4</v>
      </c>
      <c r="B159" s="229" t="s">
        <v>305</v>
      </c>
      <c r="C159" s="229" t="s">
        <v>306</v>
      </c>
      <c r="D159" s="230">
        <v>8.89</v>
      </c>
      <c r="E159" s="264">
        <v>8.8699999999999992</v>
      </c>
    </row>
    <row r="160" spans="1:5" x14ac:dyDescent="0.2">
      <c r="A160" s="236">
        <v>5</v>
      </c>
      <c r="B160" s="226" t="s">
        <v>4036</v>
      </c>
      <c r="C160" s="226" t="s">
        <v>4037</v>
      </c>
      <c r="D160" s="227">
        <v>8.77</v>
      </c>
      <c r="E160" s="270">
        <v>8.7899999999999991</v>
      </c>
    </row>
    <row r="162" spans="1:5" ht="18" x14ac:dyDescent="0.25">
      <c r="A162" s="542" t="s">
        <v>4685</v>
      </c>
      <c r="B162" s="542"/>
      <c r="C162" s="542"/>
      <c r="D162" s="542"/>
      <c r="E162" s="542"/>
    </row>
    <row r="163" spans="1:5" x14ac:dyDescent="0.2">
      <c r="A163" s="225" t="s">
        <v>318</v>
      </c>
      <c r="B163" s="225" t="s">
        <v>285</v>
      </c>
      <c r="C163" s="225" t="s">
        <v>286</v>
      </c>
      <c r="D163" s="225" t="s">
        <v>287</v>
      </c>
      <c r="E163" s="225" t="s">
        <v>957</v>
      </c>
    </row>
    <row r="164" spans="1:5" x14ac:dyDescent="0.2">
      <c r="A164" s="232">
        <v>1</v>
      </c>
      <c r="B164" s="226" t="s">
        <v>2460</v>
      </c>
      <c r="C164" s="226" t="s">
        <v>3454</v>
      </c>
      <c r="D164" s="227">
        <v>9.24</v>
      </c>
      <c r="E164" s="467">
        <v>9.2799999999999994</v>
      </c>
    </row>
    <row r="165" spans="1:5" x14ac:dyDescent="0.2">
      <c r="A165" s="234">
        <v>2</v>
      </c>
      <c r="B165" s="229" t="s">
        <v>3402</v>
      </c>
      <c r="C165" s="229" t="s">
        <v>4686</v>
      </c>
      <c r="D165" s="230">
        <v>8.9600000000000009</v>
      </c>
      <c r="E165" s="263">
        <v>8.8800000000000008</v>
      </c>
    </row>
    <row r="166" spans="1:5" x14ac:dyDescent="0.2">
      <c r="A166" s="235">
        <v>3</v>
      </c>
      <c r="B166" s="226" t="s">
        <v>1656</v>
      </c>
      <c r="C166" s="226" t="s">
        <v>1657</v>
      </c>
      <c r="D166" s="227">
        <v>8.92</v>
      </c>
      <c r="E166" s="267">
        <v>8.83</v>
      </c>
    </row>
    <row r="167" spans="1:5" x14ac:dyDescent="0.2">
      <c r="A167" s="236">
        <v>4</v>
      </c>
      <c r="B167" s="229" t="s">
        <v>2478</v>
      </c>
      <c r="C167" s="229" t="s">
        <v>2477</v>
      </c>
      <c r="D167" s="230">
        <v>8.8800000000000008</v>
      </c>
      <c r="E167" s="269">
        <v>8.81</v>
      </c>
    </row>
    <row r="168" spans="1:5" x14ac:dyDescent="0.2">
      <c r="A168" s="236">
        <v>5</v>
      </c>
      <c r="B168" s="226" t="s">
        <v>1555</v>
      </c>
      <c r="C168" s="226" t="s">
        <v>1554</v>
      </c>
      <c r="D168" s="227">
        <v>8.85</v>
      </c>
      <c r="E168" s="271">
        <v>8.7799999999999994</v>
      </c>
    </row>
    <row r="170" spans="1:5" ht="18" x14ac:dyDescent="0.25">
      <c r="A170" s="542" t="s">
        <v>4070</v>
      </c>
      <c r="B170" s="542"/>
      <c r="C170" s="542"/>
      <c r="D170" s="542"/>
      <c r="E170" s="542"/>
    </row>
    <row r="171" spans="1:5" x14ac:dyDescent="0.2">
      <c r="A171" s="225" t="s">
        <v>318</v>
      </c>
      <c r="B171" s="225" t="s">
        <v>285</v>
      </c>
      <c r="C171" s="225" t="s">
        <v>286</v>
      </c>
      <c r="D171" s="225" t="s">
        <v>287</v>
      </c>
      <c r="E171" s="225" t="s">
        <v>957</v>
      </c>
    </row>
    <row r="172" spans="1:5" x14ac:dyDescent="0.2">
      <c r="A172" s="232">
        <v>1</v>
      </c>
      <c r="B172" s="226" t="s">
        <v>300</v>
      </c>
      <c r="C172" s="226" t="s">
        <v>3120</v>
      </c>
      <c r="D172" s="227">
        <v>9.02</v>
      </c>
      <c r="E172" s="462">
        <v>9.0500000000000007</v>
      </c>
    </row>
    <row r="173" spans="1:5" x14ac:dyDescent="0.2">
      <c r="A173" s="234">
        <v>2</v>
      </c>
      <c r="B173" s="229" t="s">
        <v>1410</v>
      </c>
      <c r="C173" s="229" t="s">
        <v>3252</v>
      </c>
      <c r="D173" s="230">
        <v>8.73</v>
      </c>
      <c r="E173" s="273">
        <v>8.76</v>
      </c>
    </row>
    <row r="174" spans="1:5" x14ac:dyDescent="0.2">
      <c r="A174" s="235">
        <v>3</v>
      </c>
      <c r="B174" s="226" t="s">
        <v>3116</v>
      </c>
      <c r="C174" s="226" t="s">
        <v>3117</v>
      </c>
      <c r="D174" s="227">
        <v>8.57</v>
      </c>
      <c r="E174" s="337">
        <v>8.59</v>
      </c>
    </row>
    <row r="175" spans="1:5" x14ac:dyDescent="0.2">
      <c r="A175" s="236">
        <v>4</v>
      </c>
      <c r="B175" s="229" t="s">
        <v>728</v>
      </c>
      <c r="C175" s="229" t="s">
        <v>729</v>
      </c>
      <c r="D175" s="230">
        <v>8.67</v>
      </c>
      <c r="E175" s="289">
        <v>8.57</v>
      </c>
    </row>
    <row r="176" spans="1:5" x14ac:dyDescent="0.2">
      <c r="A176" s="236">
        <v>5</v>
      </c>
      <c r="B176" s="226" t="s">
        <v>1054</v>
      </c>
      <c r="C176" s="226" t="s">
        <v>2292</v>
      </c>
      <c r="D176" s="227">
        <v>8.61</v>
      </c>
      <c r="E176" s="293">
        <v>8.5299999999999994</v>
      </c>
    </row>
    <row r="178" spans="1:5" ht="18" x14ac:dyDescent="0.25">
      <c r="A178" s="542" t="s">
        <v>4489</v>
      </c>
      <c r="B178" s="542"/>
      <c r="C178" s="542"/>
      <c r="D178" s="542"/>
      <c r="E178" s="542"/>
    </row>
    <row r="179" spans="1:5" x14ac:dyDescent="0.2">
      <c r="A179" s="225" t="s">
        <v>318</v>
      </c>
      <c r="B179" s="225" t="s">
        <v>285</v>
      </c>
      <c r="C179" s="225" t="s">
        <v>286</v>
      </c>
      <c r="D179" s="225" t="s">
        <v>287</v>
      </c>
      <c r="E179" s="225" t="s">
        <v>957</v>
      </c>
    </row>
    <row r="180" spans="1:5" x14ac:dyDescent="0.2">
      <c r="A180" s="232">
        <v>1</v>
      </c>
      <c r="B180" s="226" t="s">
        <v>2699</v>
      </c>
      <c r="C180" s="226" t="s">
        <v>2977</v>
      </c>
      <c r="D180" s="227">
        <v>8.84</v>
      </c>
      <c r="E180" s="267">
        <v>8.84</v>
      </c>
    </row>
    <row r="181" spans="1:5" x14ac:dyDescent="0.2">
      <c r="A181" s="234">
        <v>2</v>
      </c>
      <c r="B181" s="229" t="s">
        <v>312</v>
      </c>
      <c r="C181" s="229" t="s">
        <v>1715</v>
      </c>
      <c r="D181" s="230">
        <v>9</v>
      </c>
      <c r="E181" s="257">
        <v>8.9600000000000009</v>
      </c>
    </row>
    <row r="182" spans="1:5" x14ac:dyDescent="0.2">
      <c r="A182" s="235">
        <v>3</v>
      </c>
      <c r="B182" s="226" t="s">
        <v>1368</v>
      </c>
      <c r="C182" s="226" t="s">
        <v>4098</v>
      </c>
      <c r="D182" s="227">
        <v>8.7100000000000009</v>
      </c>
      <c r="E182" s="280">
        <v>8.67</v>
      </c>
    </row>
    <row r="183" spans="1:5" x14ac:dyDescent="0.2">
      <c r="A183" s="236">
        <v>4</v>
      </c>
      <c r="B183" s="229" t="s">
        <v>4485</v>
      </c>
      <c r="C183" s="229" t="s">
        <v>4486</v>
      </c>
      <c r="D183" s="230">
        <v>7.88</v>
      </c>
      <c r="E183" s="350">
        <v>7.84</v>
      </c>
    </row>
    <row r="186" spans="1:5" ht="18" x14ac:dyDescent="0.25">
      <c r="A186" s="542" t="s">
        <v>5245</v>
      </c>
      <c r="B186" s="542"/>
      <c r="C186" s="542"/>
      <c r="D186" s="542"/>
      <c r="E186" s="542"/>
    </row>
    <row r="187" spans="1:5" x14ac:dyDescent="0.2">
      <c r="A187" s="225" t="s">
        <v>318</v>
      </c>
      <c r="B187" s="225" t="s">
        <v>285</v>
      </c>
      <c r="C187" s="225" t="s">
        <v>286</v>
      </c>
      <c r="D187" s="225" t="s">
        <v>287</v>
      </c>
      <c r="E187" s="225" t="s">
        <v>957</v>
      </c>
    </row>
    <row r="188" spans="1:5" x14ac:dyDescent="0.2">
      <c r="A188" s="232">
        <v>1</v>
      </c>
      <c r="B188" s="226" t="s">
        <v>1491</v>
      </c>
      <c r="C188" s="226" t="s">
        <v>2565</v>
      </c>
      <c r="D188" s="227">
        <v>8.91</v>
      </c>
      <c r="E188" s="268">
        <v>8.82</v>
      </c>
    </row>
    <row r="189" spans="1:5" x14ac:dyDescent="0.2">
      <c r="A189" s="234">
        <v>2</v>
      </c>
      <c r="B189" s="229" t="s">
        <v>311</v>
      </c>
      <c r="C189" s="229" t="s">
        <v>2566</v>
      </c>
      <c r="D189" s="230">
        <v>8.8000000000000007</v>
      </c>
      <c r="E189" s="274">
        <v>8.75</v>
      </c>
    </row>
    <row r="190" spans="1:5" x14ac:dyDescent="0.2">
      <c r="A190" s="235">
        <v>3</v>
      </c>
      <c r="B190" s="226" t="s">
        <v>2165</v>
      </c>
      <c r="C190" s="226" t="s">
        <v>2773</v>
      </c>
      <c r="D190" s="227">
        <v>8.66</v>
      </c>
      <c r="E190" s="336">
        <v>8.69</v>
      </c>
    </row>
    <row r="191" spans="1:5" x14ac:dyDescent="0.2">
      <c r="A191" s="236">
        <v>4</v>
      </c>
      <c r="B191" s="229" t="s">
        <v>310</v>
      </c>
      <c r="C191" s="229" t="s">
        <v>159</v>
      </c>
      <c r="D191" s="230">
        <v>8.7100000000000009</v>
      </c>
      <c r="E191" s="282">
        <v>8.65</v>
      </c>
    </row>
    <row r="192" spans="1:5" x14ac:dyDescent="0.2">
      <c r="A192" s="236">
        <v>5</v>
      </c>
      <c r="B192" s="226" t="s">
        <v>4221</v>
      </c>
      <c r="C192" s="226" t="s">
        <v>4222</v>
      </c>
      <c r="D192" s="227">
        <v>7.92</v>
      </c>
      <c r="E192" s="451">
        <v>7.87</v>
      </c>
    </row>
    <row r="194" spans="1:5" ht="18" x14ac:dyDescent="0.25">
      <c r="A194" s="542" t="s">
        <v>4770</v>
      </c>
      <c r="B194" s="542"/>
      <c r="C194" s="542"/>
      <c r="D194" s="542"/>
      <c r="E194" s="542"/>
    </row>
    <row r="195" spans="1:5" x14ac:dyDescent="0.2">
      <c r="A195" s="225" t="s">
        <v>318</v>
      </c>
      <c r="B195" s="225" t="s">
        <v>285</v>
      </c>
      <c r="C195" s="225" t="s">
        <v>286</v>
      </c>
      <c r="D195" s="225" t="s">
        <v>287</v>
      </c>
      <c r="E195" s="225" t="s">
        <v>957</v>
      </c>
    </row>
    <row r="196" spans="1:5" x14ac:dyDescent="0.2">
      <c r="A196" s="232">
        <v>1</v>
      </c>
      <c r="B196" s="226" t="s">
        <v>951</v>
      </c>
      <c r="C196" s="226" t="s">
        <v>4459</v>
      </c>
      <c r="D196" s="227">
        <v>9.75</v>
      </c>
      <c r="E196" s="472">
        <v>9.8800000000000008</v>
      </c>
    </row>
    <row r="197" spans="1:5" x14ac:dyDescent="0.2">
      <c r="A197" s="234">
        <v>2</v>
      </c>
      <c r="B197" s="229" t="s">
        <v>357</v>
      </c>
      <c r="C197" s="229" t="s">
        <v>351</v>
      </c>
      <c r="D197" s="230">
        <v>9.0500000000000007</v>
      </c>
      <c r="E197" s="249">
        <v>9.14</v>
      </c>
    </row>
    <row r="198" spans="1:5" x14ac:dyDescent="0.2">
      <c r="A198" s="235">
        <v>3</v>
      </c>
      <c r="B198" s="226" t="s">
        <v>312</v>
      </c>
      <c r="C198" s="226" t="s">
        <v>1080</v>
      </c>
      <c r="D198" s="227">
        <v>8.77</v>
      </c>
      <c r="E198" s="262">
        <v>8.89</v>
      </c>
    </row>
    <row r="199" spans="1:5" x14ac:dyDescent="0.2">
      <c r="A199" s="236">
        <v>4</v>
      </c>
      <c r="B199" s="229" t="s">
        <v>1378</v>
      </c>
      <c r="C199" s="229" t="s">
        <v>1379</v>
      </c>
      <c r="D199" s="230">
        <v>8.93</v>
      </c>
      <c r="E199" s="263">
        <v>8.8800000000000008</v>
      </c>
    </row>
    <row r="200" spans="1:5" x14ac:dyDescent="0.2">
      <c r="A200" s="236">
        <v>5</v>
      </c>
      <c r="B200" s="226" t="s">
        <v>2799</v>
      </c>
      <c r="C200" s="226" t="s">
        <v>4628</v>
      </c>
      <c r="D200" s="227">
        <v>8.8000000000000007</v>
      </c>
      <c r="E200" s="278">
        <v>8.6999999999999993</v>
      </c>
    </row>
    <row r="202" spans="1:5" ht="18" x14ac:dyDescent="0.25">
      <c r="A202" s="542" t="s">
        <v>4580</v>
      </c>
      <c r="B202" s="542"/>
      <c r="C202" s="542"/>
      <c r="D202" s="542"/>
      <c r="E202" s="542"/>
    </row>
    <row r="203" spans="1:5" x14ac:dyDescent="0.2">
      <c r="A203" s="225" t="s">
        <v>318</v>
      </c>
      <c r="B203" s="225" t="s">
        <v>285</v>
      </c>
      <c r="C203" s="225" t="s">
        <v>286</v>
      </c>
      <c r="D203" s="225" t="s">
        <v>287</v>
      </c>
      <c r="E203" s="225" t="s">
        <v>957</v>
      </c>
    </row>
    <row r="204" spans="1:5" x14ac:dyDescent="0.2">
      <c r="A204" s="232">
        <v>1</v>
      </c>
      <c r="B204" s="226" t="s">
        <v>4567</v>
      </c>
      <c r="C204" s="226" t="s">
        <v>4568</v>
      </c>
      <c r="D204" s="227">
        <v>9.5</v>
      </c>
      <c r="E204" s="503">
        <v>9.77</v>
      </c>
    </row>
    <row r="205" spans="1:5" x14ac:dyDescent="0.2">
      <c r="A205" s="234">
        <v>2</v>
      </c>
      <c r="B205" s="229" t="s">
        <v>1872</v>
      </c>
      <c r="C205" s="229" t="s">
        <v>1865</v>
      </c>
      <c r="D205" s="230">
        <v>9.31</v>
      </c>
      <c r="E205" s="242">
        <v>9.43</v>
      </c>
    </row>
    <row r="206" spans="1:5" x14ac:dyDescent="0.2">
      <c r="A206" s="235">
        <v>3</v>
      </c>
      <c r="B206" s="226" t="s">
        <v>296</v>
      </c>
      <c r="C206" s="226" t="s">
        <v>4012</v>
      </c>
      <c r="D206" s="227">
        <v>9.1300000000000008</v>
      </c>
      <c r="E206" s="250">
        <v>9.1</v>
      </c>
    </row>
    <row r="207" spans="1:5" x14ac:dyDescent="0.2">
      <c r="A207" s="236">
        <v>4</v>
      </c>
      <c r="B207" s="229" t="s">
        <v>3585</v>
      </c>
      <c r="C207" s="229" t="s">
        <v>3586</v>
      </c>
      <c r="D207" s="230">
        <v>8.7899999999999991</v>
      </c>
      <c r="E207" s="280">
        <v>8.67</v>
      </c>
    </row>
    <row r="208" spans="1:5" x14ac:dyDescent="0.2">
      <c r="A208" s="236">
        <v>5</v>
      </c>
      <c r="B208" s="226" t="s">
        <v>2858</v>
      </c>
      <c r="C208" s="226">
        <v>4</v>
      </c>
      <c r="D208" s="227">
        <v>8.6</v>
      </c>
      <c r="E208" s="287">
        <v>8.6</v>
      </c>
    </row>
    <row r="210" spans="1:5" ht="18" x14ac:dyDescent="0.25">
      <c r="A210" s="542" t="s">
        <v>5626</v>
      </c>
      <c r="B210" s="542"/>
      <c r="C210" s="542"/>
      <c r="D210" s="542"/>
      <c r="E210" s="542"/>
    </row>
    <row r="211" spans="1:5" x14ac:dyDescent="0.2">
      <c r="A211" s="225" t="s">
        <v>318</v>
      </c>
      <c r="B211" s="225" t="s">
        <v>285</v>
      </c>
      <c r="C211" s="225" t="s">
        <v>286</v>
      </c>
      <c r="D211" s="225" t="s">
        <v>287</v>
      </c>
      <c r="E211" s="225" t="s">
        <v>957</v>
      </c>
    </row>
    <row r="212" spans="1:5" x14ac:dyDescent="0.2">
      <c r="A212" s="232">
        <v>1</v>
      </c>
      <c r="B212" s="226" t="s">
        <v>293</v>
      </c>
      <c r="C212" s="226" t="s">
        <v>251</v>
      </c>
      <c r="D212" s="227">
        <v>9.15</v>
      </c>
      <c r="E212" s="243">
        <v>9.3699999999999992</v>
      </c>
    </row>
    <row r="213" spans="1:5" x14ac:dyDescent="0.2">
      <c r="A213" s="234">
        <v>2</v>
      </c>
      <c r="B213" s="229" t="s">
        <v>4134</v>
      </c>
      <c r="C213" s="229" t="s">
        <v>4135</v>
      </c>
      <c r="D213" s="230">
        <v>9.09</v>
      </c>
      <c r="E213" s="452">
        <v>9.33</v>
      </c>
    </row>
    <row r="214" spans="1:5" x14ac:dyDescent="0.2">
      <c r="A214" s="235">
        <v>3</v>
      </c>
      <c r="B214" s="226" t="s">
        <v>303</v>
      </c>
      <c r="C214" s="226" t="s">
        <v>5627</v>
      </c>
      <c r="D214" s="227">
        <v>8.89</v>
      </c>
      <c r="E214" s="392">
        <v>8.94</v>
      </c>
    </row>
    <row r="215" spans="1:5" x14ac:dyDescent="0.2">
      <c r="A215" s="236">
        <v>4</v>
      </c>
      <c r="B215" s="229" t="s">
        <v>1368</v>
      </c>
      <c r="C215" s="229" t="s">
        <v>3356</v>
      </c>
      <c r="D215" s="230">
        <v>8.6</v>
      </c>
      <c r="E215" s="281">
        <v>8.66</v>
      </c>
    </row>
    <row r="216" spans="1:5" x14ac:dyDescent="0.2">
      <c r="A216" s="236">
        <v>5</v>
      </c>
      <c r="B216" s="226" t="s">
        <v>1625</v>
      </c>
      <c r="C216" s="226" t="s">
        <v>2582</v>
      </c>
      <c r="D216" s="227">
        <v>8.5</v>
      </c>
      <c r="E216" s="297">
        <v>8.4700000000000006</v>
      </c>
    </row>
    <row r="218" spans="1:5" ht="18" x14ac:dyDescent="0.25">
      <c r="A218" s="542" t="s">
        <v>4660</v>
      </c>
      <c r="B218" s="542"/>
      <c r="C218" s="542"/>
      <c r="D218" s="542"/>
      <c r="E218" s="542"/>
    </row>
    <row r="219" spans="1:5" x14ac:dyDescent="0.2">
      <c r="A219" s="225" t="s">
        <v>318</v>
      </c>
      <c r="B219" s="225" t="s">
        <v>285</v>
      </c>
      <c r="C219" s="225" t="s">
        <v>286</v>
      </c>
      <c r="D219" s="225" t="s">
        <v>287</v>
      </c>
      <c r="E219" s="225" t="s">
        <v>957</v>
      </c>
    </row>
    <row r="220" spans="1:5" x14ac:dyDescent="0.2">
      <c r="A220" s="232">
        <v>1</v>
      </c>
      <c r="B220" s="226" t="s">
        <v>302</v>
      </c>
      <c r="C220" s="226" t="s">
        <v>186</v>
      </c>
      <c r="D220" s="227">
        <v>9.2100000000000009</v>
      </c>
      <c r="E220" s="245">
        <v>9.34</v>
      </c>
    </row>
    <row r="221" spans="1:5" x14ac:dyDescent="0.2">
      <c r="A221" s="234">
        <v>2</v>
      </c>
      <c r="B221" s="229" t="s">
        <v>357</v>
      </c>
      <c r="C221" s="229" t="s">
        <v>351</v>
      </c>
      <c r="D221" s="230">
        <v>9.0500000000000007</v>
      </c>
      <c r="E221" s="249">
        <v>9.14</v>
      </c>
    </row>
    <row r="222" spans="1:5" x14ac:dyDescent="0.2">
      <c r="A222" s="235">
        <v>3</v>
      </c>
      <c r="B222" s="226" t="s">
        <v>2418</v>
      </c>
      <c r="C222" s="226" t="s">
        <v>2419</v>
      </c>
      <c r="D222" s="227">
        <v>8.8800000000000008</v>
      </c>
      <c r="E222" s="272">
        <v>8.77</v>
      </c>
    </row>
    <row r="223" spans="1:5" x14ac:dyDescent="0.2">
      <c r="A223" s="236">
        <v>4</v>
      </c>
      <c r="B223" s="229" t="s">
        <v>2799</v>
      </c>
      <c r="C223" s="229" t="s">
        <v>4628</v>
      </c>
      <c r="D223" s="230">
        <v>8.8000000000000007</v>
      </c>
      <c r="E223" s="278">
        <v>8.6999999999999993</v>
      </c>
    </row>
    <row r="224" spans="1:5" x14ac:dyDescent="0.2">
      <c r="A224" s="236">
        <v>5</v>
      </c>
      <c r="B224" s="226" t="s">
        <v>2508</v>
      </c>
      <c r="C224" s="226" t="s">
        <v>2509</v>
      </c>
      <c r="D224" s="227">
        <v>8.75</v>
      </c>
      <c r="E224" s="280">
        <v>8.67</v>
      </c>
    </row>
    <row r="226" spans="1:5" ht="18" x14ac:dyDescent="0.25">
      <c r="A226" s="542" t="s">
        <v>4331</v>
      </c>
      <c r="B226" s="542"/>
      <c r="C226" s="542"/>
      <c r="D226" s="542"/>
      <c r="E226" s="542"/>
    </row>
    <row r="227" spans="1:5" x14ac:dyDescent="0.2">
      <c r="A227" s="225" t="s">
        <v>318</v>
      </c>
      <c r="B227" s="225" t="s">
        <v>285</v>
      </c>
      <c r="C227" s="225" t="s">
        <v>286</v>
      </c>
      <c r="D227" s="225" t="s">
        <v>287</v>
      </c>
      <c r="E227" s="225" t="s">
        <v>957</v>
      </c>
    </row>
    <row r="228" spans="1:5" x14ac:dyDescent="0.2">
      <c r="A228" s="232">
        <v>1</v>
      </c>
      <c r="B228" s="226" t="s">
        <v>292</v>
      </c>
      <c r="C228" s="226" t="s">
        <v>1138</v>
      </c>
      <c r="D228" s="227">
        <v>9.2899999999999991</v>
      </c>
      <c r="E228" s="371">
        <v>9.42</v>
      </c>
    </row>
    <row r="229" spans="1:5" x14ac:dyDescent="0.2">
      <c r="A229" s="234">
        <v>2</v>
      </c>
      <c r="B229" s="229" t="s">
        <v>1330</v>
      </c>
      <c r="C229" s="229" t="s">
        <v>4366</v>
      </c>
      <c r="D229" s="230">
        <v>8.8800000000000008</v>
      </c>
      <c r="E229" s="268">
        <v>8.82</v>
      </c>
    </row>
    <row r="230" spans="1:5" x14ac:dyDescent="0.2">
      <c r="A230" s="235">
        <v>3</v>
      </c>
      <c r="B230" s="226" t="s">
        <v>4150</v>
      </c>
      <c r="C230" s="226" t="s">
        <v>4332</v>
      </c>
      <c r="D230" s="227">
        <v>8.77</v>
      </c>
      <c r="E230" s="276">
        <v>8.7200000000000006</v>
      </c>
    </row>
    <row r="231" spans="1:5" x14ac:dyDescent="0.2">
      <c r="A231" s="236">
        <v>4</v>
      </c>
      <c r="B231" s="229" t="s">
        <v>1134</v>
      </c>
      <c r="C231" s="229" t="s">
        <v>1129</v>
      </c>
      <c r="D231" s="230">
        <v>8.75</v>
      </c>
      <c r="E231" s="284">
        <v>8.6300000000000008</v>
      </c>
    </row>
    <row r="232" spans="1:5" x14ac:dyDescent="0.2">
      <c r="A232" s="236">
        <v>5</v>
      </c>
      <c r="B232" s="226" t="s">
        <v>2179</v>
      </c>
      <c r="C232" s="226" t="s">
        <v>2178</v>
      </c>
      <c r="D232" s="227">
        <v>8.67</v>
      </c>
      <c r="E232" s="289">
        <v>8.57</v>
      </c>
    </row>
    <row r="234" spans="1:5" ht="18" x14ac:dyDescent="0.25">
      <c r="A234" s="542" t="s">
        <v>5399</v>
      </c>
      <c r="B234" s="542"/>
      <c r="C234" s="542"/>
      <c r="D234" s="542"/>
      <c r="E234" s="542"/>
    </row>
    <row r="235" spans="1:5" x14ac:dyDescent="0.2">
      <c r="A235" s="225" t="s">
        <v>318</v>
      </c>
      <c r="B235" s="225" t="s">
        <v>285</v>
      </c>
      <c r="C235" s="225" t="s">
        <v>286</v>
      </c>
      <c r="D235" s="225" t="s">
        <v>287</v>
      </c>
      <c r="E235" s="225" t="s">
        <v>957</v>
      </c>
    </row>
    <row r="236" spans="1:5" x14ac:dyDescent="0.2">
      <c r="A236" s="232">
        <v>1</v>
      </c>
      <c r="B236" s="226" t="s">
        <v>1440</v>
      </c>
      <c r="C236" s="226" t="s">
        <v>1441</v>
      </c>
      <c r="D236" s="227">
        <v>8.67</v>
      </c>
      <c r="E236" s="255">
        <v>9</v>
      </c>
    </row>
    <row r="237" spans="1:5" x14ac:dyDescent="0.2">
      <c r="A237" s="234">
        <v>2</v>
      </c>
      <c r="B237" s="229" t="s">
        <v>2556</v>
      </c>
      <c r="C237" s="229" t="s">
        <v>168</v>
      </c>
      <c r="D237" s="230">
        <v>9</v>
      </c>
      <c r="E237" s="392">
        <v>8.94</v>
      </c>
    </row>
    <row r="238" spans="1:5" x14ac:dyDescent="0.2">
      <c r="A238" s="235">
        <v>3</v>
      </c>
      <c r="B238" s="226" t="s">
        <v>1075</v>
      </c>
      <c r="C238" s="226" t="s">
        <v>3375</v>
      </c>
      <c r="D238" s="227">
        <v>8.7200000000000006</v>
      </c>
      <c r="E238" s="261">
        <v>8.9</v>
      </c>
    </row>
    <row r="239" spans="1:5" x14ac:dyDescent="0.2">
      <c r="A239" s="236">
        <v>4</v>
      </c>
      <c r="B239" s="229" t="s">
        <v>5349</v>
      </c>
      <c r="C239" s="229" t="s">
        <v>5350</v>
      </c>
      <c r="D239" s="230">
        <v>8.65</v>
      </c>
      <c r="E239" s="336">
        <v>8.69</v>
      </c>
    </row>
    <row r="240" spans="1:5" x14ac:dyDescent="0.2">
      <c r="A240" s="236">
        <v>5</v>
      </c>
      <c r="B240" s="226" t="s">
        <v>1368</v>
      </c>
      <c r="C240" s="226" t="s">
        <v>3356</v>
      </c>
      <c r="D240" s="227">
        <v>8.6</v>
      </c>
      <c r="E240" s="281">
        <v>8.66</v>
      </c>
    </row>
    <row r="242" spans="1:5" ht="18" x14ac:dyDescent="0.25">
      <c r="A242" s="542" t="s">
        <v>4771</v>
      </c>
      <c r="B242" s="542"/>
      <c r="C242" s="542"/>
      <c r="D242" s="542"/>
      <c r="E242" s="542"/>
    </row>
    <row r="243" spans="1:5" x14ac:dyDescent="0.2">
      <c r="A243" s="225" t="s">
        <v>318</v>
      </c>
      <c r="B243" s="225" t="s">
        <v>285</v>
      </c>
      <c r="C243" s="225" t="s">
        <v>286</v>
      </c>
      <c r="D243" s="225" t="s">
        <v>287</v>
      </c>
      <c r="E243" s="225" t="s">
        <v>957</v>
      </c>
    </row>
    <row r="244" spans="1:5" x14ac:dyDescent="0.2">
      <c r="A244" s="232">
        <v>1</v>
      </c>
      <c r="B244" s="226" t="s">
        <v>3602</v>
      </c>
      <c r="C244" s="226" t="s">
        <v>3603</v>
      </c>
      <c r="D244" s="227">
        <v>9</v>
      </c>
      <c r="E244" s="258">
        <v>8.9499999999999993</v>
      </c>
    </row>
    <row r="245" spans="1:5" x14ac:dyDescent="0.2">
      <c r="A245" s="234">
        <v>2</v>
      </c>
      <c r="B245" s="229" t="s">
        <v>2239</v>
      </c>
      <c r="C245" s="229" t="s">
        <v>2229</v>
      </c>
      <c r="D245" s="230">
        <v>8.86</v>
      </c>
      <c r="E245" s="275">
        <v>8.74</v>
      </c>
    </row>
    <row r="246" spans="1:5" x14ac:dyDescent="0.2">
      <c r="A246" s="235">
        <v>3</v>
      </c>
      <c r="B246" s="226" t="s">
        <v>4763</v>
      </c>
      <c r="C246" s="226" t="s">
        <v>4762</v>
      </c>
      <c r="D246" s="227">
        <v>8.86</v>
      </c>
      <c r="E246" s="275">
        <v>8.74</v>
      </c>
    </row>
    <row r="247" spans="1:5" x14ac:dyDescent="0.2">
      <c r="A247" s="236">
        <v>4</v>
      </c>
      <c r="B247" s="229" t="s">
        <v>2896</v>
      </c>
      <c r="C247" s="229" t="s">
        <v>2897</v>
      </c>
      <c r="D247" s="230">
        <v>8.85</v>
      </c>
      <c r="E247" s="276">
        <v>8.7200000000000006</v>
      </c>
    </row>
    <row r="248" spans="1:5" x14ac:dyDescent="0.2">
      <c r="A248" s="236">
        <v>5</v>
      </c>
      <c r="B248" s="226" t="s">
        <v>2953</v>
      </c>
      <c r="C248" s="226" t="s">
        <v>2941</v>
      </c>
      <c r="D248" s="227">
        <v>8.6300000000000008</v>
      </c>
      <c r="E248" s="293">
        <v>8.5299999999999994</v>
      </c>
    </row>
    <row r="250" spans="1:5" ht="18" x14ac:dyDescent="0.25">
      <c r="A250" s="542" t="s">
        <v>2939</v>
      </c>
      <c r="B250" s="542"/>
      <c r="C250" s="542"/>
      <c r="D250" s="542"/>
      <c r="E250" s="542"/>
    </row>
    <row r="251" spans="1:5" x14ac:dyDescent="0.2">
      <c r="A251" s="225" t="s">
        <v>318</v>
      </c>
      <c r="B251" s="225" t="s">
        <v>285</v>
      </c>
      <c r="C251" s="225" t="s">
        <v>286</v>
      </c>
      <c r="D251" s="225" t="s">
        <v>287</v>
      </c>
      <c r="E251" s="225" t="s">
        <v>957</v>
      </c>
    </row>
    <row r="252" spans="1:5" x14ac:dyDescent="0.2">
      <c r="A252" s="232">
        <v>1</v>
      </c>
      <c r="B252" s="226" t="s">
        <v>301</v>
      </c>
      <c r="C252" s="226" t="s">
        <v>2567</v>
      </c>
      <c r="D252" s="227">
        <v>9.02</v>
      </c>
      <c r="E252" s="341">
        <v>9.07</v>
      </c>
    </row>
    <row r="253" spans="1:5" x14ac:dyDescent="0.2">
      <c r="A253" s="234">
        <v>2</v>
      </c>
      <c r="B253" s="229" t="s">
        <v>304</v>
      </c>
      <c r="C253" s="229" t="s">
        <v>2568</v>
      </c>
      <c r="D253" s="230">
        <v>8.39</v>
      </c>
      <c r="E253" s="304">
        <v>8.3699999999999992</v>
      </c>
    </row>
    <row r="254" spans="1:5" x14ac:dyDescent="0.2">
      <c r="A254" s="235">
        <v>3</v>
      </c>
      <c r="B254" s="226" t="s">
        <v>2928</v>
      </c>
      <c r="C254" s="226" t="s">
        <v>2929</v>
      </c>
      <c r="D254" s="227">
        <v>8.4499999999999993</v>
      </c>
      <c r="E254" s="305">
        <v>8.34</v>
      </c>
    </row>
    <row r="258" spans="1:5" ht="18" x14ac:dyDescent="0.25">
      <c r="A258" s="542" t="s">
        <v>3926</v>
      </c>
      <c r="B258" s="542"/>
      <c r="C258" s="542"/>
      <c r="D258" s="542"/>
      <c r="E258" s="542"/>
    </row>
    <row r="259" spans="1:5" x14ac:dyDescent="0.2">
      <c r="A259" s="225" t="s">
        <v>318</v>
      </c>
      <c r="B259" s="225" t="s">
        <v>285</v>
      </c>
      <c r="C259" s="225" t="s">
        <v>286</v>
      </c>
      <c r="D259" s="225" t="s">
        <v>287</v>
      </c>
      <c r="E259" s="225" t="s">
        <v>957</v>
      </c>
    </row>
    <row r="260" spans="1:5" x14ac:dyDescent="0.2">
      <c r="A260" s="232">
        <v>1</v>
      </c>
      <c r="B260" s="226" t="s">
        <v>2699</v>
      </c>
      <c r="C260" s="226" t="s">
        <v>3927</v>
      </c>
      <c r="D260" s="227">
        <v>8.8000000000000007</v>
      </c>
      <c r="E260" s="269">
        <v>8.81</v>
      </c>
    </row>
    <row r="261" spans="1:5" x14ac:dyDescent="0.2">
      <c r="A261" s="234">
        <v>2</v>
      </c>
      <c r="B261" s="229" t="s">
        <v>1393</v>
      </c>
      <c r="C261" s="229" t="s">
        <v>1394</v>
      </c>
      <c r="D261" s="230">
        <v>8.75</v>
      </c>
      <c r="E261" s="278">
        <v>8.6999999999999993</v>
      </c>
    </row>
    <row r="262" spans="1:5" x14ac:dyDescent="0.2">
      <c r="A262" s="235">
        <v>3</v>
      </c>
      <c r="B262" s="226" t="s">
        <v>309</v>
      </c>
      <c r="C262" s="226" t="s">
        <v>218</v>
      </c>
      <c r="D262" s="227">
        <v>8.77</v>
      </c>
      <c r="E262" s="281">
        <v>8.66</v>
      </c>
    </row>
    <row r="263" spans="1:5" x14ac:dyDescent="0.2">
      <c r="A263" s="236">
        <v>4</v>
      </c>
      <c r="B263" s="229" t="s">
        <v>2702</v>
      </c>
      <c r="C263" s="229" t="s">
        <v>2703</v>
      </c>
      <c r="D263" s="230">
        <v>8.4</v>
      </c>
      <c r="E263" s="304">
        <v>8.3699999999999992</v>
      </c>
    </row>
    <row r="266" spans="1:5" ht="18" x14ac:dyDescent="0.25">
      <c r="A266" s="542" t="s">
        <v>4772</v>
      </c>
      <c r="B266" s="542"/>
      <c r="C266" s="542"/>
      <c r="D266" s="542"/>
      <c r="E266" s="542"/>
    </row>
    <row r="267" spans="1:5" x14ac:dyDescent="0.2">
      <c r="A267" s="225" t="s">
        <v>318</v>
      </c>
      <c r="B267" s="225" t="s">
        <v>285</v>
      </c>
      <c r="C267" s="225" t="s">
        <v>286</v>
      </c>
      <c r="D267" s="225" t="s">
        <v>287</v>
      </c>
      <c r="E267" s="225" t="s">
        <v>957</v>
      </c>
    </row>
    <row r="268" spans="1:5" x14ac:dyDescent="0.2">
      <c r="A268" s="232">
        <v>1</v>
      </c>
      <c r="B268" s="226" t="s">
        <v>677</v>
      </c>
      <c r="C268" s="226" t="s">
        <v>4431</v>
      </c>
      <c r="D268" s="227">
        <v>8.5500000000000007</v>
      </c>
      <c r="E268" s="291">
        <v>8.5500000000000007</v>
      </c>
    </row>
    <row r="269" spans="1:5" x14ac:dyDescent="0.2">
      <c r="A269" s="234">
        <v>2</v>
      </c>
      <c r="B269" s="229" t="s">
        <v>4428</v>
      </c>
      <c r="C269" s="229" t="s">
        <v>4400</v>
      </c>
      <c r="D269" s="230">
        <v>8.86</v>
      </c>
      <c r="E269" s="264">
        <v>8.8699999999999992</v>
      </c>
    </row>
    <row r="270" spans="1:5" x14ac:dyDescent="0.2">
      <c r="A270" s="235">
        <v>3</v>
      </c>
      <c r="B270" s="226" t="s">
        <v>311</v>
      </c>
      <c r="C270" s="226" t="s">
        <v>158</v>
      </c>
      <c r="D270" s="227">
        <v>8.65</v>
      </c>
      <c r="E270" s="290">
        <v>8.56</v>
      </c>
    </row>
    <row r="271" spans="1:5" x14ac:dyDescent="0.2">
      <c r="A271" s="236">
        <v>4</v>
      </c>
      <c r="B271" s="229" t="s">
        <v>4641</v>
      </c>
      <c r="C271" s="229" t="s">
        <v>4642</v>
      </c>
      <c r="D271" s="230">
        <v>8.59</v>
      </c>
      <c r="E271" s="295">
        <v>8.5</v>
      </c>
    </row>
    <row r="272" spans="1:5" x14ac:dyDescent="0.2">
      <c r="A272" s="236">
        <v>5</v>
      </c>
      <c r="B272" s="226" t="s">
        <v>4758</v>
      </c>
      <c r="C272" s="226" t="s">
        <v>4759</v>
      </c>
      <c r="D272" s="227">
        <v>8.35</v>
      </c>
      <c r="E272" s="311">
        <v>8.2200000000000006</v>
      </c>
    </row>
    <row r="274" spans="1:5" ht="18" x14ac:dyDescent="0.25">
      <c r="A274" s="542" t="s">
        <v>3559</v>
      </c>
      <c r="B274" s="542"/>
      <c r="C274" s="542"/>
      <c r="D274" s="542"/>
      <c r="E274" s="542"/>
    </row>
    <row r="275" spans="1:5" x14ac:dyDescent="0.2">
      <c r="A275" s="225" t="s">
        <v>318</v>
      </c>
      <c r="B275" s="225" t="s">
        <v>285</v>
      </c>
      <c r="C275" s="225" t="s">
        <v>286</v>
      </c>
      <c r="D275" s="225" t="s">
        <v>287</v>
      </c>
      <c r="E275" s="225" t="s">
        <v>957</v>
      </c>
    </row>
    <row r="276" spans="1:5" x14ac:dyDescent="0.2">
      <c r="A276" s="232">
        <v>1</v>
      </c>
      <c r="B276" s="226" t="s">
        <v>1872</v>
      </c>
      <c r="C276" s="226" t="s">
        <v>1865</v>
      </c>
      <c r="D276" s="227">
        <v>9.31</v>
      </c>
      <c r="E276" s="242">
        <v>9.43</v>
      </c>
    </row>
    <row r="277" spans="1:5" x14ac:dyDescent="0.2">
      <c r="A277" s="234">
        <v>2</v>
      </c>
      <c r="B277" s="229" t="s">
        <v>1577</v>
      </c>
      <c r="C277" s="229" t="s">
        <v>2871</v>
      </c>
      <c r="D277" s="230">
        <v>8.81</v>
      </c>
      <c r="E277" s="272">
        <v>8.77</v>
      </c>
    </row>
    <row r="278" spans="1:5" x14ac:dyDescent="0.2">
      <c r="A278" s="235">
        <v>3</v>
      </c>
      <c r="B278" s="226" t="s">
        <v>301</v>
      </c>
      <c r="C278" s="226" t="s">
        <v>3560</v>
      </c>
      <c r="D278" s="227">
        <v>8.25</v>
      </c>
      <c r="E278" s="407">
        <v>8.31</v>
      </c>
    </row>
    <row r="279" spans="1:5" x14ac:dyDescent="0.2">
      <c r="A279" s="236">
        <v>4</v>
      </c>
      <c r="B279" s="229" t="s">
        <v>2867</v>
      </c>
      <c r="C279" s="229" t="s">
        <v>2868</v>
      </c>
      <c r="D279" s="230">
        <v>8.58</v>
      </c>
      <c r="E279" s="295">
        <v>8.5</v>
      </c>
    </row>
    <row r="282" spans="1:5" ht="18" x14ac:dyDescent="0.25">
      <c r="A282" s="542" t="s">
        <v>3656</v>
      </c>
      <c r="B282" s="542"/>
      <c r="C282" s="542"/>
      <c r="D282" s="542"/>
      <c r="E282" s="542"/>
    </row>
    <row r="283" spans="1:5" x14ac:dyDescent="0.2">
      <c r="A283" s="225" t="s">
        <v>318</v>
      </c>
      <c r="B283" s="225" t="s">
        <v>285</v>
      </c>
      <c r="C283" s="225" t="s">
        <v>286</v>
      </c>
      <c r="D283" s="225" t="s">
        <v>287</v>
      </c>
      <c r="E283" s="225" t="s">
        <v>957</v>
      </c>
    </row>
    <row r="284" spans="1:5" x14ac:dyDescent="0.2">
      <c r="A284" s="232">
        <v>1</v>
      </c>
      <c r="B284" s="226" t="s">
        <v>3639</v>
      </c>
      <c r="C284" s="226" t="s">
        <v>3640</v>
      </c>
      <c r="D284" s="227">
        <v>8.5399999999999991</v>
      </c>
      <c r="E284" s="296">
        <v>8.49</v>
      </c>
    </row>
    <row r="285" spans="1:5" x14ac:dyDescent="0.2">
      <c r="A285" s="234">
        <v>2</v>
      </c>
      <c r="B285" s="229" t="s">
        <v>493</v>
      </c>
      <c r="C285" s="229" t="s">
        <v>494</v>
      </c>
      <c r="D285" s="230">
        <v>8.5</v>
      </c>
      <c r="E285" s="300">
        <v>8.43</v>
      </c>
    </row>
    <row r="286" spans="1:5" x14ac:dyDescent="0.2">
      <c r="A286" s="235">
        <v>3</v>
      </c>
      <c r="B286" s="226" t="s">
        <v>334</v>
      </c>
      <c r="C286" s="226" t="s">
        <v>335</v>
      </c>
      <c r="D286" s="227">
        <v>8.4600000000000009</v>
      </c>
      <c r="E286" s="302">
        <v>8.39</v>
      </c>
    </row>
    <row r="287" spans="1:5" x14ac:dyDescent="0.2">
      <c r="A287" s="236">
        <v>4</v>
      </c>
      <c r="B287" s="229" t="s">
        <v>607</v>
      </c>
      <c r="C287" s="229" t="s">
        <v>3358</v>
      </c>
      <c r="D287" s="230">
        <v>8.0500000000000007</v>
      </c>
      <c r="E287" s="388">
        <v>7.99</v>
      </c>
    </row>
    <row r="288" spans="1:5" x14ac:dyDescent="0.2">
      <c r="A288" s="236">
        <v>5</v>
      </c>
      <c r="B288" s="226" t="s">
        <v>426</v>
      </c>
      <c r="C288" s="226" t="s">
        <v>427</v>
      </c>
      <c r="D288" s="227">
        <v>8.18</v>
      </c>
      <c r="E288" s="317">
        <v>8.06</v>
      </c>
    </row>
    <row r="290" spans="1:5" ht="18" x14ac:dyDescent="0.25">
      <c r="A290" s="542" t="s">
        <v>4493</v>
      </c>
      <c r="B290" s="542"/>
      <c r="C290" s="542"/>
      <c r="D290" s="542"/>
      <c r="E290" s="542"/>
    </row>
    <row r="291" spans="1:5" x14ac:dyDescent="0.2">
      <c r="A291" s="225" t="s">
        <v>318</v>
      </c>
      <c r="B291" s="225" t="s">
        <v>285</v>
      </c>
      <c r="C291" s="225" t="s">
        <v>286</v>
      </c>
      <c r="D291" s="225" t="s">
        <v>287</v>
      </c>
      <c r="E291" s="225" t="s">
        <v>957</v>
      </c>
    </row>
    <row r="292" spans="1:5" x14ac:dyDescent="0.2">
      <c r="A292" s="232">
        <v>1</v>
      </c>
      <c r="B292" s="226" t="s">
        <v>951</v>
      </c>
      <c r="C292" s="226" t="s">
        <v>949</v>
      </c>
      <c r="D292" s="227">
        <v>10.5</v>
      </c>
      <c r="E292" s="233">
        <v>10.85</v>
      </c>
    </row>
    <row r="293" spans="1:5" x14ac:dyDescent="0.2">
      <c r="A293" s="234">
        <v>2</v>
      </c>
      <c r="B293" s="229" t="s">
        <v>759</v>
      </c>
      <c r="C293" s="229" t="s">
        <v>4494</v>
      </c>
      <c r="D293" s="230">
        <v>8.61</v>
      </c>
      <c r="E293" s="286">
        <v>8.61</v>
      </c>
    </row>
    <row r="294" spans="1:5" x14ac:dyDescent="0.2">
      <c r="A294" s="235">
        <v>3</v>
      </c>
      <c r="B294" s="226" t="s">
        <v>2053</v>
      </c>
      <c r="C294" s="226" t="s">
        <v>2054</v>
      </c>
      <c r="D294" s="227">
        <v>8.73</v>
      </c>
      <c r="E294" s="284">
        <v>8.6300000000000008</v>
      </c>
    </row>
    <row r="295" spans="1:5" x14ac:dyDescent="0.2">
      <c r="A295" s="236">
        <v>4</v>
      </c>
      <c r="B295" s="229" t="s">
        <v>560</v>
      </c>
      <c r="C295" s="229" t="s">
        <v>561</v>
      </c>
      <c r="D295" s="230">
        <v>8.73</v>
      </c>
      <c r="E295" s="285">
        <v>8.6199999999999992</v>
      </c>
    </row>
    <row r="298" spans="1:5" ht="18" x14ac:dyDescent="0.25">
      <c r="A298" s="542" t="s">
        <v>4346</v>
      </c>
      <c r="B298" s="542"/>
      <c r="C298" s="542"/>
      <c r="D298" s="542"/>
      <c r="E298" s="542"/>
    </row>
    <row r="299" spans="1:5" x14ac:dyDescent="0.2">
      <c r="A299" s="225" t="s">
        <v>318</v>
      </c>
      <c r="B299" s="225" t="s">
        <v>285</v>
      </c>
      <c r="C299" s="225" t="s">
        <v>286</v>
      </c>
      <c r="D299" s="225" t="s">
        <v>287</v>
      </c>
      <c r="E299" s="225" t="s">
        <v>957</v>
      </c>
    </row>
    <row r="300" spans="1:5" x14ac:dyDescent="0.2">
      <c r="A300" s="232">
        <v>1</v>
      </c>
      <c r="B300" s="226" t="s">
        <v>315</v>
      </c>
      <c r="C300" s="226" t="s">
        <v>4347</v>
      </c>
      <c r="D300" s="227">
        <v>8.67</v>
      </c>
      <c r="E300" s="280">
        <v>8.67</v>
      </c>
    </row>
    <row r="301" spans="1:5" x14ac:dyDescent="0.2">
      <c r="A301" s="234">
        <v>2</v>
      </c>
      <c r="B301" s="229" t="s">
        <v>2844</v>
      </c>
      <c r="C301" s="229" t="s">
        <v>4348</v>
      </c>
      <c r="D301" s="230">
        <v>8.49</v>
      </c>
      <c r="E301" s="443">
        <v>8.44</v>
      </c>
    </row>
    <row r="302" spans="1:5" x14ac:dyDescent="0.2">
      <c r="A302" s="235">
        <v>3</v>
      </c>
      <c r="B302" s="226" t="s">
        <v>3395</v>
      </c>
      <c r="C302" s="226" t="s">
        <v>3395</v>
      </c>
      <c r="D302" s="227">
        <v>7.75</v>
      </c>
      <c r="E302" s="326">
        <v>7.66</v>
      </c>
    </row>
    <row r="306" spans="1:5" ht="18" x14ac:dyDescent="0.25">
      <c r="A306" s="542" t="s">
        <v>4877</v>
      </c>
      <c r="B306" s="542"/>
      <c r="C306" s="542"/>
      <c r="D306" s="542"/>
      <c r="E306" s="542"/>
    </row>
    <row r="307" spans="1:5" x14ac:dyDescent="0.2">
      <c r="A307" s="225" t="s">
        <v>318</v>
      </c>
      <c r="B307" s="225" t="s">
        <v>285</v>
      </c>
      <c r="C307" s="225" t="s">
        <v>286</v>
      </c>
      <c r="D307" s="225" t="s">
        <v>287</v>
      </c>
      <c r="E307" s="225" t="s">
        <v>957</v>
      </c>
    </row>
    <row r="308" spans="1:5" x14ac:dyDescent="0.2">
      <c r="A308" s="232">
        <v>1</v>
      </c>
      <c r="B308" s="226" t="s">
        <v>699</v>
      </c>
      <c r="C308" s="226" t="s">
        <v>700</v>
      </c>
      <c r="D308" s="227">
        <v>8.91</v>
      </c>
      <c r="E308" s="259">
        <v>8.93</v>
      </c>
    </row>
    <row r="309" spans="1:5" x14ac:dyDescent="0.2">
      <c r="A309" s="234">
        <v>2</v>
      </c>
      <c r="B309" s="229" t="s">
        <v>545</v>
      </c>
      <c r="C309" s="229" t="s">
        <v>4878</v>
      </c>
      <c r="D309" s="230">
        <v>8.8000000000000007</v>
      </c>
      <c r="E309" s="275">
        <v>8.74</v>
      </c>
    </row>
    <row r="310" spans="1:5" x14ac:dyDescent="0.2">
      <c r="A310" s="235">
        <v>3</v>
      </c>
      <c r="B310" s="226" t="s">
        <v>370</v>
      </c>
      <c r="C310" s="226" t="s">
        <v>368</v>
      </c>
      <c r="D310" s="227">
        <v>8.67</v>
      </c>
      <c r="E310" s="277">
        <v>8.7100000000000009</v>
      </c>
    </row>
    <row r="311" spans="1:5" x14ac:dyDescent="0.2">
      <c r="A311" s="236">
        <v>4</v>
      </c>
      <c r="B311" s="229" t="s">
        <v>314</v>
      </c>
      <c r="C311" s="229" t="s">
        <v>271</v>
      </c>
      <c r="D311" s="230">
        <v>8.35</v>
      </c>
      <c r="E311" s="312">
        <v>8.1999999999999993</v>
      </c>
    </row>
    <row r="314" spans="1:5" ht="18" x14ac:dyDescent="0.25">
      <c r="A314" s="542" t="s">
        <v>4423</v>
      </c>
      <c r="B314" s="542"/>
      <c r="C314" s="542"/>
      <c r="D314" s="542"/>
      <c r="E314" s="542"/>
    </row>
    <row r="315" spans="1:5" x14ac:dyDescent="0.2">
      <c r="A315" s="225" t="s">
        <v>318</v>
      </c>
      <c r="B315" s="225" t="s">
        <v>285</v>
      </c>
      <c r="C315" s="225" t="s">
        <v>286</v>
      </c>
      <c r="D315" s="225" t="s">
        <v>287</v>
      </c>
      <c r="E315" s="225" t="s">
        <v>957</v>
      </c>
    </row>
    <row r="316" spans="1:5" x14ac:dyDescent="0.2">
      <c r="A316" s="232">
        <v>1</v>
      </c>
      <c r="B316" s="226" t="s">
        <v>774</v>
      </c>
      <c r="C316" s="226" t="s">
        <v>4424</v>
      </c>
      <c r="D316" s="227">
        <v>8.8000000000000007</v>
      </c>
      <c r="E316" s="271">
        <v>8.7799999999999994</v>
      </c>
    </row>
    <row r="317" spans="1:5" x14ac:dyDescent="0.2">
      <c r="A317" s="234">
        <v>2</v>
      </c>
      <c r="B317" s="229" t="s">
        <v>3639</v>
      </c>
      <c r="C317" s="229" t="s">
        <v>3640</v>
      </c>
      <c r="D317" s="230">
        <v>8.5399999999999991</v>
      </c>
      <c r="E317" s="296">
        <v>8.49</v>
      </c>
    </row>
    <row r="318" spans="1:5" x14ac:dyDescent="0.2">
      <c r="A318" s="235">
        <v>3</v>
      </c>
      <c r="B318" s="226" t="s">
        <v>1689</v>
      </c>
      <c r="C318" s="226" t="s">
        <v>1689</v>
      </c>
      <c r="D318" s="227">
        <v>8.2899999999999991</v>
      </c>
      <c r="E318" s="314">
        <v>8.16</v>
      </c>
    </row>
    <row r="322" spans="1:5" ht="18" x14ac:dyDescent="0.25">
      <c r="A322" s="542" t="s">
        <v>4773</v>
      </c>
      <c r="B322" s="542"/>
      <c r="C322" s="542"/>
      <c r="D322" s="542"/>
      <c r="E322" s="542"/>
    </row>
    <row r="323" spans="1:5" x14ac:dyDescent="0.2">
      <c r="A323" s="225" t="s">
        <v>318</v>
      </c>
      <c r="B323" s="225" t="s">
        <v>285</v>
      </c>
      <c r="C323" s="225" t="s">
        <v>286</v>
      </c>
      <c r="D323" s="225" t="s">
        <v>287</v>
      </c>
      <c r="E323" s="225" t="s">
        <v>957</v>
      </c>
    </row>
    <row r="324" spans="1:5" x14ac:dyDescent="0.2">
      <c r="A324" s="232">
        <v>1</v>
      </c>
      <c r="B324" s="226" t="s">
        <v>312</v>
      </c>
      <c r="C324" s="226" t="s">
        <v>1080</v>
      </c>
      <c r="D324" s="227">
        <v>8.77</v>
      </c>
      <c r="E324" s="262">
        <v>8.89</v>
      </c>
    </row>
    <row r="325" spans="1:5" x14ac:dyDescent="0.2">
      <c r="A325" s="234">
        <v>2</v>
      </c>
      <c r="B325" s="229" t="s">
        <v>2901</v>
      </c>
      <c r="C325" s="229" t="s">
        <v>4774</v>
      </c>
      <c r="D325" s="230">
        <v>8.74</v>
      </c>
      <c r="E325" s="373">
        <v>8.73</v>
      </c>
    </row>
    <row r="326" spans="1:5" x14ac:dyDescent="0.2">
      <c r="A326" s="235">
        <v>3</v>
      </c>
      <c r="B326" s="226" t="s">
        <v>2953</v>
      </c>
      <c r="C326" s="226" t="s">
        <v>2941</v>
      </c>
      <c r="D326" s="227">
        <v>8.6300000000000008</v>
      </c>
      <c r="E326" s="293">
        <v>8.5299999999999994</v>
      </c>
    </row>
    <row r="327" spans="1:5" x14ac:dyDescent="0.2">
      <c r="A327" s="236">
        <v>4</v>
      </c>
      <c r="B327" s="229" t="s">
        <v>4761</v>
      </c>
      <c r="C327" s="229" t="s">
        <v>891</v>
      </c>
      <c r="D327" s="230">
        <v>8.6</v>
      </c>
      <c r="E327" s="294">
        <v>8.52</v>
      </c>
    </row>
    <row r="330" spans="1:5" ht="18" x14ac:dyDescent="0.25">
      <c r="A330" s="542" t="s">
        <v>4879</v>
      </c>
      <c r="B330" s="542"/>
      <c r="C330" s="542"/>
      <c r="D330" s="542"/>
      <c r="E330" s="542"/>
    </row>
    <row r="331" spans="1:5" x14ac:dyDescent="0.2">
      <c r="A331" s="225" t="s">
        <v>318</v>
      </c>
      <c r="B331" s="225" t="s">
        <v>285</v>
      </c>
      <c r="C331" s="225" t="s">
        <v>286</v>
      </c>
      <c r="D331" s="225" t="s">
        <v>287</v>
      </c>
      <c r="E331" s="225" t="s">
        <v>957</v>
      </c>
    </row>
    <row r="332" spans="1:5" x14ac:dyDescent="0.2">
      <c r="A332" s="232">
        <v>1</v>
      </c>
      <c r="B332" s="226" t="s">
        <v>545</v>
      </c>
      <c r="C332" s="226" t="s">
        <v>4878</v>
      </c>
      <c r="D332" s="227">
        <v>8.8000000000000007</v>
      </c>
      <c r="E332" s="275">
        <v>8.74</v>
      </c>
    </row>
    <row r="333" spans="1:5" x14ac:dyDescent="0.2">
      <c r="A333" s="234">
        <v>2</v>
      </c>
      <c r="B333" s="229" t="s">
        <v>370</v>
      </c>
      <c r="C333" s="229" t="s">
        <v>368</v>
      </c>
      <c r="D333" s="230">
        <v>8.67</v>
      </c>
      <c r="E333" s="277">
        <v>8.7100000000000009</v>
      </c>
    </row>
    <row r="334" spans="1:5" x14ac:dyDescent="0.2">
      <c r="A334" s="235">
        <v>3</v>
      </c>
      <c r="B334" s="226" t="s">
        <v>888</v>
      </c>
      <c r="C334" s="226" t="s">
        <v>869</v>
      </c>
      <c r="D334" s="227">
        <v>8.5500000000000007</v>
      </c>
      <c r="E334" s="287">
        <v>8.6</v>
      </c>
    </row>
    <row r="335" spans="1:5" x14ac:dyDescent="0.2">
      <c r="A335" s="236">
        <v>4</v>
      </c>
      <c r="B335" s="229" t="s">
        <v>314</v>
      </c>
      <c r="C335" s="229" t="s">
        <v>271</v>
      </c>
      <c r="D335" s="230">
        <v>8.35</v>
      </c>
      <c r="E335" s="312">
        <v>8.1999999999999993</v>
      </c>
    </row>
    <row r="338" spans="1:5" ht="18" x14ac:dyDescent="0.25">
      <c r="A338" s="542" t="s">
        <v>2570</v>
      </c>
      <c r="B338" s="542"/>
      <c r="C338" s="542"/>
      <c r="D338" s="542"/>
      <c r="E338" s="542"/>
    </row>
    <row r="339" spans="1:5" x14ac:dyDescent="0.2">
      <c r="A339" s="225" t="s">
        <v>318</v>
      </c>
      <c r="B339" s="225" t="s">
        <v>285</v>
      </c>
      <c r="C339" s="225" t="s">
        <v>286</v>
      </c>
      <c r="D339" s="225" t="s">
        <v>287</v>
      </c>
      <c r="E339" s="225" t="s">
        <v>957</v>
      </c>
    </row>
    <row r="340" spans="1:5" x14ac:dyDescent="0.2">
      <c r="A340" s="232">
        <v>1</v>
      </c>
      <c r="B340" s="226" t="s">
        <v>795</v>
      </c>
      <c r="C340" s="226" t="s">
        <v>2569</v>
      </c>
      <c r="D340" s="227">
        <v>8.64</v>
      </c>
      <c r="E340" s="284">
        <v>8.6300000000000008</v>
      </c>
    </row>
    <row r="341" spans="1:5" x14ac:dyDescent="0.2">
      <c r="A341" s="234">
        <v>2</v>
      </c>
      <c r="B341" s="229" t="s">
        <v>1265</v>
      </c>
      <c r="C341" s="229" t="s">
        <v>1266</v>
      </c>
      <c r="D341" s="230">
        <v>8.7899999999999991</v>
      </c>
      <c r="E341" s="277">
        <v>8.7100000000000009</v>
      </c>
    </row>
    <row r="342" spans="1:5" x14ac:dyDescent="0.2">
      <c r="A342" s="235">
        <v>3</v>
      </c>
      <c r="B342" s="226" t="s">
        <v>1348</v>
      </c>
      <c r="C342" s="226" t="s">
        <v>1353</v>
      </c>
      <c r="D342" s="227">
        <v>8.8000000000000007</v>
      </c>
      <c r="E342" s="279">
        <v>8.68</v>
      </c>
    </row>
    <row r="343" spans="1:5" x14ac:dyDescent="0.2">
      <c r="A343" s="236">
        <v>4</v>
      </c>
      <c r="B343" s="229" t="s">
        <v>2089</v>
      </c>
      <c r="C343" s="229" t="s">
        <v>2090</v>
      </c>
      <c r="D343" s="230">
        <v>8.5399999999999991</v>
      </c>
      <c r="E343" s="301">
        <v>8.41</v>
      </c>
    </row>
    <row r="346" spans="1:5" ht="18" x14ac:dyDescent="0.25">
      <c r="A346" s="542" t="s">
        <v>4828</v>
      </c>
      <c r="B346" s="542"/>
      <c r="C346" s="542"/>
      <c r="D346" s="542"/>
      <c r="E346" s="542"/>
    </row>
    <row r="347" spans="1:5" x14ac:dyDescent="0.2">
      <c r="A347" s="225" t="s">
        <v>318</v>
      </c>
      <c r="B347" s="225" t="s">
        <v>285</v>
      </c>
      <c r="C347" s="225" t="s">
        <v>286</v>
      </c>
      <c r="D347" s="225" t="s">
        <v>287</v>
      </c>
      <c r="E347" s="225" t="s">
        <v>957</v>
      </c>
    </row>
    <row r="348" spans="1:5" x14ac:dyDescent="0.2">
      <c r="A348" s="232">
        <v>1</v>
      </c>
      <c r="B348" s="226" t="s">
        <v>677</v>
      </c>
      <c r="C348" s="226" t="s">
        <v>673</v>
      </c>
      <c r="D348" s="227">
        <v>8.67</v>
      </c>
      <c r="E348" s="274">
        <v>8.75</v>
      </c>
    </row>
    <row r="349" spans="1:5" x14ac:dyDescent="0.2">
      <c r="A349" s="234">
        <v>2</v>
      </c>
      <c r="B349" s="229" t="s">
        <v>2722</v>
      </c>
      <c r="C349" s="229" t="s">
        <v>2723</v>
      </c>
      <c r="D349" s="230">
        <v>8.65</v>
      </c>
      <c r="E349" s="290">
        <v>8.56</v>
      </c>
    </row>
    <row r="350" spans="1:5" x14ac:dyDescent="0.2">
      <c r="A350" s="235">
        <v>3</v>
      </c>
      <c r="B350" s="226" t="s">
        <v>1121</v>
      </c>
      <c r="C350" s="226" t="s">
        <v>1122</v>
      </c>
      <c r="D350" s="227">
        <v>8.5299999999999994</v>
      </c>
      <c r="E350" s="299">
        <v>8.4499999999999993</v>
      </c>
    </row>
    <row r="351" spans="1:5" x14ac:dyDescent="0.2">
      <c r="A351" s="236">
        <v>4</v>
      </c>
      <c r="B351" s="229" t="s">
        <v>1648</v>
      </c>
      <c r="C351" s="229" t="s">
        <v>1649</v>
      </c>
      <c r="D351" s="230">
        <v>8.5</v>
      </c>
      <c r="E351" s="299">
        <v>8.4499999999999993</v>
      </c>
    </row>
    <row r="352" spans="1:5" x14ac:dyDescent="0.2">
      <c r="A352" s="236">
        <v>5</v>
      </c>
      <c r="B352" s="226" t="s">
        <v>1728</v>
      </c>
      <c r="C352" s="226" t="s">
        <v>4813</v>
      </c>
      <c r="D352" s="227">
        <v>8.3800000000000008</v>
      </c>
      <c r="E352" s="305">
        <v>8.34</v>
      </c>
    </row>
    <row r="354" spans="1:5" ht="18" x14ac:dyDescent="0.25">
      <c r="A354" s="542" t="s">
        <v>3912</v>
      </c>
      <c r="B354" s="542"/>
      <c r="C354" s="542"/>
      <c r="D354" s="542"/>
      <c r="E354" s="542"/>
    </row>
    <row r="355" spans="1:5" x14ac:dyDescent="0.2">
      <c r="A355" s="225" t="s">
        <v>318</v>
      </c>
      <c r="B355" s="225" t="s">
        <v>285</v>
      </c>
      <c r="C355" s="225" t="s">
        <v>286</v>
      </c>
      <c r="D355" s="225" t="s">
        <v>287</v>
      </c>
      <c r="E355" s="225" t="s">
        <v>957</v>
      </c>
    </row>
    <row r="356" spans="1:5" x14ac:dyDescent="0.2">
      <c r="A356" s="232">
        <v>1</v>
      </c>
      <c r="B356" s="226" t="s">
        <v>2034</v>
      </c>
      <c r="C356" s="226" t="s">
        <v>2035</v>
      </c>
      <c r="D356" s="227">
        <v>8.75</v>
      </c>
      <c r="E356" s="283">
        <v>8.64</v>
      </c>
    </row>
    <row r="357" spans="1:5" x14ac:dyDescent="0.2">
      <c r="A357" s="234">
        <v>2</v>
      </c>
      <c r="B357" s="229" t="s">
        <v>1054</v>
      </c>
      <c r="C357" s="229" t="s">
        <v>3519</v>
      </c>
      <c r="D357" s="230">
        <v>8.7200000000000006</v>
      </c>
      <c r="E357" s="284">
        <v>8.6300000000000008</v>
      </c>
    </row>
    <row r="358" spans="1:5" x14ac:dyDescent="0.2">
      <c r="A358" s="235">
        <v>3</v>
      </c>
      <c r="B358" s="226" t="s">
        <v>3891</v>
      </c>
      <c r="C358" s="226" t="s">
        <v>3892</v>
      </c>
      <c r="D358" s="227">
        <v>8.64</v>
      </c>
      <c r="E358" s="293">
        <v>8.5299999999999994</v>
      </c>
    </row>
    <row r="359" spans="1:5" x14ac:dyDescent="0.2">
      <c r="A359" s="236">
        <v>4</v>
      </c>
      <c r="B359" s="229" t="s">
        <v>3281</v>
      </c>
      <c r="C359" s="229" t="s">
        <v>3282</v>
      </c>
      <c r="D359" s="230">
        <v>8.2899999999999991</v>
      </c>
      <c r="E359" s="348">
        <v>8.3000000000000007</v>
      </c>
    </row>
    <row r="360" spans="1:5" x14ac:dyDescent="0.2">
      <c r="A360" s="236">
        <v>5</v>
      </c>
      <c r="B360" s="226" t="s">
        <v>300</v>
      </c>
      <c r="C360" s="226" t="s">
        <v>3104</v>
      </c>
      <c r="D360" s="227">
        <v>8</v>
      </c>
      <c r="E360" s="322">
        <v>7.94</v>
      </c>
    </row>
  </sheetData>
  <mergeCells count="34">
    <mergeCell ref="A170:E170"/>
    <mergeCell ref="A178:E178"/>
    <mergeCell ref="A130:E130"/>
    <mergeCell ref="A138:E138"/>
    <mergeCell ref="A146:E146"/>
    <mergeCell ref="A154:E154"/>
    <mergeCell ref="A162:E162"/>
    <mergeCell ref="A1:N1"/>
    <mergeCell ref="A55:E55"/>
    <mergeCell ref="A83:E83"/>
    <mergeCell ref="A114:E114"/>
    <mergeCell ref="A122:E122"/>
    <mergeCell ref="A186:E186"/>
    <mergeCell ref="A194:E194"/>
    <mergeCell ref="A202:E202"/>
    <mergeCell ref="A210:E210"/>
    <mergeCell ref="A242:E242"/>
    <mergeCell ref="A218:E218"/>
    <mergeCell ref="A226:E226"/>
    <mergeCell ref="A234:E234"/>
    <mergeCell ref="A250:E250"/>
    <mergeCell ref="A258:E258"/>
    <mergeCell ref="A266:E266"/>
    <mergeCell ref="A274:E274"/>
    <mergeCell ref="A354:E354"/>
    <mergeCell ref="A290:E290"/>
    <mergeCell ref="A298:E298"/>
    <mergeCell ref="A306:E306"/>
    <mergeCell ref="A314:E314"/>
    <mergeCell ref="A322:E322"/>
    <mergeCell ref="A330:E330"/>
    <mergeCell ref="A338:E338"/>
    <mergeCell ref="A346:E346"/>
    <mergeCell ref="A282:E28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N46" sqref="N46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42" t="s">
        <v>4978</v>
      </c>
      <c r="B1" s="542"/>
      <c r="C1" s="542"/>
      <c r="D1" s="542"/>
      <c r="E1" s="542"/>
      <c r="G1" s="542" t="s">
        <v>4152</v>
      </c>
      <c r="H1" s="542"/>
    </row>
    <row r="2" spans="1:8" x14ac:dyDescent="0.2">
      <c r="A2" s="225" t="s">
        <v>318</v>
      </c>
      <c r="B2" s="225" t="s">
        <v>2978</v>
      </c>
      <c r="C2" s="225" t="s">
        <v>286</v>
      </c>
      <c r="D2" s="225" t="s">
        <v>285</v>
      </c>
      <c r="E2" s="225" t="s">
        <v>3052</v>
      </c>
      <c r="G2" s="378" t="s">
        <v>4153</v>
      </c>
      <c r="H2" s="516">
        <v>100</v>
      </c>
    </row>
    <row r="3" spans="1:8" x14ac:dyDescent="0.2">
      <c r="A3" s="232">
        <v>1</v>
      </c>
      <c r="B3" s="518" t="s">
        <v>9</v>
      </c>
      <c r="C3" s="518" t="s">
        <v>7</v>
      </c>
      <c r="D3" s="226" t="s">
        <v>292</v>
      </c>
      <c r="E3" s="226" t="s">
        <v>712</v>
      </c>
      <c r="G3" s="378" t="s">
        <v>4154</v>
      </c>
      <c r="H3" s="516">
        <v>1</v>
      </c>
    </row>
    <row r="4" spans="1:8" x14ac:dyDescent="0.2">
      <c r="A4" s="234">
        <v>2</v>
      </c>
      <c r="B4" s="519" t="s">
        <v>949</v>
      </c>
      <c r="C4" s="519" t="s">
        <v>949</v>
      </c>
      <c r="D4" s="229" t="s">
        <v>951</v>
      </c>
      <c r="E4" s="229" t="s">
        <v>952</v>
      </c>
      <c r="G4" s="378" t="s">
        <v>4155</v>
      </c>
      <c r="H4" s="516"/>
    </row>
    <row r="5" spans="1:8" x14ac:dyDescent="0.2">
      <c r="A5" s="235">
        <v>3</v>
      </c>
      <c r="B5" s="518" t="s">
        <v>2278</v>
      </c>
      <c r="C5" s="518" t="s">
        <v>2278</v>
      </c>
      <c r="D5" s="226" t="s">
        <v>2293</v>
      </c>
      <c r="E5" s="226" t="s">
        <v>987</v>
      </c>
      <c r="G5" s="378" t="s">
        <v>4156</v>
      </c>
      <c r="H5" s="516" t="s">
        <v>4157</v>
      </c>
    </row>
    <row r="6" spans="1:8" x14ac:dyDescent="0.2">
      <c r="A6" s="236">
        <v>4</v>
      </c>
      <c r="B6" s="519" t="s">
        <v>981</v>
      </c>
      <c r="C6" s="519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18" t="s">
        <v>16</v>
      </c>
      <c r="C7" s="518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19" t="s">
        <v>148</v>
      </c>
      <c r="C8" s="519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18" t="s">
        <v>632</v>
      </c>
      <c r="C9" s="518" t="s">
        <v>634</v>
      </c>
      <c r="D9" s="226" t="s">
        <v>2460</v>
      </c>
      <c r="E9" s="226" t="s">
        <v>1005</v>
      </c>
    </row>
    <row r="10" spans="1:8" x14ac:dyDescent="0.2">
      <c r="A10" s="236">
        <v>8</v>
      </c>
      <c r="B10" s="519" t="s">
        <v>48</v>
      </c>
      <c r="C10" s="519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18" t="s">
        <v>513</v>
      </c>
      <c r="C11" s="518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19" t="s">
        <v>199</v>
      </c>
      <c r="C12" s="519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18" t="s">
        <v>4564</v>
      </c>
      <c r="C13" s="518" t="s">
        <v>4568</v>
      </c>
      <c r="D13" s="226" t="s">
        <v>4567</v>
      </c>
      <c r="E13" s="226" t="s">
        <v>4574</v>
      </c>
    </row>
    <row r="14" spans="1:8" x14ac:dyDescent="0.2">
      <c r="A14" s="236">
        <v>12</v>
      </c>
      <c r="B14" s="519" t="s">
        <v>702</v>
      </c>
      <c r="C14" s="519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18" t="s">
        <v>213</v>
      </c>
      <c r="C15" s="518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19" t="s">
        <v>2262</v>
      </c>
      <c r="C16" s="519" t="s">
        <v>2367</v>
      </c>
      <c r="D16" s="229" t="s">
        <v>292</v>
      </c>
      <c r="E16" s="229" t="s">
        <v>2368</v>
      </c>
    </row>
    <row r="17" spans="1:5" x14ac:dyDescent="0.2">
      <c r="A17" s="236">
        <v>15</v>
      </c>
      <c r="B17" s="518" t="s">
        <v>391</v>
      </c>
      <c r="C17" s="518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19" t="s">
        <v>128</v>
      </c>
      <c r="C18" s="519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18" t="s">
        <v>1865</v>
      </c>
      <c r="C19" s="518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19" t="s">
        <v>1139</v>
      </c>
      <c r="C20" s="519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18" t="s">
        <v>61</v>
      </c>
      <c r="C21" s="518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19" t="s">
        <v>253</v>
      </c>
      <c r="C22" s="519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18" t="s">
        <v>963</v>
      </c>
      <c r="C23" s="518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19" t="s">
        <v>176</v>
      </c>
      <c r="C24" s="519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18" t="s">
        <v>4113</v>
      </c>
      <c r="C25" s="518" t="s">
        <v>4135</v>
      </c>
      <c r="D25" s="226" t="s">
        <v>4134</v>
      </c>
      <c r="E25" s="226" t="s">
        <v>1011</v>
      </c>
    </row>
    <row r="26" spans="1:5" x14ac:dyDescent="0.2">
      <c r="A26" s="236">
        <v>24</v>
      </c>
      <c r="B26" s="519" t="s">
        <v>915</v>
      </c>
      <c r="C26" s="519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18" t="s">
        <v>39</v>
      </c>
      <c r="C27" s="518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19" t="s">
        <v>461</v>
      </c>
      <c r="C28" s="519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18" t="s">
        <v>3030</v>
      </c>
      <c r="C29" s="518" t="s">
        <v>3035</v>
      </c>
      <c r="D29" s="226" t="s">
        <v>3034</v>
      </c>
      <c r="E29" s="226" t="s">
        <v>733</v>
      </c>
    </row>
    <row r="30" spans="1:5" x14ac:dyDescent="0.2">
      <c r="A30" s="236">
        <v>28</v>
      </c>
      <c r="B30" s="519" t="s">
        <v>655</v>
      </c>
      <c r="C30" s="519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18" t="s">
        <v>2355</v>
      </c>
      <c r="C31" s="518" t="s">
        <v>2366</v>
      </c>
      <c r="D31" s="226" t="s">
        <v>303</v>
      </c>
      <c r="E31" s="226" t="s">
        <v>2380</v>
      </c>
    </row>
    <row r="32" spans="1:5" x14ac:dyDescent="0.2">
      <c r="A32" s="236">
        <v>30</v>
      </c>
      <c r="B32" s="519" t="s">
        <v>347</v>
      </c>
      <c r="C32" s="519" t="s">
        <v>351</v>
      </c>
      <c r="D32" s="229" t="s">
        <v>357</v>
      </c>
      <c r="E32" s="229" t="s">
        <v>722</v>
      </c>
    </row>
    <row r="33" spans="1:5" x14ac:dyDescent="0.2">
      <c r="A33" s="236">
        <v>31</v>
      </c>
      <c r="B33" s="518" t="s">
        <v>395</v>
      </c>
      <c r="C33" s="518" t="s">
        <v>393</v>
      </c>
      <c r="D33" s="226" t="s">
        <v>293</v>
      </c>
      <c r="E33" s="226" t="s">
        <v>732</v>
      </c>
    </row>
    <row r="34" spans="1:5" x14ac:dyDescent="0.2">
      <c r="A34" s="236">
        <v>32</v>
      </c>
      <c r="B34" s="519" t="s">
        <v>862</v>
      </c>
      <c r="C34" s="519" t="s">
        <v>857</v>
      </c>
      <c r="D34" s="229" t="s">
        <v>866</v>
      </c>
      <c r="E34" s="229" t="s">
        <v>867</v>
      </c>
    </row>
    <row r="35" spans="1:5" x14ac:dyDescent="0.2">
      <c r="A35" s="236">
        <v>33</v>
      </c>
      <c r="B35" s="518" t="s">
        <v>64</v>
      </c>
      <c r="C35" s="518" t="s">
        <v>157</v>
      </c>
      <c r="D35" s="226" t="s">
        <v>303</v>
      </c>
      <c r="E35" s="226" t="s">
        <v>718</v>
      </c>
    </row>
    <row r="36" spans="1:5" x14ac:dyDescent="0.2">
      <c r="A36" s="236">
        <v>34</v>
      </c>
      <c r="B36" s="519" t="s">
        <v>236</v>
      </c>
      <c r="C36" s="519" t="s">
        <v>229</v>
      </c>
      <c r="D36" s="229" t="s">
        <v>304</v>
      </c>
      <c r="E36" s="229" t="s">
        <v>734</v>
      </c>
    </row>
    <row r="37" spans="1:5" x14ac:dyDescent="0.2">
      <c r="A37" s="236">
        <v>35</v>
      </c>
      <c r="B37" s="518" t="s">
        <v>1028</v>
      </c>
      <c r="C37" s="518" t="s">
        <v>1026</v>
      </c>
      <c r="D37" s="226" t="s">
        <v>301</v>
      </c>
      <c r="E37" s="226" t="s">
        <v>734</v>
      </c>
    </row>
    <row r="38" spans="1:5" x14ac:dyDescent="0.2">
      <c r="A38" s="236">
        <v>36</v>
      </c>
      <c r="B38" s="519" t="s">
        <v>612</v>
      </c>
      <c r="C38" s="519" t="s">
        <v>609</v>
      </c>
      <c r="D38" s="229" t="s">
        <v>441</v>
      </c>
      <c r="E38" s="229" t="s">
        <v>716</v>
      </c>
    </row>
    <row r="39" spans="1:5" x14ac:dyDescent="0.2">
      <c r="A39" s="236">
        <v>37</v>
      </c>
      <c r="B39" s="518" t="s">
        <v>2693</v>
      </c>
      <c r="C39" s="518" t="s">
        <v>2700</v>
      </c>
      <c r="D39" s="226" t="s">
        <v>2699</v>
      </c>
      <c r="E39" s="226" t="s">
        <v>2705</v>
      </c>
    </row>
    <row r="40" spans="1:5" x14ac:dyDescent="0.2">
      <c r="A40" s="236">
        <v>38</v>
      </c>
      <c r="B40" s="519" t="s">
        <v>95</v>
      </c>
      <c r="C40" s="519" t="s">
        <v>95</v>
      </c>
      <c r="D40" s="229" t="s">
        <v>307</v>
      </c>
      <c r="E40" s="229" t="s">
        <v>720</v>
      </c>
    </row>
    <row r="41" spans="1:5" x14ac:dyDescent="0.2">
      <c r="A41" s="236">
        <v>39</v>
      </c>
      <c r="B41" s="518" t="s">
        <v>5635</v>
      </c>
      <c r="C41" s="518" t="s">
        <v>5639</v>
      </c>
      <c r="D41" s="226" t="s">
        <v>5638</v>
      </c>
      <c r="E41" s="226" t="s">
        <v>5655</v>
      </c>
    </row>
    <row r="42" spans="1:5" x14ac:dyDescent="0.2">
      <c r="A42" s="236">
        <v>40</v>
      </c>
      <c r="B42" s="519" t="s">
        <v>1418</v>
      </c>
      <c r="C42" s="519" t="s">
        <v>1441</v>
      </c>
      <c r="D42" s="229" t="s">
        <v>1440</v>
      </c>
      <c r="E42" s="229" t="s">
        <v>1442</v>
      </c>
    </row>
    <row r="43" spans="1:5" x14ac:dyDescent="0.2">
      <c r="A43" s="236">
        <v>41</v>
      </c>
      <c r="B43" s="518" t="s">
        <v>2196</v>
      </c>
      <c r="C43" s="518" t="s">
        <v>2206</v>
      </c>
      <c r="D43" s="226" t="s">
        <v>315</v>
      </c>
      <c r="E43" s="226" t="s">
        <v>725</v>
      </c>
    </row>
    <row r="44" spans="1:5" x14ac:dyDescent="0.2">
      <c r="A44" s="236">
        <v>42</v>
      </c>
      <c r="B44" s="519" t="s">
        <v>2615</v>
      </c>
      <c r="C44" s="519" t="s">
        <v>2613</v>
      </c>
      <c r="D44" s="229" t="s">
        <v>2617</v>
      </c>
      <c r="E44" s="229" t="s">
        <v>731</v>
      </c>
    </row>
    <row r="45" spans="1:5" x14ac:dyDescent="0.2">
      <c r="A45" s="236">
        <v>43</v>
      </c>
      <c r="B45" s="518" t="s">
        <v>4838</v>
      </c>
      <c r="C45" s="518" t="s">
        <v>4845</v>
      </c>
      <c r="D45" s="226" t="s">
        <v>4844</v>
      </c>
      <c r="E45" s="226" t="s">
        <v>989</v>
      </c>
    </row>
    <row r="46" spans="1:5" x14ac:dyDescent="0.2">
      <c r="A46" s="236">
        <v>44</v>
      </c>
      <c r="B46" s="519" t="s">
        <v>1679</v>
      </c>
      <c r="C46" s="519" t="s">
        <v>1680</v>
      </c>
      <c r="D46" s="229" t="s">
        <v>298</v>
      </c>
      <c r="E46" s="229" t="s">
        <v>987</v>
      </c>
    </row>
    <row r="47" spans="1:5" x14ac:dyDescent="0.2">
      <c r="A47" s="236">
        <v>45</v>
      </c>
      <c r="B47" s="518" t="s">
        <v>2345</v>
      </c>
      <c r="C47" s="518" t="s">
        <v>2345</v>
      </c>
      <c r="D47" s="226" t="s">
        <v>300</v>
      </c>
      <c r="E47" s="226" t="s">
        <v>735</v>
      </c>
    </row>
    <row r="48" spans="1:5" x14ac:dyDescent="0.2">
      <c r="A48" s="236">
        <v>46</v>
      </c>
      <c r="B48" s="519" t="s">
        <v>2749</v>
      </c>
      <c r="C48" s="519" t="s">
        <v>2771</v>
      </c>
      <c r="D48" s="229" t="s">
        <v>298</v>
      </c>
      <c r="E48" s="229" t="s">
        <v>2775</v>
      </c>
    </row>
    <row r="49" spans="1:5" x14ac:dyDescent="0.2">
      <c r="A49" s="236">
        <v>47</v>
      </c>
      <c r="B49" s="518" t="s">
        <v>5405</v>
      </c>
      <c r="C49" s="518" t="s">
        <v>5409</v>
      </c>
      <c r="D49" s="226" t="s">
        <v>4567</v>
      </c>
      <c r="E49" s="226" t="s">
        <v>988</v>
      </c>
    </row>
    <row r="50" spans="1:5" x14ac:dyDescent="0.2">
      <c r="A50" s="236">
        <v>48</v>
      </c>
      <c r="B50" s="519" t="s">
        <v>1501</v>
      </c>
      <c r="C50" s="519" t="s">
        <v>1502</v>
      </c>
      <c r="D50" s="229" t="s">
        <v>311</v>
      </c>
      <c r="E50" s="229" t="s">
        <v>1519</v>
      </c>
    </row>
    <row r="51" spans="1:5" x14ac:dyDescent="0.2">
      <c r="A51" s="236">
        <v>49</v>
      </c>
      <c r="B51" s="518" t="s">
        <v>691</v>
      </c>
      <c r="C51" s="518" t="s">
        <v>700</v>
      </c>
      <c r="D51" s="226" t="s">
        <v>699</v>
      </c>
      <c r="E51" s="226" t="s">
        <v>797</v>
      </c>
    </row>
    <row r="52" spans="1:5" x14ac:dyDescent="0.2">
      <c r="A52" s="236">
        <v>50</v>
      </c>
      <c r="B52" s="519" t="s">
        <v>942</v>
      </c>
      <c r="C52" s="519" t="s">
        <v>947</v>
      </c>
      <c r="D52" s="229" t="s">
        <v>311</v>
      </c>
      <c r="E52" s="229" t="s">
        <v>953</v>
      </c>
    </row>
    <row r="53" spans="1:5" x14ac:dyDescent="0.2">
      <c r="A53" s="236">
        <v>51</v>
      </c>
      <c r="B53" s="518" t="s">
        <v>1561</v>
      </c>
      <c r="C53" s="518" t="s">
        <v>1565</v>
      </c>
      <c r="D53" s="226" t="s">
        <v>1330</v>
      </c>
      <c r="E53" s="226" t="s">
        <v>1566</v>
      </c>
    </row>
    <row r="54" spans="1:5" x14ac:dyDescent="0.2">
      <c r="A54" s="236">
        <v>52</v>
      </c>
      <c r="B54" s="519" t="s">
        <v>4392</v>
      </c>
      <c r="C54" s="519" t="s">
        <v>4398</v>
      </c>
      <c r="D54" s="229" t="s">
        <v>774</v>
      </c>
      <c r="E54" s="229" t="s">
        <v>994</v>
      </c>
    </row>
    <row r="55" spans="1:5" x14ac:dyDescent="0.2">
      <c r="A55" s="236">
        <v>53</v>
      </c>
      <c r="B55" s="518" t="s">
        <v>1899</v>
      </c>
      <c r="C55" s="518" t="s">
        <v>1927</v>
      </c>
      <c r="D55" s="226" t="s">
        <v>1075</v>
      </c>
      <c r="E55" s="226" t="s">
        <v>1442</v>
      </c>
    </row>
    <row r="56" spans="1:5" x14ac:dyDescent="0.2">
      <c r="A56" s="236">
        <v>54</v>
      </c>
      <c r="B56" s="519" t="s">
        <v>26</v>
      </c>
      <c r="C56" s="519" t="s">
        <v>1080</v>
      </c>
      <c r="D56" s="229" t="s">
        <v>312</v>
      </c>
      <c r="E56" s="229" t="s">
        <v>1082</v>
      </c>
    </row>
    <row r="57" spans="1:5" x14ac:dyDescent="0.2">
      <c r="A57" s="236">
        <v>55</v>
      </c>
      <c r="B57" s="518" t="s">
        <v>1061</v>
      </c>
      <c r="C57" s="518" t="s">
        <v>1439</v>
      </c>
      <c r="D57" s="226" t="s">
        <v>1075</v>
      </c>
      <c r="E57" s="226" t="s">
        <v>1442</v>
      </c>
    </row>
    <row r="58" spans="1:5" x14ac:dyDescent="0.2">
      <c r="A58" s="236">
        <v>56</v>
      </c>
      <c r="B58" s="519" t="s">
        <v>1309</v>
      </c>
      <c r="C58" s="519" t="s">
        <v>1318</v>
      </c>
      <c r="D58" s="229" t="s">
        <v>677</v>
      </c>
      <c r="E58" s="229" t="s">
        <v>1319</v>
      </c>
    </row>
    <row r="59" spans="1:5" x14ac:dyDescent="0.2">
      <c r="A59" s="236">
        <v>57</v>
      </c>
      <c r="B59" s="518" t="s">
        <v>2373</v>
      </c>
      <c r="C59" s="518" t="s">
        <v>2382</v>
      </c>
      <c r="D59" s="226" t="s">
        <v>2381</v>
      </c>
      <c r="E59" s="226" t="s">
        <v>2384</v>
      </c>
    </row>
    <row r="60" spans="1:5" x14ac:dyDescent="0.2">
      <c r="A60" s="236">
        <v>58</v>
      </c>
      <c r="B60" s="519" t="s">
        <v>2894</v>
      </c>
      <c r="C60" s="519" t="s">
        <v>2886</v>
      </c>
      <c r="D60" s="229" t="s">
        <v>2901</v>
      </c>
      <c r="E60" s="229" t="s">
        <v>2903</v>
      </c>
    </row>
    <row r="61" spans="1:5" x14ac:dyDescent="0.2">
      <c r="A61" s="236">
        <v>59</v>
      </c>
      <c r="B61" s="518" t="s">
        <v>4402</v>
      </c>
      <c r="C61" s="518" t="s">
        <v>4400</v>
      </c>
      <c r="D61" s="226" t="s">
        <v>4428</v>
      </c>
      <c r="E61" s="226" t="s">
        <v>4429</v>
      </c>
    </row>
    <row r="62" spans="1:5" x14ac:dyDescent="0.2">
      <c r="A62" s="236">
        <v>60</v>
      </c>
      <c r="B62" s="519" t="s">
        <v>1102</v>
      </c>
      <c r="C62" s="519" t="s">
        <v>307</v>
      </c>
      <c r="D62" s="229" t="s">
        <v>307</v>
      </c>
      <c r="E62" s="229" t="s">
        <v>1106</v>
      </c>
    </row>
    <row r="63" spans="1:5" x14ac:dyDescent="0.2">
      <c r="A63" s="236">
        <v>61</v>
      </c>
      <c r="B63" s="518" t="s">
        <v>2326</v>
      </c>
      <c r="C63" s="518" t="s">
        <v>2314</v>
      </c>
      <c r="D63" s="226" t="s">
        <v>2165</v>
      </c>
      <c r="E63" s="226" t="s">
        <v>2327</v>
      </c>
    </row>
    <row r="64" spans="1:5" x14ac:dyDescent="0.2">
      <c r="A64" s="236">
        <v>62</v>
      </c>
      <c r="B64" s="519" t="s">
        <v>854</v>
      </c>
      <c r="C64" s="519" t="s">
        <v>855</v>
      </c>
      <c r="D64" s="229" t="s">
        <v>300</v>
      </c>
      <c r="E64" s="229" t="s">
        <v>735</v>
      </c>
    </row>
    <row r="65" spans="1:5" x14ac:dyDescent="0.2">
      <c r="A65" s="236">
        <v>63</v>
      </c>
      <c r="B65" s="518" t="s">
        <v>3946</v>
      </c>
      <c r="C65" s="518" t="s">
        <v>3950</v>
      </c>
      <c r="D65" s="226" t="s">
        <v>3955</v>
      </c>
      <c r="E65" s="226" t="s">
        <v>3956</v>
      </c>
    </row>
    <row r="66" spans="1:5" x14ac:dyDescent="0.2">
      <c r="A66" s="236">
        <v>64</v>
      </c>
      <c r="B66" s="519" t="s">
        <v>1167</v>
      </c>
      <c r="C66" s="519" t="s">
        <v>1175</v>
      </c>
      <c r="D66" s="229" t="s">
        <v>1174</v>
      </c>
      <c r="E66" s="229" t="s">
        <v>1178</v>
      </c>
    </row>
    <row r="67" spans="1:5" x14ac:dyDescent="0.2">
      <c r="A67" s="236">
        <v>65</v>
      </c>
      <c r="B67" s="518" t="s">
        <v>1403</v>
      </c>
      <c r="C67" s="518" t="s">
        <v>1411</v>
      </c>
      <c r="D67" s="226" t="s">
        <v>1410</v>
      </c>
      <c r="E67" s="226" t="s">
        <v>735</v>
      </c>
    </row>
    <row r="68" spans="1:5" x14ac:dyDescent="0.2">
      <c r="A68" s="236">
        <v>66</v>
      </c>
      <c r="B68" s="519" t="s">
        <v>1948</v>
      </c>
      <c r="C68" s="519" t="s">
        <v>1949</v>
      </c>
      <c r="D68" s="229" t="s">
        <v>1577</v>
      </c>
      <c r="E68" s="229" t="s">
        <v>1247</v>
      </c>
    </row>
    <row r="69" spans="1:5" x14ac:dyDescent="0.2">
      <c r="A69" s="236">
        <v>67</v>
      </c>
      <c r="B69" s="518" t="s">
        <v>2155</v>
      </c>
      <c r="C69" s="518" t="s">
        <v>2166</v>
      </c>
      <c r="D69" s="226" t="s">
        <v>2165</v>
      </c>
      <c r="E69" s="226" t="s">
        <v>1007</v>
      </c>
    </row>
    <row r="70" spans="1:5" x14ac:dyDescent="0.2">
      <c r="A70" s="236">
        <v>68</v>
      </c>
      <c r="B70" s="519" t="s">
        <v>3253</v>
      </c>
      <c r="C70" s="519" t="s">
        <v>3273</v>
      </c>
      <c r="D70" s="229" t="s">
        <v>3273</v>
      </c>
      <c r="E70" s="229" t="s">
        <v>3274</v>
      </c>
    </row>
    <row r="71" spans="1:5" x14ac:dyDescent="0.2">
      <c r="A71" s="236">
        <v>69</v>
      </c>
      <c r="B71" s="518" t="s">
        <v>3444</v>
      </c>
      <c r="C71" s="518" t="s">
        <v>3451</v>
      </c>
      <c r="D71" s="226" t="s">
        <v>2586</v>
      </c>
      <c r="E71" s="226" t="s">
        <v>3455</v>
      </c>
    </row>
    <row r="72" spans="1:5" x14ac:dyDescent="0.2">
      <c r="A72" s="236">
        <v>70</v>
      </c>
      <c r="B72" s="519" t="s">
        <v>429</v>
      </c>
      <c r="C72" s="519" t="s">
        <v>442</v>
      </c>
      <c r="D72" s="229" t="s">
        <v>441</v>
      </c>
      <c r="E72" s="229" t="s">
        <v>716</v>
      </c>
    </row>
    <row r="73" spans="1:5" x14ac:dyDescent="0.2">
      <c r="A73" s="236">
        <v>71</v>
      </c>
      <c r="B73" s="518" t="s">
        <v>2641</v>
      </c>
      <c r="C73" s="518" t="s">
        <v>2644</v>
      </c>
      <c r="D73" s="226" t="s">
        <v>307</v>
      </c>
      <c r="E73" s="226" t="s">
        <v>988</v>
      </c>
    </row>
    <row r="74" spans="1:5" x14ac:dyDescent="0.2">
      <c r="A74" s="236">
        <v>72</v>
      </c>
      <c r="B74" s="519" t="s">
        <v>538</v>
      </c>
      <c r="C74" s="519" t="s">
        <v>546</v>
      </c>
      <c r="D74" s="229" t="s">
        <v>545</v>
      </c>
      <c r="E74" s="229" t="s">
        <v>777</v>
      </c>
    </row>
    <row r="75" spans="1:5" x14ac:dyDescent="0.2">
      <c r="A75" s="236">
        <v>73</v>
      </c>
      <c r="B75" s="518" t="s">
        <v>581</v>
      </c>
      <c r="C75" s="518" t="s">
        <v>588</v>
      </c>
      <c r="D75" s="226" t="s">
        <v>303</v>
      </c>
      <c r="E75" s="226" t="s">
        <v>718</v>
      </c>
    </row>
    <row r="76" spans="1:5" x14ac:dyDescent="0.2">
      <c r="A76" s="236">
        <v>74</v>
      </c>
      <c r="B76" s="519" t="s">
        <v>4032</v>
      </c>
      <c r="C76" s="519" t="s">
        <v>4037</v>
      </c>
      <c r="D76" s="229" t="s">
        <v>4036</v>
      </c>
      <c r="E76" s="229" t="s">
        <v>4038</v>
      </c>
    </row>
    <row r="77" spans="1:5" x14ac:dyDescent="0.2">
      <c r="A77" s="236">
        <v>75</v>
      </c>
      <c r="B77" s="518" t="s">
        <v>2333</v>
      </c>
      <c r="C77" s="518" t="s">
        <v>2330</v>
      </c>
      <c r="D77" s="226" t="s">
        <v>441</v>
      </c>
      <c r="E77" s="226" t="s">
        <v>4823</v>
      </c>
    </row>
    <row r="78" spans="1:5" x14ac:dyDescent="0.2">
      <c r="A78" s="236">
        <v>76</v>
      </c>
      <c r="B78" s="519" t="s">
        <v>3607</v>
      </c>
      <c r="C78" s="519" t="s">
        <v>3638</v>
      </c>
      <c r="D78" s="229" t="s">
        <v>3637</v>
      </c>
      <c r="E78" s="229" t="s">
        <v>3642</v>
      </c>
    </row>
    <row r="79" spans="1:5" x14ac:dyDescent="0.2">
      <c r="A79" s="236">
        <v>77</v>
      </c>
      <c r="B79" s="518" t="s">
        <v>3061</v>
      </c>
      <c r="C79" s="518" t="s">
        <v>3065</v>
      </c>
      <c r="D79" s="226" t="s">
        <v>2844</v>
      </c>
      <c r="E79" s="226" t="s">
        <v>731</v>
      </c>
    </row>
    <row r="80" spans="1:5" x14ac:dyDescent="0.2">
      <c r="A80" s="236">
        <v>78</v>
      </c>
      <c r="B80" s="519" t="s">
        <v>785</v>
      </c>
      <c r="C80" s="519" t="s">
        <v>790</v>
      </c>
      <c r="D80" s="229" t="s">
        <v>795</v>
      </c>
      <c r="E80" s="229" t="s">
        <v>796</v>
      </c>
    </row>
    <row r="81" spans="1:5" x14ac:dyDescent="0.2">
      <c r="A81" s="236">
        <v>79</v>
      </c>
      <c r="B81" s="518" t="s">
        <v>1367</v>
      </c>
      <c r="C81" s="518" t="s">
        <v>1369</v>
      </c>
      <c r="D81" s="226" t="s">
        <v>1368</v>
      </c>
      <c r="E81" s="226" t="s">
        <v>4053</v>
      </c>
    </row>
    <row r="82" spans="1:5" x14ac:dyDescent="0.2">
      <c r="A82" s="236">
        <v>80</v>
      </c>
      <c r="B82" s="519" t="s">
        <v>670</v>
      </c>
      <c r="C82" s="519" t="s">
        <v>673</v>
      </c>
      <c r="D82" s="229" t="s">
        <v>677</v>
      </c>
      <c r="E82" s="229" t="s">
        <v>736</v>
      </c>
    </row>
    <row r="83" spans="1:5" x14ac:dyDescent="0.2">
      <c r="A83" s="236">
        <v>81</v>
      </c>
      <c r="B83" s="518" t="s">
        <v>4072</v>
      </c>
      <c r="C83" s="518" t="s">
        <v>4078</v>
      </c>
      <c r="D83" s="226" t="s">
        <v>1368</v>
      </c>
      <c r="E83" s="226" t="s">
        <v>1716</v>
      </c>
    </row>
    <row r="84" spans="1:5" x14ac:dyDescent="0.2">
      <c r="A84" s="236">
        <v>82</v>
      </c>
      <c r="B84" s="519" t="s">
        <v>4335</v>
      </c>
      <c r="C84" s="519" t="s">
        <v>4338</v>
      </c>
      <c r="D84" s="229" t="s">
        <v>2844</v>
      </c>
      <c r="E84" s="229" t="s">
        <v>3878</v>
      </c>
    </row>
    <row r="85" spans="1:5" x14ac:dyDescent="0.2">
      <c r="A85" s="236">
        <v>83</v>
      </c>
      <c r="B85" s="518" t="s">
        <v>4482</v>
      </c>
      <c r="C85" s="518" t="s">
        <v>4471</v>
      </c>
      <c r="D85" s="226" t="s">
        <v>759</v>
      </c>
      <c r="E85" s="226" t="s">
        <v>780</v>
      </c>
    </row>
    <row r="86" spans="1:5" x14ac:dyDescent="0.2">
      <c r="A86" s="236">
        <v>84</v>
      </c>
      <c r="B86" s="519" t="s">
        <v>4412</v>
      </c>
      <c r="C86" s="519" t="s">
        <v>4422</v>
      </c>
      <c r="D86" s="229" t="s">
        <v>4421</v>
      </c>
      <c r="E86" s="229" t="s">
        <v>4425</v>
      </c>
    </row>
    <row r="87" spans="1:5" x14ac:dyDescent="0.2">
      <c r="A87" s="236">
        <v>85</v>
      </c>
      <c r="B87" s="518" t="s">
        <v>4537</v>
      </c>
      <c r="C87" s="518" t="s">
        <v>4566</v>
      </c>
      <c r="D87" s="226" t="s">
        <v>313</v>
      </c>
      <c r="E87" s="226" t="s">
        <v>4572</v>
      </c>
    </row>
    <row r="88" spans="1:5" x14ac:dyDescent="0.2">
      <c r="A88" s="236">
        <v>86</v>
      </c>
      <c r="B88" s="519" t="s">
        <v>364</v>
      </c>
      <c r="C88" s="519" t="s">
        <v>368</v>
      </c>
      <c r="D88" s="229" t="s">
        <v>370</v>
      </c>
      <c r="E88" s="229" t="s">
        <v>777</v>
      </c>
    </row>
    <row r="89" spans="1:5" x14ac:dyDescent="0.2">
      <c r="A89" s="236">
        <v>87</v>
      </c>
      <c r="B89" s="518" t="s">
        <v>3835</v>
      </c>
      <c r="C89" s="518" t="s">
        <v>3857</v>
      </c>
      <c r="D89" s="226" t="s">
        <v>1368</v>
      </c>
      <c r="E89" s="226" t="s">
        <v>3862</v>
      </c>
    </row>
    <row r="90" spans="1:5" x14ac:dyDescent="0.2">
      <c r="A90" s="236">
        <v>88</v>
      </c>
      <c r="B90" s="519" t="s">
        <v>3901</v>
      </c>
      <c r="C90" s="519" t="s">
        <v>3911</v>
      </c>
      <c r="D90" s="229" t="s">
        <v>2699</v>
      </c>
      <c r="E90" s="229" t="s">
        <v>3914</v>
      </c>
    </row>
    <row r="91" spans="1:5" x14ac:dyDescent="0.2">
      <c r="A91" s="236">
        <v>89</v>
      </c>
      <c r="B91" s="518" t="s">
        <v>4245</v>
      </c>
      <c r="C91" s="518" t="s">
        <v>4248</v>
      </c>
      <c r="D91" s="226" t="s">
        <v>2307</v>
      </c>
      <c r="E91" s="226" t="s">
        <v>1743</v>
      </c>
    </row>
    <row r="92" spans="1:5" x14ac:dyDescent="0.2">
      <c r="A92" s="236">
        <v>90</v>
      </c>
      <c r="B92" s="519" t="s">
        <v>4746</v>
      </c>
      <c r="C92" s="519" t="s">
        <v>4741</v>
      </c>
      <c r="D92" s="229" t="s">
        <v>4760</v>
      </c>
      <c r="E92" s="229" t="s">
        <v>4767</v>
      </c>
    </row>
    <row r="93" spans="1:5" x14ac:dyDescent="0.2">
      <c r="A93" s="236">
        <v>91</v>
      </c>
      <c r="B93" s="518" t="s">
        <v>5327</v>
      </c>
      <c r="C93" s="518" t="s">
        <v>5350</v>
      </c>
      <c r="D93" s="226" t="s">
        <v>5349</v>
      </c>
      <c r="E93" s="226" t="s">
        <v>1442</v>
      </c>
    </row>
    <row r="94" spans="1:5" x14ac:dyDescent="0.2">
      <c r="A94" s="236">
        <v>92</v>
      </c>
      <c r="B94" s="519" t="s">
        <v>3169</v>
      </c>
      <c r="C94" s="519" t="s">
        <v>3173</v>
      </c>
      <c r="D94" s="229" t="s">
        <v>1410</v>
      </c>
      <c r="E94" s="229" t="s">
        <v>735</v>
      </c>
    </row>
    <row r="95" spans="1:5" x14ac:dyDescent="0.2">
      <c r="A95" s="236">
        <v>93</v>
      </c>
      <c r="B95" s="518" t="s">
        <v>2394</v>
      </c>
      <c r="C95" s="518" t="s">
        <v>2417</v>
      </c>
      <c r="D95" s="226" t="s">
        <v>1368</v>
      </c>
      <c r="E95" s="226" t="s">
        <v>1716</v>
      </c>
    </row>
    <row r="96" spans="1:5" x14ac:dyDescent="0.2">
      <c r="A96" s="236">
        <v>94</v>
      </c>
      <c r="B96" s="519" t="s">
        <v>3351</v>
      </c>
      <c r="C96" s="519" t="s">
        <v>3356</v>
      </c>
      <c r="D96" s="229" t="s">
        <v>1368</v>
      </c>
      <c r="E96" s="229" t="s">
        <v>3371</v>
      </c>
    </row>
    <row r="97" spans="1:5" x14ac:dyDescent="0.2">
      <c r="A97" s="236">
        <v>95</v>
      </c>
      <c r="B97" s="518" t="s">
        <v>1238</v>
      </c>
      <c r="C97" s="518" t="s">
        <v>301</v>
      </c>
      <c r="D97" s="226" t="s">
        <v>301</v>
      </c>
      <c r="E97" s="226" t="s">
        <v>1247</v>
      </c>
    </row>
    <row r="98" spans="1:5" x14ac:dyDescent="0.2">
      <c r="A98" s="236">
        <v>96</v>
      </c>
      <c r="B98" s="519" t="s">
        <v>2979</v>
      </c>
      <c r="C98" s="519" t="s">
        <v>1586</v>
      </c>
      <c r="D98" s="229" t="s">
        <v>1048</v>
      </c>
      <c r="E98" s="229" t="s">
        <v>1613</v>
      </c>
    </row>
    <row r="99" spans="1:5" x14ac:dyDescent="0.2">
      <c r="A99" s="236">
        <v>97</v>
      </c>
      <c r="B99" s="518" t="s">
        <v>887</v>
      </c>
      <c r="C99" s="518" t="s">
        <v>869</v>
      </c>
      <c r="D99" s="226" t="s">
        <v>888</v>
      </c>
      <c r="E99" s="226" t="s">
        <v>889</v>
      </c>
    </row>
    <row r="100" spans="1:5" x14ac:dyDescent="0.2">
      <c r="A100" s="236">
        <v>98</v>
      </c>
      <c r="B100" s="519" t="s">
        <v>2853</v>
      </c>
      <c r="C100" s="519" t="s">
        <v>2980</v>
      </c>
      <c r="D100" s="229" t="s">
        <v>2858</v>
      </c>
      <c r="E100" s="229" t="s">
        <v>2859</v>
      </c>
    </row>
    <row r="101" spans="1:5" x14ac:dyDescent="0.2">
      <c r="A101" s="236">
        <v>99</v>
      </c>
      <c r="B101" s="518" t="s">
        <v>807</v>
      </c>
      <c r="C101" s="518" t="s">
        <v>813</v>
      </c>
      <c r="D101" s="226" t="s">
        <v>293</v>
      </c>
      <c r="E101" s="226" t="s">
        <v>713</v>
      </c>
    </row>
    <row r="102" spans="1:5" x14ac:dyDescent="0.2">
      <c r="A102" s="236">
        <v>100</v>
      </c>
      <c r="B102" s="519" t="s">
        <v>2219</v>
      </c>
      <c r="C102" s="519" t="s">
        <v>2223</v>
      </c>
      <c r="D102" s="229" t="s">
        <v>2222</v>
      </c>
      <c r="E102" s="229" t="s">
        <v>2072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38"/>
  <sheetViews>
    <sheetView topLeftCell="A328" zoomScale="80" zoomScaleNormal="80" workbookViewId="0">
      <selection activeCell="N46" sqref="N46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42" t="s">
        <v>5705</v>
      </c>
      <c r="B1" s="542"/>
      <c r="C1" s="542"/>
      <c r="D1" s="542"/>
      <c r="E1" s="542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2293</v>
      </c>
      <c r="C4" s="229" t="s">
        <v>2278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4567</v>
      </c>
      <c r="C10" s="229" t="s">
        <v>4568</v>
      </c>
      <c r="D10" s="230">
        <v>9.5</v>
      </c>
      <c r="E10" s="503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4012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1477</v>
      </c>
      <c r="C23" s="226" t="s">
        <v>1478</v>
      </c>
      <c r="D23" s="227">
        <v>9.1</v>
      </c>
      <c r="E23" s="434">
        <v>9.06</v>
      </c>
    </row>
    <row r="24" spans="1:5" x14ac:dyDescent="0.2">
      <c r="A24" s="236">
        <v>22</v>
      </c>
      <c r="B24" s="229" t="s">
        <v>441</v>
      </c>
      <c r="C24" s="229" t="s">
        <v>609</v>
      </c>
      <c r="D24" s="230">
        <v>8.94</v>
      </c>
      <c r="E24" s="252">
        <v>9.0399999999999991</v>
      </c>
    </row>
    <row r="25" spans="1:5" x14ac:dyDescent="0.2">
      <c r="A25" s="236">
        <v>23</v>
      </c>
      <c r="B25" s="226" t="s">
        <v>307</v>
      </c>
      <c r="C25" s="226" t="s">
        <v>95</v>
      </c>
      <c r="D25" s="227">
        <v>8.94</v>
      </c>
      <c r="E25" s="253">
        <v>9.0299999999999994</v>
      </c>
    </row>
    <row r="26" spans="1:5" x14ac:dyDescent="0.2">
      <c r="A26" s="236">
        <v>24</v>
      </c>
      <c r="B26" s="229" t="s">
        <v>4709</v>
      </c>
      <c r="C26" s="229" t="s">
        <v>4710</v>
      </c>
      <c r="D26" s="230">
        <v>9.08</v>
      </c>
      <c r="E26" s="253">
        <v>9.0299999999999994</v>
      </c>
    </row>
    <row r="27" spans="1:5" x14ac:dyDescent="0.2">
      <c r="A27" s="236">
        <v>25</v>
      </c>
      <c r="B27" s="226" t="s">
        <v>5665</v>
      </c>
      <c r="C27" s="226" t="s">
        <v>5666</v>
      </c>
      <c r="D27" s="227">
        <v>9.06</v>
      </c>
      <c r="E27" s="253">
        <v>9.0299999999999994</v>
      </c>
    </row>
    <row r="28" spans="1:5" x14ac:dyDescent="0.2">
      <c r="A28" s="236">
        <v>26</v>
      </c>
      <c r="B28" s="229" t="s">
        <v>1491</v>
      </c>
      <c r="C28" s="229" t="s">
        <v>2190</v>
      </c>
      <c r="D28" s="230">
        <v>9.07</v>
      </c>
      <c r="E28" s="254">
        <v>9.02</v>
      </c>
    </row>
    <row r="29" spans="1:5" x14ac:dyDescent="0.2">
      <c r="A29" s="236">
        <v>27</v>
      </c>
      <c r="B29" s="226" t="s">
        <v>4844</v>
      </c>
      <c r="C29" s="226" t="s">
        <v>4845</v>
      </c>
      <c r="D29" s="227">
        <v>8.92</v>
      </c>
      <c r="E29" s="502">
        <v>8.98</v>
      </c>
    </row>
    <row r="30" spans="1:5" x14ac:dyDescent="0.2">
      <c r="A30" s="236">
        <v>28</v>
      </c>
      <c r="B30" s="229" t="s">
        <v>298</v>
      </c>
      <c r="C30" s="229" t="s">
        <v>1680</v>
      </c>
      <c r="D30" s="230">
        <v>8.92</v>
      </c>
      <c r="E30" s="256">
        <v>8.9700000000000006</v>
      </c>
    </row>
    <row r="31" spans="1:5" x14ac:dyDescent="0.2">
      <c r="A31" s="236">
        <v>29</v>
      </c>
      <c r="B31" s="226" t="s">
        <v>298</v>
      </c>
      <c r="C31" s="226" t="s">
        <v>2771</v>
      </c>
      <c r="D31" s="227">
        <v>8.8000000000000007</v>
      </c>
      <c r="E31" s="256">
        <v>8.9700000000000006</v>
      </c>
    </row>
    <row r="32" spans="1:5" x14ac:dyDescent="0.2">
      <c r="A32" s="236">
        <v>30</v>
      </c>
      <c r="B32" s="229" t="s">
        <v>4959</v>
      </c>
      <c r="C32" s="229" t="s">
        <v>4960</v>
      </c>
      <c r="D32" s="230">
        <v>9</v>
      </c>
      <c r="E32" s="256">
        <v>8.9700000000000006</v>
      </c>
    </row>
    <row r="33" spans="1:5" x14ac:dyDescent="0.2">
      <c r="A33" s="236">
        <v>31</v>
      </c>
      <c r="B33" s="226" t="s">
        <v>4567</v>
      </c>
      <c r="C33" s="226" t="s">
        <v>5409</v>
      </c>
      <c r="D33" s="227">
        <v>8.92</v>
      </c>
      <c r="E33" s="256">
        <v>8.9700000000000006</v>
      </c>
    </row>
    <row r="34" spans="1:5" x14ac:dyDescent="0.2">
      <c r="A34" s="236">
        <v>32</v>
      </c>
      <c r="B34" s="229" t="s">
        <v>1226</v>
      </c>
      <c r="C34" s="229" t="s">
        <v>1217</v>
      </c>
      <c r="D34" s="230">
        <v>9</v>
      </c>
      <c r="E34" s="257">
        <v>8.9600000000000009</v>
      </c>
    </row>
    <row r="35" spans="1:5" x14ac:dyDescent="0.2">
      <c r="A35" s="236">
        <v>33</v>
      </c>
      <c r="B35" s="226" t="s">
        <v>2460</v>
      </c>
      <c r="C35" s="226" t="s">
        <v>3440</v>
      </c>
      <c r="D35" s="227">
        <v>9</v>
      </c>
      <c r="E35" s="257">
        <v>8.9600000000000009</v>
      </c>
    </row>
    <row r="36" spans="1:5" x14ac:dyDescent="0.2">
      <c r="A36" s="236">
        <v>34</v>
      </c>
      <c r="B36" s="229" t="s">
        <v>311</v>
      </c>
      <c r="C36" s="229" t="s">
        <v>1502</v>
      </c>
      <c r="D36" s="230">
        <v>8.94</v>
      </c>
      <c r="E36" s="258">
        <v>8.9499999999999993</v>
      </c>
    </row>
    <row r="37" spans="1:5" x14ac:dyDescent="0.2">
      <c r="A37" s="236">
        <v>35</v>
      </c>
      <c r="B37" s="226" t="s">
        <v>3602</v>
      </c>
      <c r="C37" s="226" t="s">
        <v>3603</v>
      </c>
      <c r="D37" s="227">
        <v>9</v>
      </c>
      <c r="E37" s="258">
        <v>8.9499999999999993</v>
      </c>
    </row>
    <row r="38" spans="1:5" x14ac:dyDescent="0.2">
      <c r="A38" s="236">
        <v>36</v>
      </c>
      <c r="B38" s="229" t="s">
        <v>2556</v>
      </c>
      <c r="C38" s="229" t="s">
        <v>168</v>
      </c>
      <c r="D38" s="230">
        <v>9</v>
      </c>
      <c r="E38" s="392">
        <v>8.94</v>
      </c>
    </row>
    <row r="39" spans="1:5" x14ac:dyDescent="0.2">
      <c r="A39" s="236">
        <v>37</v>
      </c>
      <c r="B39" s="226" t="s">
        <v>699</v>
      </c>
      <c r="C39" s="226" t="s">
        <v>700</v>
      </c>
      <c r="D39" s="227">
        <v>8.91</v>
      </c>
      <c r="E39" s="259">
        <v>8.93</v>
      </c>
    </row>
    <row r="40" spans="1:5" x14ac:dyDescent="0.2">
      <c r="A40" s="236">
        <v>38</v>
      </c>
      <c r="B40" s="229" t="s">
        <v>311</v>
      </c>
      <c r="C40" s="229" t="s">
        <v>947</v>
      </c>
      <c r="D40" s="230">
        <v>8.82</v>
      </c>
      <c r="E40" s="259">
        <v>8.93</v>
      </c>
    </row>
    <row r="41" spans="1:5" x14ac:dyDescent="0.2">
      <c r="A41" s="236">
        <v>39</v>
      </c>
      <c r="B41" s="226" t="s">
        <v>3402</v>
      </c>
      <c r="C41" s="226" t="s">
        <v>3403</v>
      </c>
      <c r="D41" s="227">
        <v>9</v>
      </c>
      <c r="E41" s="260">
        <v>8.92</v>
      </c>
    </row>
    <row r="42" spans="1:5" x14ac:dyDescent="0.2">
      <c r="A42" s="236">
        <v>40</v>
      </c>
      <c r="B42" s="229" t="s">
        <v>4093</v>
      </c>
      <c r="C42" s="229" t="s">
        <v>4094</v>
      </c>
      <c r="D42" s="230">
        <v>9</v>
      </c>
      <c r="E42" s="260">
        <v>8.92</v>
      </c>
    </row>
    <row r="43" spans="1:5" x14ac:dyDescent="0.2">
      <c r="A43" s="236">
        <v>41</v>
      </c>
      <c r="B43" s="226" t="s">
        <v>951</v>
      </c>
      <c r="C43" s="226" t="s">
        <v>4452</v>
      </c>
      <c r="D43" s="227">
        <v>9</v>
      </c>
      <c r="E43" s="261">
        <v>8.91</v>
      </c>
    </row>
    <row r="44" spans="1:5" x14ac:dyDescent="0.2">
      <c r="A44" s="236">
        <v>42</v>
      </c>
      <c r="B44" s="229" t="s">
        <v>312</v>
      </c>
      <c r="C44" s="229" t="s">
        <v>1080</v>
      </c>
      <c r="D44" s="230">
        <v>8.77</v>
      </c>
      <c r="E44" s="262">
        <v>8.89</v>
      </c>
    </row>
    <row r="45" spans="1:5" x14ac:dyDescent="0.2">
      <c r="A45" s="236">
        <v>43</v>
      </c>
      <c r="B45" s="226" t="s">
        <v>677</v>
      </c>
      <c r="C45" s="226" t="s">
        <v>1318</v>
      </c>
      <c r="D45" s="227">
        <v>8.8800000000000008</v>
      </c>
      <c r="E45" s="262">
        <v>8.89</v>
      </c>
    </row>
    <row r="46" spans="1:5" x14ac:dyDescent="0.2">
      <c r="A46" s="236">
        <v>44</v>
      </c>
      <c r="B46" s="229" t="s">
        <v>1378</v>
      </c>
      <c r="C46" s="229" t="s">
        <v>1379</v>
      </c>
      <c r="D46" s="230">
        <v>8.93</v>
      </c>
      <c r="E46" s="263">
        <v>8.8800000000000008</v>
      </c>
    </row>
    <row r="47" spans="1:5" x14ac:dyDescent="0.2">
      <c r="A47" s="236">
        <v>45</v>
      </c>
      <c r="B47" s="226" t="s">
        <v>2381</v>
      </c>
      <c r="C47" s="226" t="s">
        <v>2382</v>
      </c>
      <c r="D47" s="227">
        <v>8.86</v>
      </c>
      <c r="E47" s="263">
        <v>8.8800000000000008</v>
      </c>
    </row>
    <row r="48" spans="1:5" x14ac:dyDescent="0.2">
      <c r="A48" s="236">
        <v>46</v>
      </c>
      <c r="B48" s="229" t="s">
        <v>305</v>
      </c>
      <c r="C48" s="229" t="s">
        <v>306</v>
      </c>
      <c r="D48" s="230">
        <v>8.89</v>
      </c>
      <c r="E48" s="264">
        <v>8.8699999999999992</v>
      </c>
    </row>
    <row r="49" spans="1:5" x14ac:dyDescent="0.2">
      <c r="A49" s="236">
        <v>47</v>
      </c>
      <c r="B49" s="226" t="s">
        <v>307</v>
      </c>
      <c r="C49" s="226" t="s">
        <v>307</v>
      </c>
      <c r="D49" s="227">
        <v>8.83</v>
      </c>
      <c r="E49" s="265">
        <v>8.86</v>
      </c>
    </row>
    <row r="50" spans="1:5" x14ac:dyDescent="0.2">
      <c r="A50" s="236">
        <v>48</v>
      </c>
      <c r="B50" s="229" t="s">
        <v>2165</v>
      </c>
      <c r="C50" s="229" t="s">
        <v>2314</v>
      </c>
      <c r="D50" s="230">
        <v>8.7899999999999991</v>
      </c>
      <c r="E50" s="265">
        <v>8.86</v>
      </c>
    </row>
    <row r="51" spans="1:5" x14ac:dyDescent="0.2">
      <c r="A51" s="236">
        <v>49</v>
      </c>
      <c r="B51" s="226" t="s">
        <v>3955</v>
      </c>
      <c r="C51" s="226" t="s">
        <v>3950</v>
      </c>
      <c r="D51" s="227">
        <v>8.83</v>
      </c>
      <c r="E51" s="266">
        <v>8.85</v>
      </c>
    </row>
    <row r="52" spans="1:5" x14ac:dyDescent="0.2">
      <c r="A52" s="236">
        <v>50</v>
      </c>
      <c r="B52" s="229" t="s">
        <v>2460</v>
      </c>
      <c r="C52" s="229" t="s">
        <v>2461</v>
      </c>
      <c r="D52" s="230">
        <v>8.83</v>
      </c>
      <c r="E52" s="267">
        <v>8.84</v>
      </c>
    </row>
    <row r="53" spans="1:5" x14ac:dyDescent="0.2">
      <c r="A53" s="236">
        <v>51</v>
      </c>
      <c r="B53" s="226" t="s">
        <v>1276</v>
      </c>
      <c r="C53" s="226" t="s">
        <v>1269</v>
      </c>
      <c r="D53" s="227">
        <v>8.86</v>
      </c>
      <c r="E53" s="267">
        <v>8.83</v>
      </c>
    </row>
    <row r="54" spans="1:5" x14ac:dyDescent="0.2">
      <c r="A54" s="236">
        <v>52</v>
      </c>
      <c r="B54" s="229" t="s">
        <v>1656</v>
      </c>
      <c r="C54" s="229" t="s">
        <v>1657</v>
      </c>
      <c r="D54" s="230">
        <v>8.92</v>
      </c>
      <c r="E54" s="267">
        <v>8.83</v>
      </c>
    </row>
    <row r="55" spans="1:5" x14ac:dyDescent="0.2">
      <c r="A55" s="236">
        <v>53</v>
      </c>
      <c r="B55" s="226" t="s">
        <v>2165</v>
      </c>
      <c r="C55" s="226" t="s">
        <v>2166</v>
      </c>
      <c r="D55" s="227">
        <v>8.81</v>
      </c>
      <c r="E55" s="267">
        <v>8.83</v>
      </c>
    </row>
    <row r="56" spans="1:5" x14ac:dyDescent="0.2">
      <c r="A56" s="236">
        <v>54</v>
      </c>
      <c r="B56" s="229" t="s">
        <v>3273</v>
      </c>
      <c r="C56" s="229" t="s">
        <v>3273</v>
      </c>
      <c r="D56" s="230">
        <v>8.82</v>
      </c>
      <c r="E56" s="267">
        <v>8.83</v>
      </c>
    </row>
    <row r="57" spans="1:5" x14ac:dyDescent="0.2">
      <c r="A57" s="236">
        <v>55</v>
      </c>
      <c r="B57" s="226" t="s">
        <v>2586</v>
      </c>
      <c r="C57" s="226" t="s">
        <v>3451</v>
      </c>
      <c r="D57" s="227">
        <v>8.81</v>
      </c>
      <c r="E57" s="267">
        <v>8.83</v>
      </c>
    </row>
    <row r="58" spans="1:5" x14ac:dyDescent="0.2">
      <c r="A58" s="236">
        <v>56</v>
      </c>
      <c r="B58" s="229" t="s">
        <v>3402</v>
      </c>
      <c r="C58" s="229" t="s">
        <v>4679</v>
      </c>
      <c r="D58" s="230">
        <v>8.92</v>
      </c>
      <c r="E58" s="267">
        <v>8.83</v>
      </c>
    </row>
    <row r="59" spans="1:5" x14ac:dyDescent="0.2">
      <c r="A59" s="236">
        <v>57</v>
      </c>
      <c r="B59" s="226" t="s">
        <v>297</v>
      </c>
      <c r="C59" s="226" t="s">
        <v>2455</v>
      </c>
      <c r="D59" s="227">
        <v>8.86</v>
      </c>
      <c r="E59" s="268">
        <v>8.82</v>
      </c>
    </row>
    <row r="60" spans="1:5" x14ac:dyDescent="0.2">
      <c r="A60" s="236">
        <v>58</v>
      </c>
      <c r="B60" s="229" t="s">
        <v>441</v>
      </c>
      <c r="C60" s="229" t="s">
        <v>442</v>
      </c>
      <c r="D60" s="230">
        <v>8.7899999999999991</v>
      </c>
      <c r="E60" s="269">
        <v>8.81</v>
      </c>
    </row>
    <row r="61" spans="1:5" x14ac:dyDescent="0.2">
      <c r="A61" s="236">
        <v>59</v>
      </c>
      <c r="B61" s="226" t="s">
        <v>2478</v>
      </c>
      <c r="C61" s="226" t="s">
        <v>2477</v>
      </c>
      <c r="D61" s="227">
        <v>8.8800000000000008</v>
      </c>
      <c r="E61" s="269">
        <v>8.81</v>
      </c>
    </row>
    <row r="62" spans="1:5" x14ac:dyDescent="0.2">
      <c r="A62" s="236">
        <v>60</v>
      </c>
      <c r="B62" s="229" t="s">
        <v>307</v>
      </c>
      <c r="C62" s="229" t="s">
        <v>2644</v>
      </c>
      <c r="D62" s="230">
        <v>8.8000000000000007</v>
      </c>
      <c r="E62" s="269">
        <v>8.81</v>
      </c>
    </row>
    <row r="63" spans="1:5" x14ac:dyDescent="0.2">
      <c r="A63" s="236">
        <v>61</v>
      </c>
      <c r="B63" s="226" t="s">
        <v>545</v>
      </c>
      <c r="C63" s="226" t="s">
        <v>546</v>
      </c>
      <c r="D63" s="227">
        <v>8.7799999999999994</v>
      </c>
      <c r="E63" s="270">
        <v>8.7899999999999991</v>
      </c>
    </row>
    <row r="64" spans="1:5" x14ac:dyDescent="0.2">
      <c r="A64" s="236">
        <v>62</v>
      </c>
      <c r="B64" s="229" t="s">
        <v>4036</v>
      </c>
      <c r="C64" s="229" t="s">
        <v>4037</v>
      </c>
      <c r="D64" s="230">
        <v>8.77</v>
      </c>
      <c r="E64" s="270">
        <v>8.7899999999999991</v>
      </c>
    </row>
    <row r="65" spans="1:5" x14ac:dyDescent="0.2">
      <c r="A65" s="236">
        <v>63</v>
      </c>
      <c r="B65" s="226" t="s">
        <v>1555</v>
      </c>
      <c r="C65" s="226" t="s">
        <v>1554</v>
      </c>
      <c r="D65" s="227">
        <v>8.85</v>
      </c>
      <c r="E65" s="271">
        <v>8.7799999999999994</v>
      </c>
    </row>
    <row r="66" spans="1:5" x14ac:dyDescent="0.2">
      <c r="A66" s="236">
        <v>64</v>
      </c>
      <c r="B66" s="229" t="s">
        <v>441</v>
      </c>
      <c r="C66" s="229" t="s">
        <v>2330</v>
      </c>
      <c r="D66" s="230">
        <v>8.75</v>
      </c>
      <c r="E66" s="271">
        <v>8.7799999999999994</v>
      </c>
    </row>
    <row r="67" spans="1:5" x14ac:dyDescent="0.2">
      <c r="A67" s="236">
        <v>65</v>
      </c>
      <c r="B67" s="226" t="s">
        <v>3637</v>
      </c>
      <c r="C67" s="226" t="s">
        <v>3638</v>
      </c>
      <c r="D67" s="227">
        <v>8.75</v>
      </c>
      <c r="E67" s="271">
        <v>8.7799999999999994</v>
      </c>
    </row>
    <row r="68" spans="1:5" x14ac:dyDescent="0.2">
      <c r="A68" s="236">
        <v>66</v>
      </c>
      <c r="B68" s="229" t="s">
        <v>297</v>
      </c>
      <c r="C68" s="229" t="s">
        <v>1286</v>
      </c>
      <c r="D68" s="230">
        <v>8.83</v>
      </c>
      <c r="E68" s="272">
        <v>8.77</v>
      </c>
    </row>
    <row r="69" spans="1:5" x14ac:dyDescent="0.2">
      <c r="A69" s="236">
        <v>67</v>
      </c>
      <c r="B69" s="226" t="s">
        <v>2418</v>
      </c>
      <c r="C69" s="226" t="s">
        <v>2419</v>
      </c>
      <c r="D69" s="227">
        <v>8.8800000000000008</v>
      </c>
      <c r="E69" s="272">
        <v>8.77</v>
      </c>
    </row>
    <row r="70" spans="1:5" x14ac:dyDescent="0.2">
      <c r="A70" s="236">
        <v>68</v>
      </c>
      <c r="B70" s="229" t="s">
        <v>293</v>
      </c>
      <c r="C70" s="229" t="s">
        <v>518</v>
      </c>
      <c r="D70" s="230">
        <v>8.77</v>
      </c>
      <c r="E70" s="274">
        <v>8.75</v>
      </c>
    </row>
    <row r="71" spans="1:5" x14ac:dyDescent="0.2">
      <c r="A71" s="236">
        <v>69</v>
      </c>
      <c r="B71" s="226" t="s">
        <v>2239</v>
      </c>
      <c r="C71" s="226" t="s">
        <v>2229</v>
      </c>
      <c r="D71" s="227">
        <v>8.86</v>
      </c>
      <c r="E71" s="275">
        <v>8.74</v>
      </c>
    </row>
    <row r="72" spans="1:5" x14ac:dyDescent="0.2">
      <c r="A72" s="236">
        <v>70</v>
      </c>
      <c r="B72" s="229" t="s">
        <v>759</v>
      </c>
      <c r="C72" s="229" t="s">
        <v>4471</v>
      </c>
      <c r="D72" s="230">
        <v>8.69</v>
      </c>
      <c r="E72" s="373">
        <v>8.73</v>
      </c>
    </row>
    <row r="73" spans="1:5" x14ac:dyDescent="0.2">
      <c r="A73" s="236">
        <v>71</v>
      </c>
      <c r="B73" s="226" t="s">
        <v>4421</v>
      </c>
      <c r="C73" s="226" t="s">
        <v>4422</v>
      </c>
      <c r="D73" s="227">
        <v>8.69</v>
      </c>
      <c r="E73" s="276">
        <v>8.7200000000000006</v>
      </c>
    </row>
    <row r="74" spans="1:5" x14ac:dyDescent="0.2">
      <c r="A74" s="236">
        <v>72</v>
      </c>
      <c r="B74" s="229" t="s">
        <v>313</v>
      </c>
      <c r="C74" s="229" t="s">
        <v>4566</v>
      </c>
      <c r="D74" s="230">
        <v>8.69</v>
      </c>
      <c r="E74" s="276">
        <v>8.7200000000000006</v>
      </c>
    </row>
    <row r="75" spans="1:5" x14ac:dyDescent="0.2">
      <c r="A75" s="236">
        <v>73</v>
      </c>
      <c r="B75" s="226" t="s">
        <v>370</v>
      </c>
      <c r="C75" s="226" t="s">
        <v>368</v>
      </c>
      <c r="D75" s="227">
        <v>8.67</v>
      </c>
      <c r="E75" s="277">
        <v>8.7100000000000009</v>
      </c>
    </row>
    <row r="76" spans="1:5" x14ac:dyDescent="0.2">
      <c r="A76" s="236">
        <v>74</v>
      </c>
      <c r="B76" s="229" t="s">
        <v>2799</v>
      </c>
      <c r="C76" s="229" t="s">
        <v>4628</v>
      </c>
      <c r="D76" s="230">
        <v>8.8000000000000007</v>
      </c>
      <c r="E76" s="278">
        <v>8.6999999999999993</v>
      </c>
    </row>
    <row r="77" spans="1:5" x14ac:dyDescent="0.2">
      <c r="A77" s="236">
        <v>75</v>
      </c>
      <c r="B77" s="226" t="s">
        <v>2307</v>
      </c>
      <c r="C77" s="226" t="s">
        <v>4248</v>
      </c>
      <c r="D77" s="227">
        <v>8.65</v>
      </c>
      <c r="E77" s="278">
        <v>8.6999999999999993</v>
      </c>
    </row>
    <row r="78" spans="1:5" x14ac:dyDescent="0.2">
      <c r="A78" s="236">
        <v>76</v>
      </c>
      <c r="B78" s="229" t="s">
        <v>293</v>
      </c>
      <c r="C78" s="229" t="s">
        <v>4569</v>
      </c>
      <c r="D78" s="230">
        <v>8.75</v>
      </c>
      <c r="E78" s="336">
        <v>8.69</v>
      </c>
    </row>
    <row r="79" spans="1:5" x14ac:dyDescent="0.2">
      <c r="A79" s="236">
        <v>77</v>
      </c>
      <c r="B79" s="226" t="s">
        <v>4760</v>
      </c>
      <c r="C79" s="226" t="s">
        <v>4741</v>
      </c>
      <c r="D79" s="227">
        <v>8.65</v>
      </c>
      <c r="E79" s="336">
        <v>8.69</v>
      </c>
    </row>
    <row r="80" spans="1:5" x14ac:dyDescent="0.2">
      <c r="A80" s="236">
        <v>78</v>
      </c>
      <c r="B80" s="229" t="s">
        <v>545</v>
      </c>
      <c r="C80" s="229" t="s">
        <v>4861</v>
      </c>
      <c r="D80" s="230">
        <v>8.81</v>
      </c>
      <c r="E80" s="336">
        <v>8.69</v>
      </c>
    </row>
    <row r="81" spans="1:5" x14ac:dyDescent="0.2">
      <c r="A81" s="236">
        <v>79</v>
      </c>
      <c r="B81" s="226" t="s">
        <v>4518</v>
      </c>
      <c r="C81" s="226" t="s">
        <v>4519</v>
      </c>
      <c r="D81" s="227">
        <v>8.8000000000000007</v>
      </c>
      <c r="E81" s="279">
        <v>8.68</v>
      </c>
    </row>
    <row r="82" spans="1:5" x14ac:dyDescent="0.2">
      <c r="A82" s="236">
        <v>80</v>
      </c>
      <c r="B82" s="229" t="s">
        <v>2508</v>
      </c>
      <c r="C82" s="229" t="s">
        <v>2509</v>
      </c>
      <c r="D82" s="230">
        <v>8.75</v>
      </c>
      <c r="E82" s="280">
        <v>8.67</v>
      </c>
    </row>
    <row r="83" spans="1:5" x14ac:dyDescent="0.2">
      <c r="A83" s="236">
        <v>81</v>
      </c>
      <c r="B83" s="226" t="s">
        <v>2556</v>
      </c>
      <c r="C83" s="226" t="s">
        <v>3093</v>
      </c>
      <c r="D83" s="227">
        <v>8.7899999999999991</v>
      </c>
      <c r="E83" s="280">
        <v>8.67</v>
      </c>
    </row>
    <row r="84" spans="1:5" x14ac:dyDescent="0.2">
      <c r="A84" s="236">
        <v>82</v>
      </c>
      <c r="B84" s="229" t="s">
        <v>3585</v>
      </c>
      <c r="C84" s="229" t="s">
        <v>3586</v>
      </c>
      <c r="D84" s="230">
        <v>8.7899999999999991</v>
      </c>
      <c r="E84" s="280">
        <v>8.67</v>
      </c>
    </row>
    <row r="85" spans="1:5" x14ac:dyDescent="0.2">
      <c r="A85" s="236">
        <v>83</v>
      </c>
      <c r="B85" s="226" t="s">
        <v>4363</v>
      </c>
      <c r="C85" s="226" t="s">
        <v>4364</v>
      </c>
      <c r="D85" s="227">
        <v>8.75</v>
      </c>
      <c r="E85" s="281">
        <v>8.66</v>
      </c>
    </row>
    <row r="86" spans="1:5" x14ac:dyDescent="0.2">
      <c r="A86" s="236">
        <v>84</v>
      </c>
      <c r="B86" s="229" t="s">
        <v>310</v>
      </c>
      <c r="C86" s="229" t="s">
        <v>159</v>
      </c>
      <c r="D86" s="230">
        <v>8.7100000000000009</v>
      </c>
      <c r="E86" s="282">
        <v>8.65</v>
      </c>
    </row>
    <row r="87" spans="1:5" x14ac:dyDescent="0.2">
      <c r="A87" s="236">
        <v>85</v>
      </c>
      <c r="B87" s="226" t="s">
        <v>1227</v>
      </c>
      <c r="C87" s="226" t="s">
        <v>1228</v>
      </c>
      <c r="D87" s="227">
        <v>8.77</v>
      </c>
      <c r="E87" s="282">
        <v>8.65</v>
      </c>
    </row>
    <row r="88" spans="1:5" x14ac:dyDescent="0.2">
      <c r="A88" s="236">
        <v>86</v>
      </c>
      <c r="B88" s="229" t="s">
        <v>1491</v>
      </c>
      <c r="C88" s="229" t="s">
        <v>1484</v>
      </c>
      <c r="D88" s="230">
        <v>8.75</v>
      </c>
      <c r="E88" s="284">
        <v>8.6300000000000008</v>
      </c>
    </row>
    <row r="89" spans="1:5" x14ac:dyDescent="0.2">
      <c r="A89" s="236">
        <v>87</v>
      </c>
      <c r="B89" s="226" t="s">
        <v>1048</v>
      </c>
      <c r="C89" s="226" t="s">
        <v>1586</v>
      </c>
      <c r="D89" s="227">
        <v>8.57</v>
      </c>
      <c r="E89" s="284">
        <v>8.6300000000000008</v>
      </c>
    </row>
    <row r="90" spans="1:5" x14ac:dyDescent="0.2">
      <c r="A90" s="236">
        <v>88</v>
      </c>
      <c r="B90" s="229" t="s">
        <v>2053</v>
      </c>
      <c r="C90" s="229" t="s">
        <v>2054</v>
      </c>
      <c r="D90" s="230">
        <v>8.73</v>
      </c>
      <c r="E90" s="284">
        <v>8.6300000000000008</v>
      </c>
    </row>
    <row r="91" spans="1:5" x14ac:dyDescent="0.2">
      <c r="A91" s="236">
        <v>89</v>
      </c>
      <c r="B91" s="226" t="s">
        <v>560</v>
      </c>
      <c r="C91" s="226" t="s">
        <v>561</v>
      </c>
      <c r="D91" s="227">
        <v>8.73</v>
      </c>
      <c r="E91" s="285">
        <v>8.6199999999999992</v>
      </c>
    </row>
    <row r="92" spans="1:5" x14ac:dyDescent="0.2">
      <c r="A92" s="236">
        <v>90</v>
      </c>
      <c r="B92" s="229" t="s">
        <v>1849</v>
      </c>
      <c r="C92" s="229" t="s">
        <v>1850</v>
      </c>
      <c r="D92" s="230">
        <v>8.67</v>
      </c>
      <c r="E92" s="286">
        <v>8.61</v>
      </c>
    </row>
    <row r="93" spans="1:5" x14ac:dyDescent="0.2">
      <c r="A93" s="236">
        <v>91</v>
      </c>
      <c r="B93" s="226" t="s">
        <v>888</v>
      </c>
      <c r="C93" s="226" t="s">
        <v>869</v>
      </c>
      <c r="D93" s="227">
        <v>8.5500000000000007</v>
      </c>
      <c r="E93" s="287">
        <v>8.6</v>
      </c>
    </row>
    <row r="94" spans="1:5" x14ac:dyDescent="0.2">
      <c r="A94" s="236">
        <v>92</v>
      </c>
      <c r="B94" s="229" t="s">
        <v>2858</v>
      </c>
      <c r="C94" s="229">
        <v>4</v>
      </c>
      <c r="D94" s="230">
        <v>8.6</v>
      </c>
      <c r="E94" s="287">
        <v>8.6</v>
      </c>
    </row>
    <row r="95" spans="1:5" x14ac:dyDescent="0.2">
      <c r="A95" s="236">
        <v>93</v>
      </c>
      <c r="B95" s="226" t="s">
        <v>2179</v>
      </c>
      <c r="C95" s="226" t="s">
        <v>2178</v>
      </c>
      <c r="D95" s="227">
        <v>8.67</v>
      </c>
      <c r="E95" s="289">
        <v>8.57</v>
      </c>
    </row>
    <row r="96" spans="1:5" x14ac:dyDescent="0.2">
      <c r="A96" s="236">
        <v>94</v>
      </c>
      <c r="B96" s="229" t="s">
        <v>3659</v>
      </c>
      <c r="C96" s="229" t="s">
        <v>3647</v>
      </c>
      <c r="D96" s="230">
        <v>8.67</v>
      </c>
      <c r="E96" s="289">
        <v>8.57</v>
      </c>
    </row>
    <row r="97" spans="1:5" x14ac:dyDescent="0.2">
      <c r="A97" s="236">
        <v>95</v>
      </c>
      <c r="B97" s="226" t="s">
        <v>311</v>
      </c>
      <c r="C97" s="226" t="s">
        <v>158</v>
      </c>
      <c r="D97" s="227">
        <v>8.65</v>
      </c>
      <c r="E97" s="290">
        <v>8.56</v>
      </c>
    </row>
    <row r="98" spans="1:5" x14ac:dyDescent="0.2">
      <c r="A98" s="236">
        <v>96</v>
      </c>
      <c r="B98" s="229" t="s">
        <v>293</v>
      </c>
      <c r="C98" s="229" t="s">
        <v>813</v>
      </c>
      <c r="D98" s="230">
        <v>8.5</v>
      </c>
      <c r="E98" s="290">
        <v>8.56</v>
      </c>
    </row>
    <row r="99" spans="1:5" x14ac:dyDescent="0.2">
      <c r="A99" s="236">
        <v>97</v>
      </c>
      <c r="B99" s="226" t="s">
        <v>912</v>
      </c>
      <c r="C99" s="226" t="s">
        <v>910</v>
      </c>
      <c r="D99" s="227">
        <v>8.67</v>
      </c>
      <c r="E99" s="290">
        <v>8.56</v>
      </c>
    </row>
    <row r="100" spans="1:5" x14ac:dyDescent="0.2">
      <c r="A100" s="236">
        <v>98</v>
      </c>
      <c r="B100" s="229" t="s">
        <v>2478</v>
      </c>
      <c r="C100" s="229" t="s">
        <v>3361</v>
      </c>
      <c r="D100" s="230">
        <v>8.65</v>
      </c>
      <c r="E100" s="290">
        <v>8.56</v>
      </c>
    </row>
    <row r="101" spans="1:5" x14ac:dyDescent="0.2">
      <c r="A101" s="236">
        <v>99</v>
      </c>
      <c r="B101" s="226" t="s">
        <v>296</v>
      </c>
      <c r="C101" s="226" t="s">
        <v>1940</v>
      </c>
      <c r="D101" s="227">
        <v>8.6</v>
      </c>
      <c r="E101" s="292">
        <v>8.5399999999999991</v>
      </c>
    </row>
    <row r="102" spans="1:5" x14ac:dyDescent="0.2">
      <c r="A102" s="236">
        <v>100</v>
      </c>
      <c r="B102" s="229" t="s">
        <v>4622</v>
      </c>
      <c r="C102" s="229" t="s">
        <v>4614</v>
      </c>
      <c r="D102" s="230">
        <v>8.6300000000000008</v>
      </c>
      <c r="E102" s="293">
        <v>8.5299999999999994</v>
      </c>
    </row>
    <row r="103" spans="1:5" x14ac:dyDescent="0.2">
      <c r="A103" s="236">
        <v>101</v>
      </c>
      <c r="B103" s="226" t="s">
        <v>1555</v>
      </c>
      <c r="C103" s="226" t="s">
        <v>3452</v>
      </c>
      <c r="D103" s="227">
        <v>8.61</v>
      </c>
      <c r="E103" s="294">
        <v>8.52</v>
      </c>
    </row>
    <row r="104" spans="1:5" x14ac:dyDescent="0.2">
      <c r="A104" s="236">
        <v>102</v>
      </c>
      <c r="B104" s="229" t="s">
        <v>4610</v>
      </c>
      <c r="C104" s="229" t="s">
        <v>4611</v>
      </c>
      <c r="D104" s="230">
        <v>8.6</v>
      </c>
      <c r="E104" s="294">
        <v>8.52</v>
      </c>
    </row>
    <row r="105" spans="1:5" x14ac:dyDescent="0.2">
      <c r="A105" s="236">
        <v>103</v>
      </c>
      <c r="B105" s="226" t="s">
        <v>4761</v>
      </c>
      <c r="C105" s="226" t="s">
        <v>891</v>
      </c>
      <c r="D105" s="227">
        <v>8.6</v>
      </c>
      <c r="E105" s="294">
        <v>8.52</v>
      </c>
    </row>
    <row r="106" spans="1:5" x14ac:dyDescent="0.2">
      <c r="A106" s="236">
        <v>104</v>
      </c>
      <c r="B106" s="229" t="s">
        <v>4136</v>
      </c>
      <c r="C106" s="229" t="s">
        <v>4137</v>
      </c>
      <c r="D106" s="230">
        <v>8.59</v>
      </c>
      <c r="E106" s="363">
        <v>8.51</v>
      </c>
    </row>
    <row r="107" spans="1:5" x14ac:dyDescent="0.2">
      <c r="A107" s="236">
        <v>105</v>
      </c>
      <c r="B107" s="226" t="s">
        <v>1517</v>
      </c>
      <c r="C107" s="226" t="s">
        <v>1518</v>
      </c>
      <c r="D107" s="227">
        <v>8.6</v>
      </c>
      <c r="E107" s="295">
        <v>8.5</v>
      </c>
    </row>
    <row r="108" spans="1:5" x14ac:dyDescent="0.2">
      <c r="A108" s="236">
        <v>106</v>
      </c>
      <c r="B108" s="229" t="s">
        <v>2069</v>
      </c>
      <c r="C108" s="229" t="s">
        <v>2070</v>
      </c>
      <c r="D108" s="230">
        <v>8.58</v>
      </c>
      <c r="E108" s="295">
        <v>8.5</v>
      </c>
    </row>
    <row r="109" spans="1:5" x14ac:dyDescent="0.2">
      <c r="A109" s="236">
        <v>107</v>
      </c>
      <c r="B109" s="226" t="s">
        <v>2867</v>
      </c>
      <c r="C109" s="226" t="s">
        <v>2868</v>
      </c>
      <c r="D109" s="227">
        <v>8.58</v>
      </c>
      <c r="E109" s="295">
        <v>8.5</v>
      </c>
    </row>
    <row r="110" spans="1:5" x14ac:dyDescent="0.2">
      <c r="A110" s="236">
        <v>108</v>
      </c>
      <c r="B110" s="229" t="s">
        <v>759</v>
      </c>
      <c r="C110" s="229" t="s">
        <v>760</v>
      </c>
      <c r="D110" s="230">
        <v>8.5299999999999994</v>
      </c>
      <c r="E110" s="370">
        <v>8.48</v>
      </c>
    </row>
    <row r="111" spans="1:5" x14ac:dyDescent="0.2">
      <c r="A111" s="236">
        <v>109</v>
      </c>
      <c r="B111" s="226" t="s">
        <v>2293</v>
      </c>
      <c r="C111" s="226" t="s">
        <v>3153</v>
      </c>
      <c r="D111" s="227">
        <v>8.56</v>
      </c>
      <c r="E111" s="370">
        <v>8.48</v>
      </c>
    </row>
    <row r="112" spans="1:5" x14ac:dyDescent="0.2">
      <c r="A112" s="236">
        <v>110</v>
      </c>
      <c r="B112" s="229" t="s">
        <v>1625</v>
      </c>
      <c r="C112" s="229" t="s">
        <v>2582</v>
      </c>
      <c r="D112" s="230">
        <v>8.5</v>
      </c>
      <c r="E112" s="297">
        <v>8.4700000000000006</v>
      </c>
    </row>
    <row r="113" spans="1:5" x14ac:dyDescent="0.2">
      <c r="A113" s="236">
        <v>111</v>
      </c>
      <c r="B113" s="226" t="s">
        <v>3944</v>
      </c>
      <c r="C113" s="226" t="s">
        <v>3939</v>
      </c>
      <c r="D113" s="227">
        <v>8.5</v>
      </c>
      <c r="E113" s="299">
        <v>8.4499999999999993</v>
      </c>
    </row>
    <row r="114" spans="1:5" x14ac:dyDescent="0.2">
      <c r="A114" s="236">
        <v>112</v>
      </c>
      <c r="B114" s="229" t="s">
        <v>3558</v>
      </c>
      <c r="C114" s="229" t="s">
        <v>3552</v>
      </c>
      <c r="D114" s="230">
        <v>8.5</v>
      </c>
      <c r="E114" s="300">
        <v>8.43</v>
      </c>
    </row>
    <row r="115" spans="1:5" x14ac:dyDescent="0.2">
      <c r="A115" s="236">
        <v>113</v>
      </c>
      <c r="B115" s="226" t="s">
        <v>1300</v>
      </c>
      <c r="C115" s="226" t="s">
        <v>3971</v>
      </c>
      <c r="D115" s="227">
        <v>8.5</v>
      </c>
      <c r="E115" s="300">
        <v>8.43</v>
      </c>
    </row>
    <row r="116" spans="1:5" x14ac:dyDescent="0.2">
      <c r="A116" s="236">
        <v>114</v>
      </c>
      <c r="B116" s="229" t="s">
        <v>4329</v>
      </c>
      <c r="C116" s="229" t="s">
        <v>4323</v>
      </c>
      <c r="D116" s="230">
        <v>8.42</v>
      </c>
      <c r="E116" s="301">
        <v>8.41</v>
      </c>
    </row>
    <row r="117" spans="1:5" x14ac:dyDescent="0.2">
      <c r="A117" s="236">
        <v>115</v>
      </c>
      <c r="B117" s="226" t="s">
        <v>2165</v>
      </c>
      <c r="C117" s="226" t="s">
        <v>2742</v>
      </c>
      <c r="D117" s="227">
        <v>8.39</v>
      </c>
      <c r="E117" s="302">
        <v>8.39</v>
      </c>
    </row>
    <row r="118" spans="1:5" x14ac:dyDescent="0.2">
      <c r="A118" s="236">
        <v>116</v>
      </c>
      <c r="B118" s="229" t="s">
        <v>2812</v>
      </c>
      <c r="C118" s="229" t="s">
        <v>2802</v>
      </c>
      <c r="D118" s="230">
        <v>8.44</v>
      </c>
      <c r="E118" s="302">
        <v>8.39</v>
      </c>
    </row>
    <row r="119" spans="1:5" x14ac:dyDescent="0.2">
      <c r="A119" s="236">
        <v>117</v>
      </c>
      <c r="B119" s="226" t="s">
        <v>3641</v>
      </c>
      <c r="C119" s="226" t="s">
        <v>3641</v>
      </c>
      <c r="D119" s="227">
        <v>8.39</v>
      </c>
      <c r="E119" s="416">
        <v>8.36</v>
      </c>
    </row>
    <row r="120" spans="1:5" x14ac:dyDescent="0.2">
      <c r="A120" s="236">
        <v>118</v>
      </c>
      <c r="B120" s="229" t="s">
        <v>4381</v>
      </c>
      <c r="C120" s="229" t="s">
        <v>4382</v>
      </c>
      <c r="D120" s="230">
        <v>8.3800000000000008</v>
      </c>
      <c r="E120" s="464">
        <v>8.32</v>
      </c>
    </row>
    <row r="121" spans="1:5" x14ac:dyDescent="0.2">
      <c r="A121" s="236">
        <v>119</v>
      </c>
      <c r="B121" s="226" t="s">
        <v>1048</v>
      </c>
      <c r="C121" s="226" t="s">
        <v>1049</v>
      </c>
      <c r="D121" s="227">
        <v>8.4600000000000009</v>
      </c>
      <c r="E121" s="307">
        <v>8.27</v>
      </c>
    </row>
    <row r="122" spans="1:5" x14ac:dyDescent="0.2">
      <c r="A122" s="236">
        <v>120</v>
      </c>
      <c r="B122" s="229" t="s">
        <v>313</v>
      </c>
      <c r="C122" s="229" t="s">
        <v>160</v>
      </c>
      <c r="D122" s="230">
        <v>8.3800000000000008</v>
      </c>
      <c r="E122" s="308">
        <v>8.25</v>
      </c>
    </row>
    <row r="123" spans="1:5" x14ac:dyDescent="0.2">
      <c r="A123" s="236">
        <v>121</v>
      </c>
      <c r="B123" s="226" t="s">
        <v>2826</v>
      </c>
      <c r="C123" s="226" t="s">
        <v>2827</v>
      </c>
      <c r="D123" s="227">
        <v>8.41</v>
      </c>
      <c r="E123" s="309">
        <v>8.24</v>
      </c>
    </row>
    <row r="124" spans="1:5" x14ac:dyDescent="0.2">
      <c r="A124" s="236">
        <v>122</v>
      </c>
      <c r="B124" s="229" t="s">
        <v>2826</v>
      </c>
      <c r="C124" s="229" t="s">
        <v>3470</v>
      </c>
      <c r="D124" s="230">
        <v>8.35</v>
      </c>
      <c r="E124" s="309">
        <v>8.24</v>
      </c>
    </row>
    <row r="125" spans="1:5" x14ac:dyDescent="0.2">
      <c r="A125" s="236">
        <v>123</v>
      </c>
      <c r="B125" s="226" t="s">
        <v>677</v>
      </c>
      <c r="C125" s="226" t="s">
        <v>677</v>
      </c>
      <c r="D125" s="227">
        <v>8.24</v>
      </c>
      <c r="E125" s="310">
        <v>8.23</v>
      </c>
    </row>
    <row r="126" spans="1:5" x14ac:dyDescent="0.2">
      <c r="A126" s="236">
        <v>124</v>
      </c>
      <c r="B126" s="229" t="s">
        <v>4362</v>
      </c>
      <c r="C126" s="229" t="s">
        <v>4359</v>
      </c>
      <c r="D126" s="230">
        <v>8.39</v>
      </c>
      <c r="E126" s="311">
        <v>8.2200000000000006</v>
      </c>
    </row>
    <row r="127" spans="1:5" x14ac:dyDescent="0.2">
      <c r="A127" s="236">
        <v>125</v>
      </c>
      <c r="B127" s="226" t="s">
        <v>314</v>
      </c>
      <c r="C127" s="226" t="s">
        <v>271</v>
      </c>
      <c r="D127" s="227">
        <v>8.35</v>
      </c>
      <c r="E127" s="312">
        <v>8.1999999999999993</v>
      </c>
    </row>
    <row r="128" spans="1:5" x14ac:dyDescent="0.2">
      <c r="A128" s="236">
        <v>126</v>
      </c>
      <c r="B128" s="229" t="s">
        <v>4680</v>
      </c>
      <c r="C128" s="229" t="s">
        <v>4680</v>
      </c>
      <c r="D128" s="230">
        <v>8.35</v>
      </c>
      <c r="E128" s="491">
        <v>8.19</v>
      </c>
    </row>
    <row r="129" spans="1:5" x14ac:dyDescent="0.2">
      <c r="A129" s="236">
        <v>127</v>
      </c>
      <c r="B129" s="226" t="s">
        <v>2527</v>
      </c>
      <c r="C129" s="226" t="s">
        <v>2528</v>
      </c>
      <c r="D129" s="227">
        <v>8.31</v>
      </c>
      <c r="E129" s="314">
        <v>8.16</v>
      </c>
    </row>
    <row r="130" spans="1:5" x14ac:dyDescent="0.2">
      <c r="A130" s="236">
        <v>128</v>
      </c>
      <c r="B130" s="229" t="s">
        <v>300</v>
      </c>
      <c r="C130" s="229" t="s">
        <v>1637</v>
      </c>
      <c r="D130" s="230">
        <v>8.25</v>
      </c>
      <c r="E130" s="315">
        <v>8.1300000000000008</v>
      </c>
    </row>
    <row r="131" spans="1:5" x14ac:dyDescent="0.2">
      <c r="A131" s="236">
        <v>129</v>
      </c>
      <c r="B131" s="226" t="s">
        <v>2224</v>
      </c>
      <c r="C131" s="226" t="s">
        <v>2225</v>
      </c>
      <c r="D131" s="227">
        <v>8.1999999999999993</v>
      </c>
      <c r="E131" s="315">
        <v>8.1300000000000008</v>
      </c>
    </row>
    <row r="132" spans="1:5" x14ac:dyDescent="0.2">
      <c r="A132" s="236">
        <v>130</v>
      </c>
      <c r="B132" s="229" t="s">
        <v>293</v>
      </c>
      <c r="C132" s="229" t="s">
        <v>573</v>
      </c>
      <c r="D132" s="230">
        <v>8.0500000000000007</v>
      </c>
      <c r="E132" s="316">
        <v>8.11</v>
      </c>
    </row>
    <row r="133" spans="1:5" x14ac:dyDescent="0.2">
      <c r="A133" s="236">
        <v>131</v>
      </c>
      <c r="B133" s="226" t="s">
        <v>305</v>
      </c>
      <c r="C133" s="226" t="s">
        <v>1733</v>
      </c>
      <c r="D133" s="227">
        <v>8.18</v>
      </c>
      <c r="E133" s="317">
        <v>8.06</v>
      </c>
    </row>
    <row r="134" spans="1:5" x14ac:dyDescent="0.2">
      <c r="A134" s="236">
        <v>132</v>
      </c>
      <c r="B134" s="229" t="s">
        <v>2293</v>
      </c>
      <c r="C134" s="229" t="s">
        <v>4570</v>
      </c>
      <c r="D134" s="230">
        <v>8.17</v>
      </c>
      <c r="E134" s="317">
        <v>8.06</v>
      </c>
    </row>
    <row r="135" spans="1:5" x14ac:dyDescent="0.2">
      <c r="A135" s="236">
        <v>133</v>
      </c>
      <c r="B135" s="226" t="s">
        <v>300</v>
      </c>
      <c r="C135" s="226" t="s">
        <v>2282</v>
      </c>
      <c r="D135" s="227">
        <v>8.11</v>
      </c>
      <c r="E135" s="318">
        <v>8.0299999999999994</v>
      </c>
    </row>
    <row r="136" spans="1:5" x14ac:dyDescent="0.2">
      <c r="A136" s="236">
        <v>134</v>
      </c>
      <c r="B136" s="229" t="s">
        <v>3821</v>
      </c>
      <c r="C136" s="229" t="s">
        <v>3822</v>
      </c>
      <c r="D136" s="230">
        <v>8.11</v>
      </c>
      <c r="E136" s="420">
        <v>8.01</v>
      </c>
    </row>
    <row r="137" spans="1:5" x14ac:dyDescent="0.2">
      <c r="A137" s="236">
        <v>135</v>
      </c>
      <c r="B137" s="226" t="s">
        <v>297</v>
      </c>
      <c r="C137" s="226" t="s">
        <v>4508</v>
      </c>
      <c r="D137" s="227">
        <v>8.11</v>
      </c>
      <c r="E137" s="319">
        <v>8</v>
      </c>
    </row>
    <row r="138" spans="1:5" x14ac:dyDescent="0.2">
      <c r="A138" s="236">
        <v>136</v>
      </c>
      <c r="B138" s="229" t="s">
        <v>346</v>
      </c>
      <c r="C138" s="229" t="s">
        <v>339</v>
      </c>
      <c r="D138" s="230">
        <v>8</v>
      </c>
      <c r="E138" s="320">
        <v>7.98</v>
      </c>
    </row>
    <row r="139" spans="1:5" x14ac:dyDescent="0.2">
      <c r="A139" s="236">
        <v>137</v>
      </c>
      <c r="B139" s="226" t="s">
        <v>301</v>
      </c>
      <c r="C139" s="226" t="s">
        <v>3544</v>
      </c>
      <c r="D139" s="227">
        <v>8.0399999999999991</v>
      </c>
      <c r="E139" s="404">
        <v>7.96</v>
      </c>
    </row>
    <row r="140" spans="1:5" x14ac:dyDescent="0.2">
      <c r="A140" s="236">
        <v>138</v>
      </c>
      <c r="B140" s="229" t="s">
        <v>2137</v>
      </c>
      <c r="C140" s="229" t="s">
        <v>2138</v>
      </c>
      <c r="D140" s="230">
        <v>8</v>
      </c>
      <c r="E140" s="322">
        <v>7.94</v>
      </c>
    </row>
    <row r="141" spans="1:5" x14ac:dyDescent="0.2">
      <c r="A141" s="236">
        <v>139</v>
      </c>
      <c r="B141" s="226" t="s">
        <v>4440</v>
      </c>
      <c r="C141" s="226" t="s">
        <v>4435</v>
      </c>
      <c r="D141" s="227">
        <v>8</v>
      </c>
      <c r="E141" s="322">
        <v>7.94</v>
      </c>
    </row>
    <row r="142" spans="1:5" x14ac:dyDescent="0.2">
      <c r="A142" s="236">
        <v>140</v>
      </c>
      <c r="B142" s="229" t="s">
        <v>300</v>
      </c>
      <c r="C142" s="229" t="s">
        <v>3023</v>
      </c>
      <c r="D142" s="230">
        <v>7.95</v>
      </c>
      <c r="E142" s="356">
        <v>7.89</v>
      </c>
    </row>
    <row r="143" spans="1:5" x14ac:dyDescent="0.2">
      <c r="A143" s="236">
        <v>141</v>
      </c>
      <c r="B143" s="226" t="s">
        <v>4221</v>
      </c>
      <c r="C143" s="226" t="s">
        <v>4222</v>
      </c>
      <c r="D143" s="227">
        <v>7.92</v>
      </c>
      <c r="E143" s="451">
        <v>7.87</v>
      </c>
    </row>
    <row r="144" spans="1:5" x14ac:dyDescent="0.2">
      <c r="A144" s="236">
        <v>142</v>
      </c>
      <c r="B144" s="229" t="s">
        <v>293</v>
      </c>
      <c r="C144" s="229" t="s">
        <v>899</v>
      </c>
      <c r="D144" s="230">
        <v>7.88</v>
      </c>
      <c r="E144" s="324">
        <v>7.74</v>
      </c>
    </row>
    <row r="145" spans="1:5" x14ac:dyDescent="0.2">
      <c r="A145" s="236">
        <v>143</v>
      </c>
      <c r="B145" s="226" t="s">
        <v>300</v>
      </c>
      <c r="C145" s="226" t="s">
        <v>3472</v>
      </c>
      <c r="D145" s="227">
        <v>7.75</v>
      </c>
      <c r="E145" s="326">
        <v>7.66</v>
      </c>
    </row>
    <row r="146" spans="1:5" x14ac:dyDescent="0.2">
      <c r="A146" s="236">
        <v>144</v>
      </c>
      <c r="B146" s="229" t="s">
        <v>1092</v>
      </c>
      <c r="C146" s="229" t="s">
        <v>1093</v>
      </c>
      <c r="D146" s="230">
        <v>7.71</v>
      </c>
      <c r="E146" s="328">
        <v>7.61</v>
      </c>
    </row>
    <row r="147" spans="1:5" x14ac:dyDescent="0.2">
      <c r="A147" s="236">
        <v>145</v>
      </c>
      <c r="B147" s="226" t="s">
        <v>293</v>
      </c>
      <c r="C147" s="226" t="s">
        <v>936</v>
      </c>
      <c r="D147" s="227">
        <v>7.5</v>
      </c>
      <c r="E147" s="329">
        <v>7.4</v>
      </c>
    </row>
    <row r="148" spans="1:5" x14ac:dyDescent="0.2">
      <c r="A148" s="236">
        <v>146</v>
      </c>
      <c r="B148" s="229" t="s">
        <v>2307</v>
      </c>
      <c r="C148" s="229" t="s">
        <v>2308</v>
      </c>
      <c r="D148" s="230">
        <v>7.17</v>
      </c>
      <c r="E148" s="332">
        <v>7.04</v>
      </c>
    </row>
    <row r="149" spans="1:5" x14ac:dyDescent="0.2">
      <c r="A149" s="236">
        <v>147</v>
      </c>
      <c r="B149" s="226" t="s">
        <v>315</v>
      </c>
      <c r="C149" s="226" t="s">
        <v>4977</v>
      </c>
      <c r="D149" s="227">
        <v>7.14</v>
      </c>
      <c r="E149" s="517">
        <v>6.98</v>
      </c>
    </row>
    <row r="150" spans="1:5" x14ac:dyDescent="0.2">
      <c r="A150" s="236">
        <v>148</v>
      </c>
      <c r="B150" s="229" t="s">
        <v>305</v>
      </c>
      <c r="C150" s="229" t="s">
        <v>4535</v>
      </c>
      <c r="D150" s="230">
        <v>6.06</v>
      </c>
      <c r="E150" s="485">
        <v>5.9</v>
      </c>
    </row>
    <row r="151" spans="1:5" x14ac:dyDescent="0.2">
      <c r="A151" s="236">
        <v>149</v>
      </c>
      <c r="B151" s="226" t="s">
        <v>2420</v>
      </c>
      <c r="C151" s="226" t="s">
        <v>2421</v>
      </c>
      <c r="D151" s="227">
        <v>2.5</v>
      </c>
      <c r="E151" s="334">
        <v>2.39</v>
      </c>
    </row>
    <row r="153" spans="1:5" ht="18" x14ac:dyDescent="0.25">
      <c r="A153" s="542" t="s">
        <v>5608</v>
      </c>
      <c r="B153" s="542"/>
      <c r="C153" s="542"/>
      <c r="D153" s="542"/>
      <c r="E153" s="542"/>
    </row>
    <row r="154" spans="1:5" x14ac:dyDescent="0.2">
      <c r="A154" s="225" t="s">
        <v>318</v>
      </c>
      <c r="B154" s="225" t="s">
        <v>285</v>
      </c>
      <c r="C154" s="225" t="s">
        <v>286</v>
      </c>
      <c r="D154" s="225" t="s">
        <v>287</v>
      </c>
      <c r="E154" s="225" t="s">
        <v>957</v>
      </c>
    </row>
    <row r="155" spans="1:5" x14ac:dyDescent="0.2">
      <c r="A155" s="232">
        <v>1</v>
      </c>
      <c r="B155" s="226" t="s">
        <v>292</v>
      </c>
      <c r="C155" s="226" t="s">
        <v>7</v>
      </c>
      <c r="D155" s="227">
        <v>10.11</v>
      </c>
      <c r="E155" s="233">
        <v>10.99</v>
      </c>
    </row>
    <row r="156" spans="1:5" x14ac:dyDescent="0.2">
      <c r="A156" s="234">
        <v>2</v>
      </c>
      <c r="B156" s="229" t="s">
        <v>292</v>
      </c>
      <c r="C156" s="229" t="s">
        <v>517</v>
      </c>
      <c r="D156" s="230">
        <v>9.61</v>
      </c>
      <c r="E156" s="237">
        <v>9.99</v>
      </c>
    </row>
    <row r="157" spans="1:5" x14ac:dyDescent="0.2">
      <c r="A157" s="235">
        <v>3</v>
      </c>
      <c r="B157" s="226" t="s">
        <v>292</v>
      </c>
      <c r="C157" s="226" t="s">
        <v>156</v>
      </c>
      <c r="D157" s="227">
        <v>9.61</v>
      </c>
      <c r="E157" s="238">
        <v>9.9600000000000009</v>
      </c>
    </row>
    <row r="158" spans="1:5" x14ac:dyDescent="0.2">
      <c r="A158" s="236">
        <v>4</v>
      </c>
      <c r="B158" s="229" t="s">
        <v>292</v>
      </c>
      <c r="C158" s="229" t="s">
        <v>2367</v>
      </c>
      <c r="D158" s="230">
        <v>9.25</v>
      </c>
      <c r="E158" s="240">
        <v>9.5299999999999994</v>
      </c>
    </row>
    <row r="159" spans="1:5" x14ac:dyDescent="0.2">
      <c r="A159" s="236">
        <v>5</v>
      </c>
      <c r="B159" s="226" t="s">
        <v>300</v>
      </c>
      <c r="C159" s="226" t="s">
        <v>131</v>
      </c>
      <c r="D159" s="227">
        <v>9.2899999999999991</v>
      </c>
      <c r="E159" s="403">
        <v>9.44</v>
      </c>
    </row>
    <row r="160" spans="1:5" x14ac:dyDescent="0.2">
      <c r="A160" s="236">
        <v>6</v>
      </c>
      <c r="B160" s="229" t="s">
        <v>1872</v>
      </c>
      <c r="C160" s="229" t="s">
        <v>1865</v>
      </c>
      <c r="D160" s="230">
        <v>9.31</v>
      </c>
      <c r="E160" s="242">
        <v>9.43</v>
      </c>
    </row>
    <row r="161" spans="1:5" x14ac:dyDescent="0.2">
      <c r="A161" s="236">
        <v>7</v>
      </c>
      <c r="B161" s="226" t="s">
        <v>292</v>
      </c>
      <c r="C161" s="226" t="s">
        <v>1138</v>
      </c>
      <c r="D161" s="227">
        <v>9.2899999999999991</v>
      </c>
      <c r="E161" s="371">
        <v>9.42</v>
      </c>
    </row>
    <row r="162" spans="1:5" x14ac:dyDescent="0.2">
      <c r="A162" s="236">
        <v>8</v>
      </c>
      <c r="B162" s="229" t="s">
        <v>301</v>
      </c>
      <c r="C162" s="229" t="s">
        <v>56</v>
      </c>
      <c r="D162" s="230">
        <v>9.25</v>
      </c>
      <c r="E162" s="243">
        <v>9.3699999999999992</v>
      </c>
    </row>
    <row r="163" spans="1:5" x14ac:dyDescent="0.2">
      <c r="A163" s="236">
        <v>9</v>
      </c>
      <c r="B163" s="226" t="s">
        <v>300</v>
      </c>
      <c r="C163" s="226" t="s">
        <v>922</v>
      </c>
      <c r="D163" s="227">
        <v>9.1300000000000008</v>
      </c>
      <c r="E163" s="460">
        <v>9.24</v>
      </c>
    </row>
    <row r="164" spans="1:5" x14ac:dyDescent="0.2">
      <c r="A164" s="236">
        <v>10</v>
      </c>
      <c r="B164" s="229" t="s">
        <v>441</v>
      </c>
      <c r="C164" s="229" t="s">
        <v>459</v>
      </c>
      <c r="D164" s="230">
        <v>9.17</v>
      </c>
      <c r="E164" s="246">
        <v>9.23</v>
      </c>
    </row>
    <row r="165" spans="1:5" x14ac:dyDescent="0.2">
      <c r="A165" s="236">
        <v>11</v>
      </c>
      <c r="B165" s="226" t="s">
        <v>3034</v>
      </c>
      <c r="C165" s="226" t="s">
        <v>3035</v>
      </c>
      <c r="D165" s="227">
        <v>9.14</v>
      </c>
      <c r="E165" s="246">
        <v>9.23</v>
      </c>
    </row>
    <row r="166" spans="1:5" x14ac:dyDescent="0.2">
      <c r="A166" s="236">
        <v>12</v>
      </c>
      <c r="B166" s="229" t="s">
        <v>301</v>
      </c>
      <c r="C166" s="229" t="s">
        <v>653</v>
      </c>
      <c r="D166" s="230">
        <v>9.1300000000000008</v>
      </c>
      <c r="E166" s="247">
        <v>9.2100000000000009</v>
      </c>
    </row>
    <row r="167" spans="1:5" x14ac:dyDescent="0.2">
      <c r="A167" s="236">
        <v>13</v>
      </c>
      <c r="B167" s="226" t="s">
        <v>304</v>
      </c>
      <c r="C167" s="226" t="s">
        <v>229</v>
      </c>
      <c r="D167" s="227">
        <v>9</v>
      </c>
      <c r="E167" s="250">
        <v>9.09</v>
      </c>
    </row>
    <row r="168" spans="1:5" x14ac:dyDescent="0.2">
      <c r="A168" s="236">
        <v>14</v>
      </c>
      <c r="B168" s="229" t="s">
        <v>301</v>
      </c>
      <c r="C168" s="229" t="s">
        <v>1026</v>
      </c>
      <c r="D168" s="230">
        <v>9</v>
      </c>
      <c r="E168" s="251">
        <v>9.08</v>
      </c>
    </row>
    <row r="169" spans="1:5" x14ac:dyDescent="0.2">
      <c r="A169" s="236">
        <v>15</v>
      </c>
      <c r="B169" s="226" t="s">
        <v>441</v>
      </c>
      <c r="C169" s="226" t="s">
        <v>609</v>
      </c>
      <c r="D169" s="227">
        <v>8.94</v>
      </c>
      <c r="E169" s="252">
        <v>9.0399999999999991</v>
      </c>
    </row>
    <row r="170" spans="1:5" x14ac:dyDescent="0.2">
      <c r="A170" s="236">
        <v>16</v>
      </c>
      <c r="B170" s="229" t="s">
        <v>315</v>
      </c>
      <c r="C170" s="229" t="s">
        <v>2206</v>
      </c>
      <c r="D170" s="230">
        <v>8.92</v>
      </c>
      <c r="E170" s="255">
        <v>9</v>
      </c>
    </row>
    <row r="171" spans="1:5" x14ac:dyDescent="0.2">
      <c r="A171" s="236">
        <v>17</v>
      </c>
      <c r="B171" s="226" t="s">
        <v>2617</v>
      </c>
      <c r="C171" s="226" t="s">
        <v>2613</v>
      </c>
      <c r="D171" s="227">
        <v>8.83</v>
      </c>
      <c r="E171" s="255">
        <v>9</v>
      </c>
    </row>
    <row r="172" spans="1:5" x14ac:dyDescent="0.2">
      <c r="A172" s="236">
        <v>18</v>
      </c>
      <c r="B172" s="229" t="s">
        <v>300</v>
      </c>
      <c r="C172" s="229" t="s">
        <v>2345</v>
      </c>
      <c r="D172" s="230">
        <v>9</v>
      </c>
      <c r="E172" s="256">
        <v>8.9700000000000006</v>
      </c>
    </row>
    <row r="173" spans="1:5" x14ac:dyDescent="0.2">
      <c r="A173" s="236">
        <v>19</v>
      </c>
      <c r="B173" s="226" t="s">
        <v>1330</v>
      </c>
      <c r="C173" s="226" t="s">
        <v>1565</v>
      </c>
      <c r="D173" s="227">
        <v>8.93</v>
      </c>
      <c r="E173" s="259">
        <v>8.93</v>
      </c>
    </row>
    <row r="174" spans="1:5" x14ac:dyDescent="0.2">
      <c r="A174" s="236">
        <v>20</v>
      </c>
      <c r="B174" s="229" t="s">
        <v>2844</v>
      </c>
      <c r="C174" s="229" t="s">
        <v>2845</v>
      </c>
      <c r="D174" s="230">
        <v>8.9600000000000009</v>
      </c>
      <c r="E174" s="260">
        <v>8.92</v>
      </c>
    </row>
    <row r="175" spans="1:5" x14ac:dyDescent="0.2">
      <c r="A175" s="236">
        <v>21</v>
      </c>
      <c r="B175" s="226" t="s">
        <v>300</v>
      </c>
      <c r="C175" s="226" t="s">
        <v>855</v>
      </c>
      <c r="D175" s="227">
        <v>8.86</v>
      </c>
      <c r="E175" s="266">
        <v>8.85</v>
      </c>
    </row>
    <row r="176" spans="1:5" x14ac:dyDescent="0.2">
      <c r="A176" s="236">
        <v>22</v>
      </c>
      <c r="B176" s="229" t="s">
        <v>1174</v>
      </c>
      <c r="C176" s="229" t="s">
        <v>1175</v>
      </c>
      <c r="D176" s="230">
        <v>8.7200000000000006</v>
      </c>
      <c r="E176" s="267">
        <v>8.84</v>
      </c>
    </row>
    <row r="177" spans="1:5" x14ac:dyDescent="0.2">
      <c r="A177" s="236">
        <v>23</v>
      </c>
      <c r="B177" s="226" t="s">
        <v>1410</v>
      </c>
      <c r="C177" s="226" t="s">
        <v>1411</v>
      </c>
      <c r="D177" s="227">
        <v>8.82</v>
      </c>
      <c r="E177" s="267">
        <v>8.84</v>
      </c>
    </row>
    <row r="178" spans="1:5" x14ac:dyDescent="0.2">
      <c r="A178" s="236">
        <v>24</v>
      </c>
      <c r="B178" s="229" t="s">
        <v>4150</v>
      </c>
      <c r="C178" s="229" t="s">
        <v>4151</v>
      </c>
      <c r="D178" s="230">
        <v>8.86</v>
      </c>
      <c r="E178" s="267">
        <v>8.84</v>
      </c>
    </row>
    <row r="179" spans="1:5" x14ac:dyDescent="0.2">
      <c r="A179" s="236">
        <v>25</v>
      </c>
      <c r="B179" s="226" t="s">
        <v>1577</v>
      </c>
      <c r="C179" s="226" t="s">
        <v>1949</v>
      </c>
      <c r="D179" s="227">
        <v>8.81</v>
      </c>
      <c r="E179" s="267">
        <v>8.83</v>
      </c>
    </row>
    <row r="180" spans="1:5" x14ac:dyDescent="0.2">
      <c r="A180" s="236">
        <v>26</v>
      </c>
      <c r="B180" s="229" t="s">
        <v>4605</v>
      </c>
      <c r="C180" s="229" t="s">
        <v>4606</v>
      </c>
      <c r="D180" s="230">
        <v>8.86</v>
      </c>
      <c r="E180" s="267">
        <v>8.83</v>
      </c>
    </row>
    <row r="181" spans="1:5" x14ac:dyDescent="0.2">
      <c r="A181" s="236">
        <v>27</v>
      </c>
      <c r="B181" s="226" t="s">
        <v>441</v>
      </c>
      <c r="C181" s="226" t="s">
        <v>442</v>
      </c>
      <c r="D181" s="227">
        <v>8.7899999999999991</v>
      </c>
      <c r="E181" s="269">
        <v>8.81</v>
      </c>
    </row>
    <row r="182" spans="1:5" x14ac:dyDescent="0.2">
      <c r="A182" s="236">
        <v>28</v>
      </c>
      <c r="B182" s="229" t="s">
        <v>2844</v>
      </c>
      <c r="C182" s="229" t="s">
        <v>3065</v>
      </c>
      <c r="D182" s="230">
        <v>8.73</v>
      </c>
      <c r="E182" s="272">
        <v>8.77</v>
      </c>
    </row>
    <row r="183" spans="1:5" x14ac:dyDescent="0.2">
      <c r="A183" s="236">
        <v>29</v>
      </c>
      <c r="B183" s="226" t="s">
        <v>2844</v>
      </c>
      <c r="C183" s="226" t="s">
        <v>4338</v>
      </c>
      <c r="D183" s="227">
        <v>8.6999999999999993</v>
      </c>
      <c r="E183" s="275">
        <v>8.74</v>
      </c>
    </row>
    <row r="184" spans="1:5" x14ac:dyDescent="0.2">
      <c r="A184" s="236">
        <v>30</v>
      </c>
      <c r="B184" s="229" t="s">
        <v>300</v>
      </c>
      <c r="C184" s="229" t="s">
        <v>473</v>
      </c>
      <c r="D184" s="230">
        <v>8.81</v>
      </c>
      <c r="E184" s="373">
        <v>8.73</v>
      </c>
    </row>
    <row r="185" spans="1:5" x14ac:dyDescent="0.2">
      <c r="A185" s="236">
        <v>31</v>
      </c>
      <c r="B185" s="226" t="s">
        <v>1330</v>
      </c>
      <c r="C185" s="226" t="s">
        <v>1331</v>
      </c>
      <c r="D185" s="227">
        <v>8.83</v>
      </c>
      <c r="E185" s="276">
        <v>8.7200000000000006</v>
      </c>
    </row>
    <row r="186" spans="1:5" x14ac:dyDescent="0.2">
      <c r="A186" s="236">
        <v>32</v>
      </c>
      <c r="B186" s="229" t="s">
        <v>632</v>
      </c>
      <c r="C186" s="229" t="s">
        <v>3975</v>
      </c>
      <c r="D186" s="230">
        <v>8.75</v>
      </c>
      <c r="E186" s="276">
        <v>8.7200000000000006</v>
      </c>
    </row>
    <row r="187" spans="1:5" x14ac:dyDescent="0.2">
      <c r="A187" s="236">
        <v>33</v>
      </c>
      <c r="B187" s="226" t="s">
        <v>2844</v>
      </c>
      <c r="C187" s="226" t="s">
        <v>4688</v>
      </c>
      <c r="D187" s="227">
        <v>8.82</v>
      </c>
      <c r="E187" s="277">
        <v>8.7100000000000009</v>
      </c>
    </row>
    <row r="188" spans="1:5" x14ac:dyDescent="0.2">
      <c r="A188" s="236">
        <v>34</v>
      </c>
      <c r="B188" s="229" t="s">
        <v>1577</v>
      </c>
      <c r="C188" s="229" t="s">
        <v>1573</v>
      </c>
      <c r="D188" s="230">
        <v>8.81</v>
      </c>
      <c r="E188" s="278">
        <v>8.6999999999999993</v>
      </c>
    </row>
    <row r="189" spans="1:5" x14ac:dyDescent="0.2">
      <c r="A189" s="236">
        <v>35</v>
      </c>
      <c r="B189" s="226" t="s">
        <v>4166</v>
      </c>
      <c r="C189" s="226" t="s">
        <v>4167</v>
      </c>
      <c r="D189" s="227">
        <v>8.75</v>
      </c>
      <c r="E189" s="278">
        <v>8.6999999999999993</v>
      </c>
    </row>
    <row r="190" spans="1:5" x14ac:dyDescent="0.2">
      <c r="A190" s="236">
        <v>36</v>
      </c>
      <c r="B190" s="229" t="s">
        <v>1410</v>
      </c>
      <c r="C190" s="229" t="s">
        <v>3173</v>
      </c>
      <c r="D190" s="230">
        <v>8.64</v>
      </c>
      <c r="E190" s="279">
        <v>8.68</v>
      </c>
    </row>
    <row r="191" spans="1:5" x14ac:dyDescent="0.2">
      <c r="A191" s="236">
        <v>37</v>
      </c>
      <c r="B191" s="226" t="s">
        <v>301</v>
      </c>
      <c r="C191" s="226" t="s">
        <v>301</v>
      </c>
      <c r="D191" s="227">
        <v>8.4600000000000009</v>
      </c>
      <c r="E191" s="282">
        <v>8.65</v>
      </c>
    </row>
    <row r="192" spans="1:5" x14ac:dyDescent="0.2">
      <c r="A192" s="236">
        <v>38</v>
      </c>
      <c r="B192" s="229" t="s">
        <v>1530</v>
      </c>
      <c r="C192" s="229" t="s">
        <v>1526</v>
      </c>
      <c r="D192" s="230">
        <v>8.75</v>
      </c>
      <c r="E192" s="282">
        <v>8.65</v>
      </c>
    </row>
    <row r="193" spans="1:5" x14ac:dyDescent="0.2">
      <c r="A193" s="236">
        <v>39</v>
      </c>
      <c r="B193" s="226" t="s">
        <v>2034</v>
      </c>
      <c r="C193" s="226" t="s">
        <v>2035</v>
      </c>
      <c r="D193" s="227">
        <v>8.75</v>
      </c>
      <c r="E193" s="283">
        <v>8.64</v>
      </c>
    </row>
    <row r="194" spans="1:5" x14ac:dyDescent="0.2">
      <c r="A194" s="236">
        <v>40</v>
      </c>
      <c r="B194" s="229" t="s">
        <v>1134</v>
      </c>
      <c r="C194" s="229" t="s">
        <v>1129</v>
      </c>
      <c r="D194" s="230">
        <v>8.75</v>
      </c>
      <c r="E194" s="284">
        <v>8.6300000000000008</v>
      </c>
    </row>
    <row r="195" spans="1:5" x14ac:dyDescent="0.2">
      <c r="A195" s="236">
        <v>41</v>
      </c>
      <c r="B195" s="226" t="s">
        <v>1054</v>
      </c>
      <c r="C195" s="226" t="s">
        <v>3519</v>
      </c>
      <c r="D195" s="227">
        <v>8.7200000000000006</v>
      </c>
      <c r="E195" s="284">
        <v>8.6300000000000008</v>
      </c>
    </row>
    <row r="196" spans="1:5" x14ac:dyDescent="0.2">
      <c r="A196" s="236">
        <v>42</v>
      </c>
      <c r="B196" s="229" t="s">
        <v>301</v>
      </c>
      <c r="C196" s="229" t="s">
        <v>2123</v>
      </c>
      <c r="D196" s="230">
        <v>8.6999999999999993</v>
      </c>
      <c r="E196" s="286">
        <v>8.61</v>
      </c>
    </row>
    <row r="197" spans="1:5" x14ac:dyDescent="0.2">
      <c r="A197" s="236">
        <v>43</v>
      </c>
      <c r="B197" s="226" t="s">
        <v>4150</v>
      </c>
      <c r="C197" s="226" t="s">
        <v>4314</v>
      </c>
      <c r="D197" s="227">
        <v>8.69</v>
      </c>
      <c r="E197" s="287">
        <v>8.6</v>
      </c>
    </row>
    <row r="198" spans="1:5" x14ac:dyDescent="0.2">
      <c r="A198" s="236">
        <v>44</v>
      </c>
      <c r="B198" s="229" t="s">
        <v>3116</v>
      </c>
      <c r="C198" s="229" t="s">
        <v>3117</v>
      </c>
      <c r="D198" s="230">
        <v>8.57</v>
      </c>
      <c r="E198" s="337">
        <v>8.59</v>
      </c>
    </row>
    <row r="199" spans="1:5" x14ac:dyDescent="0.2">
      <c r="A199" s="236">
        <v>45</v>
      </c>
      <c r="B199" s="226" t="s">
        <v>728</v>
      </c>
      <c r="C199" s="226" t="s">
        <v>729</v>
      </c>
      <c r="D199" s="227">
        <v>8.67</v>
      </c>
      <c r="E199" s="289">
        <v>8.57</v>
      </c>
    </row>
    <row r="200" spans="1:5" x14ac:dyDescent="0.2">
      <c r="A200" s="236">
        <v>46</v>
      </c>
      <c r="B200" s="229" t="s">
        <v>2179</v>
      </c>
      <c r="C200" s="229" t="s">
        <v>2178</v>
      </c>
      <c r="D200" s="230">
        <v>8.67</v>
      </c>
      <c r="E200" s="289">
        <v>8.57</v>
      </c>
    </row>
    <row r="201" spans="1:5" x14ac:dyDescent="0.2">
      <c r="A201" s="236">
        <v>47</v>
      </c>
      <c r="B201" s="226" t="s">
        <v>2478</v>
      </c>
      <c r="C201" s="226" t="s">
        <v>3361</v>
      </c>
      <c r="D201" s="227">
        <v>8.65</v>
      </c>
      <c r="E201" s="290">
        <v>8.56</v>
      </c>
    </row>
    <row r="202" spans="1:5" x14ac:dyDescent="0.2">
      <c r="A202" s="236">
        <v>48</v>
      </c>
      <c r="B202" s="229" t="s">
        <v>4014</v>
      </c>
      <c r="C202" s="229" t="s">
        <v>4013</v>
      </c>
      <c r="D202" s="230">
        <v>8.67</v>
      </c>
      <c r="E202" s="290">
        <v>8.56</v>
      </c>
    </row>
    <row r="203" spans="1:5" x14ac:dyDescent="0.2">
      <c r="A203" s="236">
        <v>49</v>
      </c>
      <c r="B203" s="226" t="s">
        <v>5539</v>
      </c>
      <c r="C203" s="226" t="s">
        <v>5522</v>
      </c>
      <c r="D203" s="227">
        <v>8.65</v>
      </c>
      <c r="E203" s="290">
        <v>8.56</v>
      </c>
    </row>
    <row r="204" spans="1:5" x14ac:dyDescent="0.2">
      <c r="A204" s="236">
        <v>50</v>
      </c>
      <c r="B204" s="229" t="s">
        <v>300</v>
      </c>
      <c r="C204" s="229" t="s">
        <v>2147</v>
      </c>
      <c r="D204" s="230">
        <v>8.64</v>
      </c>
      <c r="E204" s="291">
        <v>8.5500000000000007</v>
      </c>
    </row>
    <row r="205" spans="1:5" x14ac:dyDescent="0.2">
      <c r="A205" s="236">
        <v>51</v>
      </c>
      <c r="B205" s="226" t="s">
        <v>1054</v>
      </c>
      <c r="C205" s="226" t="s">
        <v>2292</v>
      </c>
      <c r="D205" s="227">
        <v>8.61</v>
      </c>
      <c r="E205" s="293">
        <v>8.5299999999999994</v>
      </c>
    </row>
    <row r="206" spans="1:5" x14ac:dyDescent="0.2">
      <c r="A206" s="236">
        <v>52</v>
      </c>
      <c r="B206" s="229" t="s">
        <v>2992</v>
      </c>
      <c r="C206" s="229" t="s">
        <v>2993</v>
      </c>
      <c r="D206" s="230">
        <v>8.6</v>
      </c>
      <c r="E206" s="293">
        <v>8.5299999999999994</v>
      </c>
    </row>
    <row r="207" spans="1:5" x14ac:dyDescent="0.2">
      <c r="A207" s="236">
        <v>53</v>
      </c>
      <c r="B207" s="226" t="s">
        <v>3891</v>
      </c>
      <c r="C207" s="226" t="s">
        <v>3892</v>
      </c>
      <c r="D207" s="227">
        <v>8.64</v>
      </c>
      <c r="E207" s="293">
        <v>8.5299999999999994</v>
      </c>
    </row>
    <row r="208" spans="1:5" x14ac:dyDescent="0.2">
      <c r="A208" s="236">
        <v>54</v>
      </c>
      <c r="B208" s="229" t="s">
        <v>5540</v>
      </c>
      <c r="C208" s="229" t="s">
        <v>5537</v>
      </c>
      <c r="D208" s="230">
        <v>8.6</v>
      </c>
      <c r="E208" s="363">
        <v>8.51</v>
      </c>
    </row>
    <row r="209" spans="1:5" x14ac:dyDescent="0.2">
      <c r="A209" s="236">
        <v>55</v>
      </c>
      <c r="B209" s="226" t="s">
        <v>2867</v>
      </c>
      <c r="C209" s="226" t="s">
        <v>2868</v>
      </c>
      <c r="D209" s="227">
        <v>8.58</v>
      </c>
      <c r="E209" s="295">
        <v>8.5</v>
      </c>
    </row>
    <row r="210" spans="1:5" x14ac:dyDescent="0.2">
      <c r="A210" s="236">
        <v>56</v>
      </c>
      <c r="B210" s="229" t="s">
        <v>1330</v>
      </c>
      <c r="C210" s="229" t="s">
        <v>5265</v>
      </c>
      <c r="D210" s="230">
        <v>8.56</v>
      </c>
      <c r="E210" s="295">
        <v>8.5</v>
      </c>
    </row>
    <row r="211" spans="1:5" x14ac:dyDescent="0.2">
      <c r="A211" s="236">
        <v>57</v>
      </c>
      <c r="B211" s="226" t="s">
        <v>976</v>
      </c>
      <c r="C211" s="226" t="s">
        <v>977</v>
      </c>
      <c r="D211" s="227">
        <v>8.5500000000000007</v>
      </c>
      <c r="E211" s="297">
        <v>8.4700000000000006</v>
      </c>
    </row>
    <row r="212" spans="1:5" x14ac:dyDescent="0.2">
      <c r="A212" s="236">
        <v>58</v>
      </c>
      <c r="B212" s="229" t="s">
        <v>300</v>
      </c>
      <c r="C212" s="229" t="s">
        <v>1841</v>
      </c>
      <c r="D212" s="230">
        <v>8.5</v>
      </c>
      <c r="E212" s="298">
        <v>8.4600000000000009</v>
      </c>
    </row>
    <row r="213" spans="1:5" x14ac:dyDescent="0.2">
      <c r="A213" s="236">
        <v>59</v>
      </c>
      <c r="B213" s="226" t="s">
        <v>1300</v>
      </c>
      <c r="C213" s="226" t="s">
        <v>3971</v>
      </c>
      <c r="D213" s="227">
        <v>8.5</v>
      </c>
      <c r="E213" s="300">
        <v>8.43</v>
      </c>
    </row>
    <row r="214" spans="1:5" x14ac:dyDescent="0.2">
      <c r="A214" s="236">
        <v>60</v>
      </c>
      <c r="B214" s="229" t="s">
        <v>1174</v>
      </c>
      <c r="C214" s="229" t="s">
        <v>3925</v>
      </c>
      <c r="D214" s="230">
        <v>8.3800000000000008</v>
      </c>
      <c r="E214" s="426">
        <v>8.4</v>
      </c>
    </row>
    <row r="215" spans="1:5" x14ac:dyDescent="0.2">
      <c r="A215" s="236">
        <v>61</v>
      </c>
      <c r="B215" s="226" t="s">
        <v>2812</v>
      </c>
      <c r="C215" s="226" t="s">
        <v>2802</v>
      </c>
      <c r="D215" s="227">
        <v>8.44</v>
      </c>
      <c r="E215" s="302">
        <v>8.39</v>
      </c>
    </row>
    <row r="216" spans="1:5" x14ac:dyDescent="0.2">
      <c r="A216" s="236">
        <v>62</v>
      </c>
      <c r="B216" s="229" t="s">
        <v>1860</v>
      </c>
      <c r="C216" s="229" t="s">
        <v>1861</v>
      </c>
      <c r="D216" s="230">
        <v>8.43</v>
      </c>
      <c r="E216" s="303">
        <v>8.3800000000000008</v>
      </c>
    </row>
    <row r="217" spans="1:5" x14ac:dyDescent="0.2">
      <c r="A217" s="236">
        <v>63</v>
      </c>
      <c r="B217" s="226" t="s">
        <v>1540</v>
      </c>
      <c r="C217" s="226" t="s">
        <v>1541</v>
      </c>
      <c r="D217" s="227">
        <v>8.4</v>
      </c>
      <c r="E217" s="304">
        <v>8.3699999999999992</v>
      </c>
    </row>
    <row r="218" spans="1:5" x14ac:dyDescent="0.2">
      <c r="A218" s="236">
        <v>64</v>
      </c>
      <c r="B218" s="229" t="s">
        <v>4184</v>
      </c>
      <c r="C218" s="229" t="s">
        <v>4185</v>
      </c>
      <c r="D218" s="230">
        <v>8.4600000000000009</v>
      </c>
      <c r="E218" s="446">
        <v>8.35</v>
      </c>
    </row>
    <row r="219" spans="1:5" x14ac:dyDescent="0.2">
      <c r="A219" s="236">
        <v>65</v>
      </c>
      <c r="B219" s="226" t="s">
        <v>315</v>
      </c>
      <c r="C219" s="226" t="s">
        <v>316</v>
      </c>
      <c r="D219" s="227">
        <v>8.42</v>
      </c>
      <c r="E219" s="305">
        <v>8.34</v>
      </c>
    </row>
    <row r="220" spans="1:5" x14ac:dyDescent="0.2">
      <c r="A220" s="236">
        <v>66</v>
      </c>
      <c r="B220" s="229" t="s">
        <v>1410</v>
      </c>
      <c r="C220" s="229" t="s">
        <v>1464</v>
      </c>
      <c r="D220" s="230">
        <v>8.44</v>
      </c>
      <c r="E220" s="305">
        <v>8.34</v>
      </c>
    </row>
    <row r="221" spans="1:5" x14ac:dyDescent="0.2">
      <c r="A221" s="236">
        <v>67</v>
      </c>
      <c r="B221" s="226" t="s">
        <v>2928</v>
      </c>
      <c r="C221" s="226" t="s">
        <v>2929</v>
      </c>
      <c r="D221" s="227">
        <v>8.4499999999999993</v>
      </c>
      <c r="E221" s="305">
        <v>8.34</v>
      </c>
    </row>
    <row r="222" spans="1:5" x14ac:dyDescent="0.2">
      <c r="A222" s="236">
        <v>68</v>
      </c>
      <c r="B222" s="229" t="s">
        <v>1300</v>
      </c>
      <c r="C222" s="229" t="s">
        <v>3485</v>
      </c>
      <c r="D222" s="230">
        <v>8.36</v>
      </c>
      <c r="E222" s="305">
        <v>8.34</v>
      </c>
    </row>
    <row r="223" spans="1:5" x14ac:dyDescent="0.2">
      <c r="A223" s="236">
        <v>69</v>
      </c>
      <c r="B223" s="226" t="s">
        <v>4825</v>
      </c>
      <c r="C223" s="226" t="s">
        <v>4826</v>
      </c>
      <c r="D223" s="227">
        <v>8.42</v>
      </c>
      <c r="E223" s="407">
        <v>8.31</v>
      </c>
    </row>
    <row r="224" spans="1:5" x14ac:dyDescent="0.2">
      <c r="A224" s="236">
        <v>70</v>
      </c>
      <c r="B224" s="229" t="s">
        <v>2914</v>
      </c>
      <c r="C224" s="229" t="s">
        <v>2915</v>
      </c>
      <c r="D224" s="230">
        <v>8.4</v>
      </c>
      <c r="E224" s="348">
        <v>8.3000000000000007</v>
      </c>
    </row>
    <row r="225" spans="1:5" x14ac:dyDescent="0.2">
      <c r="A225" s="236">
        <v>71</v>
      </c>
      <c r="B225" s="226" t="s">
        <v>3281</v>
      </c>
      <c r="C225" s="226" t="s">
        <v>3282</v>
      </c>
      <c r="D225" s="227">
        <v>8.2899999999999991</v>
      </c>
      <c r="E225" s="348">
        <v>8.3000000000000007</v>
      </c>
    </row>
    <row r="226" spans="1:5" x14ac:dyDescent="0.2">
      <c r="A226" s="236">
        <v>72</v>
      </c>
      <c r="B226" s="229" t="s">
        <v>300</v>
      </c>
      <c r="C226" s="229" t="s">
        <v>1701</v>
      </c>
      <c r="D226" s="230">
        <v>8.2899999999999991</v>
      </c>
      <c r="E226" s="307">
        <v>8.27</v>
      </c>
    </row>
    <row r="227" spans="1:5" x14ac:dyDescent="0.2">
      <c r="A227" s="236">
        <v>73</v>
      </c>
      <c r="B227" s="226" t="s">
        <v>300</v>
      </c>
      <c r="C227" s="226" t="s">
        <v>1584</v>
      </c>
      <c r="D227" s="227">
        <v>8.4</v>
      </c>
      <c r="E227" s="308">
        <v>8.25</v>
      </c>
    </row>
    <row r="228" spans="1:5" x14ac:dyDescent="0.2">
      <c r="A228" s="236">
        <v>74</v>
      </c>
      <c r="B228" s="229" t="s">
        <v>2826</v>
      </c>
      <c r="C228" s="229" t="s">
        <v>2827</v>
      </c>
      <c r="D228" s="230">
        <v>8.41</v>
      </c>
      <c r="E228" s="309">
        <v>8.24</v>
      </c>
    </row>
    <row r="229" spans="1:5" x14ac:dyDescent="0.2">
      <c r="A229" s="236">
        <v>75</v>
      </c>
      <c r="B229" s="226" t="s">
        <v>2826</v>
      </c>
      <c r="C229" s="226" t="s">
        <v>3470</v>
      </c>
      <c r="D229" s="227">
        <v>8.35</v>
      </c>
      <c r="E229" s="309">
        <v>8.24</v>
      </c>
    </row>
    <row r="230" spans="1:5" x14ac:dyDescent="0.2">
      <c r="A230" s="236">
        <v>76</v>
      </c>
      <c r="B230" s="229" t="s">
        <v>292</v>
      </c>
      <c r="C230" s="229" t="s">
        <v>278</v>
      </c>
      <c r="D230" s="230">
        <v>8.35</v>
      </c>
      <c r="E230" s="311">
        <v>8.2200000000000006</v>
      </c>
    </row>
    <row r="231" spans="1:5" x14ac:dyDescent="0.2">
      <c r="A231" s="236">
        <v>77</v>
      </c>
      <c r="B231" s="226" t="s">
        <v>1174</v>
      </c>
      <c r="C231" s="226" t="s">
        <v>3306</v>
      </c>
      <c r="D231" s="227">
        <v>8.1999999999999993</v>
      </c>
      <c r="E231" s="385">
        <v>8.2100000000000009</v>
      </c>
    </row>
    <row r="232" spans="1:5" x14ac:dyDescent="0.2">
      <c r="A232" s="236">
        <v>78</v>
      </c>
      <c r="B232" s="229" t="s">
        <v>2844</v>
      </c>
      <c r="C232" s="229" t="s">
        <v>3877</v>
      </c>
      <c r="D232" s="230">
        <v>8.27</v>
      </c>
      <c r="E232" s="315">
        <v>8.1300000000000008</v>
      </c>
    </row>
    <row r="233" spans="1:5" x14ac:dyDescent="0.2">
      <c r="A233" s="236">
        <v>79</v>
      </c>
      <c r="B233" s="226" t="s">
        <v>4066</v>
      </c>
      <c r="C233" s="226" t="s">
        <v>4067</v>
      </c>
      <c r="D233" s="227">
        <v>8.17</v>
      </c>
      <c r="E233" s="437">
        <v>8.07</v>
      </c>
    </row>
    <row r="234" spans="1:5" x14ac:dyDescent="0.2">
      <c r="A234" s="236">
        <v>80</v>
      </c>
      <c r="B234" s="229" t="s">
        <v>346</v>
      </c>
      <c r="C234" s="229" t="s">
        <v>339</v>
      </c>
      <c r="D234" s="230">
        <v>8</v>
      </c>
      <c r="E234" s="320">
        <v>7.98</v>
      </c>
    </row>
    <row r="235" spans="1:5" x14ac:dyDescent="0.2">
      <c r="A235" s="236">
        <v>81</v>
      </c>
      <c r="B235" s="226" t="s">
        <v>301</v>
      </c>
      <c r="C235" s="226" t="s">
        <v>3544</v>
      </c>
      <c r="D235" s="227">
        <v>8.0399999999999991</v>
      </c>
      <c r="E235" s="404">
        <v>7.96</v>
      </c>
    </row>
    <row r="236" spans="1:5" x14ac:dyDescent="0.2">
      <c r="A236" s="236">
        <v>82</v>
      </c>
      <c r="B236" s="229" t="s">
        <v>1300</v>
      </c>
      <c r="C236" s="229" t="s">
        <v>1301</v>
      </c>
      <c r="D236" s="230">
        <v>8.0500000000000007</v>
      </c>
      <c r="E236" s="321">
        <v>7.95</v>
      </c>
    </row>
    <row r="237" spans="1:5" x14ac:dyDescent="0.2">
      <c r="A237" s="236">
        <v>83</v>
      </c>
      <c r="B237" s="226" t="s">
        <v>300</v>
      </c>
      <c r="C237" s="226" t="s">
        <v>3104</v>
      </c>
      <c r="D237" s="227">
        <v>8</v>
      </c>
      <c r="E237" s="322">
        <v>7.94</v>
      </c>
    </row>
    <row r="238" spans="1:5" x14ac:dyDescent="0.2">
      <c r="A238" s="236">
        <v>84</v>
      </c>
      <c r="B238" s="229" t="s">
        <v>4440</v>
      </c>
      <c r="C238" s="229" t="s">
        <v>4435</v>
      </c>
      <c r="D238" s="230">
        <v>8</v>
      </c>
      <c r="E238" s="322">
        <v>7.94</v>
      </c>
    </row>
    <row r="239" spans="1:5" x14ac:dyDescent="0.2">
      <c r="A239" s="236">
        <v>85</v>
      </c>
      <c r="B239" s="226" t="s">
        <v>292</v>
      </c>
      <c r="C239" s="226" t="s">
        <v>2937</v>
      </c>
      <c r="D239" s="227">
        <v>7.92</v>
      </c>
      <c r="E239" s="350">
        <v>7.84</v>
      </c>
    </row>
    <row r="240" spans="1:5" x14ac:dyDescent="0.2">
      <c r="A240" s="236">
        <v>86</v>
      </c>
      <c r="B240" s="229" t="s">
        <v>4011</v>
      </c>
      <c r="C240" s="229" t="s">
        <v>4001</v>
      </c>
      <c r="D240" s="230">
        <v>7.75</v>
      </c>
      <c r="E240" s="325">
        <v>7.69</v>
      </c>
    </row>
    <row r="241" spans="1:5" x14ac:dyDescent="0.2">
      <c r="A241" s="236">
        <v>87</v>
      </c>
      <c r="B241" s="226" t="s">
        <v>3395</v>
      </c>
      <c r="C241" s="226" t="s">
        <v>3395</v>
      </c>
      <c r="D241" s="227">
        <v>7.75</v>
      </c>
      <c r="E241" s="326">
        <v>7.66</v>
      </c>
    </row>
    <row r="242" spans="1:5" x14ac:dyDescent="0.2">
      <c r="A242" s="236">
        <v>88</v>
      </c>
      <c r="B242" s="229" t="s">
        <v>304</v>
      </c>
      <c r="C242" s="229" t="s">
        <v>304</v>
      </c>
      <c r="D242" s="230">
        <v>7.77</v>
      </c>
      <c r="E242" s="327">
        <v>7.64</v>
      </c>
    </row>
    <row r="243" spans="1:5" x14ac:dyDescent="0.2">
      <c r="A243" s="236">
        <v>89</v>
      </c>
      <c r="B243" s="226" t="s">
        <v>628</v>
      </c>
      <c r="C243" s="226" t="s">
        <v>629</v>
      </c>
      <c r="D243" s="227">
        <v>7.06</v>
      </c>
      <c r="E243" s="333">
        <v>6.99</v>
      </c>
    </row>
    <row r="244" spans="1:5" x14ac:dyDescent="0.2">
      <c r="A244" s="236">
        <v>90</v>
      </c>
      <c r="B244" s="229" t="s">
        <v>301</v>
      </c>
      <c r="C244" s="229" t="s">
        <v>1662</v>
      </c>
      <c r="D244" s="230">
        <v>3.68</v>
      </c>
      <c r="E244" s="334">
        <v>3.37</v>
      </c>
    </row>
    <row r="246" spans="1:5" ht="18" x14ac:dyDescent="0.25">
      <c r="A246" s="542" t="s">
        <v>5641</v>
      </c>
      <c r="B246" s="542"/>
      <c r="C246" s="542"/>
      <c r="D246" s="542"/>
      <c r="E246" s="542"/>
    </row>
    <row r="247" spans="1:5" x14ac:dyDescent="0.2">
      <c r="A247" s="225" t="s">
        <v>318</v>
      </c>
      <c r="B247" s="225" t="s">
        <v>285</v>
      </c>
      <c r="C247" s="225" t="s">
        <v>286</v>
      </c>
      <c r="D247" s="225" t="s">
        <v>287</v>
      </c>
      <c r="E247" s="225" t="s">
        <v>957</v>
      </c>
    </row>
    <row r="248" spans="1:5" x14ac:dyDescent="0.2">
      <c r="A248" s="232">
        <v>1</v>
      </c>
      <c r="B248" s="226" t="s">
        <v>293</v>
      </c>
      <c r="C248" s="226" t="s">
        <v>251</v>
      </c>
      <c r="D248" s="227">
        <v>9.15</v>
      </c>
      <c r="E248" s="243">
        <v>9.3699999999999992</v>
      </c>
    </row>
    <row r="249" spans="1:5" x14ac:dyDescent="0.2">
      <c r="A249" s="234">
        <v>2</v>
      </c>
      <c r="B249" s="229" t="s">
        <v>4134</v>
      </c>
      <c r="C249" s="229" t="s">
        <v>4135</v>
      </c>
      <c r="D249" s="230">
        <v>9.09</v>
      </c>
      <c r="E249" s="452">
        <v>9.33</v>
      </c>
    </row>
    <row r="250" spans="1:5" x14ac:dyDescent="0.2">
      <c r="A250" s="235">
        <v>3</v>
      </c>
      <c r="B250" s="226" t="s">
        <v>303</v>
      </c>
      <c r="C250" s="226" t="s">
        <v>2366</v>
      </c>
      <c r="D250" s="227">
        <v>9.08</v>
      </c>
      <c r="E250" s="248">
        <v>9.17</v>
      </c>
    </row>
    <row r="251" spans="1:5" x14ac:dyDescent="0.2">
      <c r="A251" s="236">
        <v>4</v>
      </c>
      <c r="B251" s="229" t="s">
        <v>303</v>
      </c>
      <c r="C251" s="229" t="s">
        <v>157</v>
      </c>
      <c r="D251" s="230">
        <v>9</v>
      </c>
      <c r="E251" s="250">
        <v>9.09</v>
      </c>
    </row>
    <row r="252" spans="1:5" x14ac:dyDescent="0.2">
      <c r="A252" s="236">
        <v>5</v>
      </c>
      <c r="B252" s="226" t="s">
        <v>2699</v>
      </c>
      <c r="C252" s="226" t="s">
        <v>2700</v>
      </c>
      <c r="D252" s="227">
        <v>8.8800000000000008</v>
      </c>
      <c r="E252" s="252">
        <v>9.0399999999999991</v>
      </c>
    </row>
    <row r="253" spans="1:5" x14ac:dyDescent="0.2">
      <c r="A253" s="236">
        <v>6</v>
      </c>
      <c r="B253" s="229" t="s">
        <v>1440</v>
      </c>
      <c r="C253" s="229" t="s">
        <v>1441</v>
      </c>
      <c r="D253" s="230">
        <v>8.67</v>
      </c>
      <c r="E253" s="255">
        <v>9</v>
      </c>
    </row>
    <row r="254" spans="1:5" x14ac:dyDescent="0.2">
      <c r="A254" s="236">
        <v>7</v>
      </c>
      <c r="B254" s="226" t="s">
        <v>312</v>
      </c>
      <c r="C254" s="226" t="s">
        <v>1715</v>
      </c>
      <c r="D254" s="227">
        <v>9</v>
      </c>
      <c r="E254" s="257">
        <v>8.9600000000000009</v>
      </c>
    </row>
    <row r="255" spans="1:5" x14ac:dyDescent="0.2">
      <c r="A255" s="236">
        <v>8</v>
      </c>
      <c r="B255" s="229" t="s">
        <v>1075</v>
      </c>
      <c r="C255" s="229" t="s">
        <v>1927</v>
      </c>
      <c r="D255" s="230">
        <v>8.7200000000000006</v>
      </c>
      <c r="E255" s="261">
        <v>8.91</v>
      </c>
    </row>
    <row r="256" spans="1:5" x14ac:dyDescent="0.2">
      <c r="A256" s="236">
        <v>9</v>
      </c>
      <c r="B256" s="226" t="s">
        <v>951</v>
      </c>
      <c r="C256" s="226" t="s">
        <v>4452</v>
      </c>
      <c r="D256" s="227">
        <v>9</v>
      </c>
      <c r="E256" s="261">
        <v>8.91</v>
      </c>
    </row>
    <row r="257" spans="1:5" x14ac:dyDescent="0.2">
      <c r="A257" s="236">
        <v>10</v>
      </c>
      <c r="B257" s="229" t="s">
        <v>1075</v>
      </c>
      <c r="C257" s="229" t="s">
        <v>1439</v>
      </c>
      <c r="D257" s="230">
        <v>8.7200000000000006</v>
      </c>
      <c r="E257" s="262">
        <v>8.89</v>
      </c>
    </row>
    <row r="258" spans="1:5" x14ac:dyDescent="0.2">
      <c r="A258" s="236">
        <v>11</v>
      </c>
      <c r="B258" s="226" t="s">
        <v>1625</v>
      </c>
      <c r="C258" s="226" t="s">
        <v>1626</v>
      </c>
      <c r="D258" s="227">
        <v>8.91</v>
      </c>
      <c r="E258" s="263">
        <v>8.8800000000000008</v>
      </c>
    </row>
    <row r="259" spans="1:5" x14ac:dyDescent="0.2">
      <c r="A259" s="236">
        <v>12</v>
      </c>
      <c r="B259" s="229" t="s">
        <v>2699</v>
      </c>
      <c r="C259" s="229" t="s">
        <v>2701</v>
      </c>
      <c r="D259" s="230">
        <v>8.8800000000000008</v>
      </c>
      <c r="E259" s="267">
        <v>8.84</v>
      </c>
    </row>
    <row r="260" spans="1:5" x14ac:dyDescent="0.2">
      <c r="A260" s="236">
        <v>13</v>
      </c>
      <c r="B260" s="226" t="s">
        <v>303</v>
      </c>
      <c r="C260" s="226" t="s">
        <v>588</v>
      </c>
      <c r="D260" s="227">
        <v>8.77</v>
      </c>
      <c r="E260" s="270">
        <v>8.7899999999999991</v>
      </c>
    </row>
    <row r="261" spans="1:5" x14ac:dyDescent="0.2">
      <c r="A261" s="236">
        <v>14</v>
      </c>
      <c r="B261" s="229" t="s">
        <v>1368</v>
      </c>
      <c r="C261" s="229" t="s">
        <v>1369</v>
      </c>
      <c r="D261" s="230">
        <v>8.73</v>
      </c>
      <c r="E261" s="273">
        <v>8.76</v>
      </c>
    </row>
    <row r="262" spans="1:5" x14ac:dyDescent="0.2">
      <c r="A262" s="236">
        <v>15</v>
      </c>
      <c r="B262" s="226" t="s">
        <v>1368</v>
      </c>
      <c r="C262" s="226" t="s">
        <v>4078</v>
      </c>
      <c r="D262" s="227">
        <v>8.83</v>
      </c>
      <c r="E262" s="275">
        <v>8.74</v>
      </c>
    </row>
    <row r="263" spans="1:5" x14ac:dyDescent="0.2">
      <c r="A263" s="236">
        <v>16</v>
      </c>
      <c r="B263" s="229" t="s">
        <v>1368</v>
      </c>
      <c r="C263" s="229" t="s">
        <v>3857</v>
      </c>
      <c r="D263" s="230">
        <v>8.65</v>
      </c>
      <c r="E263" s="277">
        <v>8.7100000000000009</v>
      </c>
    </row>
    <row r="264" spans="1:5" x14ac:dyDescent="0.2">
      <c r="A264" s="236">
        <v>17</v>
      </c>
      <c r="B264" s="226" t="s">
        <v>2699</v>
      </c>
      <c r="C264" s="226" t="s">
        <v>3911</v>
      </c>
      <c r="D264" s="227">
        <v>8.68</v>
      </c>
      <c r="E264" s="277">
        <v>8.7100000000000009</v>
      </c>
    </row>
    <row r="265" spans="1:5" x14ac:dyDescent="0.2">
      <c r="A265" s="236">
        <v>18</v>
      </c>
      <c r="B265" s="229" t="s">
        <v>1393</v>
      </c>
      <c r="C265" s="229" t="s">
        <v>1394</v>
      </c>
      <c r="D265" s="230">
        <v>8.75</v>
      </c>
      <c r="E265" s="278">
        <v>8.6999999999999993</v>
      </c>
    </row>
    <row r="266" spans="1:5" x14ac:dyDescent="0.2">
      <c r="A266" s="236">
        <v>19</v>
      </c>
      <c r="B266" s="226" t="s">
        <v>1368</v>
      </c>
      <c r="C266" s="226" t="s">
        <v>3305</v>
      </c>
      <c r="D266" s="227">
        <v>8.8000000000000007</v>
      </c>
      <c r="E266" s="278">
        <v>8.6999999999999993</v>
      </c>
    </row>
    <row r="267" spans="1:5" x14ac:dyDescent="0.2">
      <c r="A267" s="236">
        <v>20</v>
      </c>
      <c r="B267" s="229" t="s">
        <v>3515</v>
      </c>
      <c r="C267" s="229" t="s">
        <v>3508</v>
      </c>
      <c r="D267" s="230">
        <v>8.82</v>
      </c>
      <c r="E267" s="336">
        <v>8.69</v>
      </c>
    </row>
    <row r="268" spans="1:5" x14ac:dyDescent="0.2">
      <c r="A268" s="236">
        <v>21</v>
      </c>
      <c r="B268" s="226" t="s">
        <v>5349</v>
      </c>
      <c r="C268" s="226" t="s">
        <v>5350</v>
      </c>
      <c r="D268" s="227">
        <v>8.65</v>
      </c>
      <c r="E268" s="336">
        <v>8.69</v>
      </c>
    </row>
    <row r="269" spans="1:5" x14ac:dyDescent="0.2">
      <c r="A269" s="236">
        <v>22</v>
      </c>
      <c r="B269" s="229" t="s">
        <v>5512</v>
      </c>
      <c r="C269" s="229" t="s">
        <v>5513</v>
      </c>
      <c r="D269" s="230">
        <v>8.75</v>
      </c>
      <c r="E269" s="336">
        <v>8.69</v>
      </c>
    </row>
    <row r="270" spans="1:5" x14ac:dyDescent="0.2">
      <c r="A270" s="236">
        <v>23</v>
      </c>
      <c r="B270" s="226" t="s">
        <v>1368</v>
      </c>
      <c r="C270" s="226" t="s">
        <v>2417</v>
      </c>
      <c r="D270" s="227">
        <v>8.6300000000000008</v>
      </c>
      <c r="E270" s="280">
        <v>8.67</v>
      </c>
    </row>
    <row r="271" spans="1:5" x14ac:dyDescent="0.2">
      <c r="A271" s="236">
        <v>24</v>
      </c>
      <c r="B271" s="229" t="s">
        <v>309</v>
      </c>
      <c r="C271" s="229" t="s">
        <v>218</v>
      </c>
      <c r="D271" s="230">
        <v>8.77</v>
      </c>
      <c r="E271" s="281">
        <v>8.66</v>
      </c>
    </row>
    <row r="272" spans="1:5" x14ac:dyDescent="0.2">
      <c r="A272" s="236">
        <v>25</v>
      </c>
      <c r="B272" s="226" t="s">
        <v>1368</v>
      </c>
      <c r="C272" s="226" t="s">
        <v>3356</v>
      </c>
      <c r="D272" s="227">
        <v>8.6</v>
      </c>
      <c r="E272" s="281">
        <v>8.66</v>
      </c>
    </row>
    <row r="273" spans="1:5" x14ac:dyDescent="0.2">
      <c r="A273" s="236">
        <v>26</v>
      </c>
      <c r="B273" s="229" t="s">
        <v>2699</v>
      </c>
      <c r="C273" s="229" t="s">
        <v>2973</v>
      </c>
      <c r="D273" s="230">
        <v>8.75</v>
      </c>
      <c r="E273" s="282">
        <v>8.65</v>
      </c>
    </row>
    <row r="274" spans="1:5" x14ac:dyDescent="0.2">
      <c r="A274" s="236">
        <v>27</v>
      </c>
      <c r="B274" s="226" t="s">
        <v>5624</v>
      </c>
      <c r="C274" s="226" t="s">
        <v>5625</v>
      </c>
      <c r="D274" s="227">
        <v>8.75</v>
      </c>
      <c r="E274" s="283">
        <v>8.64</v>
      </c>
    </row>
    <row r="275" spans="1:5" x14ac:dyDescent="0.2">
      <c r="A275" s="236">
        <v>28</v>
      </c>
      <c r="B275" s="229" t="s">
        <v>3007</v>
      </c>
      <c r="C275" s="229" t="s">
        <v>3008</v>
      </c>
      <c r="D275" s="230">
        <v>8.6999999999999993</v>
      </c>
      <c r="E275" s="286">
        <v>8.61</v>
      </c>
    </row>
    <row r="276" spans="1:5" x14ac:dyDescent="0.2">
      <c r="A276" s="236">
        <v>29</v>
      </c>
      <c r="B276" s="226" t="s">
        <v>2722</v>
      </c>
      <c r="C276" s="226" t="s">
        <v>2723</v>
      </c>
      <c r="D276" s="227">
        <v>8.65</v>
      </c>
      <c r="E276" s="290">
        <v>8.56</v>
      </c>
    </row>
    <row r="277" spans="1:5" x14ac:dyDescent="0.2">
      <c r="A277" s="236">
        <v>30</v>
      </c>
      <c r="B277" s="229" t="s">
        <v>1368</v>
      </c>
      <c r="C277" s="229" t="s">
        <v>4052</v>
      </c>
      <c r="D277" s="230">
        <v>8.64</v>
      </c>
      <c r="E277" s="291">
        <v>8.5500000000000007</v>
      </c>
    </row>
    <row r="278" spans="1:5" x14ac:dyDescent="0.2">
      <c r="A278" s="236">
        <v>31</v>
      </c>
      <c r="B278" s="226" t="s">
        <v>1368</v>
      </c>
      <c r="C278" s="226" t="s">
        <v>2467</v>
      </c>
      <c r="D278" s="227">
        <v>8.69</v>
      </c>
      <c r="E278" s="292">
        <v>8.5399999999999991</v>
      </c>
    </row>
    <row r="279" spans="1:5" x14ac:dyDescent="0.2">
      <c r="A279" s="236">
        <v>32</v>
      </c>
      <c r="B279" s="229" t="s">
        <v>2597</v>
      </c>
      <c r="C279" s="229" t="s">
        <v>2597</v>
      </c>
      <c r="D279" s="230">
        <v>8.6300000000000008</v>
      </c>
      <c r="E279" s="292">
        <v>8.5399999999999991</v>
      </c>
    </row>
    <row r="280" spans="1:5" x14ac:dyDescent="0.2">
      <c r="A280" s="236">
        <v>33</v>
      </c>
      <c r="B280" s="226" t="s">
        <v>2597</v>
      </c>
      <c r="C280" s="226" t="s">
        <v>3246</v>
      </c>
      <c r="D280" s="227">
        <v>8.6300000000000008</v>
      </c>
      <c r="E280" s="293">
        <v>8.5299999999999994</v>
      </c>
    </row>
    <row r="281" spans="1:5" x14ac:dyDescent="0.2">
      <c r="A281" s="236">
        <v>34</v>
      </c>
      <c r="B281" s="229" t="s">
        <v>4641</v>
      </c>
      <c r="C281" s="229" t="s">
        <v>4642</v>
      </c>
      <c r="D281" s="230">
        <v>8.59</v>
      </c>
      <c r="E281" s="295">
        <v>8.5</v>
      </c>
    </row>
    <row r="282" spans="1:5" x14ac:dyDescent="0.2">
      <c r="A282" s="236">
        <v>35</v>
      </c>
      <c r="B282" s="226" t="s">
        <v>4227</v>
      </c>
      <c r="C282" s="226" t="s">
        <v>4219</v>
      </c>
      <c r="D282" s="227">
        <v>8.56</v>
      </c>
      <c r="E282" s="370">
        <v>8.48</v>
      </c>
    </row>
    <row r="283" spans="1:5" x14ac:dyDescent="0.2">
      <c r="A283" s="236">
        <v>36</v>
      </c>
      <c r="B283" s="229" t="s">
        <v>1625</v>
      </c>
      <c r="C283" s="229" t="s">
        <v>2582</v>
      </c>
      <c r="D283" s="230">
        <v>8.5</v>
      </c>
      <c r="E283" s="297">
        <v>8.4700000000000006</v>
      </c>
    </row>
    <row r="284" spans="1:5" x14ac:dyDescent="0.2">
      <c r="A284" s="236">
        <v>37</v>
      </c>
      <c r="B284" s="226" t="s">
        <v>1121</v>
      </c>
      <c r="C284" s="226" t="s">
        <v>1122</v>
      </c>
      <c r="D284" s="227">
        <v>8.5299999999999994</v>
      </c>
      <c r="E284" s="299">
        <v>8.4499999999999993</v>
      </c>
    </row>
    <row r="285" spans="1:5" x14ac:dyDescent="0.2">
      <c r="A285" s="236">
        <v>38</v>
      </c>
      <c r="B285" s="229" t="s">
        <v>1648</v>
      </c>
      <c r="C285" s="229" t="s">
        <v>1649</v>
      </c>
      <c r="D285" s="230">
        <v>8.5</v>
      </c>
      <c r="E285" s="299">
        <v>8.4499999999999993</v>
      </c>
    </row>
    <row r="286" spans="1:5" x14ac:dyDescent="0.2">
      <c r="A286" s="236">
        <v>39</v>
      </c>
      <c r="B286" s="226" t="s">
        <v>5606</v>
      </c>
      <c r="C286" s="226" t="s">
        <v>5607</v>
      </c>
      <c r="D286" s="227">
        <v>8.4700000000000006</v>
      </c>
      <c r="E286" s="302">
        <v>8.39</v>
      </c>
    </row>
    <row r="287" spans="1:5" x14ac:dyDescent="0.2">
      <c r="A287" s="236">
        <v>40</v>
      </c>
      <c r="B287" s="229" t="s">
        <v>1163</v>
      </c>
      <c r="C287" s="229" t="s">
        <v>1153</v>
      </c>
      <c r="D287" s="230">
        <v>8.4499999999999993</v>
      </c>
      <c r="E287" s="303">
        <v>8.3800000000000008</v>
      </c>
    </row>
    <row r="288" spans="1:5" x14ac:dyDescent="0.2">
      <c r="A288" s="236">
        <v>41</v>
      </c>
      <c r="B288" s="226" t="s">
        <v>2702</v>
      </c>
      <c r="C288" s="226" t="s">
        <v>2703</v>
      </c>
      <c r="D288" s="227">
        <v>8.4</v>
      </c>
      <c r="E288" s="304">
        <v>8.3699999999999992</v>
      </c>
    </row>
    <row r="289" spans="1:5" x14ac:dyDescent="0.2">
      <c r="A289" s="236">
        <v>42</v>
      </c>
      <c r="B289" s="229" t="s">
        <v>3583</v>
      </c>
      <c r="C289" s="229" t="s">
        <v>3584</v>
      </c>
      <c r="D289" s="230">
        <v>8.35</v>
      </c>
      <c r="E289" s="307">
        <v>8.27</v>
      </c>
    </row>
    <row r="290" spans="1:5" x14ac:dyDescent="0.2">
      <c r="A290" s="236">
        <v>43</v>
      </c>
      <c r="B290" s="226" t="s">
        <v>4758</v>
      </c>
      <c r="C290" s="226" t="s">
        <v>4759</v>
      </c>
      <c r="D290" s="227">
        <v>8.35</v>
      </c>
      <c r="E290" s="311">
        <v>8.2200000000000006</v>
      </c>
    </row>
    <row r="291" spans="1:5" x14ac:dyDescent="0.2">
      <c r="A291" s="236">
        <v>44</v>
      </c>
      <c r="B291" s="229" t="s">
        <v>533</v>
      </c>
      <c r="C291" s="229" t="s">
        <v>534</v>
      </c>
      <c r="D291" s="230">
        <v>8.31</v>
      </c>
      <c r="E291" s="314">
        <v>8.16</v>
      </c>
    </row>
    <row r="292" spans="1:5" x14ac:dyDescent="0.2">
      <c r="A292" s="236">
        <v>45</v>
      </c>
      <c r="B292" s="226" t="s">
        <v>5347</v>
      </c>
      <c r="C292" s="226" t="s">
        <v>5348</v>
      </c>
      <c r="D292" s="227">
        <v>8.23</v>
      </c>
      <c r="E292" s="528">
        <v>8.1</v>
      </c>
    </row>
    <row r="293" spans="1:5" x14ac:dyDescent="0.2">
      <c r="A293" s="236">
        <v>46</v>
      </c>
      <c r="B293" s="229" t="s">
        <v>303</v>
      </c>
      <c r="C293" s="229" t="s">
        <v>651</v>
      </c>
      <c r="D293" s="230">
        <v>8.07</v>
      </c>
      <c r="E293" s="321">
        <v>7.95</v>
      </c>
    </row>
    <row r="294" spans="1:5" x14ac:dyDescent="0.2">
      <c r="A294" s="236">
        <v>47</v>
      </c>
      <c r="B294" s="226" t="s">
        <v>4485</v>
      </c>
      <c r="C294" s="226" t="s">
        <v>4486</v>
      </c>
      <c r="D294" s="227">
        <v>7.88</v>
      </c>
      <c r="E294" s="350">
        <v>7.84</v>
      </c>
    </row>
    <row r="295" spans="1:5" x14ac:dyDescent="0.2">
      <c r="A295" s="236">
        <v>48</v>
      </c>
      <c r="B295" s="229" t="s">
        <v>303</v>
      </c>
      <c r="C295" s="229" t="s">
        <v>1444</v>
      </c>
      <c r="D295" s="230">
        <v>8</v>
      </c>
      <c r="E295" s="323">
        <v>7.79</v>
      </c>
    </row>
    <row r="296" spans="1:5" x14ac:dyDescent="0.2">
      <c r="A296" s="236">
        <v>49</v>
      </c>
      <c r="B296" s="226" t="s">
        <v>293</v>
      </c>
      <c r="C296" s="226" t="s">
        <v>899</v>
      </c>
      <c r="D296" s="227">
        <v>7.88</v>
      </c>
      <c r="E296" s="324">
        <v>7.74</v>
      </c>
    </row>
    <row r="298" spans="1:5" ht="18" x14ac:dyDescent="0.25">
      <c r="A298" s="542" t="s">
        <v>4829</v>
      </c>
      <c r="B298" s="542"/>
      <c r="C298" s="542"/>
      <c r="D298" s="542"/>
      <c r="E298" s="542"/>
    </row>
    <row r="299" spans="1:5" x14ac:dyDescent="0.2">
      <c r="A299" s="225" t="s">
        <v>318</v>
      </c>
      <c r="B299" s="225" t="s">
        <v>285</v>
      </c>
      <c r="C299" s="225" t="s">
        <v>286</v>
      </c>
      <c r="D299" s="225" t="s">
        <v>287</v>
      </c>
      <c r="E299" s="225" t="s">
        <v>957</v>
      </c>
    </row>
    <row r="300" spans="1:5" x14ac:dyDescent="0.2">
      <c r="A300" s="232">
        <v>1</v>
      </c>
      <c r="B300" s="226" t="s">
        <v>1491</v>
      </c>
      <c r="C300" s="226" t="s">
        <v>2190</v>
      </c>
      <c r="D300" s="227">
        <v>9.07</v>
      </c>
      <c r="E300" s="254">
        <v>9.02</v>
      </c>
    </row>
    <row r="301" spans="1:5" x14ac:dyDescent="0.2">
      <c r="A301" s="234">
        <v>2</v>
      </c>
      <c r="B301" s="229" t="s">
        <v>2540</v>
      </c>
      <c r="C301" s="229" t="s">
        <v>2533</v>
      </c>
      <c r="D301" s="230">
        <v>9.06</v>
      </c>
      <c r="E301" s="254">
        <v>9.02</v>
      </c>
    </row>
    <row r="302" spans="1:5" x14ac:dyDescent="0.2">
      <c r="A302" s="235">
        <v>3</v>
      </c>
      <c r="B302" s="226" t="s">
        <v>312</v>
      </c>
      <c r="C302" s="226" t="s">
        <v>1715</v>
      </c>
      <c r="D302" s="227">
        <v>9</v>
      </c>
      <c r="E302" s="257">
        <v>8.9600000000000009</v>
      </c>
    </row>
    <row r="303" spans="1:5" x14ac:dyDescent="0.2">
      <c r="A303" s="236">
        <v>4</v>
      </c>
      <c r="B303" s="229" t="s">
        <v>312</v>
      </c>
      <c r="C303" s="229" t="s">
        <v>1080</v>
      </c>
      <c r="D303" s="230">
        <v>8.77</v>
      </c>
      <c r="E303" s="262">
        <v>8.89</v>
      </c>
    </row>
    <row r="304" spans="1:5" x14ac:dyDescent="0.2">
      <c r="A304" s="236">
        <v>5</v>
      </c>
      <c r="B304" s="226" t="s">
        <v>677</v>
      </c>
      <c r="C304" s="226" t="s">
        <v>1318</v>
      </c>
      <c r="D304" s="227">
        <v>8.8800000000000008</v>
      </c>
      <c r="E304" s="262">
        <v>8.89</v>
      </c>
    </row>
    <row r="305" spans="1:5" x14ac:dyDescent="0.2">
      <c r="A305" s="236">
        <v>6</v>
      </c>
      <c r="B305" s="229" t="s">
        <v>2901</v>
      </c>
      <c r="C305" s="229" t="s">
        <v>2886</v>
      </c>
      <c r="D305" s="230">
        <v>8.8000000000000007</v>
      </c>
      <c r="E305" s="264">
        <v>8.8699999999999992</v>
      </c>
    </row>
    <row r="306" spans="1:5" x14ac:dyDescent="0.2">
      <c r="A306" s="236">
        <v>7</v>
      </c>
      <c r="B306" s="226" t="s">
        <v>4428</v>
      </c>
      <c r="C306" s="226" t="s">
        <v>4400</v>
      </c>
      <c r="D306" s="227">
        <v>8.86</v>
      </c>
      <c r="E306" s="264">
        <v>8.8699999999999992</v>
      </c>
    </row>
    <row r="307" spans="1:5" x14ac:dyDescent="0.2">
      <c r="A307" s="236">
        <v>8</v>
      </c>
      <c r="B307" s="229" t="s">
        <v>2165</v>
      </c>
      <c r="C307" s="229" t="s">
        <v>2314</v>
      </c>
      <c r="D307" s="230">
        <v>8.7899999999999991</v>
      </c>
      <c r="E307" s="265">
        <v>8.86</v>
      </c>
    </row>
    <row r="308" spans="1:5" x14ac:dyDescent="0.2">
      <c r="A308" s="236">
        <v>9</v>
      </c>
      <c r="B308" s="226" t="s">
        <v>3273</v>
      </c>
      <c r="C308" s="226" t="s">
        <v>3273</v>
      </c>
      <c r="D308" s="227">
        <v>8.82</v>
      </c>
      <c r="E308" s="267">
        <v>8.83</v>
      </c>
    </row>
    <row r="309" spans="1:5" x14ac:dyDescent="0.2">
      <c r="A309" s="236">
        <v>10</v>
      </c>
      <c r="B309" s="229" t="s">
        <v>677</v>
      </c>
      <c r="C309" s="229" t="s">
        <v>673</v>
      </c>
      <c r="D309" s="230">
        <v>8.67</v>
      </c>
      <c r="E309" s="274">
        <v>8.75</v>
      </c>
    </row>
    <row r="310" spans="1:5" x14ac:dyDescent="0.2">
      <c r="A310" s="236">
        <v>11</v>
      </c>
      <c r="B310" s="226" t="s">
        <v>1393</v>
      </c>
      <c r="C310" s="226" t="s">
        <v>1394</v>
      </c>
      <c r="D310" s="227">
        <v>8.75</v>
      </c>
      <c r="E310" s="278">
        <v>8.6999999999999993</v>
      </c>
    </row>
    <row r="311" spans="1:5" x14ac:dyDescent="0.2">
      <c r="A311" s="236">
        <v>12</v>
      </c>
      <c r="B311" s="229" t="s">
        <v>1491</v>
      </c>
      <c r="C311" s="229" t="s">
        <v>1484</v>
      </c>
      <c r="D311" s="230">
        <v>8.75</v>
      </c>
      <c r="E311" s="284">
        <v>8.6300000000000008</v>
      </c>
    </row>
    <row r="312" spans="1:5" x14ac:dyDescent="0.2">
      <c r="A312" s="236">
        <v>13</v>
      </c>
      <c r="B312" s="226" t="s">
        <v>2053</v>
      </c>
      <c r="C312" s="226" t="s">
        <v>2054</v>
      </c>
      <c r="D312" s="227">
        <v>8.73</v>
      </c>
      <c r="E312" s="284">
        <v>8.6300000000000008</v>
      </c>
    </row>
    <row r="313" spans="1:5" x14ac:dyDescent="0.2">
      <c r="A313" s="236">
        <v>14</v>
      </c>
      <c r="B313" s="229" t="s">
        <v>2901</v>
      </c>
      <c r="C313" s="229" t="s">
        <v>2901</v>
      </c>
      <c r="D313" s="230">
        <v>8.68</v>
      </c>
      <c r="E313" s="337">
        <v>8.59</v>
      </c>
    </row>
    <row r="314" spans="1:5" x14ac:dyDescent="0.2">
      <c r="A314" s="236">
        <v>15</v>
      </c>
      <c r="B314" s="226" t="s">
        <v>311</v>
      </c>
      <c r="C314" s="226" t="s">
        <v>158</v>
      </c>
      <c r="D314" s="227">
        <v>8.65</v>
      </c>
      <c r="E314" s="290">
        <v>8.56</v>
      </c>
    </row>
    <row r="315" spans="1:5" x14ac:dyDescent="0.2">
      <c r="A315" s="236">
        <v>16</v>
      </c>
      <c r="B315" s="229" t="s">
        <v>2722</v>
      </c>
      <c r="C315" s="229" t="s">
        <v>2723</v>
      </c>
      <c r="D315" s="230">
        <v>8.65</v>
      </c>
      <c r="E315" s="290">
        <v>8.56</v>
      </c>
    </row>
    <row r="316" spans="1:5" x14ac:dyDescent="0.2">
      <c r="A316" s="236">
        <v>17</v>
      </c>
      <c r="B316" s="226" t="s">
        <v>2222</v>
      </c>
      <c r="C316" s="226" t="s">
        <v>2223</v>
      </c>
      <c r="D316" s="227">
        <v>8.61</v>
      </c>
      <c r="E316" s="291">
        <v>8.5500000000000007</v>
      </c>
    </row>
    <row r="317" spans="1:5" x14ac:dyDescent="0.2">
      <c r="A317" s="236">
        <v>18</v>
      </c>
      <c r="B317" s="229" t="s">
        <v>2253</v>
      </c>
      <c r="C317" s="229" t="s">
        <v>2254</v>
      </c>
      <c r="D317" s="230">
        <v>8.69</v>
      </c>
      <c r="E317" s="293">
        <v>8.5299999999999994</v>
      </c>
    </row>
    <row r="318" spans="1:5" x14ac:dyDescent="0.2">
      <c r="A318" s="236">
        <v>19</v>
      </c>
      <c r="B318" s="226" t="s">
        <v>2953</v>
      </c>
      <c r="C318" s="226" t="s">
        <v>2941</v>
      </c>
      <c r="D318" s="227">
        <v>8.6300000000000008</v>
      </c>
      <c r="E318" s="293">
        <v>8.5299999999999994</v>
      </c>
    </row>
    <row r="319" spans="1:5" x14ac:dyDescent="0.2">
      <c r="A319" s="236">
        <v>20</v>
      </c>
      <c r="B319" s="229" t="s">
        <v>1728</v>
      </c>
      <c r="C319" s="229" t="s">
        <v>1729</v>
      </c>
      <c r="D319" s="230">
        <v>8.6</v>
      </c>
      <c r="E319" s="294">
        <v>8.52</v>
      </c>
    </row>
    <row r="320" spans="1:5" x14ac:dyDescent="0.2">
      <c r="A320" s="236">
        <v>21</v>
      </c>
      <c r="B320" s="226" t="s">
        <v>4761</v>
      </c>
      <c r="C320" s="226" t="s">
        <v>891</v>
      </c>
      <c r="D320" s="227">
        <v>8.6</v>
      </c>
      <c r="E320" s="294">
        <v>8.52</v>
      </c>
    </row>
    <row r="321" spans="1:5" x14ac:dyDescent="0.2">
      <c r="A321" s="236">
        <v>22</v>
      </c>
      <c r="B321" s="229" t="s">
        <v>4641</v>
      </c>
      <c r="C321" s="229" t="s">
        <v>4642</v>
      </c>
      <c r="D321" s="230">
        <v>8.59</v>
      </c>
      <c r="E321" s="295">
        <v>8.5</v>
      </c>
    </row>
    <row r="322" spans="1:5" x14ac:dyDescent="0.2">
      <c r="A322" s="236">
        <v>23</v>
      </c>
      <c r="B322" s="226" t="s">
        <v>1121</v>
      </c>
      <c r="C322" s="226" t="s">
        <v>1122</v>
      </c>
      <c r="D322" s="227">
        <v>8.5299999999999994</v>
      </c>
      <c r="E322" s="299">
        <v>8.4499999999999993</v>
      </c>
    </row>
    <row r="323" spans="1:5" x14ac:dyDescent="0.2">
      <c r="A323" s="236">
        <v>24</v>
      </c>
      <c r="B323" s="229" t="s">
        <v>1648</v>
      </c>
      <c r="C323" s="229" t="s">
        <v>1649</v>
      </c>
      <c r="D323" s="230">
        <v>8.5</v>
      </c>
      <c r="E323" s="299">
        <v>8.4499999999999993</v>
      </c>
    </row>
    <row r="324" spans="1:5" x14ac:dyDescent="0.2">
      <c r="A324" s="236">
        <v>25</v>
      </c>
      <c r="B324" s="226" t="s">
        <v>2165</v>
      </c>
      <c r="C324" s="226" t="s">
        <v>2742</v>
      </c>
      <c r="D324" s="227">
        <v>8.39</v>
      </c>
      <c r="E324" s="302">
        <v>8.39</v>
      </c>
    </row>
    <row r="325" spans="1:5" x14ac:dyDescent="0.2">
      <c r="A325" s="236">
        <v>26</v>
      </c>
      <c r="B325" s="229" t="s">
        <v>1728</v>
      </c>
      <c r="C325" s="229" t="s">
        <v>4813</v>
      </c>
      <c r="D325" s="230">
        <v>8.3800000000000008</v>
      </c>
      <c r="E325" s="305">
        <v>8.34</v>
      </c>
    </row>
    <row r="326" spans="1:5" x14ac:dyDescent="0.2">
      <c r="A326" s="236">
        <v>27</v>
      </c>
      <c r="B326" s="226" t="s">
        <v>4758</v>
      </c>
      <c r="C326" s="226" t="s">
        <v>4759</v>
      </c>
      <c r="D326" s="227">
        <v>8.35</v>
      </c>
      <c r="E326" s="311">
        <v>8.2200000000000006</v>
      </c>
    </row>
    <row r="327" spans="1:5" x14ac:dyDescent="0.2">
      <c r="A327" s="236">
        <v>28</v>
      </c>
      <c r="B327" s="229" t="s">
        <v>4680</v>
      </c>
      <c r="C327" s="229" t="s">
        <v>4680</v>
      </c>
      <c r="D327" s="230">
        <v>8.35</v>
      </c>
      <c r="E327" s="491">
        <v>8.19</v>
      </c>
    </row>
    <row r="328" spans="1:5" x14ac:dyDescent="0.2">
      <c r="A328" s="236">
        <v>29</v>
      </c>
      <c r="B328" s="226" t="s">
        <v>2793</v>
      </c>
      <c r="C328" s="226" t="s">
        <v>2794</v>
      </c>
      <c r="D328" s="227">
        <v>8.25</v>
      </c>
      <c r="E328" s="313">
        <v>8.18</v>
      </c>
    </row>
    <row r="329" spans="1:5" x14ac:dyDescent="0.2">
      <c r="A329" s="236">
        <v>30</v>
      </c>
      <c r="B329" s="229" t="s">
        <v>677</v>
      </c>
      <c r="C329" s="229" t="s">
        <v>1180</v>
      </c>
      <c r="D329" s="230">
        <v>8.11</v>
      </c>
      <c r="E329" s="319">
        <v>8</v>
      </c>
    </row>
    <row r="331" spans="1:5" ht="18" x14ac:dyDescent="0.25">
      <c r="A331" s="542" t="s">
        <v>5585</v>
      </c>
      <c r="B331" s="542"/>
      <c r="C331" s="542"/>
      <c r="D331" s="542"/>
      <c r="E331" s="542"/>
    </row>
    <row r="332" spans="1:5" x14ac:dyDescent="0.2">
      <c r="A332" s="225" t="s">
        <v>318</v>
      </c>
      <c r="B332" s="225" t="s">
        <v>285</v>
      </c>
      <c r="C332" s="225" t="s">
        <v>286</v>
      </c>
      <c r="D332" s="225" t="s">
        <v>287</v>
      </c>
      <c r="E332" s="225" t="s">
        <v>957</v>
      </c>
    </row>
    <row r="333" spans="1:5" x14ac:dyDescent="0.2">
      <c r="A333" s="232">
        <v>1</v>
      </c>
      <c r="B333" s="226" t="s">
        <v>774</v>
      </c>
      <c r="C333" s="226" t="s">
        <v>4398</v>
      </c>
      <c r="D333" s="227">
        <v>8.86</v>
      </c>
      <c r="E333" s="260">
        <v>8.92</v>
      </c>
    </row>
    <row r="334" spans="1:5" x14ac:dyDescent="0.2">
      <c r="A334" s="234">
        <v>2</v>
      </c>
      <c r="B334" s="229" t="s">
        <v>774</v>
      </c>
      <c r="C334" s="229" t="s">
        <v>775</v>
      </c>
      <c r="D334" s="230">
        <v>8.82</v>
      </c>
      <c r="E334" s="270">
        <v>8.7899999999999991</v>
      </c>
    </row>
    <row r="335" spans="1:5" x14ac:dyDescent="0.2">
      <c r="A335" s="235">
        <v>3</v>
      </c>
      <c r="B335" s="226" t="s">
        <v>308</v>
      </c>
      <c r="C335" s="226" t="s">
        <v>240</v>
      </c>
      <c r="D335" s="227">
        <v>8.7799999999999994</v>
      </c>
      <c r="E335" s="273">
        <v>8.76</v>
      </c>
    </row>
    <row r="336" spans="1:5" x14ac:dyDescent="0.2">
      <c r="A336" s="236">
        <v>4</v>
      </c>
      <c r="B336" s="229" t="s">
        <v>795</v>
      </c>
      <c r="C336" s="229" t="s">
        <v>790</v>
      </c>
      <c r="D336" s="230">
        <v>8.7100000000000009</v>
      </c>
      <c r="E336" s="273">
        <v>8.76</v>
      </c>
    </row>
    <row r="337" spans="1:5" x14ac:dyDescent="0.2">
      <c r="A337" s="236">
        <v>5</v>
      </c>
      <c r="B337" s="226" t="s">
        <v>1265</v>
      </c>
      <c r="C337" s="226" t="s">
        <v>1266</v>
      </c>
      <c r="D337" s="227">
        <v>8.7899999999999991</v>
      </c>
      <c r="E337" s="277">
        <v>8.7100000000000009</v>
      </c>
    </row>
    <row r="338" spans="1:5" x14ac:dyDescent="0.2">
      <c r="A338" s="236">
        <v>6</v>
      </c>
      <c r="B338" s="229" t="s">
        <v>5568</v>
      </c>
      <c r="C338" s="229" t="s">
        <v>5564</v>
      </c>
      <c r="D338" s="230">
        <v>8.8000000000000007</v>
      </c>
      <c r="E338" s="336">
        <v>8.69</v>
      </c>
    </row>
    <row r="339" spans="1:5" x14ac:dyDescent="0.2">
      <c r="A339" s="236">
        <v>7</v>
      </c>
      <c r="B339" s="226" t="s">
        <v>1348</v>
      </c>
      <c r="C339" s="226" t="s">
        <v>1353</v>
      </c>
      <c r="D339" s="227">
        <v>8.8000000000000007</v>
      </c>
      <c r="E339" s="279">
        <v>8.68</v>
      </c>
    </row>
    <row r="340" spans="1:5" x14ac:dyDescent="0.2">
      <c r="A340" s="236">
        <v>8</v>
      </c>
      <c r="B340" s="229" t="s">
        <v>774</v>
      </c>
      <c r="C340" s="229" t="s">
        <v>2639</v>
      </c>
      <c r="D340" s="230">
        <v>8.73</v>
      </c>
      <c r="E340" s="285">
        <v>8.6199999999999992</v>
      </c>
    </row>
    <row r="341" spans="1:5" x14ac:dyDescent="0.2">
      <c r="A341" s="236">
        <v>9</v>
      </c>
      <c r="B341" s="226" t="s">
        <v>795</v>
      </c>
      <c r="C341" s="226" t="s">
        <v>2110</v>
      </c>
      <c r="D341" s="227">
        <v>8.57</v>
      </c>
      <c r="E341" s="296">
        <v>8.49</v>
      </c>
    </row>
    <row r="342" spans="1:5" x14ac:dyDescent="0.2">
      <c r="A342" s="236">
        <v>10</v>
      </c>
      <c r="B342" s="229" t="s">
        <v>3639</v>
      </c>
      <c r="C342" s="229" t="s">
        <v>3640</v>
      </c>
      <c r="D342" s="230">
        <v>8.5399999999999991</v>
      </c>
      <c r="E342" s="296">
        <v>8.49</v>
      </c>
    </row>
    <row r="343" spans="1:5" x14ac:dyDescent="0.2">
      <c r="A343" s="236">
        <v>11</v>
      </c>
      <c r="B343" s="226" t="s">
        <v>493</v>
      </c>
      <c r="C343" s="226" t="s">
        <v>494</v>
      </c>
      <c r="D343" s="227">
        <v>8.5</v>
      </c>
      <c r="E343" s="300">
        <v>8.43</v>
      </c>
    </row>
    <row r="344" spans="1:5" x14ac:dyDescent="0.2">
      <c r="A344" s="236">
        <v>12</v>
      </c>
      <c r="B344" s="229" t="s">
        <v>2089</v>
      </c>
      <c r="C344" s="229" t="s">
        <v>2090</v>
      </c>
      <c r="D344" s="230">
        <v>8.5399999999999991</v>
      </c>
      <c r="E344" s="301">
        <v>8.41</v>
      </c>
    </row>
    <row r="345" spans="1:5" x14ac:dyDescent="0.2">
      <c r="A345" s="236">
        <v>13</v>
      </c>
      <c r="B345" s="226" t="s">
        <v>334</v>
      </c>
      <c r="C345" s="226" t="s">
        <v>335</v>
      </c>
      <c r="D345" s="227">
        <v>8.4600000000000009</v>
      </c>
      <c r="E345" s="302">
        <v>8.39</v>
      </c>
    </row>
    <row r="346" spans="1:5" x14ac:dyDescent="0.2">
      <c r="A346" s="236">
        <v>14</v>
      </c>
      <c r="B346" s="229" t="s">
        <v>1893</v>
      </c>
      <c r="C346" s="229" t="s">
        <v>1879</v>
      </c>
      <c r="D346" s="230">
        <v>8.3800000000000008</v>
      </c>
      <c r="E346" s="306">
        <v>8.33</v>
      </c>
    </row>
    <row r="347" spans="1:5" x14ac:dyDescent="0.2">
      <c r="A347" s="236">
        <v>15</v>
      </c>
      <c r="B347" s="226" t="s">
        <v>607</v>
      </c>
      <c r="C347" s="226" t="s">
        <v>3329</v>
      </c>
      <c r="D347" s="227">
        <v>8.3800000000000008</v>
      </c>
      <c r="E347" s="387">
        <v>8.2799999999999994</v>
      </c>
    </row>
    <row r="348" spans="1:5" x14ac:dyDescent="0.2">
      <c r="A348" s="236">
        <v>16</v>
      </c>
      <c r="B348" s="229" t="s">
        <v>677</v>
      </c>
      <c r="C348" s="229" t="s">
        <v>677</v>
      </c>
      <c r="D348" s="230">
        <v>8.24</v>
      </c>
      <c r="E348" s="310">
        <v>8.23</v>
      </c>
    </row>
    <row r="349" spans="1:5" x14ac:dyDescent="0.2">
      <c r="A349" s="236">
        <v>17</v>
      </c>
      <c r="B349" s="226" t="s">
        <v>319</v>
      </c>
      <c r="C349" s="226" t="s">
        <v>320</v>
      </c>
      <c r="D349" s="227">
        <v>8.33</v>
      </c>
      <c r="E349" s="314">
        <v>8.17</v>
      </c>
    </row>
    <row r="350" spans="1:5" x14ac:dyDescent="0.2">
      <c r="A350" s="236">
        <v>18</v>
      </c>
      <c r="B350" s="229" t="s">
        <v>1689</v>
      </c>
      <c r="C350" s="229" t="s">
        <v>1689</v>
      </c>
      <c r="D350" s="230">
        <v>8.2899999999999991</v>
      </c>
      <c r="E350" s="314">
        <v>8.16</v>
      </c>
    </row>
    <row r="351" spans="1:5" x14ac:dyDescent="0.2">
      <c r="A351" s="236">
        <v>19</v>
      </c>
      <c r="B351" s="226" t="s">
        <v>426</v>
      </c>
      <c r="C351" s="226" t="s">
        <v>427</v>
      </c>
      <c r="D351" s="227">
        <v>8.18</v>
      </c>
      <c r="E351" s="317">
        <v>8.06</v>
      </c>
    </row>
    <row r="352" spans="1:5" x14ac:dyDescent="0.2">
      <c r="A352" s="236">
        <v>20</v>
      </c>
      <c r="B352" s="229" t="s">
        <v>795</v>
      </c>
      <c r="C352" s="229" t="s">
        <v>4801</v>
      </c>
      <c r="D352" s="230">
        <v>8.0299999999999994</v>
      </c>
      <c r="E352" s="322">
        <v>7.94</v>
      </c>
    </row>
    <row r="353" spans="1:5" x14ac:dyDescent="0.2">
      <c r="A353" s="236">
        <v>21</v>
      </c>
      <c r="B353" s="226" t="s">
        <v>607</v>
      </c>
      <c r="C353" s="226" t="s">
        <v>608</v>
      </c>
      <c r="D353" s="227">
        <v>7.72</v>
      </c>
      <c r="E353" s="325">
        <v>7.7</v>
      </c>
    </row>
    <row r="354" spans="1:5" x14ac:dyDescent="0.2">
      <c r="A354" s="236">
        <v>22</v>
      </c>
      <c r="B354" s="229" t="s">
        <v>456</v>
      </c>
      <c r="C354" s="229" t="s">
        <v>457</v>
      </c>
      <c r="D354" s="230">
        <v>7.67</v>
      </c>
      <c r="E354" s="326">
        <v>7.66</v>
      </c>
    </row>
    <row r="355" spans="1:5" x14ac:dyDescent="0.2">
      <c r="A355" s="236">
        <v>23</v>
      </c>
      <c r="B355" s="226" t="s">
        <v>774</v>
      </c>
      <c r="C355" s="226" t="s">
        <v>1752</v>
      </c>
      <c r="D355" s="227">
        <v>7.31</v>
      </c>
      <c r="E355" s="330">
        <v>7.2</v>
      </c>
    </row>
    <row r="356" spans="1:5" x14ac:dyDescent="0.2">
      <c r="A356" s="236">
        <v>24</v>
      </c>
      <c r="B356" s="229" t="s">
        <v>378</v>
      </c>
      <c r="C356" s="229" t="s">
        <v>379</v>
      </c>
      <c r="D356" s="230">
        <v>7.29</v>
      </c>
      <c r="E356" s="331">
        <v>7.16</v>
      </c>
    </row>
    <row r="357" spans="1:5" x14ac:dyDescent="0.2">
      <c r="A357" s="236">
        <v>25</v>
      </c>
      <c r="B357" s="226" t="s">
        <v>4223</v>
      </c>
      <c r="C357" s="226" t="s">
        <v>4224</v>
      </c>
      <c r="D357" s="227">
        <v>0.81</v>
      </c>
      <c r="E357" s="334">
        <v>0.76</v>
      </c>
    </row>
    <row r="359" spans="1:5" ht="18" x14ac:dyDescent="0.25">
      <c r="A359" s="542" t="s">
        <v>4884</v>
      </c>
      <c r="B359" s="542"/>
      <c r="C359" s="542"/>
      <c r="D359" s="542"/>
      <c r="E359" s="542"/>
    </row>
    <row r="360" spans="1:5" x14ac:dyDescent="0.2">
      <c r="A360" s="225" t="s">
        <v>318</v>
      </c>
      <c r="B360" s="225" t="s">
        <v>285</v>
      </c>
      <c r="C360" s="225" t="s">
        <v>286</v>
      </c>
      <c r="D360" s="225" t="s">
        <v>287</v>
      </c>
      <c r="E360" s="225" t="s">
        <v>957</v>
      </c>
    </row>
    <row r="361" spans="1:5" x14ac:dyDescent="0.2">
      <c r="A361" s="232">
        <v>1</v>
      </c>
      <c r="B361" s="226" t="s">
        <v>699</v>
      </c>
      <c r="C361" s="226" t="s">
        <v>700</v>
      </c>
      <c r="D361" s="227">
        <v>8.91</v>
      </c>
      <c r="E361" s="259">
        <v>8.93</v>
      </c>
    </row>
    <row r="362" spans="1:5" x14ac:dyDescent="0.2">
      <c r="A362" s="234">
        <v>2</v>
      </c>
      <c r="B362" s="229" t="s">
        <v>1656</v>
      </c>
      <c r="C362" s="229" t="s">
        <v>1657</v>
      </c>
      <c r="D362" s="230">
        <v>8.92</v>
      </c>
      <c r="E362" s="267">
        <v>8.83</v>
      </c>
    </row>
    <row r="363" spans="1:5" x14ac:dyDescent="0.2">
      <c r="A363" s="235">
        <v>3</v>
      </c>
      <c r="B363" s="226" t="s">
        <v>545</v>
      </c>
      <c r="C363" s="226" t="s">
        <v>546</v>
      </c>
      <c r="D363" s="227">
        <v>8.7799999999999994</v>
      </c>
      <c r="E363" s="270">
        <v>8.7899999999999991</v>
      </c>
    </row>
    <row r="364" spans="1:5" x14ac:dyDescent="0.2">
      <c r="A364" s="236">
        <v>4</v>
      </c>
      <c r="B364" s="229" t="s">
        <v>4421</v>
      </c>
      <c r="C364" s="229" t="s">
        <v>4422</v>
      </c>
      <c r="D364" s="230">
        <v>8.69</v>
      </c>
      <c r="E364" s="276">
        <v>8.7200000000000006</v>
      </c>
    </row>
    <row r="365" spans="1:5" x14ac:dyDescent="0.2">
      <c r="A365" s="236">
        <v>5</v>
      </c>
      <c r="B365" s="226" t="s">
        <v>370</v>
      </c>
      <c r="C365" s="226" t="s">
        <v>368</v>
      </c>
      <c r="D365" s="227">
        <v>8.67</v>
      </c>
      <c r="E365" s="277">
        <v>8.7100000000000009</v>
      </c>
    </row>
    <row r="366" spans="1:5" x14ac:dyDescent="0.2">
      <c r="A366" s="236">
        <v>6</v>
      </c>
      <c r="B366" s="229" t="s">
        <v>545</v>
      </c>
      <c r="C366" s="229" t="s">
        <v>4861</v>
      </c>
      <c r="D366" s="230">
        <v>8.81</v>
      </c>
      <c r="E366" s="336">
        <v>8.69</v>
      </c>
    </row>
    <row r="367" spans="1:5" x14ac:dyDescent="0.2">
      <c r="A367" s="236">
        <v>7</v>
      </c>
      <c r="B367" s="226" t="s">
        <v>888</v>
      </c>
      <c r="C367" s="226" t="s">
        <v>869</v>
      </c>
      <c r="D367" s="227">
        <v>8.5500000000000007</v>
      </c>
      <c r="E367" s="287">
        <v>8.6</v>
      </c>
    </row>
    <row r="368" spans="1:5" x14ac:dyDescent="0.2">
      <c r="A368" s="236">
        <v>8</v>
      </c>
      <c r="B368" s="229" t="s">
        <v>2992</v>
      </c>
      <c r="C368" s="229" t="s">
        <v>2993</v>
      </c>
      <c r="D368" s="230">
        <v>8.6</v>
      </c>
      <c r="E368" s="293">
        <v>8.5299999999999994</v>
      </c>
    </row>
    <row r="369" spans="1:5" x14ac:dyDescent="0.2">
      <c r="A369" s="236">
        <v>9</v>
      </c>
      <c r="B369" s="226" t="s">
        <v>314</v>
      </c>
      <c r="C369" s="226" t="s">
        <v>271</v>
      </c>
      <c r="D369" s="227">
        <v>8.35</v>
      </c>
      <c r="E369" s="312">
        <v>8.1999999999999993</v>
      </c>
    </row>
    <row r="370" spans="1:5" x14ac:dyDescent="0.2">
      <c r="A370" s="236">
        <v>10</v>
      </c>
      <c r="B370" s="229" t="s">
        <v>699</v>
      </c>
      <c r="C370" s="229" t="s">
        <v>4863</v>
      </c>
      <c r="D370" s="230">
        <v>8.25</v>
      </c>
      <c r="E370" s="313">
        <v>8.18</v>
      </c>
    </row>
    <row r="371" spans="1:5" x14ac:dyDescent="0.2">
      <c r="A371" s="236">
        <v>11</v>
      </c>
      <c r="B371" s="226" t="s">
        <v>4011</v>
      </c>
      <c r="C371" s="226" t="s">
        <v>4001</v>
      </c>
      <c r="D371" s="227">
        <v>7.75</v>
      </c>
      <c r="E371" s="325">
        <v>7.69</v>
      </c>
    </row>
    <row r="373" spans="1:5" ht="18" x14ac:dyDescent="0.25">
      <c r="A373" s="542" t="s">
        <v>5400</v>
      </c>
      <c r="B373" s="542"/>
      <c r="C373" s="542"/>
      <c r="D373" s="542"/>
      <c r="E373" s="542"/>
    </row>
    <row r="374" spans="1:5" x14ac:dyDescent="0.2">
      <c r="A374" s="225" t="s">
        <v>318</v>
      </c>
      <c r="B374" s="225" t="s">
        <v>285</v>
      </c>
      <c r="C374" s="225" t="s">
        <v>286</v>
      </c>
      <c r="D374" s="225" t="s">
        <v>287</v>
      </c>
      <c r="E374" s="225" t="s">
        <v>957</v>
      </c>
    </row>
    <row r="375" spans="1:5" x14ac:dyDescent="0.2">
      <c r="A375" s="232">
        <v>1</v>
      </c>
      <c r="B375" s="226" t="s">
        <v>1440</v>
      </c>
      <c r="C375" s="226" t="s">
        <v>1441</v>
      </c>
      <c r="D375" s="227">
        <v>8.67</v>
      </c>
      <c r="E375" s="255">
        <v>9</v>
      </c>
    </row>
    <row r="376" spans="1:5" x14ac:dyDescent="0.2">
      <c r="A376" s="234">
        <v>2</v>
      </c>
      <c r="B376" s="229" t="s">
        <v>2556</v>
      </c>
      <c r="C376" s="229" t="s">
        <v>168</v>
      </c>
      <c r="D376" s="230">
        <v>9</v>
      </c>
      <c r="E376" s="392">
        <v>8.94</v>
      </c>
    </row>
    <row r="377" spans="1:5" x14ac:dyDescent="0.2">
      <c r="A377" s="235">
        <v>3</v>
      </c>
      <c r="B377" s="226" t="s">
        <v>1075</v>
      </c>
      <c r="C377" s="226" t="s">
        <v>1927</v>
      </c>
      <c r="D377" s="227">
        <v>8.7200000000000006</v>
      </c>
      <c r="E377" s="261">
        <v>8.91</v>
      </c>
    </row>
    <row r="378" spans="1:5" x14ac:dyDescent="0.2">
      <c r="A378" s="236">
        <v>4</v>
      </c>
      <c r="B378" s="229" t="s">
        <v>1075</v>
      </c>
      <c r="C378" s="229" t="s">
        <v>1439</v>
      </c>
      <c r="D378" s="230">
        <v>8.7200000000000006</v>
      </c>
      <c r="E378" s="262">
        <v>8.89</v>
      </c>
    </row>
    <row r="379" spans="1:5" x14ac:dyDescent="0.2">
      <c r="A379" s="236">
        <v>5</v>
      </c>
      <c r="B379" s="226" t="s">
        <v>2478</v>
      </c>
      <c r="C379" s="226" t="s">
        <v>2477</v>
      </c>
      <c r="D379" s="227">
        <v>8.8800000000000008</v>
      </c>
      <c r="E379" s="269">
        <v>8.81</v>
      </c>
    </row>
    <row r="380" spans="1:5" x14ac:dyDescent="0.2">
      <c r="A380" s="236">
        <v>6</v>
      </c>
      <c r="B380" s="229" t="s">
        <v>4800</v>
      </c>
      <c r="C380" s="229" t="s">
        <v>4799</v>
      </c>
      <c r="D380" s="230">
        <v>8.83</v>
      </c>
      <c r="E380" s="277">
        <v>8.7100000000000009</v>
      </c>
    </row>
    <row r="381" spans="1:5" x14ac:dyDescent="0.2">
      <c r="A381" s="236">
        <v>7</v>
      </c>
      <c r="B381" s="226" t="s">
        <v>5349</v>
      </c>
      <c r="C381" s="226" t="s">
        <v>5350</v>
      </c>
      <c r="D381" s="227">
        <v>8.65</v>
      </c>
      <c r="E381" s="336">
        <v>8.69</v>
      </c>
    </row>
    <row r="382" spans="1:5" x14ac:dyDescent="0.2">
      <c r="A382" s="236">
        <v>8</v>
      </c>
      <c r="B382" s="229" t="s">
        <v>1368</v>
      </c>
      <c r="C382" s="229" t="s">
        <v>3356</v>
      </c>
      <c r="D382" s="230">
        <v>8.6</v>
      </c>
      <c r="E382" s="281">
        <v>8.66</v>
      </c>
    </row>
    <row r="383" spans="1:5" x14ac:dyDescent="0.2">
      <c r="A383" s="236">
        <v>9</v>
      </c>
      <c r="B383" s="226" t="s">
        <v>4825</v>
      </c>
      <c r="C383" s="226" t="s">
        <v>4826</v>
      </c>
      <c r="D383" s="227">
        <v>8.42</v>
      </c>
      <c r="E383" s="407">
        <v>8.31</v>
      </c>
    </row>
    <row r="384" spans="1:5" x14ac:dyDescent="0.2">
      <c r="A384" s="236">
        <v>10</v>
      </c>
      <c r="B384" s="229" t="s">
        <v>3583</v>
      </c>
      <c r="C384" s="229" t="s">
        <v>3584</v>
      </c>
      <c r="D384" s="230">
        <v>8.35</v>
      </c>
      <c r="E384" s="307">
        <v>8.27</v>
      </c>
    </row>
    <row r="386" spans="1:5" ht="18" x14ac:dyDescent="0.25">
      <c r="A386" s="542" t="s">
        <v>4776</v>
      </c>
      <c r="B386" s="542"/>
      <c r="C386" s="542"/>
      <c r="D386" s="542"/>
      <c r="E386" s="542"/>
    </row>
    <row r="387" spans="1:5" x14ac:dyDescent="0.2">
      <c r="A387" s="225" t="s">
        <v>318</v>
      </c>
      <c r="B387" s="225" t="s">
        <v>285</v>
      </c>
      <c r="C387" s="225" t="s">
        <v>286</v>
      </c>
      <c r="D387" s="225" t="s">
        <v>287</v>
      </c>
      <c r="E387" s="225" t="s">
        <v>957</v>
      </c>
    </row>
    <row r="388" spans="1:5" x14ac:dyDescent="0.2">
      <c r="A388" s="232">
        <v>1</v>
      </c>
      <c r="B388" s="226" t="s">
        <v>3602</v>
      </c>
      <c r="C388" s="226" t="s">
        <v>3603</v>
      </c>
      <c r="D388" s="227">
        <v>9</v>
      </c>
      <c r="E388" s="258">
        <v>8.9499999999999993</v>
      </c>
    </row>
    <row r="389" spans="1:5" x14ac:dyDescent="0.2">
      <c r="A389" s="234">
        <v>2</v>
      </c>
      <c r="B389" s="229" t="s">
        <v>2239</v>
      </c>
      <c r="C389" s="229" t="s">
        <v>2229</v>
      </c>
      <c r="D389" s="230">
        <v>8.86</v>
      </c>
      <c r="E389" s="275">
        <v>8.74</v>
      </c>
    </row>
    <row r="390" spans="1:5" x14ac:dyDescent="0.2">
      <c r="A390" s="235">
        <v>3</v>
      </c>
      <c r="B390" s="226" t="s">
        <v>4763</v>
      </c>
      <c r="C390" s="226" t="s">
        <v>4762</v>
      </c>
      <c r="D390" s="227">
        <v>8.86</v>
      </c>
      <c r="E390" s="275">
        <v>8.74</v>
      </c>
    </row>
    <row r="391" spans="1:5" x14ac:dyDescent="0.2">
      <c r="A391" s="236">
        <v>4</v>
      </c>
      <c r="B391" s="229" t="s">
        <v>2896</v>
      </c>
      <c r="C391" s="229" t="s">
        <v>2897</v>
      </c>
      <c r="D391" s="230">
        <v>8.85</v>
      </c>
      <c r="E391" s="276">
        <v>8.7200000000000006</v>
      </c>
    </row>
    <row r="392" spans="1:5" x14ac:dyDescent="0.2">
      <c r="A392" s="236">
        <v>5</v>
      </c>
      <c r="B392" s="226" t="s">
        <v>2953</v>
      </c>
      <c r="C392" s="226" t="s">
        <v>2941</v>
      </c>
      <c r="D392" s="227">
        <v>8.6300000000000008</v>
      </c>
      <c r="E392" s="293">
        <v>8.5299999999999994</v>
      </c>
    </row>
    <row r="393" spans="1:5" x14ac:dyDescent="0.2">
      <c r="A393" s="236">
        <v>6</v>
      </c>
      <c r="B393" s="229" t="s">
        <v>3082</v>
      </c>
      <c r="C393" s="229" t="s">
        <v>3083</v>
      </c>
      <c r="D393" s="230">
        <v>8.58</v>
      </c>
      <c r="E393" s="363">
        <v>8.51</v>
      </c>
    </row>
    <row r="394" spans="1:5" x14ac:dyDescent="0.2">
      <c r="A394" s="236">
        <v>7</v>
      </c>
      <c r="B394" s="226" t="s">
        <v>2510</v>
      </c>
      <c r="C394" s="226" t="s">
        <v>2506</v>
      </c>
      <c r="D394" s="227">
        <v>8.5500000000000007</v>
      </c>
      <c r="E394" s="297">
        <v>8.4700000000000006</v>
      </c>
    </row>
    <row r="395" spans="1:5" x14ac:dyDescent="0.2">
      <c r="A395" s="236">
        <v>8</v>
      </c>
      <c r="B395" s="229" t="s">
        <v>4221</v>
      </c>
      <c r="C395" s="229" t="s">
        <v>4222</v>
      </c>
      <c r="D395" s="230">
        <v>7.92</v>
      </c>
      <c r="E395" s="451">
        <v>7.87</v>
      </c>
    </row>
    <row r="397" spans="1:5" ht="18" x14ac:dyDescent="0.25">
      <c r="A397" s="542" t="s">
        <v>5609</v>
      </c>
      <c r="B397" s="542"/>
      <c r="C397" s="542"/>
      <c r="D397" s="542"/>
      <c r="E397" s="542"/>
    </row>
    <row r="398" spans="1:5" x14ac:dyDescent="0.2">
      <c r="A398" s="225" t="s">
        <v>318</v>
      </c>
      <c r="B398" s="225" t="s">
        <v>285</v>
      </c>
      <c r="C398" s="225" t="s">
        <v>286</v>
      </c>
      <c r="D398" s="225" t="s">
        <v>287</v>
      </c>
      <c r="E398" s="225" t="s">
        <v>957</v>
      </c>
    </row>
    <row r="399" spans="1:5" x14ac:dyDescent="0.2">
      <c r="A399" s="232">
        <v>1</v>
      </c>
      <c r="B399" s="226" t="s">
        <v>866</v>
      </c>
      <c r="C399" s="226" t="s">
        <v>857</v>
      </c>
      <c r="D399" s="227">
        <v>9.06</v>
      </c>
      <c r="E399" s="250">
        <v>9.1</v>
      </c>
    </row>
    <row r="400" spans="1:5" x14ac:dyDescent="0.2">
      <c r="A400" s="234">
        <v>2</v>
      </c>
      <c r="B400" s="229" t="s">
        <v>2540</v>
      </c>
      <c r="C400" s="229" t="s">
        <v>2533</v>
      </c>
      <c r="D400" s="230">
        <v>9.06</v>
      </c>
      <c r="E400" s="254">
        <v>9.02</v>
      </c>
    </row>
    <row r="401" spans="1:5" x14ac:dyDescent="0.2">
      <c r="A401" s="235">
        <v>3</v>
      </c>
      <c r="B401" s="226" t="s">
        <v>5568</v>
      </c>
      <c r="C401" s="226" t="s">
        <v>5564</v>
      </c>
      <c r="D401" s="227">
        <v>8.8000000000000007</v>
      </c>
      <c r="E401" s="336">
        <v>8.69</v>
      </c>
    </row>
    <row r="402" spans="1:5" x14ac:dyDescent="0.2">
      <c r="A402" s="236">
        <v>4</v>
      </c>
      <c r="B402" s="229" t="s">
        <v>687</v>
      </c>
      <c r="C402" s="229" t="s">
        <v>688</v>
      </c>
      <c r="D402" s="230">
        <v>8.67</v>
      </c>
      <c r="E402" s="288">
        <v>8.58</v>
      </c>
    </row>
    <row r="403" spans="1:5" x14ac:dyDescent="0.2">
      <c r="A403" s="236">
        <v>5</v>
      </c>
      <c r="B403" s="226" t="s">
        <v>493</v>
      </c>
      <c r="C403" s="226" t="s">
        <v>494</v>
      </c>
      <c r="D403" s="227">
        <v>8.5</v>
      </c>
      <c r="E403" s="300">
        <v>8.43</v>
      </c>
    </row>
    <row r="405" spans="1:5" ht="18" x14ac:dyDescent="0.25">
      <c r="A405" s="542" t="s">
        <v>4777</v>
      </c>
      <c r="B405" s="542"/>
      <c r="C405" s="542"/>
      <c r="D405" s="542"/>
      <c r="E405" s="542"/>
    </row>
    <row r="406" spans="1:5" x14ac:dyDescent="0.2">
      <c r="A406" s="225" t="s">
        <v>318</v>
      </c>
      <c r="B406" s="225" t="s">
        <v>285</v>
      </c>
      <c r="C406" s="225" t="s">
        <v>286</v>
      </c>
      <c r="D406" s="225" t="s">
        <v>287</v>
      </c>
      <c r="E406" s="225" t="s">
        <v>957</v>
      </c>
    </row>
    <row r="407" spans="1:5" x14ac:dyDescent="0.2">
      <c r="A407" s="232">
        <v>1</v>
      </c>
      <c r="B407" s="226" t="s">
        <v>4763</v>
      </c>
      <c r="C407" s="226" t="s">
        <v>4762</v>
      </c>
      <c r="D407" s="227">
        <v>8.86</v>
      </c>
      <c r="E407" s="275">
        <v>8.74</v>
      </c>
    </row>
    <row r="408" spans="1:5" x14ac:dyDescent="0.2">
      <c r="A408" s="234">
        <v>2</v>
      </c>
      <c r="B408" s="229" t="s">
        <v>2896</v>
      </c>
      <c r="C408" s="229" t="s">
        <v>2897</v>
      </c>
      <c r="D408" s="230">
        <v>8.85</v>
      </c>
      <c r="E408" s="276">
        <v>8.7200000000000006</v>
      </c>
    </row>
    <row r="409" spans="1:5" x14ac:dyDescent="0.2">
      <c r="A409" s="235">
        <v>3</v>
      </c>
      <c r="B409" s="226" t="s">
        <v>296</v>
      </c>
      <c r="C409" s="226" t="s">
        <v>1940</v>
      </c>
      <c r="D409" s="227">
        <v>8.6</v>
      </c>
      <c r="E409" s="292">
        <v>8.5399999999999991</v>
      </c>
    </row>
    <row r="410" spans="1:5" x14ac:dyDescent="0.2">
      <c r="A410" s="236">
        <v>4</v>
      </c>
      <c r="B410" s="229" t="s">
        <v>3082</v>
      </c>
      <c r="C410" s="229" t="s">
        <v>3083</v>
      </c>
      <c r="D410" s="230">
        <v>8.58</v>
      </c>
      <c r="E410" s="363">
        <v>8.51</v>
      </c>
    </row>
    <row r="411" spans="1:5" x14ac:dyDescent="0.2">
      <c r="A411" s="236">
        <v>5</v>
      </c>
      <c r="B411" s="226" t="s">
        <v>2510</v>
      </c>
      <c r="C411" s="226" t="s">
        <v>2506</v>
      </c>
      <c r="D411" s="227">
        <v>8.5500000000000007</v>
      </c>
      <c r="E411" s="297">
        <v>8.4700000000000006</v>
      </c>
    </row>
    <row r="413" spans="1:5" ht="18" x14ac:dyDescent="0.25">
      <c r="A413" s="542" t="s">
        <v>5669</v>
      </c>
      <c r="B413" s="542"/>
      <c r="C413" s="542"/>
      <c r="D413" s="542"/>
      <c r="E413" s="542"/>
    </row>
    <row r="414" spans="1:5" x14ac:dyDescent="0.2">
      <c r="A414" s="225" t="s">
        <v>318</v>
      </c>
      <c r="B414" s="225" t="s">
        <v>285</v>
      </c>
      <c r="C414" s="225" t="s">
        <v>286</v>
      </c>
      <c r="D414" s="225" t="s">
        <v>287</v>
      </c>
      <c r="E414" s="225" t="s">
        <v>957</v>
      </c>
    </row>
    <row r="415" spans="1:5" x14ac:dyDescent="0.2">
      <c r="A415" s="232">
        <v>1</v>
      </c>
      <c r="B415" s="226" t="s">
        <v>5638</v>
      </c>
      <c r="C415" s="226" t="s">
        <v>5639</v>
      </c>
      <c r="D415" s="227">
        <v>9</v>
      </c>
      <c r="E415" s="253">
        <v>9.0299999999999994</v>
      </c>
    </row>
    <row r="416" spans="1:5" x14ac:dyDescent="0.2">
      <c r="A416" s="234">
        <v>2</v>
      </c>
      <c r="B416" s="229" t="s">
        <v>3637</v>
      </c>
      <c r="C416" s="229" t="s">
        <v>3638</v>
      </c>
      <c r="D416" s="230">
        <v>8.75</v>
      </c>
      <c r="E416" s="271">
        <v>8.7799999999999994</v>
      </c>
    </row>
    <row r="417" spans="1:5" x14ac:dyDescent="0.2">
      <c r="A417" s="235">
        <v>3</v>
      </c>
      <c r="B417" s="226" t="s">
        <v>2253</v>
      </c>
      <c r="C417" s="226" t="s">
        <v>2254</v>
      </c>
      <c r="D417" s="227">
        <v>8.69</v>
      </c>
      <c r="E417" s="293">
        <v>8.5299999999999994</v>
      </c>
    </row>
    <row r="418" spans="1:5" x14ac:dyDescent="0.2">
      <c r="A418" s="236">
        <v>4</v>
      </c>
      <c r="B418" s="229" t="s">
        <v>1163</v>
      </c>
      <c r="C418" s="229" t="s">
        <v>1153</v>
      </c>
      <c r="D418" s="230">
        <v>8.4499999999999993</v>
      </c>
      <c r="E418" s="303">
        <v>8.3800000000000008</v>
      </c>
    </row>
    <row r="420" spans="1:5" ht="18" x14ac:dyDescent="0.25">
      <c r="A420" s="542" t="s">
        <v>3050</v>
      </c>
      <c r="B420" s="542"/>
      <c r="C420" s="542"/>
      <c r="D420" s="542"/>
      <c r="E420" s="542"/>
    </row>
    <row r="421" spans="1:5" x14ac:dyDescent="0.2">
      <c r="A421" s="225" t="s">
        <v>318</v>
      </c>
      <c r="B421" s="225" t="s">
        <v>285</v>
      </c>
      <c r="C421" s="225" t="s">
        <v>286</v>
      </c>
      <c r="D421" s="225" t="s">
        <v>287</v>
      </c>
      <c r="E421" s="225" t="s">
        <v>957</v>
      </c>
    </row>
    <row r="422" spans="1:5" x14ac:dyDescent="0.2">
      <c r="A422" s="232">
        <v>1</v>
      </c>
      <c r="B422" s="226" t="s">
        <v>2702</v>
      </c>
      <c r="C422" s="226" t="s">
        <v>2703</v>
      </c>
      <c r="D422" s="227">
        <v>8.4</v>
      </c>
      <c r="E422" s="304">
        <v>8.3699999999999992</v>
      </c>
    </row>
    <row r="424" spans="1:5" ht="18" x14ac:dyDescent="0.25">
      <c r="A424" s="542" t="s">
        <v>4495</v>
      </c>
      <c r="B424" s="542"/>
      <c r="C424" s="542"/>
      <c r="D424" s="542"/>
      <c r="E424" s="542"/>
    </row>
    <row r="425" spans="1:5" x14ac:dyDescent="0.2">
      <c r="A425" s="225" t="s">
        <v>318</v>
      </c>
      <c r="B425" s="225" t="s">
        <v>285</v>
      </c>
      <c r="C425" s="225" t="s">
        <v>286</v>
      </c>
      <c r="D425" s="225" t="s">
        <v>287</v>
      </c>
      <c r="E425" s="225" t="s">
        <v>957</v>
      </c>
    </row>
    <row r="426" spans="1:5" x14ac:dyDescent="0.2">
      <c r="A426" s="232">
        <v>1</v>
      </c>
      <c r="B426" s="226" t="s">
        <v>677</v>
      </c>
      <c r="C426" s="226" t="s">
        <v>1180</v>
      </c>
      <c r="D426" s="227">
        <v>8.11</v>
      </c>
      <c r="E426" s="319">
        <v>8</v>
      </c>
    </row>
    <row r="428" spans="1:5" ht="18" x14ac:dyDescent="0.25">
      <c r="A428" s="542" t="s">
        <v>4851</v>
      </c>
      <c r="B428" s="542"/>
      <c r="C428" s="542"/>
      <c r="D428" s="542"/>
      <c r="E428" s="542"/>
    </row>
    <row r="429" spans="1:5" x14ac:dyDescent="0.2">
      <c r="A429" s="225" t="s">
        <v>318</v>
      </c>
      <c r="B429" s="225" t="s">
        <v>285</v>
      </c>
      <c r="C429" s="225" t="s">
        <v>286</v>
      </c>
      <c r="D429" s="225" t="s">
        <v>287</v>
      </c>
      <c r="E429" s="225" t="s">
        <v>957</v>
      </c>
    </row>
    <row r="430" spans="1:5" x14ac:dyDescent="0.2">
      <c r="A430" s="232">
        <v>1</v>
      </c>
      <c r="B430" s="226" t="s">
        <v>795</v>
      </c>
      <c r="C430" s="226" t="s">
        <v>4801</v>
      </c>
      <c r="D430" s="227">
        <v>8.0299999999999994</v>
      </c>
      <c r="E430" s="322">
        <v>7.94</v>
      </c>
    </row>
    <row r="432" spans="1:5" ht="18" x14ac:dyDescent="0.25">
      <c r="A432" s="542" t="s">
        <v>3051</v>
      </c>
      <c r="B432" s="542"/>
      <c r="C432" s="542"/>
      <c r="D432" s="542"/>
      <c r="E432" s="542"/>
    </row>
    <row r="433" spans="1:5" x14ac:dyDescent="0.2">
      <c r="A433" s="225" t="s">
        <v>318</v>
      </c>
      <c r="B433" s="225" t="s">
        <v>285</v>
      </c>
      <c r="C433" s="225" t="s">
        <v>286</v>
      </c>
      <c r="D433" s="225" t="s">
        <v>287</v>
      </c>
      <c r="E433" s="225" t="s">
        <v>957</v>
      </c>
    </row>
    <row r="434" spans="1:5" x14ac:dyDescent="0.2">
      <c r="A434" s="232">
        <v>1</v>
      </c>
      <c r="B434" s="226" t="s">
        <v>303</v>
      </c>
      <c r="C434" s="226" t="s">
        <v>1444</v>
      </c>
      <c r="D434" s="227">
        <v>8</v>
      </c>
      <c r="E434" s="323">
        <v>7.79</v>
      </c>
    </row>
    <row r="436" spans="1:5" ht="18" x14ac:dyDescent="0.25">
      <c r="A436" s="542" t="s">
        <v>3157</v>
      </c>
      <c r="B436" s="542"/>
      <c r="C436" s="542"/>
      <c r="D436" s="542"/>
      <c r="E436" s="542"/>
    </row>
    <row r="437" spans="1:5" x14ac:dyDescent="0.2">
      <c r="A437" s="225" t="s">
        <v>318</v>
      </c>
      <c r="B437" s="225" t="s">
        <v>285</v>
      </c>
      <c r="C437" s="225" t="s">
        <v>286</v>
      </c>
      <c r="D437" s="225" t="s">
        <v>287</v>
      </c>
      <c r="E437" s="225" t="s">
        <v>957</v>
      </c>
    </row>
    <row r="438" spans="1:5" x14ac:dyDescent="0.2">
      <c r="A438" s="232">
        <v>1</v>
      </c>
      <c r="B438" s="226" t="s">
        <v>3140</v>
      </c>
      <c r="C438" s="226" t="s">
        <v>3141</v>
      </c>
      <c r="D438" s="227">
        <v>4.79</v>
      </c>
      <c r="E438" s="334">
        <v>4.62</v>
      </c>
    </row>
  </sheetData>
  <mergeCells count="16">
    <mergeCell ref="A1:E1"/>
    <mergeCell ref="A436:E436"/>
    <mergeCell ref="A153:E153"/>
    <mergeCell ref="A246:E246"/>
    <mergeCell ref="A298:E298"/>
    <mergeCell ref="A331:E331"/>
    <mergeCell ref="A359:E359"/>
    <mergeCell ref="A373:E373"/>
    <mergeCell ref="A386:E386"/>
    <mergeCell ref="A397:E397"/>
    <mergeCell ref="A405:E405"/>
    <mergeCell ref="A413:E413"/>
    <mergeCell ref="A420:E420"/>
    <mergeCell ref="A424:E424"/>
    <mergeCell ref="A428:E428"/>
    <mergeCell ref="A432:E43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57"/>
  <sheetViews>
    <sheetView zoomScale="80" zoomScaleNormal="80" workbookViewId="0">
      <selection activeCell="F140" sqref="F140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3046</v>
      </c>
      <c r="B1" s="342" t="s">
        <v>3047</v>
      </c>
      <c r="C1" s="342" t="s">
        <v>3048</v>
      </c>
      <c r="E1" s="358" t="s">
        <v>3226</v>
      </c>
    </row>
    <row r="2" spans="1:5" x14ac:dyDescent="0.2">
      <c r="A2" t="s">
        <v>1730</v>
      </c>
      <c r="B2" t="s">
        <v>3038</v>
      </c>
      <c r="C2" t="s">
        <v>1081</v>
      </c>
      <c r="E2" t="s">
        <v>3277</v>
      </c>
    </row>
    <row r="3" spans="1:5" x14ac:dyDescent="0.2">
      <c r="A3" t="s">
        <v>4231</v>
      </c>
      <c r="B3" t="s">
        <v>1011</v>
      </c>
      <c r="C3" t="s">
        <v>1011</v>
      </c>
    </row>
    <row r="4" spans="1:5" x14ac:dyDescent="0.2">
      <c r="A4" t="s">
        <v>731</v>
      </c>
      <c r="B4" t="s">
        <v>3040</v>
      </c>
      <c r="C4" t="s">
        <v>3039</v>
      </c>
      <c r="E4" t="s">
        <v>3278</v>
      </c>
    </row>
    <row r="5" spans="1:5" x14ac:dyDescent="0.2">
      <c r="A5" t="s">
        <v>1015</v>
      </c>
      <c r="B5" t="s">
        <v>3037</v>
      </c>
      <c r="C5" t="s">
        <v>995</v>
      </c>
    </row>
    <row r="6" spans="1:5" x14ac:dyDescent="0.2">
      <c r="A6" t="s">
        <v>732</v>
      </c>
      <c r="B6" t="s">
        <v>3036</v>
      </c>
      <c r="C6" t="s">
        <v>3045</v>
      </c>
      <c r="E6" t="s">
        <v>3406</v>
      </c>
    </row>
    <row r="7" spans="1:5" x14ac:dyDescent="0.2">
      <c r="A7" t="s">
        <v>1081</v>
      </c>
      <c r="B7" t="s">
        <v>1081</v>
      </c>
      <c r="C7" t="s">
        <v>3044</v>
      </c>
    </row>
    <row r="8" spans="1:5" x14ac:dyDescent="0.2">
      <c r="A8" t="s">
        <v>1396</v>
      </c>
      <c r="B8" t="s">
        <v>3038</v>
      </c>
      <c r="C8" t="s">
        <v>3040</v>
      </c>
      <c r="E8" t="s">
        <v>3225</v>
      </c>
    </row>
    <row r="9" spans="1:5" x14ac:dyDescent="0.2">
      <c r="A9" t="s">
        <v>1380</v>
      </c>
      <c r="B9" t="s">
        <v>1011</v>
      </c>
      <c r="C9" t="s">
        <v>2707</v>
      </c>
      <c r="E9" t="s">
        <v>3279</v>
      </c>
    </row>
    <row r="10" spans="1:5" x14ac:dyDescent="0.2">
      <c r="A10" t="s">
        <v>1095</v>
      </c>
      <c r="B10" t="s">
        <v>3036</v>
      </c>
      <c r="C10" t="s">
        <v>3038</v>
      </c>
    </row>
    <row r="11" spans="1:5" x14ac:dyDescent="0.2">
      <c r="A11" t="s">
        <v>2869</v>
      </c>
      <c r="B11" t="s">
        <v>3036</v>
      </c>
      <c r="C11" t="s">
        <v>3041</v>
      </c>
      <c r="E11" t="s">
        <v>4824</v>
      </c>
    </row>
    <row r="12" spans="1:5" x14ac:dyDescent="0.2">
      <c r="A12" t="s">
        <v>1006</v>
      </c>
      <c r="B12" t="s">
        <v>3038</v>
      </c>
      <c r="C12" t="s">
        <v>3043</v>
      </c>
    </row>
    <row r="13" spans="1:5" x14ac:dyDescent="0.2">
      <c r="A13" t="s">
        <v>988</v>
      </c>
      <c r="B13" t="s">
        <v>3036</v>
      </c>
      <c r="C13" t="s">
        <v>3037</v>
      </c>
    </row>
    <row r="14" spans="1:5" x14ac:dyDescent="0.2">
      <c r="A14" t="s">
        <v>1543</v>
      </c>
      <c r="B14" t="s">
        <v>3040</v>
      </c>
      <c r="C14" t="s">
        <v>3155</v>
      </c>
    </row>
    <row r="15" spans="1:5" x14ac:dyDescent="0.2">
      <c r="A15" t="s">
        <v>1862</v>
      </c>
      <c r="B15" t="s">
        <v>3040</v>
      </c>
      <c r="C15" t="s">
        <v>3036</v>
      </c>
    </row>
    <row r="16" spans="1:5" x14ac:dyDescent="0.2">
      <c r="A16" t="s">
        <v>1289</v>
      </c>
      <c r="B16" t="s">
        <v>3036</v>
      </c>
      <c r="C16" t="s">
        <v>3042</v>
      </c>
    </row>
    <row r="17" spans="1:3" x14ac:dyDescent="0.2">
      <c r="A17" t="s">
        <v>3276</v>
      </c>
      <c r="B17" t="s">
        <v>3036</v>
      </c>
      <c r="C17" t="s">
        <v>4850</v>
      </c>
    </row>
    <row r="18" spans="1:3" x14ac:dyDescent="0.2">
      <c r="A18" t="s">
        <v>3009</v>
      </c>
      <c r="B18" t="s">
        <v>1011</v>
      </c>
    </row>
    <row r="19" spans="1:3" x14ac:dyDescent="0.2">
      <c r="A19" t="s">
        <v>4186</v>
      </c>
      <c r="B19" t="s">
        <v>3040</v>
      </c>
    </row>
    <row r="20" spans="1:3" x14ac:dyDescent="0.2">
      <c r="A20" t="s">
        <v>1136</v>
      </c>
      <c r="B20" t="s">
        <v>3040</v>
      </c>
    </row>
    <row r="21" spans="1:3" x14ac:dyDescent="0.2">
      <c r="A21" t="s">
        <v>1124</v>
      </c>
      <c r="B21" t="s">
        <v>3036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4138</v>
      </c>
      <c r="B23" t="s">
        <v>3036</v>
      </c>
    </row>
    <row r="24" spans="1:3" x14ac:dyDescent="0.2">
      <c r="A24" t="s">
        <v>4071</v>
      </c>
      <c r="B24" t="s">
        <v>3040</v>
      </c>
    </row>
    <row r="25" spans="1:3" x14ac:dyDescent="0.2">
      <c r="A25" t="s">
        <v>2828</v>
      </c>
      <c r="B25" t="s">
        <v>3040</v>
      </c>
    </row>
    <row r="26" spans="1:3" x14ac:dyDescent="0.2">
      <c r="A26" t="s">
        <v>2902</v>
      </c>
      <c r="B26" t="s">
        <v>3039</v>
      </c>
    </row>
    <row r="27" spans="1:3" x14ac:dyDescent="0.2">
      <c r="A27" t="s">
        <v>2647</v>
      </c>
      <c r="B27" t="s">
        <v>995</v>
      </c>
    </row>
    <row r="28" spans="1:3" x14ac:dyDescent="0.2">
      <c r="A28" t="s">
        <v>2266</v>
      </c>
      <c r="B28" t="s">
        <v>3038</v>
      </c>
    </row>
    <row r="29" spans="1:3" x14ac:dyDescent="0.2">
      <c r="A29" t="s">
        <v>720</v>
      </c>
      <c r="B29" t="s">
        <v>3036</v>
      </c>
    </row>
    <row r="30" spans="1:3" x14ac:dyDescent="0.2">
      <c r="A30" t="s">
        <v>4225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2557</v>
      </c>
      <c r="B32" t="s">
        <v>3037</v>
      </c>
    </row>
    <row r="33" spans="1:2" x14ac:dyDescent="0.2">
      <c r="A33" t="s">
        <v>3958</v>
      </c>
      <c r="B33" t="s">
        <v>3036</v>
      </c>
    </row>
    <row r="34" spans="1:2" x14ac:dyDescent="0.2">
      <c r="A34" t="s">
        <v>2479</v>
      </c>
      <c r="B34" t="s">
        <v>1011</v>
      </c>
    </row>
    <row r="35" spans="1:2" x14ac:dyDescent="0.2">
      <c r="A35" t="s">
        <v>2558</v>
      </c>
      <c r="B35" t="s">
        <v>3038</v>
      </c>
    </row>
    <row r="36" spans="1:2" x14ac:dyDescent="0.2">
      <c r="A36" t="s">
        <v>3121</v>
      </c>
      <c r="B36" t="s">
        <v>3040</v>
      </c>
    </row>
    <row r="37" spans="1:2" x14ac:dyDescent="0.2">
      <c r="A37" t="s">
        <v>997</v>
      </c>
      <c r="B37" t="s">
        <v>3040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3040</v>
      </c>
    </row>
    <row r="40" spans="1:2" x14ac:dyDescent="0.2">
      <c r="A40" t="s">
        <v>1532</v>
      </c>
      <c r="B40" t="s">
        <v>3040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3036</v>
      </c>
    </row>
    <row r="43" spans="1:2" x14ac:dyDescent="0.2">
      <c r="A43" t="s">
        <v>3311</v>
      </c>
      <c r="B43" t="s">
        <v>1011</v>
      </c>
    </row>
    <row r="44" spans="1:2" x14ac:dyDescent="0.2">
      <c r="A44" t="s">
        <v>2517</v>
      </c>
      <c r="B44" t="s">
        <v>1081</v>
      </c>
    </row>
    <row r="45" spans="1:2" x14ac:dyDescent="0.2">
      <c r="A45" t="s">
        <v>3517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3038</v>
      </c>
    </row>
    <row r="51" spans="1:2" x14ac:dyDescent="0.2">
      <c r="A51" t="s">
        <v>3562</v>
      </c>
      <c r="B51" t="s">
        <v>3036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3036</v>
      </c>
    </row>
    <row r="54" spans="1:2" x14ac:dyDescent="0.2">
      <c r="A54" t="s">
        <v>1349</v>
      </c>
      <c r="B54" t="s">
        <v>3040</v>
      </c>
    </row>
    <row r="55" spans="1:2" x14ac:dyDescent="0.2">
      <c r="A55" t="s">
        <v>2513</v>
      </c>
      <c r="B55" t="s">
        <v>3039</v>
      </c>
    </row>
    <row r="56" spans="1:2" x14ac:dyDescent="0.2">
      <c r="A56" t="s">
        <v>1944</v>
      </c>
      <c r="B56" t="s">
        <v>3039</v>
      </c>
    </row>
    <row r="57" spans="1:2" x14ac:dyDescent="0.2">
      <c r="A57" t="s">
        <v>3928</v>
      </c>
      <c r="B57" t="s">
        <v>1011</v>
      </c>
    </row>
    <row r="58" spans="1:2" x14ac:dyDescent="0.2">
      <c r="A58" t="s">
        <v>2599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3036</v>
      </c>
    </row>
    <row r="61" spans="1:2" x14ac:dyDescent="0.2">
      <c r="A61" t="s">
        <v>3518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3036</v>
      </c>
    </row>
    <row r="64" spans="1:2" x14ac:dyDescent="0.2">
      <c r="A64" t="s">
        <v>1763</v>
      </c>
      <c r="B64" t="s">
        <v>3036</v>
      </c>
    </row>
    <row r="65" spans="1:2" x14ac:dyDescent="0.2">
      <c r="A65" t="s">
        <v>3825</v>
      </c>
      <c r="B65" t="s">
        <v>3038</v>
      </c>
    </row>
    <row r="66" spans="1:2" x14ac:dyDescent="0.2">
      <c r="A66" t="s">
        <v>3913</v>
      </c>
      <c r="B66" t="s">
        <v>3040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3040</v>
      </c>
    </row>
    <row r="69" spans="1:2" x14ac:dyDescent="0.2">
      <c r="A69" t="s">
        <v>1016</v>
      </c>
      <c r="B69" t="s">
        <v>3036</v>
      </c>
    </row>
    <row r="70" spans="1:2" x14ac:dyDescent="0.2">
      <c r="A70" t="s">
        <v>1894</v>
      </c>
      <c r="B70" t="s">
        <v>3036</v>
      </c>
    </row>
    <row r="71" spans="1:2" x14ac:dyDescent="0.2">
      <c r="A71" t="s">
        <v>1247</v>
      </c>
      <c r="B71" t="s">
        <v>3040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3036</v>
      </c>
    </row>
    <row r="76" spans="1:2" x14ac:dyDescent="0.2">
      <c r="A76" t="s">
        <v>3085</v>
      </c>
      <c r="B76" t="s">
        <v>3039</v>
      </c>
    </row>
    <row r="77" spans="1:2" x14ac:dyDescent="0.2">
      <c r="A77" t="s">
        <v>1094</v>
      </c>
      <c r="B77" t="s">
        <v>3038</v>
      </c>
    </row>
    <row r="78" spans="1:2" x14ac:dyDescent="0.2">
      <c r="A78" t="s">
        <v>996</v>
      </c>
      <c r="B78" t="s">
        <v>3036</v>
      </c>
    </row>
    <row r="79" spans="1:2" x14ac:dyDescent="0.2">
      <c r="A79" t="s">
        <v>4232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2916</v>
      </c>
      <c r="B81" t="s">
        <v>3038</v>
      </c>
    </row>
    <row r="82" spans="1:2" x14ac:dyDescent="0.2">
      <c r="A82" t="s">
        <v>2265</v>
      </c>
      <c r="B82" t="s">
        <v>3044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3657</v>
      </c>
      <c r="B84" t="s">
        <v>3036</v>
      </c>
    </row>
    <row r="85" spans="1:2" x14ac:dyDescent="0.2">
      <c r="A85" t="s">
        <v>2383</v>
      </c>
      <c r="B85" t="s">
        <v>1011</v>
      </c>
    </row>
    <row r="86" spans="1:2" x14ac:dyDescent="0.2">
      <c r="A86" t="s">
        <v>3284</v>
      </c>
      <c r="B86" t="s">
        <v>3040</v>
      </c>
    </row>
    <row r="87" spans="1:2" x14ac:dyDescent="0.2">
      <c r="A87" t="s">
        <v>2036</v>
      </c>
      <c r="B87" t="s">
        <v>3040</v>
      </c>
    </row>
    <row r="88" spans="1:2" x14ac:dyDescent="0.2">
      <c r="A88" t="s">
        <v>4019</v>
      </c>
      <c r="B88" t="s">
        <v>3040</v>
      </c>
    </row>
    <row r="89" spans="1:2" x14ac:dyDescent="0.2">
      <c r="A89" t="s">
        <v>3658</v>
      </c>
      <c r="B89" t="s">
        <v>3036</v>
      </c>
    </row>
    <row r="90" spans="1:2" x14ac:dyDescent="0.2">
      <c r="A90" t="s">
        <v>2071</v>
      </c>
      <c r="B90" t="s">
        <v>3041</v>
      </c>
    </row>
    <row r="91" spans="1:2" x14ac:dyDescent="0.2">
      <c r="A91" t="s">
        <v>1197</v>
      </c>
      <c r="B91" t="s">
        <v>3041</v>
      </c>
    </row>
    <row r="92" spans="1:2" x14ac:dyDescent="0.2">
      <c r="A92" t="s">
        <v>986</v>
      </c>
      <c r="B92" t="s">
        <v>3036</v>
      </c>
    </row>
    <row r="93" spans="1:2" x14ac:dyDescent="0.2">
      <c r="A93" t="s">
        <v>2707</v>
      </c>
      <c r="B93" t="s">
        <v>2707</v>
      </c>
    </row>
    <row r="94" spans="1:2" x14ac:dyDescent="0.2">
      <c r="A94" t="s">
        <v>1010</v>
      </c>
      <c r="B94" t="s">
        <v>3036</v>
      </c>
    </row>
    <row r="95" spans="1:2" x14ac:dyDescent="0.2">
      <c r="A95" t="s">
        <v>2559</v>
      </c>
      <c r="B95" t="s">
        <v>3036</v>
      </c>
    </row>
    <row r="96" spans="1:2" x14ac:dyDescent="0.2">
      <c r="A96" t="s">
        <v>3376</v>
      </c>
      <c r="B96" t="s">
        <v>3036</v>
      </c>
    </row>
    <row r="97" spans="1:2" x14ac:dyDescent="0.2">
      <c r="A97" t="s">
        <v>1176</v>
      </c>
      <c r="B97" t="s">
        <v>3044</v>
      </c>
    </row>
    <row r="98" spans="1:2" x14ac:dyDescent="0.2">
      <c r="A98" t="s">
        <v>1018</v>
      </c>
      <c r="B98" t="s">
        <v>3040</v>
      </c>
    </row>
    <row r="99" spans="1:2" x14ac:dyDescent="0.2">
      <c r="A99" t="s">
        <v>3662</v>
      </c>
      <c r="B99" t="s">
        <v>3036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3036</v>
      </c>
    </row>
    <row r="103" spans="1:2" x14ac:dyDescent="0.2">
      <c r="A103" t="s">
        <v>2342</v>
      </c>
      <c r="B103" t="s">
        <v>3036</v>
      </c>
    </row>
    <row r="104" spans="1:2" x14ac:dyDescent="0.2">
      <c r="A104" t="s">
        <v>998</v>
      </c>
      <c r="B104" t="s">
        <v>3036</v>
      </c>
    </row>
    <row r="105" spans="1:2" x14ac:dyDescent="0.2">
      <c r="A105" t="s">
        <v>1017</v>
      </c>
      <c r="B105" t="s">
        <v>3036</v>
      </c>
    </row>
    <row r="106" spans="1:2" x14ac:dyDescent="0.2">
      <c r="A106" t="s">
        <v>1659</v>
      </c>
      <c r="B106" t="s">
        <v>3043</v>
      </c>
    </row>
    <row r="107" spans="1:2" x14ac:dyDescent="0.2">
      <c r="A107" t="s">
        <v>1457</v>
      </c>
      <c r="B107" t="s">
        <v>3045</v>
      </c>
    </row>
    <row r="108" spans="1:2" x14ac:dyDescent="0.2">
      <c r="A108" t="s">
        <v>1137</v>
      </c>
      <c r="B108" t="s">
        <v>3040</v>
      </c>
    </row>
    <row r="109" spans="1:2" x14ac:dyDescent="0.2">
      <c r="A109" t="s">
        <v>1008</v>
      </c>
      <c r="B109" t="s">
        <v>3043</v>
      </c>
    </row>
    <row r="110" spans="1:2" x14ac:dyDescent="0.2">
      <c r="A110" t="s">
        <v>1005</v>
      </c>
      <c r="B110" t="s">
        <v>3036</v>
      </c>
    </row>
    <row r="111" spans="1:2" x14ac:dyDescent="0.2">
      <c r="A111" t="s">
        <v>3590</v>
      </c>
      <c r="B111" t="s">
        <v>1011</v>
      </c>
    </row>
    <row r="112" spans="1:2" x14ac:dyDescent="0.2">
      <c r="A112" t="s">
        <v>733</v>
      </c>
      <c r="B112" t="s">
        <v>3040</v>
      </c>
    </row>
    <row r="113" spans="1:2" x14ac:dyDescent="0.2">
      <c r="A113" t="s">
        <v>1494</v>
      </c>
      <c r="B113" t="s">
        <v>3038</v>
      </c>
    </row>
    <row r="114" spans="1:2" x14ac:dyDescent="0.2">
      <c r="A114" t="s">
        <v>987</v>
      </c>
      <c r="B114" t="s">
        <v>3036</v>
      </c>
    </row>
    <row r="115" spans="1:2" x14ac:dyDescent="0.2">
      <c r="A115" t="s">
        <v>991</v>
      </c>
      <c r="B115" t="s">
        <v>3037</v>
      </c>
    </row>
    <row r="116" spans="1:2" x14ac:dyDescent="0.2">
      <c r="A116" t="s">
        <v>2329</v>
      </c>
      <c r="B116" t="s">
        <v>3038</v>
      </c>
    </row>
    <row r="117" spans="1:2" x14ac:dyDescent="0.2">
      <c r="A117" t="s">
        <v>984</v>
      </c>
      <c r="B117" t="s">
        <v>3036</v>
      </c>
    </row>
    <row r="118" spans="1:2" x14ac:dyDescent="0.2">
      <c r="A118" t="s">
        <v>1014</v>
      </c>
      <c r="B118" t="s">
        <v>3043</v>
      </c>
    </row>
    <row r="119" spans="1:2" x14ac:dyDescent="0.2">
      <c r="A119" t="s">
        <v>1019</v>
      </c>
      <c r="B119" t="s">
        <v>3040</v>
      </c>
    </row>
    <row r="120" spans="1:2" x14ac:dyDescent="0.2">
      <c r="A120" t="s">
        <v>3142</v>
      </c>
      <c r="B120" t="s">
        <v>3155</v>
      </c>
    </row>
    <row r="121" spans="1:2" x14ac:dyDescent="0.2">
      <c r="A121" t="s">
        <v>2779</v>
      </c>
      <c r="B121" t="s">
        <v>3036</v>
      </c>
    </row>
    <row r="122" spans="1:2" x14ac:dyDescent="0.2">
      <c r="A122" t="s">
        <v>1123</v>
      </c>
      <c r="B122" t="s">
        <v>3036</v>
      </c>
    </row>
    <row r="123" spans="1:2" x14ac:dyDescent="0.2">
      <c r="A123" t="s">
        <v>992</v>
      </c>
      <c r="B123" t="s">
        <v>3036</v>
      </c>
    </row>
    <row r="124" spans="1:2" x14ac:dyDescent="0.2">
      <c r="A124" t="s">
        <v>2243</v>
      </c>
      <c r="B124" t="s">
        <v>3042</v>
      </c>
    </row>
    <row r="125" spans="1:2" x14ac:dyDescent="0.2">
      <c r="A125" t="s">
        <v>989</v>
      </c>
      <c r="B125" t="s">
        <v>3036</v>
      </c>
    </row>
    <row r="126" spans="1:2" x14ac:dyDescent="0.2">
      <c r="A126" t="s">
        <v>737</v>
      </c>
      <c r="B126" t="s">
        <v>3037</v>
      </c>
    </row>
    <row r="127" spans="1:2" x14ac:dyDescent="0.2">
      <c r="A127" t="s">
        <v>2583</v>
      </c>
      <c r="B127" t="s">
        <v>3036</v>
      </c>
    </row>
    <row r="128" spans="1:2" x14ac:dyDescent="0.2">
      <c r="A128" t="s">
        <v>990</v>
      </c>
      <c r="B128" t="s">
        <v>3037</v>
      </c>
    </row>
    <row r="129" spans="1:2" x14ac:dyDescent="0.2">
      <c r="A129" t="s">
        <v>2427</v>
      </c>
      <c r="B129" t="s">
        <v>3036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3040</v>
      </c>
    </row>
    <row r="132" spans="1:2" x14ac:dyDescent="0.2">
      <c r="A132" t="s">
        <v>1232</v>
      </c>
      <c r="B132" t="s">
        <v>3036</v>
      </c>
    </row>
    <row r="133" spans="1:2" x14ac:dyDescent="0.2">
      <c r="A133" t="s">
        <v>1492</v>
      </c>
      <c r="B133" t="s">
        <v>3036</v>
      </c>
    </row>
    <row r="134" spans="1:2" x14ac:dyDescent="0.2">
      <c r="A134" t="s">
        <v>2072</v>
      </c>
      <c r="B134" t="s">
        <v>3038</v>
      </c>
    </row>
    <row r="135" spans="1:2" x14ac:dyDescent="0.2">
      <c r="A135" t="s">
        <v>3932</v>
      </c>
      <c r="B135" t="s">
        <v>3040</v>
      </c>
    </row>
    <row r="136" spans="1:2" x14ac:dyDescent="0.2">
      <c r="A136" t="s">
        <v>734</v>
      </c>
      <c r="B136" t="s">
        <v>3040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4460</v>
      </c>
      <c r="B141" t="s">
        <v>1011</v>
      </c>
    </row>
    <row r="142" spans="1:2" x14ac:dyDescent="0.2">
      <c r="A142" t="s">
        <v>4490</v>
      </c>
      <c r="B142" t="s">
        <v>1011</v>
      </c>
    </row>
    <row r="143" spans="1:2" x14ac:dyDescent="0.2">
      <c r="A143" t="s">
        <v>4536</v>
      </c>
      <c r="B143" t="s">
        <v>3036</v>
      </c>
    </row>
    <row r="144" spans="1:2" x14ac:dyDescent="0.2">
      <c r="A144" t="s">
        <v>4581</v>
      </c>
      <c r="B144" t="s">
        <v>3036</v>
      </c>
    </row>
    <row r="145" spans="1:2" x14ac:dyDescent="0.2">
      <c r="A145" t="s">
        <v>4687</v>
      </c>
      <c r="B145" t="s">
        <v>3038</v>
      </c>
    </row>
    <row r="146" spans="1:2" x14ac:dyDescent="0.2">
      <c r="A146" t="s">
        <v>4775</v>
      </c>
      <c r="B146" t="s">
        <v>3039</v>
      </c>
    </row>
    <row r="147" spans="1:2" x14ac:dyDescent="0.2">
      <c r="A147" t="s">
        <v>4802</v>
      </c>
      <c r="B147" t="s">
        <v>1081</v>
      </c>
    </row>
    <row r="148" spans="1:2" x14ac:dyDescent="0.2">
      <c r="A148" t="s">
        <v>4848</v>
      </c>
      <c r="B148" t="s">
        <v>4850</v>
      </c>
    </row>
    <row r="149" spans="1:2" x14ac:dyDescent="0.2">
      <c r="A149" t="s">
        <v>4881</v>
      </c>
      <c r="B149" t="s">
        <v>3043</v>
      </c>
    </row>
    <row r="150" spans="1:2" x14ac:dyDescent="0.2">
      <c r="A150" t="s">
        <v>5541</v>
      </c>
      <c r="B150" t="s">
        <v>1011</v>
      </c>
    </row>
    <row r="151" spans="1:2" x14ac:dyDescent="0.2">
      <c r="A151" t="s">
        <v>5542</v>
      </c>
      <c r="B151" t="s">
        <v>1011</v>
      </c>
    </row>
    <row r="152" spans="1:2" x14ac:dyDescent="0.2">
      <c r="A152" t="s">
        <v>5548</v>
      </c>
      <c r="B152" t="s">
        <v>3040</v>
      </c>
    </row>
    <row r="153" spans="1:2" x14ac:dyDescent="0.2">
      <c r="A153" t="s">
        <v>5583</v>
      </c>
      <c r="B153" t="s">
        <v>3040</v>
      </c>
    </row>
    <row r="154" spans="1:2" x14ac:dyDescent="0.2">
      <c r="A154" t="s">
        <v>5584</v>
      </c>
      <c r="B154" t="s">
        <v>3037</v>
      </c>
    </row>
    <row r="155" spans="1:2" x14ac:dyDescent="0.2">
      <c r="A155" t="s">
        <v>5640</v>
      </c>
      <c r="B155" t="s">
        <v>3038</v>
      </c>
    </row>
    <row r="156" spans="1:2" x14ac:dyDescent="0.2">
      <c r="A156" t="s">
        <v>5668</v>
      </c>
      <c r="B156" t="s">
        <v>3044</v>
      </c>
    </row>
    <row r="157" spans="1:2" x14ac:dyDescent="0.2">
      <c r="A157" t="s">
        <v>5704</v>
      </c>
      <c r="B157" t="s">
        <v>3036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Y2420"/>
  <sheetViews>
    <sheetView zoomScale="90" zoomScaleNormal="90" workbookViewId="0">
      <selection activeCell="T247" sqref="T247"/>
    </sheetView>
  </sheetViews>
  <sheetFormatPr baseColWidth="10" defaultColWidth="8.83203125" defaultRowHeight="16" x14ac:dyDescent="0.2"/>
  <sheetData>
    <row r="1" spans="46:47" x14ac:dyDescent="0.2">
      <c r="AT1" s="418" t="s">
        <v>3663</v>
      </c>
      <c r="AU1" t="s">
        <v>3664</v>
      </c>
    </row>
    <row r="2" spans="46:47" x14ac:dyDescent="0.2">
      <c r="AT2" s="418" t="s">
        <v>3665</v>
      </c>
      <c r="AU2">
        <v>42</v>
      </c>
    </row>
    <row r="3" spans="46:47" x14ac:dyDescent="0.2">
      <c r="AT3" s="418" t="s">
        <v>3666</v>
      </c>
      <c r="AU3">
        <v>78</v>
      </c>
    </row>
    <row r="4" spans="46:47" x14ac:dyDescent="0.2">
      <c r="AT4" s="418" t="s">
        <v>3667</v>
      </c>
      <c r="AU4">
        <v>119</v>
      </c>
    </row>
    <row r="5" spans="46:47" x14ac:dyDescent="0.2">
      <c r="AT5" s="418" t="s">
        <v>3668</v>
      </c>
      <c r="AU5">
        <v>152</v>
      </c>
    </row>
    <row r="6" spans="46:47" x14ac:dyDescent="0.2">
      <c r="AT6" s="418" t="s">
        <v>3669</v>
      </c>
      <c r="AU6">
        <v>192</v>
      </c>
    </row>
    <row r="7" spans="46:47" x14ac:dyDescent="0.2">
      <c r="AT7" s="418" t="s">
        <v>3670</v>
      </c>
      <c r="AU7">
        <v>232</v>
      </c>
    </row>
    <row r="8" spans="46:47" x14ac:dyDescent="0.2">
      <c r="AT8" s="418" t="s">
        <v>3929</v>
      </c>
      <c r="AU8">
        <v>271</v>
      </c>
    </row>
    <row r="9" spans="46:47" x14ac:dyDescent="0.2">
      <c r="AT9" s="418" t="s">
        <v>4609</v>
      </c>
      <c r="AU9">
        <v>289</v>
      </c>
    </row>
    <row r="10" spans="46:47" x14ac:dyDescent="0.2">
      <c r="AT10" s="418" t="s">
        <v>4962</v>
      </c>
      <c r="AU10">
        <v>300</v>
      </c>
    </row>
    <row r="13" spans="46:47" x14ac:dyDescent="0.2">
      <c r="AT13" s="418" t="s">
        <v>3663</v>
      </c>
      <c r="AU13" t="s">
        <v>3671</v>
      </c>
    </row>
    <row r="14" spans="46:47" x14ac:dyDescent="0.2">
      <c r="AT14" s="418" t="s">
        <v>3665</v>
      </c>
      <c r="AU14">
        <v>42</v>
      </c>
    </row>
    <row r="15" spans="46:47" x14ac:dyDescent="0.2">
      <c r="AT15" s="418" t="s">
        <v>3666</v>
      </c>
      <c r="AU15">
        <v>36</v>
      </c>
    </row>
    <row r="16" spans="46:47" x14ac:dyDescent="0.2">
      <c r="AT16" s="418" t="s">
        <v>3667</v>
      </c>
      <c r="AU16">
        <v>41</v>
      </c>
    </row>
    <row r="17" spans="46:49" x14ac:dyDescent="0.2">
      <c r="AT17" s="418" t="s">
        <v>3668</v>
      </c>
      <c r="AU17">
        <v>33</v>
      </c>
    </row>
    <row r="18" spans="46:49" x14ac:dyDescent="0.2">
      <c r="AT18" s="418" t="s">
        <v>3669</v>
      </c>
      <c r="AU18">
        <v>40</v>
      </c>
    </row>
    <row r="19" spans="46:49" x14ac:dyDescent="0.2">
      <c r="AT19" s="418" t="s">
        <v>3670</v>
      </c>
      <c r="AU19">
        <v>40</v>
      </c>
    </row>
    <row r="20" spans="46:49" x14ac:dyDescent="0.2">
      <c r="AT20" s="418" t="s">
        <v>3929</v>
      </c>
      <c r="AU20">
        <v>39</v>
      </c>
    </row>
    <row r="21" spans="46:49" x14ac:dyDescent="0.2">
      <c r="AT21" s="418" t="s">
        <v>4609</v>
      </c>
      <c r="AU21">
        <v>18</v>
      </c>
    </row>
    <row r="22" spans="46:49" x14ac:dyDescent="0.2">
      <c r="AT22" s="418" t="s">
        <v>4962</v>
      </c>
      <c r="AU22">
        <v>11</v>
      </c>
    </row>
    <row r="25" spans="46:49" x14ac:dyDescent="0.2">
      <c r="AT25" s="418" t="s">
        <v>1953</v>
      </c>
      <c r="AU25" t="s">
        <v>5441</v>
      </c>
      <c r="AV25" t="s">
        <v>5442</v>
      </c>
      <c r="AW25" t="s">
        <v>5443</v>
      </c>
    </row>
    <row r="26" spans="46:49" x14ac:dyDescent="0.2">
      <c r="AT26" s="418" t="s">
        <v>2022</v>
      </c>
      <c r="AU26">
        <v>9.2899999999999991</v>
      </c>
      <c r="AV26">
        <v>9.44</v>
      </c>
      <c r="AW26">
        <v>9.2899999999999991</v>
      </c>
    </row>
    <row r="27" spans="46:49" x14ac:dyDescent="0.2">
      <c r="AT27" s="418" t="s">
        <v>2022</v>
      </c>
      <c r="AU27">
        <v>9.2200000000000006</v>
      </c>
      <c r="AV27">
        <v>9.34</v>
      </c>
      <c r="AW27">
        <v>9.2200000000000006</v>
      </c>
    </row>
    <row r="28" spans="46:49" x14ac:dyDescent="0.2">
      <c r="AT28" s="418" t="s">
        <v>2022</v>
      </c>
      <c r="AU28">
        <v>9.15</v>
      </c>
      <c r="AV28">
        <v>9.25</v>
      </c>
      <c r="AW28">
        <v>9.15</v>
      </c>
    </row>
    <row r="29" spans="46:49" x14ac:dyDescent="0.2">
      <c r="AT29" s="418" t="s">
        <v>2022</v>
      </c>
      <c r="AU29">
        <v>9.09</v>
      </c>
      <c r="AV29">
        <v>9.1999999999999993</v>
      </c>
      <c r="AW29">
        <v>9.09</v>
      </c>
    </row>
    <row r="30" spans="46:49" x14ac:dyDescent="0.2">
      <c r="AT30" s="418" t="s">
        <v>2022</v>
      </c>
      <c r="AU30">
        <v>9.0299999999999994</v>
      </c>
      <c r="AV30">
        <v>9.14</v>
      </c>
      <c r="AW30">
        <v>9.0299999999999994</v>
      </c>
    </row>
    <row r="31" spans="46:49" x14ac:dyDescent="0.2">
      <c r="AT31" s="418" t="s">
        <v>2022</v>
      </c>
      <c r="AU31">
        <v>9.01</v>
      </c>
      <c r="AV31">
        <v>9.09</v>
      </c>
      <c r="AW31">
        <v>9.01</v>
      </c>
    </row>
    <row r="32" spans="46:49" x14ac:dyDescent="0.2">
      <c r="AT32" s="418" t="s">
        <v>2022</v>
      </c>
      <c r="AU32">
        <v>8.9700000000000006</v>
      </c>
      <c r="AV32">
        <v>9.0299999999999994</v>
      </c>
      <c r="AW32">
        <v>8.9700000000000006</v>
      </c>
    </row>
    <row r="33" spans="46:49" x14ac:dyDescent="0.2">
      <c r="AT33" s="418" t="s">
        <v>2022</v>
      </c>
      <c r="AU33">
        <v>8.9</v>
      </c>
      <c r="AV33">
        <v>8.94</v>
      </c>
      <c r="AW33">
        <v>8.9</v>
      </c>
    </row>
    <row r="34" spans="46:49" x14ac:dyDescent="0.2">
      <c r="AT34" s="418" t="s">
        <v>2021</v>
      </c>
      <c r="AU34">
        <v>8.98</v>
      </c>
      <c r="AV34">
        <v>9.06</v>
      </c>
      <c r="AW34">
        <v>8.98</v>
      </c>
    </row>
    <row r="35" spans="46:49" x14ac:dyDescent="0.2">
      <c r="AT35" s="418" t="s">
        <v>2021</v>
      </c>
      <c r="AU35">
        <v>9.02</v>
      </c>
      <c r="AV35">
        <v>9.1</v>
      </c>
      <c r="AW35">
        <v>9.02</v>
      </c>
    </row>
    <row r="36" spans="46:49" x14ac:dyDescent="0.2">
      <c r="AT36" s="418" t="s">
        <v>2021</v>
      </c>
      <c r="AU36">
        <v>9.0399999999999991</v>
      </c>
      <c r="AV36">
        <v>9.1300000000000008</v>
      </c>
      <c r="AW36">
        <v>9.0399999999999991</v>
      </c>
    </row>
    <row r="37" spans="46:49" x14ac:dyDescent="0.2">
      <c r="AT37" s="418" t="s">
        <v>2021</v>
      </c>
      <c r="AU37">
        <v>9.06</v>
      </c>
      <c r="AV37">
        <v>9.14</v>
      </c>
      <c r="AW37">
        <v>9.06</v>
      </c>
    </row>
    <row r="38" spans="46:49" x14ac:dyDescent="0.2">
      <c r="AT38" s="418" t="s">
        <v>2020</v>
      </c>
      <c r="AU38">
        <v>9.08</v>
      </c>
      <c r="AV38">
        <v>9.17</v>
      </c>
      <c r="AW38">
        <v>9.08</v>
      </c>
    </row>
    <row r="39" spans="46:49" x14ac:dyDescent="0.2">
      <c r="AT39" s="418" t="s">
        <v>2020</v>
      </c>
      <c r="AU39">
        <v>9.08</v>
      </c>
      <c r="AV39">
        <v>9.17</v>
      </c>
      <c r="AW39">
        <v>9.08</v>
      </c>
    </row>
    <row r="40" spans="46:49" x14ac:dyDescent="0.2">
      <c r="AT40" s="418" t="s">
        <v>2020</v>
      </c>
      <c r="AU40">
        <v>9.06</v>
      </c>
      <c r="AV40">
        <v>9.14</v>
      </c>
      <c r="AW40">
        <v>9.06</v>
      </c>
    </row>
    <row r="41" spans="46:49" x14ac:dyDescent="0.2">
      <c r="AT41" s="418" t="s">
        <v>2020</v>
      </c>
      <c r="AU41">
        <v>9.01</v>
      </c>
      <c r="AV41">
        <v>9.08</v>
      </c>
      <c r="AW41">
        <v>9.01</v>
      </c>
    </row>
    <row r="42" spans="46:49" x14ac:dyDescent="0.2">
      <c r="AT42" s="418" t="s">
        <v>2019</v>
      </c>
      <c r="AU42">
        <v>8.98</v>
      </c>
      <c r="AV42">
        <v>9.0399999999999991</v>
      </c>
      <c r="AW42">
        <v>8.98</v>
      </c>
    </row>
    <row r="43" spans="46:49" x14ac:dyDescent="0.2">
      <c r="AT43" s="418" t="s">
        <v>2019</v>
      </c>
      <c r="AU43">
        <v>8.94</v>
      </c>
      <c r="AV43">
        <v>8.99</v>
      </c>
      <c r="AW43">
        <v>8.94</v>
      </c>
    </row>
    <row r="44" spans="46:49" x14ac:dyDescent="0.2">
      <c r="AT44" s="418" t="s">
        <v>2019</v>
      </c>
      <c r="AU44">
        <v>8.91</v>
      </c>
      <c r="AV44">
        <v>8.9499999999999993</v>
      </c>
      <c r="AW44">
        <v>8.91</v>
      </c>
    </row>
    <row r="45" spans="46:49" x14ac:dyDescent="0.2">
      <c r="AT45" s="418" t="s">
        <v>2019</v>
      </c>
      <c r="AU45">
        <v>8.8699999999999992</v>
      </c>
      <c r="AV45">
        <v>8.9</v>
      </c>
      <c r="AW45">
        <v>8.8699999999999992</v>
      </c>
    </row>
    <row r="46" spans="46:49" x14ac:dyDescent="0.2">
      <c r="AT46" s="418" t="s">
        <v>2018</v>
      </c>
      <c r="AU46">
        <v>8.8800000000000008</v>
      </c>
      <c r="AV46">
        <v>8.91</v>
      </c>
      <c r="AW46">
        <v>8.86</v>
      </c>
    </row>
    <row r="47" spans="46:49" x14ac:dyDescent="0.2">
      <c r="AT47" s="418" t="s">
        <v>2018</v>
      </c>
      <c r="AU47">
        <v>8.8699999999999992</v>
      </c>
      <c r="AV47">
        <v>8.9</v>
      </c>
      <c r="AW47">
        <v>8.83</v>
      </c>
    </row>
    <row r="48" spans="46:49" x14ac:dyDescent="0.2">
      <c r="AT48" s="418" t="s">
        <v>2017</v>
      </c>
      <c r="AU48">
        <v>8.86</v>
      </c>
      <c r="AV48">
        <v>8.89</v>
      </c>
      <c r="AW48">
        <v>8.81</v>
      </c>
    </row>
    <row r="49" spans="46:49" x14ac:dyDescent="0.2">
      <c r="AT49" s="418" t="s">
        <v>2017</v>
      </c>
      <c r="AU49">
        <v>8.7899999999999991</v>
      </c>
      <c r="AV49">
        <v>8.82</v>
      </c>
      <c r="AW49">
        <v>8.73</v>
      </c>
    </row>
    <row r="50" spans="46:49" x14ac:dyDescent="0.2">
      <c r="AT50" s="418" t="s">
        <v>2016</v>
      </c>
      <c r="AU50">
        <v>8.81</v>
      </c>
      <c r="AV50">
        <v>8.84</v>
      </c>
      <c r="AW50">
        <v>8.75</v>
      </c>
    </row>
    <row r="51" spans="46:49" x14ac:dyDescent="0.2">
      <c r="AT51" s="418" t="s">
        <v>2016</v>
      </c>
      <c r="AU51">
        <v>8.77</v>
      </c>
      <c r="AV51">
        <v>8.7899999999999991</v>
      </c>
      <c r="AW51">
        <v>8.69</v>
      </c>
    </row>
    <row r="52" spans="46:49" x14ac:dyDescent="0.2">
      <c r="AT52" s="418" t="s">
        <v>2015</v>
      </c>
      <c r="AU52">
        <v>8.7799999999999994</v>
      </c>
      <c r="AV52">
        <v>8.81</v>
      </c>
      <c r="AW52">
        <v>8.7100000000000009</v>
      </c>
    </row>
    <row r="53" spans="46:49" x14ac:dyDescent="0.2">
      <c r="AT53" s="418" t="s">
        <v>2015</v>
      </c>
      <c r="AU53">
        <v>8.7799999999999994</v>
      </c>
      <c r="AV53">
        <v>8.81</v>
      </c>
      <c r="AW53">
        <v>8.73</v>
      </c>
    </row>
    <row r="54" spans="46:49" x14ac:dyDescent="0.2">
      <c r="AT54" s="418" t="s">
        <v>2015</v>
      </c>
      <c r="AU54">
        <v>8.76</v>
      </c>
      <c r="AV54">
        <v>8.7799999999999994</v>
      </c>
      <c r="AW54">
        <v>8.65</v>
      </c>
    </row>
    <row r="55" spans="46:49" x14ac:dyDescent="0.2">
      <c r="AT55" s="418" t="s">
        <v>2014</v>
      </c>
      <c r="AU55">
        <v>8.77</v>
      </c>
      <c r="AV55">
        <v>8.8000000000000007</v>
      </c>
      <c r="AW55">
        <v>8.64</v>
      </c>
    </row>
    <row r="56" spans="46:49" x14ac:dyDescent="0.2">
      <c r="AT56" s="418" t="s">
        <v>2014</v>
      </c>
      <c r="AU56">
        <v>8.77</v>
      </c>
      <c r="AV56">
        <v>8.7899999999999991</v>
      </c>
      <c r="AW56">
        <v>8.6199999999999992</v>
      </c>
    </row>
    <row r="57" spans="46:49" x14ac:dyDescent="0.2">
      <c r="AT57" s="418" t="s">
        <v>2014</v>
      </c>
      <c r="AU57">
        <v>8.74</v>
      </c>
      <c r="AV57">
        <v>8.76</v>
      </c>
      <c r="AW57">
        <v>8.5399999999999991</v>
      </c>
    </row>
    <row r="58" spans="46:49" x14ac:dyDescent="0.2">
      <c r="AT58" s="418" t="s">
        <v>2013</v>
      </c>
      <c r="AU58">
        <v>8.74</v>
      </c>
      <c r="AV58">
        <v>8.76</v>
      </c>
      <c r="AW58">
        <v>8.51</v>
      </c>
    </row>
    <row r="59" spans="46:49" x14ac:dyDescent="0.2">
      <c r="AT59" s="418" t="s">
        <v>2013</v>
      </c>
      <c r="AU59">
        <v>8.73</v>
      </c>
      <c r="AV59">
        <v>8.75</v>
      </c>
      <c r="AW59">
        <v>8.49</v>
      </c>
    </row>
    <row r="60" spans="46:49" x14ac:dyDescent="0.2">
      <c r="AT60" s="418" t="s">
        <v>2012</v>
      </c>
      <c r="AU60">
        <v>8.7799999999999994</v>
      </c>
      <c r="AV60">
        <v>8.81</v>
      </c>
      <c r="AW60">
        <v>8.57</v>
      </c>
    </row>
    <row r="61" spans="46:49" x14ac:dyDescent="0.2">
      <c r="AT61" s="418" t="s">
        <v>2012</v>
      </c>
      <c r="AU61">
        <v>8.7799999999999994</v>
      </c>
      <c r="AV61">
        <v>8.81</v>
      </c>
      <c r="AW61">
        <v>8.6</v>
      </c>
    </row>
    <row r="62" spans="46:49" x14ac:dyDescent="0.2">
      <c r="AT62" s="418" t="s">
        <v>2012</v>
      </c>
      <c r="AU62">
        <v>8.77</v>
      </c>
      <c r="AV62">
        <v>8.7899999999999991</v>
      </c>
      <c r="AW62">
        <v>8.59</v>
      </c>
    </row>
    <row r="63" spans="46:49" x14ac:dyDescent="0.2">
      <c r="AT63" s="418" t="s">
        <v>2011</v>
      </c>
      <c r="AU63">
        <v>8.77</v>
      </c>
      <c r="AV63">
        <v>8.7899999999999991</v>
      </c>
      <c r="AW63">
        <v>8.61</v>
      </c>
    </row>
    <row r="64" spans="46:49" x14ac:dyDescent="0.2">
      <c r="AT64" s="418" t="s">
        <v>2011</v>
      </c>
      <c r="AU64">
        <v>8.75</v>
      </c>
      <c r="AV64">
        <v>8.77</v>
      </c>
      <c r="AW64">
        <v>8.59</v>
      </c>
    </row>
    <row r="65" spans="46:49" x14ac:dyDescent="0.2">
      <c r="AT65" s="418" t="s">
        <v>2010</v>
      </c>
      <c r="AU65">
        <v>8.75</v>
      </c>
      <c r="AV65">
        <v>8.77</v>
      </c>
      <c r="AW65">
        <v>8.6300000000000008</v>
      </c>
    </row>
    <row r="66" spans="46:49" x14ac:dyDescent="0.2">
      <c r="AT66" s="418" t="s">
        <v>2009</v>
      </c>
      <c r="AU66">
        <v>8.75</v>
      </c>
      <c r="AV66">
        <v>8.7799999999999994</v>
      </c>
      <c r="AW66">
        <v>8.6300000000000008</v>
      </c>
    </row>
    <row r="67" spans="46:49" x14ac:dyDescent="0.2">
      <c r="AT67" s="418" t="s">
        <v>2009</v>
      </c>
      <c r="AU67">
        <v>8.73</v>
      </c>
      <c r="AV67">
        <v>8.75</v>
      </c>
      <c r="AW67">
        <v>8.58</v>
      </c>
    </row>
    <row r="68" spans="46:49" x14ac:dyDescent="0.2">
      <c r="AT68" s="418" t="s">
        <v>2008</v>
      </c>
      <c r="AU68">
        <v>8.76</v>
      </c>
      <c r="AV68">
        <v>8.7799999999999994</v>
      </c>
      <c r="AW68">
        <v>8.64</v>
      </c>
    </row>
    <row r="69" spans="46:49" x14ac:dyDescent="0.2">
      <c r="AT69" s="418" t="s">
        <v>2008</v>
      </c>
      <c r="AU69">
        <v>8.7200000000000006</v>
      </c>
      <c r="AV69">
        <v>8.74</v>
      </c>
      <c r="AW69">
        <v>8.6300000000000008</v>
      </c>
    </row>
    <row r="70" spans="46:49" x14ac:dyDescent="0.2">
      <c r="AT70" s="418" t="s">
        <v>2007</v>
      </c>
      <c r="AU70">
        <v>8.6999999999999993</v>
      </c>
      <c r="AV70">
        <v>8.7200000000000006</v>
      </c>
      <c r="AW70">
        <v>8.58</v>
      </c>
    </row>
    <row r="71" spans="46:49" x14ac:dyDescent="0.2">
      <c r="AT71" s="418" t="s">
        <v>2006</v>
      </c>
      <c r="AU71">
        <v>8.7100000000000009</v>
      </c>
      <c r="AV71">
        <v>8.73</v>
      </c>
      <c r="AW71">
        <v>8.64</v>
      </c>
    </row>
    <row r="72" spans="46:49" x14ac:dyDescent="0.2">
      <c r="AT72" s="418" t="s">
        <v>2006</v>
      </c>
      <c r="AU72">
        <v>8.7100000000000009</v>
      </c>
      <c r="AV72">
        <v>8.73</v>
      </c>
      <c r="AW72">
        <v>8.6199999999999992</v>
      </c>
    </row>
    <row r="73" spans="46:49" x14ac:dyDescent="0.2">
      <c r="AT73" s="418" t="s">
        <v>2005</v>
      </c>
      <c r="AU73">
        <v>8.73</v>
      </c>
      <c r="AV73">
        <v>8.76</v>
      </c>
      <c r="AW73">
        <v>8.67</v>
      </c>
    </row>
    <row r="74" spans="46:49" x14ac:dyDescent="0.2">
      <c r="AT74" s="418" t="s">
        <v>2005</v>
      </c>
      <c r="AU74">
        <v>8.75</v>
      </c>
      <c r="AV74">
        <v>8.7899999999999991</v>
      </c>
      <c r="AW74">
        <v>8.74</v>
      </c>
    </row>
    <row r="75" spans="46:49" x14ac:dyDescent="0.2">
      <c r="AT75" s="418" t="s">
        <v>2004</v>
      </c>
      <c r="AU75">
        <v>8.75</v>
      </c>
      <c r="AV75">
        <v>8.7799999999999994</v>
      </c>
      <c r="AW75">
        <v>8.7200000000000006</v>
      </c>
    </row>
    <row r="76" spans="46:49" x14ac:dyDescent="0.2">
      <c r="AT76" s="418" t="s">
        <v>2003</v>
      </c>
      <c r="AU76">
        <v>8.75</v>
      </c>
      <c r="AV76">
        <v>8.7799999999999994</v>
      </c>
      <c r="AW76">
        <v>8.7200000000000006</v>
      </c>
    </row>
    <row r="77" spans="46:49" x14ac:dyDescent="0.2">
      <c r="AT77" s="418" t="s">
        <v>2002</v>
      </c>
      <c r="AU77">
        <v>8.76</v>
      </c>
      <c r="AV77">
        <v>8.8000000000000007</v>
      </c>
      <c r="AW77">
        <v>8.81</v>
      </c>
    </row>
    <row r="78" spans="46:49" x14ac:dyDescent="0.2">
      <c r="AT78" s="418" t="s">
        <v>2002</v>
      </c>
      <c r="AU78">
        <v>8.76</v>
      </c>
      <c r="AV78">
        <v>8.7899999999999991</v>
      </c>
      <c r="AW78">
        <v>8.8000000000000007</v>
      </c>
    </row>
    <row r="79" spans="46:49" x14ac:dyDescent="0.2">
      <c r="AT79" s="418" t="s">
        <v>2001</v>
      </c>
      <c r="AU79">
        <v>8.76</v>
      </c>
      <c r="AV79">
        <v>8.7899999999999991</v>
      </c>
      <c r="AW79">
        <v>8.8000000000000007</v>
      </c>
    </row>
    <row r="80" spans="46:49" x14ac:dyDescent="0.2">
      <c r="AT80" s="418" t="s">
        <v>2000</v>
      </c>
      <c r="AU80">
        <v>8.76</v>
      </c>
      <c r="AV80">
        <v>8.7899999999999991</v>
      </c>
      <c r="AW80">
        <v>8.7200000000000006</v>
      </c>
    </row>
    <row r="81" spans="46:49" x14ac:dyDescent="0.2">
      <c r="AT81" s="418" t="s">
        <v>1999</v>
      </c>
      <c r="AU81">
        <v>8.76</v>
      </c>
      <c r="AV81">
        <v>8.7899999999999991</v>
      </c>
      <c r="AW81">
        <v>8.7200000000000006</v>
      </c>
    </row>
    <row r="82" spans="46:49" x14ac:dyDescent="0.2">
      <c r="AT82" s="418" t="s">
        <v>1999</v>
      </c>
      <c r="AU82">
        <v>8.75</v>
      </c>
      <c r="AV82">
        <v>8.7799999999999994</v>
      </c>
      <c r="AW82">
        <v>8.73</v>
      </c>
    </row>
    <row r="83" spans="46:49" x14ac:dyDescent="0.2">
      <c r="AT83" s="418" t="s">
        <v>1998</v>
      </c>
      <c r="AU83">
        <v>8.76</v>
      </c>
      <c r="AV83">
        <v>8.7899999999999991</v>
      </c>
      <c r="AW83">
        <v>8.74</v>
      </c>
    </row>
    <row r="84" spans="46:49" x14ac:dyDescent="0.2">
      <c r="AT84" s="418" t="s">
        <v>1997</v>
      </c>
      <c r="AU84">
        <v>8.76</v>
      </c>
      <c r="AV84">
        <v>8.7899999999999991</v>
      </c>
      <c r="AW84">
        <v>8.7799999999999994</v>
      </c>
    </row>
    <row r="85" spans="46:49" x14ac:dyDescent="0.2">
      <c r="AT85" s="418" t="s">
        <v>1996</v>
      </c>
      <c r="AU85">
        <v>8.76</v>
      </c>
      <c r="AV85">
        <v>8.7899999999999991</v>
      </c>
      <c r="AW85">
        <v>8.77</v>
      </c>
    </row>
    <row r="86" spans="46:49" x14ac:dyDescent="0.2">
      <c r="AT86" s="418" t="s">
        <v>1996</v>
      </c>
      <c r="AU86">
        <v>8.74</v>
      </c>
      <c r="AV86">
        <v>8.77</v>
      </c>
      <c r="AW86">
        <v>8.7200000000000006</v>
      </c>
    </row>
    <row r="87" spans="46:49" x14ac:dyDescent="0.2">
      <c r="AT87" s="418" t="s">
        <v>1995</v>
      </c>
      <c r="AU87">
        <v>8.74</v>
      </c>
      <c r="AV87">
        <v>8.77</v>
      </c>
      <c r="AW87">
        <v>8.77</v>
      </c>
    </row>
    <row r="88" spans="46:49" x14ac:dyDescent="0.2">
      <c r="AT88" s="418" t="s">
        <v>1994</v>
      </c>
      <c r="AU88">
        <v>8.75</v>
      </c>
      <c r="AV88">
        <v>8.77</v>
      </c>
      <c r="AW88">
        <v>8.73</v>
      </c>
    </row>
    <row r="89" spans="46:49" x14ac:dyDescent="0.2">
      <c r="AT89" s="418" t="s">
        <v>1994</v>
      </c>
      <c r="AU89">
        <v>8.73</v>
      </c>
      <c r="AV89">
        <v>8.75</v>
      </c>
      <c r="AW89">
        <v>8.75</v>
      </c>
    </row>
    <row r="90" spans="46:49" x14ac:dyDescent="0.2">
      <c r="AT90" s="418" t="s">
        <v>1993</v>
      </c>
      <c r="AU90">
        <v>8.73</v>
      </c>
      <c r="AV90">
        <v>8.76</v>
      </c>
      <c r="AW90">
        <v>8.7899999999999991</v>
      </c>
    </row>
    <row r="91" spans="46:49" x14ac:dyDescent="0.2">
      <c r="AT91" s="418" t="s">
        <v>1992</v>
      </c>
      <c r="AU91">
        <v>8.74</v>
      </c>
      <c r="AV91">
        <v>8.77</v>
      </c>
      <c r="AW91">
        <v>8.8000000000000007</v>
      </c>
    </row>
    <row r="92" spans="46:49" x14ac:dyDescent="0.2">
      <c r="AT92" s="418" t="s">
        <v>1991</v>
      </c>
      <c r="AU92">
        <v>8.76</v>
      </c>
      <c r="AV92">
        <v>8.7899999999999991</v>
      </c>
      <c r="AW92">
        <v>8.86</v>
      </c>
    </row>
    <row r="93" spans="46:49" x14ac:dyDescent="0.2">
      <c r="AT93" s="418" t="s">
        <v>1991</v>
      </c>
      <c r="AU93">
        <v>8.75</v>
      </c>
      <c r="AV93">
        <v>8.7799999999999994</v>
      </c>
      <c r="AW93">
        <v>8.81</v>
      </c>
    </row>
    <row r="94" spans="46:49" x14ac:dyDescent="0.2">
      <c r="AT94" s="418" t="s">
        <v>1990</v>
      </c>
      <c r="AU94">
        <v>8.76</v>
      </c>
      <c r="AV94">
        <v>8.7899999999999991</v>
      </c>
      <c r="AW94">
        <v>8.7799999999999994</v>
      </c>
    </row>
    <row r="95" spans="46:49" x14ac:dyDescent="0.2">
      <c r="AT95" s="418" t="s">
        <v>1989</v>
      </c>
      <c r="AU95">
        <v>8.75</v>
      </c>
      <c r="AV95">
        <v>8.7799999999999994</v>
      </c>
      <c r="AW95">
        <v>8.77</v>
      </c>
    </row>
    <row r="96" spans="46:49" x14ac:dyDescent="0.2">
      <c r="AT96" s="418" t="s">
        <v>1988</v>
      </c>
      <c r="AU96">
        <v>8.77</v>
      </c>
      <c r="AV96">
        <v>8.8000000000000007</v>
      </c>
      <c r="AW96">
        <v>8.8000000000000007</v>
      </c>
    </row>
    <row r="97" spans="46:49" x14ac:dyDescent="0.2">
      <c r="AT97" s="418" t="s">
        <v>1988</v>
      </c>
      <c r="AU97">
        <v>8.77</v>
      </c>
      <c r="AV97">
        <v>8.8000000000000007</v>
      </c>
      <c r="AW97">
        <v>8.77</v>
      </c>
    </row>
    <row r="98" spans="46:49" x14ac:dyDescent="0.2">
      <c r="AT98" s="418" t="s">
        <v>1988</v>
      </c>
      <c r="AU98">
        <v>8.77</v>
      </c>
      <c r="AV98">
        <v>8.8000000000000007</v>
      </c>
      <c r="AW98">
        <v>8.7799999999999994</v>
      </c>
    </row>
    <row r="99" spans="46:49" x14ac:dyDescent="0.2">
      <c r="AT99" s="418" t="s">
        <v>1988</v>
      </c>
      <c r="AU99">
        <v>8.76</v>
      </c>
      <c r="AV99">
        <v>8.7899999999999991</v>
      </c>
      <c r="AW99">
        <v>8.7799999999999994</v>
      </c>
    </row>
    <row r="100" spans="46:49" x14ac:dyDescent="0.2">
      <c r="AT100" s="418" t="s">
        <v>1988</v>
      </c>
      <c r="AU100">
        <v>8.75</v>
      </c>
      <c r="AV100">
        <v>8.7799999999999994</v>
      </c>
      <c r="AW100">
        <v>8.7200000000000006</v>
      </c>
    </row>
    <row r="101" spans="46:49" x14ac:dyDescent="0.2">
      <c r="AT101" s="418" t="s">
        <v>1987</v>
      </c>
      <c r="AU101">
        <v>8.76</v>
      </c>
      <c r="AV101">
        <v>8.7899999999999991</v>
      </c>
      <c r="AW101">
        <v>8.75</v>
      </c>
    </row>
    <row r="102" spans="46:49" x14ac:dyDescent="0.2">
      <c r="AT102" s="418" t="s">
        <v>1987</v>
      </c>
      <c r="AU102">
        <v>8.76</v>
      </c>
      <c r="AV102">
        <v>8.7899999999999991</v>
      </c>
      <c r="AW102">
        <v>8.76</v>
      </c>
    </row>
    <row r="103" spans="46:49" x14ac:dyDescent="0.2">
      <c r="AT103" s="418" t="s">
        <v>1987</v>
      </c>
      <c r="AU103">
        <v>8.75</v>
      </c>
      <c r="AV103">
        <v>8.7799999999999994</v>
      </c>
      <c r="AW103">
        <v>8.73</v>
      </c>
    </row>
    <row r="104" spans="46:49" x14ac:dyDescent="0.2">
      <c r="AT104" s="418" t="s">
        <v>1986</v>
      </c>
      <c r="AU104">
        <v>8.74</v>
      </c>
      <c r="AV104">
        <v>8.77</v>
      </c>
      <c r="AW104">
        <v>8.69</v>
      </c>
    </row>
    <row r="105" spans="46:49" x14ac:dyDescent="0.2">
      <c r="AT105" s="418" t="s">
        <v>1985</v>
      </c>
      <c r="AU105">
        <v>8.75</v>
      </c>
      <c r="AV105">
        <v>8.77</v>
      </c>
      <c r="AW105">
        <v>8.7200000000000006</v>
      </c>
    </row>
    <row r="106" spans="46:49" x14ac:dyDescent="0.2">
      <c r="AT106" s="418" t="s">
        <v>1985</v>
      </c>
      <c r="AU106">
        <v>8.75</v>
      </c>
      <c r="AV106">
        <v>8.77</v>
      </c>
      <c r="AW106">
        <v>8.76</v>
      </c>
    </row>
    <row r="107" spans="46:49" x14ac:dyDescent="0.2">
      <c r="AT107" s="418" t="s">
        <v>1984</v>
      </c>
      <c r="AU107">
        <v>8.74</v>
      </c>
      <c r="AV107">
        <v>8.77</v>
      </c>
      <c r="AW107">
        <v>8.75</v>
      </c>
    </row>
    <row r="108" spans="46:49" x14ac:dyDescent="0.2">
      <c r="AT108" s="418" t="s">
        <v>1983</v>
      </c>
      <c r="AU108">
        <v>8.74</v>
      </c>
      <c r="AV108">
        <v>8.77</v>
      </c>
      <c r="AW108">
        <v>8.73</v>
      </c>
    </row>
    <row r="109" spans="46:49" x14ac:dyDescent="0.2">
      <c r="AT109" s="418" t="s">
        <v>1982</v>
      </c>
      <c r="AU109">
        <v>8.75</v>
      </c>
      <c r="AV109">
        <v>8.77</v>
      </c>
      <c r="AW109">
        <v>8.8000000000000007</v>
      </c>
    </row>
    <row r="110" spans="46:49" x14ac:dyDescent="0.2">
      <c r="AT110" s="418" t="s">
        <v>1982</v>
      </c>
      <c r="AU110">
        <v>8.75</v>
      </c>
      <c r="AV110">
        <v>8.77</v>
      </c>
      <c r="AW110">
        <v>8.8000000000000007</v>
      </c>
    </row>
    <row r="111" spans="46:49" x14ac:dyDescent="0.2">
      <c r="AT111" s="418" t="s">
        <v>1981</v>
      </c>
      <c r="AU111">
        <v>8.75</v>
      </c>
      <c r="AV111">
        <v>8.77</v>
      </c>
      <c r="AW111">
        <v>8.7799999999999994</v>
      </c>
    </row>
    <row r="112" spans="46:49" x14ac:dyDescent="0.2">
      <c r="AT112" s="418" t="s">
        <v>1981</v>
      </c>
      <c r="AU112">
        <v>8.74</v>
      </c>
      <c r="AV112">
        <v>8.76</v>
      </c>
      <c r="AW112">
        <v>8.68</v>
      </c>
    </row>
    <row r="113" spans="46:49" x14ac:dyDescent="0.2">
      <c r="AT113" s="418" t="s">
        <v>1980</v>
      </c>
      <c r="AU113">
        <v>8.74</v>
      </c>
      <c r="AV113">
        <v>8.76</v>
      </c>
      <c r="AW113">
        <v>8.6999999999999993</v>
      </c>
    </row>
    <row r="114" spans="46:49" x14ac:dyDescent="0.2">
      <c r="AT114" s="418" t="s">
        <v>1979</v>
      </c>
      <c r="AU114">
        <v>8.74</v>
      </c>
      <c r="AV114">
        <v>8.76</v>
      </c>
      <c r="AW114">
        <v>8.69</v>
      </c>
    </row>
    <row r="115" spans="46:49" x14ac:dyDescent="0.2">
      <c r="AT115" s="418" t="s">
        <v>1978</v>
      </c>
      <c r="AU115">
        <v>8.74</v>
      </c>
      <c r="AV115">
        <v>8.76</v>
      </c>
      <c r="AW115">
        <v>8.6999999999999993</v>
      </c>
    </row>
    <row r="116" spans="46:49" x14ac:dyDescent="0.2">
      <c r="AT116" s="418" t="s">
        <v>1977</v>
      </c>
      <c r="AU116">
        <v>8.74</v>
      </c>
      <c r="AV116">
        <v>8.76</v>
      </c>
      <c r="AW116">
        <v>8.67</v>
      </c>
    </row>
    <row r="117" spans="46:49" x14ac:dyDescent="0.2">
      <c r="AT117" s="418" t="s">
        <v>1976</v>
      </c>
      <c r="AU117">
        <v>8.74</v>
      </c>
      <c r="AV117">
        <v>8.76</v>
      </c>
      <c r="AW117">
        <v>8.67</v>
      </c>
    </row>
    <row r="118" spans="46:49" x14ac:dyDescent="0.2">
      <c r="AT118" s="418" t="s">
        <v>1976</v>
      </c>
      <c r="AU118">
        <v>8.74</v>
      </c>
      <c r="AV118">
        <v>8.76</v>
      </c>
      <c r="AW118">
        <v>8.67</v>
      </c>
    </row>
    <row r="119" spans="46:49" x14ac:dyDescent="0.2">
      <c r="AT119" s="418" t="s">
        <v>1975</v>
      </c>
      <c r="AU119">
        <v>8.74</v>
      </c>
      <c r="AV119">
        <v>8.75</v>
      </c>
      <c r="AW119">
        <v>8.64</v>
      </c>
    </row>
    <row r="120" spans="46:49" x14ac:dyDescent="0.2">
      <c r="AT120" s="418" t="s">
        <v>1974</v>
      </c>
      <c r="AU120">
        <v>8.75</v>
      </c>
      <c r="AV120">
        <v>8.77</v>
      </c>
      <c r="AW120">
        <v>8.74</v>
      </c>
    </row>
    <row r="121" spans="46:49" x14ac:dyDescent="0.2">
      <c r="AT121" s="418" t="s">
        <v>1974</v>
      </c>
      <c r="AU121">
        <v>8.75</v>
      </c>
      <c r="AV121">
        <v>8.77</v>
      </c>
      <c r="AW121">
        <v>8.73</v>
      </c>
    </row>
    <row r="122" spans="46:49" x14ac:dyDescent="0.2">
      <c r="AT122" s="418" t="s">
        <v>1974</v>
      </c>
      <c r="AU122">
        <v>8.75</v>
      </c>
      <c r="AV122">
        <v>8.77</v>
      </c>
      <c r="AW122">
        <v>8.73</v>
      </c>
    </row>
    <row r="123" spans="46:49" x14ac:dyDescent="0.2">
      <c r="AT123" s="418" t="s">
        <v>1974</v>
      </c>
      <c r="AU123">
        <v>8.75</v>
      </c>
      <c r="AV123">
        <v>8.77</v>
      </c>
      <c r="AW123">
        <v>8.73</v>
      </c>
    </row>
    <row r="124" spans="46:49" x14ac:dyDescent="0.2">
      <c r="AT124" s="418" t="s">
        <v>1973</v>
      </c>
      <c r="AU124">
        <v>8.75</v>
      </c>
      <c r="AV124">
        <v>8.77</v>
      </c>
      <c r="AW124">
        <v>8.77</v>
      </c>
    </row>
    <row r="125" spans="46:49" x14ac:dyDescent="0.2">
      <c r="AT125" s="418" t="s">
        <v>1973</v>
      </c>
      <c r="AU125">
        <v>8.75</v>
      </c>
      <c r="AV125">
        <v>8.77</v>
      </c>
      <c r="AW125">
        <v>8.75</v>
      </c>
    </row>
    <row r="126" spans="46:49" x14ac:dyDescent="0.2">
      <c r="AT126" s="418" t="s">
        <v>1972</v>
      </c>
      <c r="AU126">
        <v>8.75</v>
      </c>
      <c r="AV126">
        <v>8.76</v>
      </c>
      <c r="AW126">
        <v>8.75</v>
      </c>
    </row>
    <row r="127" spans="46:49" x14ac:dyDescent="0.2">
      <c r="AT127" s="418" t="s">
        <v>1971</v>
      </c>
      <c r="AU127">
        <v>8.74</v>
      </c>
      <c r="AV127">
        <v>8.76</v>
      </c>
      <c r="AW127">
        <v>8.75</v>
      </c>
    </row>
    <row r="128" spans="46:49" x14ac:dyDescent="0.2">
      <c r="AT128" s="418" t="s">
        <v>1970</v>
      </c>
      <c r="AU128">
        <v>8.75</v>
      </c>
      <c r="AV128">
        <v>8.76</v>
      </c>
      <c r="AW128">
        <v>8.75</v>
      </c>
    </row>
    <row r="129" spans="46:49" x14ac:dyDescent="0.2">
      <c r="AT129" s="418" t="s">
        <v>1969</v>
      </c>
      <c r="AU129">
        <v>8.75</v>
      </c>
      <c r="AV129">
        <v>8.76</v>
      </c>
      <c r="AW129">
        <v>8.75</v>
      </c>
    </row>
    <row r="130" spans="46:49" x14ac:dyDescent="0.2">
      <c r="AT130" s="418" t="s">
        <v>1969</v>
      </c>
      <c r="AU130">
        <v>8.75</v>
      </c>
      <c r="AV130">
        <v>8.76</v>
      </c>
      <c r="AW130">
        <v>8.75</v>
      </c>
    </row>
    <row r="131" spans="46:49" x14ac:dyDescent="0.2">
      <c r="AT131" s="418" t="s">
        <v>1968</v>
      </c>
      <c r="AU131">
        <v>8.74</v>
      </c>
      <c r="AV131">
        <v>8.76</v>
      </c>
      <c r="AW131">
        <v>8.73</v>
      </c>
    </row>
    <row r="132" spans="46:49" x14ac:dyDescent="0.2">
      <c r="AT132" s="418" t="s">
        <v>1967</v>
      </c>
      <c r="AU132">
        <v>8.74</v>
      </c>
      <c r="AV132">
        <v>8.76</v>
      </c>
      <c r="AW132">
        <v>8.75</v>
      </c>
    </row>
    <row r="133" spans="46:49" x14ac:dyDescent="0.2">
      <c r="AT133" s="418" t="s">
        <v>1966</v>
      </c>
      <c r="AU133">
        <v>8.74</v>
      </c>
      <c r="AV133">
        <v>8.76</v>
      </c>
      <c r="AW133">
        <v>8.76</v>
      </c>
    </row>
    <row r="134" spans="46:49" x14ac:dyDescent="0.2">
      <c r="AT134" s="418" t="s">
        <v>1966</v>
      </c>
      <c r="AU134">
        <v>8.74</v>
      </c>
      <c r="AV134">
        <v>8.75</v>
      </c>
      <c r="AW134">
        <v>8.74</v>
      </c>
    </row>
    <row r="135" spans="46:49" x14ac:dyDescent="0.2">
      <c r="AT135" s="418" t="s">
        <v>1966</v>
      </c>
      <c r="AU135">
        <v>8.74</v>
      </c>
      <c r="AV135">
        <v>8.75</v>
      </c>
      <c r="AW135">
        <v>8.7200000000000006</v>
      </c>
    </row>
    <row r="136" spans="46:49" x14ac:dyDescent="0.2">
      <c r="AT136" s="418" t="s">
        <v>1965</v>
      </c>
      <c r="AU136">
        <v>8.74</v>
      </c>
      <c r="AV136">
        <v>8.75</v>
      </c>
      <c r="AW136">
        <v>8.7200000000000006</v>
      </c>
    </row>
    <row r="137" spans="46:49" x14ac:dyDescent="0.2">
      <c r="AT137" s="418" t="s">
        <v>1965</v>
      </c>
      <c r="AU137">
        <v>8.69</v>
      </c>
      <c r="AV137">
        <v>8.6999999999999993</v>
      </c>
      <c r="AW137">
        <v>8.4600000000000009</v>
      </c>
    </row>
    <row r="138" spans="46:49" x14ac:dyDescent="0.2">
      <c r="AT138" s="418" t="s">
        <v>1964</v>
      </c>
      <c r="AU138">
        <v>8.6999999999999993</v>
      </c>
      <c r="AV138">
        <v>8.6999999999999993</v>
      </c>
      <c r="AW138">
        <v>8.4700000000000006</v>
      </c>
    </row>
    <row r="139" spans="46:49" x14ac:dyDescent="0.2">
      <c r="AT139" s="418" t="s">
        <v>1964</v>
      </c>
      <c r="AU139">
        <v>8.69</v>
      </c>
      <c r="AV139">
        <v>8.6999999999999993</v>
      </c>
      <c r="AW139">
        <v>8.49</v>
      </c>
    </row>
    <row r="140" spans="46:49" x14ac:dyDescent="0.2">
      <c r="AT140" s="418" t="s">
        <v>1963</v>
      </c>
      <c r="AU140">
        <v>8.69</v>
      </c>
      <c r="AV140">
        <v>8.69</v>
      </c>
      <c r="AW140">
        <v>8.41</v>
      </c>
    </row>
    <row r="141" spans="46:49" x14ac:dyDescent="0.2">
      <c r="AT141" s="418" t="s">
        <v>1962</v>
      </c>
      <c r="AU141">
        <v>8.69</v>
      </c>
      <c r="AV141">
        <v>8.6999999999999993</v>
      </c>
      <c r="AW141">
        <v>8.41</v>
      </c>
    </row>
    <row r="142" spans="46:49" x14ac:dyDescent="0.2">
      <c r="AT142" s="418" t="s">
        <v>1962</v>
      </c>
      <c r="AU142">
        <v>8.69</v>
      </c>
      <c r="AV142">
        <v>8.6999999999999993</v>
      </c>
      <c r="AW142">
        <v>8.4</v>
      </c>
    </row>
    <row r="143" spans="46:49" x14ac:dyDescent="0.2">
      <c r="AT143" s="418" t="s">
        <v>1961</v>
      </c>
      <c r="AU143">
        <v>8.69</v>
      </c>
      <c r="AV143">
        <v>8.69</v>
      </c>
      <c r="AW143">
        <v>8.39</v>
      </c>
    </row>
    <row r="144" spans="46:49" x14ac:dyDescent="0.2">
      <c r="AT144" s="418" t="s">
        <v>1961</v>
      </c>
      <c r="AU144">
        <v>8.68</v>
      </c>
      <c r="AV144">
        <v>8.68</v>
      </c>
      <c r="AW144">
        <v>8.31</v>
      </c>
    </row>
    <row r="145" spans="46:49" x14ac:dyDescent="0.2">
      <c r="AT145" s="418" t="s">
        <v>1960</v>
      </c>
      <c r="AU145">
        <v>8.67</v>
      </c>
      <c r="AV145">
        <v>8.68</v>
      </c>
      <c r="AW145">
        <v>8.3000000000000007</v>
      </c>
    </row>
    <row r="146" spans="46:49" x14ac:dyDescent="0.2">
      <c r="AT146" s="418" t="s">
        <v>1959</v>
      </c>
      <c r="AU146">
        <v>8.68</v>
      </c>
      <c r="AV146">
        <v>8.68</v>
      </c>
      <c r="AW146">
        <v>8.33</v>
      </c>
    </row>
    <row r="147" spans="46:49" x14ac:dyDescent="0.2">
      <c r="AT147" s="418" t="s">
        <v>1959</v>
      </c>
      <c r="AU147">
        <v>8.68</v>
      </c>
      <c r="AV147">
        <v>8.68</v>
      </c>
      <c r="AW147">
        <v>8.34</v>
      </c>
    </row>
    <row r="148" spans="46:49" x14ac:dyDescent="0.2">
      <c r="AT148" s="418" t="s">
        <v>1959</v>
      </c>
      <c r="AU148">
        <v>8.68</v>
      </c>
      <c r="AV148">
        <v>8.68</v>
      </c>
      <c r="AW148">
        <v>8.32</v>
      </c>
    </row>
    <row r="149" spans="46:49" x14ac:dyDescent="0.2">
      <c r="AT149" s="418" t="s">
        <v>1958</v>
      </c>
      <c r="AU149">
        <v>8.67</v>
      </c>
      <c r="AV149">
        <v>8.68</v>
      </c>
      <c r="AW149">
        <v>8.3000000000000007</v>
      </c>
    </row>
    <row r="150" spans="46:49" x14ac:dyDescent="0.2">
      <c r="AT150" s="418" t="s">
        <v>1957</v>
      </c>
      <c r="AU150">
        <v>8.67</v>
      </c>
      <c r="AV150">
        <v>8.67</v>
      </c>
      <c r="AW150">
        <v>8.2899999999999991</v>
      </c>
    </row>
    <row r="151" spans="46:49" x14ac:dyDescent="0.2">
      <c r="AT151" s="418" t="s">
        <v>1956</v>
      </c>
      <c r="AU151">
        <v>8.67</v>
      </c>
      <c r="AV151">
        <v>8.68</v>
      </c>
      <c r="AW151">
        <v>8.31</v>
      </c>
    </row>
    <row r="152" spans="46:49" x14ac:dyDescent="0.2">
      <c r="AT152" s="418" t="s">
        <v>1955</v>
      </c>
      <c r="AU152">
        <v>8.68</v>
      </c>
      <c r="AV152">
        <v>8.68</v>
      </c>
      <c r="AW152">
        <v>8.31</v>
      </c>
    </row>
    <row r="153" spans="46:49" x14ac:dyDescent="0.2">
      <c r="AT153" s="418" t="s">
        <v>1955</v>
      </c>
      <c r="AU153">
        <v>8.68</v>
      </c>
      <c r="AV153">
        <v>8.68</v>
      </c>
      <c r="AW153">
        <v>8.31</v>
      </c>
    </row>
    <row r="154" spans="46:49" x14ac:dyDescent="0.2">
      <c r="AT154" s="418" t="s">
        <v>1955</v>
      </c>
      <c r="AU154">
        <v>8.67</v>
      </c>
      <c r="AV154">
        <v>8.67</v>
      </c>
      <c r="AW154">
        <v>8.3000000000000007</v>
      </c>
    </row>
    <row r="155" spans="46:49" x14ac:dyDescent="0.2">
      <c r="AT155" s="418" t="s">
        <v>2055</v>
      </c>
      <c r="AU155">
        <v>8.67</v>
      </c>
      <c r="AV155">
        <v>8.67</v>
      </c>
      <c r="AW155">
        <v>8.32</v>
      </c>
    </row>
    <row r="156" spans="46:49" x14ac:dyDescent="0.2">
      <c r="AT156" s="418" t="s">
        <v>2055</v>
      </c>
      <c r="AU156">
        <v>8.67</v>
      </c>
      <c r="AV156">
        <v>8.67</v>
      </c>
      <c r="AW156">
        <v>8.31</v>
      </c>
    </row>
    <row r="157" spans="46:49" x14ac:dyDescent="0.2">
      <c r="AT157" s="418" t="s">
        <v>2109</v>
      </c>
      <c r="AU157">
        <v>8.67</v>
      </c>
      <c r="AV157">
        <v>8.67</v>
      </c>
      <c r="AW157">
        <v>8.5500000000000007</v>
      </c>
    </row>
    <row r="158" spans="46:49" x14ac:dyDescent="0.2">
      <c r="AT158" s="418" t="s">
        <v>2111</v>
      </c>
      <c r="AU158">
        <v>8.67</v>
      </c>
      <c r="AV158">
        <v>8.67</v>
      </c>
      <c r="AW158">
        <v>8.5399999999999991</v>
      </c>
    </row>
    <row r="159" spans="46:49" x14ac:dyDescent="0.2">
      <c r="AT159" s="418" t="s">
        <v>2111</v>
      </c>
      <c r="AU159">
        <v>8.67</v>
      </c>
      <c r="AV159">
        <v>8.67</v>
      </c>
      <c r="AW159">
        <v>8.5500000000000007</v>
      </c>
    </row>
    <row r="160" spans="46:49" x14ac:dyDescent="0.2">
      <c r="AT160" s="418" t="s">
        <v>2111</v>
      </c>
      <c r="AU160">
        <v>8.67</v>
      </c>
      <c r="AV160">
        <v>8.66</v>
      </c>
      <c r="AW160">
        <v>8.5399999999999991</v>
      </c>
    </row>
    <row r="161" spans="46:49" x14ac:dyDescent="0.2">
      <c r="AT161" s="418" t="s">
        <v>2167</v>
      </c>
      <c r="AU161">
        <v>8.67</v>
      </c>
      <c r="AV161">
        <v>8.66</v>
      </c>
      <c r="AW161">
        <v>8.5299999999999994</v>
      </c>
    </row>
    <row r="162" spans="46:49" x14ac:dyDescent="0.2">
      <c r="AT162" s="418" t="s">
        <v>2167</v>
      </c>
      <c r="AU162">
        <v>8.67</v>
      </c>
      <c r="AV162">
        <v>8.66</v>
      </c>
      <c r="AW162">
        <v>8.5299999999999994</v>
      </c>
    </row>
    <row r="163" spans="46:49" x14ac:dyDescent="0.2">
      <c r="AT163" s="418" t="s">
        <v>2181</v>
      </c>
      <c r="AU163">
        <v>8.67</v>
      </c>
      <c r="AV163">
        <v>8.66</v>
      </c>
      <c r="AW163">
        <v>8.5500000000000007</v>
      </c>
    </row>
    <row r="164" spans="46:49" x14ac:dyDescent="0.2">
      <c r="AT164" s="418" t="s">
        <v>2191</v>
      </c>
      <c r="AU164">
        <v>8.67</v>
      </c>
      <c r="AV164">
        <v>8.66</v>
      </c>
      <c r="AW164">
        <v>8.64</v>
      </c>
    </row>
    <row r="165" spans="46:49" x14ac:dyDescent="0.2">
      <c r="AT165" s="418" t="s">
        <v>2226</v>
      </c>
      <c r="AU165">
        <v>8.67</v>
      </c>
      <c r="AV165">
        <v>8.67</v>
      </c>
      <c r="AW165">
        <v>8.66</v>
      </c>
    </row>
    <row r="166" spans="46:49" x14ac:dyDescent="0.2">
      <c r="AT166" s="418" t="s">
        <v>2226</v>
      </c>
      <c r="AU166">
        <v>8.67</v>
      </c>
      <c r="AV166">
        <v>8.67</v>
      </c>
      <c r="AW166">
        <v>8.6300000000000008</v>
      </c>
    </row>
    <row r="167" spans="46:49" x14ac:dyDescent="0.2">
      <c r="AT167" s="418" t="s">
        <v>2226</v>
      </c>
      <c r="AU167">
        <v>8.67</v>
      </c>
      <c r="AV167">
        <v>8.66</v>
      </c>
      <c r="AW167">
        <v>8.6</v>
      </c>
    </row>
    <row r="168" spans="46:49" x14ac:dyDescent="0.2">
      <c r="AT168" s="418" t="s">
        <v>2241</v>
      </c>
      <c r="AU168">
        <v>8.67</v>
      </c>
      <c r="AV168">
        <v>8.66</v>
      </c>
      <c r="AW168">
        <v>8.6300000000000008</v>
      </c>
    </row>
    <row r="169" spans="46:49" x14ac:dyDescent="0.2">
      <c r="AT169" s="418" t="s">
        <v>2256</v>
      </c>
      <c r="AU169">
        <v>8.67</v>
      </c>
      <c r="AV169">
        <v>8.66</v>
      </c>
      <c r="AW169">
        <v>8.64</v>
      </c>
    </row>
    <row r="170" spans="46:49" x14ac:dyDescent="0.2">
      <c r="AT170" s="418" t="s">
        <v>2310</v>
      </c>
      <c r="AU170">
        <v>8.67</v>
      </c>
      <c r="AV170">
        <v>8.66</v>
      </c>
      <c r="AW170">
        <v>8.64</v>
      </c>
    </row>
    <row r="171" spans="46:49" x14ac:dyDescent="0.2">
      <c r="AT171" s="418" t="s">
        <v>2309</v>
      </c>
      <c r="AU171">
        <v>8.68</v>
      </c>
      <c r="AV171">
        <v>8.67</v>
      </c>
      <c r="AW171">
        <v>8.6999999999999993</v>
      </c>
    </row>
    <row r="172" spans="46:49" x14ac:dyDescent="0.2">
      <c r="AT172" s="418" t="s">
        <v>2311</v>
      </c>
      <c r="AU172">
        <v>8.67</v>
      </c>
      <c r="AV172">
        <v>8.67</v>
      </c>
      <c r="AW172">
        <v>8.67</v>
      </c>
    </row>
    <row r="173" spans="46:49" x14ac:dyDescent="0.2">
      <c r="AT173" s="418" t="s">
        <v>2311</v>
      </c>
      <c r="AU173">
        <v>8.66</v>
      </c>
      <c r="AV173">
        <v>8.66</v>
      </c>
      <c r="AW173">
        <v>8.59</v>
      </c>
    </row>
    <row r="174" spans="46:49" x14ac:dyDescent="0.2">
      <c r="AT174" s="418" t="s">
        <v>2328</v>
      </c>
      <c r="AU174">
        <v>8.67</v>
      </c>
      <c r="AV174">
        <v>8.66</v>
      </c>
      <c r="AW174">
        <v>8.61</v>
      </c>
    </row>
    <row r="175" spans="46:49" x14ac:dyDescent="0.2">
      <c r="AT175" s="418" t="s">
        <v>2328</v>
      </c>
      <c r="AU175">
        <v>8.67</v>
      </c>
      <c r="AV175">
        <v>8.66</v>
      </c>
      <c r="AW175">
        <v>8.61</v>
      </c>
    </row>
    <row r="176" spans="46:49" x14ac:dyDescent="0.2">
      <c r="AT176" s="418" t="s">
        <v>2350</v>
      </c>
      <c r="AU176">
        <v>8.67</v>
      </c>
      <c r="AV176">
        <v>8.66</v>
      </c>
      <c r="AW176">
        <v>8.64</v>
      </c>
    </row>
    <row r="177" spans="46:49" x14ac:dyDescent="0.2">
      <c r="AT177" s="418" t="s">
        <v>2385</v>
      </c>
      <c r="AU177">
        <v>8.67</v>
      </c>
      <c r="AV177">
        <v>8.66</v>
      </c>
      <c r="AW177">
        <v>8.65</v>
      </c>
    </row>
    <row r="178" spans="46:49" x14ac:dyDescent="0.2">
      <c r="AT178" s="418" t="s">
        <v>2424</v>
      </c>
      <c r="AU178">
        <v>8.67</v>
      </c>
      <c r="AV178">
        <v>8.66</v>
      </c>
      <c r="AW178">
        <v>8.66</v>
      </c>
    </row>
    <row r="179" spans="46:49" x14ac:dyDescent="0.2">
      <c r="AT179" s="418" t="s">
        <v>2425</v>
      </c>
      <c r="AU179">
        <v>8.67</v>
      </c>
      <c r="AV179">
        <v>8.66</v>
      </c>
      <c r="AW179">
        <v>8.66</v>
      </c>
    </row>
    <row r="180" spans="46:49" x14ac:dyDescent="0.2">
      <c r="AT180" s="418" t="s">
        <v>2425</v>
      </c>
      <c r="AU180">
        <v>8.6300000000000008</v>
      </c>
      <c r="AV180">
        <v>8.6199999999999992</v>
      </c>
      <c r="AW180">
        <v>8.39</v>
      </c>
    </row>
    <row r="181" spans="46:49" x14ac:dyDescent="0.2">
      <c r="AT181" s="418" t="s">
        <v>2447</v>
      </c>
      <c r="AU181">
        <v>8.6300000000000008</v>
      </c>
      <c r="AV181">
        <v>8.6199999999999992</v>
      </c>
      <c r="AW181">
        <v>8.36</v>
      </c>
    </row>
    <row r="182" spans="46:49" x14ac:dyDescent="0.2">
      <c r="AT182" s="418" t="s">
        <v>2462</v>
      </c>
      <c r="AU182">
        <v>8.6300000000000008</v>
      </c>
      <c r="AV182">
        <v>8.6199999999999992</v>
      </c>
      <c r="AW182">
        <v>8.3699999999999992</v>
      </c>
    </row>
    <row r="183" spans="46:49" x14ac:dyDescent="0.2">
      <c r="AT183" s="418" t="s">
        <v>2463</v>
      </c>
      <c r="AU183">
        <v>8.6300000000000008</v>
      </c>
      <c r="AV183">
        <v>8.6199999999999992</v>
      </c>
      <c r="AW183">
        <v>8.3800000000000008</v>
      </c>
    </row>
    <row r="184" spans="46:49" x14ac:dyDescent="0.2">
      <c r="AT184" s="418" t="s">
        <v>2475</v>
      </c>
      <c r="AU184">
        <v>8.6300000000000008</v>
      </c>
      <c r="AV184">
        <v>8.6199999999999992</v>
      </c>
      <c r="AW184">
        <v>8.36</v>
      </c>
    </row>
    <row r="185" spans="46:49" x14ac:dyDescent="0.2">
      <c r="AT185" s="418" t="s">
        <v>2706</v>
      </c>
      <c r="AU185">
        <v>8.6300000000000008</v>
      </c>
      <c r="AV185">
        <v>8.6300000000000008</v>
      </c>
      <c r="AW185">
        <v>8.36</v>
      </c>
    </row>
    <row r="186" spans="46:49" x14ac:dyDescent="0.2">
      <c r="AT186" s="418" t="s">
        <v>2516</v>
      </c>
      <c r="AU186">
        <v>8.6300000000000008</v>
      </c>
      <c r="AV186">
        <v>8.6300000000000008</v>
      </c>
      <c r="AW186">
        <v>8.3699999999999992</v>
      </c>
    </row>
    <row r="187" spans="46:49" x14ac:dyDescent="0.2">
      <c r="AT187" s="418" t="s">
        <v>2512</v>
      </c>
      <c r="AU187">
        <v>8.64</v>
      </c>
      <c r="AV187">
        <v>8.6300000000000008</v>
      </c>
      <c r="AW187">
        <v>8.4</v>
      </c>
    </row>
    <row r="188" spans="46:49" x14ac:dyDescent="0.2">
      <c r="AT188" s="418" t="s">
        <v>2512</v>
      </c>
      <c r="AU188">
        <v>8.6300000000000008</v>
      </c>
      <c r="AV188">
        <v>8.6300000000000008</v>
      </c>
      <c r="AW188">
        <v>8.3800000000000008</v>
      </c>
    </row>
    <row r="189" spans="46:49" x14ac:dyDescent="0.2">
      <c r="AT189" s="418" t="s">
        <v>2529</v>
      </c>
      <c r="AU189">
        <v>8.6300000000000008</v>
      </c>
      <c r="AV189">
        <v>8.6199999999999992</v>
      </c>
      <c r="AW189">
        <v>8.36</v>
      </c>
    </row>
    <row r="190" spans="46:49" x14ac:dyDescent="0.2">
      <c r="AT190" s="418" t="s">
        <v>2543</v>
      </c>
      <c r="AU190">
        <v>8.64</v>
      </c>
      <c r="AV190">
        <v>8.6300000000000008</v>
      </c>
      <c r="AW190">
        <v>8.39</v>
      </c>
    </row>
    <row r="191" spans="46:49" x14ac:dyDescent="0.2">
      <c r="AT191" s="418" t="s">
        <v>2561</v>
      </c>
      <c r="AU191">
        <v>8.64</v>
      </c>
      <c r="AV191">
        <v>8.6300000000000008</v>
      </c>
      <c r="AW191">
        <v>8.34</v>
      </c>
    </row>
    <row r="192" spans="46:49" x14ac:dyDescent="0.2">
      <c r="AT192" s="418" t="s">
        <v>2561</v>
      </c>
      <c r="AU192">
        <v>8.64</v>
      </c>
      <c r="AV192">
        <v>8.6300000000000008</v>
      </c>
      <c r="AW192">
        <v>8.35</v>
      </c>
    </row>
    <row r="193" spans="46:49" x14ac:dyDescent="0.2">
      <c r="AT193" s="418" t="s">
        <v>2584</v>
      </c>
      <c r="AU193">
        <v>8.64</v>
      </c>
      <c r="AV193">
        <v>8.6199999999999992</v>
      </c>
      <c r="AW193">
        <v>8.42</v>
      </c>
    </row>
    <row r="194" spans="46:49" x14ac:dyDescent="0.2">
      <c r="AT194" s="418" t="s">
        <v>2600</v>
      </c>
      <c r="AU194">
        <v>8.64</v>
      </c>
      <c r="AV194">
        <v>8.6300000000000008</v>
      </c>
      <c r="AW194">
        <v>8.42</v>
      </c>
    </row>
    <row r="195" spans="46:49" x14ac:dyDescent="0.2">
      <c r="AT195" s="418" t="s">
        <v>2600</v>
      </c>
      <c r="AU195">
        <v>8.64</v>
      </c>
      <c r="AV195">
        <v>8.6300000000000008</v>
      </c>
      <c r="AW195">
        <v>8.43</v>
      </c>
    </row>
    <row r="196" spans="46:49" x14ac:dyDescent="0.2">
      <c r="AT196" s="418" t="s">
        <v>2600</v>
      </c>
      <c r="AU196">
        <v>8.64</v>
      </c>
      <c r="AV196">
        <v>8.6300000000000008</v>
      </c>
      <c r="AW196">
        <v>8.41</v>
      </c>
    </row>
    <row r="197" spans="46:49" x14ac:dyDescent="0.2">
      <c r="AT197" s="418" t="s">
        <v>2600</v>
      </c>
      <c r="AU197">
        <v>8.64</v>
      </c>
      <c r="AV197">
        <v>8.6300000000000008</v>
      </c>
      <c r="AW197">
        <v>8.4</v>
      </c>
    </row>
    <row r="198" spans="46:49" x14ac:dyDescent="0.2">
      <c r="AT198" s="418" t="s">
        <v>2648</v>
      </c>
      <c r="AU198">
        <v>8.64</v>
      </c>
      <c r="AV198">
        <v>8.6300000000000008</v>
      </c>
      <c r="AW198">
        <v>8.4</v>
      </c>
    </row>
    <row r="199" spans="46:49" x14ac:dyDescent="0.2">
      <c r="AT199" s="418" t="s">
        <v>2725</v>
      </c>
      <c r="AU199">
        <v>8.64</v>
      </c>
      <c r="AV199">
        <v>8.6300000000000008</v>
      </c>
      <c r="AW199">
        <v>8.4</v>
      </c>
    </row>
    <row r="200" spans="46:49" x14ac:dyDescent="0.2">
      <c r="AT200" s="418" t="s">
        <v>2743</v>
      </c>
      <c r="AU200">
        <v>8.64</v>
      </c>
      <c r="AV200">
        <v>8.6300000000000008</v>
      </c>
      <c r="AW200">
        <v>8.7100000000000009</v>
      </c>
    </row>
    <row r="201" spans="46:49" x14ac:dyDescent="0.2">
      <c r="AT201" s="418" t="s">
        <v>2743</v>
      </c>
      <c r="AU201">
        <v>8.64</v>
      </c>
      <c r="AV201">
        <v>8.6300000000000008</v>
      </c>
      <c r="AW201">
        <v>8.7200000000000006</v>
      </c>
    </row>
    <row r="202" spans="46:49" x14ac:dyDescent="0.2">
      <c r="AT202" s="418" t="s">
        <v>2798</v>
      </c>
      <c r="AU202">
        <v>8.64</v>
      </c>
      <c r="AV202">
        <v>8.6300000000000008</v>
      </c>
      <c r="AW202">
        <v>8.6999999999999993</v>
      </c>
    </row>
    <row r="203" spans="46:49" x14ac:dyDescent="0.2">
      <c r="AT203" s="418" t="s">
        <v>2798</v>
      </c>
      <c r="AU203">
        <v>8.64</v>
      </c>
      <c r="AV203">
        <v>8.6300000000000008</v>
      </c>
      <c r="AW203">
        <v>8.67</v>
      </c>
    </row>
    <row r="204" spans="46:49" x14ac:dyDescent="0.2">
      <c r="AT204" s="418" t="s">
        <v>2830</v>
      </c>
      <c r="AU204">
        <v>8.64</v>
      </c>
      <c r="AV204">
        <v>8.6300000000000008</v>
      </c>
      <c r="AW204">
        <v>8.68</v>
      </c>
    </row>
    <row r="205" spans="46:49" x14ac:dyDescent="0.2">
      <c r="AT205" s="418" t="s">
        <v>2830</v>
      </c>
      <c r="AU205">
        <v>8.64</v>
      </c>
      <c r="AV205">
        <v>8.6199999999999992</v>
      </c>
      <c r="AW205">
        <v>8.66</v>
      </c>
    </row>
    <row r="206" spans="46:49" x14ac:dyDescent="0.2">
      <c r="AT206" s="418" t="s">
        <v>2860</v>
      </c>
      <c r="AU206">
        <v>8.64</v>
      </c>
      <c r="AV206">
        <v>8.6199999999999992</v>
      </c>
      <c r="AW206">
        <v>8.65</v>
      </c>
    </row>
    <row r="207" spans="46:49" x14ac:dyDescent="0.2">
      <c r="AT207" s="418" t="s">
        <v>2860</v>
      </c>
      <c r="AU207">
        <v>8.64</v>
      </c>
      <c r="AV207">
        <v>8.6199999999999992</v>
      </c>
      <c r="AW207">
        <v>8.64</v>
      </c>
    </row>
    <row r="208" spans="46:49" x14ac:dyDescent="0.2">
      <c r="AT208" s="418" t="s">
        <v>2899</v>
      </c>
      <c r="AU208">
        <v>8.64</v>
      </c>
      <c r="AV208">
        <v>8.6300000000000008</v>
      </c>
      <c r="AW208">
        <v>8.65</v>
      </c>
    </row>
    <row r="209" spans="46:49" x14ac:dyDescent="0.2">
      <c r="AT209" s="418" t="s">
        <v>2899</v>
      </c>
      <c r="AU209">
        <v>8.64</v>
      </c>
      <c r="AV209">
        <v>8.6300000000000008</v>
      </c>
      <c r="AW209">
        <v>8.68</v>
      </c>
    </row>
    <row r="210" spans="46:49" x14ac:dyDescent="0.2">
      <c r="AT210" s="418" t="s">
        <v>2899</v>
      </c>
      <c r="AU210">
        <v>8.64</v>
      </c>
      <c r="AV210">
        <v>8.6199999999999992</v>
      </c>
      <c r="AW210">
        <v>8.65</v>
      </c>
    </row>
    <row r="211" spans="46:49" x14ac:dyDescent="0.2">
      <c r="AT211" s="418" t="s">
        <v>2917</v>
      </c>
      <c r="AU211">
        <v>8.64</v>
      </c>
      <c r="AV211">
        <v>8.64</v>
      </c>
      <c r="AW211">
        <v>8.6999999999999993</v>
      </c>
    </row>
    <row r="212" spans="46:49" x14ac:dyDescent="0.2">
      <c r="AT212" s="418" t="s">
        <v>2931</v>
      </c>
      <c r="AU212">
        <v>8.64</v>
      </c>
      <c r="AV212">
        <v>8.64</v>
      </c>
      <c r="AW212">
        <v>8.7100000000000009</v>
      </c>
    </row>
    <row r="213" spans="46:49" x14ac:dyDescent="0.2">
      <c r="AT213" s="418" t="s">
        <v>2931</v>
      </c>
      <c r="AU213">
        <v>8.64</v>
      </c>
      <c r="AV213">
        <v>8.6300000000000008</v>
      </c>
      <c r="AW213">
        <v>8.7100000000000009</v>
      </c>
    </row>
    <row r="214" spans="46:49" x14ac:dyDescent="0.2">
      <c r="AT214" s="418" t="s">
        <v>2931</v>
      </c>
      <c r="AU214">
        <v>8.64</v>
      </c>
      <c r="AV214">
        <v>8.6300000000000008</v>
      </c>
      <c r="AW214">
        <v>8.66</v>
      </c>
    </row>
    <row r="215" spans="46:49" x14ac:dyDescent="0.2">
      <c r="AT215" s="418" t="s">
        <v>2975</v>
      </c>
      <c r="AU215">
        <v>8.64</v>
      </c>
      <c r="AV215">
        <v>8.6300000000000008</v>
      </c>
      <c r="AW215">
        <v>8.66</v>
      </c>
    </row>
    <row r="216" spans="46:49" x14ac:dyDescent="0.2">
      <c r="AT216" s="418" t="s">
        <v>2995</v>
      </c>
      <c r="AU216">
        <v>8.64</v>
      </c>
      <c r="AV216">
        <v>8.6300000000000008</v>
      </c>
      <c r="AW216">
        <v>8.65</v>
      </c>
    </row>
    <row r="217" spans="46:49" x14ac:dyDescent="0.2">
      <c r="AT217" s="418" t="s">
        <v>3010</v>
      </c>
      <c r="AU217">
        <v>8.64</v>
      </c>
      <c r="AV217">
        <v>8.6300000000000008</v>
      </c>
      <c r="AW217">
        <v>8.65</v>
      </c>
    </row>
    <row r="218" spans="46:49" x14ac:dyDescent="0.2">
      <c r="AT218" s="418" t="s">
        <v>3025</v>
      </c>
      <c r="AU218">
        <v>8.64</v>
      </c>
      <c r="AV218">
        <v>8.6300000000000008</v>
      </c>
      <c r="AW218">
        <v>8.67</v>
      </c>
    </row>
    <row r="219" spans="46:49" x14ac:dyDescent="0.2">
      <c r="AT219" s="418" t="s">
        <v>3025</v>
      </c>
      <c r="AU219">
        <v>8.64</v>
      </c>
      <c r="AV219">
        <v>8.6300000000000008</v>
      </c>
      <c r="AW219">
        <v>8.64</v>
      </c>
    </row>
    <row r="220" spans="46:49" x14ac:dyDescent="0.2">
      <c r="AT220" s="418" t="s">
        <v>3066</v>
      </c>
      <c r="AU220">
        <v>8.64</v>
      </c>
      <c r="AV220">
        <v>8.6300000000000008</v>
      </c>
      <c r="AW220">
        <v>8.6300000000000008</v>
      </c>
    </row>
    <row r="221" spans="46:49" x14ac:dyDescent="0.2">
      <c r="AT221" s="418" t="s">
        <v>3066</v>
      </c>
      <c r="AU221">
        <v>8.64</v>
      </c>
      <c r="AV221">
        <v>8.6300000000000008</v>
      </c>
      <c r="AW221">
        <v>8.64</v>
      </c>
    </row>
    <row r="222" spans="46:49" x14ac:dyDescent="0.2">
      <c r="AT222" s="418" t="s">
        <v>3094</v>
      </c>
      <c r="AU222">
        <v>8.64</v>
      </c>
      <c r="AV222">
        <v>8.6300000000000008</v>
      </c>
      <c r="AW222">
        <v>8.66</v>
      </c>
    </row>
    <row r="223" spans="46:49" x14ac:dyDescent="0.2">
      <c r="AT223" s="418" t="s">
        <v>3106</v>
      </c>
      <c r="AU223">
        <v>8.64</v>
      </c>
      <c r="AV223">
        <v>8.6300000000000008</v>
      </c>
      <c r="AW223">
        <v>8.65</v>
      </c>
    </row>
    <row r="224" spans="46:49" x14ac:dyDescent="0.2">
      <c r="AT224" s="418" t="s">
        <v>3119</v>
      </c>
      <c r="AU224">
        <v>8.64</v>
      </c>
      <c r="AV224">
        <v>8.6300000000000008</v>
      </c>
      <c r="AW224">
        <v>8.6300000000000008</v>
      </c>
    </row>
    <row r="225" spans="46:49" x14ac:dyDescent="0.2">
      <c r="AT225" s="418" t="s">
        <v>3119</v>
      </c>
      <c r="AU225">
        <v>8.6199999999999992</v>
      </c>
      <c r="AV225">
        <v>8.61</v>
      </c>
      <c r="AW225">
        <v>8.4499999999999993</v>
      </c>
    </row>
    <row r="226" spans="46:49" x14ac:dyDescent="0.2">
      <c r="AT226" s="418" t="s">
        <v>3154</v>
      </c>
      <c r="AU226">
        <v>8.6199999999999992</v>
      </c>
      <c r="AV226">
        <v>8.61</v>
      </c>
      <c r="AW226">
        <v>8.4499999999999993</v>
      </c>
    </row>
    <row r="227" spans="46:49" x14ac:dyDescent="0.2">
      <c r="AT227" s="418" t="s">
        <v>3250</v>
      </c>
      <c r="AU227">
        <v>8.6199999999999992</v>
      </c>
      <c r="AV227">
        <v>8.61</v>
      </c>
      <c r="AW227">
        <v>8.4499999999999993</v>
      </c>
    </row>
    <row r="228" spans="46:49" x14ac:dyDescent="0.2">
      <c r="AT228" s="418" t="s">
        <v>3248</v>
      </c>
      <c r="AU228">
        <v>8.6199999999999992</v>
      </c>
      <c r="AV228">
        <v>8.61</v>
      </c>
      <c r="AW228">
        <v>8.44</v>
      </c>
    </row>
    <row r="229" spans="46:49" x14ac:dyDescent="0.2">
      <c r="AT229" s="418" t="s">
        <v>3275</v>
      </c>
      <c r="AU229">
        <v>8.6199999999999992</v>
      </c>
      <c r="AV229">
        <v>8.61</v>
      </c>
      <c r="AW229">
        <v>8.44</v>
      </c>
    </row>
    <row r="230" spans="46:49" x14ac:dyDescent="0.2">
      <c r="AT230" s="418" t="s">
        <v>3275</v>
      </c>
      <c r="AU230">
        <v>8.6199999999999992</v>
      </c>
      <c r="AV230">
        <v>8.6</v>
      </c>
      <c r="AW230">
        <v>8.43</v>
      </c>
    </row>
    <row r="231" spans="46:49" x14ac:dyDescent="0.2">
      <c r="AT231" s="418" t="s">
        <v>3308</v>
      </c>
      <c r="AU231">
        <v>8.6199999999999992</v>
      </c>
      <c r="AV231">
        <v>8.61</v>
      </c>
      <c r="AW231">
        <v>8.3699999999999992</v>
      </c>
    </row>
    <row r="232" spans="46:49" x14ac:dyDescent="0.2">
      <c r="AT232" s="418" t="s">
        <v>3308</v>
      </c>
      <c r="AU232">
        <v>8.6199999999999992</v>
      </c>
      <c r="AV232">
        <v>8.6</v>
      </c>
      <c r="AW232">
        <v>8.35</v>
      </c>
    </row>
    <row r="233" spans="46:49" x14ac:dyDescent="0.2">
      <c r="AT233" s="418" t="s">
        <v>3330</v>
      </c>
      <c r="AU233">
        <v>8.61</v>
      </c>
      <c r="AV233">
        <v>8.6</v>
      </c>
      <c r="AW233">
        <v>8.34</v>
      </c>
    </row>
    <row r="234" spans="46:49" x14ac:dyDescent="0.2">
      <c r="AT234" s="418" t="s">
        <v>3373</v>
      </c>
      <c r="AU234">
        <v>8.61</v>
      </c>
      <c r="AV234">
        <v>8.6</v>
      </c>
      <c r="AW234">
        <v>8.3800000000000008</v>
      </c>
    </row>
    <row r="235" spans="46:49" x14ac:dyDescent="0.2">
      <c r="AT235" s="418" t="s">
        <v>3373</v>
      </c>
      <c r="AU235">
        <v>8.61</v>
      </c>
      <c r="AV235">
        <v>8.6</v>
      </c>
      <c r="AW235">
        <v>8.3699999999999992</v>
      </c>
    </row>
    <row r="236" spans="46:49" x14ac:dyDescent="0.2">
      <c r="AT236" s="418" t="s">
        <v>3396</v>
      </c>
      <c r="AU236">
        <v>8.61</v>
      </c>
      <c r="AV236">
        <v>8.6</v>
      </c>
      <c r="AW236">
        <v>8.33</v>
      </c>
    </row>
    <row r="237" spans="46:49" x14ac:dyDescent="0.2">
      <c r="AT237" s="418" t="s">
        <v>3405</v>
      </c>
      <c r="AU237">
        <v>8.61</v>
      </c>
      <c r="AV237">
        <v>8.6</v>
      </c>
      <c r="AW237">
        <v>8.34</v>
      </c>
    </row>
    <row r="238" spans="46:49" x14ac:dyDescent="0.2">
      <c r="AT238" s="418" t="s">
        <v>3405</v>
      </c>
      <c r="AU238">
        <v>8.61</v>
      </c>
      <c r="AV238">
        <v>8.6</v>
      </c>
      <c r="AW238">
        <v>8.32</v>
      </c>
    </row>
    <row r="239" spans="46:49" x14ac:dyDescent="0.2">
      <c r="AT239" s="418" t="s">
        <v>3441</v>
      </c>
      <c r="AU239">
        <v>8.61</v>
      </c>
      <c r="AV239">
        <v>8.6</v>
      </c>
      <c r="AW239">
        <v>8.3699999999999992</v>
      </c>
    </row>
    <row r="240" spans="46:49" x14ac:dyDescent="0.2">
      <c r="AT240" s="418" t="s">
        <v>3456</v>
      </c>
      <c r="AU240">
        <v>8.61</v>
      </c>
      <c r="AV240">
        <v>8.6</v>
      </c>
      <c r="AW240">
        <v>8.3699999999999992</v>
      </c>
    </row>
    <row r="241" spans="46:49" x14ac:dyDescent="0.2">
      <c r="AT241" s="418" t="s">
        <v>3471</v>
      </c>
      <c r="AU241">
        <v>8.61</v>
      </c>
      <c r="AV241">
        <v>8.6</v>
      </c>
      <c r="AW241">
        <v>8.36</v>
      </c>
    </row>
    <row r="242" spans="46:49" x14ac:dyDescent="0.2">
      <c r="AT242" s="418" t="s">
        <v>3471</v>
      </c>
      <c r="AU242">
        <v>8.61</v>
      </c>
      <c r="AV242">
        <v>8.6</v>
      </c>
      <c r="AW242">
        <v>8.31</v>
      </c>
    </row>
    <row r="243" spans="46:49" x14ac:dyDescent="0.2">
      <c r="AT243" s="418" t="s">
        <v>3497</v>
      </c>
      <c r="AU243">
        <v>8.61</v>
      </c>
      <c r="AV243">
        <v>8.6</v>
      </c>
      <c r="AW243">
        <v>8.35</v>
      </c>
    </row>
    <row r="244" spans="46:49" x14ac:dyDescent="0.2">
      <c r="AT244" s="418" t="s">
        <v>3497</v>
      </c>
      <c r="AU244">
        <v>8.61</v>
      </c>
      <c r="AV244">
        <v>8.59</v>
      </c>
      <c r="AW244">
        <v>8.34</v>
      </c>
    </row>
    <row r="245" spans="46:49" x14ac:dyDescent="0.2">
      <c r="AT245" s="418" t="s">
        <v>3529</v>
      </c>
      <c r="AU245">
        <v>8.61</v>
      </c>
      <c r="AV245">
        <v>8.59</v>
      </c>
      <c r="AW245">
        <v>8.5399999999999991</v>
      </c>
    </row>
    <row r="246" spans="46:49" x14ac:dyDescent="0.2">
      <c r="AT246" s="418" t="s">
        <v>3547</v>
      </c>
      <c r="AU246">
        <v>8.61</v>
      </c>
      <c r="AV246">
        <v>8.59</v>
      </c>
      <c r="AW246">
        <v>8.5500000000000007</v>
      </c>
    </row>
    <row r="247" spans="46:49" x14ac:dyDescent="0.2">
      <c r="AT247" s="418" t="s">
        <v>3547</v>
      </c>
      <c r="AU247">
        <v>8.61</v>
      </c>
      <c r="AV247">
        <v>8.59</v>
      </c>
      <c r="AW247">
        <v>8.5399999999999991</v>
      </c>
    </row>
    <row r="248" spans="46:49" x14ac:dyDescent="0.2">
      <c r="AT248" s="418" t="s">
        <v>3547</v>
      </c>
      <c r="AU248">
        <v>8.61</v>
      </c>
      <c r="AV248">
        <v>8.59</v>
      </c>
      <c r="AW248">
        <v>8.51</v>
      </c>
    </row>
    <row r="249" spans="46:49" x14ac:dyDescent="0.2">
      <c r="AT249" s="418" t="s">
        <v>3589</v>
      </c>
      <c r="AU249">
        <v>8.61</v>
      </c>
      <c r="AV249">
        <v>8.59</v>
      </c>
      <c r="AW249">
        <v>8.49</v>
      </c>
    </row>
    <row r="250" spans="46:49" x14ac:dyDescent="0.2">
      <c r="AT250" s="418" t="s">
        <v>3605</v>
      </c>
      <c r="AU250">
        <v>8.61</v>
      </c>
      <c r="AV250">
        <v>8.59</v>
      </c>
      <c r="AW250">
        <v>8.52</v>
      </c>
    </row>
    <row r="251" spans="46:49" x14ac:dyDescent="0.2">
      <c r="AT251" s="418" t="s">
        <v>3605</v>
      </c>
      <c r="AU251">
        <v>8.61</v>
      </c>
      <c r="AV251">
        <v>8.59</v>
      </c>
      <c r="AW251">
        <v>8.52</v>
      </c>
    </row>
    <row r="252" spans="46:49" x14ac:dyDescent="0.2">
      <c r="AT252" s="418" t="s">
        <v>3644</v>
      </c>
      <c r="AU252">
        <v>8.61</v>
      </c>
      <c r="AV252">
        <v>8.59</v>
      </c>
      <c r="AW252">
        <v>8.5299999999999994</v>
      </c>
    </row>
    <row r="253" spans="46:49" x14ac:dyDescent="0.2">
      <c r="AT253" s="418" t="s">
        <v>3661</v>
      </c>
      <c r="AU253">
        <v>8.61</v>
      </c>
      <c r="AV253">
        <v>8.59</v>
      </c>
      <c r="AW253">
        <v>8.5500000000000007</v>
      </c>
    </row>
    <row r="254" spans="46:49" x14ac:dyDescent="0.2">
      <c r="AT254" s="418" t="s">
        <v>3823</v>
      </c>
      <c r="AU254">
        <v>8.61</v>
      </c>
      <c r="AV254">
        <v>8.59</v>
      </c>
      <c r="AW254">
        <v>8.52</v>
      </c>
    </row>
    <row r="255" spans="46:49" x14ac:dyDescent="0.2">
      <c r="AT255" s="418" t="s">
        <v>3864</v>
      </c>
      <c r="AU255">
        <v>8.61</v>
      </c>
      <c r="AV255">
        <v>8.59</v>
      </c>
      <c r="AW255">
        <v>8.52</v>
      </c>
    </row>
    <row r="256" spans="46:49" x14ac:dyDescent="0.2">
      <c r="AT256" s="418" t="s">
        <v>3864</v>
      </c>
      <c r="AU256">
        <v>8.61</v>
      </c>
      <c r="AV256">
        <v>8.59</v>
      </c>
      <c r="AW256">
        <v>8.57</v>
      </c>
    </row>
    <row r="257" spans="46:49" x14ac:dyDescent="0.2">
      <c r="AT257" s="418" t="s">
        <v>3864</v>
      </c>
      <c r="AU257">
        <v>8.6</v>
      </c>
      <c r="AV257">
        <v>8.59</v>
      </c>
      <c r="AW257">
        <v>8.5299999999999994</v>
      </c>
    </row>
    <row r="258" spans="46:49" x14ac:dyDescent="0.2">
      <c r="AT258" s="418" t="s">
        <v>3915</v>
      </c>
      <c r="AU258">
        <v>8.61</v>
      </c>
      <c r="AV258">
        <v>8.59</v>
      </c>
      <c r="AW258">
        <v>8.5299999999999994</v>
      </c>
    </row>
    <row r="259" spans="46:49" x14ac:dyDescent="0.2">
      <c r="AT259" s="418" t="s">
        <v>3915</v>
      </c>
      <c r="AU259">
        <v>8.6</v>
      </c>
      <c r="AV259">
        <v>8.59</v>
      </c>
      <c r="AW259">
        <v>8.51</v>
      </c>
    </row>
    <row r="260" spans="46:49" x14ac:dyDescent="0.2">
      <c r="AT260" s="418" t="s">
        <v>3915</v>
      </c>
      <c r="AU260">
        <v>8.6</v>
      </c>
      <c r="AV260">
        <v>8.59</v>
      </c>
      <c r="AW260">
        <v>8.49</v>
      </c>
    </row>
    <row r="261" spans="46:49" x14ac:dyDescent="0.2">
      <c r="AT261" s="418" t="s">
        <v>3957</v>
      </c>
      <c r="AU261">
        <v>8.6</v>
      </c>
      <c r="AV261">
        <v>8.59</v>
      </c>
      <c r="AW261">
        <v>8.51</v>
      </c>
    </row>
    <row r="262" spans="46:49" x14ac:dyDescent="0.2">
      <c r="AT262" s="418" t="s">
        <v>3957</v>
      </c>
      <c r="AU262">
        <v>8.6</v>
      </c>
      <c r="AV262">
        <v>8.59</v>
      </c>
      <c r="AW262">
        <v>8.5500000000000007</v>
      </c>
    </row>
    <row r="263" spans="46:49" x14ac:dyDescent="0.2">
      <c r="AT263" s="418" t="s">
        <v>3979</v>
      </c>
      <c r="AU263">
        <v>8.6</v>
      </c>
      <c r="AV263">
        <v>8.59</v>
      </c>
      <c r="AW263">
        <v>8.5399999999999991</v>
      </c>
    </row>
    <row r="264" spans="46:49" x14ac:dyDescent="0.2">
      <c r="AT264" s="418" t="s">
        <v>4017</v>
      </c>
      <c r="AU264">
        <v>8.61</v>
      </c>
      <c r="AV264">
        <v>8.59</v>
      </c>
      <c r="AW264">
        <v>8.56</v>
      </c>
    </row>
    <row r="265" spans="46:49" x14ac:dyDescent="0.2">
      <c r="AT265" s="418" t="s">
        <v>4016</v>
      </c>
      <c r="AU265">
        <v>8.61</v>
      </c>
      <c r="AV265">
        <v>8.59</v>
      </c>
      <c r="AW265">
        <v>8.58</v>
      </c>
    </row>
    <row r="266" spans="46:49" x14ac:dyDescent="0.2">
      <c r="AT266" s="418" t="s">
        <v>4016</v>
      </c>
      <c r="AU266">
        <v>8.61</v>
      </c>
      <c r="AV266">
        <v>8.59</v>
      </c>
      <c r="AW266">
        <v>8.58</v>
      </c>
    </row>
    <row r="267" spans="46:49" x14ac:dyDescent="0.2">
      <c r="AT267" s="418" t="s">
        <v>4016</v>
      </c>
      <c r="AU267">
        <v>8.6</v>
      </c>
      <c r="AV267">
        <v>8.59</v>
      </c>
      <c r="AW267">
        <v>8.5399999999999991</v>
      </c>
    </row>
    <row r="268" spans="46:49" x14ac:dyDescent="0.2">
      <c r="AT268" s="418" t="s">
        <v>4054</v>
      </c>
      <c r="AU268">
        <v>8.6</v>
      </c>
      <c r="AV268">
        <v>8.59</v>
      </c>
      <c r="AW268">
        <v>8.57</v>
      </c>
    </row>
    <row r="269" spans="46:49" x14ac:dyDescent="0.2">
      <c r="AT269" s="418" t="s">
        <v>4069</v>
      </c>
      <c r="AU269">
        <v>8.6</v>
      </c>
      <c r="AV269">
        <v>8.58</v>
      </c>
      <c r="AW269">
        <v>8.56</v>
      </c>
    </row>
    <row r="270" spans="46:49" x14ac:dyDescent="0.2">
      <c r="AT270" s="418" t="s">
        <v>4096</v>
      </c>
      <c r="AU270">
        <v>8.6</v>
      </c>
      <c r="AV270">
        <v>8.59</v>
      </c>
      <c r="AW270">
        <v>8.56</v>
      </c>
    </row>
    <row r="271" spans="46:49" x14ac:dyDescent="0.2">
      <c r="AT271" s="418" t="s">
        <v>4139</v>
      </c>
      <c r="AU271">
        <v>8.61</v>
      </c>
      <c r="AV271">
        <v>8.59</v>
      </c>
      <c r="AW271">
        <v>8.57</v>
      </c>
    </row>
    <row r="272" spans="46:49" x14ac:dyDescent="0.2">
      <c r="AT272" s="418" t="s">
        <v>4139</v>
      </c>
      <c r="AU272">
        <v>8.61</v>
      </c>
      <c r="AV272">
        <v>8.59</v>
      </c>
      <c r="AW272">
        <v>8.58</v>
      </c>
    </row>
    <row r="273" spans="46:49" x14ac:dyDescent="0.2">
      <c r="AT273" s="418" t="s">
        <v>4169</v>
      </c>
      <c r="AU273">
        <v>8.61</v>
      </c>
      <c r="AV273">
        <v>8.59</v>
      </c>
      <c r="AW273">
        <v>8.58</v>
      </c>
    </row>
    <row r="274" spans="46:49" x14ac:dyDescent="0.2">
      <c r="AT274" s="418" t="s">
        <v>4169</v>
      </c>
      <c r="AU274">
        <v>8.61</v>
      </c>
      <c r="AV274">
        <v>8.59</v>
      </c>
      <c r="AW274">
        <v>8.6</v>
      </c>
    </row>
    <row r="275" spans="46:49" x14ac:dyDescent="0.2">
      <c r="AT275" s="418" t="s">
        <v>4229</v>
      </c>
      <c r="AU275">
        <v>8.6</v>
      </c>
      <c r="AV275">
        <v>8.58</v>
      </c>
      <c r="AW275">
        <v>8.56</v>
      </c>
    </row>
    <row r="276" spans="46:49" x14ac:dyDescent="0.2">
      <c r="AT276" s="418" t="s">
        <v>4226</v>
      </c>
      <c r="AU276">
        <v>8.6</v>
      </c>
      <c r="AV276">
        <v>8.58</v>
      </c>
      <c r="AW276">
        <v>8.56</v>
      </c>
    </row>
    <row r="277" spans="46:49" x14ac:dyDescent="0.2">
      <c r="AT277" s="418" t="s">
        <v>4226</v>
      </c>
      <c r="AU277">
        <v>8.6</v>
      </c>
      <c r="AV277">
        <v>8.58</v>
      </c>
      <c r="AW277">
        <v>8.58</v>
      </c>
    </row>
    <row r="278" spans="46:49" x14ac:dyDescent="0.2">
      <c r="AT278" s="418" t="s">
        <v>4226</v>
      </c>
      <c r="AU278">
        <v>8.57</v>
      </c>
      <c r="AV278">
        <v>8.5500000000000007</v>
      </c>
      <c r="AW278">
        <v>8.18</v>
      </c>
    </row>
    <row r="279" spans="46:49" x14ac:dyDescent="0.2">
      <c r="AT279" s="418" t="s">
        <v>4315</v>
      </c>
      <c r="AU279">
        <v>8.57</v>
      </c>
      <c r="AV279">
        <v>8.5500000000000007</v>
      </c>
      <c r="AW279">
        <v>8.19</v>
      </c>
    </row>
    <row r="280" spans="46:49" x14ac:dyDescent="0.2">
      <c r="AT280" s="418" t="s">
        <v>4315</v>
      </c>
      <c r="AU280">
        <v>8.57</v>
      </c>
      <c r="AV280">
        <v>8.5500000000000007</v>
      </c>
      <c r="AW280">
        <v>8.1999999999999993</v>
      </c>
    </row>
    <row r="281" spans="46:49" x14ac:dyDescent="0.2">
      <c r="AT281" s="418" t="s">
        <v>4345</v>
      </c>
      <c r="AU281">
        <v>8.57</v>
      </c>
      <c r="AV281">
        <v>8.5500000000000007</v>
      </c>
      <c r="AW281">
        <v>8.19</v>
      </c>
    </row>
    <row r="282" spans="46:49" x14ac:dyDescent="0.2">
      <c r="AT282" s="418" t="s">
        <v>4345</v>
      </c>
      <c r="AU282">
        <v>8.57</v>
      </c>
      <c r="AV282">
        <v>8.5500000000000007</v>
      </c>
      <c r="AW282">
        <v>8.1999999999999993</v>
      </c>
    </row>
    <row r="283" spans="46:49" x14ac:dyDescent="0.2">
      <c r="AT283" s="418" t="s">
        <v>4367</v>
      </c>
      <c r="AU283">
        <v>8.57</v>
      </c>
      <c r="AV283">
        <v>8.5500000000000007</v>
      </c>
      <c r="AW283">
        <v>8.18</v>
      </c>
    </row>
    <row r="284" spans="46:49" x14ac:dyDescent="0.2">
      <c r="AT284" s="418" t="s">
        <v>4383</v>
      </c>
      <c r="AU284">
        <v>8.57</v>
      </c>
      <c r="AV284">
        <v>8.5500000000000007</v>
      </c>
      <c r="AW284">
        <v>8.19</v>
      </c>
    </row>
    <row r="285" spans="46:49" x14ac:dyDescent="0.2">
      <c r="AT285" s="418" t="s">
        <v>4383</v>
      </c>
      <c r="AU285">
        <v>8.57</v>
      </c>
      <c r="AV285">
        <v>8.5500000000000007</v>
      </c>
      <c r="AW285">
        <v>8.16</v>
      </c>
    </row>
    <row r="286" spans="46:49" x14ac:dyDescent="0.2">
      <c r="AT286" s="418" t="s">
        <v>4426</v>
      </c>
      <c r="AU286">
        <v>8.57</v>
      </c>
      <c r="AV286">
        <v>8.5500000000000007</v>
      </c>
      <c r="AW286">
        <v>8.16</v>
      </c>
    </row>
    <row r="287" spans="46:49" x14ac:dyDescent="0.2">
      <c r="AT287" s="418" t="s">
        <v>4426</v>
      </c>
      <c r="AU287">
        <v>8.57</v>
      </c>
      <c r="AV287">
        <v>8.5500000000000007</v>
      </c>
      <c r="AW287">
        <v>8.2100000000000009</v>
      </c>
    </row>
    <row r="288" spans="46:49" x14ac:dyDescent="0.2">
      <c r="AT288" s="418" t="s">
        <v>4442</v>
      </c>
      <c r="AU288">
        <v>8.57</v>
      </c>
      <c r="AV288">
        <v>8.5500000000000007</v>
      </c>
      <c r="AW288">
        <v>8.18</v>
      </c>
    </row>
    <row r="289" spans="46:49" x14ac:dyDescent="0.2">
      <c r="AT289" s="418" t="s">
        <v>4456</v>
      </c>
      <c r="AU289">
        <v>8.57</v>
      </c>
      <c r="AV289">
        <v>8.5500000000000007</v>
      </c>
      <c r="AW289">
        <v>8.2200000000000006</v>
      </c>
    </row>
    <row r="290" spans="46:49" x14ac:dyDescent="0.2">
      <c r="AT290" s="418" t="s">
        <v>4488</v>
      </c>
      <c r="AU290">
        <v>8.57</v>
      </c>
      <c r="AV290">
        <v>8.5500000000000007</v>
      </c>
      <c r="AW290">
        <v>8.1999999999999993</v>
      </c>
    </row>
    <row r="291" spans="46:49" x14ac:dyDescent="0.2">
      <c r="AT291" s="418" t="s">
        <v>4488</v>
      </c>
      <c r="AU291">
        <v>8.57</v>
      </c>
      <c r="AV291">
        <v>8.5500000000000007</v>
      </c>
      <c r="AW291">
        <v>8.15</v>
      </c>
    </row>
    <row r="292" spans="46:49" x14ac:dyDescent="0.2">
      <c r="AT292" s="418" t="s">
        <v>4532</v>
      </c>
      <c r="AU292">
        <v>8.57</v>
      </c>
      <c r="AV292">
        <v>8.5500000000000007</v>
      </c>
      <c r="AW292">
        <v>8.16</v>
      </c>
    </row>
    <row r="293" spans="46:49" x14ac:dyDescent="0.2">
      <c r="AT293" s="418" t="s">
        <v>4534</v>
      </c>
      <c r="AU293">
        <v>8.57</v>
      </c>
      <c r="AV293">
        <v>8.5500000000000007</v>
      </c>
      <c r="AW293">
        <v>8.1300000000000008</v>
      </c>
    </row>
    <row r="294" spans="46:49" x14ac:dyDescent="0.2">
      <c r="AT294" s="418" t="s">
        <v>4534</v>
      </c>
      <c r="AU294">
        <v>8.56</v>
      </c>
      <c r="AV294">
        <v>8.5399999999999991</v>
      </c>
      <c r="AW294">
        <v>8.01</v>
      </c>
    </row>
    <row r="295" spans="46:49" x14ac:dyDescent="0.2">
      <c r="AT295" s="418" t="s">
        <v>4576</v>
      </c>
      <c r="AU295">
        <v>8.56</v>
      </c>
      <c r="AV295">
        <v>8.5399999999999991</v>
      </c>
      <c r="AW295">
        <v>8.02</v>
      </c>
    </row>
    <row r="296" spans="46:49" x14ac:dyDescent="0.2">
      <c r="AT296" s="418" t="s">
        <v>4575</v>
      </c>
      <c r="AU296">
        <v>8.56</v>
      </c>
      <c r="AV296">
        <v>8.5399999999999991</v>
      </c>
      <c r="AW296">
        <v>8.07</v>
      </c>
    </row>
    <row r="297" spans="46:49" x14ac:dyDescent="0.2">
      <c r="AT297" s="418" t="s">
        <v>4608</v>
      </c>
      <c r="AU297">
        <v>8.56</v>
      </c>
      <c r="AV297">
        <v>8.5399999999999991</v>
      </c>
      <c r="AW297">
        <v>8.08</v>
      </c>
    </row>
    <row r="298" spans="46:49" x14ac:dyDescent="0.2">
      <c r="AT298" s="418" t="s">
        <v>4608</v>
      </c>
      <c r="AU298">
        <v>8.56</v>
      </c>
      <c r="AV298">
        <v>8.5399999999999991</v>
      </c>
      <c r="AW298">
        <v>8.4700000000000006</v>
      </c>
    </row>
    <row r="299" spans="46:49" x14ac:dyDescent="0.2">
      <c r="AT299" s="418" t="s">
        <v>4608</v>
      </c>
      <c r="AU299">
        <v>8.56</v>
      </c>
      <c r="AV299">
        <v>8.5399999999999991</v>
      </c>
      <c r="AW299">
        <v>8.4700000000000006</v>
      </c>
    </row>
    <row r="300" spans="46:49" x14ac:dyDescent="0.2">
      <c r="AT300" s="418" t="s">
        <v>4658</v>
      </c>
      <c r="AU300">
        <v>8.57</v>
      </c>
      <c r="AV300">
        <v>8.5399999999999991</v>
      </c>
      <c r="AW300">
        <v>8.48</v>
      </c>
    </row>
    <row r="301" spans="46:49" x14ac:dyDescent="0.2">
      <c r="AT301" s="418" t="s">
        <v>4682</v>
      </c>
      <c r="AU301">
        <v>8.57</v>
      </c>
      <c r="AV301">
        <v>8.5399999999999991</v>
      </c>
      <c r="AW301">
        <v>8.49</v>
      </c>
    </row>
    <row r="302" spans="46:49" x14ac:dyDescent="0.2">
      <c r="AT302" s="418" t="s">
        <v>4682</v>
      </c>
      <c r="AU302">
        <v>8.57</v>
      </c>
      <c r="AV302">
        <v>8.5399999999999991</v>
      </c>
      <c r="AW302">
        <v>8.4700000000000006</v>
      </c>
    </row>
    <row r="303" spans="46:49" x14ac:dyDescent="0.2">
      <c r="AT303" s="418" t="s">
        <v>4700</v>
      </c>
      <c r="AU303">
        <v>8.57</v>
      </c>
      <c r="AV303">
        <v>8.5399999999999991</v>
      </c>
      <c r="AW303">
        <v>8.51</v>
      </c>
    </row>
    <row r="304" spans="46:49" x14ac:dyDescent="0.2">
      <c r="AT304" s="418" t="s">
        <v>4700</v>
      </c>
      <c r="AU304">
        <v>8.57</v>
      </c>
      <c r="AV304">
        <v>8.5500000000000007</v>
      </c>
      <c r="AW304">
        <v>8.5</v>
      </c>
    </row>
    <row r="305" spans="46:49" x14ac:dyDescent="0.2">
      <c r="AT305" s="418" t="s">
        <v>4769</v>
      </c>
      <c r="AU305">
        <v>8.57</v>
      </c>
      <c r="AV305">
        <v>8.5500000000000007</v>
      </c>
      <c r="AW305">
        <v>8.51</v>
      </c>
    </row>
    <row r="306" spans="46:49" x14ac:dyDescent="0.2">
      <c r="AT306" s="418" t="s">
        <v>4768</v>
      </c>
      <c r="AU306">
        <v>8.57</v>
      </c>
      <c r="AV306">
        <v>8.5500000000000007</v>
      </c>
      <c r="AW306">
        <v>8.5</v>
      </c>
    </row>
    <row r="307" spans="46:49" x14ac:dyDescent="0.2">
      <c r="AT307" s="418" t="s">
        <v>4764</v>
      </c>
      <c r="AU307">
        <v>8.57</v>
      </c>
      <c r="AV307">
        <v>8.5399999999999991</v>
      </c>
      <c r="AW307">
        <v>8.49</v>
      </c>
    </row>
    <row r="308" spans="46:49" x14ac:dyDescent="0.2">
      <c r="AT308" s="418" t="s">
        <v>4766</v>
      </c>
      <c r="AU308">
        <v>8.57</v>
      </c>
      <c r="AV308">
        <v>8.5500000000000007</v>
      </c>
      <c r="AW308">
        <v>8.5299999999999994</v>
      </c>
    </row>
    <row r="309" spans="46:49" x14ac:dyDescent="0.2">
      <c r="AT309" s="418" t="s">
        <v>4803</v>
      </c>
      <c r="AU309">
        <v>8.57</v>
      </c>
      <c r="AV309">
        <v>8.5500000000000007</v>
      </c>
      <c r="AW309">
        <v>8.52</v>
      </c>
    </row>
    <row r="310" spans="46:49" x14ac:dyDescent="0.2">
      <c r="AT310" s="418" t="s">
        <v>4803</v>
      </c>
      <c r="AU310">
        <v>8.57</v>
      </c>
      <c r="AV310">
        <v>8.5500000000000007</v>
      </c>
      <c r="AW310">
        <v>8.51</v>
      </c>
    </row>
    <row r="311" spans="46:49" x14ac:dyDescent="0.2">
      <c r="AT311" s="418" t="s">
        <v>4803</v>
      </c>
      <c r="AU311">
        <v>8.57</v>
      </c>
      <c r="AV311">
        <v>8.5399999999999991</v>
      </c>
      <c r="AW311">
        <v>8.52</v>
      </c>
    </row>
    <row r="312" spans="46:49" x14ac:dyDescent="0.2">
      <c r="AT312" s="418" t="s">
        <v>4847</v>
      </c>
      <c r="AU312">
        <v>8.57</v>
      </c>
      <c r="AV312">
        <v>8.5399999999999991</v>
      </c>
      <c r="AW312">
        <v>8.52</v>
      </c>
    </row>
    <row r="313" spans="46:49" x14ac:dyDescent="0.2">
      <c r="AT313" s="418" t="s">
        <v>4862</v>
      </c>
      <c r="AU313">
        <v>8.57</v>
      </c>
      <c r="AV313">
        <v>8.5399999999999991</v>
      </c>
      <c r="AW313">
        <v>8.56</v>
      </c>
    </row>
    <row r="314" spans="46:49" x14ac:dyDescent="0.2">
      <c r="AT314" s="418" t="s">
        <v>4882</v>
      </c>
      <c r="AU314">
        <v>8.57</v>
      </c>
      <c r="AV314">
        <v>8.5399999999999991</v>
      </c>
      <c r="AW314">
        <v>8.67</v>
      </c>
    </row>
    <row r="315" spans="46:49" x14ac:dyDescent="0.2">
      <c r="AT315" s="418" t="s">
        <v>4961</v>
      </c>
      <c r="AU315">
        <v>8.57</v>
      </c>
      <c r="AV315">
        <v>8.5500000000000007</v>
      </c>
      <c r="AW315">
        <v>8.7100000000000009</v>
      </c>
    </row>
    <row r="316" spans="46:49" x14ac:dyDescent="0.2">
      <c r="AT316" s="418" t="s">
        <v>5221</v>
      </c>
      <c r="AU316">
        <v>8.57</v>
      </c>
      <c r="AV316">
        <v>8.5399999999999991</v>
      </c>
      <c r="AW316">
        <v>8.66</v>
      </c>
    </row>
    <row r="317" spans="46:49" x14ac:dyDescent="0.2">
      <c r="AT317" s="418" t="s">
        <v>5221</v>
      </c>
      <c r="AU317">
        <v>8.57</v>
      </c>
      <c r="AV317">
        <v>8.5399999999999991</v>
      </c>
      <c r="AW317">
        <v>8.57</v>
      </c>
    </row>
    <row r="318" spans="46:49" x14ac:dyDescent="0.2">
      <c r="AT318" s="418" t="s">
        <v>5356</v>
      </c>
      <c r="AU318">
        <v>8.56</v>
      </c>
      <c r="AV318">
        <v>8.5399999999999991</v>
      </c>
      <c r="AW318">
        <v>8.5500000000000007</v>
      </c>
    </row>
    <row r="319" spans="46:49" x14ac:dyDescent="0.2">
      <c r="AT319" s="418" t="s">
        <v>5411</v>
      </c>
      <c r="AU319">
        <v>8.57</v>
      </c>
      <c r="AV319">
        <v>8.5399999999999991</v>
      </c>
      <c r="AW319">
        <v>8.57</v>
      </c>
    </row>
    <row r="320" spans="46:49" x14ac:dyDescent="0.2">
      <c r="AT320" s="418" t="s">
        <v>5516</v>
      </c>
      <c r="AU320">
        <v>8.57</v>
      </c>
      <c r="AV320">
        <v>8.5399999999999991</v>
      </c>
      <c r="AW320">
        <v>8.57</v>
      </c>
    </row>
    <row r="321" spans="46:49" x14ac:dyDescent="0.2">
      <c r="AT321" s="418" t="s">
        <v>5547</v>
      </c>
      <c r="AU321">
        <v>8.57</v>
      </c>
      <c r="AV321">
        <v>8.5399999999999991</v>
      </c>
      <c r="AW321">
        <v>8.5500000000000007</v>
      </c>
    </row>
    <row r="322" spans="46:49" x14ac:dyDescent="0.2">
      <c r="AT322" s="418" t="s">
        <v>5582</v>
      </c>
      <c r="AU322">
        <v>8.57</v>
      </c>
      <c r="AV322">
        <v>8.5399999999999991</v>
      </c>
      <c r="AW322">
        <v>8.58</v>
      </c>
    </row>
    <row r="323" spans="46:49" x14ac:dyDescent="0.2">
      <c r="AT323" s="418" t="s">
        <v>5632</v>
      </c>
      <c r="AU323">
        <v>8.57</v>
      </c>
      <c r="AV323">
        <v>8.5399999999999991</v>
      </c>
      <c r="AW323">
        <v>8.57</v>
      </c>
    </row>
    <row r="324" spans="46:49" x14ac:dyDescent="0.2">
      <c r="AT324" s="418" t="s">
        <v>5632</v>
      </c>
      <c r="AU324">
        <v>8.57</v>
      </c>
      <c r="AV324">
        <v>8.5399999999999991</v>
      </c>
      <c r="AW324">
        <v>8.57</v>
      </c>
    </row>
    <row r="325" spans="46:49" x14ac:dyDescent="0.2">
      <c r="AT325" s="418" t="s">
        <v>5703</v>
      </c>
      <c r="AU325">
        <v>8.57</v>
      </c>
      <c r="AV325">
        <v>8.5399999999999991</v>
      </c>
      <c r="AW325">
        <v>8.59</v>
      </c>
    </row>
    <row r="328" spans="46:49" x14ac:dyDescent="0.2">
      <c r="AT328" s="418" t="s">
        <v>3663</v>
      </c>
      <c r="AU328" t="s">
        <v>5444</v>
      </c>
    </row>
    <row r="329" spans="46:49" x14ac:dyDescent="0.2">
      <c r="AT329" s="418" t="s">
        <v>3665</v>
      </c>
      <c r="AU329">
        <v>8.73</v>
      </c>
    </row>
    <row r="330" spans="46:49" x14ac:dyDescent="0.2">
      <c r="AT330" s="418" t="s">
        <v>3666</v>
      </c>
      <c r="AU330">
        <v>8.7799999999999994</v>
      </c>
    </row>
    <row r="331" spans="46:49" x14ac:dyDescent="0.2">
      <c r="AT331" s="418" t="s">
        <v>3667</v>
      </c>
      <c r="AU331">
        <v>8.5299999999999994</v>
      </c>
    </row>
    <row r="332" spans="46:49" x14ac:dyDescent="0.2">
      <c r="AT332" s="418" t="s">
        <v>3668</v>
      </c>
      <c r="AU332">
        <v>8.65</v>
      </c>
    </row>
    <row r="333" spans="46:49" x14ac:dyDescent="0.2">
      <c r="AT333" s="418" t="s">
        <v>3669</v>
      </c>
      <c r="AU333">
        <v>8.5299999999999994</v>
      </c>
    </row>
    <row r="334" spans="46:49" x14ac:dyDescent="0.2">
      <c r="AT334" s="418" t="s">
        <v>3670</v>
      </c>
      <c r="AU334">
        <v>8.44</v>
      </c>
    </row>
    <row r="335" spans="46:49" x14ac:dyDescent="0.2">
      <c r="AT335" s="418" t="s">
        <v>3929</v>
      </c>
      <c r="AU335">
        <v>8.32</v>
      </c>
    </row>
    <row r="336" spans="46:49" x14ac:dyDescent="0.2">
      <c r="AT336" s="418" t="s">
        <v>4609</v>
      </c>
      <c r="AU336">
        <v>8.65</v>
      </c>
    </row>
    <row r="337" spans="46:47" x14ac:dyDescent="0.2">
      <c r="AT337" s="418" t="s">
        <v>4962</v>
      </c>
      <c r="AU337">
        <v>8.61</v>
      </c>
    </row>
    <row r="340" spans="46:47" x14ac:dyDescent="0.2">
      <c r="AT340" s="418" t="s">
        <v>3672</v>
      </c>
      <c r="AU340" t="s">
        <v>3673</v>
      </c>
    </row>
    <row r="341" spans="46:47" x14ac:dyDescent="0.2">
      <c r="AT341" s="418" t="s">
        <v>3674</v>
      </c>
      <c r="AU341">
        <v>5</v>
      </c>
    </row>
    <row r="342" spans="46:47" x14ac:dyDescent="0.2">
      <c r="AT342" s="418" t="s">
        <v>3675</v>
      </c>
      <c r="AU342">
        <v>0</v>
      </c>
    </row>
    <row r="343" spans="46:47" x14ac:dyDescent="0.2">
      <c r="AT343" s="418" t="s">
        <v>3676</v>
      </c>
      <c r="AU343">
        <v>4</v>
      </c>
    </row>
    <row r="344" spans="46:47" x14ac:dyDescent="0.2">
      <c r="AT344" s="418" t="s">
        <v>3677</v>
      </c>
      <c r="AU344">
        <v>1</v>
      </c>
    </row>
    <row r="345" spans="46:47" x14ac:dyDescent="0.2">
      <c r="AT345" s="418" t="s">
        <v>3678</v>
      </c>
      <c r="AU345">
        <v>5</v>
      </c>
    </row>
    <row r="346" spans="46:47" x14ac:dyDescent="0.2">
      <c r="AT346" s="418" t="s">
        <v>3679</v>
      </c>
      <c r="AU346">
        <v>1</v>
      </c>
    </row>
    <row r="347" spans="46:47" x14ac:dyDescent="0.2">
      <c r="AT347" s="418" t="s">
        <v>3680</v>
      </c>
      <c r="AU347">
        <v>9</v>
      </c>
    </row>
    <row r="348" spans="46:47" x14ac:dyDescent="0.2">
      <c r="AT348" s="418" t="s">
        <v>3681</v>
      </c>
      <c r="AU348">
        <v>2</v>
      </c>
    </row>
    <row r="349" spans="46:47" x14ac:dyDescent="0.2">
      <c r="AT349" s="418" t="s">
        <v>3682</v>
      </c>
      <c r="AU349">
        <v>6</v>
      </c>
    </row>
    <row r="350" spans="46:47" x14ac:dyDescent="0.2">
      <c r="AT350" s="418" t="s">
        <v>3683</v>
      </c>
      <c r="AU350">
        <v>0</v>
      </c>
    </row>
    <row r="351" spans="46:47" x14ac:dyDescent="0.2">
      <c r="AT351" s="418" t="s">
        <v>3684</v>
      </c>
      <c r="AU351">
        <v>7</v>
      </c>
    </row>
    <row r="352" spans="46:47" x14ac:dyDescent="0.2">
      <c r="AT352" s="418" t="s">
        <v>3685</v>
      </c>
      <c r="AU352">
        <v>1</v>
      </c>
    </row>
    <row r="353" spans="46:47" x14ac:dyDescent="0.2">
      <c r="AT353" s="418" t="s">
        <v>3686</v>
      </c>
      <c r="AU353">
        <v>17</v>
      </c>
    </row>
    <row r="354" spans="46:47" x14ac:dyDescent="0.2">
      <c r="AT354" s="418" t="s">
        <v>3687</v>
      </c>
      <c r="AU354">
        <v>26</v>
      </c>
    </row>
    <row r="355" spans="46:47" x14ac:dyDescent="0.2">
      <c r="AT355" s="418" t="s">
        <v>3688</v>
      </c>
      <c r="AU355">
        <v>105</v>
      </c>
    </row>
    <row r="356" spans="46:47" x14ac:dyDescent="0.2">
      <c r="AT356" s="418" t="s">
        <v>3689</v>
      </c>
      <c r="AU356">
        <v>260</v>
      </c>
    </row>
    <row r="357" spans="46:47" x14ac:dyDescent="0.2">
      <c r="AT357" s="418" t="s">
        <v>3690</v>
      </c>
      <c r="AU357">
        <v>732</v>
      </c>
    </row>
    <row r="358" spans="46:47" x14ac:dyDescent="0.2">
      <c r="AT358" s="418" t="s">
        <v>3691</v>
      </c>
      <c r="AU358">
        <v>675</v>
      </c>
    </row>
    <row r="359" spans="46:47" x14ac:dyDescent="0.2">
      <c r="AT359" s="418" t="s">
        <v>3692</v>
      </c>
      <c r="AU359">
        <v>524</v>
      </c>
    </row>
    <row r="360" spans="46:47" x14ac:dyDescent="0.2">
      <c r="AT360" s="418" t="s">
        <v>3693</v>
      </c>
      <c r="AU360">
        <v>177</v>
      </c>
    </row>
    <row r="361" spans="46:47" x14ac:dyDescent="0.2">
      <c r="AT361" s="418" t="s">
        <v>3694</v>
      </c>
      <c r="AU361">
        <v>339</v>
      </c>
    </row>
    <row r="362" spans="46:47" x14ac:dyDescent="0.2">
      <c r="AT362" s="418" t="s">
        <v>3695</v>
      </c>
      <c r="AU362">
        <v>120</v>
      </c>
    </row>
    <row r="365" spans="46:47" x14ac:dyDescent="0.2">
      <c r="AT365" s="418" t="s">
        <v>5445</v>
      </c>
      <c r="AU365" t="s">
        <v>3672</v>
      </c>
    </row>
    <row r="366" spans="46:47" x14ac:dyDescent="0.2">
      <c r="AT366" s="418" t="s">
        <v>5446</v>
      </c>
      <c r="AU366">
        <v>0</v>
      </c>
    </row>
    <row r="367" spans="46:47" x14ac:dyDescent="0.2">
      <c r="AT367" s="418" t="s">
        <v>5447</v>
      </c>
      <c r="AU367">
        <v>6.5</v>
      </c>
    </row>
    <row r="368" spans="46:47" x14ac:dyDescent="0.2">
      <c r="AT368" s="418" t="s">
        <v>5448</v>
      </c>
      <c r="AU368">
        <v>7</v>
      </c>
    </row>
    <row r="369" spans="46:47" x14ac:dyDescent="0.2">
      <c r="AT369" s="418" t="s">
        <v>5449</v>
      </c>
      <c r="AU369">
        <v>7</v>
      </c>
    </row>
    <row r="370" spans="46:47" x14ac:dyDescent="0.2">
      <c r="AT370" s="418" t="s">
        <v>5450</v>
      </c>
      <c r="AU370">
        <v>7.5</v>
      </c>
    </row>
    <row r="371" spans="46:47" x14ac:dyDescent="0.2">
      <c r="AT371" s="418" t="s">
        <v>3774</v>
      </c>
      <c r="AU371">
        <v>7.5</v>
      </c>
    </row>
    <row r="372" spans="46:47" x14ac:dyDescent="0.2">
      <c r="AT372" s="418" t="s">
        <v>5451</v>
      </c>
      <c r="AU372">
        <v>7.5</v>
      </c>
    </row>
    <row r="373" spans="46:47" x14ac:dyDescent="0.2">
      <c r="AT373" s="418" t="s">
        <v>5452</v>
      </c>
      <c r="AU373">
        <v>7.5</v>
      </c>
    </row>
    <row r="374" spans="46:47" x14ac:dyDescent="0.2">
      <c r="AT374" s="418" t="s">
        <v>5453</v>
      </c>
      <c r="AU374">
        <v>8</v>
      </c>
    </row>
    <row r="375" spans="46:47" x14ac:dyDescent="0.2">
      <c r="AT375" s="418" t="s">
        <v>5454</v>
      </c>
      <c r="AU375">
        <v>8</v>
      </c>
    </row>
    <row r="376" spans="46:47" x14ac:dyDescent="0.2">
      <c r="AT376" s="418" t="s">
        <v>3775</v>
      </c>
      <c r="AU376">
        <v>8</v>
      </c>
    </row>
    <row r="377" spans="46:47" x14ac:dyDescent="0.2">
      <c r="AT377" s="418" t="s">
        <v>5455</v>
      </c>
      <c r="AU377">
        <v>8</v>
      </c>
    </row>
    <row r="378" spans="46:47" x14ac:dyDescent="0.2">
      <c r="AT378" s="418" t="s">
        <v>5456</v>
      </c>
      <c r="AU378">
        <v>8</v>
      </c>
    </row>
    <row r="379" spans="46:47" x14ac:dyDescent="0.2">
      <c r="AT379" s="418" t="s">
        <v>5457</v>
      </c>
      <c r="AU379">
        <v>8</v>
      </c>
    </row>
    <row r="380" spans="46:47" x14ac:dyDescent="0.2">
      <c r="AT380" s="418" t="s">
        <v>5458</v>
      </c>
      <c r="AU380">
        <v>8</v>
      </c>
    </row>
    <row r="381" spans="46:47" x14ac:dyDescent="0.2">
      <c r="AT381" s="418" t="s">
        <v>3776</v>
      </c>
      <c r="AU381">
        <v>8</v>
      </c>
    </row>
    <row r="382" spans="46:47" x14ac:dyDescent="0.2">
      <c r="AT382" s="418" t="s">
        <v>5459</v>
      </c>
      <c r="AU382">
        <v>8</v>
      </c>
    </row>
    <row r="383" spans="46:47" x14ac:dyDescent="0.2">
      <c r="AT383" s="418" t="s">
        <v>5460</v>
      </c>
      <c r="AU383">
        <v>8</v>
      </c>
    </row>
    <row r="384" spans="46:47" x14ac:dyDescent="0.2">
      <c r="AT384" s="418" t="s">
        <v>5461</v>
      </c>
      <c r="AU384">
        <v>8</v>
      </c>
    </row>
    <row r="385" spans="46:47" x14ac:dyDescent="0.2">
      <c r="AT385" s="418" t="s">
        <v>5462</v>
      </c>
      <c r="AU385">
        <v>8</v>
      </c>
    </row>
    <row r="386" spans="46:47" x14ac:dyDescent="0.2">
      <c r="AT386" s="418" t="s">
        <v>3777</v>
      </c>
      <c r="AU386">
        <v>8.5</v>
      </c>
    </row>
    <row r="387" spans="46:47" x14ac:dyDescent="0.2">
      <c r="AT387" s="418" t="s">
        <v>5463</v>
      </c>
      <c r="AU387">
        <v>8.5</v>
      </c>
    </row>
    <row r="388" spans="46:47" x14ac:dyDescent="0.2">
      <c r="AT388" s="418" t="s">
        <v>5464</v>
      </c>
      <c r="AU388">
        <v>8.5</v>
      </c>
    </row>
    <row r="389" spans="46:47" x14ac:dyDescent="0.2">
      <c r="AT389" s="418" t="s">
        <v>5465</v>
      </c>
      <c r="AU389">
        <v>8.5</v>
      </c>
    </row>
    <row r="390" spans="46:47" x14ac:dyDescent="0.2">
      <c r="AT390" s="418" t="s">
        <v>5466</v>
      </c>
      <c r="AU390">
        <v>8.5</v>
      </c>
    </row>
    <row r="391" spans="46:47" x14ac:dyDescent="0.2">
      <c r="AT391" s="418" t="s">
        <v>3778</v>
      </c>
      <c r="AU391">
        <v>8.5</v>
      </c>
    </row>
    <row r="392" spans="46:47" x14ac:dyDescent="0.2">
      <c r="AT392" s="418" t="s">
        <v>5467</v>
      </c>
      <c r="AU392">
        <v>8.5</v>
      </c>
    </row>
    <row r="393" spans="46:47" x14ac:dyDescent="0.2">
      <c r="AT393" s="418" t="s">
        <v>5468</v>
      </c>
      <c r="AU393">
        <v>8.5</v>
      </c>
    </row>
    <row r="394" spans="46:47" x14ac:dyDescent="0.2">
      <c r="AT394" s="418" t="s">
        <v>5469</v>
      </c>
      <c r="AU394">
        <v>8.5</v>
      </c>
    </row>
    <row r="395" spans="46:47" x14ac:dyDescent="0.2">
      <c r="AT395" s="418" t="s">
        <v>5470</v>
      </c>
      <c r="AU395">
        <v>8.5</v>
      </c>
    </row>
    <row r="396" spans="46:47" x14ac:dyDescent="0.2">
      <c r="AT396" s="418" t="s">
        <v>3779</v>
      </c>
      <c r="AU396">
        <v>8.5</v>
      </c>
    </row>
    <row r="397" spans="46:47" x14ac:dyDescent="0.2">
      <c r="AT397" s="418" t="s">
        <v>5471</v>
      </c>
      <c r="AU397">
        <v>9</v>
      </c>
    </row>
    <row r="398" spans="46:47" x14ac:dyDescent="0.2">
      <c r="AT398" s="418" t="s">
        <v>5472</v>
      </c>
      <c r="AU398">
        <v>9</v>
      </c>
    </row>
    <row r="399" spans="46:47" x14ac:dyDescent="0.2">
      <c r="AT399" s="418" t="s">
        <v>5473</v>
      </c>
      <c r="AU399">
        <v>9</v>
      </c>
    </row>
    <row r="400" spans="46:47" x14ac:dyDescent="0.2">
      <c r="AT400" s="418" t="s">
        <v>5474</v>
      </c>
      <c r="AU400">
        <v>9</v>
      </c>
    </row>
    <row r="401" spans="46:47" x14ac:dyDescent="0.2">
      <c r="AT401" s="418" t="s">
        <v>3780</v>
      </c>
      <c r="AU401">
        <v>9</v>
      </c>
    </row>
    <row r="402" spans="46:47" x14ac:dyDescent="0.2">
      <c r="AT402" s="418" t="s">
        <v>5475</v>
      </c>
      <c r="AU402">
        <v>9</v>
      </c>
    </row>
    <row r="403" spans="46:47" x14ac:dyDescent="0.2">
      <c r="AT403" s="418" t="s">
        <v>5476</v>
      </c>
      <c r="AU403">
        <v>9</v>
      </c>
    </row>
    <row r="404" spans="46:47" x14ac:dyDescent="0.2">
      <c r="AT404" s="418" t="s">
        <v>5477</v>
      </c>
      <c r="AU404">
        <v>9</v>
      </c>
    </row>
    <row r="405" spans="46:47" x14ac:dyDescent="0.2">
      <c r="AT405" s="418" t="s">
        <v>5478</v>
      </c>
      <c r="AU405">
        <v>9</v>
      </c>
    </row>
    <row r="406" spans="46:47" x14ac:dyDescent="0.2">
      <c r="AT406" s="418" t="s">
        <v>3781</v>
      </c>
      <c r="AU406">
        <v>9.5</v>
      </c>
    </row>
    <row r="407" spans="46:47" x14ac:dyDescent="0.2">
      <c r="AT407" s="418" t="s">
        <v>5479</v>
      </c>
      <c r="AU407">
        <v>9.5</v>
      </c>
    </row>
    <row r="408" spans="46:47" x14ac:dyDescent="0.2">
      <c r="AT408" s="418" t="s">
        <v>5480</v>
      </c>
      <c r="AU408">
        <v>9.5</v>
      </c>
    </row>
    <row r="409" spans="46:47" x14ac:dyDescent="0.2">
      <c r="AT409" s="418" t="s">
        <v>5481</v>
      </c>
      <c r="AU409">
        <v>10</v>
      </c>
    </row>
    <row r="410" spans="46:47" x14ac:dyDescent="0.2">
      <c r="AT410" s="418" t="s">
        <v>5482</v>
      </c>
      <c r="AU410">
        <v>10</v>
      </c>
    </row>
    <row r="411" spans="46:47" x14ac:dyDescent="0.2">
      <c r="AT411" s="418" t="s">
        <v>3782</v>
      </c>
      <c r="AU411">
        <v>10</v>
      </c>
    </row>
    <row r="412" spans="46:47" x14ac:dyDescent="0.2">
      <c r="AT412" s="418" t="s">
        <v>5483</v>
      </c>
      <c r="AU412">
        <v>10</v>
      </c>
    </row>
    <row r="413" spans="46:47" x14ac:dyDescent="0.2">
      <c r="AT413" s="418" t="s">
        <v>5484</v>
      </c>
      <c r="AU413">
        <v>10</v>
      </c>
    </row>
    <row r="414" spans="46:47" x14ac:dyDescent="0.2">
      <c r="AT414" s="418" t="s">
        <v>5485</v>
      </c>
      <c r="AU414">
        <v>10</v>
      </c>
    </row>
    <row r="415" spans="46:47" x14ac:dyDescent="0.2">
      <c r="AT415" s="418" t="s">
        <v>5486</v>
      </c>
      <c r="AU415">
        <v>10.5</v>
      </c>
    </row>
    <row r="416" spans="46:47" x14ac:dyDescent="0.2">
      <c r="AT416" s="418" t="s">
        <v>3783</v>
      </c>
      <c r="AU416">
        <v>10.5</v>
      </c>
    </row>
    <row r="419" spans="46:47" x14ac:dyDescent="0.2">
      <c r="AT419" s="418" t="s">
        <v>5487</v>
      </c>
      <c r="AU419" t="s">
        <v>475</v>
      </c>
    </row>
    <row r="420" spans="46:47" x14ac:dyDescent="0.2">
      <c r="AT420" s="418" t="s">
        <v>3757</v>
      </c>
      <c r="AU420">
        <v>1</v>
      </c>
    </row>
    <row r="421" spans="46:47" x14ac:dyDescent="0.2">
      <c r="AT421" s="418" t="s">
        <v>3758</v>
      </c>
      <c r="AU421">
        <v>2</v>
      </c>
    </row>
    <row r="422" spans="46:47" x14ac:dyDescent="0.2">
      <c r="AT422" s="418" t="s">
        <v>3760</v>
      </c>
      <c r="AU422">
        <v>4</v>
      </c>
    </row>
    <row r="423" spans="46:47" x14ac:dyDescent="0.2">
      <c r="AT423" s="418" t="s">
        <v>2980</v>
      </c>
      <c r="AU423">
        <v>4</v>
      </c>
    </row>
    <row r="424" spans="46:47" x14ac:dyDescent="0.2">
      <c r="AT424" s="418" t="s">
        <v>3761</v>
      </c>
      <c r="AU424">
        <v>11</v>
      </c>
    </row>
    <row r="425" spans="46:47" x14ac:dyDescent="0.2">
      <c r="AT425" s="418" t="s">
        <v>3762</v>
      </c>
      <c r="AU425">
        <v>17</v>
      </c>
    </row>
    <row r="426" spans="46:47" x14ac:dyDescent="0.2">
      <c r="AT426" s="418" t="s">
        <v>3763</v>
      </c>
      <c r="AU426">
        <v>18</v>
      </c>
    </row>
    <row r="427" spans="46:47" x14ac:dyDescent="0.2">
      <c r="AT427" s="418" t="s">
        <v>3764</v>
      </c>
      <c r="AU427">
        <v>29</v>
      </c>
    </row>
    <row r="428" spans="46:47" x14ac:dyDescent="0.2">
      <c r="AT428" s="418" t="s">
        <v>3765</v>
      </c>
      <c r="AU428">
        <v>31</v>
      </c>
    </row>
    <row r="429" spans="46:47" x14ac:dyDescent="0.2">
      <c r="AT429" s="418" t="s">
        <v>3766</v>
      </c>
      <c r="AU429">
        <v>49</v>
      </c>
    </row>
    <row r="430" spans="46:47" x14ac:dyDescent="0.2">
      <c r="AT430" s="418" t="s">
        <v>3767</v>
      </c>
      <c r="AU430">
        <v>32</v>
      </c>
    </row>
    <row r="431" spans="46:47" x14ac:dyDescent="0.2">
      <c r="AT431" s="418" t="s">
        <v>3768</v>
      </c>
      <c r="AU431">
        <v>32</v>
      </c>
    </row>
    <row r="432" spans="46:47" x14ac:dyDescent="0.2">
      <c r="AT432" s="418" t="s">
        <v>3769</v>
      </c>
      <c r="AU432">
        <v>19</v>
      </c>
    </row>
    <row r="433" spans="46:47" x14ac:dyDescent="0.2">
      <c r="AT433" s="418" t="s">
        <v>3770</v>
      </c>
      <c r="AU433">
        <v>14</v>
      </c>
    </row>
    <row r="434" spans="46:47" x14ac:dyDescent="0.2">
      <c r="AT434" s="418" t="s">
        <v>3771</v>
      </c>
      <c r="AU434">
        <v>13</v>
      </c>
    </row>
    <row r="435" spans="46:47" x14ac:dyDescent="0.2">
      <c r="AT435" s="418" t="s">
        <v>3772</v>
      </c>
      <c r="AU435">
        <v>5</v>
      </c>
    </row>
    <row r="436" spans="46:47" x14ac:dyDescent="0.2">
      <c r="AT436" s="418" t="s">
        <v>5488</v>
      </c>
      <c r="AU436">
        <v>5</v>
      </c>
    </row>
    <row r="437" spans="46:47" x14ac:dyDescent="0.2">
      <c r="AT437" s="418" t="s">
        <v>5489</v>
      </c>
      <c r="AU437">
        <v>4</v>
      </c>
    </row>
    <row r="438" spans="46:47" x14ac:dyDescent="0.2">
      <c r="AT438" s="418" t="s">
        <v>5490</v>
      </c>
      <c r="AU438">
        <v>3</v>
      </c>
    </row>
    <row r="439" spans="46:47" x14ac:dyDescent="0.2">
      <c r="AT439" s="418" t="s">
        <v>4252</v>
      </c>
      <c r="AU439">
        <v>0</v>
      </c>
    </row>
    <row r="440" spans="46:47" x14ac:dyDescent="0.2">
      <c r="AT440" s="418" t="s">
        <v>5491</v>
      </c>
      <c r="AU440">
        <v>1</v>
      </c>
    </row>
    <row r="441" spans="46:47" x14ac:dyDescent="0.2">
      <c r="AT441" s="418" t="s">
        <v>5492</v>
      </c>
      <c r="AU441">
        <v>0</v>
      </c>
    </row>
    <row r="442" spans="46:47" x14ac:dyDescent="0.2">
      <c r="AT442" s="418" t="s">
        <v>5493</v>
      </c>
      <c r="AU442">
        <v>1</v>
      </c>
    </row>
    <row r="443" spans="46:47" x14ac:dyDescent="0.2">
      <c r="AT443" s="418" t="s">
        <v>5494</v>
      </c>
      <c r="AU443">
        <v>1</v>
      </c>
    </row>
    <row r="444" spans="46:47" x14ac:dyDescent="0.2">
      <c r="AT444" s="418" t="s">
        <v>4253</v>
      </c>
      <c r="AU444">
        <v>0</v>
      </c>
    </row>
    <row r="445" spans="46:47" x14ac:dyDescent="0.2">
      <c r="AT445" s="418" t="s">
        <v>5495</v>
      </c>
      <c r="AU445">
        <v>2</v>
      </c>
    </row>
    <row r="446" spans="46:47" x14ac:dyDescent="0.2">
      <c r="AT446" s="418" t="s">
        <v>5496</v>
      </c>
      <c r="AU446">
        <v>0</v>
      </c>
    </row>
    <row r="447" spans="46:47" x14ac:dyDescent="0.2">
      <c r="AT447" s="418" t="s">
        <v>5497</v>
      </c>
      <c r="AU447">
        <v>1</v>
      </c>
    </row>
    <row r="448" spans="46:47" x14ac:dyDescent="0.2">
      <c r="AT448" s="418" t="s">
        <v>5498</v>
      </c>
      <c r="AU448">
        <v>0</v>
      </c>
    </row>
    <row r="449" spans="46:47" x14ac:dyDescent="0.2">
      <c r="AT449" s="418" t="s">
        <v>4254</v>
      </c>
      <c r="AU449">
        <v>1</v>
      </c>
    </row>
    <row r="452" spans="46:47" x14ac:dyDescent="0.2">
      <c r="AT452" s="418" t="s">
        <v>3696</v>
      </c>
      <c r="AU452" t="s">
        <v>475</v>
      </c>
    </row>
    <row r="453" spans="46:47" x14ac:dyDescent="0.2">
      <c r="AT453" s="418" t="s">
        <v>1825</v>
      </c>
      <c r="AU453">
        <v>6</v>
      </c>
    </row>
    <row r="454" spans="46:47" x14ac:dyDescent="0.2">
      <c r="AT454" s="418" t="s">
        <v>1826</v>
      </c>
      <c r="AU454">
        <v>32</v>
      </c>
    </row>
    <row r="455" spans="46:47" x14ac:dyDescent="0.2">
      <c r="AT455" s="418" t="s">
        <v>1827</v>
      </c>
      <c r="AU455">
        <v>27</v>
      </c>
    </row>
    <row r="456" spans="46:47" x14ac:dyDescent="0.2">
      <c r="AT456" s="418" t="s">
        <v>1828</v>
      </c>
      <c r="AU456">
        <v>74</v>
      </c>
    </row>
    <row r="457" spans="46:47" x14ac:dyDescent="0.2">
      <c r="AT457" s="418" t="s">
        <v>1829</v>
      </c>
      <c r="AU457">
        <v>76</v>
      </c>
    </row>
    <row r="458" spans="46:47" x14ac:dyDescent="0.2">
      <c r="AT458" s="418" t="s">
        <v>1830</v>
      </c>
      <c r="AU458">
        <v>37</v>
      </c>
    </row>
    <row r="459" spans="46:47" x14ac:dyDescent="0.2">
      <c r="AT459" s="418" t="s">
        <v>1831</v>
      </c>
      <c r="AU459">
        <v>48</v>
      </c>
    </row>
    <row r="462" spans="46:47" x14ac:dyDescent="0.2">
      <c r="AT462" s="418" t="s">
        <v>3696</v>
      </c>
      <c r="AU462" t="s">
        <v>3697</v>
      </c>
    </row>
    <row r="463" spans="46:47" x14ac:dyDescent="0.2">
      <c r="AT463" s="418" t="s">
        <v>1825</v>
      </c>
      <c r="AU463">
        <v>8.86</v>
      </c>
    </row>
    <row r="464" spans="46:47" x14ac:dyDescent="0.2">
      <c r="AT464" s="418" t="s">
        <v>1826</v>
      </c>
      <c r="AU464">
        <v>8.93</v>
      </c>
    </row>
    <row r="465" spans="46:47" x14ac:dyDescent="0.2">
      <c r="AT465" s="418" t="s">
        <v>1827</v>
      </c>
      <c r="AU465">
        <v>8.7799999999999994</v>
      </c>
    </row>
    <row r="466" spans="46:47" x14ac:dyDescent="0.2">
      <c r="AT466" s="418" t="s">
        <v>1828</v>
      </c>
      <c r="AU466">
        <v>8.58</v>
      </c>
    </row>
    <row r="467" spans="46:47" x14ac:dyDescent="0.2">
      <c r="AT467" s="418" t="s">
        <v>1829</v>
      </c>
      <c r="AU467">
        <v>8.7100000000000009</v>
      </c>
    </row>
    <row r="468" spans="46:47" x14ac:dyDescent="0.2">
      <c r="AT468" s="418" t="s">
        <v>1830</v>
      </c>
      <c r="AU468">
        <v>8.44</v>
      </c>
    </row>
    <row r="469" spans="46:47" x14ac:dyDescent="0.2">
      <c r="AT469" s="418" t="s">
        <v>1831</v>
      </c>
      <c r="AU469">
        <v>7.87</v>
      </c>
    </row>
    <row r="472" spans="46:47" x14ac:dyDescent="0.2">
      <c r="AT472" s="418" t="s">
        <v>1812</v>
      </c>
      <c r="AU472" t="s">
        <v>475</v>
      </c>
    </row>
    <row r="473" spans="46:47" x14ac:dyDescent="0.2">
      <c r="AT473" s="418" t="s">
        <v>3698</v>
      </c>
      <c r="AU473">
        <v>1</v>
      </c>
    </row>
    <row r="474" spans="46:47" x14ac:dyDescent="0.2">
      <c r="AT474" s="418" t="s">
        <v>3699</v>
      </c>
      <c r="AU474">
        <v>1</v>
      </c>
    </row>
    <row r="475" spans="46:47" x14ac:dyDescent="0.2">
      <c r="AT475" s="418" t="s">
        <v>3700</v>
      </c>
      <c r="AU475">
        <v>4</v>
      </c>
    </row>
    <row r="476" spans="46:47" x14ac:dyDescent="0.2">
      <c r="AT476" s="418" t="s">
        <v>3701</v>
      </c>
      <c r="AU476">
        <v>3</v>
      </c>
    </row>
    <row r="477" spans="46:47" x14ac:dyDescent="0.2">
      <c r="AT477" s="418" t="s">
        <v>3702</v>
      </c>
      <c r="AU477">
        <v>5</v>
      </c>
    </row>
    <row r="478" spans="46:47" x14ac:dyDescent="0.2">
      <c r="AT478" s="418" t="s">
        <v>3703</v>
      </c>
      <c r="AU478">
        <v>3</v>
      </c>
    </row>
    <row r="479" spans="46:47" x14ac:dyDescent="0.2">
      <c r="AT479" s="418" t="s">
        <v>3704</v>
      </c>
      <c r="AU479">
        <v>4</v>
      </c>
    </row>
    <row r="480" spans="46:47" x14ac:dyDescent="0.2">
      <c r="AT480" s="418" t="s">
        <v>3705</v>
      </c>
      <c r="AU480">
        <v>2</v>
      </c>
    </row>
    <row r="481" spans="46:47" x14ac:dyDescent="0.2">
      <c r="AT481" s="418" t="s">
        <v>3706</v>
      </c>
      <c r="AU481">
        <v>2</v>
      </c>
    </row>
    <row r="482" spans="46:47" x14ac:dyDescent="0.2">
      <c r="AT482" s="418" t="s">
        <v>3707</v>
      </c>
      <c r="AU482">
        <v>3</v>
      </c>
    </row>
    <row r="483" spans="46:47" x14ac:dyDescent="0.2">
      <c r="AT483" s="418" t="s">
        <v>3708</v>
      </c>
      <c r="AU483">
        <v>4</v>
      </c>
    </row>
    <row r="484" spans="46:47" x14ac:dyDescent="0.2">
      <c r="AT484" s="418" t="s">
        <v>3709</v>
      </c>
      <c r="AU484">
        <v>1</v>
      </c>
    </row>
    <row r="485" spans="46:47" x14ac:dyDescent="0.2">
      <c r="AT485" s="418" t="s">
        <v>2979</v>
      </c>
      <c r="AU485">
        <v>5</v>
      </c>
    </row>
    <row r="486" spans="46:47" x14ac:dyDescent="0.2">
      <c r="AT486" s="418" t="s">
        <v>4880</v>
      </c>
      <c r="AU486">
        <v>1</v>
      </c>
    </row>
    <row r="487" spans="46:47" x14ac:dyDescent="0.2">
      <c r="AT487" s="418" t="s">
        <v>3710</v>
      </c>
      <c r="AU487">
        <v>4</v>
      </c>
    </row>
    <row r="488" spans="46:47" x14ac:dyDescent="0.2">
      <c r="AT488" s="418" t="s">
        <v>3711</v>
      </c>
      <c r="AU488">
        <v>4</v>
      </c>
    </row>
    <row r="489" spans="46:47" x14ac:dyDescent="0.2">
      <c r="AT489" s="418" t="s">
        <v>3712</v>
      </c>
      <c r="AU489">
        <v>2</v>
      </c>
    </row>
    <row r="490" spans="46:47" x14ac:dyDescent="0.2">
      <c r="AT490" s="418" t="s">
        <v>3713</v>
      </c>
      <c r="AU490">
        <v>4</v>
      </c>
    </row>
    <row r="491" spans="46:47" x14ac:dyDescent="0.2">
      <c r="AT491" s="418" t="s">
        <v>3714</v>
      </c>
      <c r="AU491">
        <v>2</v>
      </c>
    </row>
    <row r="492" spans="46:47" x14ac:dyDescent="0.2">
      <c r="AT492" s="418" t="s">
        <v>3715</v>
      </c>
      <c r="AU492">
        <v>3</v>
      </c>
    </row>
    <row r="493" spans="46:47" x14ac:dyDescent="0.2">
      <c r="AT493" s="418" t="s">
        <v>3716</v>
      </c>
      <c r="AU493">
        <v>3</v>
      </c>
    </row>
    <row r="494" spans="46:47" x14ac:dyDescent="0.2">
      <c r="AT494" s="418" t="s">
        <v>3717</v>
      </c>
      <c r="AU494">
        <v>4</v>
      </c>
    </row>
    <row r="495" spans="46:47" x14ac:dyDescent="0.2">
      <c r="AT495" s="418" t="s">
        <v>3718</v>
      </c>
      <c r="AU495">
        <v>5</v>
      </c>
    </row>
    <row r="496" spans="46:47" x14ac:dyDescent="0.2">
      <c r="AT496" s="418" t="s">
        <v>3719</v>
      </c>
      <c r="AU496">
        <v>6</v>
      </c>
    </row>
    <row r="497" spans="46:47" x14ac:dyDescent="0.2">
      <c r="AT497" s="418" t="s">
        <v>3720</v>
      </c>
      <c r="AU497">
        <v>8</v>
      </c>
    </row>
    <row r="498" spans="46:47" x14ac:dyDescent="0.2">
      <c r="AT498" s="418" t="s">
        <v>3721</v>
      </c>
      <c r="AU498">
        <v>5</v>
      </c>
    </row>
    <row r="499" spans="46:47" x14ac:dyDescent="0.2">
      <c r="AT499" s="418" t="s">
        <v>3722</v>
      </c>
      <c r="AU499">
        <v>7</v>
      </c>
    </row>
    <row r="500" spans="46:47" x14ac:dyDescent="0.2">
      <c r="AT500" s="418" t="s">
        <v>3723</v>
      </c>
      <c r="AU500">
        <v>8</v>
      </c>
    </row>
    <row r="501" spans="46:47" x14ac:dyDescent="0.2">
      <c r="AT501" s="418" t="s">
        <v>3724</v>
      </c>
      <c r="AU501">
        <v>8</v>
      </c>
    </row>
    <row r="502" spans="46:47" x14ac:dyDescent="0.2">
      <c r="AT502" s="418" t="s">
        <v>3725</v>
      </c>
      <c r="AU502">
        <v>11</v>
      </c>
    </row>
    <row r="503" spans="46:47" x14ac:dyDescent="0.2">
      <c r="AT503" s="418" t="s">
        <v>3726</v>
      </c>
      <c r="AU503">
        <v>8</v>
      </c>
    </row>
    <row r="504" spans="46:47" x14ac:dyDescent="0.2">
      <c r="AT504" s="418" t="s">
        <v>3727</v>
      </c>
      <c r="AU504">
        <v>8</v>
      </c>
    </row>
    <row r="505" spans="46:47" x14ac:dyDescent="0.2">
      <c r="AT505" s="418" t="s">
        <v>3728</v>
      </c>
      <c r="AU505">
        <v>11</v>
      </c>
    </row>
    <row r="506" spans="46:47" x14ac:dyDescent="0.2">
      <c r="AT506" s="418" t="s">
        <v>3729</v>
      </c>
      <c r="AU506">
        <v>9</v>
      </c>
    </row>
    <row r="507" spans="46:47" x14ac:dyDescent="0.2">
      <c r="AT507" s="418" t="s">
        <v>3730</v>
      </c>
      <c r="AU507">
        <v>11</v>
      </c>
    </row>
    <row r="508" spans="46:47" x14ac:dyDescent="0.2">
      <c r="AT508" s="418" t="s">
        <v>3731</v>
      </c>
      <c r="AU508">
        <v>11</v>
      </c>
    </row>
    <row r="509" spans="46:47" x14ac:dyDescent="0.2">
      <c r="AT509" s="418" t="s">
        <v>3732</v>
      </c>
      <c r="AU509">
        <v>3</v>
      </c>
    </row>
    <row r="510" spans="46:47" x14ac:dyDescent="0.2">
      <c r="AT510" s="418" t="s">
        <v>3733</v>
      </c>
      <c r="AU510">
        <v>12</v>
      </c>
    </row>
    <row r="511" spans="46:47" x14ac:dyDescent="0.2">
      <c r="AT511" s="418" t="s">
        <v>3734</v>
      </c>
      <c r="AU511">
        <v>3</v>
      </c>
    </row>
    <row r="512" spans="46:47" x14ac:dyDescent="0.2">
      <c r="AT512" s="418" t="s">
        <v>3735</v>
      </c>
      <c r="AU512">
        <v>7</v>
      </c>
    </row>
    <row r="513" spans="46:47" x14ac:dyDescent="0.2">
      <c r="AT513" s="418" t="s">
        <v>3736</v>
      </c>
      <c r="AU513">
        <v>6</v>
      </c>
    </row>
    <row r="514" spans="46:47" x14ac:dyDescent="0.2">
      <c r="AT514" s="418" t="s">
        <v>3737</v>
      </c>
      <c r="AU514">
        <v>3</v>
      </c>
    </row>
    <row r="515" spans="46:47" x14ac:dyDescent="0.2">
      <c r="AT515" s="418" t="s">
        <v>3738</v>
      </c>
      <c r="AU515">
        <v>4</v>
      </c>
    </row>
    <row r="516" spans="46:47" x14ac:dyDescent="0.2">
      <c r="AT516" s="418" t="s">
        <v>3739</v>
      </c>
      <c r="AU516">
        <v>3</v>
      </c>
    </row>
    <row r="517" spans="46:47" x14ac:dyDescent="0.2">
      <c r="AT517" s="418" t="s">
        <v>3740</v>
      </c>
      <c r="AU517">
        <v>4</v>
      </c>
    </row>
    <row r="518" spans="46:47" x14ac:dyDescent="0.2">
      <c r="AT518" s="418" t="s">
        <v>3741</v>
      </c>
      <c r="AU518">
        <v>4</v>
      </c>
    </row>
    <row r="519" spans="46:47" x14ac:dyDescent="0.2">
      <c r="AT519" s="418" t="s">
        <v>3742</v>
      </c>
      <c r="AU519">
        <v>3</v>
      </c>
    </row>
    <row r="520" spans="46:47" x14ac:dyDescent="0.2">
      <c r="AT520" s="418" t="s">
        <v>3743</v>
      </c>
      <c r="AU520">
        <v>4</v>
      </c>
    </row>
    <row r="521" spans="46:47" x14ac:dyDescent="0.2">
      <c r="AT521" s="418" t="s">
        <v>3744</v>
      </c>
      <c r="AU521">
        <v>8</v>
      </c>
    </row>
    <row r="522" spans="46:47" x14ac:dyDescent="0.2">
      <c r="AT522" s="418" t="s">
        <v>3745</v>
      </c>
      <c r="AU522">
        <v>1</v>
      </c>
    </row>
    <row r="523" spans="46:47" x14ac:dyDescent="0.2">
      <c r="AT523" s="418" t="s">
        <v>3746</v>
      </c>
      <c r="AU523">
        <v>4</v>
      </c>
    </row>
    <row r="524" spans="46:47" x14ac:dyDescent="0.2">
      <c r="AT524" s="418" t="s">
        <v>3747</v>
      </c>
      <c r="AU524">
        <v>2</v>
      </c>
    </row>
    <row r="525" spans="46:47" x14ac:dyDescent="0.2">
      <c r="AT525" s="418" t="s">
        <v>3748</v>
      </c>
      <c r="AU525">
        <v>5</v>
      </c>
    </row>
    <row r="526" spans="46:47" x14ac:dyDescent="0.2">
      <c r="AT526" s="418" t="s">
        <v>3749</v>
      </c>
      <c r="AU526">
        <v>6</v>
      </c>
    </row>
    <row r="527" spans="46:47" x14ac:dyDescent="0.2">
      <c r="AT527" s="418" t="s">
        <v>3750</v>
      </c>
      <c r="AU527">
        <v>1</v>
      </c>
    </row>
    <row r="528" spans="46:47" x14ac:dyDescent="0.2">
      <c r="AT528" s="418" t="s">
        <v>3751</v>
      </c>
      <c r="AU528">
        <v>2</v>
      </c>
    </row>
    <row r="529" spans="46:47" x14ac:dyDescent="0.2">
      <c r="AT529" s="418" t="s">
        <v>3752</v>
      </c>
      <c r="AU529">
        <v>11</v>
      </c>
    </row>
    <row r="530" spans="46:47" x14ac:dyDescent="0.2">
      <c r="AT530" s="418" t="s">
        <v>3753</v>
      </c>
      <c r="AU530">
        <v>5</v>
      </c>
    </row>
    <row r="531" spans="46:47" x14ac:dyDescent="0.2">
      <c r="AT531" s="418" t="s">
        <v>3754</v>
      </c>
      <c r="AU531">
        <v>18</v>
      </c>
    </row>
    <row r="534" spans="46:47" x14ac:dyDescent="0.2">
      <c r="AT534" s="418" t="s">
        <v>3696</v>
      </c>
      <c r="AU534" t="s">
        <v>4251</v>
      </c>
    </row>
    <row r="535" spans="46:47" x14ac:dyDescent="0.2">
      <c r="AT535" s="418" t="s">
        <v>1825</v>
      </c>
      <c r="AU535">
        <v>45</v>
      </c>
    </row>
    <row r="536" spans="46:47" x14ac:dyDescent="0.2">
      <c r="AT536" s="418" t="s">
        <v>1826</v>
      </c>
      <c r="AU536">
        <v>44</v>
      </c>
    </row>
    <row r="537" spans="46:47" x14ac:dyDescent="0.2">
      <c r="AT537" s="418" t="s">
        <v>1827</v>
      </c>
      <c r="AU537">
        <v>46</v>
      </c>
    </row>
    <row r="538" spans="46:47" x14ac:dyDescent="0.2">
      <c r="AT538" s="418" t="s">
        <v>1828</v>
      </c>
      <c r="AU538">
        <v>56</v>
      </c>
    </row>
    <row r="539" spans="46:47" x14ac:dyDescent="0.2">
      <c r="AT539" s="418" t="s">
        <v>1829</v>
      </c>
      <c r="AU539">
        <v>58</v>
      </c>
    </row>
    <row r="540" spans="46:47" x14ac:dyDescent="0.2">
      <c r="AT540" s="418" t="s">
        <v>1830</v>
      </c>
      <c r="AU540">
        <v>57</v>
      </c>
    </row>
    <row r="541" spans="46:47" x14ac:dyDescent="0.2">
      <c r="AT541" s="418" t="s">
        <v>1831</v>
      </c>
      <c r="AU541">
        <v>46</v>
      </c>
    </row>
    <row r="544" spans="46:47" x14ac:dyDescent="0.2">
      <c r="AT544" s="418" t="s">
        <v>3052</v>
      </c>
      <c r="AU544" t="s">
        <v>475</v>
      </c>
    </row>
    <row r="545" spans="46:47" x14ac:dyDescent="0.2">
      <c r="AT545" s="418" t="s">
        <v>2243</v>
      </c>
      <c r="AU545">
        <v>8</v>
      </c>
    </row>
    <row r="546" spans="46:47" x14ac:dyDescent="0.2">
      <c r="AT546" s="418" t="s">
        <v>992</v>
      </c>
      <c r="AU546">
        <v>8</v>
      </c>
    </row>
    <row r="547" spans="46:47" x14ac:dyDescent="0.2">
      <c r="AT547" s="418" t="s">
        <v>1137</v>
      </c>
      <c r="AU547">
        <v>8</v>
      </c>
    </row>
    <row r="548" spans="46:47" x14ac:dyDescent="0.2">
      <c r="AT548" s="418" t="s">
        <v>985</v>
      </c>
      <c r="AU548">
        <v>8</v>
      </c>
    </row>
    <row r="549" spans="46:47" x14ac:dyDescent="0.2">
      <c r="AT549" s="418" t="s">
        <v>1894</v>
      </c>
      <c r="AU549">
        <v>9</v>
      </c>
    </row>
    <row r="550" spans="46:47" x14ac:dyDescent="0.2">
      <c r="AT550" s="418" t="s">
        <v>1716</v>
      </c>
      <c r="AU550">
        <v>11</v>
      </c>
    </row>
    <row r="551" spans="46:47" x14ac:dyDescent="0.2">
      <c r="AT551" s="418" t="s">
        <v>1007</v>
      </c>
      <c r="AU551">
        <v>12</v>
      </c>
    </row>
    <row r="552" spans="46:47" x14ac:dyDescent="0.2">
      <c r="AT552" s="418" t="s">
        <v>996</v>
      </c>
      <c r="AU552">
        <v>13</v>
      </c>
    </row>
    <row r="553" spans="46:47" x14ac:dyDescent="0.2">
      <c r="AT553" s="418" t="s">
        <v>997</v>
      </c>
      <c r="AU553">
        <v>13</v>
      </c>
    </row>
    <row r="554" spans="46:47" x14ac:dyDescent="0.2">
      <c r="AT554" s="418" t="s">
        <v>1005</v>
      </c>
      <c r="AU554">
        <v>14</v>
      </c>
    </row>
    <row r="555" spans="46:47" x14ac:dyDescent="0.2">
      <c r="AT555" s="418" t="s">
        <v>731</v>
      </c>
      <c r="AU555">
        <v>21</v>
      </c>
    </row>
    <row r="556" spans="46:47" x14ac:dyDescent="0.2">
      <c r="AT556" s="418" t="s">
        <v>732</v>
      </c>
      <c r="AU556">
        <v>24</v>
      </c>
    </row>
    <row r="557" spans="46:47" x14ac:dyDescent="0.2">
      <c r="AT557" s="418" t="s">
        <v>988</v>
      </c>
      <c r="AU557">
        <v>26</v>
      </c>
    </row>
    <row r="558" spans="46:47" x14ac:dyDescent="0.2">
      <c r="AT558" s="418" t="s">
        <v>733</v>
      </c>
      <c r="AU558">
        <v>31</v>
      </c>
    </row>
    <row r="559" spans="46:47" x14ac:dyDescent="0.2">
      <c r="AT559" s="418" t="s">
        <v>987</v>
      </c>
      <c r="AU559">
        <v>35</v>
      </c>
    </row>
    <row r="562" spans="46:47" x14ac:dyDescent="0.2">
      <c r="AT562" s="418" t="s">
        <v>3755</v>
      </c>
      <c r="AU562" t="s">
        <v>475</v>
      </c>
    </row>
    <row r="563" spans="46:47" x14ac:dyDescent="0.2">
      <c r="AT563" s="418" t="s">
        <v>3036</v>
      </c>
      <c r="AU563">
        <v>145</v>
      </c>
    </row>
    <row r="564" spans="46:47" x14ac:dyDescent="0.2">
      <c r="AT564" s="418" t="s">
        <v>3040</v>
      </c>
      <c r="AU564">
        <v>89</v>
      </c>
    </row>
    <row r="565" spans="46:47" x14ac:dyDescent="0.2">
      <c r="AT565" s="418" t="s">
        <v>1011</v>
      </c>
      <c r="AU565">
        <v>40</v>
      </c>
    </row>
    <row r="566" spans="46:47" x14ac:dyDescent="0.2">
      <c r="AT566" s="418" t="s">
        <v>3038</v>
      </c>
      <c r="AU566">
        <v>29</v>
      </c>
    </row>
    <row r="567" spans="46:47" x14ac:dyDescent="0.2">
      <c r="AT567" s="418" t="s">
        <v>995</v>
      </c>
      <c r="AU567">
        <v>24</v>
      </c>
    </row>
    <row r="568" spans="46:47" x14ac:dyDescent="0.2">
      <c r="AT568" s="418" t="s">
        <v>3043</v>
      </c>
      <c r="AU568">
        <v>11</v>
      </c>
    </row>
    <row r="569" spans="46:47" x14ac:dyDescent="0.2">
      <c r="AT569" s="418" t="s">
        <v>3042</v>
      </c>
      <c r="AU569">
        <v>8</v>
      </c>
    </row>
    <row r="570" spans="46:47" x14ac:dyDescent="0.2">
      <c r="AT570" s="418" t="s">
        <v>1081</v>
      </c>
      <c r="AU570">
        <v>6</v>
      </c>
    </row>
    <row r="571" spans="46:47" x14ac:dyDescent="0.2">
      <c r="AT571" s="418" t="s">
        <v>3037</v>
      </c>
      <c r="AU571">
        <v>5</v>
      </c>
    </row>
    <row r="572" spans="46:47" x14ac:dyDescent="0.2">
      <c r="AT572" s="418" t="s">
        <v>3039</v>
      </c>
      <c r="AU572">
        <v>5</v>
      </c>
    </row>
    <row r="573" spans="46:47" x14ac:dyDescent="0.2">
      <c r="AT573" s="418" t="s">
        <v>3044</v>
      </c>
      <c r="AU573">
        <v>4</v>
      </c>
    </row>
    <row r="574" spans="46:47" x14ac:dyDescent="0.2">
      <c r="AT574" s="418" t="s">
        <v>2707</v>
      </c>
      <c r="AU574">
        <v>1</v>
      </c>
    </row>
    <row r="575" spans="46:47" x14ac:dyDescent="0.2">
      <c r="AT575" s="418" t="s">
        <v>3041</v>
      </c>
      <c r="AU575">
        <v>1</v>
      </c>
    </row>
    <row r="576" spans="46:47" x14ac:dyDescent="0.2">
      <c r="AT576" s="418" t="s">
        <v>4850</v>
      </c>
      <c r="AU576">
        <v>1</v>
      </c>
    </row>
    <row r="577" spans="46:47" x14ac:dyDescent="0.2">
      <c r="AT577" s="418" t="s">
        <v>3045</v>
      </c>
      <c r="AU577">
        <v>1</v>
      </c>
    </row>
    <row r="578" spans="46:47" x14ac:dyDescent="0.2">
      <c r="AT578" s="418" t="s">
        <v>3155</v>
      </c>
      <c r="AU578">
        <v>1</v>
      </c>
    </row>
    <row r="581" spans="46:47" x14ac:dyDescent="0.2">
      <c r="AT581" s="418" t="s">
        <v>3755</v>
      </c>
      <c r="AU581" t="s">
        <v>287</v>
      </c>
    </row>
    <row r="582" spans="46:47" x14ac:dyDescent="0.2">
      <c r="AT582" s="418" t="s">
        <v>3155</v>
      </c>
      <c r="AU582">
        <v>4.79</v>
      </c>
    </row>
    <row r="583" spans="46:47" x14ac:dyDescent="0.2">
      <c r="AT583" s="418" t="s">
        <v>3045</v>
      </c>
      <c r="AU583">
        <v>8</v>
      </c>
    </row>
    <row r="584" spans="46:47" x14ac:dyDescent="0.2">
      <c r="AT584" s="418" t="s">
        <v>4850</v>
      </c>
      <c r="AU584">
        <v>8.0299999999999994</v>
      </c>
    </row>
    <row r="585" spans="46:47" x14ac:dyDescent="0.2">
      <c r="AT585" s="418" t="s">
        <v>995</v>
      </c>
      <c r="AU585">
        <v>8.0399999999999991</v>
      </c>
    </row>
    <row r="586" spans="46:47" x14ac:dyDescent="0.2">
      <c r="AT586" s="418" t="s">
        <v>3041</v>
      </c>
      <c r="AU586">
        <v>8.11</v>
      </c>
    </row>
    <row r="587" spans="46:47" x14ac:dyDescent="0.2">
      <c r="AT587" s="418" t="s">
        <v>2707</v>
      </c>
      <c r="AU587">
        <v>8.4</v>
      </c>
    </row>
    <row r="588" spans="46:47" x14ac:dyDescent="0.2">
      <c r="AT588" s="418" t="s">
        <v>3040</v>
      </c>
      <c r="AU588">
        <v>8.57</v>
      </c>
    </row>
    <row r="589" spans="46:47" x14ac:dyDescent="0.2">
      <c r="AT589" s="418" t="s">
        <v>3043</v>
      </c>
      <c r="AU589">
        <v>8.57</v>
      </c>
    </row>
    <row r="590" spans="46:47" x14ac:dyDescent="0.2">
      <c r="AT590" s="418" t="s">
        <v>1011</v>
      </c>
      <c r="AU590">
        <v>8.6</v>
      </c>
    </row>
    <row r="591" spans="46:47" x14ac:dyDescent="0.2">
      <c r="AT591" s="418" t="s">
        <v>3036</v>
      </c>
      <c r="AU591">
        <v>8.66</v>
      </c>
    </row>
    <row r="592" spans="46:47" x14ac:dyDescent="0.2">
      <c r="AT592" s="418" t="s">
        <v>3038</v>
      </c>
      <c r="AU592">
        <v>8.66</v>
      </c>
    </row>
    <row r="593" spans="46:47" x14ac:dyDescent="0.2">
      <c r="AT593" s="418" t="s">
        <v>3042</v>
      </c>
      <c r="AU593">
        <v>8.66</v>
      </c>
    </row>
    <row r="594" spans="46:47" x14ac:dyDescent="0.2">
      <c r="AT594" s="418" t="s">
        <v>1081</v>
      </c>
      <c r="AU594">
        <v>8.68</v>
      </c>
    </row>
    <row r="595" spans="46:47" x14ac:dyDescent="0.2">
      <c r="AT595" s="418" t="s">
        <v>3039</v>
      </c>
      <c r="AU595">
        <v>8.69</v>
      </c>
    </row>
    <row r="596" spans="46:47" x14ac:dyDescent="0.2">
      <c r="AT596" s="418" t="s">
        <v>3044</v>
      </c>
      <c r="AU596">
        <v>8.7200000000000006</v>
      </c>
    </row>
    <row r="597" spans="46:47" x14ac:dyDescent="0.2">
      <c r="AT597" s="418" t="s">
        <v>3037</v>
      </c>
      <c r="AU597">
        <v>8.82</v>
      </c>
    </row>
    <row r="600" spans="46:47" x14ac:dyDescent="0.2">
      <c r="AT600" s="418" t="s">
        <v>3755</v>
      </c>
      <c r="AU600" t="s">
        <v>957</v>
      </c>
    </row>
    <row r="601" spans="46:47" x14ac:dyDescent="0.2">
      <c r="AT601" s="418" t="s">
        <v>3155</v>
      </c>
      <c r="AU601">
        <v>4.62</v>
      </c>
    </row>
    <row r="602" spans="46:47" x14ac:dyDescent="0.2">
      <c r="AT602" s="418" t="s">
        <v>3045</v>
      </c>
      <c r="AU602">
        <v>7.79</v>
      </c>
    </row>
    <row r="603" spans="46:47" x14ac:dyDescent="0.2">
      <c r="AT603" s="418" t="s">
        <v>4850</v>
      </c>
      <c r="AU603">
        <v>7.94</v>
      </c>
    </row>
    <row r="604" spans="46:47" x14ac:dyDescent="0.2">
      <c r="AT604" s="418" t="s">
        <v>995</v>
      </c>
      <c r="AU604">
        <v>7.97</v>
      </c>
    </row>
    <row r="605" spans="46:47" x14ac:dyDescent="0.2">
      <c r="AT605" s="418" t="s">
        <v>3041</v>
      </c>
      <c r="AU605">
        <v>8</v>
      </c>
    </row>
    <row r="606" spans="46:47" x14ac:dyDescent="0.2">
      <c r="AT606" s="418" t="s">
        <v>2707</v>
      </c>
      <c r="AU606">
        <v>8.3699999999999992</v>
      </c>
    </row>
    <row r="607" spans="46:47" x14ac:dyDescent="0.2">
      <c r="AT607" s="418" t="s">
        <v>3043</v>
      </c>
      <c r="AU607">
        <v>8.5299999999999994</v>
      </c>
    </row>
    <row r="608" spans="46:47" x14ac:dyDescent="0.2">
      <c r="AT608" s="418" t="s">
        <v>1011</v>
      </c>
      <c r="AU608">
        <v>8.5500000000000007</v>
      </c>
    </row>
    <row r="609" spans="46:47" x14ac:dyDescent="0.2">
      <c r="AT609" s="418" t="s">
        <v>3040</v>
      </c>
      <c r="AU609">
        <v>8.56</v>
      </c>
    </row>
    <row r="610" spans="46:47" x14ac:dyDescent="0.2">
      <c r="AT610" s="418" t="s">
        <v>3042</v>
      </c>
      <c r="AU610">
        <v>8.57</v>
      </c>
    </row>
    <row r="611" spans="46:47" x14ac:dyDescent="0.2">
      <c r="AT611" s="418" t="s">
        <v>3039</v>
      </c>
      <c r="AU611">
        <v>8.6</v>
      </c>
    </row>
    <row r="612" spans="46:47" x14ac:dyDescent="0.2">
      <c r="AT612" s="418" t="s">
        <v>3038</v>
      </c>
      <c r="AU612">
        <v>8.61</v>
      </c>
    </row>
    <row r="613" spans="46:47" x14ac:dyDescent="0.2">
      <c r="AT613" s="418" t="s">
        <v>1081</v>
      </c>
      <c r="AU613">
        <v>8.6199999999999992</v>
      </c>
    </row>
    <row r="614" spans="46:47" x14ac:dyDescent="0.2">
      <c r="AT614" s="418" t="s">
        <v>3036</v>
      </c>
      <c r="AU614">
        <v>8.64</v>
      </c>
    </row>
    <row r="615" spans="46:47" x14ac:dyDescent="0.2">
      <c r="AT615" s="418" t="s">
        <v>3044</v>
      </c>
      <c r="AU615">
        <v>8.68</v>
      </c>
    </row>
    <row r="616" spans="46:47" x14ac:dyDescent="0.2">
      <c r="AT616" s="418" t="s">
        <v>3037</v>
      </c>
      <c r="AU616">
        <v>8.76</v>
      </c>
    </row>
    <row r="619" spans="46:47" x14ac:dyDescent="0.2">
      <c r="AT619" s="418" t="s">
        <v>3755</v>
      </c>
      <c r="AU619" t="s">
        <v>4251</v>
      </c>
    </row>
    <row r="620" spans="46:47" x14ac:dyDescent="0.2">
      <c r="AT620" s="418" t="s">
        <v>3044</v>
      </c>
      <c r="AU620">
        <v>40</v>
      </c>
    </row>
    <row r="621" spans="46:47" x14ac:dyDescent="0.2">
      <c r="AT621" s="418" t="s">
        <v>2707</v>
      </c>
      <c r="AU621">
        <v>40</v>
      </c>
    </row>
    <row r="622" spans="46:47" x14ac:dyDescent="0.2">
      <c r="AT622" s="418" t="s">
        <v>3039</v>
      </c>
      <c r="AU622">
        <v>41</v>
      </c>
    </row>
    <row r="623" spans="46:47" x14ac:dyDescent="0.2">
      <c r="AT623" s="418" t="s">
        <v>3042</v>
      </c>
      <c r="AU623">
        <v>43</v>
      </c>
    </row>
    <row r="624" spans="46:47" x14ac:dyDescent="0.2">
      <c r="AT624" s="418" t="s">
        <v>3045</v>
      </c>
      <c r="AU624">
        <v>45</v>
      </c>
    </row>
    <row r="625" spans="46:47" x14ac:dyDescent="0.2">
      <c r="AT625" s="418" t="s">
        <v>3038</v>
      </c>
      <c r="AU625">
        <v>47</v>
      </c>
    </row>
    <row r="626" spans="46:47" x14ac:dyDescent="0.2">
      <c r="AT626" s="418" t="s">
        <v>3043</v>
      </c>
      <c r="AU626">
        <v>49</v>
      </c>
    </row>
    <row r="627" spans="46:47" x14ac:dyDescent="0.2">
      <c r="AT627" s="418" t="s">
        <v>3036</v>
      </c>
      <c r="AU627">
        <v>50</v>
      </c>
    </row>
    <row r="628" spans="46:47" x14ac:dyDescent="0.2">
      <c r="AT628" s="418" t="s">
        <v>3037</v>
      </c>
      <c r="AU628">
        <v>52</v>
      </c>
    </row>
    <row r="629" spans="46:47" x14ac:dyDescent="0.2">
      <c r="AT629" s="418" t="s">
        <v>3040</v>
      </c>
      <c r="AU629">
        <v>55</v>
      </c>
    </row>
    <row r="630" spans="46:47" x14ac:dyDescent="0.2">
      <c r="AT630" s="418" t="s">
        <v>995</v>
      </c>
      <c r="AU630">
        <v>56</v>
      </c>
    </row>
    <row r="631" spans="46:47" x14ac:dyDescent="0.2">
      <c r="AT631" s="418" t="s">
        <v>1011</v>
      </c>
      <c r="AU631">
        <v>57</v>
      </c>
    </row>
    <row r="632" spans="46:47" x14ac:dyDescent="0.2">
      <c r="AT632" s="418" t="s">
        <v>3155</v>
      </c>
      <c r="AU632">
        <v>62</v>
      </c>
    </row>
    <row r="633" spans="46:47" x14ac:dyDescent="0.2">
      <c r="AT633" s="418" t="s">
        <v>3041</v>
      </c>
      <c r="AU633">
        <v>66</v>
      </c>
    </row>
    <row r="634" spans="46:47" x14ac:dyDescent="0.2">
      <c r="AT634" s="418" t="s">
        <v>4850</v>
      </c>
      <c r="AU634">
        <v>68</v>
      </c>
    </row>
    <row r="635" spans="46:47" x14ac:dyDescent="0.2">
      <c r="AT635" s="418" t="s">
        <v>1081</v>
      </c>
      <c r="AU635">
        <v>74</v>
      </c>
    </row>
    <row r="638" spans="46:47" x14ac:dyDescent="0.2">
      <c r="AT638" s="418" t="s">
        <v>3755</v>
      </c>
      <c r="AU638" t="s">
        <v>5499</v>
      </c>
    </row>
    <row r="639" spans="46:47" x14ac:dyDescent="0.2">
      <c r="AT639" s="418" t="s">
        <v>2707</v>
      </c>
      <c r="AU639">
        <v>0</v>
      </c>
    </row>
    <row r="640" spans="46:47" x14ac:dyDescent="0.2">
      <c r="AT640" s="418" t="s">
        <v>3041</v>
      </c>
      <c r="AU640">
        <v>0</v>
      </c>
    </row>
    <row r="641" spans="46:47" x14ac:dyDescent="0.2">
      <c r="AT641" s="418" t="s">
        <v>3045</v>
      </c>
      <c r="AU641">
        <v>0</v>
      </c>
    </row>
    <row r="642" spans="46:47" x14ac:dyDescent="0.2">
      <c r="AT642" s="418" t="s">
        <v>3155</v>
      </c>
      <c r="AU642">
        <v>0</v>
      </c>
    </row>
    <row r="643" spans="46:47" x14ac:dyDescent="0.2">
      <c r="AT643" s="418" t="s">
        <v>4850</v>
      </c>
      <c r="AU643">
        <v>5.88</v>
      </c>
    </row>
    <row r="644" spans="46:47" x14ac:dyDescent="0.2">
      <c r="AT644" s="418" t="s">
        <v>995</v>
      </c>
      <c r="AU644">
        <v>10.4</v>
      </c>
    </row>
    <row r="645" spans="46:47" x14ac:dyDescent="0.2">
      <c r="AT645" s="418" t="s">
        <v>3043</v>
      </c>
      <c r="AU645">
        <v>13.04</v>
      </c>
    </row>
    <row r="646" spans="46:47" x14ac:dyDescent="0.2">
      <c r="AT646" s="418" t="s">
        <v>3044</v>
      </c>
      <c r="AU646">
        <v>13.79</v>
      </c>
    </row>
    <row r="647" spans="46:47" x14ac:dyDescent="0.2">
      <c r="AT647" s="418" t="s">
        <v>1081</v>
      </c>
      <c r="AU647">
        <v>13.79</v>
      </c>
    </row>
    <row r="648" spans="46:47" x14ac:dyDescent="0.2">
      <c r="AT648" s="418" t="s">
        <v>3042</v>
      </c>
      <c r="AU648">
        <v>13.98</v>
      </c>
    </row>
    <row r="649" spans="46:47" x14ac:dyDescent="0.2">
      <c r="AT649" s="418" t="s">
        <v>1011</v>
      </c>
      <c r="AU649">
        <v>14.14</v>
      </c>
    </row>
    <row r="650" spans="46:47" x14ac:dyDescent="0.2">
      <c r="AT650" s="418" t="s">
        <v>3038</v>
      </c>
      <c r="AU650">
        <v>14.98</v>
      </c>
    </row>
    <row r="651" spans="46:47" x14ac:dyDescent="0.2">
      <c r="AT651" s="418" t="s">
        <v>3040</v>
      </c>
      <c r="AU651">
        <v>15.24</v>
      </c>
    </row>
    <row r="652" spans="46:47" x14ac:dyDescent="0.2">
      <c r="AT652" s="418" t="s">
        <v>3036</v>
      </c>
      <c r="AU652">
        <v>16.61</v>
      </c>
    </row>
    <row r="653" spans="46:47" x14ac:dyDescent="0.2">
      <c r="AT653" s="418" t="s">
        <v>3039</v>
      </c>
      <c r="AU653">
        <v>17.54</v>
      </c>
    </row>
    <row r="654" spans="46:47" x14ac:dyDescent="0.2">
      <c r="AT654" s="418" t="s">
        <v>3037</v>
      </c>
      <c r="AU654">
        <v>18.52</v>
      </c>
    </row>
    <row r="657" spans="46:51" x14ac:dyDescent="0.2">
      <c r="AT657" s="418" t="s">
        <v>3755</v>
      </c>
      <c r="AU657" t="s">
        <v>5500</v>
      </c>
      <c r="AV657" s="534">
        <v>46211</v>
      </c>
      <c r="AW657" s="534">
        <v>46243</v>
      </c>
      <c r="AX657" s="534">
        <v>46275</v>
      </c>
      <c r="AY657" t="s">
        <v>5501</v>
      </c>
    </row>
    <row r="658" spans="46:51" x14ac:dyDescent="0.2">
      <c r="AT658" s="418" t="s">
        <v>3036</v>
      </c>
      <c r="AU658">
        <v>34</v>
      </c>
      <c r="AV658">
        <v>161</v>
      </c>
      <c r="AW658">
        <v>629</v>
      </c>
      <c r="AX658">
        <v>331</v>
      </c>
      <c r="AY658">
        <v>230</v>
      </c>
    </row>
    <row r="659" spans="46:51" x14ac:dyDescent="0.2">
      <c r="AT659" s="418" t="s">
        <v>3040</v>
      </c>
      <c r="AU659">
        <v>18</v>
      </c>
      <c r="AV659">
        <v>105</v>
      </c>
      <c r="AW659">
        <v>376</v>
      </c>
      <c r="AX659">
        <v>174</v>
      </c>
      <c r="AY659">
        <v>121</v>
      </c>
    </row>
    <row r="660" spans="46:51" x14ac:dyDescent="0.2">
      <c r="AT660" s="418" t="s">
        <v>1011</v>
      </c>
      <c r="AU660">
        <v>4</v>
      </c>
      <c r="AV660">
        <v>51</v>
      </c>
      <c r="AW660">
        <v>229</v>
      </c>
      <c r="AX660">
        <v>123</v>
      </c>
      <c r="AY660">
        <v>67</v>
      </c>
    </row>
    <row r="661" spans="46:51" x14ac:dyDescent="0.2">
      <c r="AT661" s="418" t="s">
        <v>3038</v>
      </c>
      <c r="AU661">
        <v>1</v>
      </c>
      <c r="AV661">
        <v>28</v>
      </c>
      <c r="AW661">
        <v>167</v>
      </c>
      <c r="AX661">
        <v>82</v>
      </c>
      <c r="AY661">
        <v>49</v>
      </c>
    </row>
    <row r="662" spans="46:51" x14ac:dyDescent="0.2">
      <c r="AT662" s="418" t="s">
        <v>995</v>
      </c>
      <c r="AU662">
        <v>15</v>
      </c>
      <c r="AV662">
        <v>61</v>
      </c>
      <c r="AW662">
        <v>153</v>
      </c>
      <c r="AX662">
        <v>64</v>
      </c>
      <c r="AY662">
        <v>34</v>
      </c>
    </row>
    <row r="663" spans="46:51" x14ac:dyDescent="0.2">
      <c r="AT663" s="418" t="s">
        <v>3043</v>
      </c>
      <c r="AU663">
        <v>0</v>
      </c>
      <c r="AV663">
        <v>16</v>
      </c>
      <c r="AW663">
        <v>61</v>
      </c>
      <c r="AX663">
        <v>23</v>
      </c>
      <c r="AY663">
        <v>15</v>
      </c>
    </row>
    <row r="664" spans="46:51" x14ac:dyDescent="0.2">
      <c r="AT664" s="418" t="s">
        <v>3042</v>
      </c>
      <c r="AU664">
        <v>0</v>
      </c>
      <c r="AV664">
        <v>8</v>
      </c>
      <c r="AW664">
        <v>51</v>
      </c>
      <c r="AX664">
        <v>21</v>
      </c>
      <c r="AY664">
        <v>13</v>
      </c>
    </row>
    <row r="665" spans="46:51" x14ac:dyDescent="0.2">
      <c r="AT665" s="418" t="s">
        <v>1081</v>
      </c>
      <c r="AU665">
        <v>0</v>
      </c>
      <c r="AV665">
        <v>6</v>
      </c>
      <c r="AW665">
        <v>27</v>
      </c>
      <c r="AX665">
        <v>17</v>
      </c>
      <c r="AY665">
        <v>8</v>
      </c>
    </row>
    <row r="666" spans="46:51" x14ac:dyDescent="0.2">
      <c r="AT666" s="418" t="s">
        <v>3037</v>
      </c>
      <c r="AU666">
        <v>0</v>
      </c>
      <c r="AV666">
        <v>2</v>
      </c>
      <c r="AW666">
        <v>26</v>
      </c>
      <c r="AX666">
        <v>16</v>
      </c>
      <c r="AY666">
        <v>10</v>
      </c>
    </row>
    <row r="667" spans="46:51" x14ac:dyDescent="0.2">
      <c r="AT667" s="418" t="s">
        <v>3039</v>
      </c>
      <c r="AU667">
        <v>0</v>
      </c>
      <c r="AV667">
        <v>4</v>
      </c>
      <c r="AW667">
        <v>32</v>
      </c>
      <c r="AX667">
        <v>11</v>
      </c>
      <c r="AY667">
        <v>10</v>
      </c>
    </row>
    <row r="668" spans="46:51" x14ac:dyDescent="0.2">
      <c r="AT668" s="418" t="s">
        <v>3044</v>
      </c>
      <c r="AU668">
        <v>0</v>
      </c>
      <c r="AV668">
        <v>2</v>
      </c>
      <c r="AW668">
        <v>16</v>
      </c>
      <c r="AX668">
        <v>7</v>
      </c>
      <c r="AY668">
        <v>4</v>
      </c>
    </row>
    <row r="669" spans="46:51" x14ac:dyDescent="0.2">
      <c r="AT669" s="418" t="s">
        <v>2707</v>
      </c>
      <c r="AU669">
        <v>0</v>
      </c>
      <c r="AV669">
        <v>0</v>
      </c>
      <c r="AW669">
        <v>4</v>
      </c>
      <c r="AX669">
        <v>1</v>
      </c>
      <c r="AY669">
        <v>0</v>
      </c>
    </row>
    <row r="672" spans="46:51" x14ac:dyDescent="0.2">
      <c r="AT672" s="418" t="s">
        <v>3756</v>
      </c>
      <c r="AU672" t="s">
        <v>475</v>
      </c>
    </row>
    <row r="673" spans="46:47" x14ac:dyDescent="0.2">
      <c r="AT673" s="418" t="s">
        <v>3757</v>
      </c>
      <c r="AU673">
        <v>229</v>
      </c>
    </row>
    <row r="674" spans="46:47" x14ac:dyDescent="0.2">
      <c r="AT674" s="418" t="s">
        <v>3758</v>
      </c>
      <c r="AU674">
        <v>71</v>
      </c>
    </row>
    <row r="677" spans="46:47" x14ac:dyDescent="0.2">
      <c r="AT677" s="418" t="s">
        <v>3759</v>
      </c>
      <c r="AU677" t="s">
        <v>287</v>
      </c>
    </row>
    <row r="678" spans="46:47" x14ac:dyDescent="0.2">
      <c r="AT678" s="418" t="s">
        <v>3757</v>
      </c>
      <c r="AU678">
        <v>8.9700000000000006</v>
      </c>
    </row>
    <row r="679" spans="46:47" x14ac:dyDescent="0.2">
      <c r="AT679" s="418" t="s">
        <v>3758</v>
      </c>
      <c r="AU679">
        <v>8.82</v>
      </c>
    </row>
    <row r="680" spans="46:47" x14ac:dyDescent="0.2">
      <c r="AT680" s="418" t="s">
        <v>3760</v>
      </c>
      <c r="AU680">
        <v>8.75</v>
      </c>
    </row>
    <row r="681" spans="46:47" x14ac:dyDescent="0.2">
      <c r="AT681" s="418" t="s">
        <v>2980</v>
      </c>
      <c r="AU681">
        <v>8.6300000000000008</v>
      </c>
    </row>
    <row r="682" spans="46:47" x14ac:dyDescent="0.2">
      <c r="AT682" s="418" t="s">
        <v>3761</v>
      </c>
      <c r="AU682">
        <v>8.51</v>
      </c>
    </row>
    <row r="683" spans="46:47" x14ac:dyDescent="0.2">
      <c r="AT683" s="418" t="s">
        <v>3762</v>
      </c>
      <c r="AU683">
        <v>8.4600000000000009</v>
      </c>
    </row>
    <row r="684" spans="46:47" x14ac:dyDescent="0.2">
      <c r="AT684" s="418" t="s">
        <v>3763</v>
      </c>
      <c r="AU684">
        <v>8.39</v>
      </c>
    </row>
    <row r="685" spans="46:47" x14ac:dyDescent="0.2">
      <c r="AT685" s="418" t="s">
        <v>3764</v>
      </c>
      <c r="AU685">
        <v>8.2799999999999994</v>
      </c>
    </row>
    <row r="686" spans="46:47" x14ac:dyDescent="0.2">
      <c r="AT686" s="418" t="s">
        <v>3765</v>
      </c>
      <c r="AU686">
        <v>8.24</v>
      </c>
    </row>
    <row r="687" spans="46:47" x14ac:dyDescent="0.2">
      <c r="AT687" s="418" t="s">
        <v>3766</v>
      </c>
      <c r="AU687">
        <v>8.25</v>
      </c>
    </row>
    <row r="688" spans="46:47" x14ac:dyDescent="0.2">
      <c r="AT688" s="418" t="s">
        <v>3767</v>
      </c>
      <c r="AU688">
        <v>8.3000000000000007</v>
      </c>
    </row>
    <row r="689" spans="46:47" x14ac:dyDescent="0.2">
      <c r="AT689" s="418" t="s">
        <v>3768</v>
      </c>
      <c r="AU689">
        <v>8.34</v>
      </c>
    </row>
    <row r="690" spans="46:47" x14ac:dyDescent="0.2">
      <c r="AT690" s="418" t="s">
        <v>3769</v>
      </c>
      <c r="AU690">
        <v>8.1300000000000008</v>
      </c>
    </row>
    <row r="691" spans="46:47" x14ac:dyDescent="0.2">
      <c r="AT691" s="418" t="s">
        <v>3770</v>
      </c>
      <c r="AU691">
        <v>8.32</v>
      </c>
    </row>
    <row r="692" spans="46:47" x14ac:dyDescent="0.2">
      <c r="AT692" s="418" t="s">
        <v>3771</v>
      </c>
      <c r="AU692">
        <v>8.39</v>
      </c>
    </row>
    <row r="693" spans="46:47" x14ac:dyDescent="0.2">
      <c r="AT693" s="418" t="s">
        <v>3772</v>
      </c>
      <c r="AU693">
        <v>7.62</v>
      </c>
    </row>
    <row r="696" spans="46:47" x14ac:dyDescent="0.2">
      <c r="AT696" s="418" t="s">
        <v>3773</v>
      </c>
      <c r="AU696" t="s">
        <v>287</v>
      </c>
    </row>
    <row r="697" spans="46:47" x14ac:dyDescent="0.2">
      <c r="AT697" s="418" t="s">
        <v>3774</v>
      </c>
      <c r="AU697">
        <v>8.9600000000000009</v>
      </c>
    </row>
    <row r="698" spans="46:47" x14ac:dyDescent="0.2">
      <c r="AT698" s="418" t="s">
        <v>3775</v>
      </c>
      <c r="AU698">
        <v>8.7799999999999994</v>
      </c>
    </row>
    <row r="699" spans="46:47" x14ac:dyDescent="0.2">
      <c r="AT699" s="418" t="s">
        <v>3776</v>
      </c>
      <c r="AU699">
        <v>8.67</v>
      </c>
    </row>
    <row r="700" spans="46:47" x14ac:dyDescent="0.2">
      <c r="AT700" s="418" t="s">
        <v>3777</v>
      </c>
      <c r="AU700">
        <v>8.67</v>
      </c>
    </row>
    <row r="701" spans="46:47" x14ac:dyDescent="0.2">
      <c r="AT701" s="418" t="s">
        <v>3778</v>
      </c>
      <c r="AU701">
        <v>8.4499999999999993</v>
      </c>
    </row>
    <row r="702" spans="46:47" x14ac:dyDescent="0.2">
      <c r="AT702" s="418" t="s">
        <v>3779</v>
      </c>
      <c r="AU702">
        <v>8.43</v>
      </c>
    </row>
    <row r="703" spans="46:47" x14ac:dyDescent="0.2">
      <c r="AT703" s="418" t="s">
        <v>3780</v>
      </c>
      <c r="AU703">
        <v>8.3800000000000008</v>
      </c>
    </row>
    <row r="704" spans="46:47" x14ac:dyDescent="0.2">
      <c r="AT704" s="418" t="s">
        <v>3781</v>
      </c>
      <c r="AU704">
        <v>8.36</v>
      </c>
    </row>
    <row r="705" spans="46:47" x14ac:dyDescent="0.2">
      <c r="AT705" s="418" t="s">
        <v>3782</v>
      </c>
      <c r="AU705">
        <v>8.2799999999999994</v>
      </c>
    </row>
    <row r="706" spans="46:47" x14ac:dyDescent="0.2">
      <c r="AT706" s="418" t="s">
        <v>3783</v>
      </c>
      <c r="AU706">
        <v>8.3699999999999992</v>
      </c>
    </row>
    <row r="709" spans="46:47" x14ac:dyDescent="0.2">
      <c r="AT709" s="418" t="s">
        <v>957</v>
      </c>
      <c r="AU709" t="s">
        <v>475</v>
      </c>
    </row>
    <row r="710" spans="46:47" x14ac:dyDescent="0.2">
      <c r="AT710" s="418" t="s">
        <v>3675</v>
      </c>
      <c r="AU710">
        <v>1</v>
      </c>
    </row>
    <row r="711" spans="46:47" x14ac:dyDescent="0.2">
      <c r="AT711" s="418" t="s">
        <v>3676</v>
      </c>
      <c r="AU711">
        <v>0</v>
      </c>
    </row>
    <row r="712" spans="46:47" x14ac:dyDescent="0.2">
      <c r="AT712" s="418" t="s">
        <v>3677</v>
      </c>
      <c r="AU712">
        <v>0</v>
      </c>
    </row>
    <row r="713" spans="46:47" x14ac:dyDescent="0.2">
      <c r="AT713" s="418" t="s">
        <v>3678</v>
      </c>
      <c r="AU713">
        <v>1</v>
      </c>
    </row>
    <row r="714" spans="46:47" x14ac:dyDescent="0.2">
      <c r="AT714" s="418" t="s">
        <v>3679</v>
      </c>
      <c r="AU714">
        <v>0</v>
      </c>
    </row>
    <row r="715" spans="46:47" x14ac:dyDescent="0.2">
      <c r="AT715" s="418" t="s">
        <v>3680</v>
      </c>
      <c r="AU715">
        <v>1</v>
      </c>
    </row>
    <row r="716" spans="46:47" x14ac:dyDescent="0.2">
      <c r="AT716" s="418" t="s">
        <v>3681</v>
      </c>
      <c r="AU716">
        <v>0</v>
      </c>
    </row>
    <row r="717" spans="46:47" x14ac:dyDescent="0.2">
      <c r="AT717" s="418" t="s">
        <v>3682</v>
      </c>
      <c r="AU717">
        <v>0</v>
      </c>
    </row>
    <row r="718" spans="46:47" x14ac:dyDescent="0.2">
      <c r="AT718" s="418" t="s">
        <v>3683</v>
      </c>
      <c r="AU718">
        <v>1</v>
      </c>
    </row>
    <row r="719" spans="46:47" x14ac:dyDescent="0.2">
      <c r="AT719" s="418" t="s">
        <v>3684</v>
      </c>
      <c r="AU719">
        <v>0</v>
      </c>
    </row>
    <row r="720" spans="46:47" x14ac:dyDescent="0.2">
      <c r="AT720" s="418" t="s">
        <v>3685</v>
      </c>
      <c r="AU720">
        <v>1</v>
      </c>
    </row>
    <row r="721" spans="46:47" x14ac:dyDescent="0.2">
      <c r="AT721" s="418" t="s">
        <v>3686</v>
      </c>
      <c r="AU721">
        <v>0</v>
      </c>
    </row>
    <row r="722" spans="46:47" x14ac:dyDescent="0.2">
      <c r="AT722" s="418" t="s">
        <v>3687</v>
      </c>
      <c r="AU722">
        <v>2</v>
      </c>
    </row>
    <row r="723" spans="46:47" x14ac:dyDescent="0.2">
      <c r="AT723" s="418" t="s">
        <v>3688</v>
      </c>
      <c r="AU723">
        <v>4</v>
      </c>
    </row>
    <row r="724" spans="46:47" x14ac:dyDescent="0.2">
      <c r="AT724" s="418" t="s">
        <v>3689</v>
      </c>
      <c r="AU724">
        <v>21</v>
      </c>
    </row>
    <row r="725" spans="46:47" x14ac:dyDescent="0.2">
      <c r="AT725" s="418" t="s">
        <v>3690</v>
      </c>
      <c r="AU725">
        <v>69</v>
      </c>
    </row>
    <row r="726" spans="46:47" x14ac:dyDescent="0.2">
      <c r="AT726" s="418" t="s">
        <v>3691</v>
      </c>
      <c r="AU726">
        <v>155</v>
      </c>
    </row>
    <row r="727" spans="46:47" x14ac:dyDescent="0.2">
      <c r="AT727" s="418" t="s">
        <v>3692</v>
      </c>
      <c r="AU727">
        <v>31</v>
      </c>
    </row>
    <row r="728" spans="46:47" x14ac:dyDescent="0.2">
      <c r="AT728" s="418" t="s">
        <v>3693</v>
      </c>
      <c r="AU728">
        <v>5</v>
      </c>
    </row>
    <row r="729" spans="46:47" x14ac:dyDescent="0.2">
      <c r="AT729" s="418" t="s">
        <v>3694</v>
      </c>
      <c r="AU729">
        <v>6</v>
      </c>
    </row>
    <row r="730" spans="46:47" x14ac:dyDescent="0.2">
      <c r="AT730" s="418" t="s">
        <v>3695</v>
      </c>
      <c r="AU730">
        <v>2</v>
      </c>
    </row>
    <row r="731" spans="46:47" x14ac:dyDescent="0.2">
      <c r="AT731" s="418" t="s">
        <v>3784</v>
      </c>
      <c r="AU731">
        <v>0</v>
      </c>
    </row>
    <row r="734" spans="46:47" x14ac:dyDescent="0.2">
      <c r="AT734" s="418" t="s">
        <v>287</v>
      </c>
      <c r="AU734" t="s">
        <v>475</v>
      </c>
    </row>
    <row r="735" spans="46:47" x14ac:dyDescent="0.2">
      <c r="AT735" s="418" t="s">
        <v>3675</v>
      </c>
      <c r="AU735">
        <v>1</v>
      </c>
    </row>
    <row r="736" spans="46:47" x14ac:dyDescent="0.2">
      <c r="AT736" s="418" t="s">
        <v>3676</v>
      </c>
      <c r="AU736">
        <v>0</v>
      </c>
    </row>
    <row r="737" spans="46:47" x14ac:dyDescent="0.2">
      <c r="AT737" s="418" t="s">
        <v>3677</v>
      </c>
      <c r="AU737">
        <v>0</v>
      </c>
    </row>
    <row r="738" spans="46:47" x14ac:dyDescent="0.2">
      <c r="AT738" s="418" t="s">
        <v>3678</v>
      </c>
      <c r="AU738">
        <v>0</v>
      </c>
    </row>
    <row r="739" spans="46:47" x14ac:dyDescent="0.2">
      <c r="AT739" s="418" t="s">
        <v>3679</v>
      </c>
      <c r="AU739">
        <v>1</v>
      </c>
    </row>
    <row r="740" spans="46:47" x14ac:dyDescent="0.2">
      <c r="AT740" s="418" t="s">
        <v>3680</v>
      </c>
      <c r="AU740">
        <v>0</v>
      </c>
    </row>
    <row r="741" spans="46:47" x14ac:dyDescent="0.2">
      <c r="AT741" s="418" t="s">
        <v>3681</v>
      </c>
      <c r="AU741">
        <v>1</v>
      </c>
    </row>
    <row r="742" spans="46:47" x14ac:dyDescent="0.2">
      <c r="AT742" s="418" t="s">
        <v>3682</v>
      </c>
      <c r="AU742">
        <v>0</v>
      </c>
    </row>
    <row r="743" spans="46:47" x14ac:dyDescent="0.2">
      <c r="AT743" s="418" t="s">
        <v>3683</v>
      </c>
      <c r="AU743">
        <v>1</v>
      </c>
    </row>
    <row r="744" spans="46:47" x14ac:dyDescent="0.2">
      <c r="AT744" s="418" t="s">
        <v>3684</v>
      </c>
      <c r="AU744">
        <v>0</v>
      </c>
    </row>
    <row r="745" spans="46:47" x14ac:dyDescent="0.2">
      <c r="AT745" s="418" t="s">
        <v>3685</v>
      </c>
      <c r="AU745">
        <v>0</v>
      </c>
    </row>
    <row r="746" spans="46:47" x14ac:dyDescent="0.2">
      <c r="AT746" s="418" t="s">
        <v>3686</v>
      </c>
      <c r="AU746">
        <v>1</v>
      </c>
    </row>
    <row r="747" spans="46:47" x14ac:dyDescent="0.2">
      <c r="AT747" s="418" t="s">
        <v>3687</v>
      </c>
      <c r="AU747">
        <v>0</v>
      </c>
    </row>
    <row r="748" spans="46:47" x14ac:dyDescent="0.2">
      <c r="AT748" s="418" t="s">
        <v>3688</v>
      </c>
      <c r="AU748">
        <v>5</v>
      </c>
    </row>
    <row r="749" spans="46:47" x14ac:dyDescent="0.2">
      <c r="AT749" s="418" t="s">
        <v>3689</v>
      </c>
      <c r="AU749">
        <v>13</v>
      </c>
    </row>
    <row r="750" spans="46:47" x14ac:dyDescent="0.2">
      <c r="AT750" s="418" t="s">
        <v>3690</v>
      </c>
      <c r="AU750">
        <v>64</v>
      </c>
    </row>
    <row r="751" spans="46:47" x14ac:dyDescent="0.2">
      <c r="AT751" s="418" t="s">
        <v>3691</v>
      </c>
      <c r="AU751">
        <v>164</v>
      </c>
    </row>
    <row r="752" spans="46:47" x14ac:dyDescent="0.2">
      <c r="AT752" s="418" t="s">
        <v>3692</v>
      </c>
      <c r="AU752">
        <v>38</v>
      </c>
    </row>
    <row r="753" spans="46:47" x14ac:dyDescent="0.2">
      <c r="AT753" s="418" t="s">
        <v>3693</v>
      </c>
      <c r="AU753">
        <v>7</v>
      </c>
    </row>
    <row r="754" spans="46:47" x14ac:dyDescent="0.2">
      <c r="AT754" s="418" t="s">
        <v>3694</v>
      </c>
      <c r="AU754">
        <v>3</v>
      </c>
    </row>
    <row r="755" spans="46:47" x14ac:dyDescent="0.2">
      <c r="AT755" s="418" t="s">
        <v>3695</v>
      </c>
      <c r="AU755">
        <v>1</v>
      </c>
    </row>
    <row r="758" spans="46:47" x14ac:dyDescent="0.2">
      <c r="AT758" s="418" t="s">
        <v>3785</v>
      </c>
      <c r="AU758" t="s">
        <v>475</v>
      </c>
    </row>
    <row r="759" spans="46:47" x14ac:dyDescent="0.2">
      <c r="AT759" s="418" t="s">
        <v>4252</v>
      </c>
      <c r="AU759">
        <v>4</v>
      </c>
    </row>
    <row r="760" spans="46:47" x14ac:dyDescent="0.2">
      <c r="AT760" s="418" t="s">
        <v>4253</v>
      </c>
      <c r="AU760">
        <v>3</v>
      </c>
    </row>
    <row r="761" spans="46:47" x14ac:dyDescent="0.2">
      <c r="AT761" s="418" t="s">
        <v>4254</v>
      </c>
      <c r="AU761">
        <v>13</v>
      </c>
    </row>
    <row r="762" spans="46:47" x14ac:dyDescent="0.2">
      <c r="AT762" s="418" t="s">
        <v>4255</v>
      </c>
      <c r="AU762">
        <v>32</v>
      </c>
    </row>
    <row r="763" spans="46:47" x14ac:dyDescent="0.2">
      <c r="AT763" s="418" t="s">
        <v>4256</v>
      </c>
      <c r="AU763">
        <v>65</v>
      </c>
    </row>
    <row r="764" spans="46:47" x14ac:dyDescent="0.2">
      <c r="AT764" s="418" t="s">
        <v>4257</v>
      </c>
      <c r="AU764">
        <v>36</v>
      </c>
    </row>
    <row r="765" spans="46:47" x14ac:dyDescent="0.2">
      <c r="AT765" s="418" t="s">
        <v>4258</v>
      </c>
      <c r="AU765">
        <v>34</v>
      </c>
    </row>
    <row r="766" spans="46:47" x14ac:dyDescent="0.2">
      <c r="AT766" s="418" t="s">
        <v>4259</v>
      </c>
      <c r="AU766">
        <v>26</v>
      </c>
    </row>
    <row r="767" spans="46:47" x14ac:dyDescent="0.2">
      <c r="AT767" s="418" t="s">
        <v>4260</v>
      </c>
      <c r="AU767">
        <v>29</v>
      </c>
    </row>
    <row r="768" spans="46:47" x14ac:dyDescent="0.2">
      <c r="AT768" s="418" t="s">
        <v>4261</v>
      </c>
      <c r="AU768">
        <v>18</v>
      </c>
    </row>
    <row r="769" spans="46:47" x14ac:dyDescent="0.2">
      <c r="AT769" s="418" t="s">
        <v>4262</v>
      </c>
      <c r="AU769">
        <v>17</v>
      </c>
    </row>
    <row r="770" spans="46:47" x14ac:dyDescent="0.2">
      <c r="AT770" s="418" t="s">
        <v>4263</v>
      </c>
      <c r="AU770">
        <v>13</v>
      </c>
    </row>
    <row r="771" spans="46:47" x14ac:dyDescent="0.2">
      <c r="AT771" s="418" t="s">
        <v>4264</v>
      </c>
      <c r="AU771">
        <v>3</v>
      </c>
    </row>
    <row r="772" spans="46:47" x14ac:dyDescent="0.2">
      <c r="AT772" s="418" t="s">
        <v>4265</v>
      </c>
      <c r="AU772">
        <v>2</v>
      </c>
    </row>
    <row r="773" spans="46:47" x14ac:dyDescent="0.2">
      <c r="AT773" s="418" t="s">
        <v>4266</v>
      </c>
      <c r="AU773">
        <v>0</v>
      </c>
    </row>
    <row r="774" spans="46:47" x14ac:dyDescent="0.2">
      <c r="AT774" s="418" t="s">
        <v>4267</v>
      </c>
      <c r="AU774">
        <v>0</v>
      </c>
    </row>
    <row r="775" spans="46:47" x14ac:dyDescent="0.2">
      <c r="AT775" s="418" t="s">
        <v>4268</v>
      </c>
      <c r="AU775">
        <v>1</v>
      </c>
    </row>
    <row r="776" spans="46:47" x14ac:dyDescent="0.2">
      <c r="AT776" s="418" t="s">
        <v>4269</v>
      </c>
      <c r="AU776">
        <v>0</v>
      </c>
    </row>
    <row r="777" spans="46:47" x14ac:dyDescent="0.2">
      <c r="AT777" s="418" t="s">
        <v>4270</v>
      </c>
      <c r="AU777">
        <v>0</v>
      </c>
    </row>
    <row r="778" spans="46:47" x14ac:dyDescent="0.2">
      <c r="AT778" s="418" t="s">
        <v>4271</v>
      </c>
      <c r="AU778">
        <v>0</v>
      </c>
    </row>
    <row r="779" spans="46:47" x14ac:dyDescent="0.2">
      <c r="AT779" s="418" t="s">
        <v>4272</v>
      </c>
      <c r="AU779">
        <v>2</v>
      </c>
    </row>
    <row r="780" spans="46:47" x14ac:dyDescent="0.2">
      <c r="AT780" s="418" t="s">
        <v>4273</v>
      </c>
      <c r="AU780">
        <v>0</v>
      </c>
    </row>
    <row r="781" spans="46:47" x14ac:dyDescent="0.2">
      <c r="AT781" s="418" t="s">
        <v>4274</v>
      </c>
      <c r="AU781">
        <v>0</v>
      </c>
    </row>
    <row r="782" spans="46:47" x14ac:dyDescent="0.2">
      <c r="AT782" s="418" t="s">
        <v>4275</v>
      </c>
      <c r="AU782">
        <v>0</v>
      </c>
    </row>
    <row r="783" spans="46:47" x14ac:dyDescent="0.2">
      <c r="AT783" s="418" t="s">
        <v>4276</v>
      </c>
      <c r="AU783">
        <v>1</v>
      </c>
    </row>
    <row r="784" spans="46:47" x14ac:dyDescent="0.2">
      <c r="AT784" s="418" t="s">
        <v>4277</v>
      </c>
      <c r="AU784">
        <v>0</v>
      </c>
    </row>
    <row r="785" spans="46:47" x14ac:dyDescent="0.2">
      <c r="AT785" s="418" t="s">
        <v>4278</v>
      </c>
      <c r="AU785">
        <v>0</v>
      </c>
    </row>
    <row r="786" spans="46:47" x14ac:dyDescent="0.2">
      <c r="AT786" s="418" t="s">
        <v>4279</v>
      </c>
      <c r="AU786">
        <v>1</v>
      </c>
    </row>
    <row r="787" spans="46:47" x14ac:dyDescent="0.2">
      <c r="AT787" s="418" t="s">
        <v>4280</v>
      </c>
      <c r="AU787">
        <v>0</v>
      </c>
    </row>
    <row r="790" spans="46:47" x14ac:dyDescent="0.2">
      <c r="AT790" t="s">
        <v>1812</v>
      </c>
      <c r="AU790" t="s">
        <v>957</v>
      </c>
    </row>
    <row r="791" spans="46:47" x14ac:dyDescent="0.2">
      <c r="AT791">
        <v>2001</v>
      </c>
      <c r="AU791">
        <v>10.99</v>
      </c>
    </row>
    <row r="792" spans="46:47" x14ac:dyDescent="0.2">
      <c r="AT792">
        <v>1996</v>
      </c>
      <c r="AU792">
        <v>10.85</v>
      </c>
    </row>
    <row r="793" spans="46:47" x14ac:dyDescent="0.2">
      <c r="AT793">
        <v>1972</v>
      </c>
      <c r="AU793">
        <v>10.44</v>
      </c>
    </row>
    <row r="794" spans="46:47" x14ac:dyDescent="0.2">
      <c r="AT794">
        <v>1975</v>
      </c>
      <c r="AU794">
        <v>10.39</v>
      </c>
    </row>
    <row r="795" spans="46:47" x14ac:dyDescent="0.2">
      <c r="AT795">
        <v>2007</v>
      </c>
      <c r="AU795">
        <v>10.37</v>
      </c>
    </row>
    <row r="796" spans="46:47" x14ac:dyDescent="0.2">
      <c r="AT796">
        <v>1997</v>
      </c>
      <c r="AU796">
        <v>10.07</v>
      </c>
    </row>
    <row r="797" spans="46:47" x14ac:dyDescent="0.2">
      <c r="AT797">
        <v>2000</v>
      </c>
      <c r="AU797">
        <v>10.050000000000001</v>
      </c>
    </row>
    <row r="798" spans="46:47" x14ac:dyDescent="0.2">
      <c r="AT798">
        <v>1973</v>
      </c>
      <c r="AU798">
        <v>10</v>
      </c>
    </row>
    <row r="799" spans="46:47" x14ac:dyDescent="0.2">
      <c r="AT799">
        <v>2006</v>
      </c>
      <c r="AU799">
        <v>9.99</v>
      </c>
    </row>
    <row r="800" spans="46:47" x14ac:dyDescent="0.2">
      <c r="AT800">
        <v>1996</v>
      </c>
      <c r="AU800">
        <v>9.9600000000000009</v>
      </c>
    </row>
    <row r="801" spans="46:47" x14ac:dyDescent="0.2">
      <c r="AT801">
        <v>2008</v>
      </c>
      <c r="AU801">
        <v>9.77</v>
      </c>
    </row>
    <row r="802" spans="46:47" x14ac:dyDescent="0.2">
      <c r="AT802">
        <v>1977</v>
      </c>
      <c r="AU802">
        <v>9.5500000000000007</v>
      </c>
    </row>
    <row r="803" spans="46:47" x14ac:dyDescent="0.2">
      <c r="AT803">
        <v>1971</v>
      </c>
      <c r="AU803">
        <v>9.5299999999999994</v>
      </c>
    </row>
    <row r="804" spans="46:47" x14ac:dyDescent="0.2">
      <c r="AT804">
        <v>1969</v>
      </c>
      <c r="AU804">
        <v>9.4600000000000009</v>
      </c>
    </row>
    <row r="805" spans="46:47" x14ac:dyDescent="0.2">
      <c r="AT805">
        <v>2001</v>
      </c>
      <c r="AU805">
        <v>9.44</v>
      </c>
    </row>
    <row r="806" spans="46:47" x14ac:dyDescent="0.2">
      <c r="AT806">
        <v>1970</v>
      </c>
      <c r="AU806">
        <v>9.43</v>
      </c>
    </row>
    <row r="807" spans="46:47" x14ac:dyDescent="0.2">
      <c r="AT807">
        <v>2019</v>
      </c>
      <c r="AU807">
        <v>9.42</v>
      </c>
    </row>
    <row r="808" spans="46:47" x14ac:dyDescent="0.2">
      <c r="AT808">
        <v>1986</v>
      </c>
      <c r="AU808">
        <v>9.3699999999999992</v>
      </c>
    </row>
    <row r="809" spans="46:47" x14ac:dyDescent="0.2">
      <c r="AT809">
        <v>2000</v>
      </c>
      <c r="AU809">
        <v>9.3699999999999992</v>
      </c>
    </row>
    <row r="810" spans="46:47" x14ac:dyDescent="0.2">
      <c r="AT810">
        <v>2024</v>
      </c>
      <c r="AU810">
        <v>9.36</v>
      </c>
    </row>
    <row r="811" spans="46:47" x14ac:dyDescent="0.2">
      <c r="AT811">
        <v>2008</v>
      </c>
      <c r="AU811">
        <v>9.34</v>
      </c>
    </row>
    <row r="812" spans="46:47" x14ac:dyDescent="0.2">
      <c r="AT812">
        <v>2005</v>
      </c>
      <c r="AU812">
        <v>9.24</v>
      </c>
    </row>
    <row r="813" spans="46:47" x14ac:dyDescent="0.2">
      <c r="AT813">
        <v>1982</v>
      </c>
      <c r="AU813">
        <v>9.23</v>
      </c>
    </row>
    <row r="814" spans="46:47" x14ac:dyDescent="0.2">
      <c r="AT814">
        <v>2007</v>
      </c>
      <c r="AU814">
        <v>9.23</v>
      </c>
    </row>
    <row r="815" spans="46:47" x14ac:dyDescent="0.2">
      <c r="AT815">
        <v>2012</v>
      </c>
      <c r="AU815">
        <v>9.23</v>
      </c>
    </row>
    <row r="816" spans="46:47" x14ac:dyDescent="0.2">
      <c r="AT816">
        <v>1984</v>
      </c>
      <c r="AU816">
        <v>9.2100000000000009</v>
      </c>
    </row>
    <row r="817" spans="46:47" x14ac:dyDescent="0.2">
      <c r="AT817">
        <v>1990</v>
      </c>
      <c r="AU817">
        <v>9.14</v>
      </c>
    </row>
    <row r="818" spans="46:47" x14ac:dyDescent="0.2">
      <c r="AT818">
        <v>1995</v>
      </c>
      <c r="AU818">
        <v>9.14</v>
      </c>
    </row>
    <row r="819" spans="46:47" x14ac:dyDescent="0.2">
      <c r="AT819">
        <v>1979</v>
      </c>
      <c r="AU819">
        <v>9.1</v>
      </c>
    </row>
    <row r="820" spans="46:47" x14ac:dyDescent="0.2">
      <c r="AT820">
        <v>1973</v>
      </c>
      <c r="AU820">
        <v>9.1</v>
      </c>
    </row>
    <row r="821" spans="46:47" x14ac:dyDescent="0.2">
      <c r="AT821">
        <v>2001</v>
      </c>
      <c r="AU821">
        <v>9.09</v>
      </c>
    </row>
    <row r="822" spans="46:47" x14ac:dyDescent="0.2">
      <c r="AT822">
        <v>1990</v>
      </c>
      <c r="AU822">
        <v>9.09</v>
      </c>
    </row>
    <row r="823" spans="46:47" x14ac:dyDescent="0.2">
      <c r="AT823">
        <v>1988</v>
      </c>
      <c r="AU823">
        <v>9.08</v>
      </c>
    </row>
    <row r="824" spans="46:47" x14ac:dyDescent="0.2">
      <c r="AT824">
        <v>1974</v>
      </c>
      <c r="AU824">
        <v>9.06</v>
      </c>
    </row>
    <row r="825" spans="46:47" x14ac:dyDescent="0.2">
      <c r="AT825">
        <v>2005</v>
      </c>
      <c r="AU825">
        <v>9.0399999999999991</v>
      </c>
    </row>
    <row r="826" spans="46:47" x14ac:dyDescent="0.2">
      <c r="AT826">
        <v>1998</v>
      </c>
      <c r="AU826">
        <v>9.0399999999999991</v>
      </c>
    </row>
    <row r="827" spans="46:47" x14ac:dyDescent="0.2">
      <c r="AT827">
        <v>1985</v>
      </c>
      <c r="AU827">
        <v>9.0299999999999994</v>
      </c>
    </row>
    <row r="828" spans="46:47" x14ac:dyDescent="0.2">
      <c r="AT828">
        <v>2021</v>
      </c>
      <c r="AU828">
        <v>9.0299999999999994</v>
      </c>
    </row>
    <row r="829" spans="46:47" x14ac:dyDescent="0.2">
      <c r="AT829">
        <v>1973</v>
      </c>
      <c r="AU829">
        <v>9.0299999999999994</v>
      </c>
    </row>
    <row r="830" spans="46:47" x14ac:dyDescent="0.2">
      <c r="AT830">
        <v>2003</v>
      </c>
      <c r="AU830">
        <v>9.0299999999999994</v>
      </c>
    </row>
    <row r="831" spans="46:47" x14ac:dyDescent="0.2">
      <c r="AT831">
        <v>1977</v>
      </c>
      <c r="AU831">
        <v>9.02</v>
      </c>
    </row>
    <row r="832" spans="46:47" x14ac:dyDescent="0.2">
      <c r="AT832">
        <v>1982</v>
      </c>
      <c r="AU832">
        <v>9.02</v>
      </c>
    </row>
    <row r="833" spans="46:47" x14ac:dyDescent="0.2">
      <c r="AT833">
        <v>2003</v>
      </c>
      <c r="AU833">
        <v>9</v>
      </c>
    </row>
    <row r="834" spans="46:47" x14ac:dyDescent="0.2">
      <c r="AT834">
        <v>2001</v>
      </c>
      <c r="AU834">
        <v>9</v>
      </c>
    </row>
    <row r="835" spans="46:47" x14ac:dyDescent="0.2">
      <c r="AT835">
        <v>2002</v>
      </c>
      <c r="AU835">
        <v>8.98</v>
      </c>
    </row>
    <row r="836" spans="46:47" x14ac:dyDescent="0.2">
      <c r="AT836">
        <v>1971</v>
      </c>
      <c r="AU836">
        <v>8.9700000000000006</v>
      </c>
    </row>
    <row r="837" spans="46:47" x14ac:dyDescent="0.2">
      <c r="AT837">
        <v>2002</v>
      </c>
      <c r="AU837">
        <v>8.9700000000000006</v>
      </c>
    </row>
    <row r="838" spans="46:47" x14ac:dyDescent="0.2">
      <c r="AT838">
        <v>1979</v>
      </c>
      <c r="AU838">
        <v>8.9700000000000006</v>
      </c>
    </row>
    <row r="839" spans="46:47" x14ac:dyDescent="0.2">
      <c r="AT839">
        <v>1975</v>
      </c>
      <c r="AU839">
        <v>8.9700000000000006</v>
      </c>
    </row>
    <row r="840" spans="46:47" x14ac:dyDescent="0.2">
      <c r="AT840">
        <v>2011</v>
      </c>
      <c r="AU840">
        <v>8.9700000000000006</v>
      </c>
    </row>
    <row r="841" spans="46:47" x14ac:dyDescent="0.2">
      <c r="AT841">
        <v>2025</v>
      </c>
      <c r="AU841">
        <v>8.9600000000000009</v>
      </c>
    </row>
    <row r="842" spans="46:47" x14ac:dyDescent="0.2">
      <c r="AT842">
        <v>2003</v>
      </c>
      <c r="AU842">
        <v>8.9600000000000009</v>
      </c>
    </row>
    <row r="843" spans="46:47" x14ac:dyDescent="0.2">
      <c r="AT843">
        <v>2002</v>
      </c>
      <c r="AU843">
        <v>8.9600000000000009</v>
      </c>
    </row>
    <row r="844" spans="46:47" x14ac:dyDescent="0.2">
      <c r="AT844">
        <v>2000</v>
      </c>
      <c r="AU844">
        <v>8.9499999999999993</v>
      </c>
    </row>
    <row r="845" spans="46:47" x14ac:dyDescent="0.2">
      <c r="AT845">
        <v>1999</v>
      </c>
      <c r="AU845">
        <v>8.9499999999999993</v>
      </c>
    </row>
    <row r="846" spans="46:47" x14ac:dyDescent="0.2">
      <c r="AT846">
        <v>1977</v>
      </c>
      <c r="AU846">
        <v>8.94</v>
      </c>
    </row>
    <row r="847" spans="46:47" x14ac:dyDescent="0.2">
      <c r="AT847">
        <v>2002</v>
      </c>
      <c r="AU847">
        <v>8.93</v>
      </c>
    </row>
    <row r="848" spans="46:47" x14ac:dyDescent="0.2">
      <c r="AT848">
        <v>2002</v>
      </c>
      <c r="AU848">
        <v>8.93</v>
      </c>
    </row>
    <row r="849" spans="46:47" x14ac:dyDescent="0.2">
      <c r="AT849">
        <v>2006</v>
      </c>
      <c r="AU849">
        <v>8.93</v>
      </c>
    </row>
    <row r="850" spans="46:47" x14ac:dyDescent="0.2">
      <c r="AT850">
        <v>2000</v>
      </c>
      <c r="AU850">
        <v>8.92</v>
      </c>
    </row>
    <row r="851" spans="46:47" x14ac:dyDescent="0.2">
      <c r="AT851">
        <v>1988</v>
      </c>
      <c r="AU851">
        <v>8.92</v>
      </c>
    </row>
    <row r="852" spans="46:47" x14ac:dyDescent="0.2">
      <c r="AT852">
        <v>1991</v>
      </c>
      <c r="AU852">
        <v>8.92</v>
      </c>
    </row>
    <row r="853" spans="46:47" x14ac:dyDescent="0.2">
      <c r="AT853">
        <v>2007</v>
      </c>
      <c r="AU853">
        <v>8.92</v>
      </c>
    </row>
    <row r="854" spans="46:47" x14ac:dyDescent="0.2">
      <c r="AT854">
        <v>1997</v>
      </c>
      <c r="AU854">
        <v>8.91</v>
      </c>
    </row>
    <row r="855" spans="46:47" x14ac:dyDescent="0.2">
      <c r="AT855">
        <v>2009</v>
      </c>
      <c r="AU855">
        <v>8.89</v>
      </c>
    </row>
    <row r="856" spans="46:47" x14ac:dyDescent="0.2">
      <c r="AT856">
        <v>2005</v>
      </c>
      <c r="AU856">
        <v>8.89</v>
      </c>
    </row>
    <row r="857" spans="46:47" x14ac:dyDescent="0.2">
      <c r="AT857">
        <v>2000</v>
      </c>
      <c r="AU857">
        <v>8.8800000000000008</v>
      </c>
    </row>
    <row r="858" spans="46:47" x14ac:dyDescent="0.2">
      <c r="AT858">
        <v>1994</v>
      </c>
      <c r="AU858">
        <v>8.8800000000000008</v>
      </c>
    </row>
    <row r="859" spans="46:47" x14ac:dyDescent="0.2">
      <c r="AT859">
        <v>1991</v>
      </c>
      <c r="AU859">
        <v>8.8800000000000008</v>
      </c>
    </row>
    <row r="860" spans="46:47" x14ac:dyDescent="0.2">
      <c r="AT860">
        <v>2020</v>
      </c>
      <c r="AU860">
        <v>8.8699999999999992</v>
      </c>
    </row>
    <row r="861" spans="46:47" x14ac:dyDescent="0.2">
      <c r="AT861">
        <v>1986</v>
      </c>
      <c r="AU861">
        <v>8.8699999999999992</v>
      </c>
    </row>
    <row r="862" spans="46:47" x14ac:dyDescent="0.2">
      <c r="AT862">
        <v>1985</v>
      </c>
      <c r="AU862">
        <v>8.8699999999999992</v>
      </c>
    </row>
    <row r="863" spans="46:47" x14ac:dyDescent="0.2">
      <c r="AT863">
        <v>1978</v>
      </c>
      <c r="AU863">
        <v>8.86</v>
      </c>
    </row>
    <row r="864" spans="46:47" x14ac:dyDescent="0.2">
      <c r="AT864">
        <v>1967</v>
      </c>
      <c r="AU864">
        <v>8.86</v>
      </c>
    </row>
    <row r="865" spans="46:47" x14ac:dyDescent="0.2">
      <c r="AT865">
        <v>1999</v>
      </c>
      <c r="AU865">
        <v>8.85</v>
      </c>
    </row>
    <row r="866" spans="46:47" x14ac:dyDescent="0.2">
      <c r="AT866">
        <v>1969</v>
      </c>
      <c r="AU866">
        <v>8.85</v>
      </c>
    </row>
    <row r="867" spans="46:47" x14ac:dyDescent="0.2">
      <c r="AT867">
        <v>2008</v>
      </c>
      <c r="AU867">
        <v>8.84</v>
      </c>
    </row>
    <row r="868" spans="46:47" x14ac:dyDescent="0.2">
      <c r="AT868">
        <v>2005</v>
      </c>
      <c r="AU868">
        <v>8.84</v>
      </c>
    </row>
    <row r="869" spans="46:47" x14ac:dyDescent="0.2">
      <c r="AT869">
        <v>1997</v>
      </c>
      <c r="AU869">
        <v>8.84</v>
      </c>
    </row>
    <row r="870" spans="46:47" x14ac:dyDescent="0.2">
      <c r="AT870">
        <v>2002</v>
      </c>
      <c r="AU870">
        <v>8.84</v>
      </c>
    </row>
    <row r="871" spans="46:47" x14ac:dyDescent="0.2">
      <c r="AT871">
        <v>2004</v>
      </c>
      <c r="AU871">
        <v>8.84</v>
      </c>
    </row>
    <row r="872" spans="46:47" x14ac:dyDescent="0.2">
      <c r="AT872">
        <v>1971</v>
      </c>
      <c r="AU872">
        <v>8.83</v>
      </c>
    </row>
    <row r="873" spans="46:47" x14ac:dyDescent="0.2">
      <c r="AT873">
        <v>1991</v>
      </c>
      <c r="AU873">
        <v>8.83</v>
      </c>
    </row>
    <row r="874" spans="46:47" x14ac:dyDescent="0.2">
      <c r="AT874">
        <v>1988</v>
      </c>
      <c r="AU874">
        <v>8.83</v>
      </c>
    </row>
    <row r="875" spans="46:47" x14ac:dyDescent="0.2">
      <c r="AT875">
        <v>1969</v>
      </c>
      <c r="AU875">
        <v>8.83</v>
      </c>
    </row>
    <row r="876" spans="46:47" x14ac:dyDescent="0.2">
      <c r="AT876">
        <v>1989</v>
      </c>
      <c r="AU876">
        <v>8.83</v>
      </c>
    </row>
    <row r="877" spans="46:47" x14ac:dyDescent="0.2">
      <c r="AT877">
        <v>1973</v>
      </c>
      <c r="AU877">
        <v>8.83</v>
      </c>
    </row>
    <row r="878" spans="46:47" x14ac:dyDescent="0.2">
      <c r="AT878">
        <v>2020</v>
      </c>
      <c r="AU878">
        <v>8.83</v>
      </c>
    </row>
    <row r="879" spans="46:47" x14ac:dyDescent="0.2">
      <c r="AT879">
        <v>1991</v>
      </c>
      <c r="AU879">
        <v>8.83</v>
      </c>
    </row>
    <row r="880" spans="46:47" x14ac:dyDescent="0.2">
      <c r="AT880">
        <v>1981</v>
      </c>
      <c r="AU880">
        <v>8.82</v>
      </c>
    </row>
    <row r="881" spans="46:47" x14ac:dyDescent="0.2">
      <c r="AT881">
        <v>2002</v>
      </c>
      <c r="AU881">
        <v>8.81</v>
      </c>
    </row>
    <row r="882" spans="46:47" x14ac:dyDescent="0.2">
      <c r="AT882">
        <v>2000</v>
      </c>
      <c r="AU882">
        <v>8.81</v>
      </c>
    </row>
    <row r="883" spans="46:47" x14ac:dyDescent="0.2">
      <c r="AT883">
        <v>1982</v>
      </c>
      <c r="AU883">
        <v>8.81</v>
      </c>
    </row>
    <row r="884" spans="46:47" x14ac:dyDescent="0.2">
      <c r="AT884">
        <v>1983</v>
      </c>
      <c r="AU884">
        <v>8.7899999999999991</v>
      </c>
    </row>
    <row r="885" spans="46:47" x14ac:dyDescent="0.2">
      <c r="AT885">
        <v>2013</v>
      </c>
      <c r="AU885">
        <v>8.7899999999999991</v>
      </c>
    </row>
    <row r="886" spans="46:47" x14ac:dyDescent="0.2">
      <c r="AT886">
        <v>2010</v>
      </c>
      <c r="AU886">
        <v>8.7899999999999991</v>
      </c>
    </row>
    <row r="887" spans="46:47" x14ac:dyDescent="0.2">
      <c r="AT887">
        <v>1989</v>
      </c>
      <c r="AU887">
        <v>8.7899999999999991</v>
      </c>
    </row>
    <row r="888" spans="46:47" x14ac:dyDescent="0.2">
      <c r="AT888">
        <v>2014</v>
      </c>
      <c r="AU888">
        <v>8.7799999999999994</v>
      </c>
    </row>
    <row r="889" spans="46:47" x14ac:dyDescent="0.2">
      <c r="AT889">
        <v>2000</v>
      </c>
      <c r="AU889">
        <v>8.7799999999999994</v>
      </c>
    </row>
    <row r="890" spans="46:47" x14ac:dyDescent="0.2">
      <c r="AT890">
        <v>1969</v>
      </c>
      <c r="AU890">
        <v>8.7799999999999994</v>
      </c>
    </row>
    <row r="891" spans="46:47" x14ac:dyDescent="0.2">
      <c r="AT891">
        <v>2023</v>
      </c>
      <c r="AU891">
        <v>8.77</v>
      </c>
    </row>
    <row r="892" spans="46:47" x14ac:dyDescent="0.2">
      <c r="AT892">
        <v>2000</v>
      </c>
      <c r="AU892">
        <v>8.77</v>
      </c>
    </row>
    <row r="893" spans="46:47" x14ac:dyDescent="0.2">
      <c r="AT893">
        <v>2012</v>
      </c>
      <c r="AU893">
        <v>8.77</v>
      </c>
    </row>
    <row r="894" spans="46:47" x14ac:dyDescent="0.2">
      <c r="AT894">
        <v>1994</v>
      </c>
      <c r="AU894">
        <v>8.76</v>
      </c>
    </row>
    <row r="895" spans="46:47" x14ac:dyDescent="0.2">
      <c r="AT895">
        <v>2005</v>
      </c>
      <c r="AU895">
        <v>8.76</v>
      </c>
    </row>
    <row r="896" spans="46:47" x14ac:dyDescent="0.2">
      <c r="AT896">
        <v>1992</v>
      </c>
      <c r="AU896">
        <v>8.76</v>
      </c>
    </row>
    <row r="897" spans="46:47" x14ac:dyDescent="0.2">
      <c r="AT897">
        <v>2016</v>
      </c>
      <c r="AU897">
        <v>8.75</v>
      </c>
    </row>
    <row r="898" spans="46:47" x14ac:dyDescent="0.2">
      <c r="AT898">
        <v>2010</v>
      </c>
      <c r="AU898">
        <v>8.75</v>
      </c>
    </row>
    <row r="899" spans="46:47" x14ac:dyDescent="0.2">
      <c r="AT899">
        <v>1994</v>
      </c>
      <c r="AU899">
        <v>8.74</v>
      </c>
    </row>
    <row r="900" spans="46:47" x14ac:dyDescent="0.2">
      <c r="AT900">
        <v>1997</v>
      </c>
      <c r="AU900">
        <v>8.74</v>
      </c>
    </row>
    <row r="901" spans="46:47" x14ac:dyDescent="0.2">
      <c r="AT901">
        <v>2020</v>
      </c>
      <c r="AU901">
        <v>8.74</v>
      </c>
    </row>
    <row r="902" spans="46:47" x14ac:dyDescent="0.2">
      <c r="AT902">
        <v>2003</v>
      </c>
      <c r="AU902">
        <v>8.73</v>
      </c>
    </row>
    <row r="903" spans="46:47" x14ac:dyDescent="0.2">
      <c r="AT903">
        <v>1997</v>
      </c>
      <c r="AU903">
        <v>8.73</v>
      </c>
    </row>
    <row r="904" spans="46:47" x14ac:dyDescent="0.2">
      <c r="AT904">
        <v>2002</v>
      </c>
      <c r="AU904">
        <v>8.7200000000000006</v>
      </c>
    </row>
    <row r="905" spans="46:47" x14ac:dyDescent="0.2">
      <c r="AT905">
        <v>2020</v>
      </c>
      <c r="AU905">
        <v>8.7200000000000006</v>
      </c>
    </row>
    <row r="906" spans="46:47" x14ac:dyDescent="0.2">
      <c r="AT906">
        <v>2003</v>
      </c>
      <c r="AU906">
        <v>8.7200000000000006</v>
      </c>
    </row>
    <row r="907" spans="46:47" x14ac:dyDescent="0.2">
      <c r="AT907">
        <v>2003</v>
      </c>
      <c r="AU907">
        <v>8.7200000000000006</v>
      </c>
    </row>
    <row r="908" spans="46:47" x14ac:dyDescent="0.2">
      <c r="AT908">
        <v>1989</v>
      </c>
      <c r="AU908">
        <v>8.7100000000000009</v>
      </c>
    </row>
    <row r="909" spans="46:47" x14ac:dyDescent="0.2">
      <c r="AT909">
        <v>2015</v>
      </c>
      <c r="AU909">
        <v>8.7100000000000009</v>
      </c>
    </row>
    <row r="910" spans="46:47" x14ac:dyDescent="0.2">
      <c r="AT910">
        <v>2001</v>
      </c>
      <c r="AU910">
        <v>8.7100000000000009</v>
      </c>
    </row>
    <row r="911" spans="46:47" x14ac:dyDescent="0.2">
      <c r="AT911">
        <v>2005</v>
      </c>
      <c r="AU911">
        <v>8.7100000000000009</v>
      </c>
    </row>
    <row r="912" spans="46:47" x14ac:dyDescent="0.2">
      <c r="AT912">
        <v>2010</v>
      </c>
      <c r="AU912">
        <v>8.7100000000000009</v>
      </c>
    </row>
    <row r="913" spans="46:47" x14ac:dyDescent="0.2">
      <c r="AT913">
        <v>1984</v>
      </c>
      <c r="AU913">
        <v>8.7100000000000009</v>
      </c>
    </row>
    <row r="914" spans="46:47" x14ac:dyDescent="0.2">
      <c r="AT914">
        <v>1998</v>
      </c>
      <c r="AU914">
        <v>8.6999999999999993</v>
      </c>
    </row>
    <row r="915" spans="46:47" x14ac:dyDescent="0.2">
      <c r="AT915">
        <v>1982</v>
      </c>
      <c r="AU915">
        <v>8.6999999999999993</v>
      </c>
    </row>
    <row r="916" spans="46:47" x14ac:dyDescent="0.2">
      <c r="AT916">
        <v>1996</v>
      </c>
      <c r="AU916">
        <v>8.6999999999999993</v>
      </c>
    </row>
    <row r="917" spans="46:47" x14ac:dyDescent="0.2">
      <c r="AT917">
        <v>2015</v>
      </c>
      <c r="AU917">
        <v>8.6999999999999993</v>
      </c>
    </row>
    <row r="918" spans="46:47" x14ac:dyDescent="0.2">
      <c r="AT918">
        <v>2006</v>
      </c>
      <c r="AU918">
        <v>8.6999999999999993</v>
      </c>
    </row>
    <row r="919" spans="46:47" x14ac:dyDescent="0.2">
      <c r="AT919">
        <v>2007</v>
      </c>
      <c r="AU919">
        <v>8.69</v>
      </c>
    </row>
    <row r="920" spans="46:47" x14ac:dyDescent="0.2">
      <c r="AT920">
        <v>1971</v>
      </c>
      <c r="AU920">
        <v>8.69</v>
      </c>
    </row>
    <row r="921" spans="46:47" x14ac:dyDescent="0.2">
      <c r="AT921">
        <v>1980</v>
      </c>
      <c r="AU921">
        <v>8.69</v>
      </c>
    </row>
    <row r="922" spans="46:47" x14ac:dyDescent="0.2">
      <c r="AT922">
        <v>1998</v>
      </c>
      <c r="AU922">
        <v>8.69</v>
      </c>
    </row>
    <row r="923" spans="46:47" x14ac:dyDescent="0.2">
      <c r="AT923">
        <v>2012</v>
      </c>
      <c r="AU923">
        <v>8.68</v>
      </c>
    </row>
    <row r="924" spans="46:47" x14ac:dyDescent="0.2">
      <c r="AT924">
        <v>2008</v>
      </c>
      <c r="AU924">
        <v>8.68</v>
      </c>
    </row>
    <row r="925" spans="46:47" x14ac:dyDescent="0.2">
      <c r="AT925">
        <v>2005</v>
      </c>
      <c r="AU925">
        <v>8.68</v>
      </c>
    </row>
    <row r="926" spans="46:47" x14ac:dyDescent="0.2">
      <c r="AT926">
        <v>1995</v>
      </c>
      <c r="AU926">
        <v>8.67</v>
      </c>
    </row>
    <row r="927" spans="46:47" x14ac:dyDescent="0.2">
      <c r="AT927">
        <v>1991</v>
      </c>
      <c r="AU927">
        <v>8.67</v>
      </c>
    </row>
    <row r="928" spans="46:47" x14ac:dyDescent="0.2">
      <c r="AT928">
        <v>2016</v>
      </c>
      <c r="AU928">
        <v>8.67</v>
      </c>
    </row>
    <row r="929" spans="46:47" x14ac:dyDescent="0.2">
      <c r="AT929">
        <v>1981</v>
      </c>
      <c r="AU929">
        <v>8.67</v>
      </c>
    </row>
    <row r="930" spans="46:47" x14ac:dyDescent="0.2">
      <c r="AT930">
        <v>1998</v>
      </c>
      <c r="AU930">
        <v>8.66</v>
      </c>
    </row>
    <row r="931" spans="46:47" x14ac:dyDescent="0.2">
      <c r="AT931">
        <v>1994</v>
      </c>
      <c r="AU931">
        <v>8.66</v>
      </c>
    </row>
    <row r="932" spans="46:47" x14ac:dyDescent="0.2">
      <c r="AT932">
        <v>1972</v>
      </c>
      <c r="AU932">
        <v>8.66</v>
      </c>
    </row>
    <row r="933" spans="46:47" x14ac:dyDescent="0.2">
      <c r="AT933">
        <v>1977</v>
      </c>
      <c r="AU933">
        <v>8.65</v>
      </c>
    </row>
    <row r="934" spans="46:47" x14ac:dyDescent="0.2">
      <c r="AT934">
        <v>2002</v>
      </c>
      <c r="AU934">
        <v>8.65</v>
      </c>
    </row>
    <row r="935" spans="46:47" x14ac:dyDescent="0.2">
      <c r="AT935">
        <v>2021</v>
      </c>
      <c r="AU935">
        <v>8.65</v>
      </c>
    </row>
    <row r="936" spans="46:47" x14ac:dyDescent="0.2">
      <c r="AT936">
        <v>2000</v>
      </c>
      <c r="AU936">
        <v>8.65</v>
      </c>
    </row>
    <row r="937" spans="46:47" x14ac:dyDescent="0.2">
      <c r="AT937">
        <v>2026</v>
      </c>
      <c r="AU937">
        <v>8.65</v>
      </c>
    </row>
    <row r="938" spans="46:47" x14ac:dyDescent="0.2">
      <c r="AT938">
        <v>1996</v>
      </c>
      <c r="AU938">
        <v>8.64</v>
      </c>
    </row>
    <row r="939" spans="46:47" x14ac:dyDescent="0.2">
      <c r="AT939">
        <v>1976</v>
      </c>
      <c r="AU939">
        <v>8.64</v>
      </c>
    </row>
    <row r="940" spans="46:47" x14ac:dyDescent="0.2">
      <c r="AT940">
        <v>2013</v>
      </c>
      <c r="AU940">
        <v>8.6300000000000008</v>
      </c>
    </row>
    <row r="941" spans="46:47" x14ac:dyDescent="0.2">
      <c r="AT941">
        <v>1979</v>
      </c>
      <c r="AU941">
        <v>8.6300000000000008</v>
      </c>
    </row>
    <row r="942" spans="46:47" x14ac:dyDescent="0.2">
      <c r="AT942">
        <v>1995</v>
      </c>
      <c r="AU942">
        <v>8.6300000000000008</v>
      </c>
    </row>
    <row r="943" spans="46:47" x14ac:dyDescent="0.2">
      <c r="AT943">
        <v>2024</v>
      </c>
      <c r="AU943">
        <v>8.6300000000000008</v>
      </c>
    </row>
    <row r="944" spans="46:47" x14ac:dyDescent="0.2">
      <c r="AT944">
        <v>1995</v>
      </c>
      <c r="AU944">
        <v>8.6300000000000008</v>
      </c>
    </row>
    <row r="945" spans="46:47" x14ac:dyDescent="0.2">
      <c r="AT945">
        <v>2015</v>
      </c>
      <c r="AU945">
        <v>8.6199999999999992</v>
      </c>
    </row>
    <row r="946" spans="46:47" x14ac:dyDescent="0.2">
      <c r="AT946">
        <v>2004</v>
      </c>
      <c r="AU946">
        <v>8.6199999999999992</v>
      </c>
    </row>
    <row r="947" spans="46:47" x14ac:dyDescent="0.2">
      <c r="AT947">
        <v>2013</v>
      </c>
      <c r="AU947">
        <v>8.61</v>
      </c>
    </row>
    <row r="948" spans="46:47" x14ac:dyDescent="0.2">
      <c r="AT948">
        <v>1983</v>
      </c>
      <c r="AU948">
        <v>8.61</v>
      </c>
    </row>
    <row r="949" spans="46:47" x14ac:dyDescent="0.2">
      <c r="AT949">
        <v>1997</v>
      </c>
      <c r="AU949">
        <v>8.61</v>
      </c>
    </row>
    <row r="950" spans="46:47" x14ac:dyDescent="0.2">
      <c r="AT950">
        <v>1979</v>
      </c>
      <c r="AU950">
        <v>8.6</v>
      </c>
    </row>
    <row r="951" spans="46:47" x14ac:dyDescent="0.2">
      <c r="AT951">
        <v>1981</v>
      </c>
      <c r="AU951">
        <v>8.6</v>
      </c>
    </row>
    <row r="952" spans="46:47" x14ac:dyDescent="0.2">
      <c r="AT952">
        <v>2002</v>
      </c>
      <c r="AU952">
        <v>8.6</v>
      </c>
    </row>
    <row r="953" spans="46:47" x14ac:dyDescent="0.2">
      <c r="AT953">
        <v>2009</v>
      </c>
      <c r="AU953">
        <v>8.59</v>
      </c>
    </row>
    <row r="954" spans="46:47" x14ac:dyDescent="0.2">
      <c r="AT954">
        <v>1984</v>
      </c>
      <c r="AU954">
        <v>8.59</v>
      </c>
    </row>
    <row r="955" spans="46:47" x14ac:dyDescent="0.2">
      <c r="AT955">
        <v>1992</v>
      </c>
      <c r="AU955">
        <v>8.58</v>
      </c>
    </row>
    <row r="956" spans="46:47" x14ac:dyDescent="0.2">
      <c r="AT956">
        <v>2024</v>
      </c>
      <c r="AU956">
        <v>8.57</v>
      </c>
    </row>
    <row r="957" spans="46:47" x14ac:dyDescent="0.2">
      <c r="AT957">
        <v>2015</v>
      </c>
      <c r="AU957">
        <v>8.57</v>
      </c>
    </row>
    <row r="958" spans="46:47" x14ac:dyDescent="0.2">
      <c r="AT958">
        <v>1981</v>
      </c>
      <c r="AU958">
        <v>8.57</v>
      </c>
    </row>
    <row r="959" spans="46:47" x14ac:dyDescent="0.2">
      <c r="AT959">
        <v>2005</v>
      </c>
      <c r="AU959">
        <v>8.56</v>
      </c>
    </row>
    <row r="960" spans="46:47" x14ac:dyDescent="0.2">
      <c r="AT960">
        <v>2003</v>
      </c>
      <c r="AU960">
        <v>8.56</v>
      </c>
    </row>
    <row r="961" spans="46:47" x14ac:dyDescent="0.2">
      <c r="AT961">
        <v>1999</v>
      </c>
      <c r="AU961">
        <v>8.56</v>
      </c>
    </row>
    <row r="962" spans="46:47" x14ac:dyDescent="0.2">
      <c r="AT962">
        <v>2026</v>
      </c>
      <c r="AU962">
        <v>8.56</v>
      </c>
    </row>
    <row r="963" spans="46:47" x14ac:dyDescent="0.2">
      <c r="AT963">
        <v>2005</v>
      </c>
      <c r="AU963">
        <v>8.56</v>
      </c>
    </row>
    <row r="964" spans="46:47" x14ac:dyDescent="0.2">
      <c r="AT964">
        <v>1997</v>
      </c>
      <c r="AU964">
        <v>8.56</v>
      </c>
    </row>
    <row r="965" spans="46:47" x14ac:dyDescent="0.2">
      <c r="AT965">
        <v>1990</v>
      </c>
      <c r="AU965">
        <v>8.56</v>
      </c>
    </row>
    <row r="966" spans="46:47" x14ac:dyDescent="0.2">
      <c r="AT966">
        <v>2008</v>
      </c>
      <c r="AU966">
        <v>8.5500000000000007</v>
      </c>
    </row>
    <row r="967" spans="46:47" x14ac:dyDescent="0.2">
      <c r="AT967">
        <v>1990</v>
      </c>
      <c r="AU967">
        <v>8.5500000000000007</v>
      </c>
    </row>
    <row r="968" spans="46:47" x14ac:dyDescent="0.2">
      <c r="AT968">
        <v>2014</v>
      </c>
      <c r="AU968">
        <v>8.5500000000000007</v>
      </c>
    </row>
    <row r="969" spans="46:47" x14ac:dyDescent="0.2">
      <c r="AT969">
        <v>1970</v>
      </c>
      <c r="AU969">
        <v>8.5399999999999991</v>
      </c>
    </row>
    <row r="970" spans="46:47" x14ac:dyDescent="0.2">
      <c r="AT970">
        <v>1997</v>
      </c>
      <c r="AU970">
        <v>8.5399999999999991</v>
      </c>
    </row>
    <row r="971" spans="46:47" x14ac:dyDescent="0.2">
      <c r="AT971">
        <v>2007</v>
      </c>
      <c r="AU971">
        <v>8.5399999999999991</v>
      </c>
    </row>
    <row r="972" spans="46:47" x14ac:dyDescent="0.2">
      <c r="AT972">
        <v>1976</v>
      </c>
      <c r="AU972">
        <v>8.5299999999999994</v>
      </c>
    </row>
    <row r="973" spans="46:47" x14ac:dyDescent="0.2">
      <c r="AT973">
        <v>1998</v>
      </c>
      <c r="AU973">
        <v>8.5299999999999994</v>
      </c>
    </row>
    <row r="974" spans="46:47" x14ac:dyDescent="0.2">
      <c r="AT974">
        <v>2017</v>
      </c>
      <c r="AU974">
        <v>8.5299999999999994</v>
      </c>
    </row>
    <row r="975" spans="46:47" x14ac:dyDescent="0.2">
      <c r="AT975">
        <v>1992</v>
      </c>
      <c r="AU975">
        <v>8.5299999999999994</v>
      </c>
    </row>
    <row r="976" spans="46:47" x14ac:dyDescent="0.2">
      <c r="AT976">
        <v>2018</v>
      </c>
      <c r="AU976">
        <v>8.5299999999999994</v>
      </c>
    </row>
    <row r="977" spans="46:47" x14ac:dyDescent="0.2">
      <c r="AT977">
        <v>1995</v>
      </c>
      <c r="AU977">
        <v>8.5299999999999994</v>
      </c>
    </row>
    <row r="978" spans="46:47" x14ac:dyDescent="0.2">
      <c r="AT978">
        <v>2024</v>
      </c>
      <c r="AU978">
        <v>8.5299999999999994</v>
      </c>
    </row>
    <row r="979" spans="46:47" x14ac:dyDescent="0.2">
      <c r="AT979">
        <v>2024</v>
      </c>
      <c r="AU979">
        <v>8.52</v>
      </c>
    </row>
    <row r="980" spans="46:47" x14ac:dyDescent="0.2">
      <c r="AT980">
        <v>1996</v>
      </c>
      <c r="AU980">
        <v>8.52</v>
      </c>
    </row>
    <row r="981" spans="46:47" x14ac:dyDescent="0.2">
      <c r="AT981">
        <v>2012</v>
      </c>
      <c r="AU981">
        <v>8.52</v>
      </c>
    </row>
    <row r="982" spans="46:47" x14ac:dyDescent="0.2">
      <c r="AT982">
        <v>1997</v>
      </c>
      <c r="AU982">
        <v>8.51</v>
      </c>
    </row>
    <row r="983" spans="46:47" x14ac:dyDescent="0.2">
      <c r="AT983">
        <v>1994</v>
      </c>
      <c r="AU983">
        <v>8.51</v>
      </c>
    </row>
    <row r="984" spans="46:47" x14ac:dyDescent="0.2">
      <c r="AT984">
        <v>2026</v>
      </c>
      <c r="AU984">
        <v>8.51</v>
      </c>
    </row>
    <row r="985" spans="46:47" x14ac:dyDescent="0.2">
      <c r="AT985">
        <v>1993</v>
      </c>
      <c r="AU985">
        <v>8.5</v>
      </c>
    </row>
    <row r="986" spans="46:47" x14ac:dyDescent="0.2">
      <c r="AT986">
        <v>1992</v>
      </c>
      <c r="AU986">
        <v>8.5</v>
      </c>
    </row>
    <row r="987" spans="46:47" x14ac:dyDescent="0.2">
      <c r="AT987">
        <v>1976</v>
      </c>
      <c r="AU987">
        <v>8.5</v>
      </c>
    </row>
    <row r="988" spans="46:47" x14ac:dyDescent="0.2">
      <c r="AT988">
        <v>2024</v>
      </c>
      <c r="AU988">
        <v>8.5</v>
      </c>
    </row>
    <row r="989" spans="46:47" x14ac:dyDescent="0.2">
      <c r="AT989">
        <v>1999</v>
      </c>
      <c r="AU989">
        <v>8.5</v>
      </c>
    </row>
    <row r="990" spans="46:47" x14ac:dyDescent="0.2">
      <c r="AT990">
        <v>2003</v>
      </c>
      <c r="AU990">
        <v>8.49</v>
      </c>
    </row>
    <row r="991" spans="46:47" x14ac:dyDescent="0.2">
      <c r="AT991">
        <v>2003</v>
      </c>
      <c r="AU991">
        <v>8.48</v>
      </c>
    </row>
    <row r="992" spans="46:47" x14ac:dyDescent="0.2">
      <c r="AT992">
        <v>1971</v>
      </c>
      <c r="AU992">
        <v>8.48</v>
      </c>
    </row>
    <row r="993" spans="46:47" x14ac:dyDescent="0.2">
      <c r="AT993">
        <v>2007</v>
      </c>
      <c r="AU993">
        <v>8.48</v>
      </c>
    </row>
    <row r="994" spans="46:47" x14ac:dyDescent="0.2">
      <c r="AT994">
        <v>1999</v>
      </c>
      <c r="AU994">
        <v>8.4700000000000006</v>
      </c>
    </row>
    <row r="995" spans="46:47" x14ac:dyDescent="0.2">
      <c r="AT995">
        <v>1970</v>
      </c>
      <c r="AU995">
        <v>8.4700000000000006</v>
      </c>
    </row>
    <row r="996" spans="46:47" x14ac:dyDescent="0.2">
      <c r="AT996">
        <v>2008</v>
      </c>
      <c r="AU996">
        <v>8.4700000000000006</v>
      </c>
    </row>
    <row r="997" spans="46:47" x14ac:dyDescent="0.2">
      <c r="AT997">
        <v>2024</v>
      </c>
      <c r="AU997">
        <v>8.4600000000000009</v>
      </c>
    </row>
    <row r="998" spans="46:47" x14ac:dyDescent="0.2">
      <c r="AT998">
        <v>2024</v>
      </c>
      <c r="AU998">
        <v>8.4499999999999993</v>
      </c>
    </row>
    <row r="999" spans="46:47" x14ac:dyDescent="0.2">
      <c r="AT999">
        <v>2026</v>
      </c>
      <c r="AU999">
        <v>8.4499999999999993</v>
      </c>
    </row>
    <row r="1000" spans="46:47" x14ac:dyDescent="0.2">
      <c r="AT1000">
        <v>1998</v>
      </c>
      <c r="AU1000">
        <v>8.4499999999999993</v>
      </c>
    </row>
    <row r="1001" spans="46:47" x14ac:dyDescent="0.2">
      <c r="AT1001">
        <v>2016</v>
      </c>
      <c r="AU1001">
        <v>8.43</v>
      </c>
    </row>
    <row r="1002" spans="46:47" x14ac:dyDescent="0.2">
      <c r="AT1002">
        <v>2021</v>
      </c>
      <c r="AU1002">
        <v>8.43</v>
      </c>
    </row>
    <row r="1003" spans="46:47" x14ac:dyDescent="0.2">
      <c r="AT1003">
        <v>2009</v>
      </c>
      <c r="AU1003">
        <v>8.43</v>
      </c>
    </row>
    <row r="1004" spans="46:47" x14ac:dyDescent="0.2">
      <c r="AT1004">
        <v>1991</v>
      </c>
      <c r="AU1004">
        <v>8.41</v>
      </c>
    </row>
    <row r="1005" spans="46:47" x14ac:dyDescent="0.2">
      <c r="AT1005">
        <v>1999</v>
      </c>
      <c r="AU1005">
        <v>8.41</v>
      </c>
    </row>
    <row r="1006" spans="46:47" x14ac:dyDescent="0.2">
      <c r="AT1006">
        <v>1998</v>
      </c>
      <c r="AU1006">
        <v>8.4</v>
      </c>
    </row>
    <row r="1007" spans="46:47" x14ac:dyDescent="0.2">
      <c r="AT1007">
        <v>2018</v>
      </c>
      <c r="AU1007">
        <v>8.39</v>
      </c>
    </row>
    <row r="1008" spans="46:47" x14ac:dyDescent="0.2">
      <c r="AT1008">
        <v>1966</v>
      </c>
      <c r="AU1008">
        <v>8.39</v>
      </c>
    </row>
    <row r="1009" spans="46:47" x14ac:dyDescent="0.2">
      <c r="AT1009">
        <v>2022</v>
      </c>
      <c r="AU1009">
        <v>8.39</v>
      </c>
    </row>
    <row r="1010" spans="46:47" x14ac:dyDescent="0.2">
      <c r="AT1010">
        <v>2024</v>
      </c>
      <c r="AU1010">
        <v>8.3800000000000008</v>
      </c>
    </row>
    <row r="1011" spans="46:47" x14ac:dyDescent="0.2">
      <c r="AT1011">
        <v>2026</v>
      </c>
      <c r="AU1011">
        <v>8.3800000000000008</v>
      </c>
    </row>
    <row r="1012" spans="46:47" x14ac:dyDescent="0.2">
      <c r="AT1012">
        <v>2026</v>
      </c>
      <c r="AU1012">
        <v>8.3699999999999992</v>
      </c>
    </row>
    <row r="1013" spans="46:47" x14ac:dyDescent="0.2">
      <c r="AT1013">
        <v>1990</v>
      </c>
      <c r="AU1013">
        <v>8.3699999999999992</v>
      </c>
    </row>
    <row r="1014" spans="46:47" x14ac:dyDescent="0.2">
      <c r="AT1014">
        <v>1999</v>
      </c>
      <c r="AU1014">
        <v>8.36</v>
      </c>
    </row>
    <row r="1015" spans="46:47" x14ac:dyDescent="0.2">
      <c r="AT1015">
        <v>1992</v>
      </c>
      <c r="AU1015">
        <v>8.35</v>
      </c>
    </row>
    <row r="1016" spans="46:47" x14ac:dyDescent="0.2">
      <c r="AT1016">
        <v>2000</v>
      </c>
      <c r="AU1016">
        <v>8.34</v>
      </c>
    </row>
    <row r="1017" spans="46:47" x14ac:dyDescent="0.2">
      <c r="AT1017">
        <v>2016</v>
      </c>
      <c r="AU1017">
        <v>8.34</v>
      </c>
    </row>
    <row r="1018" spans="46:47" x14ac:dyDescent="0.2">
      <c r="AT1018">
        <v>1986</v>
      </c>
      <c r="AU1018">
        <v>8.34</v>
      </c>
    </row>
    <row r="1019" spans="46:47" x14ac:dyDescent="0.2">
      <c r="AT1019">
        <v>2005</v>
      </c>
      <c r="AU1019">
        <v>8.34</v>
      </c>
    </row>
    <row r="1020" spans="46:47" x14ac:dyDescent="0.2">
      <c r="AT1020">
        <v>1994</v>
      </c>
      <c r="AU1020">
        <v>8.33</v>
      </c>
    </row>
    <row r="1021" spans="46:47" x14ac:dyDescent="0.2">
      <c r="AT1021">
        <v>2001</v>
      </c>
      <c r="AU1021">
        <v>8.32</v>
      </c>
    </row>
    <row r="1022" spans="46:47" x14ac:dyDescent="0.2">
      <c r="AT1022">
        <v>1996</v>
      </c>
      <c r="AU1022">
        <v>8.31</v>
      </c>
    </row>
    <row r="1023" spans="46:47" x14ac:dyDescent="0.2">
      <c r="AT1023">
        <v>1989</v>
      </c>
      <c r="AU1023">
        <v>8.3000000000000007</v>
      </c>
    </row>
    <row r="1024" spans="46:47" x14ac:dyDescent="0.2">
      <c r="AT1024">
        <v>1995</v>
      </c>
      <c r="AU1024">
        <v>8.3000000000000007</v>
      </c>
    </row>
    <row r="1025" spans="46:47" x14ac:dyDescent="0.2">
      <c r="AT1025">
        <v>2024</v>
      </c>
      <c r="AU1025">
        <v>8.2799999999999994</v>
      </c>
    </row>
    <row r="1026" spans="46:47" x14ac:dyDescent="0.2">
      <c r="AT1026">
        <v>1993</v>
      </c>
      <c r="AU1026">
        <v>8.27</v>
      </c>
    </row>
    <row r="1027" spans="46:47" x14ac:dyDescent="0.2">
      <c r="AT1027">
        <v>1998</v>
      </c>
      <c r="AU1027">
        <v>8.27</v>
      </c>
    </row>
    <row r="1028" spans="46:47" x14ac:dyDescent="0.2">
      <c r="AT1028">
        <v>2025</v>
      </c>
      <c r="AU1028">
        <v>8.27</v>
      </c>
    </row>
    <row r="1029" spans="46:47" x14ac:dyDescent="0.2">
      <c r="AT1029">
        <v>1992</v>
      </c>
      <c r="AU1029">
        <v>8.25</v>
      </c>
    </row>
    <row r="1030" spans="46:47" x14ac:dyDescent="0.2">
      <c r="AT1030">
        <v>1996</v>
      </c>
      <c r="AU1030">
        <v>8.25</v>
      </c>
    </row>
    <row r="1031" spans="46:47" x14ac:dyDescent="0.2">
      <c r="AT1031">
        <v>2003</v>
      </c>
      <c r="AU1031">
        <v>8.24</v>
      </c>
    </row>
    <row r="1032" spans="46:47" x14ac:dyDescent="0.2">
      <c r="AT1032">
        <v>2000</v>
      </c>
      <c r="AU1032">
        <v>8.24</v>
      </c>
    </row>
    <row r="1033" spans="46:47" x14ac:dyDescent="0.2">
      <c r="AT1033">
        <v>2001</v>
      </c>
      <c r="AU1033">
        <v>8.23</v>
      </c>
    </row>
    <row r="1034" spans="46:47" x14ac:dyDescent="0.2">
      <c r="AT1034">
        <v>1993</v>
      </c>
      <c r="AU1034">
        <v>8.2200000000000006</v>
      </c>
    </row>
    <row r="1035" spans="46:47" x14ac:dyDescent="0.2">
      <c r="AT1035">
        <v>1972</v>
      </c>
      <c r="AU1035">
        <v>8.2200000000000006</v>
      </c>
    </row>
    <row r="1036" spans="46:47" x14ac:dyDescent="0.2">
      <c r="AT1036">
        <v>1997</v>
      </c>
      <c r="AU1036">
        <v>8.2200000000000006</v>
      </c>
    </row>
    <row r="1037" spans="46:47" x14ac:dyDescent="0.2">
      <c r="AT1037">
        <v>2002</v>
      </c>
      <c r="AU1037">
        <v>8.2100000000000009</v>
      </c>
    </row>
    <row r="1038" spans="46:47" x14ac:dyDescent="0.2">
      <c r="AT1038">
        <v>1979</v>
      </c>
      <c r="AU1038">
        <v>8.1999999999999993</v>
      </c>
    </row>
    <row r="1039" spans="46:47" x14ac:dyDescent="0.2">
      <c r="AT1039">
        <v>1994</v>
      </c>
      <c r="AU1039">
        <v>8.19</v>
      </c>
    </row>
    <row r="1040" spans="46:47" x14ac:dyDescent="0.2">
      <c r="AT1040">
        <v>2024</v>
      </c>
      <c r="AU1040">
        <v>8.18</v>
      </c>
    </row>
    <row r="1041" spans="46:47" x14ac:dyDescent="0.2">
      <c r="AT1041">
        <v>2026</v>
      </c>
      <c r="AU1041">
        <v>8.18</v>
      </c>
    </row>
    <row r="1042" spans="46:47" x14ac:dyDescent="0.2">
      <c r="AT1042">
        <v>1993</v>
      </c>
      <c r="AU1042">
        <v>8.17</v>
      </c>
    </row>
    <row r="1043" spans="46:47" x14ac:dyDescent="0.2">
      <c r="AT1043">
        <v>2016</v>
      </c>
      <c r="AU1043">
        <v>8.16</v>
      </c>
    </row>
    <row r="1044" spans="46:47" x14ac:dyDescent="0.2">
      <c r="AT1044">
        <v>2018</v>
      </c>
      <c r="AU1044">
        <v>8.16</v>
      </c>
    </row>
    <row r="1045" spans="46:47" x14ac:dyDescent="0.2">
      <c r="AT1045">
        <v>2016</v>
      </c>
      <c r="AU1045">
        <v>8.16</v>
      </c>
    </row>
    <row r="1046" spans="46:47" x14ac:dyDescent="0.2">
      <c r="AT1046">
        <v>2014</v>
      </c>
      <c r="AU1046">
        <v>8.1300000000000008</v>
      </c>
    </row>
    <row r="1047" spans="46:47" x14ac:dyDescent="0.2">
      <c r="AT1047">
        <v>2026</v>
      </c>
      <c r="AU1047">
        <v>8.1300000000000008</v>
      </c>
    </row>
    <row r="1048" spans="46:47" x14ac:dyDescent="0.2">
      <c r="AT1048">
        <v>1995</v>
      </c>
      <c r="AU1048">
        <v>8.1300000000000008</v>
      </c>
    </row>
    <row r="1049" spans="46:47" x14ac:dyDescent="0.2">
      <c r="AT1049">
        <v>2001</v>
      </c>
      <c r="AU1049">
        <v>8.11</v>
      </c>
    </row>
    <row r="1050" spans="46:47" x14ac:dyDescent="0.2">
      <c r="AT1050">
        <v>2010</v>
      </c>
      <c r="AU1050">
        <v>8.1</v>
      </c>
    </row>
    <row r="1051" spans="46:47" x14ac:dyDescent="0.2">
      <c r="AT1051">
        <v>1992</v>
      </c>
      <c r="AU1051">
        <v>8.07</v>
      </c>
    </row>
    <row r="1052" spans="46:47" x14ac:dyDescent="0.2">
      <c r="AT1052">
        <v>2023</v>
      </c>
      <c r="AU1052">
        <v>8.06</v>
      </c>
    </row>
    <row r="1053" spans="46:47" x14ac:dyDescent="0.2">
      <c r="AT1053">
        <v>2001</v>
      </c>
      <c r="AU1053">
        <v>8.06</v>
      </c>
    </row>
    <row r="1054" spans="46:47" x14ac:dyDescent="0.2">
      <c r="AT1054">
        <v>1974</v>
      </c>
      <c r="AU1054">
        <v>8.06</v>
      </c>
    </row>
    <row r="1055" spans="46:47" x14ac:dyDescent="0.2">
      <c r="AT1055">
        <v>2016</v>
      </c>
      <c r="AU1055">
        <v>8.0299999999999994</v>
      </c>
    </row>
    <row r="1056" spans="46:47" x14ac:dyDescent="0.2">
      <c r="AT1056">
        <v>2018</v>
      </c>
      <c r="AU1056">
        <v>8.01</v>
      </c>
    </row>
    <row r="1057" spans="46:47" x14ac:dyDescent="0.2">
      <c r="AT1057">
        <v>2026</v>
      </c>
      <c r="AU1057">
        <v>8</v>
      </c>
    </row>
    <row r="1058" spans="46:47" x14ac:dyDescent="0.2">
      <c r="AT1058">
        <v>1984</v>
      </c>
      <c r="AU1058">
        <v>8</v>
      </c>
    </row>
    <row r="1059" spans="46:47" x14ac:dyDescent="0.2">
      <c r="AT1059">
        <v>2005</v>
      </c>
      <c r="AU1059">
        <v>7.98</v>
      </c>
    </row>
    <row r="1060" spans="46:47" x14ac:dyDescent="0.2">
      <c r="AT1060">
        <v>1996</v>
      </c>
      <c r="AU1060">
        <v>7.96</v>
      </c>
    </row>
    <row r="1061" spans="46:47" x14ac:dyDescent="0.2">
      <c r="AT1061">
        <v>1997</v>
      </c>
      <c r="AU1061">
        <v>7.95</v>
      </c>
    </row>
    <row r="1062" spans="46:47" x14ac:dyDescent="0.2">
      <c r="AT1062">
        <v>2026</v>
      </c>
      <c r="AU1062">
        <v>7.95</v>
      </c>
    </row>
    <row r="1063" spans="46:47" x14ac:dyDescent="0.2">
      <c r="AT1063">
        <v>2025</v>
      </c>
      <c r="AU1063">
        <v>7.94</v>
      </c>
    </row>
    <row r="1064" spans="46:47" x14ac:dyDescent="0.2">
      <c r="AT1064">
        <v>1995</v>
      </c>
      <c r="AU1064">
        <v>7.94</v>
      </c>
    </row>
    <row r="1065" spans="46:47" x14ac:dyDescent="0.2">
      <c r="AT1065">
        <v>2016</v>
      </c>
      <c r="AU1065">
        <v>7.94</v>
      </c>
    </row>
    <row r="1066" spans="46:47" x14ac:dyDescent="0.2">
      <c r="AT1066">
        <v>2004</v>
      </c>
      <c r="AU1066">
        <v>7.94</v>
      </c>
    </row>
    <row r="1067" spans="46:47" x14ac:dyDescent="0.2">
      <c r="AT1067">
        <v>2019</v>
      </c>
      <c r="AU1067">
        <v>7.89</v>
      </c>
    </row>
    <row r="1068" spans="46:47" x14ac:dyDescent="0.2">
      <c r="AT1068">
        <v>2026</v>
      </c>
      <c r="AU1068">
        <v>7.87</v>
      </c>
    </row>
    <row r="1069" spans="46:47" x14ac:dyDescent="0.2">
      <c r="AT1069">
        <v>1992</v>
      </c>
      <c r="AU1069">
        <v>7.84</v>
      </c>
    </row>
    <row r="1070" spans="46:47" x14ac:dyDescent="0.2">
      <c r="AT1070">
        <v>2026</v>
      </c>
      <c r="AU1070">
        <v>7.84</v>
      </c>
    </row>
    <row r="1071" spans="46:47" x14ac:dyDescent="0.2">
      <c r="AT1071">
        <v>2005</v>
      </c>
      <c r="AU1071">
        <v>7.79</v>
      </c>
    </row>
    <row r="1072" spans="46:47" x14ac:dyDescent="0.2">
      <c r="AT1072">
        <v>2011</v>
      </c>
      <c r="AU1072">
        <v>7.74</v>
      </c>
    </row>
    <row r="1073" spans="46:47" x14ac:dyDescent="0.2">
      <c r="AT1073">
        <v>2026</v>
      </c>
      <c r="AU1073">
        <v>7.7</v>
      </c>
    </row>
    <row r="1074" spans="46:47" x14ac:dyDescent="0.2">
      <c r="AT1074">
        <v>2026</v>
      </c>
      <c r="AU1074">
        <v>7.69</v>
      </c>
    </row>
    <row r="1075" spans="46:47" x14ac:dyDescent="0.2">
      <c r="AT1075">
        <v>2021</v>
      </c>
      <c r="AU1075">
        <v>7.66</v>
      </c>
    </row>
    <row r="1076" spans="46:47" x14ac:dyDescent="0.2">
      <c r="AT1076">
        <v>1999</v>
      </c>
      <c r="AU1076">
        <v>7.66</v>
      </c>
    </row>
    <row r="1077" spans="46:47" x14ac:dyDescent="0.2">
      <c r="AT1077">
        <v>2011</v>
      </c>
      <c r="AU1077">
        <v>7.66</v>
      </c>
    </row>
    <row r="1078" spans="46:47" x14ac:dyDescent="0.2">
      <c r="AT1078">
        <v>2026</v>
      </c>
      <c r="AU1078">
        <v>7.64</v>
      </c>
    </row>
    <row r="1079" spans="46:47" x14ac:dyDescent="0.2">
      <c r="AT1079">
        <v>2020</v>
      </c>
      <c r="AU1079">
        <v>7.61</v>
      </c>
    </row>
    <row r="1080" spans="46:47" x14ac:dyDescent="0.2">
      <c r="AT1080">
        <v>1993</v>
      </c>
      <c r="AU1080">
        <v>7.4</v>
      </c>
    </row>
    <row r="1081" spans="46:47" x14ac:dyDescent="0.2">
      <c r="AT1081">
        <v>2026</v>
      </c>
      <c r="AU1081">
        <v>7.2</v>
      </c>
    </row>
    <row r="1082" spans="46:47" x14ac:dyDescent="0.2">
      <c r="AT1082">
        <v>2021</v>
      </c>
      <c r="AU1082">
        <v>7.16</v>
      </c>
    </row>
    <row r="1083" spans="46:47" x14ac:dyDescent="0.2">
      <c r="AT1083">
        <v>2013</v>
      </c>
      <c r="AU1083">
        <v>7.04</v>
      </c>
    </row>
    <row r="1084" spans="46:47" x14ac:dyDescent="0.2">
      <c r="AT1084">
        <v>2026</v>
      </c>
      <c r="AU1084">
        <v>6.99</v>
      </c>
    </row>
    <row r="1085" spans="46:47" x14ac:dyDescent="0.2">
      <c r="AT1085">
        <v>2007</v>
      </c>
      <c r="AU1085">
        <v>6.98</v>
      </c>
    </row>
    <row r="1086" spans="46:47" x14ac:dyDescent="0.2">
      <c r="AT1086">
        <v>2026</v>
      </c>
      <c r="AU1086">
        <v>5.9</v>
      </c>
    </row>
    <row r="1087" spans="46:47" x14ac:dyDescent="0.2">
      <c r="AT1087">
        <v>2025</v>
      </c>
      <c r="AU1087">
        <v>4.62</v>
      </c>
    </row>
    <row r="1088" spans="46:47" x14ac:dyDescent="0.2">
      <c r="AT1088">
        <v>2003</v>
      </c>
      <c r="AU1088">
        <v>3.37</v>
      </c>
    </row>
    <row r="1089" spans="46:47" x14ac:dyDescent="0.2">
      <c r="AT1089">
        <v>2025</v>
      </c>
      <c r="AU1089">
        <v>2.39</v>
      </c>
    </row>
    <row r="1090" spans="46:47" x14ac:dyDescent="0.2">
      <c r="AT1090">
        <v>2021</v>
      </c>
      <c r="AU1090">
        <v>0.76</v>
      </c>
    </row>
    <row r="1093" spans="46:47" x14ac:dyDescent="0.2">
      <c r="AT1093" t="s">
        <v>3785</v>
      </c>
      <c r="AU1093" t="s">
        <v>957</v>
      </c>
    </row>
    <row r="1094" spans="46:47" x14ac:dyDescent="0.2">
      <c r="AT1094">
        <v>76</v>
      </c>
      <c r="AU1094">
        <v>10.99</v>
      </c>
    </row>
    <row r="1095" spans="46:47" x14ac:dyDescent="0.2">
      <c r="AT1095">
        <v>35</v>
      </c>
      <c r="AU1095">
        <v>10.85</v>
      </c>
    </row>
    <row r="1096" spans="46:47" x14ac:dyDescent="0.2">
      <c r="AT1096">
        <v>38</v>
      </c>
      <c r="AU1096">
        <v>10.44</v>
      </c>
    </row>
    <row r="1097" spans="46:47" x14ac:dyDescent="0.2">
      <c r="AT1097">
        <v>44</v>
      </c>
      <c r="AU1097">
        <v>10.39</v>
      </c>
    </row>
    <row r="1098" spans="46:47" x14ac:dyDescent="0.2">
      <c r="AT1098">
        <v>42</v>
      </c>
      <c r="AU1098">
        <v>10.37</v>
      </c>
    </row>
    <row r="1099" spans="46:47" x14ac:dyDescent="0.2">
      <c r="AT1099">
        <v>53</v>
      </c>
      <c r="AU1099">
        <v>10.07</v>
      </c>
    </row>
    <row r="1100" spans="46:47" x14ac:dyDescent="0.2">
      <c r="AT1100">
        <v>87</v>
      </c>
      <c r="AU1100">
        <v>10.050000000000001</v>
      </c>
    </row>
    <row r="1101" spans="46:47" x14ac:dyDescent="0.2">
      <c r="AT1101">
        <v>42</v>
      </c>
      <c r="AU1101">
        <v>10</v>
      </c>
    </row>
    <row r="1102" spans="46:47" x14ac:dyDescent="0.2">
      <c r="AT1102">
        <v>75</v>
      </c>
      <c r="AU1102">
        <v>9.99</v>
      </c>
    </row>
    <row r="1103" spans="46:47" x14ac:dyDescent="0.2">
      <c r="AT1103">
        <v>77</v>
      </c>
      <c r="AU1103">
        <v>9.9600000000000009</v>
      </c>
    </row>
    <row r="1104" spans="46:47" x14ac:dyDescent="0.2">
      <c r="AT1104">
        <v>45</v>
      </c>
      <c r="AU1104">
        <v>9.77</v>
      </c>
    </row>
    <row r="1105" spans="46:47" x14ac:dyDescent="0.2">
      <c r="AT1105">
        <v>41</v>
      </c>
      <c r="AU1105">
        <v>9.5500000000000007</v>
      </c>
    </row>
    <row r="1106" spans="46:47" x14ac:dyDescent="0.2">
      <c r="AT1106">
        <v>42</v>
      </c>
      <c r="AU1106">
        <v>9.5299999999999994</v>
      </c>
    </row>
    <row r="1107" spans="46:47" x14ac:dyDescent="0.2">
      <c r="AT1107">
        <v>67</v>
      </c>
      <c r="AU1107">
        <v>9.4600000000000009</v>
      </c>
    </row>
    <row r="1108" spans="46:47" x14ac:dyDescent="0.2">
      <c r="AT1108">
        <v>76</v>
      </c>
      <c r="AU1108">
        <v>9.44</v>
      </c>
    </row>
    <row r="1109" spans="46:47" x14ac:dyDescent="0.2">
      <c r="AT1109">
        <v>41</v>
      </c>
      <c r="AU1109">
        <v>9.43</v>
      </c>
    </row>
    <row r="1110" spans="46:47" x14ac:dyDescent="0.2">
      <c r="AT1110">
        <v>86</v>
      </c>
      <c r="AU1110">
        <v>9.42</v>
      </c>
    </row>
    <row r="1111" spans="46:47" x14ac:dyDescent="0.2">
      <c r="AT1111">
        <v>54</v>
      </c>
      <c r="AU1111">
        <v>9.3699999999999992</v>
      </c>
    </row>
    <row r="1112" spans="46:47" x14ac:dyDescent="0.2">
      <c r="AT1112">
        <v>47</v>
      </c>
      <c r="AU1112">
        <v>9.3699999999999992</v>
      </c>
    </row>
    <row r="1113" spans="46:47" x14ac:dyDescent="0.2">
      <c r="AT1113">
        <v>38</v>
      </c>
      <c r="AU1113">
        <v>9.36</v>
      </c>
    </row>
    <row r="1114" spans="46:47" x14ac:dyDescent="0.2">
      <c r="AT1114">
        <v>84</v>
      </c>
      <c r="AU1114">
        <v>9.34</v>
      </c>
    </row>
    <row r="1115" spans="46:47" x14ac:dyDescent="0.2">
      <c r="AT1115">
        <v>66</v>
      </c>
      <c r="AU1115">
        <v>9.24</v>
      </c>
    </row>
    <row r="1116" spans="46:47" x14ac:dyDescent="0.2">
      <c r="AT1116">
        <v>42</v>
      </c>
      <c r="AU1116">
        <v>9.23</v>
      </c>
    </row>
    <row r="1117" spans="46:47" x14ac:dyDescent="0.2">
      <c r="AT1117">
        <v>51</v>
      </c>
      <c r="AU1117">
        <v>9.23</v>
      </c>
    </row>
    <row r="1118" spans="46:47" x14ac:dyDescent="0.2">
      <c r="AT1118">
        <v>71</v>
      </c>
      <c r="AU1118">
        <v>9.23</v>
      </c>
    </row>
    <row r="1119" spans="46:47" x14ac:dyDescent="0.2">
      <c r="AT1119">
        <v>47</v>
      </c>
      <c r="AU1119">
        <v>9.2100000000000009</v>
      </c>
    </row>
    <row r="1120" spans="46:47" x14ac:dyDescent="0.2">
      <c r="AT1120">
        <v>37</v>
      </c>
      <c r="AU1120">
        <v>9.14</v>
      </c>
    </row>
    <row r="1121" spans="46:47" x14ac:dyDescent="0.2">
      <c r="AT1121">
        <v>48</v>
      </c>
      <c r="AU1121">
        <v>9.14</v>
      </c>
    </row>
    <row r="1122" spans="46:47" x14ac:dyDescent="0.2">
      <c r="AT1122">
        <v>35</v>
      </c>
      <c r="AU1122">
        <v>9.1</v>
      </c>
    </row>
    <row r="1123" spans="46:47" x14ac:dyDescent="0.2">
      <c r="AT1123">
        <v>40</v>
      </c>
      <c r="AU1123">
        <v>9.1</v>
      </c>
    </row>
    <row r="1124" spans="46:47" x14ac:dyDescent="0.2">
      <c r="AT1124">
        <v>61</v>
      </c>
      <c r="AU1124">
        <v>9.09</v>
      </c>
    </row>
    <row r="1125" spans="46:47" x14ac:dyDescent="0.2">
      <c r="AT1125">
        <v>40</v>
      </c>
      <c r="AU1125">
        <v>9.09</v>
      </c>
    </row>
    <row r="1126" spans="46:47" x14ac:dyDescent="0.2">
      <c r="AT1126">
        <v>65</v>
      </c>
      <c r="AU1126">
        <v>9.08</v>
      </c>
    </row>
    <row r="1127" spans="46:47" x14ac:dyDescent="0.2">
      <c r="AT1127">
        <v>67</v>
      </c>
      <c r="AU1127">
        <v>9.06</v>
      </c>
    </row>
    <row r="1128" spans="46:47" x14ac:dyDescent="0.2">
      <c r="AT1128">
        <v>59</v>
      </c>
      <c r="AU1128">
        <v>9.0399999999999991</v>
      </c>
    </row>
    <row r="1129" spans="46:47" x14ac:dyDescent="0.2">
      <c r="AT1129">
        <v>63</v>
      </c>
      <c r="AU1129">
        <v>9.0399999999999991</v>
      </c>
    </row>
    <row r="1130" spans="46:47" x14ac:dyDescent="0.2">
      <c r="AT1130">
        <v>54</v>
      </c>
      <c r="AU1130">
        <v>9.0299999999999994</v>
      </c>
    </row>
    <row r="1131" spans="46:47" x14ac:dyDescent="0.2">
      <c r="AT1131">
        <v>43</v>
      </c>
      <c r="AU1131">
        <v>9.0299999999999994</v>
      </c>
    </row>
    <row r="1132" spans="46:47" x14ac:dyDescent="0.2">
      <c r="AT1132">
        <v>41</v>
      </c>
      <c r="AU1132">
        <v>9.0299999999999994</v>
      </c>
    </row>
    <row r="1133" spans="46:47" x14ac:dyDescent="0.2">
      <c r="AT1133">
        <v>45</v>
      </c>
      <c r="AU1133">
        <v>9.0299999999999994</v>
      </c>
    </row>
    <row r="1134" spans="46:47" x14ac:dyDescent="0.2">
      <c r="AT1134">
        <v>43</v>
      </c>
      <c r="AU1134">
        <v>9.02</v>
      </c>
    </row>
    <row r="1135" spans="46:47" x14ac:dyDescent="0.2">
      <c r="AT1135">
        <v>42</v>
      </c>
      <c r="AU1135">
        <v>9.02</v>
      </c>
    </row>
    <row r="1136" spans="46:47" x14ac:dyDescent="0.2">
      <c r="AT1136">
        <v>36</v>
      </c>
      <c r="AU1136">
        <v>9</v>
      </c>
    </row>
    <row r="1137" spans="46:47" x14ac:dyDescent="0.2">
      <c r="AT1137">
        <v>44</v>
      </c>
      <c r="AU1137">
        <v>9</v>
      </c>
    </row>
    <row r="1138" spans="46:47" x14ac:dyDescent="0.2">
      <c r="AT1138">
        <v>44</v>
      </c>
      <c r="AU1138">
        <v>8.98</v>
      </c>
    </row>
    <row r="1139" spans="46:47" x14ac:dyDescent="0.2">
      <c r="AT1139">
        <v>46</v>
      </c>
      <c r="AU1139">
        <v>8.9700000000000006</v>
      </c>
    </row>
    <row r="1140" spans="46:47" x14ac:dyDescent="0.2">
      <c r="AT1140">
        <v>61</v>
      </c>
      <c r="AU1140">
        <v>8.9700000000000006</v>
      </c>
    </row>
    <row r="1141" spans="46:47" x14ac:dyDescent="0.2">
      <c r="AT1141">
        <v>81</v>
      </c>
      <c r="AU1141">
        <v>8.9700000000000006</v>
      </c>
    </row>
    <row r="1142" spans="46:47" x14ac:dyDescent="0.2">
      <c r="AT1142">
        <v>42</v>
      </c>
      <c r="AU1142">
        <v>8.9700000000000006</v>
      </c>
    </row>
    <row r="1143" spans="46:47" x14ac:dyDescent="0.2">
      <c r="AT1143">
        <v>43</v>
      </c>
      <c r="AU1143">
        <v>8.9700000000000006</v>
      </c>
    </row>
    <row r="1144" spans="46:47" x14ac:dyDescent="0.2">
      <c r="AT1144">
        <v>45</v>
      </c>
      <c r="AU1144">
        <v>8.9600000000000009</v>
      </c>
    </row>
    <row r="1145" spans="46:47" x14ac:dyDescent="0.2">
      <c r="AT1145">
        <v>73</v>
      </c>
      <c r="AU1145">
        <v>8.9600000000000009</v>
      </c>
    </row>
    <row r="1146" spans="46:47" x14ac:dyDescent="0.2">
      <c r="AT1146">
        <v>74</v>
      </c>
      <c r="AU1146">
        <v>8.9600000000000009</v>
      </c>
    </row>
    <row r="1147" spans="46:47" x14ac:dyDescent="0.2">
      <c r="AT1147">
        <v>41</v>
      </c>
      <c r="AU1147">
        <v>8.9499999999999993</v>
      </c>
    </row>
    <row r="1148" spans="46:47" x14ac:dyDescent="0.2">
      <c r="AT1148">
        <v>40</v>
      </c>
      <c r="AU1148">
        <v>8.9499999999999993</v>
      </c>
    </row>
    <row r="1149" spans="46:47" x14ac:dyDescent="0.2">
      <c r="AT1149">
        <v>39</v>
      </c>
      <c r="AU1149">
        <v>8.94</v>
      </c>
    </row>
    <row r="1150" spans="46:47" x14ac:dyDescent="0.2">
      <c r="AT1150">
        <v>49</v>
      </c>
      <c r="AU1150">
        <v>8.93</v>
      </c>
    </row>
    <row r="1151" spans="46:47" x14ac:dyDescent="0.2">
      <c r="AT1151">
        <v>54</v>
      </c>
      <c r="AU1151">
        <v>8.93</v>
      </c>
    </row>
    <row r="1152" spans="46:47" x14ac:dyDescent="0.2">
      <c r="AT1152">
        <v>60</v>
      </c>
      <c r="AU1152">
        <v>8.93</v>
      </c>
    </row>
    <row r="1153" spans="46:47" x14ac:dyDescent="0.2">
      <c r="AT1153">
        <v>52</v>
      </c>
      <c r="AU1153">
        <v>8.92</v>
      </c>
    </row>
    <row r="1154" spans="46:47" x14ac:dyDescent="0.2">
      <c r="AT1154">
        <v>40</v>
      </c>
      <c r="AU1154">
        <v>8.92</v>
      </c>
    </row>
    <row r="1155" spans="46:47" x14ac:dyDescent="0.2">
      <c r="AT1155">
        <v>42</v>
      </c>
      <c r="AU1155">
        <v>8.92</v>
      </c>
    </row>
    <row r="1156" spans="46:47" x14ac:dyDescent="0.2">
      <c r="AT1156">
        <v>54</v>
      </c>
      <c r="AU1156">
        <v>8.92</v>
      </c>
    </row>
    <row r="1157" spans="46:47" x14ac:dyDescent="0.2">
      <c r="AT1157">
        <v>58</v>
      </c>
      <c r="AU1157">
        <v>8.91</v>
      </c>
    </row>
    <row r="1158" spans="46:47" x14ac:dyDescent="0.2">
      <c r="AT1158">
        <v>57</v>
      </c>
      <c r="AU1158">
        <v>8.89</v>
      </c>
    </row>
    <row r="1159" spans="46:47" x14ac:dyDescent="0.2">
      <c r="AT1159">
        <v>51</v>
      </c>
      <c r="AU1159">
        <v>8.89</v>
      </c>
    </row>
    <row r="1160" spans="46:47" x14ac:dyDescent="0.2">
      <c r="AT1160">
        <v>48</v>
      </c>
      <c r="AU1160">
        <v>8.8800000000000008</v>
      </c>
    </row>
    <row r="1161" spans="46:47" x14ac:dyDescent="0.2">
      <c r="AT1161">
        <v>49</v>
      </c>
      <c r="AU1161">
        <v>8.8800000000000008</v>
      </c>
    </row>
    <row r="1162" spans="46:47" x14ac:dyDescent="0.2">
      <c r="AT1162">
        <v>54</v>
      </c>
      <c r="AU1162">
        <v>8.8800000000000008</v>
      </c>
    </row>
    <row r="1163" spans="46:47" x14ac:dyDescent="0.2">
      <c r="AT1163">
        <v>45</v>
      </c>
      <c r="AU1163">
        <v>8.8699999999999992</v>
      </c>
    </row>
    <row r="1164" spans="46:47" x14ac:dyDescent="0.2">
      <c r="AT1164">
        <v>37</v>
      </c>
      <c r="AU1164">
        <v>8.8699999999999992</v>
      </c>
    </row>
    <row r="1165" spans="46:47" x14ac:dyDescent="0.2">
      <c r="AT1165">
        <v>47</v>
      </c>
      <c r="AU1165">
        <v>8.8699999999999992</v>
      </c>
    </row>
    <row r="1166" spans="46:47" x14ac:dyDescent="0.2">
      <c r="AT1166">
        <v>41</v>
      </c>
      <c r="AU1166">
        <v>8.86</v>
      </c>
    </row>
    <row r="1167" spans="46:47" x14ac:dyDescent="0.2">
      <c r="AT1167">
        <v>39</v>
      </c>
      <c r="AU1167">
        <v>8.86</v>
      </c>
    </row>
    <row r="1168" spans="46:47" x14ac:dyDescent="0.2">
      <c r="AT1168">
        <v>62</v>
      </c>
      <c r="AU1168">
        <v>8.85</v>
      </c>
    </row>
    <row r="1169" spans="46:47" x14ac:dyDescent="0.2">
      <c r="AT1169">
        <v>42</v>
      </c>
      <c r="AU1169">
        <v>8.85</v>
      </c>
    </row>
    <row r="1170" spans="46:47" x14ac:dyDescent="0.2">
      <c r="AT1170">
        <v>52</v>
      </c>
      <c r="AU1170">
        <v>8.84</v>
      </c>
    </row>
    <row r="1171" spans="46:47" x14ac:dyDescent="0.2">
      <c r="AT1171">
        <v>66</v>
      </c>
      <c r="AU1171">
        <v>8.84</v>
      </c>
    </row>
    <row r="1172" spans="46:47" x14ac:dyDescent="0.2">
      <c r="AT1172">
        <v>63</v>
      </c>
      <c r="AU1172">
        <v>8.84</v>
      </c>
    </row>
    <row r="1173" spans="46:47" x14ac:dyDescent="0.2">
      <c r="AT1173">
        <v>66</v>
      </c>
      <c r="AU1173">
        <v>8.84</v>
      </c>
    </row>
    <row r="1174" spans="46:47" x14ac:dyDescent="0.2">
      <c r="AT1174">
        <v>59</v>
      </c>
      <c r="AU1174">
        <v>8.84</v>
      </c>
    </row>
    <row r="1175" spans="46:47" x14ac:dyDescent="0.2">
      <c r="AT1175">
        <v>36</v>
      </c>
      <c r="AU1175">
        <v>8.83</v>
      </c>
    </row>
    <row r="1176" spans="46:47" x14ac:dyDescent="0.2">
      <c r="AT1176">
        <v>39</v>
      </c>
      <c r="AU1176">
        <v>8.83</v>
      </c>
    </row>
    <row r="1177" spans="46:47" x14ac:dyDescent="0.2">
      <c r="AT1177">
        <v>44</v>
      </c>
      <c r="AU1177">
        <v>8.83</v>
      </c>
    </row>
    <row r="1178" spans="46:47" x14ac:dyDescent="0.2">
      <c r="AT1178">
        <v>47</v>
      </c>
      <c r="AU1178">
        <v>8.83</v>
      </c>
    </row>
    <row r="1179" spans="46:47" x14ac:dyDescent="0.2">
      <c r="AT1179">
        <v>58</v>
      </c>
      <c r="AU1179">
        <v>8.83</v>
      </c>
    </row>
    <row r="1180" spans="46:47" x14ac:dyDescent="0.2">
      <c r="AT1180">
        <v>53</v>
      </c>
      <c r="AU1180">
        <v>8.83</v>
      </c>
    </row>
    <row r="1181" spans="46:47" x14ac:dyDescent="0.2">
      <c r="AT1181">
        <v>49</v>
      </c>
      <c r="AU1181">
        <v>8.83</v>
      </c>
    </row>
    <row r="1182" spans="46:47" x14ac:dyDescent="0.2">
      <c r="AT1182">
        <v>42</v>
      </c>
      <c r="AU1182">
        <v>8.83</v>
      </c>
    </row>
    <row r="1183" spans="46:47" x14ac:dyDescent="0.2">
      <c r="AT1183">
        <v>37</v>
      </c>
      <c r="AU1183">
        <v>8.82</v>
      </c>
    </row>
    <row r="1184" spans="46:47" x14ac:dyDescent="0.2">
      <c r="AT1184">
        <v>68</v>
      </c>
      <c r="AU1184">
        <v>8.81</v>
      </c>
    </row>
    <row r="1185" spans="46:47" x14ac:dyDescent="0.2">
      <c r="AT1185">
        <v>70</v>
      </c>
      <c r="AU1185">
        <v>8.81</v>
      </c>
    </row>
    <row r="1186" spans="46:47" x14ac:dyDescent="0.2">
      <c r="AT1186">
        <v>41</v>
      </c>
      <c r="AU1186">
        <v>8.81</v>
      </c>
    </row>
    <row r="1187" spans="46:47" x14ac:dyDescent="0.2">
      <c r="AT1187">
        <v>47</v>
      </c>
      <c r="AU1187">
        <v>8.7899999999999991</v>
      </c>
    </row>
    <row r="1188" spans="46:47" x14ac:dyDescent="0.2">
      <c r="AT1188">
        <v>74</v>
      </c>
      <c r="AU1188">
        <v>8.7899999999999991</v>
      </c>
    </row>
    <row r="1189" spans="46:47" x14ac:dyDescent="0.2">
      <c r="AT1189">
        <v>68</v>
      </c>
      <c r="AU1189">
        <v>8.7899999999999991</v>
      </c>
    </row>
    <row r="1190" spans="46:47" x14ac:dyDescent="0.2">
      <c r="AT1190">
        <v>38</v>
      </c>
      <c r="AU1190">
        <v>8.7899999999999991</v>
      </c>
    </row>
    <row r="1191" spans="46:47" x14ac:dyDescent="0.2">
      <c r="AT1191">
        <v>121</v>
      </c>
      <c r="AU1191">
        <v>8.7799999999999994</v>
      </c>
    </row>
    <row r="1192" spans="46:47" x14ac:dyDescent="0.2">
      <c r="AT1192">
        <v>56</v>
      </c>
      <c r="AU1192">
        <v>8.7799999999999994</v>
      </c>
    </row>
    <row r="1193" spans="46:47" x14ac:dyDescent="0.2">
      <c r="AT1193">
        <v>43</v>
      </c>
      <c r="AU1193">
        <v>8.7799999999999994</v>
      </c>
    </row>
    <row r="1194" spans="46:47" x14ac:dyDescent="0.2">
      <c r="AT1194">
        <v>39</v>
      </c>
      <c r="AU1194">
        <v>8.77</v>
      </c>
    </row>
    <row r="1195" spans="46:47" x14ac:dyDescent="0.2">
      <c r="AT1195">
        <v>33</v>
      </c>
      <c r="AU1195">
        <v>8.77</v>
      </c>
    </row>
    <row r="1196" spans="46:47" x14ac:dyDescent="0.2">
      <c r="AT1196">
        <v>51</v>
      </c>
      <c r="AU1196">
        <v>8.77</v>
      </c>
    </row>
    <row r="1197" spans="46:47" x14ac:dyDescent="0.2">
      <c r="AT1197">
        <v>39</v>
      </c>
      <c r="AU1197">
        <v>8.76</v>
      </c>
    </row>
    <row r="1198" spans="46:47" x14ac:dyDescent="0.2">
      <c r="AT1198">
        <v>63</v>
      </c>
      <c r="AU1198">
        <v>8.76</v>
      </c>
    </row>
    <row r="1199" spans="46:47" x14ac:dyDescent="0.2">
      <c r="AT1199">
        <v>74</v>
      </c>
      <c r="AU1199">
        <v>8.76</v>
      </c>
    </row>
    <row r="1200" spans="46:47" x14ac:dyDescent="0.2">
      <c r="AT1200">
        <v>52</v>
      </c>
      <c r="AU1200">
        <v>8.75</v>
      </c>
    </row>
    <row r="1201" spans="46:47" x14ac:dyDescent="0.2">
      <c r="AT1201">
        <v>56</v>
      </c>
      <c r="AU1201">
        <v>8.75</v>
      </c>
    </row>
    <row r="1202" spans="46:47" x14ac:dyDescent="0.2">
      <c r="AT1202">
        <v>51</v>
      </c>
      <c r="AU1202">
        <v>8.74</v>
      </c>
    </row>
    <row r="1203" spans="46:47" x14ac:dyDescent="0.2">
      <c r="AT1203">
        <v>74</v>
      </c>
      <c r="AU1203">
        <v>8.74</v>
      </c>
    </row>
    <row r="1204" spans="46:47" x14ac:dyDescent="0.2">
      <c r="AT1204">
        <v>39</v>
      </c>
      <c r="AU1204">
        <v>8.74</v>
      </c>
    </row>
    <row r="1205" spans="46:47" x14ac:dyDescent="0.2">
      <c r="AT1205">
        <v>43</v>
      </c>
      <c r="AU1205">
        <v>8.73</v>
      </c>
    </row>
    <row r="1206" spans="46:47" x14ac:dyDescent="0.2">
      <c r="AT1206">
        <v>43</v>
      </c>
      <c r="AU1206">
        <v>8.73</v>
      </c>
    </row>
    <row r="1207" spans="46:47" x14ac:dyDescent="0.2">
      <c r="AT1207">
        <v>68</v>
      </c>
      <c r="AU1207">
        <v>8.7200000000000006</v>
      </c>
    </row>
    <row r="1208" spans="46:47" x14ac:dyDescent="0.2">
      <c r="AT1208">
        <v>50</v>
      </c>
      <c r="AU1208">
        <v>8.7200000000000006</v>
      </c>
    </row>
    <row r="1209" spans="46:47" x14ac:dyDescent="0.2">
      <c r="AT1209">
        <v>71</v>
      </c>
      <c r="AU1209">
        <v>8.7200000000000006</v>
      </c>
    </row>
    <row r="1210" spans="46:47" x14ac:dyDescent="0.2">
      <c r="AT1210">
        <v>67</v>
      </c>
      <c r="AU1210">
        <v>8.7200000000000006</v>
      </c>
    </row>
    <row r="1211" spans="46:47" x14ac:dyDescent="0.2">
      <c r="AT1211">
        <v>72</v>
      </c>
      <c r="AU1211">
        <v>8.7100000000000009</v>
      </c>
    </row>
    <row r="1212" spans="46:47" x14ac:dyDescent="0.2">
      <c r="AT1212">
        <v>79</v>
      </c>
      <c r="AU1212">
        <v>8.7100000000000009</v>
      </c>
    </row>
    <row r="1213" spans="46:47" x14ac:dyDescent="0.2">
      <c r="AT1213">
        <v>100</v>
      </c>
      <c r="AU1213">
        <v>8.7100000000000009</v>
      </c>
    </row>
    <row r="1214" spans="46:47" x14ac:dyDescent="0.2">
      <c r="AT1214">
        <v>62</v>
      </c>
      <c r="AU1214">
        <v>8.7100000000000009</v>
      </c>
    </row>
    <row r="1215" spans="46:47" x14ac:dyDescent="0.2">
      <c r="AT1215">
        <v>41</v>
      </c>
      <c r="AU1215">
        <v>8.7100000000000009</v>
      </c>
    </row>
    <row r="1216" spans="46:47" x14ac:dyDescent="0.2">
      <c r="AT1216">
        <v>58</v>
      </c>
      <c r="AU1216">
        <v>8.7100000000000009</v>
      </c>
    </row>
    <row r="1217" spans="46:47" x14ac:dyDescent="0.2">
      <c r="AT1217">
        <v>43</v>
      </c>
      <c r="AU1217">
        <v>8.6999999999999993</v>
      </c>
    </row>
    <row r="1218" spans="46:47" x14ac:dyDescent="0.2">
      <c r="AT1218">
        <v>40</v>
      </c>
      <c r="AU1218">
        <v>8.6999999999999993</v>
      </c>
    </row>
    <row r="1219" spans="46:47" x14ac:dyDescent="0.2">
      <c r="AT1219">
        <v>32</v>
      </c>
      <c r="AU1219">
        <v>8.6999999999999993</v>
      </c>
    </row>
    <row r="1220" spans="46:47" x14ac:dyDescent="0.2">
      <c r="AT1220">
        <v>42</v>
      </c>
      <c r="AU1220">
        <v>8.6999999999999993</v>
      </c>
    </row>
    <row r="1221" spans="46:47" x14ac:dyDescent="0.2">
      <c r="AT1221">
        <v>41</v>
      </c>
      <c r="AU1221">
        <v>8.6999999999999993</v>
      </c>
    </row>
    <row r="1222" spans="46:47" x14ac:dyDescent="0.2">
      <c r="AT1222">
        <v>50</v>
      </c>
      <c r="AU1222">
        <v>8.69</v>
      </c>
    </row>
    <row r="1223" spans="46:47" x14ac:dyDescent="0.2">
      <c r="AT1223">
        <v>48</v>
      </c>
      <c r="AU1223">
        <v>8.69</v>
      </c>
    </row>
    <row r="1224" spans="46:47" x14ac:dyDescent="0.2">
      <c r="AT1224">
        <v>39</v>
      </c>
      <c r="AU1224">
        <v>8.69</v>
      </c>
    </row>
    <row r="1225" spans="46:47" x14ac:dyDescent="0.2">
      <c r="AT1225">
        <v>77</v>
      </c>
      <c r="AU1225">
        <v>8.69</v>
      </c>
    </row>
    <row r="1226" spans="46:47" x14ac:dyDescent="0.2">
      <c r="AT1226">
        <v>61</v>
      </c>
      <c r="AU1226">
        <v>8.68</v>
      </c>
    </row>
    <row r="1227" spans="46:47" x14ac:dyDescent="0.2">
      <c r="AT1227">
        <v>75</v>
      </c>
      <c r="AU1227">
        <v>8.68</v>
      </c>
    </row>
    <row r="1228" spans="46:47" x14ac:dyDescent="0.2">
      <c r="AT1228">
        <v>38</v>
      </c>
      <c r="AU1228">
        <v>8.68</v>
      </c>
    </row>
    <row r="1229" spans="46:47" x14ac:dyDescent="0.2">
      <c r="AT1229">
        <v>63</v>
      </c>
      <c r="AU1229">
        <v>8.67</v>
      </c>
    </row>
    <row r="1230" spans="46:47" x14ac:dyDescent="0.2">
      <c r="AT1230">
        <v>48</v>
      </c>
      <c r="AU1230">
        <v>8.67</v>
      </c>
    </row>
    <row r="1231" spans="46:47" x14ac:dyDescent="0.2">
      <c r="AT1231">
        <v>41</v>
      </c>
      <c r="AU1231">
        <v>8.67</v>
      </c>
    </row>
    <row r="1232" spans="46:47" x14ac:dyDescent="0.2">
      <c r="AT1232">
        <v>40</v>
      </c>
      <c r="AU1232">
        <v>8.67</v>
      </c>
    </row>
    <row r="1233" spans="46:47" x14ac:dyDescent="0.2">
      <c r="AT1233">
        <v>63</v>
      </c>
      <c r="AU1233">
        <v>8.66</v>
      </c>
    </row>
    <row r="1234" spans="46:47" x14ac:dyDescent="0.2">
      <c r="AT1234">
        <v>156</v>
      </c>
      <c r="AU1234">
        <v>8.66</v>
      </c>
    </row>
    <row r="1235" spans="46:47" x14ac:dyDescent="0.2">
      <c r="AT1235">
        <v>43</v>
      </c>
      <c r="AU1235">
        <v>8.66</v>
      </c>
    </row>
    <row r="1236" spans="46:47" x14ac:dyDescent="0.2">
      <c r="AT1236">
        <v>39</v>
      </c>
      <c r="AU1236">
        <v>8.65</v>
      </c>
    </row>
    <row r="1237" spans="46:47" x14ac:dyDescent="0.2">
      <c r="AT1237">
        <v>65</v>
      </c>
      <c r="AU1237">
        <v>8.65</v>
      </c>
    </row>
    <row r="1238" spans="46:47" x14ac:dyDescent="0.2">
      <c r="AT1238">
        <v>62</v>
      </c>
      <c r="AU1238">
        <v>8.65</v>
      </c>
    </row>
    <row r="1239" spans="46:47" x14ac:dyDescent="0.2">
      <c r="AT1239">
        <v>75</v>
      </c>
      <c r="AU1239">
        <v>8.65</v>
      </c>
    </row>
    <row r="1240" spans="46:47" x14ac:dyDescent="0.2">
      <c r="AT1240">
        <v>69</v>
      </c>
      <c r="AU1240">
        <v>8.65</v>
      </c>
    </row>
    <row r="1241" spans="46:47" x14ac:dyDescent="0.2">
      <c r="AT1241">
        <v>40</v>
      </c>
      <c r="AU1241">
        <v>8.64</v>
      </c>
    </row>
    <row r="1242" spans="46:47" x14ac:dyDescent="0.2">
      <c r="AT1242">
        <v>30</v>
      </c>
      <c r="AU1242">
        <v>8.64</v>
      </c>
    </row>
    <row r="1243" spans="46:47" x14ac:dyDescent="0.2">
      <c r="AT1243">
        <v>59</v>
      </c>
      <c r="AU1243">
        <v>8.6300000000000008</v>
      </c>
    </row>
    <row r="1244" spans="46:47" x14ac:dyDescent="0.2">
      <c r="AT1244">
        <v>46</v>
      </c>
      <c r="AU1244">
        <v>8.6300000000000008</v>
      </c>
    </row>
    <row r="1245" spans="46:47" x14ac:dyDescent="0.2">
      <c r="AT1245">
        <v>121</v>
      </c>
      <c r="AU1245">
        <v>8.6300000000000008</v>
      </c>
    </row>
    <row r="1246" spans="46:47" x14ac:dyDescent="0.2">
      <c r="AT1246">
        <v>53</v>
      </c>
      <c r="AU1246">
        <v>8.6300000000000008</v>
      </c>
    </row>
    <row r="1247" spans="46:47" x14ac:dyDescent="0.2">
      <c r="AT1247">
        <v>50</v>
      </c>
      <c r="AU1247">
        <v>8.6300000000000008</v>
      </c>
    </row>
    <row r="1248" spans="46:47" x14ac:dyDescent="0.2">
      <c r="AT1248">
        <v>51</v>
      </c>
      <c r="AU1248">
        <v>8.6199999999999992</v>
      </c>
    </row>
    <row r="1249" spans="46:47" x14ac:dyDescent="0.2">
      <c r="AT1249">
        <v>76</v>
      </c>
      <c r="AU1249">
        <v>8.6199999999999992</v>
      </c>
    </row>
    <row r="1250" spans="46:47" x14ac:dyDescent="0.2">
      <c r="AT1250">
        <v>54</v>
      </c>
      <c r="AU1250">
        <v>8.61</v>
      </c>
    </row>
    <row r="1251" spans="46:47" x14ac:dyDescent="0.2">
      <c r="AT1251">
        <v>51</v>
      </c>
      <c r="AU1251">
        <v>8.61</v>
      </c>
    </row>
    <row r="1252" spans="46:47" x14ac:dyDescent="0.2">
      <c r="AT1252">
        <v>56</v>
      </c>
      <c r="AU1252">
        <v>8.61</v>
      </c>
    </row>
    <row r="1253" spans="46:47" x14ac:dyDescent="0.2">
      <c r="AT1253">
        <v>65</v>
      </c>
      <c r="AU1253">
        <v>8.6</v>
      </c>
    </row>
    <row r="1254" spans="46:47" x14ac:dyDescent="0.2">
      <c r="AT1254">
        <v>41</v>
      </c>
      <c r="AU1254">
        <v>8.6</v>
      </c>
    </row>
    <row r="1255" spans="46:47" x14ac:dyDescent="0.2">
      <c r="AT1255">
        <v>63</v>
      </c>
      <c r="AU1255">
        <v>8.6</v>
      </c>
    </row>
    <row r="1256" spans="46:47" x14ac:dyDescent="0.2">
      <c r="AT1256">
        <v>50</v>
      </c>
      <c r="AU1256">
        <v>8.59</v>
      </c>
    </row>
    <row r="1257" spans="46:47" x14ac:dyDescent="0.2">
      <c r="AT1257">
        <v>45</v>
      </c>
      <c r="AU1257">
        <v>8.59</v>
      </c>
    </row>
    <row r="1258" spans="46:47" x14ac:dyDescent="0.2">
      <c r="AT1258">
        <v>45</v>
      </c>
      <c r="AU1258">
        <v>8.58</v>
      </c>
    </row>
    <row r="1259" spans="46:47" x14ac:dyDescent="0.2">
      <c r="AT1259">
        <v>43</v>
      </c>
      <c r="AU1259">
        <v>8.57</v>
      </c>
    </row>
    <row r="1260" spans="46:47" x14ac:dyDescent="0.2">
      <c r="AT1260">
        <v>56</v>
      </c>
      <c r="AU1260">
        <v>8.57</v>
      </c>
    </row>
    <row r="1261" spans="46:47" x14ac:dyDescent="0.2">
      <c r="AT1261">
        <v>39</v>
      </c>
      <c r="AU1261">
        <v>8.57</v>
      </c>
    </row>
    <row r="1262" spans="46:47" x14ac:dyDescent="0.2">
      <c r="AT1262">
        <v>62</v>
      </c>
      <c r="AU1262">
        <v>8.56</v>
      </c>
    </row>
    <row r="1263" spans="46:47" x14ac:dyDescent="0.2">
      <c r="AT1263">
        <v>56</v>
      </c>
      <c r="AU1263">
        <v>8.56</v>
      </c>
    </row>
    <row r="1264" spans="46:47" x14ac:dyDescent="0.2">
      <c r="AT1264">
        <v>71</v>
      </c>
      <c r="AU1264">
        <v>8.56</v>
      </c>
    </row>
    <row r="1265" spans="46:47" x14ac:dyDescent="0.2">
      <c r="AT1265">
        <v>42</v>
      </c>
      <c r="AU1265">
        <v>8.56</v>
      </c>
    </row>
    <row r="1266" spans="46:47" x14ac:dyDescent="0.2">
      <c r="AT1266">
        <v>47</v>
      </c>
      <c r="AU1266">
        <v>8.56</v>
      </c>
    </row>
    <row r="1267" spans="46:47" x14ac:dyDescent="0.2">
      <c r="AT1267">
        <v>73</v>
      </c>
      <c r="AU1267">
        <v>8.56</v>
      </c>
    </row>
    <row r="1268" spans="46:47" x14ac:dyDescent="0.2">
      <c r="AT1268">
        <v>51</v>
      </c>
      <c r="AU1268">
        <v>8.56</v>
      </c>
    </row>
    <row r="1269" spans="46:47" x14ac:dyDescent="0.2">
      <c r="AT1269">
        <v>55</v>
      </c>
      <c r="AU1269">
        <v>8.5500000000000007</v>
      </c>
    </row>
    <row r="1270" spans="46:47" x14ac:dyDescent="0.2">
      <c r="AT1270">
        <v>47</v>
      </c>
      <c r="AU1270">
        <v>8.5500000000000007</v>
      </c>
    </row>
    <row r="1271" spans="46:47" x14ac:dyDescent="0.2">
      <c r="AT1271">
        <v>64</v>
      </c>
      <c r="AU1271">
        <v>8.5500000000000007</v>
      </c>
    </row>
    <row r="1272" spans="46:47" x14ac:dyDescent="0.2">
      <c r="AT1272">
        <v>43</v>
      </c>
      <c r="AU1272">
        <v>8.5399999999999991</v>
      </c>
    </row>
    <row r="1273" spans="46:47" x14ac:dyDescent="0.2">
      <c r="AT1273">
        <v>33</v>
      </c>
      <c r="AU1273">
        <v>8.5399999999999991</v>
      </c>
    </row>
    <row r="1274" spans="46:47" x14ac:dyDescent="0.2">
      <c r="AT1274">
        <v>48</v>
      </c>
      <c r="AU1274">
        <v>8.5399999999999991</v>
      </c>
    </row>
    <row r="1275" spans="46:47" x14ac:dyDescent="0.2">
      <c r="AT1275">
        <v>40</v>
      </c>
      <c r="AU1275">
        <v>8.5299999999999994</v>
      </c>
    </row>
    <row r="1276" spans="46:47" x14ac:dyDescent="0.2">
      <c r="AT1276">
        <v>56</v>
      </c>
      <c r="AU1276">
        <v>8.5299999999999994</v>
      </c>
    </row>
    <row r="1277" spans="46:47" x14ac:dyDescent="0.2">
      <c r="AT1277">
        <v>42</v>
      </c>
      <c r="AU1277">
        <v>8.5299999999999994</v>
      </c>
    </row>
    <row r="1278" spans="46:47" x14ac:dyDescent="0.2">
      <c r="AT1278">
        <v>36</v>
      </c>
      <c r="AU1278">
        <v>8.5299999999999994</v>
      </c>
    </row>
    <row r="1279" spans="46:47" x14ac:dyDescent="0.2">
      <c r="AT1279">
        <v>84</v>
      </c>
      <c r="AU1279">
        <v>8.5299999999999994</v>
      </c>
    </row>
    <row r="1280" spans="46:47" x14ac:dyDescent="0.2">
      <c r="AT1280">
        <v>34</v>
      </c>
      <c r="AU1280">
        <v>8.5299999999999994</v>
      </c>
    </row>
    <row r="1281" spans="46:47" x14ac:dyDescent="0.2">
      <c r="AT1281">
        <v>45</v>
      </c>
      <c r="AU1281">
        <v>8.5299999999999994</v>
      </c>
    </row>
    <row r="1282" spans="46:47" x14ac:dyDescent="0.2">
      <c r="AT1282">
        <v>43</v>
      </c>
      <c r="AU1282">
        <v>8.52</v>
      </c>
    </row>
    <row r="1283" spans="46:47" x14ac:dyDescent="0.2">
      <c r="AT1283">
        <v>141</v>
      </c>
      <c r="AU1283">
        <v>8.52</v>
      </c>
    </row>
    <row r="1284" spans="46:47" x14ac:dyDescent="0.2">
      <c r="AT1284">
        <v>60</v>
      </c>
      <c r="AU1284">
        <v>8.52</v>
      </c>
    </row>
    <row r="1285" spans="46:47" x14ac:dyDescent="0.2">
      <c r="AT1285">
        <v>37</v>
      </c>
      <c r="AU1285">
        <v>8.51</v>
      </c>
    </row>
    <row r="1286" spans="46:47" x14ac:dyDescent="0.2">
      <c r="AT1286">
        <v>51</v>
      </c>
      <c r="AU1286">
        <v>8.51</v>
      </c>
    </row>
    <row r="1287" spans="46:47" x14ac:dyDescent="0.2">
      <c r="AT1287">
        <v>48</v>
      </c>
      <c r="AU1287">
        <v>8.51</v>
      </c>
    </row>
    <row r="1288" spans="46:47" x14ac:dyDescent="0.2">
      <c r="AT1288">
        <v>40</v>
      </c>
      <c r="AU1288">
        <v>8.5</v>
      </c>
    </row>
    <row r="1289" spans="46:47" x14ac:dyDescent="0.2">
      <c r="AT1289">
        <v>56</v>
      </c>
      <c r="AU1289">
        <v>8.5</v>
      </c>
    </row>
    <row r="1290" spans="46:47" x14ac:dyDescent="0.2">
      <c r="AT1290">
        <v>33</v>
      </c>
      <c r="AU1290">
        <v>8.5</v>
      </c>
    </row>
    <row r="1291" spans="46:47" x14ac:dyDescent="0.2">
      <c r="AT1291">
        <v>31</v>
      </c>
      <c r="AU1291">
        <v>8.5</v>
      </c>
    </row>
    <row r="1292" spans="46:47" x14ac:dyDescent="0.2">
      <c r="AT1292">
        <v>62</v>
      </c>
      <c r="AU1292">
        <v>8.5</v>
      </c>
    </row>
    <row r="1293" spans="46:47" x14ac:dyDescent="0.2">
      <c r="AT1293">
        <v>62</v>
      </c>
      <c r="AU1293">
        <v>8.49</v>
      </c>
    </row>
    <row r="1294" spans="46:47" x14ac:dyDescent="0.2">
      <c r="AT1294">
        <v>55</v>
      </c>
      <c r="AU1294">
        <v>8.48</v>
      </c>
    </row>
    <row r="1295" spans="46:47" x14ac:dyDescent="0.2">
      <c r="AT1295">
        <v>41</v>
      </c>
      <c r="AU1295">
        <v>8.48</v>
      </c>
    </row>
    <row r="1296" spans="46:47" x14ac:dyDescent="0.2">
      <c r="AT1296">
        <v>55</v>
      </c>
      <c r="AU1296">
        <v>8.48</v>
      </c>
    </row>
    <row r="1297" spans="46:47" x14ac:dyDescent="0.2">
      <c r="AT1297">
        <v>77</v>
      </c>
      <c r="AU1297">
        <v>8.4700000000000006</v>
      </c>
    </row>
    <row r="1298" spans="46:47" x14ac:dyDescent="0.2">
      <c r="AT1298">
        <v>36</v>
      </c>
      <c r="AU1298">
        <v>8.4700000000000006</v>
      </c>
    </row>
    <row r="1299" spans="46:47" x14ac:dyDescent="0.2">
      <c r="AT1299">
        <v>49</v>
      </c>
      <c r="AU1299">
        <v>8.4700000000000006</v>
      </c>
    </row>
    <row r="1300" spans="46:47" x14ac:dyDescent="0.2">
      <c r="AT1300">
        <v>50</v>
      </c>
      <c r="AU1300">
        <v>8.4600000000000009</v>
      </c>
    </row>
    <row r="1301" spans="46:47" x14ac:dyDescent="0.2">
      <c r="AT1301">
        <v>41</v>
      </c>
      <c r="AU1301">
        <v>8.4499999999999993</v>
      </c>
    </row>
    <row r="1302" spans="46:47" x14ac:dyDescent="0.2">
      <c r="AT1302">
        <v>34</v>
      </c>
      <c r="AU1302">
        <v>8.4499999999999993</v>
      </c>
    </row>
    <row r="1303" spans="46:47" x14ac:dyDescent="0.2">
      <c r="AT1303">
        <v>45</v>
      </c>
      <c r="AU1303">
        <v>8.4499999999999993</v>
      </c>
    </row>
    <row r="1304" spans="46:47" x14ac:dyDescent="0.2">
      <c r="AT1304">
        <v>60</v>
      </c>
      <c r="AU1304">
        <v>8.43</v>
      </c>
    </row>
    <row r="1305" spans="46:47" x14ac:dyDescent="0.2">
      <c r="AT1305">
        <v>61</v>
      </c>
      <c r="AU1305">
        <v>8.43</v>
      </c>
    </row>
    <row r="1306" spans="46:47" x14ac:dyDescent="0.2">
      <c r="AT1306">
        <v>72</v>
      </c>
      <c r="AU1306">
        <v>8.43</v>
      </c>
    </row>
    <row r="1307" spans="46:47" x14ac:dyDescent="0.2">
      <c r="AT1307">
        <v>48</v>
      </c>
      <c r="AU1307">
        <v>8.41</v>
      </c>
    </row>
    <row r="1308" spans="46:47" x14ac:dyDescent="0.2">
      <c r="AT1308">
        <v>48</v>
      </c>
      <c r="AU1308">
        <v>8.41</v>
      </c>
    </row>
    <row r="1309" spans="46:47" x14ac:dyDescent="0.2">
      <c r="AT1309">
        <v>47</v>
      </c>
      <c r="AU1309">
        <v>8.4</v>
      </c>
    </row>
    <row r="1310" spans="46:47" x14ac:dyDescent="0.2">
      <c r="AT1310">
        <v>58</v>
      </c>
      <c r="AU1310">
        <v>8.39</v>
      </c>
    </row>
    <row r="1311" spans="46:47" x14ac:dyDescent="0.2">
      <c r="AT1311">
        <v>34</v>
      </c>
      <c r="AU1311">
        <v>8.39</v>
      </c>
    </row>
    <row r="1312" spans="46:47" x14ac:dyDescent="0.2">
      <c r="AT1312">
        <v>38</v>
      </c>
      <c r="AU1312">
        <v>8.39</v>
      </c>
    </row>
    <row r="1313" spans="46:47" x14ac:dyDescent="0.2">
      <c r="AT1313">
        <v>34</v>
      </c>
      <c r="AU1313">
        <v>8.3800000000000008</v>
      </c>
    </row>
    <row r="1314" spans="46:47" x14ac:dyDescent="0.2">
      <c r="AT1314">
        <v>63</v>
      </c>
      <c r="AU1314">
        <v>8.3800000000000008</v>
      </c>
    </row>
    <row r="1315" spans="46:47" x14ac:dyDescent="0.2">
      <c r="AT1315">
        <v>51</v>
      </c>
      <c r="AU1315">
        <v>8.3699999999999992</v>
      </c>
    </row>
    <row r="1316" spans="46:47" x14ac:dyDescent="0.2">
      <c r="AT1316">
        <v>40</v>
      </c>
      <c r="AU1316">
        <v>8.3699999999999992</v>
      </c>
    </row>
    <row r="1317" spans="46:47" x14ac:dyDescent="0.2">
      <c r="AT1317">
        <v>40</v>
      </c>
      <c r="AU1317">
        <v>8.36</v>
      </c>
    </row>
    <row r="1318" spans="46:47" x14ac:dyDescent="0.2">
      <c r="AT1318">
        <v>58</v>
      </c>
      <c r="AU1318">
        <v>8.35</v>
      </c>
    </row>
    <row r="1319" spans="46:47" x14ac:dyDescent="0.2">
      <c r="AT1319">
        <v>37</v>
      </c>
      <c r="AU1319">
        <v>8.34</v>
      </c>
    </row>
    <row r="1320" spans="46:47" x14ac:dyDescent="0.2">
      <c r="AT1320">
        <v>43</v>
      </c>
      <c r="AU1320">
        <v>8.34</v>
      </c>
    </row>
    <row r="1321" spans="46:47" x14ac:dyDescent="0.2">
      <c r="AT1321">
        <v>28</v>
      </c>
      <c r="AU1321">
        <v>8.34</v>
      </c>
    </row>
    <row r="1322" spans="46:47" x14ac:dyDescent="0.2">
      <c r="AT1322">
        <v>48</v>
      </c>
      <c r="AU1322">
        <v>8.34</v>
      </c>
    </row>
    <row r="1323" spans="46:47" x14ac:dyDescent="0.2">
      <c r="AT1323">
        <v>76</v>
      </c>
      <c r="AU1323">
        <v>8.33</v>
      </c>
    </row>
    <row r="1324" spans="46:47" x14ac:dyDescent="0.2">
      <c r="AT1324">
        <v>55</v>
      </c>
      <c r="AU1324">
        <v>8.32</v>
      </c>
    </row>
    <row r="1325" spans="46:47" x14ac:dyDescent="0.2">
      <c r="AT1325">
        <v>64</v>
      </c>
      <c r="AU1325">
        <v>8.31</v>
      </c>
    </row>
    <row r="1326" spans="46:47" x14ac:dyDescent="0.2">
      <c r="AT1326">
        <v>46</v>
      </c>
      <c r="AU1326">
        <v>8.3000000000000007</v>
      </c>
    </row>
    <row r="1327" spans="46:47" x14ac:dyDescent="0.2">
      <c r="AT1327">
        <v>43</v>
      </c>
      <c r="AU1327">
        <v>8.3000000000000007</v>
      </c>
    </row>
    <row r="1328" spans="46:47" x14ac:dyDescent="0.2">
      <c r="AT1328">
        <v>51</v>
      </c>
      <c r="AU1328">
        <v>8.2799999999999994</v>
      </c>
    </row>
    <row r="1329" spans="46:47" x14ac:dyDescent="0.2">
      <c r="AT1329">
        <v>62</v>
      </c>
      <c r="AU1329">
        <v>8.27</v>
      </c>
    </row>
    <row r="1330" spans="46:47" x14ac:dyDescent="0.2">
      <c r="AT1330">
        <v>62</v>
      </c>
      <c r="AU1330">
        <v>8.27</v>
      </c>
    </row>
    <row r="1331" spans="46:47" x14ac:dyDescent="0.2">
      <c r="AT1331">
        <v>58</v>
      </c>
      <c r="AU1331">
        <v>8.27</v>
      </c>
    </row>
    <row r="1332" spans="46:47" x14ac:dyDescent="0.2">
      <c r="AT1332">
        <v>57</v>
      </c>
      <c r="AU1332">
        <v>8.25</v>
      </c>
    </row>
    <row r="1333" spans="46:47" x14ac:dyDescent="0.2">
      <c r="AT1333">
        <v>74</v>
      </c>
      <c r="AU1333">
        <v>8.25</v>
      </c>
    </row>
    <row r="1334" spans="46:47" x14ac:dyDescent="0.2">
      <c r="AT1334">
        <v>50</v>
      </c>
      <c r="AU1334">
        <v>8.24</v>
      </c>
    </row>
    <row r="1335" spans="46:47" x14ac:dyDescent="0.2">
      <c r="AT1335">
        <v>44</v>
      </c>
      <c r="AU1335">
        <v>8.24</v>
      </c>
    </row>
    <row r="1336" spans="46:47" x14ac:dyDescent="0.2">
      <c r="AT1336">
        <v>64</v>
      </c>
      <c r="AU1336">
        <v>8.23</v>
      </c>
    </row>
    <row r="1337" spans="46:47" x14ac:dyDescent="0.2">
      <c r="AT1337">
        <v>68</v>
      </c>
      <c r="AU1337">
        <v>8.2200000000000006</v>
      </c>
    </row>
    <row r="1338" spans="46:47" x14ac:dyDescent="0.2">
      <c r="AT1338">
        <v>42</v>
      </c>
      <c r="AU1338">
        <v>8.2200000000000006</v>
      </c>
    </row>
    <row r="1339" spans="46:47" x14ac:dyDescent="0.2">
      <c r="AT1339">
        <v>65</v>
      </c>
      <c r="AU1339">
        <v>8.2200000000000006</v>
      </c>
    </row>
    <row r="1340" spans="46:47" x14ac:dyDescent="0.2">
      <c r="AT1340">
        <v>53</v>
      </c>
      <c r="AU1340">
        <v>8.2100000000000009</v>
      </c>
    </row>
    <row r="1341" spans="46:47" x14ac:dyDescent="0.2">
      <c r="AT1341">
        <v>39</v>
      </c>
      <c r="AU1341">
        <v>8.1999999999999993</v>
      </c>
    </row>
    <row r="1342" spans="46:47" x14ac:dyDescent="0.2">
      <c r="AT1342">
        <v>41</v>
      </c>
      <c r="AU1342">
        <v>8.19</v>
      </c>
    </row>
    <row r="1343" spans="46:47" x14ac:dyDescent="0.2">
      <c r="AT1343">
        <v>34</v>
      </c>
      <c r="AU1343">
        <v>8.18</v>
      </c>
    </row>
    <row r="1344" spans="46:47" x14ac:dyDescent="0.2">
      <c r="AT1344">
        <v>53</v>
      </c>
      <c r="AU1344">
        <v>8.18</v>
      </c>
    </row>
    <row r="1345" spans="46:47" x14ac:dyDescent="0.2">
      <c r="AT1345">
        <v>36</v>
      </c>
      <c r="AU1345">
        <v>8.17</v>
      </c>
    </row>
    <row r="1346" spans="46:47" x14ac:dyDescent="0.2">
      <c r="AT1346">
        <v>58</v>
      </c>
      <c r="AU1346">
        <v>8.16</v>
      </c>
    </row>
    <row r="1347" spans="46:47" x14ac:dyDescent="0.2">
      <c r="AT1347">
        <v>23</v>
      </c>
      <c r="AU1347">
        <v>8.16</v>
      </c>
    </row>
    <row r="1348" spans="46:47" x14ac:dyDescent="0.2">
      <c r="AT1348">
        <v>41</v>
      </c>
      <c r="AU1348">
        <v>8.16</v>
      </c>
    </row>
    <row r="1349" spans="46:47" x14ac:dyDescent="0.2">
      <c r="AT1349">
        <v>55</v>
      </c>
      <c r="AU1349">
        <v>8.1300000000000008</v>
      </c>
    </row>
    <row r="1350" spans="46:47" x14ac:dyDescent="0.2">
      <c r="AT1350">
        <v>24</v>
      </c>
      <c r="AU1350">
        <v>8.1300000000000008</v>
      </c>
    </row>
    <row r="1351" spans="46:47" x14ac:dyDescent="0.2">
      <c r="AT1351">
        <v>47</v>
      </c>
      <c r="AU1351">
        <v>8.1300000000000008</v>
      </c>
    </row>
    <row r="1352" spans="46:47" x14ac:dyDescent="0.2">
      <c r="AT1352">
        <v>43</v>
      </c>
      <c r="AU1352">
        <v>8.11</v>
      </c>
    </row>
    <row r="1353" spans="46:47" x14ac:dyDescent="0.2">
      <c r="AT1353">
        <v>44</v>
      </c>
      <c r="AU1353">
        <v>8.1</v>
      </c>
    </row>
    <row r="1354" spans="46:47" x14ac:dyDescent="0.2">
      <c r="AT1354">
        <v>39</v>
      </c>
      <c r="AU1354">
        <v>8.07</v>
      </c>
    </row>
    <row r="1355" spans="46:47" x14ac:dyDescent="0.2">
      <c r="AT1355">
        <v>73</v>
      </c>
      <c r="AU1355">
        <v>8.06</v>
      </c>
    </row>
    <row r="1356" spans="46:47" x14ac:dyDescent="0.2">
      <c r="AT1356">
        <v>35</v>
      </c>
      <c r="AU1356">
        <v>8.06</v>
      </c>
    </row>
    <row r="1357" spans="46:47" x14ac:dyDescent="0.2">
      <c r="AT1357">
        <v>40</v>
      </c>
      <c r="AU1357">
        <v>8.06</v>
      </c>
    </row>
    <row r="1358" spans="46:47" x14ac:dyDescent="0.2">
      <c r="AT1358">
        <v>56</v>
      </c>
      <c r="AU1358">
        <v>8.0299999999999994</v>
      </c>
    </row>
    <row r="1359" spans="46:47" x14ac:dyDescent="0.2">
      <c r="AT1359">
        <v>71</v>
      </c>
      <c r="AU1359">
        <v>8.01</v>
      </c>
    </row>
    <row r="1360" spans="46:47" x14ac:dyDescent="0.2">
      <c r="AT1360">
        <v>66</v>
      </c>
      <c r="AU1360">
        <v>8</v>
      </c>
    </row>
    <row r="1361" spans="46:47" x14ac:dyDescent="0.2">
      <c r="AT1361">
        <v>41</v>
      </c>
      <c r="AU1361">
        <v>8</v>
      </c>
    </row>
    <row r="1362" spans="46:47" x14ac:dyDescent="0.2">
      <c r="AT1362">
        <v>63</v>
      </c>
      <c r="AU1362">
        <v>7.98</v>
      </c>
    </row>
    <row r="1363" spans="46:47" x14ac:dyDescent="0.2">
      <c r="AT1363">
        <v>78</v>
      </c>
      <c r="AU1363">
        <v>7.96</v>
      </c>
    </row>
    <row r="1364" spans="46:47" x14ac:dyDescent="0.2">
      <c r="AT1364">
        <v>74</v>
      </c>
      <c r="AU1364">
        <v>7.95</v>
      </c>
    </row>
    <row r="1365" spans="46:47" x14ac:dyDescent="0.2">
      <c r="AT1365">
        <v>63</v>
      </c>
      <c r="AU1365">
        <v>7.95</v>
      </c>
    </row>
    <row r="1366" spans="46:47" x14ac:dyDescent="0.2">
      <c r="AT1366">
        <v>37</v>
      </c>
      <c r="AU1366">
        <v>7.94</v>
      </c>
    </row>
    <row r="1367" spans="46:47" x14ac:dyDescent="0.2">
      <c r="AT1367">
        <v>71</v>
      </c>
      <c r="AU1367">
        <v>7.94</v>
      </c>
    </row>
    <row r="1368" spans="46:47" x14ac:dyDescent="0.2">
      <c r="AT1368">
        <v>54</v>
      </c>
      <c r="AU1368">
        <v>7.94</v>
      </c>
    </row>
    <row r="1369" spans="46:47" x14ac:dyDescent="0.2">
      <c r="AT1369">
        <v>68</v>
      </c>
      <c r="AU1369">
        <v>7.94</v>
      </c>
    </row>
    <row r="1370" spans="46:47" x14ac:dyDescent="0.2">
      <c r="AT1370">
        <v>68</v>
      </c>
      <c r="AU1370">
        <v>7.89</v>
      </c>
    </row>
    <row r="1371" spans="46:47" x14ac:dyDescent="0.2">
      <c r="AT1371">
        <v>51</v>
      </c>
      <c r="AU1371">
        <v>7.87</v>
      </c>
    </row>
    <row r="1372" spans="46:47" x14ac:dyDescent="0.2">
      <c r="AT1372">
        <v>26</v>
      </c>
      <c r="AU1372">
        <v>7.84</v>
      </c>
    </row>
    <row r="1373" spans="46:47" x14ac:dyDescent="0.2">
      <c r="AT1373">
        <v>37</v>
      </c>
      <c r="AU1373">
        <v>7.84</v>
      </c>
    </row>
    <row r="1374" spans="46:47" x14ac:dyDescent="0.2">
      <c r="AT1374">
        <v>45</v>
      </c>
      <c r="AU1374">
        <v>7.79</v>
      </c>
    </row>
    <row r="1375" spans="46:47" x14ac:dyDescent="0.2">
      <c r="AT1375">
        <v>37</v>
      </c>
      <c r="AU1375">
        <v>7.74</v>
      </c>
    </row>
    <row r="1376" spans="46:47" x14ac:dyDescent="0.2">
      <c r="AT1376">
        <v>49</v>
      </c>
      <c r="AU1376">
        <v>7.7</v>
      </c>
    </row>
    <row r="1377" spans="46:47" x14ac:dyDescent="0.2">
      <c r="AT1377">
        <v>33</v>
      </c>
      <c r="AU1377">
        <v>7.69</v>
      </c>
    </row>
    <row r="1378" spans="46:47" x14ac:dyDescent="0.2">
      <c r="AT1378">
        <v>60</v>
      </c>
      <c r="AU1378">
        <v>7.66</v>
      </c>
    </row>
    <row r="1379" spans="46:47" x14ac:dyDescent="0.2">
      <c r="AT1379">
        <v>50</v>
      </c>
      <c r="AU1379">
        <v>7.66</v>
      </c>
    </row>
    <row r="1380" spans="46:47" x14ac:dyDescent="0.2">
      <c r="AT1380">
        <v>57</v>
      </c>
      <c r="AU1380">
        <v>7.66</v>
      </c>
    </row>
    <row r="1381" spans="46:47" x14ac:dyDescent="0.2">
      <c r="AT1381">
        <v>47</v>
      </c>
      <c r="AU1381">
        <v>7.64</v>
      </c>
    </row>
    <row r="1382" spans="46:47" x14ac:dyDescent="0.2">
      <c r="AT1382">
        <v>24</v>
      </c>
      <c r="AU1382">
        <v>7.61</v>
      </c>
    </row>
    <row r="1383" spans="46:47" x14ac:dyDescent="0.2">
      <c r="AT1383">
        <v>42</v>
      </c>
      <c r="AU1383">
        <v>7.4</v>
      </c>
    </row>
    <row r="1384" spans="46:47" x14ac:dyDescent="0.2">
      <c r="AT1384">
        <v>42</v>
      </c>
      <c r="AU1384">
        <v>7.2</v>
      </c>
    </row>
    <row r="1385" spans="46:47" x14ac:dyDescent="0.2">
      <c r="AT1385">
        <v>29</v>
      </c>
      <c r="AU1385">
        <v>7.16</v>
      </c>
    </row>
    <row r="1386" spans="46:47" x14ac:dyDescent="0.2">
      <c r="AT1386">
        <v>41</v>
      </c>
      <c r="AU1386">
        <v>7.04</v>
      </c>
    </row>
    <row r="1387" spans="46:47" x14ac:dyDescent="0.2">
      <c r="AT1387">
        <v>50</v>
      </c>
      <c r="AU1387">
        <v>6.99</v>
      </c>
    </row>
    <row r="1388" spans="46:47" x14ac:dyDescent="0.2">
      <c r="AT1388">
        <v>43</v>
      </c>
      <c r="AU1388">
        <v>6.98</v>
      </c>
    </row>
    <row r="1389" spans="46:47" x14ac:dyDescent="0.2">
      <c r="AT1389">
        <v>42</v>
      </c>
      <c r="AU1389">
        <v>5.9</v>
      </c>
    </row>
    <row r="1390" spans="46:47" x14ac:dyDescent="0.2">
      <c r="AT1390">
        <v>62</v>
      </c>
      <c r="AU1390">
        <v>4.62</v>
      </c>
    </row>
    <row r="1391" spans="46:47" x14ac:dyDescent="0.2">
      <c r="AT1391">
        <v>75</v>
      </c>
      <c r="AU1391">
        <v>3.37</v>
      </c>
    </row>
    <row r="1392" spans="46:47" x14ac:dyDescent="0.2">
      <c r="AT1392">
        <v>30</v>
      </c>
      <c r="AU1392">
        <v>2.39</v>
      </c>
    </row>
    <row r="1393" spans="46:47" x14ac:dyDescent="0.2">
      <c r="AT1393">
        <v>22</v>
      </c>
      <c r="AU1393">
        <v>0.76</v>
      </c>
    </row>
    <row r="1396" spans="46:47" x14ac:dyDescent="0.2">
      <c r="AT1396" t="s">
        <v>3786</v>
      </c>
      <c r="AU1396" t="s">
        <v>957</v>
      </c>
    </row>
    <row r="1397" spans="46:47" x14ac:dyDescent="0.2">
      <c r="AT1397">
        <v>12</v>
      </c>
      <c r="AU1397">
        <v>10.99</v>
      </c>
    </row>
    <row r="1398" spans="46:47" x14ac:dyDescent="0.2">
      <c r="AT1398">
        <v>1</v>
      </c>
      <c r="AU1398">
        <v>10.85</v>
      </c>
    </row>
    <row r="1399" spans="46:47" x14ac:dyDescent="0.2">
      <c r="AT1399">
        <v>3</v>
      </c>
      <c r="AU1399">
        <v>10.44</v>
      </c>
    </row>
    <row r="1400" spans="46:47" x14ac:dyDescent="0.2">
      <c r="AT1400">
        <v>5</v>
      </c>
      <c r="AU1400">
        <v>10.39</v>
      </c>
    </row>
    <row r="1401" spans="46:47" x14ac:dyDescent="0.2">
      <c r="AT1401">
        <v>10</v>
      </c>
      <c r="AU1401">
        <v>10.37</v>
      </c>
    </row>
    <row r="1402" spans="46:47" x14ac:dyDescent="0.2">
      <c r="AT1402">
        <v>12</v>
      </c>
      <c r="AU1402">
        <v>10.07</v>
      </c>
    </row>
    <row r="1403" spans="46:47" x14ac:dyDescent="0.2">
      <c r="AT1403">
        <v>4</v>
      </c>
      <c r="AU1403">
        <v>10.050000000000001</v>
      </c>
    </row>
    <row r="1404" spans="46:47" x14ac:dyDescent="0.2">
      <c r="AT1404">
        <v>10</v>
      </c>
      <c r="AU1404">
        <v>10</v>
      </c>
    </row>
    <row r="1405" spans="46:47" x14ac:dyDescent="0.2">
      <c r="AT1405">
        <v>11</v>
      </c>
      <c r="AU1405">
        <v>9.99</v>
      </c>
    </row>
    <row r="1406" spans="46:47" x14ac:dyDescent="0.2">
      <c r="AT1406">
        <v>15</v>
      </c>
      <c r="AU1406">
        <v>9.9600000000000009</v>
      </c>
    </row>
    <row r="1407" spans="46:47" x14ac:dyDescent="0.2">
      <c r="AT1407">
        <v>6</v>
      </c>
      <c r="AU1407">
        <v>9.77</v>
      </c>
    </row>
    <row r="1408" spans="46:47" x14ac:dyDescent="0.2">
      <c r="AT1408">
        <v>5</v>
      </c>
      <c r="AU1408">
        <v>9.5500000000000007</v>
      </c>
    </row>
    <row r="1409" spans="46:47" x14ac:dyDescent="0.2">
      <c r="AT1409">
        <v>8</v>
      </c>
      <c r="AU1409">
        <v>9.5299999999999994</v>
      </c>
    </row>
    <row r="1410" spans="46:47" x14ac:dyDescent="0.2">
      <c r="AT1410">
        <v>5</v>
      </c>
      <c r="AU1410">
        <v>9.4600000000000009</v>
      </c>
    </row>
    <row r="1411" spans="46:47" x14ac:dyDescent="0.2">
      <c r="AT1411">
        <v>7</v>
      </c>
      <c r="AU1411">
        <v>9.44</v>
      </c>
    </row>
    <row r="1412" spans="46:47" x14ac:dyDescent="0.2">
      <c r="AT1412">
        <v>8</v>
      </c>
      <c r="AU1412">
        <v>9.43</v>
      </c>
    </row>
    <row r="1413" spans="46:47" x14ac:dyDescent="0.2">
      <c r="AT1413">
        <v>10</v>
      </c>
      <c r="AU1413">
        <v>9.42</v>
      </c>
    </row>
    <row r="1414" spans="46:47" x14ac:dyDescent="0.2">
      <c r="AT1414">
        <v>8</v>
      </c>
      <c r="AU1414">
        <v>9.3699999999999992</v>
      </c>
    </row>
    <row r="1415" spans="46:47" x14ac:dyDescent="0.2">
      <c r="AT1415">
        <v>11</v>
      </c>
      <c r="AU1415">
        <v>9.3699999999999992</v>
      </c>
    </row>
    <row r="1416" spans="46:47" x14ac:dyDescent="0.2">
      <c r="AT1416">
        <v>5</v>
      </c>
      <c r="AU1416">
        <v>9.36</v>
      </c>
    </row>
    <row r="1417" spans="46:47" x14ac:dyDescent="0.2">
      <c r="AT1417">
        <v>13</v>
      </c>
      <c r="AU1417">
        <v>9.34</v>
      </c>
    </row>
    <row r="1418" spans="46:47" x14ac:dyDescent="0.2">
      <c r="AT1418">
        <v>8</v>
      </c>
      <c r="AU1418">
        <v>9.24</v>
      </c>
    </row>
    <row r="1419" spans="46:47" x14ac:dyDescent="0.2">
      <c r="AT1419">
        <v>10</v>
      </c>
      <c r="AU1419">
        <v>9.23</v>
      </c>
    </row>
    <row r="1420" spans="46:47" x14ac:dyDescent="0.2">
      <c r="AT1420">
        <v>6</v>
      </c>
      <c r="AU1420">
        <v>9.23</v>
      </c>
    </row>
    <row r="1421" spans="46:47" x14ac:dyDescent="0.2">
      <c r="AT1421">
        <v>7</v>
      </c>
      <c r="AU1421">
        <v>9.23</v>
      </c>
    </row>
    <row r="1422" spans="46:47" x14ac:dyDescent="0.2">
      <c r="AT1422">
        <v>8</v>
      </c>
      <c r="AU1422">
        <v>9.2100000000000009</v>
      </c>
    </row>
    <row r="1423" spans="46:47" x14ac:dyDescent="0.2">
      <c r="AT1423">
        <v>10</v>
      </c>
      <c r="AU1423">
        <v>9.14</v>
      </c>
    </row>
    <row r="1424" spans="46:47" x14ac:dyDescent="0.2">
      <c r="AT1424">
        <v>12</v>
      </c>
      <c r="AU1424">
        <v>9.14</v>
      </c>
    </row>
    <row r="1425" spans="46:47" x14ac:dyDescent="0.2">
      <c r="AT1425">
        <v>9</v>
      </c>
      <c r="AU1425">
        <v>9.1</v>
      </c>
    </row>
    <row r="1426" spans="46:47" x14ac:dyDescent="0.2">
      <c r="AT1426">
        <v>8</v>
      </c>
      <c r="AU1426">
        <v>9.1</v>
      </c>
    </row>
    <row r="1427" spans="46:47" x14ac:dyDescent="0.2">
      <c r="AT1427">
        <v>14</v>
      </c>
      <c r="AU1427">
        <v>9.09</v>
      </c>
    </row>
    <row r="1428" spans="46:47" x14ac:dyDescent="0.2">
      <c r="AT1428">
        <v>9</v>
      </c>
      <c r="AU1428">
        <v>9.09</v>
      </c>
    </row>
    <row r="1429" spans="46:47" x14ac:dyDescent="0.2">
      <c r="AT1429">
        <v>9</v>
      </c>
      <c r="AU1429">
        <v>9.08</v>
      </c>
    </row>
    <row r="1430" spans="46:47" x14ac:dyDescent="0.2">
      <c r="AT1430">
        <v>5</v>
      </c>
      <c r="AU1430">
        <v>9.06</v>
      </c>
    </row>
    <row r="1431" spans="46:47" x14ac:dyDescent="0.2">
      <c r="AT1431">
        <v>9</v>
      </c>
      <c r="AU1431">
        <v>9.0399999999999991</v>
      </c>
    </row>
    <row r="1432" spans="46:47" x14ac:dyDescent="0.2">
      <c r="AT1432">
        <v>18</v>
      </c>
      <c r="AU1432">
        <v>9.0399999999999991</v>
      </c>
    </row>
    <row r="1433" spans="46:47" x14ac:dyDescent="0.2">
      <c r="AT1433">
        <v>9</v>
      </c>
      <c r="AU1433">
        <v>9.0299999999999994</v>
      </c>
    </row>
    <row r="1434" spans="46:47" x14ac:dyDescent="0.2">
      <c r="AT1434">
        <v>6</v>
      </c>
      <c r="AU1434">
        <v>9.0299999999999994</v>
      </c>
    </row>
    <row r="1435" spans="46:47" x14ac:dyDescent="0.2">
      <c r="AT1435">
        <v>4</v>
      </c>
      <c r="AU1435">
        <v>9.0299999999999994</v>
      </c>
    </row>
    <row r="1436" spans="46:47" x14ac:dyDescent="0.2">
      <c r="AT1436">
        <v>8</v>
      </c>
      <c r="AU1436">
        <v>9.0299999999999994</v>
      </c>
    </row>
    <row r="1437" spans="46:47" x14ac:dyDescent="0.2">
      <c r="AT1437">
        <v>7</v>
      </c>
      <c r="AU1437">
        <v>9.02</v>
      </c>
    </row>
    <row r="1438" spans="46:47" x14ac:dyDescent="0.2">
      <c r="AT1438">
        <v>9</v>
      </c>
      <c r="AU1438">
        <v>9.02</v>
      </c>
    </row>
    <row r="1439" spans="46:47" x14ac:dyDescent="0.2">
      <c r="AT1439">
        <v>13</v>
      </c>
      <c r="AU1439">
        <v>9</v>
      </c>
    </row>
    <row r="1440" spans="46:47" x14ac:dyDescent="0.2">
      <c r="AT1440">
        <v>15</v>
      </c>
      <c r="AU1440">
        <v>9</v>
      </c>
    </row>
    <row r="1441" spans="46:47" x14ac:dyDescent="0.2">
      <c r="AT1441">
        <v>12</v>
      </c>
      <c r="AU1441">
        <v>8.98</v>
      </c>
    </row>
    <row r="1442" spans="46:47" x14ac:dyDescent="0.2">
      <c r="AT1442">
        <v>6</v>
      </c>
      <c r="AU1442">
        <v>8.9700000000000006</v>
      </c>
    </row>
    <row r="1443" spans="46:47" x14ac:dyDescent="0.2">
      <c r="AT1443">
        <v>6</v>
      </c>
      <c r="AU1443">
        <v>8.9700000000000006</v>
      </c>
    </row>
    <row r="1444" spans="46:47" x14ac:dyDescent="0.2">
      <c r="AT1444">
        <v>26</v>
      </c>
      <c r="AU1444">
        <v>8.9700000000000006</v>
      </c>
    </row>
    <row r="1445" spans="46:47" x14ac:dyDescent="0.2">
      <c r="AT1445">
        <v>5</v>
      </c>
      <c r="AU1445">
        <v>8.9700000000000006</v>
      </c>
    </row>
    <row r="1446" spans="46:47" x14ac:dyDescent="0.2">
      <c r="AT1446">
        <v>6</v>
      </c>
      <c r="AU1446">
        <v>8.9700000000000006</v>
      </c>
    </row>
    <row r="1447" spans="46:47" x14ac:dyDescent="0.2">
      <c r="AT1447">
        <v>11</v>
      </c>
      <c r="AU1447">
        <v>8.9600000000000009</v>
      </c>
    </row>
    <row r="1448" spans="46:47" x14ac:dyDescent="0.2">
      <c r="AT1448">
        <v>12</v>
      </c>
      <c r="AU1448">
        <v>8.9600000000000009</v>
      </c>
    </row>
    <row r="1449" spans="46:47" x14ac:dyDescent="0.2">
      <c r="AT1449">
        <v>5</v>
      </c>
      <c r="AU1449">
        <v>8.9600000000000009</v>
      </c>
    </row>
    <row r="1450" spans="46:47" x14ac:dyDescent="0.2">
      <c r="AT1450">
        <v>10</v>
      </c>
      <c r="AU1450">
        <v>8.9499999999999993</v>
      </c>
    </row>
    <row r="1451" spans="46:47" x14ac:dyDescent="0.2">
      <c r="AT1451">
        <v>10</v>
      </c>
      <c r="AU1451">
        <v>8.9499999999999993</v>
      </c>
    </row>
    <row r="1452" spans="46:47" x14ac:dyDescent="0.2">
      <c r="AT1452">
        <v>11</v>
      </c>
      <c r="AU1452">
        <v>8.94</v>
      </c>
    </row>
    <row r="1453" spans="46:47" x14ac:dyDescent="0.2">
      <c r="AT1453">
        <v>11</v>
      </c>
      <c r="AU1453">
        <v>8.93</v>
      </c>
    </row>
    <row r="1454" spans="46:47" x14ac:dyDescent="0.2">
      <c r="AT1454">
        <v>11</v>
      </c>
      <c r="AU1454">
        <v>8.93</v>
      </c>
    </row>
    <row r="1455" spans="46:47" x14ac:dyDescent="0.2">
      <c r="AT1455">
        <v>8</v>
      </c>
      <c r="AU1455">
        <v>8.93</v>
      </c>
    </row>
    <row r="1456" spans="46:47" x14ac:dyDescent="0.2">
      <c r="AT1456">
        <v>12</v>
      </c>
      <c r="AU1456">
        <v>8.92</v>
      </c>
    </row>
    <row r="1457" spans="46:47" x14ac:dyDescent="0.2">
      <c r="AT1457">
        <v>4</v>
      </c>
      <c r="AU1457">
        <v>8.92</v>
      </c>
    </row>
    <row r="1458" spans="46:47" x14ac:dyDescent="0.2">
      <c r="AT1458">
        <v>12</v>
      </c>
      <c r="AU1458">
        <v>8.92</v>
      </c>
    </row>
    <row r="1459" spans="46:47" x14ac:dyDescent="0.2">
      <c r="AT1459">
        <v>14</v>
      </c>
      <c r="AU1459">
        <v>8.92</v>
      </c>
    </row>
    <row r="1460" spans="46:47" x14ac:dyDescent="0.2">
      <c r="AT1460">
        <v>8</v>
      </c>
      <c r="AU1460">
        <v>8.91</v>
      </c>
    </row>
    <row r="1461" spans="46:47" x14ac:dyDescent="0.2">
      <c r="AT1461">
        <v>13</v>
      </c>
      <c r="AU1461">
        <v>8.89</v>
      </c>
    </row>
    <row r="1462" spans="46:47" x14ac:dyDescent="0.2">
      <c r="AT1462">
        <v>15</v>
      </c>
      <c r="AU1462">
        <v>8.89</v>
      </c>
    </row>
    <row r="1463" spans="46:47" x14ac:dyDescent="0.2">
      <c r="AT1463">
        <v>7</v>
      </c>
      <c r="AU1463">
        <v>8.8800000000000008</v>
      </c>
    </row>
    <row r="1464" spans="46:47" x14ac:dyDescent="0.2">
      <c r="AT1464">
        <v>11</v>
      </c>
      <c r="AU1464">
        <v>8.8800000000000008</v>
      </c>
    </row>
    <row r="1465" spans="46:47" x14ac:dyDescent="0.2">
      <c r="AT1465">
        <v>11</v>
      </c>
      <c r="AU1465">
        <v>8.8800000000000008</v>
      </c>
    </row>
    <row r="1466" spans="46:47" x14ac:dyDescent="0.2">
      <c r="AT1466">
        <v>9</v>
      </c>
      <c r="AU1466">
        <v>8.8699999999999992</v>
      </c>
    </row>
    <row r="1467" spans="46:47" x14ac:dyDescent="0.2">
      <c r="AT1467">
        <v>10</v>
      </c>
      <c r="AU1467">
        <v>8.8699999999999992</v>
      </c>
    </row>
    <row r="1468" spans="46:47" x14ac:dyDescent="0.2">
      <c r="AT1468">
        <v>12</v>
      </c>
      <c r="AU1468">
        <v>8.8699999999999992</v>
      </c>
    </row>
    <row r="1469" spans="46:47" x14ac:dyDescent="0.2">
      <c r="AT1469">
        <v>9</v>
      </c>
      <c r="AU1469">
        <v>8.86</v>
      </c>
    </row>
    <row r="1470" spans="46:47" x14ac:dyDescent="0.2">
      <c r="AT1470">
        <v>13</v>
      </c>
      <c r="AU1470">
        <v>8.86</v>
      </c>
    </row>
    <row r="1471" spans="46:47" x14ac:dyDescent="0.2">
      <c r="AT1471">
        <v>7</v>
      </c>
      <c r="AU1471">
        <v>8.85</v>
      </c>
    </row>
    <row r="1472" spans="46:47" x14ac:dyDescent="0.2">
      <c r="AT1472">
        <v>9</v>
      </c>
      <c r="AU1472">
        <v>8.85</v>
      </c>
    </row>
    <row r="1473" spans="46:47" x14ac:dyDescent="0.2">
      <c r="AT1473">
        <v>9</v>
      </c>
      <c r="AU1473">
        <v>8.84</v>
      </c>
    </row>
    <row r="1474" spans="46:47" x14ac:dyDescent="0.2">
      <c r="AT1474">
        <v>12</v>
      </c>
      <c r="AU1474">
        <v>8.84</v>
      </c>
    </row>
    <row r="1475" spans="46:47" x14ac:dyDescent="0.2">
      <c r="AT1475">
        <v>3</v>
      </c>
      <c r="AU1475">
        <v>8.84</v>
      </c>
    </row>
    <row r="1476" spans="46:47" x14ac:dyDescent="0.2">
      <c r="AT1476">
        <v>23</v>
      </c>
      <c r="AU1476">
        <v>8.84</v>
      </c>
    </row>
    <row r="1477" spans="46:47" x14ac:dyDescent="0.2">
      <c r="AT1477">
        <v>7</v>
      </c>
      <c r="AU1477">
        <v>8.84</v>
      </c>
    </row>
    <row r="1478" spans="46:47" x14ac:dyDescent="0.2">
      <c r="AT1478">
        <v>7</v>
      </c>
      <c r="AU1478">
        <v>8.83</v>
      </c>
    </row>
    <row r="1479" spans="46:47" x14ac:dyDescent="0.2">
      <c r="AT1479">
        <v>6</v>
      </c>
      <c r="AU1479">
        <v>8.83</v>
      </c>
    </row>
    <row r="1480" spans="46:47" x14ac:dyDescent="0.2">
      <c r="AT1480">
        <v>8</v>
      </c>
      <c r="AU1480">
        <v>8.83</v>
      </c>
    </row>
    <row r="1481" spans="46:47" x14ac:dyDescent="0.2">
      <c r="AT1481">
        <v>17</v>
      </c>
      <c r="AU1481">
        <v>8.83</v>
      </c>
    </row>
    <row r="1482" spans="46:47" x14ac:dyDescent="0.2">
      <c r="AT1482">
        <v>12</v>
      </c>
      <c r="AU1482">
        <v>8.83</v>
      </c>
    </row>
    <row r="1483" spans="46:47" x14ac:dyDescent="0.2">
      <c r="AT1483">
        <v>8</v>
      </c>
      <c r="AU1483">
        <v>8.83</v>
      </c>
    </row>
    <row r="1484" spans="46:47" x14ac:dyDescent="0.2">
      <c r="AT1484">
        <v>14</v>
      </c>
      <c r="AU1484">
        <v>8.83</v>
      </c>
    </row>
    <row r="1485" spans="46:47" x14ac:dyDescent="0.2">
      <c r="AT1485">
        <v>6</v>
      </c>
      <c r="AU1485">
        <v>8.83</v>
      </c>
    </row>
    <row r="1486" spans="46:47" x14ac:dyDescent="0.2">
      <c r="AT1486">
        <v>7</v>
      </c>
      <c r="AU1486">
        <v>8.82</v>
      </c>
    </row>
    <row r="1487" spans="46:47" x14ac:dyDescent="0.2">
      <c r="AT1487">
        <v>12</v>
      </c>
      <c r="AU1487">
        <v>8.81</v>
      </c>
    </row>
    <row r="1488" spans="46:47" x14ac:dyDescent="0.2">
      <c r="AT1488">
        <v>4</v>
      </c>
      <c r="AU1488">
        <v>8.81</v>
      </c>
    </row>
    <row r="1489" spans="46:47" x14ac:dyDescent="0.2">
      <c r="AT1489">
        <v>5</v>
      </c>
      <c r="AU1489">
        <v>8.81</v>
      </c>
    </row>
    <row r="1490" spans="46:47" x14ac:dyDescent="0.2">
      <c r="AT1490">
        <v>9</v>
      </c>
      <c r="AU1490">
        <v>8.7899999999999991</v>
      </c>
    </row>
    <row r="1491" spans="46:47" x14ac:dyDescent="0.2">
      <c r="AT1491">
        <v>13</v>
      </c>
      <c r="AU1491">
        <v>8.7899999999999991</v>
      </c>
    </row>
    <row r="1492" spans="46:47" x14ac:dyDescent="0.2">
      <c r="AT1492">
        <v>13</v>
      </c>
      <c r="AU1492">
        <v>8.7899999999999991</v>
      </c>
    </row>
    <row r="1493" spans="46:47" x14ac:dyDescent="0.2">
      <c r="AT1493">
        <v>15</v>
      </c>
      <c r="AU1493">
        <v>8.7899999999999991</v>
      </c>
    </row>
    <row r="1494" spans="46:47" x14ac:dyDescent="0.2">
      <c r="AT1494">
        <v>10</v>
      </c>
      <c r="AU1494">
        <v>8.7799999999999994</v>
      </c>
    </row>
    <row r="1495" spans="46:47" x14ac:dyDescent="0.2">
      <c r="AT1495">
        <v>10</v>
      </c>
      <c r="AU1495">
        <v>8.7799999999999994</v>
      </c>
    </row>
    <row r="1496" spans="46:47" x14ac:dyDescent="0.2">
      <c r="AT1496">
        <v>6</v>
      </c>
      <c r="AU1496">
        <v>8.7799999999999994</v>
      </c>
    </row>
    <row r="1497" spans="46:47" x14ac:dyDescent="0.2">
      <c r="AT1497">
        <v>6</v>
      </c>
      <c r="AU1497">
        <v>8.77</v>
      </c>
    </row>
    <row r="1498" spans="46:47" x14ac:dyDescent="0.2">
      <c r="AT1498">
        <v>6</v>
      </c>
      <c r="AU1498">
        <v>8.77</v>
      </c>
    </row>
    <row r="1499" spans="46:47" x14ac:dyDescent="0.2">
      <c r="AT1499">
        <v>11</v>
      </c>
      <c r="AU1499">
        <v>8.77</v>
      </c>
    </row>
    <row r="1500" spans="46:47" x14ac:dyDescent="0.2">
      <c r="AT1500">
        <v>10</v>
      </c>
      <c r="AU1500">
        <v>8.76</v>
      </c>
    </row>
    <row r="1501" spans="46:47" x14ac:dyDescent="0.2">
      <c r="AT1501">
        <v>14</v>
      </c>
      <c r="AU1501">
        <v>8.76</v>
      </c>
    </row>
    <row r="1502" spans="46:47" x14ac:dyDescent="0.2">
      <c r="AT1502">
        <v>13</v>
      </c>
      <c r="AU1502">
        <v>8.76</v>
      </c>
    </row>
    <row r="1503" spans="46:47" x14ac:dyDescent="0.2">
      <c r="AT1503">
        <v>11</v>
      </c>
      <c r="AU1503">
        <v>8.75</v>
      </c>
    </row>
    <row r="1504" spans="46:47" x14ac:dyDescent="0.2">
      <c r="AT1504">
        <v>16</v>
      </c>
      <c r="AU1504">
        <v>8.75</v>
      </c>
    </row>
    <row r="1505" spans="46:47" x14ac:dyDescent="0.2">
      <c r="AT1505">
        <v>11</v>
      </c>
      <c r="AU1505">
        <v>8.74</v>
      </c>
    </row>
    <row r="1506" spans="46:47" x14ac:dyDescent="0.2">
      <c r="AT1506">
        <v>10</v>
      </c>
      <c r="AU1506">
        <v>8.74</v>
      </c>
    </row>
    <row r="1507" spans="46:47" x14ac:dyDescent="0.2">
      <c r="AT1507">
        <v>11</v>
      </c>
      <c r="AU1507">
        <v>8.74</v>
      </c>
    </row>
    <row r="1508" spans="46:47" x14ac:dyDescent="0.2">
      <c r="AT1508">
        <v>8</v>
      </c>
      <c r="AU1508">
        <v>8.73</v>
      </c>
    </row>
    <row r="1509" spans="46:47" x14ac:dyDescent="0.2">
      <c r="AT1509">
        <v>14</v>
      </c>
      <c r="AU1509">
        <v>8.73</v>
      </c>
    </row>
    <row r="1510" spans="46:47" x14ac:dyDescent="0.2">
      <c r="AT1510">
        <v>9</v>
      </c>
      <c r="AU1510">
        <v>8.7200000000000006</v>
      </c>
    </row>
    <row r="1511" spans="46:47" x14ac:dyDescent="0.2">
      <c r="AT1511">
        <v>14</v>
      </c>
      <c r="AU1511">
        <v>8.7200000000000006</v>
      </c>
    </row>
    <row r="1512" spans="46:47" x14ac:dyDescent="0.2">
      <c r="AT1512">
        <v>2</v>
      </c>
      <c r="AU1512">
        <v>8.7200000000000006</v>
      </c>
    </row>
    <row r="1513" spans="46:47" x14ac:dyDescent="0.2">
      <c r="AT1513">
        <v>10</v>
      </c>
      <c r="AU1513">
        <v>8.7200000000000006</v>
      </c>
    </row>
    <row r="1514" spans="46:47" x14ac:dyDescent="0.2">
      <c r="AT1514">
        <v>12</v>
      </c>
      <c r="AU1514">
        <v>8.7100000000000009</v>
      </c>
    </row>
    <row r="1515" spans="46:47" x14ac:dyDescent="0.2">
      <c r="AT1515">
        <v>16</v>
      </c>
      <c r="AU1515">
        <v>8.7100000000000009</v>
      </c>
    </row>
    <row r="1516" spans="46:47" x14ac:dyDescent="0.2">
      <c r="AT1516">
        <v>30</v>
      </c>
      <c r="AU1516">
        <v>8.7100000000000009</v>
      </c>
    </row>
    <row r="1517" spans="46:47" x14ac:dyDescent="0.2">
      <c r="AT1517">
        <v>15</v>
      </c>
      <c r="AU1517">
        <v>8.7100000000000009</v>
      </c>
    </row>
    <row r="1518" spans="46:47" x14ac:dyDescent="0.2">
      <c r="AT1518">
        <v>11</v>
      </c>
      <c r="AU1518">
        <v>8.7100000000000009</v>
      </c>
    </row>
    <row r="1519" spans="46:47" x14ac:dyDescent="0.2">
      <c r="AT1519">
        <v>3</v>
      </c>
      <c r="AU1519">
        <v>8.7100000000000009</v>
      </c>
    </row>
    <row r="1520" spans="46:47" x14ac:dyDescent="0.2">
      <c r="AT1520">
        <v>10</v>
      </c>
      <c r="AU1520">
        <v>8.6999999999999993</v>
      </c>
    </row>
    <row r="1521" spans="46:47" x14ac:dyDescent="0.2">
      <c r="AT1521">
        <v>8</v>
      </c>
      <c r="AU1521">
        <v>8.6999999999999993</v>
      </c>
    </row>
    <row r="1522" spans="46:47" x14ac:dyDescent="0.2">
      <c r="AT1522">
        <v>10</v>
      </c>
      <c r="AU1522">
        <v>8.6999999999999993</v>
      </c>
    </row>
    <row r="1523" spans="46:47" x14ac:dyDescent="0.2">
      <c r="AT1523">
        <v>6</v>
      </c>
      <c r="AU1523">
        <v>8.6999999999999993</v>
      </c>
    </row>
    <row r="1524" spans="46:47" x14ac:dyDescent="0.2">
      <c r="AT1524">
        <v>13</v>
      </c>
      <c r="AU1524">
        <v>8.6999999999999993</v>
      </c>
    </row>
    <row r="1525" spans="46:47" x14ac:dyDescent="0.2">
      <c r="AT1525">
        <v>13</v>
      </c>
      <c r="AU1525">
        <v>8.69</v>
      </c>
    </row>
    <row r="1526" spans="46:47" x14ac:dyDescent="0.2">
      <c r="AT1526">
        <v>10</v>
      </c>
      <c r="AU1526">
        <v>8.69</v>
      </c>
    </row>
    <row r="1527" spans="46:47" x14ac:dyDescent="0.2">
      <c r="AT1527">
        <v>8</v>
      </c>
      <c r="AU1527">
        <v>8.69</v>
      </c>
    </row>
    <row r="1528" spans="46:47" x14ac:dyDescent="0.2">
      <c r="AT1528">
        <v>16</v>
      </c>
      <c r="AU1528">
        <v>8.69</v>
      </c>
    </row>
    <row r="1529" spans="46:47" x14ac:dyDescent="0.2">
      <c r="AT1529">
        <v>15</v>
      </c>
      <c r="AU1529">
        <v>8.68</v>
      </c>
    </row>
    <row r="1530" spans="46:47" x14ac:dyDescent="0.2">
      <c r="AT1530">
        <v>12</v>
      </c>
      <c r="AU1530">
        <v>8.68</v>
      </c>
    </row>
    <row r="1531" spans="46:47" x14ac:dyDescent="0.2">
      <c r="AT1531">
        <v>11</v>
      </c>
      <c r="AU1531">
        <v>8.68</v>
      </c>
    </row>
    <row r="1532" spans="46:47" x14ac:dyDescent="0.2">
      <c r="AT1532">
        <v>12</v>
      </c>
      <c r="AU1532">
        <v>8.67</v>
      </c>
    </row>
    <row r="1533" spans="46:47" x14ac:dyDescent="0.2">
      <c r="AT1533">
        <v>11</v>
      </c>
      <c r="AU1533">
        <v>8.67</v>
      </c>
    </row>
    <row r="1534" spans="46:47" x14ac:dyDescent="0.2">
      <c r="AT1534">
        <v>7</v>
      </c>
      <c r="AU1534">
        <v>8.67</v>
      </c>
    </row>
    <row r="1535" spans="46:47" x14ac:dyDescent="0.2">
      <c r="AT1535">
        <v>7</v>
      </c>
      <c r="AU1535">
        <v>8.67</v>
      </c>
    </row>
    <row r="1536" spans="46:47" x14ac:dyDescent="0.2">
      <c r="AT1536">
        <v>11</v>
      </c>
      <c r="AU1536">
        <v>8.66</v>
      </c>
    </row>
    <row r="1537" spans="46:47" x14ac:dyDescent="0.2">
      <c r="AT1537">
        <v>24</v>
      </c>
      <c r="AU1537">
        <v>8.66</v>
      </c>
    </row>
    <row r="1538" spans="46:47" x14ac:dyDescent="0.2">
      <c r="AT1538">
        <v>2</v>
      </c>
      <c r="AU1538">
        <v>8.66</v>
      </c>
    </row>
    <row r="1539" spans="46:47" x14ac:dyDescent="0.2">
      <c r="AT1539">
        <v>12</v>
      </c>
      <c r="AU1539">
        <v>8.65</v>
      </c>
    </row>
    <row r="1540" spans="46:47" x14ac:dyDescent="0.2">
      <c r="AT1540">
        <v>14</v>
      </c>
      <c r="AU1540">
        <v>8.65</v>
      </c>
    </row>
    <row r="1541" spans="46:47" x14ac:dyDescent="0.2">
      <c r="AT1541">
        <v>12</v>
      </c>
      <c r="AU1541">
        <v>8.65</v>
      </c>
    </row>
    <row r="1542" spans="46:47" x14ac:dyDescent="0.2">
      <c r="AT1542">
        <v>9</v>
      </c>
      <c r="AU1542">
        <v>8.65</v>
      </c>
    </row>
    <row r="1543" spans="46:47" x14ac:dyDescent="0.2">
      <c r="AT1543">
        <v>18</v>
      </c>
      <c r="AU1543">
        <v>8.65</v>
      </c>
    </row>
    <row r="1544" spans="46:47" x14ac:dyDescent="0.2">
      <c r="AT1544">
        <v>8</v>
      </c>
      <c r="AU1544">
        <v>8.64</v>
      </c>
    </row>
    <row r="1545" spans="46:47" x14ac:dyDescent="0.2">
      <c r="AT1545">
        <v>10</v>
      </c>
      <c r="AU1545">
        <v>8.64</v>
      </c>
    </row>
    <row r="1546" spans="46:47" x14ac:dyDescent="0.2">
      <c r="AT1546">
        <v>7</v>
      </c>
      <c r="AU1546">
        <v>8.6300000000000008</v>
      </c>
    </row>
    <row r="1547" spans="46:47" x14ac:dyDescent="0.2">
      <c r="AT1547">
        <v>10</v>
      </c>
      <c r="AU1547">
        <v>8.6300000000000008</v>
      </c>
    </row>
    <row r="1548" spans="46:47" x14ac:dyDescent="0.2">
      <c r="AT1548">
        <v>28</v>
      </c>
      <c r="AU1548">
        <v>8.6300000000000008</v>
      </c>
    </row>
    <row r="1549" spans="46:47" x14ac:dyDescent="0.2">
      <c r="AT1549">
        <v>15</v>
      </c>
      <c r="AU1549">
        <v>8.6300000000000008</v>
      </c>
    </row>
    <row r="1550" spans="46:47" x14ac:dyDescent="0.2">
      <c r="AT1550">
        <v>9</v>
      </c>
      <c r="AU1550">
        <v>8.6300000000000008</v>
      </c>
    </row>
    <row r="1551" spans="46:47" x14ac:dyDescent="0.2">
      <c r="AT1551">
        <v>13</v>
      </c>
      <c r="AU1551">
        <v>8.6199999999999992</v>
      </c>
    </row>
    <row r="1552" spans="46:47" x14ac:dyDescent="0.2">
      <c r="AT1552">
        <v>21</v>
      </c>
      <c r="AU1552">
        <v>8.6199999999999992</v>
      </c>
    </row>
    <row r="1553" spans="46:47" x14ac:dyDescent="0.2">
      <c r="AT1553">
        <v>6</v>
      </c>
      <c r="AU1553">
        <v>8.61</v>
      </c>
    </row>
    <row r="1554" spans="46:47" x14ac:dyDescent="0.2">
      <c r="AT1554">
        <v>10</v>
      </c>
      <c r="AU1554">
        <v>8.61</v>
      </c>
    </row>
    <row r="1555" spans="46:47" x14ac:dyDescent="0.2">
      <c r="AT1555">
        <v>10</v>
      </c>
      <c r="AU1555">
        <v>8.61</v>
      </c>
    </row>
    <row r="1556" spans="46:47" x14ac:dyDescent="0.2">
      <c r="AT1556">
        <v>19</v>
      </c>
      <c r="AU1556">
        <v>8.6</v>
      </c>
    </row>
    <row r="1557" spans="46:47" x14ac:dyDescent="0.2">
      <c r="AT1557">
        <v>10</v>
      </c>
      <c r="AU1557">
        <v>8.6</v>
      </c>
    </row>
    <row r="1558" spans="46:47" x14ac:dyDescent="0.2">
      <c r="AT1558">
        <v>9</v>
      </c>
      <c r="AU1558">
        <v>8.6</v>
      </c>
    </row>
    <row r="1559" spans="46:47" x14ac:dyDescent="0.2">
      <c r="AT1559">
        <v>7</v>
      </c>
      <c r="AU1559">
        <v>8.59</v>
      </c>
    </row>
    <row r="1560" spans="46:47" x14ac:dyDescent="0.2">
      <c r="AT1560">
        <v>11</v>
      </c>
      <c r="AU1560">
        <v>8.59</v>
      </c>
    </row>
    <row r="1561" spans="46:47" x14ac:dyDescent="0.2">
      <c r="AT1561">
        <v>9</v>
      </c>
      <c r="AU1561">
        <v>8.58</v>
      </c>
    </row>
    <row r="1562" spans="46:47" x14ac:dyDescent="0.2">
      <c r="AT1562">
        <v>6</v>
      </c>
      <c r="AU1562">
        <v>8.57</v>
      </c>
    </row>
    <row r="1563" spans="46:47" x14ac:dyDescent="0.2">
      <c r="AT1563">
        <v>10</v>
      </c>
      <c r="AU1563">
        <v>8.57</v>
      </c>
    </row>
    <row r="1564" spans="46:47" x14ac:dyDescent="0.2">
      <c r="AT1564">
        <v>9</v>
      </c>
      <c r="AU1564">
        <v>8.57</v>
      </c>
    </row>
    <row r="1565" spans="46:47" x14ac:dyDescent="0.2">
      <c r="AT1565">
        <v>13</v>
      </c>
      <c r="AU1565">
        <v>8.56</v>
      </c>
    </row>
    <row r="1566" spans="46:47" x14ac:dyDescent="0.2">
      <c r="AT1566">
        <v>14</v>
      </c>
      <c r="AU1566">
        <v>8.56</v>
      </c>
    </row>
    <row r="1567" spans="46:47" x14ac:dyDescent="0.2">
      <c r="AT1567">
        <v>10</v>
      </c>
      <c r="AU1567">
        <v>8.56</v>
      </c>
    </row>
    <row r="1568" spans="46:47" x14ac:dyDescent="0.2">
      <c r="AT1568">
        <v>14</v>
      </c>
      <c r="AU1568">
        <v>8.56</v>
      </c>
    </row>
    <row r="1569" spans="46:47" x14ac:dyDescent="0.2">
      <c r="AT1569">
        <v>11</v>
      </c>
      <c r="AU1569">
        <v>8.56</v>
      </c>
    </row>
    <row r="1570" spans="46:47" x14ac:dyDescent="0.2">
      <c r="AT1570">
        <v>13</v>
      </c>
      <c r="AU1570">
        <v>8.56</v>
      </c>
    </row>
    <row r="1571" spans="46:47" x14ac:dyDescent="0.2">
      <c r="AT1571">
        <v>13</v>
      </c>
      <c r="AU1571">
        <v>8.56</v>
      </c>
    </row>
    <row r="1572" spans="46:47" x14ac:dyDescent="0.2">
      <c r="AT1572">
        <v>7</v>
      </c>
      <c r="AU1572">
        <v>8.5500000000000007</v>
      </c>
    </row>
    <row r="1573" spans="46:47" x14ac:dyDescent="0.2">
      <c r="AT1573">
        <v>9</v>
      </c>
      <c r="AU1573">
        <v>8.5500000000000007</v>
      </c>
    </row>
    <row r="1574" spans="46:47" x14ac:dyDescent="0.2">
      <c r="AT1574">
        <v>12</v>
      </c>
      <c r="AU1574">
        <v>8.5500000000000007</v>
      </c>
    </row>
    <row r="1575" spans="46:47" x14ac:dyDescent="0.2">
      <c r="AT1575">
        <v>10</v>
      </c>
      <c r="AU1575">
        <v>8.5399999999999991</v>
      </c>
    </row>
    <row r="1576" spans="46:47" x14ac:dyDescent="0.2">
      <c r="AT1576">
        <v>8</v>
      </c>
      <c r="AU1576">
        <v>8.5399999999999991</v>
      </c>
    </row>
    <row r="1577" spans="46:47" x14ac:dyDescent="0.2">
      <c r="AT1577">
        <v>12</v>
      </c>
      <c r="AU1577">
        <v>8.5399999999999991</v>
      </c>
    </row>
    <row r="1578" spans="46:47" x14ac:dyDescent="0.2">
      <c r="AT1578">
        <v>8</v>
      </c>
      <c r="AU1578">
        <v>8.5299999999999994</v>
      </c>
    </row>
    <row r="1579" spans="46:47" x14ac:dyDescent="0.2">
      <c r="AT1579">
        <v>9</v>
      </c>
      <c r="AU1579">
        <v>8.5299999999999994</v>
      </c>
    </row>
    <row r="1580" spans="46:47" x14ac:dyDescent="0.2">
      <c r="AT1580">
        <v>13</v>
      </c>
      <c r="AU1580">
        <v>8.5299999999999994</v>
      </c>
    </row>
    <row r="1581" spans="46:47" x14ac:dyDescent="0.2">
      <c r="AT1581">
        <v>10</v>
      </c>
      <c r="AU1581">
        <v>8.5299999999999994</v>
      </c>
    </row>
    <row r="1582" spans="46:47" x14ac:dyDescent="0.2">
      <c r="AT1582">
        <v>15</v>
      </c>
      <c r="AU1582">
        <v>8.5299999999999994</v>
      </c>
    </row>
    <row r="1583" spans="46:47" x14ac:dyDescent="0.2">
      <c r="AT1583">
        <v>11</v>
      </c>
      <c r="AU1583">
        <v>8.5299999999999994</v>
      </c>
    </row>
    <row r="1584" spans="46:47" x14ac:dyDescent="0.2">
      <c r="AT1584">
        <v>8</v>
      </c>
      <c r="AU1584">
        <v>8.5299999999999994</v>
      </c>
    </row>
    <row r="1585" spans="46:47" x14ac:dyDescent="0.2">
      <c r="AT1585">
        <v>10</v>
      </c>
      <c r="AU1585">
        <v>8.52</v>
      </c>
    </row>
    <row r="1586" spans="46:47" x14ac:dyDescent="0.2">
      <c r="AT1586">
        <v>26</v>
      </c>
      <c r="AU1586">
        <v>8.52</v>
      </c>
    </row>
    <row r="1587" spans="46:47" x14ac:dyDescent="0.2">
      <c r="AT1587">
        <v>10</v>
      </c>
      <c r="AU1587">
        <v>8.52</v>
      </c>
    </row>
    <row r="1588" spans="46:47" x14ac:dyDescent="0.2">
      <c r="AT1588">
        <v>12</v>
      </c>
      <c r="AU1588">
        <v>8.51</v>
      </c>
    </row>
    <row r="1589" spans="46:47" x14ac:dyDescent="0.2">
      <c r="AT1589">
        <v>11</v>
      </c>
      <c r="AU1589">
        <v>8.51</v>
      </c>
    </row>
    <row r="1590" spans="46:47" x14ac:dyDescent="0.2">
      <c r="AT1590">
        <v>7</v>
      </c>
      <c r="AU1590">
        <v>8.51</v>
      </c>
    </row>
    <row r="1591" spans="46:47" x14ac:dyDescent="0.2">
      <c r="AT1591">
        <v>10</v>
      </c>
      <c r="AU1591">
        <v>8.5</v>
      </c>
    </row>
    <row r="1592" spans="46:47" x14ac:dyDescent="0.2">
      <c r="AT1592">
        <v>12</v>
      </c>
      <c r="AU1592">
        <v>8.5</v>
      </c>
    </row>
    <row r="1593" spans="46:47" x14ac:dyDescent="0.2">
      <c r="AT1593">
        <v>6</v>
      </c>
      <c r="AU1593">
        <v>8.5</v>
      </c>
    </row>
    <row r="1594" spans="46:47" x14ac:dyDescent="0.2">
      <c r="AT1594">
        <v>11</v>
      </c>
      <c r="AU1594">
        <v>8.5</v>
      </c>
    </row>
    <row r="1595" spans="46:47" x14ac:dyDescent="0.2">
      <c r="AT1595">
        <v>8</v>
      </c>
      <c r="AU1595">
        <v>8.5</v>
      </c>
    </row>
    <row r="1596" spans="46:47" x14ac:dyDescent="0.2">
      <c r="AT1596">
        <v>15</v>
      </c>
      <c r="AU1596">
        <v>8.49</v>
      </c>
    </row>
    <row r="1597" spans="46:47" x14ac:dyDescent="0.2">
      <c r="AT1597">
        <v>15</v>
      </c>
      <c r="AU1597">
        <v>8.48</v>
      </c>
    </row>
    <row r="1598" spans="46:47" x14ac:dyDescent="0.2">
      <c r="AT1598">
        <v>9</v>
      </c>
      <c r="AU1598">
        <v>8.48</v>
      </c>
    </row>
    <row r="1599" spans="46:47" x14ac:dyDescent="0.2">
      <c r="AT1599">
        <v>9</v>
      </c>
      <c r="AU1599">
        <v>8.48</v>
      </c>
    </row>
    <row r="1600" spans="46:47" x14ac:dyDescent="0.2">
      <c r="AT1600">
        <v>12</v>
      </c>
      <c r="AU1600">
        <v>8.4700000000000006</v>
      </c>
    </row>
    <row r="1601" spans="46:47" x14ac:dyDescent="0.2">
      <c r="AT1601">
        <v>11</v>
      </c>
      <c r="AU1601">
        <v>8.4700000000000006</v>
      </c>
    </row>
    <row r="1602" spans="46:47" x14ac:dyDescent="0.2">
      <c r="AT1602">
        <v>11</v>
      </c>
      <c r="AU1602">
        <v>8.4700000000000006</v>
      </c>
    </row>
    <row r="1603" spans="46:47" x14ac:dyDescent="0.2">
      <c r="AT1603">
        <v>8</v>
      </c>
      <c r="AU1603">
        <v>8.4600000000000009</v>
      </c>
    </row>
    <row r="1604" spans="46:47" x14ac:dyDescent="0.2">
      <c r="AT1604">
        <v>15</v>
      </c>
      <c r="AU1604">
        <v>8.4499999999999993</v>
      </c>
    </row>
    <row r="1605" spans="46:47" x14ac:dyDescent="0.2">
      <c r="AT1605">
        <v>9</v>
      </c>
      <c r="AU1605">
        <v>8.4499999999999993</v>
      </c>
    </row>
    <row r="1606" spans="46:47" x14ac:dyDescent="0.2">
      <c r="AT1606">
        <v>10</v>
      </c>
      <c r="AU1606">
        <v>8.4499999999999993</v>
      </c>
    </row>
    <row r="1607" spans="46:47" x14ac:dyDescent="0.2">
      <c r="AT1607">
        <v>17</v>
      </c>
      <c r="AU1607">
        <v>8.43</v>
      </c>
    </row>
    <row r="1608" spans="46:47" x14ac:dyDescent="0.2">
      <c r="AT1608">
        <v>10</v>
      </c>
      <c r="AU1608">
        <v>8.43</v>
      </c>
    </row>
    <row r="1609" spans="46:47" x14ac:dyDescent="0.2">
      <c r="AT1609">
        <v>11</v>
      </c>
      <c r="AU1609">
        <v>8.43</v>
      </c>
    </row>
    <row r="1610" spans="46:47" x14ac:dyDescent="0.2">
      <c r="AT1610">
        <v>14</v>
      </c>
      <c r="AU1610">
        <v>8.41</v>
      </c>
    </row>
    <row r="1611" spans="46:47" x14ac:dyDescent="0.2">
      <c r="AT1611">
        <v>13</v>
      </c>
      <c r="AU1611">
        <v>8.41</v>
      </c>
    </row>
    <row r="1612" spans="46:47" x14ac:dyDescent="0.2">
      <c r="AT1612">
        <v>8</v>
      </c>
      <c r="AU1612">
        <v>8.4</v>
      </c>
    </row>
    <row r="1613" spans="46:47" x14ac:dyDescent="0.2">
      <c r="AT1613">
        <v>13</v>
      </c>
      <c r="AU1613">
        <v>8.39</v>
      </c>
    </row>
    <row r="1614" spans="46:47" x14ac:dyDescent="0.2">
      <c r="AT1614">
        <v>14</v>
      </c>
      <c r="AU1614">
        <v>8.39</v>
      </c>
    </row>
    <row r="1615" spans="46:47" x14ac:dyDescent="0.2">
      <c r="AT1615">
        <v>10</v>
      </c>
      <c r="AU1615">
        <v>8.39</v>
      </c>
    </row>
    <row r="1616" spans="46:47" x14ac:dyDescent="0.2">
      <c r="AT1616">
        <v>11</v>
      </c>
      <c r="AU1616">
        <v>8.3800000000000008</v>
      </c>
    </row>
    <row r="1617" spans="46:47" x14ac:dyDescent="0.2">
      <c r="AT1617">
        <v>8</v>
      </c>
      <c r="AU1617">
        <v>8.3800000000000008</v>
      </c>
    </row>
    <row r="1618" spans="46:47" x14ac:dyDescent="0.2">
      <c r="AT1618">
        <v>5</v>
      </c>
      <c r="AU1618">
        <v>8.3699999999999992</v>
      </c>
    </row>
    <row r="1619" spans="46:47" x14ac:dyDescent="0.2">
      <c r="AT1619">
        <v>7</v>
      </c>
      <c r="AU1619">
        <v>8.3699999999999992</v>
      </c>
    </row>
    <row r="1620" spans="46:47" x14ac:dyDescent="0.2">
      <c r="AT1620">
        <v>9</v>
      </c>
      <c r="AU1620">
        <v>8.36</v>
      </c>
    </row>
    <row r="1621" spans="46:47" x14ac:dyDescent="0.2">
      <c r="AT1621">
        <v>14</v>
      </c>
      <c r="AU1621">
        <v>8.35</v>
      </c>
    </row>
    <row r="1622" spans="46:47" x14ac:dyDescent="0.2">
      <c r="AT1622">
        <v>13</v>
      </c>
      <c r="AU1622">
        <v>8.34</v>
      </c>
    </row>
    <row r="1623" spans="46:47" x14ac:dyDescent="0.2">
      <c r="AT1623">
        <v>10</v>
      </c>
      <c r="AU1623">
        <v>8.34</v>
      </c>
    </row>
    <row r="1624" spans="46:47" x14ac:dyDescent="0.2">
      <c r="AT1624">
        <v>10</v>
      </c>
      <c r="AU1624">
        <v>8.34</v>
      </c>
    </row>
    <row r="1625" spans="46:47" x14ac:dyDescent="0.2">
      <c r="AT1625">
        <v>12</v>
      </c>
      <c r="AU1625">
        <v>8.34</v>
      </c>
    </row>
    <row r="1626" spans="46:47" x14ac:dyDescent="0.2">
      <c r="AT1626">
        <v>19</v>
      </c>
      <c r="AU1626">
        <v>8.33</v>
      </c>
    </row>
    <row r="1627" spans="46:47" x14ac:dyDescent="0.2">
      <c r="AT1627">
        <v>12</v>
      </c>
      <c r="AU1627">
        <v>8.32</v>
      </c>
    </row>
    <row r="1628" spans="46:47" x14ac:dyDescent="0.2">
      <c r="AT1628">
        <v>6</v>
      </c>
      <c r="AU1628">
        <v>8.31</v>
      </c>
    </row>
    <row r="1629" spans="46:47" x14ac:dyDescent="0.2">
      <c r="AT1629">
        <v>10</v>
      </c>
      <c r="AU1629">
        <v>8.3000000000000007</v>
      </c>
    </row>
    <row r="1630" spans="46:47" x14ac:dyDescent="0.2">
      <c r="AT1630">
        <v>8</v>
      </c>
      <c r="AU1630">
        <v>8.3000000000000007</v>
      </c>
    </row>
    <row r="1631" spans="46:47" x14ac:dyDescent="0.2">
      <c r="AT1631">
        <v>16</v>
      </c>
      <c r="AU1631">
        <v>8.2799999999999994</v>
      </c>
    </row>
    <row r="1632" spans="46:47" x14ac:dyDescent="0.2">
      <c r="AT1632">
        <v>13</v>
      </c>
      <c r="AU1632">
        <v>8.27</v>
      </c>
    </row>
    <row r="1633" spans="46:47" x14ac:dyDescent="0.2">
      <c r="AT1633">
        <v>9</v>
      </c>
      <c r="AU1633">
        <v>8.27</v>
      </c>
    </row>
    <row r="1634" spans="46:47" x14ac:dyDescent="0.2">
      <c r="AT1634">
        <v>10</v>
      </c>
      <c r="AU1634">
        <v>8.27</v>
      </c>
    </row>
    <row r="1635" spans="46:47" x14ac:dyDescent="0.2">
      <c r="AT1635">
        <v>12</v>
      </c>
      <c r="AU1635">
        <v>8.25</v>
      </c>
    </row>
    <row r="1636" spans="46:47" x14ac:dyDescent="0.2">
      <c r="AT1636">
        <v>5</v>
      </c>
      <c r="AU1636">
        <v>8.25</v>
      </c>
    </row>
    <row r="1637" spans="46:47" x14ac:dyDescent="0.2">
      <c r="AT1637">
        <v>12</v>
      </c>
      <c r="AU1637">
        <v>8.24</v>
      </c>
    </row>
    <row r="1638" spans="46:47" x14ac:dyDescent="0.2">
      <c r="AT1638">
        <v>12</v>
      </c>
      <c r="AU1638">
        <v>8.24</v>
      </c>
    </row>
    <row r="1639" spans="46:47" x14ac:dyDescent="0.2">
      <c r="AT1639">
        <v>17</v>
      </c>
      <c r="AU1639">
        <v>8.23</v>
      </c>
    </row>
    <row r="1640" spans="46:47" x14ac:dyDescent="0.2">
      <c r="AT1640">
        <v>10</v>
      </c>
      <c r="AU1640">
        <v>8.2200000000000006</v>
      </c>
    </row>
    <row r="1641" spans="46:47" x14ac:dyDescent="0.2">
      <c r="AT1641">
        <v>9</v>
      </c>
      <c r="AU1641">
        <v>8.2200000000000006</v>
      </c>
    </row>
    <row r="1642" spans="46:47" x14ac:dyDescent="0.2">
      <c r="AT1642">
        <v>10</v>
      </c>
      <c r="AU1642">
        <v>8.2200000000000006</v>
      </c>
    </row>
    <row r="1643" spans="46:47" x14ac:dyDescent="0.2">
      <c r="AT1643">
        <v>10</v>
      </c>
      <c r="AU1643">
        <v>8.2100000000000009</v>
      </c>
    </row>
    <row r="1644" spans="46:47" x14ac:dyDescent="0.2">
      <c r="AT1644">
        <v>10</v>
      </c>
      <c r="AU1644">
        <v>8.1999999999999993</v>
      </c>
    </row>
    <row r="1645" spans="46:47" x14ac:dyDescent="0.2">
      <c r="AT1645">
        <v>10</v>
      </c>
      <c r="AU1645">
        <v>8.19</v>
      </c>
    </row>
    <row r="1646" spans="46:47" x14ac:dyDescent="0.2">
      <c r="AT1646">
        <v>12</v>
      </c>
      <c r="AU1646">
        <v>8.18</v>
      </c>
    </row>
    <row r="1647" spans="46:47" x14ac:dyDescent="0.2">
      <c r="AT1647">
        <v>12</v>
      </c>
      <c r="AU1647">
        <v>8.18</v>
      </c>
    </row>
    <row r="1648" spans="46:47" x14ac:dyDescent="0.2">
      <c r="AT1648">
        <v>9</v>
      </c>
      <c r="AU1648">
        <v>8.17</v>
      </c>
    </row>
    <row r="1649" spans="46:47" x14ac:dyDescent="0.2">
      <c r="AT1649">
        <v>14</v>
      </c>
      <c r="AU1649">
        <v>8.16</v>
      </c>
    </row>
    <row r="1650" spans="46:47" x14ac:dyDescent="0.2">
      <c r="AT1650">
        <v>7</v>
      </c>
      <c r="AU1650">
        <v>8.16</v>
      </c>
    </row>
    <row r="1651" spans="46:47" x14ac:dyDescent="0.2">
      <c r="AT1651">
        <v>8</v>
      </c>
      <c r="AU1651">
        <v>8.16</v>
      </c>
    </row>
    <row r="1652" spans="46:47" x14ac:dyDescent="0.2">
      <c r="AT1652">
        <v>8</v>
      </c>
      <c r="AU1652">
        <v>8.1300000000000008</v>
      </c>
    </row>
    <row r="1653" spans="46:47" x14ac:dyDescent="0.2">
      <c r="AT1653">
        <v>5</v>
      </c>
      <c r="AU1653">
        <v>8.1300000000000008</v>
      </c>
    </row>
    <row r="1654" spans="46:47" x14ac:dyDescent="0.2">
      <c r="AT1654">
        <v>11</v>
      </c>
      <c r="AU1654">
        <v>8.1300000000000008</v>
      </c>
    </row>
    <row r="1655" spans="46:47" x14ac:dyDescent="0.2">
      <c r="AT1655">
        <v>11</v>
      </c>
      <c r="AU1655">
        <v>8.11</v>
      </c>
    </row>
    <row r="1656" spans="46:47" x14ac:dyDescent="0.2">
      <c r="AT1656">
        <v>11</v>
      </c>
      <c r="AU1656">
        <v>8.1</v>
      </c>
    </row>
    <row r="1657" spans="46:47" x14ac:dyDescent="0.2">
      <c r="AT1657">
        <v>9</v>
      </c>
      <c r="AU1657">
        <v>8.07</v>
      </c>
    </row>
    <row r="1658" spans="46:47" x14ac:dyDescent="0.2">
      <c r="AT1658">
        <v>19</v>
      </c>
      <c r="AU1658">
        <v>8.06</v>
      </c>
    </row>
    <row r="1659" spans="46:47" x14ac:dyDescent="0.2">
      <c r="AT1659">
        <v>11</v>
      </c>
      <c r="AU1659">
        <v>8.06</v>
      </c>
    </row>
    <row r="1660" spans="46:47" x14ac:dyDescent="0.2">
      <c r="AT1660">
        <v>3</v>
      </c>
      <c r="AU1660">
        <v>8.06</v>
      </c>
    </row>
    <row r="1661" spans="46:47" x14ac:dyDescent="0.2">
      <c r="AT1661">
        <v>11</v>
      </c>
      <c r="AU1661">
        <v>8.0299999999999994</v>
      </c>
    </row>
    <row r="1662" spans="46:47" x14ac:dyDescent="0.2">
      <c r="AT1662">
        <v>10</v>
      </c>
      <c r="AU1662">
        <v>8.01</v>
      </c>
    </row>
    <row r="1663" spans="46:47" x14ac:dyDescent="0.2">
      <c r="AT1663">
        <v>15</v>
      </c>
      <c r="AU1663">
        <v>8</v>
      </c>
    </row>
    <row r="1664" spans="46:47" x14ac:dyDescent="0.2">
      <c r="AT1664">
        <v>9</v>
      </c>
      <c r="AU1664">
        <v>8</v>
      </c>
    </row>
    <row r="1665" spans="46:47" x14ac:dyDescent="0.2">
      <c r="AT1665">
        <v>9</v>
      </c>
      <c r="AU1665">
        <v>7.98</v>
      </c>
    </row>
    <row r="1666" spans="46:47" x14ac:dyDescent="0.2">
      <c r="AT1666">
        <v>14</v>
      </c>
      <c r="AU1666">
        <v>7.96</v>
      </c>
    </row>
    <row r="1667" spans="46:47" x14ac:dyDescent="0.2">
      <c r="AT1667">
        <v>16</v>
      </c>
      <c r="AU1667">
        <v>7.95</v>
      </c>
    </row>
    <row r="1668" spans="46:47" x14ac:dyDescent="0.2">
      <c r="AT1668">
        <v>10</v>
      </c>
      <c r="AU1668">
        <v>7.95</v>
      </c>
    </row>
    <row r="1669" spans="46:47" x14ac:dyDescent="0.2">
      <c r="AT1669">
        <v>10</v>
      </c>
      <c r="AU1669">
        <v>7.94</v>
      </c>
    </row>
    <row r="1670" spans="46:47" x14ac:dyDescent="0.2">
      <c r="AT1670">
        <v>7</v>
      </c>
      <c r="AU1670">
        <v>7.94</v>
      </c>
    </row>
    <row r="1671" spans="46:47" x14ac:dyDescent="0.2">
      <c r="AT1671">
        <v>9</v>
      </c>
      <c r="AU1671">
        <v>7.94</v>
      </c>
    </row>
    <row r="1672" spans="46:47" x14ac:dyDescent="0.2">
      <c r="AT1672">
        <v>17</v>
      </c>
      <c r="AU1672">
        <v>7.94</v>
      </c>
    </row>
    <row r="1673" spans="46:47" x14ac:dyDescent="0.2">
      <c r="AT1673">
        <v>10</v>
      </c>
      <c r="AU1673">
        <v>7.89</v>
      </c>
    </row>
    <row r="1674" spans="46:47" x14ac:dyDescent="0.2">
      <c r="AT1674">
        <v>13</v>
      </c>
      <c r="AU1674">
        <v>7.87</v>
      </c>
    </row>
    <row r="1675" spans="46:47" x14ac:dyDescent="0.2">
      <c r="AT1675">
        <v>6</v>
      </c>
      <c r="AU1675">
        <v>7.84</v>
      </c>
    </row>
    <row r="1676" spans="46:47" x14ac:dyDescent="0.2">
      <c r="AT1676">
        <v>8</v>
      </c>
      <c r="AU1676">
        <v>7.84</v>
      </c>
    </row>
    <row r="1677" spans="46:47" x14ac:dyDescent="0.2">
      <c r="AT1677">
        <v>10</v>
      </c>
      <c r="AU1677">
        <v>7.79</v>
      </c>
    </row>
    <row r="1678" spans="46:47" x14ac:dyDescent="0.2">
      <c r="AT1678">
        <v>8</v>
      </c>
      <c r="AU1678">
        <v>7.74</v>
      </c>
    </row>
    <row r="1679" spans="46:47" x14ac:dyDescent="0.2">
      <c r="AT1679">
        <v>18</v>
      </c>
      <c r="AU1679">
        <v>7.7</v>
      </c>
    </row>
    <row r="1680" spans="46:47" x14ac:dyDescent="0.2">
      <c r="AT1680">
        <v>10</v>
      </c>
      <c r="AU1680">
        <v>7.69</v>
      </c>
    </row>
    <row r="1681" spans="46:47" x14ac:dyDescent="0.2">
      <c r="AT1681">
        <v>12</v>
      </c>
      <c r="AU1681">
        <v>7.66</v>
      </c>
    </row>
    <row r="1682" spans="46:47" x14ac:dyDescent="0.2">
      <c r="AT1682">
        <v>15</v>
      </c>
      <c r="AU1682">
        <v>7.66</v>
      </c>
    </row>
    <row r="1683" spans="46:47" x14ac:dyDescent="0.2">
      <c r="AT1683">
        <v>10</v>
      </c>
      <c r="AU1683">
        <v>7.66</v>
      </c>
    </row>
    <row r="1684" spans="46:47" x14ac:dyDescent="0.2">
      <c r="AT1684">
        <v>11</v>
      </c>
      <c r="AU1684">
        <v>7.64</v>
      </c>
    </row>
    <row r="1685" spans="46:47" x14ac:dyDescent="0.2">
      <c r="AT1685">
        <v>8</v>
      </c>
      <c r="AU1685">
        <v>7.61</v>
      </c>
    </row>
    <row r="1686" spans="46:47" x14ac:dyDescent="0.2">
      <c r="AT1686">
        <v>12</v>
      </c>
      <c r="AU1686">
        <v>7.4</v>
      </c>
    </row>
    <row r="1687" spans="46:47" x14ac:dyDescent="0.2">
      <c r="AT1687">
        <v>18</v>
      </c>
      <c r="AU1687">
        <v>7.2</v>
      </c>
    </row>
    <row r="1688" spans="46:47" x14ac:dyDescent="0.2">
      <c r="AT1688">
        <v>7</v>
      </c>
      <c r="AU1688">
        <v>7.16</v>
      </c>
    </row>
    <row r="1689" spans="46:47" x14ac:dyDescent="0.2">
      <c r="AT1689">
        <v>12</v>
      </c>
      <c r="AU1689">
        <v>7.04</v>
      </c>
    </row>
    <row r="1690" spans="46:47" x14ac:dyDescent="0.2">
      <c r="AT1690">
        <v>10</v>
      </c>
      <c r="AU1690">
        <v>6.99</v>
      </c>
    </row>
    <row r="1691" spans="46:47" x14ac:dyDescent="0.2">
      <c r="AT1691">
        <v>12</v>
      </c>
      <c r="AU1691">
        <v>6.98</v>
      </c>
    </row>
    <row r="1692" spans="46:47" x14ac:dyDescent="0.2">
      <c r="AT1692">
        <v>9</v>
      </c>
      <c r="AU1692">
        <v>5.9</v>
      </c>
    </row>
    <row r="1693" spans="46:47" x14ac:dyDescent="0.2">
      <c r="AT1693">
        <v>17</v>
      </c>
      <c r="AU1693">
        <v>4.62</v>
      </c>
    </row>
    <row r="1694" spans="46:47" x14ac:dyDescent="0.2">
      <c r="AT1694">
        <v>11</v>
      </c>
      <c r="AU1694">
        <v>3.37</v>
      </c>
    </row>
    <row r="1695" spans="46:47" x14ac:dyDescent="0.2">
      <c r="AT1695">
        <v>10</v>
      </c>
      <c r="AU1695">
        <v>2.39</v>
      </c>
    </row>
    <row r="1696" spans="46:47" x14ac:dyDescent="0.2">
      <c r="AT1696">
        <v>8</v>
      </c>
      <c r="AU1696">
        <v>0.76</v>
      </c>
    </row>
    <row r="1699" spans="46:47" x14ac:dyDescent="0.2">
      <c r="AT1699" t="s">
        <v>3787</v>
      </c>
      <c r="AU1699" t="s">
        <v>957</v>
      </c>
    </row>
    <row r="1700" spans="46:47" x14ac:dyDescent="0.2">
      <c r="AT1700">
        <v>0.52</v>
      </c>
      <c r="AU1700">
        <v>10.99</v>
      </c>
    </row>
    <row r="1701" spans="46:47" x14ac:dyDescent="0.2">
      <c r="AT1701">
        <v>0</v>
      </c>
      <c r="AU1701">
        <v>10.85</v>
      </c>
    </row>
    <row r="1702" spans="46:47" x14ac:dyDescent="0.2">
      <c r="AT1702">
        <v>0.71</v>
      </c>
      <c r="AU1702">
        <v>10.44</v>
      </c>
    </row>
    <row r="1703" spans="46:47" x14ac:dyDescent="0.2">
      <c r="AT1703">
        <v>0.55000000000000004</v>
      </c>
      <c r="AU1703">
        <v>10.39</v>
      </c>
    </row>
    <row r="1704" spans="46:47" x14ac:dyDescent="0.2">
      <c r="AT1704">
        <v>0.87</v>
      </c>
      <c r="AU1704">
        <v>10.37</v>
      </c>
    </row>
    <row r="1705" spans="46:47" x14ac:dyDescent="0.2">
      <c r="AT1705">
        <v>0.61</v>
      </c>
      <c r="AU1705">
        <v>10.07</v>
      </c>
    </row>
    <row r="1706" spans="46:47" x14ac:dyDescent="0.2">
      <c r="AT1706">
        <v>0.41</v>
      </c>
      <c r="AU1706">
        <v>10.050000000000001</v>
      </c>
    </row>
    <row r="1707" spans="46:47" x14ac:dyDescent="0.2">
      <c r="AT1707">
        <v>0.91</v>
      </c>
      <c r="AU1707">
        <v>10</v>
      </c>
    </row>
    <row r="1708" spans="46:47" x14ac:dyDescent="0.2">
      <c r="AT1708">
        <v>0.74</v>
      </c>
      <c r="AU1708">
        <v>9.99</v>
      </c>
    </row>
    <row r="1709" spans="46:47" x14ac:dyDescent="0.2">
      <c r="AT1709">
        <v>0.74</v>
      </c>
      <c r="AU1709">
        <v>9.9600000000000009</v>
      </c>
    </row>
    <row r="1710" spans="46:47" x14ac:dyDescent="0.2">
      <c r="AT1710">
        <v>0.91</v>
      </c>
      <c r="AU1710">
        <v>9.77</v>
      </c>
    </row>
    <row r="1711" spans="46:47" x14ac:dyDescent="0.2">
      <c r="AT1711">
        <v>0.8</v>
      </c>
      <c r="AU1711">
        <v>9.5500000000000007</v>
      </c>
    </row>
    <row r="1712" spans="46:47" x14ac:dyDescent="0.2">
      <c r="AT1712">
        <v>0.78</v>
      </c>
      <c r="AU1712">
        <v>9.5299999999999994</v>
      </c>
    </row>
    <row r="1713" spans="46:47" x14ac:dyDescent="0.2">
      <c r="AT1713">
        <v>0.73</v>
      </c>
      <c r="AU1713">
        <v>9.4600000000000009</v>
      </c>
    </row>
    <row r="1714" spans="46:47" x14ac:dyDescent="0.2">
      <c r="AT1714">
        <v>0.8</v>
      </c>
      <c r="AU1714">
        <v>9.44</v>
      </c>
    </row>
    <row r="1715" spans="46:47" x14ac:dyDescent="0.2">
      <c r="AT1715">
        <v>0.75</v>
      </c>
      <c r="AU1715">
        <v>9.43</v>
      </c>
    </row>
    <row r="1716" spans="46:47" x14ac:dyDescent="0.2">
      <c r="AT1716">
        <v>0.92</v>
      </c>
      <c r="AU1716">
        <v>9.42</v>
      </c>
    </row>
    <row r="1717" spans="46:47" x14ac:dyDescent="0.2">
      <c r="AT1717">
        <v>0.83</v>
      </c>
      <c r="AU1717">
        <v>9.3699999999999992</v>
      </c>
    </row>
    <row r="1718" spans="46:47" x14ac:dyDescent="0.2">
      <c r="AT1718">
        <v>1</v>
      </c>
      <c r="AU1718">
        <v>9.3699999999999992</v>
      </c>
    </row>
    <row r="1719" spans="46:47" x14ac:dyDescent="0.2">
      <c r="AT1719">
        <v>0.87</v>
      </c>
      <c r="AU1719">
        <v>9.36</v>
      </c>
    </row>
    <row r="1720" spans="46:47" x14ac:dyDescent="0.2">
      <c r="AT1720">
        <v>0.85</v>
      </c>
      <c r="AU1720">
        <v>9.34</v>
      </c>
    </row>
    <row r="1721" spans="46:47" x14ac:dyDescent="0.2">
      <c r="AT1721">
        <v>0.86</v>
      </c>
      <c r="AU1721">
        <v>9.24</v>
      </c>
    </row>
    <row r="1722" spans="46:47" x14ac:dyDescent="0.2">
      <c r="AT1722">
        <v>0.78</v>
      </c>
      <c r="AU1722">
        <v>9.23</v>
      </c>
    </row>
    <row r="1723" spans="46:47" x14ac:dyDescent="0.2">
      <c r="AT1723">
        <v>0.69</v>
      </c>
      <c r="AU1723">
        <v>9.23</v>
      </c>
    </row>
    <row r="1724" spans="46:47" x14ac:dyDescent="0.2">
      <c r="AT1724">
        <v>0.74</v>
      </c>
      <c r="AU1724">
        <v>9.23</v>
      </c>
    </row>
    <row r="1725" spans="46:47" x14ac:dyDescent="0.2">
      <c r="AT1725">
        <v>0.93</v>
      </c>
      <c r="AU1725">
        <v>9.2100000000000009</v>
      </c>
    </row>
    <row r="1726" spans="46:47" x14ac:dyDescent="0.2">
      <c r="AT1726">
        <v>0.88</v>
      </c>
      <c r="AU1726">
        <v>9.14</v>
      </c>
    </row>
    <row r="1727" spans="46:47" x14ac:dyDescent="0.2">
      <c r="AT1727">
        <v>0.78</v>
      </c>
      <c r="AU1727">
        <v>9.14</v>
      </c>
    </row>
    <row r="1728" spans="46:47" x14ac:dyDescent="0.2">
      <c r="AT1728">
        <v>0.92</v>
      </c>
      <c r="AU1728">
        <v>9.1</v>
      </c>
    </row>
    <row r="1729" spans="46:47" x14ac:dyDescent="0.2">
      <c r="AT1729">
        <v>0.96</v>
      </c>
      <c r="AU1729">
        <v>9.1</v>
      </c>
    </row>
    <row r="1730" spans="46:47" x14ac:dyDescent="0.2">
      <c r="AT1730">
        <v>0.85</v>
      </c>
      <c r="AU1730">
        <v>9.09</v>
      </c>
    </row>
    <row r="1731" spans="46:47" x14ac:dyDescent="0.2">
      <c r="AT1731">
        <v>0.82</v>
      </c>
      <c r="AU1731">
        <v>9.09</v>
      </c>
    </row>
    <row r="1732" spans="46:47" x14ac:dyDescent="0.2">
      <c r="AT1732">
        <v>0.88</v>
      </c>
      <c r="AU1732">
        <v>9.08</v>
      </c>
    </row>
    <row r="1733" spans="46:47" x14ac:dyDescent="0.2">
      <c r="AT1733">
        <v>0.8</v>
      </c>
      <c r="AU1733">
        <v>9.06</v>
      </c>
    </row>
    <row r="1734" spans="46:47" x14ac:dyDescent="0.2">
      <c r="AT1734">
        <v>0.86</v>
      </c>
      <c r="AU1734">
        <v>9.0399999999999991</v>
      </c>
    </row>
    <row r="1735" spans="46:47" x14ac:dyDescent="0.2">
      <c r="AT1735">
        <v>0.87</v>
      </c>
      <c r="AU1735">
        <v>9.0399999999999991</v>
      </c>
    </row>
    <row r="1736" spans="46:47" x14ac:dyDescent="0.2">
      <c r="AT1736">
        <v>0.96</v>
      </c>
      <c r="AU1736">
        <v>9.0299999999999994</v>
      </c>
    </row>
    <row r="1737" spans="46:47" x14ac:dyDescent="0.2">
      <c r="AT1737">
        <v>0.84</v>
      </c>
      <c r="AU1737">
        <v>9.0299999999999994</v>
      </c>
    </row>
    <row r="1738" spans="46:47" x14ac:dyDescent="0.2">
      <c r="AT1738">
        <v>0.94</v>
      </c>
      <c r="AU1738">
        <v>9.0299999999999994</v>
      </c>
    </row>
    <row r="1739" spans="46:47" x14ac:dyDescent="0.2">
      <c r="AT1739">
        <v>0.57999999999999996</v>
      </c>
      <c r="AU1739">
        <v>9.0299999999999994</v>
      </c>
    </row>
    <row r="1740" spans="46:47" x14ac:dyDescent="0.2">
      <c r="AT1740">
        <v>0.73</v>
      </c>
      <c r="AU1740">
        <v>9.02</v>
      </c>
    </row>
    <row r="1741" spans="46:47" x14ac:dyDescent="0.2">
      <c r="AT1741">
        <v>0.72</v>
      </c>
      <c r="AU1741">
        <v>9.02</v>
      </c>
    </row>
    <row r="1742" spans="46:47" x14ac:dyDescent="0.2">
      <c r="AT1742">
        <v>1.02</v>
      </c>
      <c r="AU1742">
        <v>9</v>
      </c>
    </row>
    <row r="1743" spans="46:47" x14ac:dyDescent="0.2">
      <c r="AT1743">
        <v>0.87</v>
      </c>
      <c r="AU1743">
        <v>9</v>
      </c>
    </row>
    <row r="1744" spans="46:47" x14ac:dyDescent="0.2">
      <c r="AT1744">
        <v>0.81</v>
      </c>
      <c r="AU1744">
        <v>8.98</v>
      </c>
    </row>
    <row r="1745" spans="46:47" x14ac:dyDescent="0.2">
      <c r="AT1745">
        <v>0.79</v>
      </c>
      <c r="AU1745">
        <v>8.9700000000000006</v>
      </c>
    </row>
    <row r="1746" spans="46:47" x14ac:dyDescent="0.2">
      <c r="AT1746">
        <v>0.89</v>
      </c>
      <c r="AU1746">
        <v>8.9700000000000006</v>
      </c>
    </row>
    <row r="1747" spans="46:47" x14ac:dyDescent="0.2">
      <c r="AT1747">
        <v>0.73</v>
      </c>
      <c r="AU1747">
        <v>8.9700000000000006</v>
      </c>
    </row>
    <row r="1748" spans="46:47" x14ac:dyDescent="0.2">
      <c r="AT1748">
        <v>0.55000000000000004</v>
      </c>
      <c r="AU1748">
        <v>8.9700000000000006</v>
      </c>
    </row>
    <row r="1749" spans="46:47" x14ac:dyDescent="0.2">
      <c r="AT1749">
        <v>0.79</v>
      </c>
      <c r="AU1749">
        <v>8.9700000000000006</v>
      </c>
    </row>
    <row r="1750" spans="46:47" x14ac:dyDescent="0.2">
      <c r="AT1750">
        <v>0.6</v>
      </c>
      <c r="AU1750">
        <v>8.9600000000000009</v>
      </c>
    </row>
    <row r="1751" spans="46:47" x14ac:dyDescent="0.2">
      <c r="AT1751">
        <v>0.61</v>
      </c>
      <c r="AU1751">
        <v>8.9600000000000009</v>
      </c>
    </row>
    <row r="1752" spans="46:47" x14ac:dyDescent="0.2">
      <c r="AT1752">
        <v>0.32</v>
      </c>
      <c r="AU1752">
        <v>8.9600000000000009</v>
      </c>
    </row>
    <row r="1753" spans="46:47" x14ac:dyDescent="0.2">
      <c r="AT1753">
        <v>0.76</v>
      </c>
      <c r="AU1753">
        <v>8.9499999999999993</v>
      </c>
    </row>
    <row r="1754" spans="46:47" x14ac:dyDescent="0.2">
      <c r="AT1754">
        <v>0.55000000000000004</v>
      </c>
      <c r="AU1754">
        <v>8.9499999999999993</v>
      </c>
    </row>
    <row r="1755" spans="46:47" x14ac:dyDescent="0.2">
      <c r="AT1755">
        <v>0.74</v>
      </c>
      <c r="AU1755">
        <v>8.94</v>
      </c>
    </row>
    <row r="1756" spans="46:47" x14ac:dyDescent="0.2">
      <c r="AT1756">
        <v>0.85</v>
      </c>
      <c r="AU1756">
        <v>8.93</v>
      </c>
    </row>
    <row r="1757" spans="46:47" x14ac:dyDescent="0.2">
      <c r="AT1757">
        <v>0.89</v>
      </c>
      <c r="AU1757">
        <v>8.93</v>
      </c>
    </row>
    <row r="1758" spans="46:47" x14ac:dyDescent="0.2">
      <c r="AT1758">
        <v>0.9</v>
      </c>
      <c r="AU1758">
        <v>8.93</v>
      </c>
    </row>
    <row r="1759" spans="46:47" x14ac:dyDescent="0.2">
      <c r="AT1759">
        <v>0.75</v>
      </c>
      <c r="AU1759">
        <v>8.92</v>
      </c>
    </row>
    <row r="1760" spans="46:47" x14ac:dyDescent="0.2">
      <c r="AT1760">
        <v>0.61</v>
      </c>
      <c r="AU1760">
        <v>8.92</v>
      </c>
    </row>
    <row r="1761" spans="46:47" x14ac:dyDescent="0.2">
      <c r="AT1761">
        <v>0.89</v>
      </c>
      <c r="AU1761">
        <v>8.92</v>
      </c>
    </row>
    <row r="1762" spans="46:47" x14ac:dyDescent="0.2">
      <c r="AT1762">
        <v>0.83</v>
      </c>
      <c r="AU1762">
        <v>8.92</v>
      </c>
    </row>
    <row r="1763" spans="46:47" x14ac:dyDescent="0.2">
      <c r="AT1763">
        <v>0.71</v>
      </c>
      <c r="AU1763">
        <v>8.91</v>
      </c>
    </row>
    <row r="1764" spans="46:47" x14ac:dyDescent="0.2">
      <c r="AT1764">
        <v>0.87</v>
      </c>
      <c r="AU1764">
        <v>8.89</v>
      </c>
    </row>
    <row r="1765" spans="46:47" x14ac:dyDescent="0.2">
      <c r="AT1765">
        <v>0.74</v>
      </c>
      <c r="AU1765">
        <v>8.89</v>
      </c>
    </row>
    <row r="1766" spans="46:47" x14ac:dyDescent="0.2">
      <c r="AT1766">
        <v>0.73</v>
      </c>
      <c r="AU1766">
        <v>8.8800000000000008</v>
      </c>
    </row>
    <row r="1767" spans="46:47" x14ac:dyDescent="0.2">
      <c r="AT1767">
        <v>0.67</v>
      </c>
      <c r="AU1767">
        <v>8.8800000000000008</v>
      </c>
    </row>
    <row r="1768" spans="46:47" x14ac:dyDescent="0.2">
      <c r="AT1768">
        <v>0.93</v>
      </c>
      <c r="AU1768">
        <v>8.8800000000000008</v>
      </c>
    </row>
    <row r="1769" spans="46:47" x14ac:dyDescent="0.2">
      <c r="AT1769">
        <v>0.7</v>
      </c>
      <c r="AU1769">
        <v>8.8699999999999992</v>
      </c>
    </row>
    <row r="1770" spans="46:47" x14ac:dyDescent="0.2">
      <c r="AT1770">
        <v>0.87</v>
      </c>
      <c r="AU1770">
        <v>8.8699999999999992</v>
      </c>
    </row>
    <row r="1771" spans="46:47" x14ac:dyDescent="0.2">
      <c r="AT1771">
        <v>1.07</v>
      </c>
      <c r="AU1771">
        <v>8.8699999999999992</v>
      </c>
    </row>
    <row r="1772" spans="46:47" x14ac:dyDescent="0.2">
      <c r="AT1772">
        <v>0.82</v>
      </c>
      <c r="AU1772">
        <v>8.86</v>
      </c>
    </row>
    <row r="1773" spans="46:47" x14ac:dyDescent="0.2">
      <c r="AT1773">
        <v>0.75</v>
      </c>
      <c r="AU1773">
        <v>8.86</v>
      </c>
    </row>
    <row r="1774" spans="46:47" x14ac:dyDescent="0.2">
      <c r="AT1774">
        <v>0.95</v>
      </c>
      <c r="AU1774">
        <v>8.85</v>
      </c>
    </row>
    <row r="1775" spans="46:47" x14ac:dyDescent="0.2">
      <c r="AT1775">
        <v>0.85</v>
      </c>
      <c r="AU1775">
        <v>8.85</v>
      </c>
    </row>
    <row r="1776" spans="46:47" x14ac:dyDescent="0.2">
      <c r="AT1776">
        <v>1.06</v>
      </c>
      <c r="AU1776">
        <v>8.84</v>
      </c>
    </row>
    <row r="1777" spans="46:47" x14ac:dyDescent="0.2">
      <c r="AT1777">
        <v>0.81</v>
      </c>
      <c r="AU1777">
        <v>8.84</v>
      </c>
    </row>
    <row r="1778" spans="46:47" x14ac:dyDescent="0.2">
      <c r="AT1778">
        <v>0.24</v>
      </c>
      <c r="AU1778">
        <v>8.84</v>
      </c>
    </row>
    <row r="1779" spans="46:47" x14ac:dyDescent="0.2">
      <c r="AT1779">
        <v>0.79</v>
      </c>
      <c r="AU1779">
        <v>8.84</v>
      </c>
    </row>
    <row r="1780" spans="46:47" x14ac:dyDescent="0.2">
      <c r="AT1780">
        <v>0.57999999999999996</v>
      </c>
      <c r="AU1780">
        <v>8.84</v>
      </c>
    </row>
    <row r="1781" spans="46:47" x14ac:dyDescent="0.2">
      <c r="AT1781">
        <v>0.69</v>
      </c>
      <c r="AU1781">
        <v>8.83</v>
      </c>
    </row>
    <row r="1782" spans="46:47" x14ac:dyDescent="0.2">
      <c r="AT1782">
        <v>0.67</v>
      </c>
      <c r="AU1782">
        <v>8.83</v>
      </c>
    </row>
    <row r="1783" spans="46:47" x14ac:dyDescent="0.2">
      <c r="AT1783">
        <v>0.79</v>
      </c>
      <c r="AU1783">
        <v>8.83</v>
      </c>
    </row>
    <row r="1784" spans="46:47" x14ac:dyDescent="0.2">
      <c r="AT1784">
        <v>0.73</v>
      </c>
      <c r="AU1784">
        <v>8.83</v>
      </c>
    </row>
    <row r="1785" spans="46:47" x14ac:dyDescent="0.2">
      <c r="AT1785">
        <v>0.86</v>
      </c>
      <c r="AU1785">
        <v>8.83</v>
      </c>
    </row>
    <row r="1786" spans="46:47" x14ac:dyDescent="0.2">
      <c r="AT1786">
        <v>0.79</v>
      </c>
      <c r="AU1786">
        <v>8.83</v>
      </c>
    </row>
    <row r="1787" spans="46:47" x14ac:dyDescent="0.2">
      <c r="AT1787">
        <v>0.71</v>
      </c>
      <c r="AU1787">
        <v>8.83</v>
      </c>
    </row>
    <row r="1788" spans="46:47" x14ac:dyDescent="0.2">
      <c r="AT1788">
        <v>0.45</v>
      </c>
      <c r="AU1788">
        <v>8.83</v>
      </c>
    </row>
    <row r="1789" spans="46:47" x14ac:dyDescent="0.2">
      <c r="AT1789">
        <v>0.52</v>
      </c>
      <c r="AU1789">
        <v>8.82</v>
      </c>
    </row>
    <row r="1790" spans="46:47" x14ac:dyDescent="0.2">
      <c r="AT1790">
        <v>0.99</v>
      </c>
      <c r="AU1790">
        <v>8.81</v>
      </c>
    </row>
    <row r="1791" spans="46:47" x14ac:dyDescent="0.2">
      <c r="AT1791">
        <v>0.74</v>
      </c>
      <c r="AU1791">
        <v>8.81</v>
      </c>
    </row>
    <row r="1792" spans="46:47" x14ac:dyDescent="0.2">
      <c r="AT1792">
        <v>0.93</v>
      </c>
      <c r="AU1792">
        <v>8.81</v>
      </c>
    </row>
    <row r="1793" spans="46:47" x14ac:dyDescent="0.2">
      <c r="AT1793">
        <v>0.97</v>
      </c>
      <c r="AU1793">
        <v>8.7899999999999991</v>
      </c>
    </row>
    <row r="1794" spans="46:47" x14ac:dyDescent="0.2">
      <c r="AT1794">
        <v>0.99</v>
      </c>
      <c r="AU1794">
        <v>8.7899999999999991</v>
      </c>
    </row>
    <row r="1795" spans="46:47" x14ac:dyDescent="0.2">
      <c r="AT1795">
        <v>0.86</v>
      </c>
      <c r="AU1795">
        <v>8.7899999999999991</v>
      </c>
    </row>
    <row r="1796" spans="46:47" x14ac:dyDescent="0.2">
      <c r="AT1796">
        <v>0.89</v>
      </c>
      <c r="AU1796">
        <v>8.7899999999999991</v>
      </c>
    </row>
    <row r="1797" spans="46:47" x14ac:dyDescent="0.2">
      <c r="AT1797">
        <v>0.55000000000000004</v>
      </c>
      <c r="AU1797">
        <v>8.7799999999999994</v>
      </c>
    </row>
    <row r="1798" spans="46:47" x14ac:dyDescent="0.2">
      <c r="AT1798">
        <v>0.68</v>
      </c>
      <c r="AU1798">
        <v>8.7799999999999994</v>
      </c>
    </row>
    <row r="1799" spans="46:47" x14ac:dyDescent="0.2">
      <c r="AT1799">
        <v>0.85</v>
      </c>
      <c r="AU1799">
        <v>8.7799999999999994</v>
      </c>
    </row>
    <row r="1800" spans="46:47" x14ac:dyDescent="0.2">
      <c r="AT1800">
        <v>0.62</v>
      </c>
      <c r="AU1800">
        <v>8.77</v>
      </c>
    </row>
    <row r="1801" spans="46:47" x14ac:dyDescent="0.2">
      <c r="AT1801">
        <v>0.89</v>
      </c>
      <c r="AU1801">
        <v>8.77</v>
      </c>
    </row>
    <row r="1802" spans="46:47" x14ac:dyDescent="0.2">
      <c r="AT1802">
        <v>0.96</v>
      </c>
      <c r="AU1802">
        <v>8.77</v>
      </c>
    </row>
    <row r="1803" spans="46:47" x14ac:dyDescent="0.2">
      <c r="AT1803">
        <v>0.79</v>
      </c>
      <c r="AU1803">
        <v>8.76</v>
      </c>
    </row>
    <row r="1804" spans="46:47" x14ac:dyDescent="0.2">
      <c r="AT1804">
        <v>0.75</v>
      </c>
      <c r="AU1804">
        <v>8.76</v>
      </c>
    </row>
    <row r="1805" spans="46:47" x14ac:dyDescent="0.2">
      <c r="AT1805">
        <v>0.75</v>
      </c>
      <c r="AU1805">
        <v>8.76</v>
      </c>
    </row>
    <row r="1806" spans="46:47" x14ac:dyDescent="0.2">
      <c r="AT1806">
        <v>0.72</v>
      </c>
      <c r="AU1806">
        <v>8.75</v>
      </c>
    </row>
    <row r="1807" spans="46:47" x14ac:dyDescent="0.2">
      <c r="AT1807">
        <v>1.04</v>
      </c>
      <c r="AU1807">
        <v>8.75</v>
      </c>
    </row>
    <row r="1808" spans="46:47" x14ac:dyDescent="0.2">
      <c r="AT1808">
        <v>0.86</v>
      </c>
      <c r="AU1808">
        <v>8.74</v>
      </c>
    </row>
    <row r="1809" spans="46:47" x14ac:dyDescent="0.2">
      <c r="AT1809">
        <v>0.84</v>
      </c>
      <c r="AU1809">
        <v>8.74</v>
      </c>
    </row>
    <row r="1810" spans="46:47" x14ac:dyDescent="0.2">
      <c r="AT1810">
        <v>0.68</v>
      </c>
      <c r="AU1810">
        <v>8.74</v>
      </c>
    </row>
    <row r="1811" spans="46:47" x14ac:dyDescent="0.2">
      <c r="AT1811">
        <v>0.79</v>
      </c>
      <c r="AU1811">
        <v>8.73</v>
      </c>
    </row>
    <row r="1812" spans="46:47" x14ac:dyDescent="0.2">
      <c r="AT1812">
        <v>0.97</v>
      </c>
      <c r="AU1812">
        <v>8.73</v>
      </c>
    </row>
    <row r="1813" spans="46:47" x14ac:dyDescent="0.2">
      <c r="AT1813">
        <v>0.57999999999999996</v>
      </c>
      <c r="AU1813">
        <v>8.7200000000000006</v>
      </c>
    </row>
    <row r="1814" spans="46:47" x14ac:dyDescent="0.2">
      <c r="AT1814">
        <v>0.66</v>
      </c>
      <c r="AU1814">
        <v>8.7200000000000006</v>
      </c>
    </row>
    <row r="1815" spans="46:47" x14ac:dyDescent="0.2">
      <c r="AT1815">
        <v>0.25</v>
      </c>
      <c r="AU1815">
        <v>8.7200000000000006</v>
      </c>
    </row>
    <row r="1816" spans="46:47" x14ac:dyDescent="0.2">
      <c r="AT1816">
        <v>0.83</v>
      </c>
      <c r="AU1816">
        <v>8.7200000000000006</v>
      </c>
    </row>
    <row r="1817" spans="46:47" x14ac:dyDescent="0.2">
      <c r="AT1817">
        <v>0.85</v>
      </c>
      <c r="AU1817">
        <v>8.7100000000000009</v>
      </c>
    </row>
    <row r="1818" spans="46:47" x14ac:dyDescent="0.2">
      <c r="AT1818">
        <v>0.86</v>
      </c>
      <c r="AU1818">
        <v>8.7100000000000009</v>
      </c>
    </row>
    <row r="1819" spans="46:47" x14ac:dyDescent="0.2">
      <c r="AT1819">
        <v>0.65</v>
      </c>
      <c r="AU1819">
        <v>8.7100000000000009</v>
      </c>
    </row>
    <row r="1820" spans="46:47" x14ac:dyDescent="0.2">
      <c r="AT1820">
        <v>0.91</v>
      </c>
      <c r="AU1820">
        <v>8.7100000000000009</v>
      </c>
    </row>
    <row r="1821" spans="46:47" x14ac:dyDescent="0.2">
      <c r="AT1821">
        <v>0.68</v>
      </c>
      <c r="AU1821">
        <v>8.7100000000000009</v>
      </c>
    </row>
    <row r="1822" spans="46:47" x14ac:dyDescent="0.2">
      <c r="AT1822">
        <v>0.47</v>
      </c>
      <c r="AU1822">
        <v>8.7100000000000009</v>
      </c>
    </row>
    <row r="1823" spans="46:47" x14ac:dyDescent="0.2">
      <c r="AT1823">
        <v>0.75</v>
      </c>
      <c r="AU1823">
        <v>8.6999999999999993</v>
      </c>
    </row>
    <row r="1824" spans="46:47" x14ac:dyDescent="0.2">
      <c r="AT1824">
        <v>0.83</v>
      </c>
      <c r="AU1824">
        <v>8.6999999999999993</v>
      </c>
    </row>
    <row r="1825" spans="46:47" x14ac:dyDescent="0.2">
      <c r="AT1825">
        <v>0.68</v>
      </c>
      <c r="AU1825">
        <v>8.6999999999999993</v>
      </c>
    </row>
    <row r="1826" spans="46:47" x14ac:dyDescent="0.2">
      <c r="AT1826">
        <v>0.69</v>
      </c>
      <c r="AU1826">
        <v>8.6999999999999993</v>
      </c>
    </row>
    <row r="1827" spans="46:47" x14ac:dyDescent="0.2">
      <c r="AT1827">
        <v>0.86</v>
      </c>
      <c r="AU1827">
        <v>8.6999999999999993</v>
      </c>
    </row>
    <row r="1828" spans="46:47" x14ac:dyDescent="0.2">
      <c r="AT1828">
        <v>0.61</v>
      </c>
      <c r="AU1828">
        <v>8.69</v>
      </c>
    </row>
    <row r="1829" spans="46:47" x14ac:dyDescent="0.2">
      <c r="AT1829">
        <v>0.98</v>
      </c>
      <c r="AU1829">
        <v>8.69</v>
      </c>
    </row>
    <row r="1830" spans="46:47" x14ac:dyDescent="0.2">
      <c r="AT1830">
        <v>0.7</v>
      </c>
      <c r="AU1830">
        <v>8.69</v>
      </c>
    </row>
    <row r="1831" spans="46:47" x14ac:dyDescent="0.2">
      <c r="AT1831">
        <v>0.73</v>
      </c>
      <c r="AU1831">
        <v>8.69</v>
      </c>
    </row>
    <row r="1832" spans="46:47" x14ac:dyDescent="0.2">
      <c r="AT1832">
        <v>0.7</v>
      </c>
      <c r="AU1832">
        <v>8.68</v>
      </c>
    </row>
    <row r="1833" spans="46:47" x14ac:dyDescent="0.2">
      <c r="AT1833">
        <v>0.88</v>
      </c>
      <c r="AU1833">
        <v>8.68</v>
      </c>
    </row>
    <row r="1834" spans="46:47" x14ac:dyDescent="0.2">
      <c r="AT1834">
        <v>0.64</v>
      </c>
      <c r="AU1834">
        <v>8.68</v>
      </c>
    </row>
    <row r="1835" spans="46:47" x14ac:dyDescent="0.2">
      <c r="AT1835">
        <v>0.89</v>
      </c>
      <c r="AU1835">
        <v>8.67</v>
      </c>
    </row>
    <row r="1836" spans="46:47" x14ac:dyDescent="0.2">
      <c r="AT1836">
        <v>0.75</v>
      </c>
      <c r="AU1836">
        <v>8.67</v>
      </c>
    </row>
    <row r="1837" spans="46:47" x14ac:dyDescent="0.2">
      <c r="AT1837">
        <v>0.7</v>
      </c>
      <c r="AU1837">
        <v>8.67</v>
      </c>
    </row>
    <row r="1838" spans="46:47" x14ac:dyDescent="0.2">
      <c r="AT1838">
        <v>0.7</v>
      </c>
      <c r="AU1838">
        <v>8.67</v>
      </c>
    </row>
    <row r="1839" spans="46:47" x14ac:dyDescent="0.2">
      <c r="AT1839">
        <v>0.86</v>
      </c>
      <c r="AU1839">
        <v>8.66</v>
      </c>
    </row>
    <row r="1840" spans="46:47" x14ac:dyDescent="0.2">
      <c r="AT1840">
        <v>0.89</v>
      </c>
      <c r="AU1840">
        <v>8.66</v>
      </c>
    </row>
    <row r="1841" spans="46:47" x14ac:dyDescent="0.2">
      <c r="AT1841">
        <v>0.75</v>
      </c>
      <c r="AU1841">
        <v>8.66</v>
      </c>
    </row>
    <row r="1842" spans="46:47" x14ac:dyDescent="0.2">
      <c r="AT1842">
        <v>0.78</v>
      </c>
      <c r="AU1842">
        <v>8.65</v>
      </c>
    </row>
    <row r="1843" spans="46:47" x14ac:dyDescent="0.2">
      <c r="AT1843">
        <v>0.75</v>
      </c>
      <c r="AU1843">
        <v>8.65</v>
      </c>
    </row>
    <row r="1844" spans="46:47" x14ac:dyDescent="0.2">
      <c r="AT1844">
        <v>1.33</v>
      </c>
      <c r="AU1844">
        <v>8.65</v>
      </c>
    </row>
    <row r="1845" spans="46:47" x14ac:dyDescent="0.2">
      <c r="AT1845">
        <v>0.56000000000000005</v>
      </c>
      <c r="AU1845">
        <v>8.65</v>
      </c>
    </row>
    <row r="1846" spans="46:47" x14ac:dyDescent="0.2">
      <c r="AT1846">
        <v>0.61</v>
      </c>
      <c r="AU1846">
        <v>8.65</v>
      </c>
    </row>
    <row r="1847" spans="46:47" x14ac:dyDescent="0.2">
      <c r="AT1847">
        <v>0.66</v>
      </c>
      <c r="AU1847">
        <v>8.64</v>
      </c>
    </row>
    <row r="1848" spans="46:47" x14ac:dyDescent="0.2">
      <c r="AT1848">
        <v>0.6</v>
      </c>
      <c r="AU1848">
        <v>8.64</v>
      </c>
    </row>
    <row r="1849" spans="46:47" x14ac:dyDescent="0.2">
      <c r="AT1849">
        <v>0.8</v>
      </c>
      <c r="AU1849">
        <v>8.6300000000000008</v>
      </c>
    </row>
    <row r="1850" spans="46:47" x14ac:dyDescent="0.2">
      <c r="AT1850">
        <v>0.87</v>
      </c>
      <c r="AU1850">
        <v>8.6300000000000008</v>
      </c>
    </row>
    <row r="1851" spans="46:47" x14ac:dyDescent="0.2">
      <c r="AT1851">
        <v>0.78</v>
      </c>
      <c r="AU1851">
        <v>8.6300000000000008</v>
      </c>
    </row>
    <row r="1852" spans="46:47" x14ac:dyDescent="0.2">
      <c r="AT1852">
        <v>0.67</v>
      </c>
      <c r="AU1852">
        <v>8.6300000000000008</v>
      </c>
    </row>
    <row r="1853" spans="46:47" x14ac:dyDescent="0.2">
      <c r="AT1853">
        <v>0.57999999999999996</v>
      </c>
      <c r="AU1853">
        <v>8.6300000000000008</v>
      </c>
    </row>
    <row r="1854" spans="46:47" x14ac:dyDescent="0.2">
      <c r="AT1854">
        <v>0.89</v>
      </c>
      <c r="AU1854">
        <v>8.6199999999999992</v>
      </c>
    </row>
    <row r="1855" spans="46:47" x14ac:dyDescent="0.2">
      <c r="AT1855">
        <v>0.56999999999999995</v>
      </c>
      <c r="AU1855">
        <v>8.6199999999999992</v>
      </c>
    </row>
    <row r="1856" spans="46:47" x14ac:dyDescent="0.2">
      <c r="AT1856">
        <v>0.62</v>
      </c>
      <c r="AU1856">
        <v>8.61</v>
      </c>
    </row>
    <row r="1857" spans="46:47" x14ac:dyDescent="0.2">
      <c r="AT1857">
        <v>0.75</v>
      </c>
      <c r="AU1857">
        <v>8.61</v>
      </c>
    </row>
    <row r="1858" spans="46:47" x14ac:dyDescent="0.2">
      <c r="AT1858">
        <v>0.56000000000000005</v>
      </c>
      <c r="AU1858">
        <v>8.61</v>
      </c>
    </row>
    <row r="1859" spans="46:47" x14ac:dyDescent="0.2">
      <c r="AT1859">
        <v>0.96</v>
      </c>
      <c r="AU1859">
        <v>8.6</v>
      </c>
    </row>
    <row r="1860" spans="46:47" x14ac:dyDescent="0.2">
      <c r="AT1860">
        <v>0.97</v>
      </c>
      <c r="AU1860">
        <v>8.6</v>
      </c>
    </row>
    <row r="1861" spans="46:47" x14ac:dyDescent="0.2">
      <c r="AT1861">
        <v>0.61</v>
      </c>
      <c r="AU1861">
        <v>8.6</v>
      </c>
    </row>
    <row r="1862" spans="46:47" x14ac:dyDescent="0.2">
      <c r="AT1862">
        <v>0.56000000000000005</v>
      </c>
      <c r="AU1862">
        <v>8.59</v>
      </c>
    </row>
    <row r="1863" spans="46:47" x14ac:dyDescent="0.2">
      <c r="AT1863">
        <v>0.56999999999999995</v>
      </c>
      <c r="AU1863">
        <v>8.59</v>
      </c>
    </row>
    <row r="1864" spans="46:47" x14ac:dyDescent="0.2">
      <c r="AT1864">
        <v>0.62</v>
      </c>
      <c r="AU1864">
        <v>8.58</v>
      </c>
    </row>
    <row r="1865" spans="46:47" x14ac:dyDescent="0.2">
      <c r="AT1865">
        <v>0.75</v>
      </c>
      <c r="AU1865">
        <v>8.57</v>
      </c>
    </row>
    <row r="1866" spans="46:47" x14ac:dyDescent="0.2">
      <c r="AT1866">
        <v>0.82</v>
      </c>
      <c r="AU1866">
        <v>8.57</v>
      </c>
    </row>
    <row r="1867" spans="46:47" x14ac:dyDescent="0.2">
      <c r="AT1867">
        <v>0.67</v>
      </c>
      <c r="AU1867">
        <v>8.57</v>
      </c>
    </row>
    <row r="1868" spans="46:47" x14ac:dyDescent="0.2">
      <c r="AT1868">
        <v>0.72</v>
      </c>
      <c r="AU1868">
        <v>8.56</v>
      </c>
    </row>
    <row r="1869" spans="46:47" x14ac:dyDescent="0.2">
      <c r="AT1869">
        <v>0.96</v>
      </c>
      <c r="AU1869">
        <v>8.56</v>
      </c>
    </row>
    <row r="1870" spans="46:47" x14ac:dyDescent="0.2">
      <c r="AT1870">
        <v>0.71</v>
      </c>
      <c r="AU1870">
        <v>8.56</v>
      </c>
    </row>
    <row r="1871" spans="46:47" x14ac:dyDescent="0.2">
      <c r="AT1871">
        <v>0.77</v>
      </c>
      <c r="AU1871">
        <v>8.56</v>
      </c>
    </row>
    <row r="1872" spans="46:47" x14ac:dyDescent="0.2">
      <c r="AT1872">
        <v>0.5</v>
      </c>
      <c r="AU1872">
        <v>8.56</v>
      </c>
    </row>
    <row r="1873" spans="46:47" x14ac:dyDescent="0.2">
      <c r="AT1873">
        <v>0.8</v>
      </c>
      <c r="AU1873">
        <v>8.56</v>
      </c>
    </row>
    <row r="1874" spans="46:47" x14ac:dyDescent="0.2">
      <c r="AT1874">
        <v>0.63</v>
      </c>
      <c r="AU1874">
        <v>8.56</v>
      </c>
    </row>
    <row r="1875" spans="46:47" x14ac:dyDescent="0.2">
      <c r="AT1875">
        <v>0.74</v>
      </c>
      <c r="AU1875">
        <v>8.5500000000000007</v>
      </c>
    </row>
    <row r="1876" spans="46:47" x14ac:dyDescent="0.2">
      <c r="AT1876">
        <v>1.24</v>
      </c>
      <c r="AU1876">
        <v>8.5500000000000007</v>
      </c>
    </row>
    <row r="1877" spans="46:47" x14ac:dyDescent="0.2">
      <c r="AT1877">
        <v>0.64</v>
      </c>
      <c r="AU1877">
        <v>8.5500000000000007</v>
      </c>
    </row>
    <row r="1878" spans="46:47" x14ac:dyDescent="0.2">
      <c r="AT1878">
        <v>1.02</v>
      </c>
      <c r="AU1878">
        <v>8.5399999999999991</v>
      </c>
    </row>
    <row r="1879" spans="46:47" x14ac:dyDescent="0.2">
      <c r="AT1879">
        <v>1.06</v>
      </c>
      <c r="AU1879">
        <v>8.5399999999999991</v>
      </c>
    </row>
    <row r="1880" spans="46:47" x14ac:dyDescent="0.2">
      <c r="AT1880">
        <v>0.71</v>
      </c>
      <c r="AU1880">
        <v>8.5399999999999991</v>
      </c>
    </row>
    <row r="1881" spans="46:47" x14ac:dyDescent="0.2">
      <c r="AT1881">
        <v>0.79</v>
      </c>
      <c r="AU1881">
        <v>8.5299999999999994</v>
      </c>
    </row>
    <row r="1882" spans="46:47" x14ac:dyDescent="0.2">
      <c r="AT1882">
        <v>0.66</v>
      </c>
      <c r="AU1882">
        <v>8.5299999999999994</v>
      </c>
    </row>
    <row r="1883" spans="46:47" x14ac:dyDescent="0.2">
      <c r="AT1883">
        <v>0.68</v>
      </c>
      <c r="AU1883">
        <v>8.5299999999999994</v>
      </c>
    </row>
    <row r="1884" spans="46:47" x14ac:dyDescent="0.2">
      <c r="AT1884">
        <v>0.57999999999999996</v>
      </c>
      <c r="AU1884">
        <v>8.5299999999999994</v>
      </c>
    </row>
    <row r="1885" spans="46:47" x14ac:dyDescent="0.2">
      <c r="AT1885">
        <v>0.69</v>
      </c>
      <c r="AU1885">
        <v>8.5299999999999994</v>
      </c>
    </row>
    <row r="1886" spans="46:47" x14ac:dyDescent="0.2">
      <c r="AT1886">
        <v>0.61</v>
      </c>
      <c r="AU1886">
        <v>8.5299999999999994</v>
      </c>
    </row>
    <row r="1887" spans="46:47" x14ac:dyDescent="0.2">
      <c r="AT1887">
        <v>0.78</v>
      </c>
      <c r="AU1887">
        <v>8.5299999999999994</v>
      </c>
    </row>
    <row r="1888" spans="46:47" x14ac:dyDescent="0.2">
      <c r="AT1888">
        <v>0.66</v>
      </c>
      <c r="AU1888">
        <v>8.52</v>
      </c>
    </row>
    <row r="1889" spans="46:47" x14ac:dyDescent="0.2">
      <c r="AT1889">
        <v>0.62</v>
      </c>
      <c r="AU1889">
        <v>8.52</v>
      </c>
    </row>
    <row r="1890" spans="46:47" x14ac:dyDescent="0.2">
      <c r="AT1890">
        <v>0.62</v>
      </c>
      <c r="AU1890">
        <v>8.52</v>
      </c>
    </row>
    <row r="1891" spans="46:47" x14ac:dyDescent="0.2">
      <c r="AT1891">
        <v>0.76</v>
      </c>
      <c r="AU1891">
        <v>8.51</v>
      </c>
    </row>
    <row r="1892" spans="46:47" x14ac:dyDescent="0.2">
      <c r="AT1892">
        <v>0.76</v>
      </c>
      <c r="AU1892">
        <v>8.51</v>
      </c>
    </row>
    <row r="1893" spans="46:47" x14ac:dyDescent="0.2">
      <c r="AT1893">
        <v>0.57999999999999996</v>
      </c>
      <c r="AU1893">
        <v>8.51</v>
      </c>
    </row>
    <row r="1894" spans="46:47" x14ac:dyDescent="0.2">
      <c r="AT1894">
        <v>0.83</v>
      </c>
      <c r="AU1894">
        <v>8.5</v>
      </c>
    </row>
    <row r="1895" spans="46:47" x14ac:dyDescent="0.2">
      <c r="AT1895">
        <v>0.67</v>
      </c>
      <c r="AU1895">
        <v>8.5</v>
      </c>
    </row>
    <row r="1896" spans="46:47" x14ac:dyDescent="0.2">
      <c r="AT1896">
        <v>0.79</v>
      </c>
      <c r="AU1896">
        <v>8.5</v>
      </c>
    </row>
    <row r="1897" spans="46:47" x14ac:dyDescent="0.2">
      <c r="AT1897">
        <v>0.7</v>
      </c>
      <c r="AU1897">
        <v>8.5</v>
      </c>
    </row>
    <row r="1898" spans="46:47" x14ac:dyDescent="0.2">
      <c r="AT1898">
        <v>0.63</v>
      </c>
      <c r="AU1898">
        <v>8.5</v>
      </c>
    </row>
    <row r="1899" spans="46:47" x14ac:dyDescent="0.2">
      <c r="AT1899">
        <v>0.6</v>
      </c>
      <c r="AU1899">
        <v>8.49</v>
      </c>
    </row>
    <row r="1900" spans="46:47" x14ac:dyDescent="0.2">
      <c r="AT1900">
        <v>1.22</v>
      </c>
      <c r="AU1900">
        <v>8.48</v>
      </c>
    </row>
    <row r="1901" spans="46:47" x14ac:dyDescent="0.2">
      <c r="AT1901">
        <v>0.73</v>
      </c>
      <c r="AU1901">
        <v>8.48</v>
      </c>
    </row>
    <row r="1902" spans="46:47" x14ac:dyDescent="0.2">
      <c r="AT1902">
        <v>0.68</v>
      </c>
      <c r="AU1902">
        <v>8.48</v>
      </c>
    </row>
    <row r="1903" spans="46:47" x14ac:dyDescent="0.2">
      <c r="AT1903">
        <v>0.69</v>
      </c>
      <c r="AU1903">
        <v>8.4700000000000006</v>
      </c>
    </row>
    <row r="1904" spans="46:47" x14ac:dyDescent="0.2">
      <c r="AT1904">
        <v>0.78</v>
      </c>
      <c r="AU1904">
        <v>8.4700000000000006</v>
      </c>
    </row>
    <row r="1905" spans="46:47" x14ac:dyDescent="0.2">
      <c r="AT1905">
        <v>0.8</v>
      </c>
      <c r="AU1905">
        <v>8.4700000000000006</v>
      </c>
    </row>
    <row r="1906" spans="46:47" x14ac:dyDescent="0.2">
      <c r="AT1906">
        <v>0.35</v>
      </c>
      <c r="AU1906">
        <v>8.4600000000000009</v>
      </c>
    </row>
    <row r="1907" spans="46:47" x14ac:dyDescent="0.2">
      <c r="AT1907">
        <v>0.96</v>
      </c>
      <c r="AU1907">
        <v>8.4499999999999993</v>
      </c>
    </row>
    <row r="1908" spans="46:47" x14ac:dyDescent="0.2">
      <c r="AT1908">
        <v>0.41</v>
      </c>
      <c r="AU1908">
        <v>8.4499999999999993</v>
      </c>
    </row>
    <row r="1909" spans="46:47" x14ac:dyDescent="0.2">
      <c r="AT1909">
        <v>0.59</v>
      </c>
      <c r="AU1909">
        <v>8.4499999999999993</v>
      </c>
    </row>
    <row r="1910" spans="46:47" x14ac:dyDescent="0.2">
      <c r="AT1910">
        <v>0.59</v>
      </c>
      <c r="AU1910">
        <v>8.43</v>
      </c>
    </row>
    <row r="1911" spans="46:47" x14ac:dyDescent="0.2">
      <c r="AT1911">
        <v>0.53</v>
      </c>
      <c r="AU1911">
        <v>8.43</v>
      </c>
    </row>
    <row r="1912" spans="46:47" x14ac:dyDescent="0.2">
      <c r="AT1912">
        <v>0.67</v>
      </c>
      <c r="AU1912">
        <v>8.43</v>
      </c>
    </row>
    <row r="1913" spans="46:47" x14ac:dyDescent="0.2">
      <c r="AT1913">
        <v>0.81</v>
      </c>
      <c r="AU1913">
        <v>8.41</v>
      </c>
    </row>
    <row r="1914" spans="46:47" x14ac:dyDescent="0.2">
      <c r="AT1914">
        <v>0.73</v>
      </c>
      <c r="AU1914">
        <v>8.41</v>
      </c>
    </row>
    <row r="1915" spans="46:47" x14ac:dyDescent="0.2">
      <c r="AT1915">
        <v>0.99</v>
      </c>
      <c r="AU1915">
        <v>8.4</v>
      </c>
    </row>
    <row r="1916" spans="46:47" x14ac:dyDescent="0.2">
      <c r="AT1916">
        <v>0.84</v>
      </c>
      <c r="AU1916">
        <v>8.39</v>
      </c>
    </row>
    <row r="1917" spans="46:47" x14ac:dyDescent="0.2">
      <c r="AT1917">
        <v>0.83</v>
      </c>
      <c r="AU1917">
        <v>8.39</v>
      </c>
    </row>
    <row r="1918" spans="46:47" x14ac:dyDescent="0.2">
      <c r="AT1918">
        <v>0.55000000000000004</v>
      </c>
      <c r="AU1918">
        <v>8.39</v>
      </c>
    </row>
    <row r="1919" spans="46:47" x14ac:dyDescent="0.2">
      <c r="AT1919">
        <v>0.78</v>
      </c>
      <c r="AU1919">
        <v>8.3800000000000008</v>
      </c>
    </row>
    <row r="1920" spans="46:47" x14ac:dyDescent="0.2">
      <c r="AT1920">
        <v>0.49</v>
      </c>
      <c r="AU1920">
        <v>8.3800000000000008</v>
      </c>
    </row>
    <row r="1921" spans="46:47" x14ac:dyDescent="0.2">
      <c r="AT1921">
        <v>0.37</v>
      </c>
      <c r="AU1921">
        <v>8.3699999999999992</v>
      </c>
    </row>
    <row r="1922" spans="46:47" x14ac:dyDescent="0.2">
      <c r="AT1922">
        <v>0.37</v>
      </c>
      <c r="AU1922">
        <v>8.3699999999999992</v>
      </c>
    </row>
    <row r="1923" spans="46:47" x14ac:dyDescent="0.2">
      <c r="AT1923">
        <v>0.39</v>
      </c>
      <c r="AU1923">
        <v>8.36</v>
      </c>
    </row>
    <row r="1924" spans="46:47" x14ac:dyDescent="0.2">
      <c r="AT1924">
        <v>0.72</v>
      </c>
      <c r="AU1924">
        <v>8.35</v>
      </c>
    </row>
    <row r="1925" spans="46:47" x14ac:dyDescent="0.2">
      <c r="AT1925">
        <v>0.91</v>
      </c>
      <c r="AU1925">
        <v>8.34</v>
      </c>
    </row>
    <row r="1926" spans="46:47" x14ac:dyDescent="0.2">
      <c r="AT1926">
        <v>1.28</v>
      </c>
      <c r="AU1926">
        <v>8.34</v>
      </c>
    </row>
    <row r="1927" spans="46:47" x14ac:dyDescent="0.2">
      <c r="AT1927">
        <v>0.69</v>
      </c>
      <c r="AU1927">
        <v>8.34</v>
      </c>
    </row>
    <row r="1928" spans="46:47" x14ac:dyDescent="0.2">
      <c r="AT1928">
        <v>0.91</v>
      </c>
      <c r="AU1928">
        <v>8.34</v>
      </c>
    </row>
    <row r="1929" spans="46:47" x14ac:dyDescent="0.2">
      <c r="AT1929">
        <v>0.78</v>
      </c>
      <c r="AU1929">
        <v>8.33</v>
      </c>
    </row>
    <row r="1930" spans="46:47" x14ac:dyDescent="0.2">
      <c r="AT1930">
        <v>0.79</v>
      </c>
      <c r="AU1930">
        <v>8.32</v>
      </c>
    </row>
    <row r="1931" spans="46:47" x14ac:dyDescent="0.2">
      <c r="AT1931">
        <v>0.89</v>
      </c>
      <c r="AU1931">
        <v>8.31</v>
      </c>
    </row>
    <row r="1932" spans="46:47" x14ac:dyDescent="0.2">
      <c r="AT1932">
        <v>0.73</v>
      </c>
      <c r="AU1932">
        <v>8.3000000000000007</v>
      </c>
    </row>
    <row r="1933" spans="46:47" x14ac:dyDescent="0.2">
      <c r="AT1933">
        <v>0.25</v>
      </c>
      <c r="AU1933">
        <v>8.3000000000000007</v>
      </c>
    </row>
    <row r="1934" spans="46:47" x14ac:dyDescent="0.2">
      <c r="AT1934">
        <v>0.67</v>
      </c>
      <c r="AU1934">
        <v>8.2799999999999994</v>
      </c>
    </row>
    <row r="1935" spans="46:47" x14ac:dyDescent="0.2">
      <c r="AT1935">
        <v>1.1299999999999999</v>
      </c>
      <c r="AU1935">
        <v>8.27</v>
      </c>
    </row>
    <row r="1936" spans="46:47" x14ac:dyDescent="0.2">
      <c r="AT1936">
        <v>0.45</v>
      </c>
      <c r="AU1936">
        <v>8.27</v>
      </c>
    </row>
    <row r="1937" spans="46:47" x14ac:dyDescent="0.2">
      <c r="AT1937">
        <v>0.5</v>
      </c>
      <c r="AU1937">
        <v>8.27</v>
      </c>
    </row>
    <row r="1938" spans="46:47" x14ac:dyDescent="0.2">
      <c r="AT1938">
        <v>1.06</v>
      </c>
      <c r="AU1938">
        <v>8.25</v>
      </c>
    </row>
    <row r="1939" spans="46:47" x14ac:dyDescent="0.2">
      <c r="AT1939">
        <v>0.86</v>
      </c>
      <c r="AU1939">
        <v>8.25</v>
      </c>
    </row>
    <row r="1940" spans="46:47" x14ac:dyDescent="0.2">
      <c r="AT1940">
        <v>0.95</v>
      </c>
      <c r="AU1940">
        <v>8.24</v>
      </c>
    </row>
    <row r="1941" spans="46:47" x14ac:dyDescent="0.2">
      <c r="AT1941">
        <v>0.87</v>
      </c>
      <c r="AU1941">
        <v>8.24</v>
      </c>
    </row>
    <row r="1942" spans="46:47" x14ac:dyDescent="0.2">
      <c r="AT1942">
        <v>1.1299999999999999</v>
      </c>
      <c r="AU1942">
        <v>8.23</v>
      </c>
    </row>
    <row r="1943" spans="46:47" x14ac:dyDescent="0.2">
      <c r="AT1943">
        <v>1.32</v>
      </c>
      <c r="AU1943">
        <v>8.2200000000000006</v>
      </c>
    </row>
    <row r="1944" spans="46:47" x14ac:dyDescent="0.2">
      <c r="AT1944">
        <v>0.87</v>
      </c>
      <c r="AU1944">
        <v>8.2200000000000006</v>
      </c>
    </row>
    <row r="1945" spans="46:47" x14ac:dyDescent="0.2">
      <c r="AT1945">
        <v>0.5</v>
      </c>
      <c r="AU1945">
        <v>8.2200000000000006</v>
      </c>
    </row>
    <row r="1946" spans="46:47" x14ac:dyDescent="0.2">
      <c r="AT1946">
        <v>0.95</v>
      </c>
      <c r="AU1946">
        <v>8.2100000000000009</v>
      </c>
    </row>
    <row r="1947" spans="46:47" x14ac:dyDescent="0.2">
      <c r="AT1947">
        <v>0.78</v>
      </c>
      <c r="AU1947">
        <v>8.1999999999999993</v>
      </c>
    </row>
    <row r="1948" spans="46:47" x14ac:dyDescent="0.2">
      <c r="AT1948">
        <v>0.87</v>
      </c>
      <c r="AU1948">
        <v>8.19</v>
      </c>
    </row>
    <row r="1949" spans="46:47" x14ac:dyDescent="0.2">
      <c r="AT1949">
        <v>0.6</v>
      </c>
      <c r="AU1949">
        <v>8.18</v>
      </c>
    </row>
    <row r="1950" spans="46:47" x14ac:dyDescent="0.2">
      <c r="AT1950">
        <v>0.6</v>
      </c>
      <c r="AU1950">
        <v>8.18</v>
      </c>
    </row>
    <row r="1951" spans="46:47" x14ac:dyDescent="0.2">
      <c r="AT1951">
        <v>0.94</v>
      </c>
      <c r="AU1951">
        <v>8.17</v>
      </c>
    </row>
    <row r="1952" spans="46:47" x14ac:dyDescent="0.2">
      <c r="AT1952">
        <v>0.89</v>
      </c>
      <c r="AU1952">
        <v>8.16</v>
      </c>
    </row>
    <row r="1953" spans="46:47" x14ac:dyDescent="0.2">
      <c r="AT1953">
        <v>0.52</v>
      </c>
      <c r="AU1953">
        <v>8.16</v>
      </c>
    </row>
    <row r="1954" spans="46:47" x14ac:dyDescent="0.2">
      <c r="AT1954">
        <v>0.93</v>
      </c>
      <c r="AU1954">
        <v>8.16</v>
      </c>
    </row>
    <row r="1955" spans="46:47" x14ac:dyDescent="0.2">
      <c r="AT1955">
        <v>0.97</v>
      </c>
      <c r="AU1955">
        <v>8.1300000000000008</v>
      </c>
    </row>
    <row r="1956" spans="46:47" x14ac:dyDescent="0.2">
      <c r="AT1956">
        <v>0.24</v>
      </c>
      <c r="AU1956">
        <v>8.1300000000000008</v>
      </c>
    </row>
    <row r="1957" spans="46:47" x14ac:dyDescent="0.2">
      <c r="AT1957">
        <v>0.86</v>
      </c>
      <c r="AU1957">
        <v>8.1300000000000008</v>
      </c>
    </row>
    <row r="1958" spans="46:47" x14ac:dyDescent="0.2">
      <c r="AT1958">
        <v>1.19</v>
      </c>
      <c r="AU1958">
        <v>8.11</v>
      </c>
    </row>
    <row r="1959" spans="46:47" x14ac:dyDescent="0.2">
      <c r="AT1959">
        <v>0.84</v>
      </c>
      <c r="AU1959">
        <v>8.1</v>
      </c>
    </row>
    <row r="1960" spans="46:47" x14ac:dyDescent="0.2">
      <c r="AT1960">
        <v>0.47</v>
      </c>
      <c r="AU1960">
        <v>8.07</v>
      </c>
    </row>
    <row r="1961" spans="46:47" x14ac:dyDescent="0.2">
      <c r="AT1961">
        <v>0.89</v>
      </c>
      <c r="AU1961">
        <v>8.06</v>
      </c>
    </row>
    <row r="1962" spans="46:47" x14ac:dyDescent="0.2">
      <c r="AT1962">
        <v>0.86</v>
      </c>
      <c r="AU1962">
        <v>8.06</v>
      </c>
    </row>
    <row r="1963" spans="46:47" x14ac:dyDescent="0.2">
      <c r="AT1963">
        <v>0.62</v>
      </c>
      <c r="AU1963">
        <v>8.06</v>
      </c>
    </row>
    <row r="1964" spans="46:47" x14ac:dyDescent="0.2">
      <c r="AT1964">
        <v>0.46</v>
      </c>
      <c r="AU1964">
        <v>8.0299999999999994</v>
      </c>
    </row>
    <row r="1965" spans="46:47" x14ac:dyDescent="0.2">
      <c r="AT1965">
        <v>0.81</v>
      </c>
      <c r="AU1965">
        <v>8.01</v>
      </c>
    </row>
    <row r="1966" spans="46:47" x14ac:dyDescent="0.2">
      <c r="AT1966">
        <v>0.71</v>
      </c>
      <c r="AU1966">
        <v>8</v>
      </c>
    </row>
    <row r="1967" spans="46:47" x14ac:dyDescent="0.2">
      <c r="AT1967">
        <v>0.7</v>
      </c>
      <c r="AU1967">
        <v>8</v>
      </c>
    </row>
    <row r="1968" spans="46:47" x14ac:dyDescent="0.2">
      <c r="AT1968">
        <v>0.56000000000000005</v>
      </c>
      <c r="AU1968">
        <v>7.98</v>
      </c>
    </row>
    <row r="1969" spans="46:47" x14ac:dyDescent="0.2">
      <c r="AT1969">
        <v>0.57999999999999996</v>
      </c>
      <c r="AU1969">
        <v>7.96</v>
      </c>
    </row>
    <row r="1970" spans="46:47" x14ac:dyDescent="0.2">
      <c r="AT1970">
        <v>1.07</v>
      </c>
      <c r="AU1970">
        <v>7.95</v>
      </c>
    </row>
    <row r="1971" spans="46:47" x14ac:dyDescent="0.2">
      <c r="AT1971">
        <v>0.72</v>
      </c>
      <c r="AU1971">
        <v>7.95</v>
      </c>
    </row>
    <row r="1972" spans="46:47" x14ac:dyDescent="0.2">
      <c r="AT1972">
        <v>0.45</v>
      </c>
      <c r="AU1972">
        <v>7.94</v>
      </c>
    </row>
    <row r="1973" spans="46:47" x14ac:dyDescent="0.2">
      <c r="AT1973">
        <v>0.5</v>
      </c>
      <c r="AU1973">
        <v>7.94</v>
      </c>
    </row>
    <row r="1974" spans="46:47" x14ac:dyDescent="0.2">
      <c r="AT1974">
        <v>0.47</v>
      </c>
      <c r="AU1974">
        <v>7.94</v>
      </c>
    </row>
    <row r="1975" spans="46:47" x14ac:dyDescent="0.2">
      <c r="AT1975">
        <v>0.78</v>
      </c>
      <c r="AU1975">
        <v>7.94</v>
      </c>
    </row>
    <row r="1976" spans="46:47" x14ac:dyDescent="0.2">
      <c r="AT1976">
        <v>0.56999999999999995</v>
      </c>
      <c r="AU1976">
        <v>7.89</v>
      </c>
    </row>
    <row r="1977" spans="46:47" x14ac:dyDescent="0.2">
      <c r="AT1977">
        <v>0.57999999999999996</v>
      </c>
      <c r="AU1977">
        <v>7.87</v>
      </c>
    </row>
    <row r="1978" spans="46:47" x14ac:dyDescent="0.2">
      <c r="AT1978">
        <v>0.79</v>
      </c>
      <c r="AU1978">
        <v>7.84</v>
      </c>
    </row>
    <row r="1979" spans="46:47" x14ac:dyDescent="0.2">
      <c r="AT1979">
        <v>0.48</v>
      </c>
      <c r="AU1979">
        <v>7.84</v>
      </c>
    </row>
    <row r="1980" spans="46:47" x14ac:dyDescent="0.2">
      <c r="AT1980">
        <v>0.88</v>
      </c>
      <c r="AU1980">
        <v>7.79</v>
      </c>
    </row>
    <row r="1981" spans="46:47" x14ac:dyDescent="0.2">
      <c r="AT1981">
        <v>0.86</v>
      </c>
      <c r="AU1981">
        <v>7.74</v>
      </c>
    </row>
    <row r="1982" spans="46:47" x14ac:dyDescent="0.2">
      <c r="AT1982">
        <v>0.57999999999999996</v>
      </c>
      <c r="AU1982">
        <v>7.7</v>
      </c>
    </row>
    <row r="1983" spans="46:47" x14ac:dyDescent="0.2">
      <c r="AT1983">
        <v>0.51</v>
      </c>
      <c r="AU1983">
        <v>7.69</v>
      </c>
    </row>
    <row r="1984" spans="46:47" x14ac:dyDescent="0.2">
      <c r="AT1984">
        <v>0.59</v>
      </c>
      <c r="AU1984">
        <v>7.66</v>
      </c>
    </row>
    <row r="1985" spans="46:47" x14ac:dyDescent="0.2">
      <c r="AT1985">
        <v>0.73</v>
      </c>
      <c r="AU1985">
        <v>7.66</v>
      </c>
    </row>
    <row r="1986" spans="46:47" x14ac:dyDescent="0.2">
      <c r="AT1986">
        <v>0.75</v>
      </c>
      <c r="AU1986">
        <v>7.66</v>
      </c>
    </row>
    <row r="1987" spans="46:47" x14ac:dyDescent="0.2">
      <c r="AT1987">
        <v>0.62</v>
      </c>
      <c r="AU1987">
        <v>7.64</v>
      </c>
    </row>
    <row r="1988" spans="46:47" x14ac:dyDescent="0.2">
      <c r="AT1988">
        <v>0.45</v>
      </c>
      <c r="AU1988">
        <v>7.61</v>
      </c>
    </row>
    <row r="1989" spans="46:47" x14ac:dyDescent="0.2">
      <c r="AT1989">
        <v>0.76</v>
      </c>
      <c r="AU1989">
        <v>7.4</v>
      </c>
    </row>
    <row r="1990" spans="46:47" x14ac:dyDescent="0.2">
      <c r="AT1990">
        <v>0.73</v>
      </c>
      <c r="AU1990">
        <v>7.2</v>
      </c>
    </row>
    <row r="1991" spans="46:47" x14ac:dyDescent="0.2">
      <c r="AT1991">
        <v>0.52</v>
      </c>
      <c r="AU1991">
        <v>7.16</v>
      </c>
    </row>
    <row r="1992" spans="46:47" x14ac:dyDescent="0.2">
      <c r="AT1992">
        <v>0.72</v>
      </c>
      <c r="AU1992">
        <v>7.04</v>
      </c>
    </row>
    <row r="1993" spans="46:47" x14ac:dyDescent="0.2">
      <c r="AT1993">
        <v>0.44</v>
      </c>
      <c r="AU1993">
        <v>6.99</v>
      </c>
    </row>
    <row r="1994" spans="46:47" x14ac:dyDescent="0.2">
      <c r="AT1994">
        <v>1.07</v>
      </c>
      <c r="AU1994">
        <v>6.98</v>
      </c>
    </row>
    <row r="1995" spans="46:47" x14ac:dyDescent="0.2">
      <c r="AT1995">
        <v>1.19</v>
      </c>
      <c r="AU1995">
        <v>5.9</v>
      </c>
    </row>
    <row r="1996" spans="46:47" x14ac:dyDescent="0.2">
      <c r="AT1996">
        <v>1.72</v>
      </c>
      <c r="AU1996">
        <v>4.62</v>
      </c>
    </row>
    <row r="1997" spans="46:47" x14ac:dyDescent="0.2">
      <c r="AT1997">
        <v>1.37</v>
      </c>
      <c r="AU1997">
        <v>3.37</v>
      </c>
    </row>
    <row r="1998" spans="46:47" x14ac:dyDescent="0.2">
      <c r="AT1998">
        <v>1.3</v>
      </c>
      <c r="AU1998">
        <v>2.39</v>
      </c>
    </row>
    <row r="1999" spans="46:47" x14ac:dyDescent="0.2">
      <c r="AT1999">
        <v>0.7</v>
      </c>
      <c r="AU1999">
        <v>0.76</v>
      </c>
    </row>
    <row r="2002" spans="46:47" x14ac:dyDescent="0.2">
      <c r="AT2002" t="s">
        <v>1953</v>
      </c>
      <c r="AU2002" t="s">
        <v>5502</v>
      </c>
    </row>
    <row r="2003" spans="46:47" x14ac:dyDescent="0.2">
      <c r="AT2003">
        <v>2026.4032</v>
      </c>
      <c r="AU2003">
        <v>2001</v>
      </c>
    </row>
    <row r="2004" spans="46:47" x14ac:dyDescent="0.2">
      <c r="AT2004">
        <v>2026.0726</v>
      </c>
      <c r="AU2004">
        <v>1996</v>
      </c>
    </row>
    <row r="2005" spans="46:47" x14ac:dyDescent="0.2">
      <c r="AT2005">
        <v>2026.3172</v>
      </c>
      <c r="AU2005">
        <v>1972</v>
      </c>
    </row>
    <row r="2006" spans="46:47" x14ac:dyDescent="0.2">
      <c r="AT2006">
        <v>2026.1451999999999</v>
      </c>
      <c r="AU2006">
        <v>1975</v>
      </c>
    </row>
    <row r="2007" spans="46:47" x14ac:dyDescent="0.2">
      <c r="AT2007">
        <v>2026.2043000000001</v>
      </c>
      <c r="AU2007">
        <v>2007</v>
      </c>
    </row>
    <row r="2008" spans="46:47" x14ac:dyDescent="0.2">
      <c r="AT2008">
        <v>2026.0941</v>
      </c>
      <c r="AU2008">
        <v>1997</v>
      </c>
    </row>
    <row r="2009" spans="46:47" x14ac:dyDescent="0.2">
      <c r="AT2009">
        <v>2026.086</v>
      </c>
      <c r="AU2009">
        <v>2000</v>
      </c>
    </row>
    <row r="2010" spans="46:47" x14ac:dyDescent="0.2">
      <c r="AT2010">
        <v>2026.0456999999999</v>
      </c>
      <c r="AU2010">
        <v>1973</v>
      </c>
    </row>
    <row r="2011" spans="46:47" x14ac:dyDescent="0.2">
      <c r="AT2011">
        <v>2026.1532</v>
      </c>
      <c r="AU2011">
        <v>2006</v>
      </c>
    </row>
    <row r="2012" spans="46:47" x14ac:dyDescent="0.2">
      <c r="AT2012">
        <v>2026.0941</v>
      </c>
      <c r="AU2012">
        <v>1996</v>
      </c>
    </row>
    <row r="2013" spans="46:47" x14ac:dyDescent="0.2">
      <c r="AT2013">
        <v>2026.5806</v>
      </c>
      <c r="AU2013">
        <v>2008</v>
      </c>
    </row>
    <row r="2014" spans="46:47" x14ac:dyDescent="0.2">
      <c r="AT2014">
        <v>2026.1102000000001</v>
      </c>
      <c r="AU2014">
        <v>1977</v>
      </c>
    </row>
    <row r="2015" spans="46:47" x14ac:dyDescent="0.2">
      <c r="AT2015">
        <v>2026.0483999999999</v>
      </c>
      <c r="AU2015">
        <v>1971</v>
      </c>
    </row>
    <row r="2016" spans="46:47" x14ac:dyDescent="0.2">
      <c r="AT2016">
        <v>2026.0456999999999</v>
      </c>
      <c r="AU2016">
        <v>1969</v>
      </c>
    </row>
    <row r="2017" spans="46:47" x14ac:dyDescent="0.2">
      <c r="AT2017">
        <v>2026.0429999999999</v>
      </c>
      <c r="AU2017">
        <v>2001</v>
      </c>
    </row>
    <row r="2018" spans="46:47" x14ac:dyDescent="0.2">
      <c r="AT2018">
        <v>2026.2634</v>
      </c>
      <c r="AU2018">
        <v>1970</v>
      </c>
    </row>
    <row r="2019" spans="46:47" x14ac:dyDescent="0.2">
      <c r="AT2019">
        <v>2026.1559</v>
      </c>
      <c r="AU2019">
        <v>2019</v>
      </c>
    </row>
    <row r="2020" spans="46:47" x14ac:dyDescent="0.2">
      <c r="AT2020">
        <v>2026.0456999999999</v>
      </c>
      <c r="AU2020">
        <v>1986</v>
      </c>
    </row>
    <row r="2021" spans="46:47" x14ac:dyDescent="0.2">
      <c r="AT2021">
        <v>2026.0590999999999</v>
      </c>
      <c r="AU2021">
        <v>2000</v>
      </c>
    </row>
    <row r="2022" spans="46:47" x14ac:dyDescent="0.2">
      <c r="AT2022">
        <v>2026.1424999999999</v>
      </c>
      <c r="AU2022">
        <v>2024</v>
      </c>
    </row>
    <row r="2023" spans="46:47" x14ac:dyDescent="0.2">
      <c r="AT2023">
        <v>2026.0456999999999</v>
      </c>
      <c r="AU2023">
        <v>2008</v>
      </c>
    </row>
    <row r="2024" spans="46:47" x14ac:dyDescent="0.2">
      <c r="AT2024">
        <v>2026.1343999999999</v>
      </c>
      <c r="AU2024">
        <v>2005</v>
      </c>
    </row>
    <row r="2025" spans="46:47" x14ac:dyDescent="0.2">
      <c r="AT2025">
        <v>2026.0429999999999</v>
      </c>
      <c r="AU2025">
        <v>1982</v>
      </c>
    </row>
    <row r="2026" spans="46:47" x14ac:dyDescent="0.2">
      <c r="AT2026">
        <v>2026.0645</v>
      </c>
      <c r="AU2026">
        <v>2007</v>
      </c>
    </row>
    <row r="2027" spans="46:47" x14ac:dyDescent="0.2">
      <c r="AT2027">
        <v>2026.4167</v>
      </c>
      <c r="AU2027">
        <v>2012</v>
      </c>
    </row>
    <row r="2028" spans="46:47" x14ac:dyDescent="0.2">
      <c r="AT2028">
        <v>2026.0914</v>
      </c>
      <c r="AU2028">
        <v>1984</v>
      </c>
    </row>
    <row r="2029" spans="46:47" x14ac:dyDescent="0.2">
      <c r="AT2029">
        <v>2026.0537999999999</v>
      </c>
      <c r="AU2029">
        <v>1990</v>
      </c>
    </row>
    <row r="2030" spans="46:47" x14ac:dyDescent="0.2">
      <c r="AT2030">
        <v>2026.0617999999999</v>
      </c>
      <c r="AU2030">
        <v>1995</v>
      </c>
    </row>
    <row r="2031" spans="46:47" x14ac:dyDescent="0.2">
      <c r="AT2031">
        <v>2026.1237000000001</v>
      </c>
      <c r="AU2031">
        <v>1979</v>
      </c>
    </row>
    <row r="2032" spans="46:47" x14ac:dyDescent="0.2">
      <c r="AT2032">
        <v>2026.5134</v>
      </c>
      <c r="AU2032">
        <v>1973</v>
      </c>
    </row>
    <row r="2033" spans="46:47" x14ac:dyDescent="0.2">
      <c r="AT2033">
        <v>2026.0429999999999</v>
      </c>
      <c r="AU2033">
        <v>2001</v>
      </c>
    </row>
    <row r="2034" spans="46:47" x14ac:dyDescent="0.2">
      <c r="AT2034">
        <v>2026.0483999999999</v>
      </c>
      <c r="AU2034">
        <v>1990</v>
      </c>
    </row>
    <row r="2035" spans="46:47" x14ac:dyDescent="0.2">
      <c r="AT2035">
        <v>2026.1478</v>
      </c>
      <c r="AU2035">
        <v>1988</v>
      </c>
    </row>
    <row r="2036" spans="46:47" x14ac:dyDescent="0.2">
      <c r="AT2036">
        <v>2026.2043000000001</v>
      </c>
      <c r="AU2036">
        <v>1974</v>
      </c>
    </row>
    <row r="2037" spans="46:47" x14ac:dyDescent="0.2">
      <c r="AT2037">
        <v>2026.0806</v>
      </c>
      <c r="AU2037">
        <v>2005</v>
      </c>
    </row>
    <row r="2038" spans="46:47" x14ac:dyDescent="0.2">
      <c r="AT2038">
        <v>2026.3575000000001</v>
      </c>
      <c r="AU2038">
        <v>1998</v>
      </c>
    </row>
    <row r="2039" spans="46:47" x14ac:dyDescent="0.2">
      <c r="AT2039">
        <v>2026.0429999999999</v>
      </c>
      <c r="AU2039">
        <v>1985</v>
      </c>
    </row>
    <row r="2040" spans="46:47" x14ac:dyDescent="0.2">
      <c r="AT2040">
        <v>2026.6316999999999</v>
      </c>
      <c r="AU2040">
        <v>2021</v>
      </c>
    </row>
    <row r="2041" spans="46:47" x14ac:dyDescent="0.2">
      <c r="AT2041">
        <v>2026.7070000000001</v>
      </c>
      <c r="AU2041">
        <v>1973</v>
      </c>
    </row>
    <row r="2042" spans="46:47" x14ac:dyDescent="0.2">
      <c r="AT2042">
        <v>2026.7150999999999</v>
      </c>
      <c r="AU2042">
        <v>2003</v>
      </c>
    </row>
    <row r="2043" spans="46:47" x14ac:dyDescent="0.2">
      <c r="AT2043">
        <v>2026.3010999999999</v>
      </c>
      <c r="AU2043">
        <v>1977</v>
      </c>
    </row>
    <row r="2044" spans="46:47" x14ac:dyDescent="0.2">
      <c r="AT2044">
        <v>2026.3683000000001</v>
      </c>
      <c r="AU2044">
        <v>1982</v>
      </c>
    </row>
    <row r="2045" spans="46:47" x14ac:dyDescent="0.2">
      <c r="AT2045">
        <v>2026.3064999999999</v>
      </c>
      <c r="AU2045">
        <v>2003</v>
      </c>
    </row>
    <row r="2046" spans="46:47" x14ac:dyDescent="0.2">
      <c r="AT2046">
        <v>2026.3789999999999</v>
      </c>
      <c r="AU2046">
        <v>2001</v>
      </c>
    </row>
    <row r="2047" spans="46:47" x14ac:dyDescent="0.2">
      <c r="AT2047">
        <v>2026.6559</v>
      </c>
      <c r="AU2047">
        <v>2002</v>
      </c>
    </row>
    <row r="2048" spans="46:47" x14ac:dyDescent="0.2">
      <c r="AT2048">
        <v>2026.2366</v>
      </c>
      <c r="AU2048">
        <v>1971</v>
      </c>
    </row>
    <row r="2049" spans="46:47" x14ac:dyDescent="0.2">
      <c r="AT2049">
        <v>2026.3253</v>
      </c>
      <c r="AU2049">
        <v>2002</v>
      </c>
    </row>
    <row r="2050" spans="46:47" x14ac:dyDescent="0.2">
      <c r="AT2050">
        <v>2026.3870999999999</v>
      </c>
      <c r="AU2050">
        <v>1979</v>
      </c>
    </row>
    <row r="2051" spans="46:47" x14ac:dyDescent="0.2">
      <c r="AT2051">
        <v>2026.6667</v>
      </c>
      <c r="AU2051">
        <v>1975</v>
      </c>
    </row>
    <row r="2052" spans="46:47" x14ac:dyDescent="0.2">
      <c r="AT2052">
        <v>2026.6801</v>
      </c>
      <c r="AU2052">
        <v>2011</v>
      </c>
    </row>
    <row r="2053" spans="46:47" x14ac:dyDescent="0.2">
      <c r="AT2053">
        <v>2026.1694</v>
      </c>
      <c r="AU2053">
        <v>2025</v>
      </c>
    </row>
    <row r="2054" spans="46:47" x14ac:dyDescent="0.2">
      <c r="AT2054">
        <v>2026.2446</v>
      </c>
      <c r="AU2054">
        <v>2003</v>
      </c>
    </row>
    <row r="2055" spans="46:47" x14ac:dyDescent="0.2">
      <c r="AT2055">
        <v>2026.4543000000001</v>
      </c>
      <c r="AU2055">
        <v>2002</v>
      </c>
    </row>
    <row r="2056" spans="46:47" x14ac:dyDescent="0.2">
      <c r="AT2056">
        <v>2026.2070000000001</v>
      </c>
      <c r="AU2056">
        <v>2000</v>
      </c>
    </row>
    <row r="2057" spans="46:47" x14ac:dyDescent="0.2">
      <c r="AT2057">
        <v>2026.4784999999999</v>
      </c>
      <c r="AU2057">
        <v>1999</v>
      </c>
    </row>
    <row r="2058" spans="46:47" x14ac:dyDescent="0.2">
      <c r="AT2058">
        <v>2026.3710000000001</v>
      </c>
      <c r="AU2058">
        <v>1977</v>
      </c>
    </row>
    <row r="2059" spans="46:47" x14ac:dyDescent="0.2">
      <c r="AT2059">
        <v>2026.1075000000001</v>
      </c>
      <c r="AU2059">
        <v>2002</v>
      </c>
    </row>
    <row r="2060" spans="46:47" x14ac:dyDescent="0.2">
      <c r="AT2060">
        <v>2026.1397999999999</v>
      </c>
      <c r="AU2060">
        <v>2002</v>
      </c>
    </row>
    <row r="2061" spans="46:47" x14ac:dyDescent="0.2">
      <c r="AT2061">
        <v>2026.2176999999999</v>
      </c>
      <c r="AU2061">
        <v>2006</v>
      </c>
    </row>
    <row r="2062" spans="46:47" x14ac:dyDescent="0.2">
      <c r="AT2062">
        <v>2026.3951999999999</v>
      </c>
      <c r="AU2062">
        <v>2000</v>
      </c>
    </row>
    <row r="2063" spans="46:47" x14ac:dyDescent="0.2">
      <c r="AT2063">
        <v>2026.4516000000001</v>
      </c>
      <c r="AU2063">
        <v>1988</v>
      </c>
    </row>
    <row r="2064" spans="46:47" x14ac:dyDescent="0.2">
      <c r="AT2064">
        <v>2026.5215000000001</v>
      </c>
      <c r="AU2064">
        <v>1991</v>
      </c>
    </row>
    <row r="2065" spans="46:47" x14ac:dyDescent="0.2">
      <c r="AT2065">
        <v>2026.5564999999999</v>
      </c>
      <c r="AU2065">
        <v>2007</v>
      </c>
    </row>
    <row r="2066" spans="46:47" x14ac:dyDescent="0.2">
      <c r="AT2066">
        <v>2026.5645</v>
      </c>
      <c r="AU2066">
        <v>1997</v>
      </c>
    </row>
    <row r="2067" spans="46:47" x14ac:dyDescent="0.2">
      <c r="AT2067">
        <v>2026.0429999999999</v>
      </c>
      <c r="AU2067">
        <v>2009</v>
      </c>
    </row>
    <row r="2068" spans="46:47" x14ac:dyDescent="0.2">
      <c r="AT2068">
        <v>2026.1801</v>
      </c>
      <c r="AU2068">
        <v>2005</v>
      </c>
    </row>
    <row r="2069" spans="46:47" x14ac:dyDescent="0.2">
      <c r="AT2069">
        <v>2026.1935000000001</v>
      </c>
      <c r="AU2069">
        <v>2000</v>
      </c>
    </row>
    <row r="2070" spans="46:47" x14ac:dyDescent="0.2">
      <c r="AT2070">
        <v>2026.2311999999999</v>
      </c>
      <c r="AU2070">
        <v>1994</v>
      </c>
    </row>
    <row r="2071" spans="46:47" x14ac:dyDescent="0.2">
      <c r="AT2071">
        <v>2026.328</v>
      </c>
      <c r="AU2071">
        <v>1991</v>
      </c>
    </row>
    <row r="2072" spans="46:47" x14ac:dyDescent="0.2">
      <c r="AT2072">
        <v>2026.0429999999999</v>
      </c>
      <c r="AU2072">
        <v>2020</v>
      </c>
    </row>
    <row r="2073" spans="46:47" x14ac:dyDescent="0.2">
      <c r="AT2073">
        <v>2026.4005</v>
      </c>
      <c r="AU2073">
        <v>1986</v>
      </c>
    </row>
    <row r="2074" spans="46:47" x14ac:dyDescent="0.2">
      <c r="AT2074">
        <v>2026.5590999999999</v>
      </c>
      <c r="AU2074">
        <v>1985</v>
      </c>
    </row>
    <row r="2075" spans="46:47" x14ac:dyDescent="0.2">
      <c r="AT2075">
        <v>2026.1532</v>
      </c>
      <c r="AU2075">
        <v>1978</v>
      </c>
    </row>
    <row r="2076" spans="46:47" x14ac:dyDescent="0.2">
      <c r="AT2076">
        <v>2026.3226</v>
      </c>
      <c r="AU2076">
        <v>1967</v>
      </c>
    </row>
    <row r="2077" spans="46:47" x14ac:dyDescent="0.2">
      <c r="AT2077">
        <v>2026.1262999999999</v>
      </c>
      <c r="AU2077">
        <v>1999</v>
      </c>
    </row>
    <row r="2078" spans="46:47" x14ac:dyDescent="0.2">
      <c r="AT2078">
        <v>2026.5027</v>
      </c>
      <c r="AU2078">
        <v>1969</v>
      </c>
    </row>
    <row r="2079" spans="46:47" x14ac:dyDescent="0.2">
      <c r="AT2079">
        <v>2026.1559</v>
      </c>
      <c r="AU2079">
        <v>2008</v>
      </c>
    </row>
    <row r="2080" spans="46:47" x14ac:dyDescent="0.2">
      <c r="AT2080">
        <v>2026.1962000000001</v>
      </c>
      <c r="AU2080">
        <v>2005</v>
      </c>
    </row>
    <row r="2081" spans="46:47" x14ac:dyDescent="0.2">
      <c r="AT2081">
        <v>2026.3522</v>
      </c>
      <c r="AU2081">
        <v>1997</v>
      </c>
    </row>
    <row r="2082" spans="46:47" x14ac:dyDescent="0.2">
      <c r="AT2082">
        <v>2026.3789999999999</v>
      </c>
      <c r="AU2082">
        <v>2002</v>
      </c>
    </row>
    <row r="2083" spans="46:47" x14ac:dyDescent="0.2">
      <c r="AT2083">
        <v>2026.5296000000001</v>
      </c>
      <c r="AU2083">
        <v>2004</v>
      </c>
    </row>
    <row r="2084" spans="46:47" x14ac:dyDescent="0.2">
      <c r="AT2084">
        <v>2026.1774</v>
      </c>
      <c r="AU2084">
        <v>1971</v>
      </c>
    </row>
    <row r="2085" spans="46:47" x14ac:dyDescent="0.2">
      <c r="AT2085">
        <v>2026.2338999999999</v>
      </c>
      <c r="AU2085">
        <v>1991</v>
      </c>
    </row>
    <row r="2086" spans="46:47" x14ac:dyDescent="0.2">
      <c r="AT2086">
        <v>2026.2715000000001</v>
      </c>
      <c r="AU2086">
        <v>1988</v>
      </c>
    </row>
    <row r="2087" spans="46:47" x14ac:dyDescent="0.2">
      <c r="AT2087">
        <v>2026.2902999999999</v>
      </c>
      <c r="AU2087">
        <v>1969</v>
      </c>
    </row>
    <row r="2088" spans="46:47" x14ac:dyDescent="0.2">
      <c r="AT2088">
        <v>2026.4382000000001</v>
      </c>
      <c r="AU2088">
        <v>1989</v>
      </c>
    </row>
    <row r="2089" spans="46:47" x14ac:dyDescent="0.2">
      <c r="AT2089">
        <v>2026.4570000000001</v>
      </c>
      <c r="AU2089">
        <v>1973</v>
      </c>
    </row>
    <row r="2090" spans="46:47" x14ac:dyDescent="0.2">
      <c r="AT2090">
        <v>2026.6048000000001</v>
      </c>
      <c r="AU2090">
        <v>2020</v>
      </c>
    </row>
    <row r="2091" spans="46:47" x14ac:dyDescent="0.2">
      <c r="AT2091">
        <v>2026.6210000000001</v>
      </c>
      <c r="AU2091">
        <v>1991</v>
      </c>
    </row>
    <row r="2092" spans="46:47" x14ac:dyDescent="0.2">
      <c r="AT2092">
        <v>2026.3495</v>
      </c>
      <c r="AU2092">
        <v>1981</v>
      </c>
    </row>
    <row r="2093" spans="46:47" x14ac:dyDescent="0.2">
      <c r="AT2093">
        <v>2026.0617999999999</v>
      </c>
      <c r="AU2093">
        <v>2002</v>
      </c>
    </row>
    <row r="2094" spans="46:47" x14ac:dyDescent="0.2">
      <c r="AT2094">
        <v>2026.3602000000001</v>
      </c>
      <c r="AU2094">
        <v>2000</v>
      </c>
    </row>
    <row r="2095" spans="46:47" x14ac:dyDescent="0.2">
      <c r="AT2095">
        <v>2026.3816999999999</v>
      </c>
      <c r="AU2095">
        <v>1982</v>
      </c>
    </row>
    <row r="2096" spans="46:47" x14ac:dyDescent="0.2">
      <c r="AT2096">
        <v>2026.0726</v>
      </c>
      <c r="AU2096">
        <v>1983</v>
      </c>
    </row>
    <row r="2097" spans="46:47" x14ac:dyDescent="0.2">
      <c r="AT2097">
        <v>2026.078</v>
      </c>
      <c r="AU2097">
        <v>2013</v>
      </c>
    </row>
    <row r="2098" spans="46:47" x14ac:dyDescent="0.2">
      <c r="AT2098">
        <v>2026.1156000000001</v>
      </c>
      <c r="AU2098">
        <v>2010</v>
      </c>
    </row>
    <row r="2099" spans="46:47" x14ac:dyDescent="0.2">
      <c r="AT2099">
        <v>2026.5134</v>
      </c>
      <c r="AU2099">
        <v>1989</v>
      </c>
    </row>
    <row r="2100" spans="46:47" x14ac:dyDescent="0.2">
      <c r="AT2100">
        <v>2026.2150999999999</v>
      </c>
      <c r="AU2100">
        <v>2014</v>
      </c>
    </row>
    <row r="2101" spans="46:47" x14ac:dyDescent="0.2">
      <c r="AT2101">
        <v>2026.3226</v>
      </c>
      <c r="AU2101">
        <v>2000</v>
      </c>
    </row>
    <row r="2102" spans="46:47" x14ac:dyDescent="0.2">
      <c r="AT2102">
        <v>2026.4784999999999</v>
      </c>
      <c r="AU2102">
        <v>1969</v>
      </c>
    </row>
    <row r="2103" spans="46:47" x14ac:dyDescent="0.2">
      <c r="AT2103">
        <v>2026.1774</v>
      </c>
      <c r="AU2103">
        <v>2023</v>
      </c>
    </row>
    <row r="2104" spans="46:47" x14ac:dyDescent="0.2">
      <c r="AT2104">
        <v>2026.3414</v>
      </c>
      <c r="AU2104">
        <v>2000</v>
      </c>
    </row>
    <row r="2105" spans="46:47" x14ac:dyDescent="0.2">
      <c r="AT2105">
        <v>2026.4194</v>
      </c>
      <c r="AU2105">
        <v>2012</v>
      </c>
    </row>
    <row r="2106" spans="46:47" x14ac:dyDescent="0.2">
      <c r="AT2106">
        <v>2026.0483999999999</v>
      </c>
      <c r="AU2106">
        <v>1994</v>
      </c>
    </row>
    <row r="2107" spans="46:47" x14ac:dyDescent="0.2">
      <c r="AT2107">
        <v>2026.1210000000001</v>
      </c>
      <c r="AU2107">
        <v>2005</v>
      </c>
    </row>
    <row r="2108" spans="46:47" x14ac:dyDescent="0.2">
      <c r="AT2108">
        <v>2026.1909000000001</v>
      </c>
      <c r="AU2108">
        <v>1992</v>
      </c>
    </row>
    <row r="2109" spans="46:47" x14ac:dyDescent="0.2">
      <c r="AT2109">
        <v>2026.0672</v>
      </c>
      <c r="AU2109">
        <v>2016</v>
      </c>
    </row>
    <row r="2110" spans="46:47" x14ac:dyDescent="0.2">
      <c r="AT2110">
        <v>2026.0914</v>
      </c>
      <c r="AU2110">
        <v>2010</v>
      </c>
    </row>
    <row r="2111" spans="46:47" x14ac:dyDescent="0.2">
      <c r="AT2111">
        <v>2026.3090999999999</v>
      </c>
      <c r="AU2111">
        <v>1994</v>
      </c>
    </row>
    <row r="2112" spans="46:47" x14ac:dyDescent="0.2">
      <c r="AT2112">
        <v>2026.5510999999999</v>
      </c>
      <c r="AU2112">
        <v>1997</v>
      </c>
    </row>
    <row r="2113" spans="46:47" x14ac:dyDescent="0.2">
      <c r="AT2113">
        <v>2026.6451999999999</v>
      </c>
      <c r="AU2113">
        <v>2020</v>
      </c>
    </row>
    <row r="2114" spans="46:47" x14ac:dyDescent="0.2">
      <c r="AT2114">
        <v>2026.0645</v>
      </c>
      <c r="AU2114">
        <v>2003</v>
      </c>
    </row>
    <row r="2115" spans="46:47" x14ac:dyDescent="0.2">
      <c r="AT2115">
        <v>2026.5672</v>
      </c>
      <c r="AU2115">
        <v>1997</v>
      </c>
    </row>
    <row r="2116" spans="46:47" x14ac:dyDescent="0.2">
      <c r="AT2116">
        <v>2026.1828</v>
      </c>
      <c r="AU2116">
        <v>2002</v>
      </c>
    </row>
    <row r="2117" spans="46:47" x14ac:dyDescent="0.2">
      <c r="AT2117">
        <v>2026.4005</v>
      </c>
      <c r="AU2117">
        <v>2020</v>
      </c>
    </row>
    <row r="2118" spans="46:47" x14ac:dyDescent="0.2">
      <c r="AT2118">
        <v>2026.5054</v>
      </c>
      <c r="AU2118">
        <v>2003</v>
      </c>
    </row>
    <row r="2119" spans="46:47" x14ac:dyDescent="0.2">
      <c r="AT2119">
        <v>2026.5590999999999</v>
      </c>
      <c r="AU2119">
        <v>2003</v>
      </c>
    </row>
    <row r="2120" spans="46:47" x14ac:dyDescent="0.2">
      <c r="AT2120">
        <v>2026.0537999999999</v>
      </c>
      <c r="AU2120">
        <v>1989</v>
      </c>
    </row>
    <row r="2121" spans="46:47" x14ac:dyDescent="0.2">
      <c r="AT2121">
        <v>2026.1747</v>
      </c>
      <c r="AU2121">
        <v>2015</v>
      </c>
    </row>
    <row r="2122" spans="46:47" x14ac:dyDescent="0.2">
      <c r="AT2122">
        <v>2026.4946</v>
      </c>
      <c r="AU2122">
        <v>2001</v>
      </c>
    </row>
    <row r="2123" spans="46:47" x14ac:dyDescent="0.2">
      <c r="AT2123">
        <v>2026.5</v>
      </c>
      <c r="AU2123">
        <v>2005</v>
      </c>
    </row>
    <row r="2124" spans="46:47" x14ac:dyDescent="0.2">
      <c r="AT2124">
        <v>2026.6316999999999</v>
      </c>
      <c r="AU2124">
        <v>2010</v>
      </c>
    </row>
    <row r="2125" spans="46:47" x14ac:dyDescent="0.2">
      <c r="AT2125">
        <v>2026.6505</v>
      </c>
      <c r="AU2125">
        <v>1984</v>
      </c>
    </row>
    <row r="2126" spans="46:47" x14ac:dyDescent="0.2">
      <c r="AT2126">
        <v>2026.1962000000001</v>
      </c>
      <c r="AU2126">
        <v>1998</v>
      </c>
    </row>
    <row r="2127" spans="46:47" x14ac:dyDescent="0.2">
      <c r="AT2127">
        <v>2026.2176999999999</v>
      </c>
      <c r="AU2127">
        <v>1982</v>
      </c>
    </row>
    <row r="2128" spans="46:47" x14ac:dyDescent="0.2">
      <c r="AT2128">
        <v>2026.4409000000001</v>
      </c>
      <c r="AU2128">
        <v>1996</v>
      </c>
    </row>
    <row r="2129" spans="46:47" x14ac:dyDescent="0.2">
      <c r="AT2129">
        <v>2026.5376000000001</v>
      </c>
      <c r="AU2129">
        <v>2015</v>
      </c>
    </row>
    <row r="2130" spans="46:47" x14ac:dyDescent="0.2">
      <c r="AT2130">
        <v>2026.5429999999999</v>
      </c>
      <c r="AU2130">
        <v>2006</v>
      </c>
    </row>
    <row r="2131" spans="46:47" x14ac:dyDescent="0.2">
      <c r="AT2131">
        <v>2026.4623999999999</v>
      </c>
      <c r="AU2131">
        <v>2007</v>
      </c>
    </row>
    <row r="2132" spans="46:47" x14ac:dyDescent="0.2">
      <c r="AT2132">
        <v>2026.6370999999999</v>
      </c>
      <c r="AU2132">
        <v>1971</v>
      </c>
    </row>
    <row r="2133" spans="46:47" x14ac:dyDescent="0.2">
      <c r="AT2133">
        <v>2026.6586</v>
      </c>
      <c r="AU2133">
        <v>1980</v>
      </c>
    </row>
    <row r="2134" spans="46:47" x14ac:dyDescent="0.2">
      <c r="AT2134">
        <v>2026.7016000000001</v>
      </c>
      <c r="AU2134">
        <v>1998</v>
      </c>
    </row>
    <row r="2135" spans="46:47" x14ac:dyDescent="0.2">
      <c r="AT2135">
        <v>2026.1882000000001</v>
      </c>
      <c r="AU2135">
        <v>2012</v>
      </c>
    </row>
    <row r="2136" spans="46:47" x14ac:dyDescent="0.2">
      <c r="AT2136">
        <v>2026.4328</v>
      </c>
      <c r="AU2136">
        <v>2008</v>
      </c>
    </row>
    <row r="2137" spans="46:47" x14ac:dyDescent="0.2">
      <c r="AT2137">
        <v>2026.5699</v>
      </c>
      <c r="AU2137">
        <v>2005</v>
      </c>
    </row>
    <row r="2138" spans="46:47" x14ac:dyDescent="0.2">
      <c r="AT2138">
        <v>2026.3441</v>
      </c>
      <c r="AU2138">
        <v>1995</v>
      </c>
    </row>
    <row r="2139" spans="46:47" x14ac:dyDescent="0.2">
      <c r="AT2139">
        <v>2026.3629000000001</v>
      </c>
      <c r="AU2139">
        <v>1991</v>
      </c>
    </row>
    <row r="2140" spans="46:47" x14ac:dyDescent="0.2">
      <c r="AT2140">
        <v>2026.422</v>
      </c>
      <c r="AU2140">
        <v>2016</v>
      </c>
    </row>
    <row r="2141" spans="46:47" x14ac:dyDescent="0.2">
      <c r="AT2141">
        <v>2026.4730999999999</v>
      </c>
      <c r="AU2141">
        <v>1981</v>
      </c>
    </row>
    <row r="2142" spans="46:47" x14ac:dyDescent="0.2">
      <c r="AT2142">
        <v>2026.0429999999999</v>
      </c>
      <c r="AU2142">
        <v>1998</v>
      </c>
    </row>
    <row r="2143" spans="46:47" x14ac:dyDescent="0.2">
      <c r="AT2143">
        <v>2026.4462000000001</v>
      </c>
      <c r="AU2143">
        <v>1994</v>
      </c>
    </row>
    <row r="2144" spans="46:47" x14ac:dyDescent="0.2">
      <c r="AT2144">
        <v>2026.5510999999999</v>
      </c>
      <c r="AU2144">
        <v>1972</v>
      </c>
    </row>
    <row r="2145" spans="46:47" x14ac:dyDescent="0.2">
      <c r="AT2145">
        <v>2026.2742000000001</v>
      </c>
      <c r="AU2145">
        <v>1977</v>
      </c>
    </row>
    <row r="2146" spans="46:47" x14ac:dyDescent="0.2">
      <c r="AT2146">
        <v>2026.1694</v>
      </c>
      <c r="AU2146">
        <v>2002</v>
      </c>
    </row>
    <row r="2147" spans="46:47" x14ac:dyDescent="0.2">
      <c r="AT2147">
        <v>2026.172</v>
      </c>
      <c r="AU2147">
        <v>2021</v>
      </c>
    </row>
    <row r="2148" spans="46:47" x14ac:dyDescent="0.2">
      <c r="AT2148">
        <v>2026.2097000000001</v>
      </c>
      <c r="AU2148">
        <v>2000</v>
      </c>
    </row>
    <row r="2149" spans="46:47" x14ac:dyDescent="0.2">
      <c r="AT2149">
        <v>2026.4086</v>
      </c>
      <c r="AU2149">
        <v>2026</v>
      </c>
    </row>
    <row r="2150" spans="46:47" x14ac:dyDescent="0.2">
      <c r="AT2150">
        <v>2026.2742000000001</v>
      </c>
      <c r="AU2150">
        <v>1996</v>
      </c>
    </row>
    <row r="2151" spans="46:47" x14ac:dyDescent="0.2">
      <c r="AT2151">
        <v>2026.7070000000001</v>
      </c>
      <c r="AU2151">
        <v>1976</v>
      </c>
    </row>
    <row r="2152" spans="46:47" x14ac:dyDescent="0.2">
      <c r="AT2152">
        <v>2026.1532</v>
      </c>
      <c r="AU2152">
        <v>2013</v>
      </c>
    </row>
    <row r="2153" spans="46:47" x14ac:dyDescent="0.2">
      <c r="AT2153">
        <v>2026.2043000000001</v>
      </c>
      <c r="AU2153">
        <v>1979</v>
      </c>
    </row>
    <row r="2154" spans="46:47" x14ac:dyDescent="0.2">
      <c r="AT2154">
        <v>2026.2257999999999</v>
      </c>
      <c r="AU2154">
        <v>1995</v>
      </c>
    </row>
    <row r="2155" spans="46:47" x14ac:dyDescent="0.2">
      <c r="AT2155">
        <v>2026.2823000000001</v>
      </c>
      <c r="AU2155">
        <v>2024</v>
      </c>
    </row>
    <row r="2156" spans="46:47" x14ac:dyDescent="0.2">
      <c r="AT2156">
        <v>2026.4650999999999</v>
      </c>
      <c r="AU2156">
        <v>1995</v>
      </c>
    </row>
    <row r="2157" spans="46:47" x14ac:dyDescent="0.2">
      <c r="AT2157">
        <v>2026.0753</v>
      </c>
      <c r="AU2157">
        <v>2015</v>
      </c>
    </row>
    <row r="2158" spans="46:47" x14ac:dyDescent="0.2">
      <c r="AT2158">
        <v>2026.3789999999999</v>
      </c>
      <c r="AU2158">
        <v>2004</v>
      </c>
    </row>
    <row r="2159" spans="46:47" x14ac:dyDescent="0.2">
      <c r="AT2159">
        <v>2026.2634</v>
      </c>
      <c r="AU2159">
        <v>2013</v>
      </c>
    </row>
    <row r="2160" spans="46:47" x14ac:dyDescent="0.2">
      <c r="AT2160">
        <v>2026.2876000000001</v>
      </c>
      <c r="AU2160">
        <v>1983</v>
      </c>
    </row>
    <row r="2161" spans="46:47" x14ac:dyDescent="0.2">
      <c r="AT2161">
        <v>2026.414</v>
      </c>
      <c r="AU2161">
        <v>1997</v>
      </c>
    </row>
    <row r="2162" spans="46:47" x14ac:dyDescent="0.2">
      <c r="AT2162">
        <v>2026.1289999999999</v>
      </c>
      <c r="AU2162">
        <v>1979</v>
      </c>
    </row>
    <row r="2163" spans="46:47" x14ac:dyDescent="0.2">
      <c r="AT2163">
        <v>2026.3978</v>
      </c>
      <c r="AU2163">
        <v>1981</v>
      </c>
    </row>
    <row r="2164" spans="46:47" x14ac:dyDescent="0.2">
      <c r="AT2164">
        <v>2026.5456999999999</v>
      </c>
      <c r="AU2164">
        <v>2002</v>
      </c>
    </row>
    <row r="2165" spans="46:47" x14ac:dyDescent="0.2">
      <c r="AT2165">
        <v>2026.4274</v>
      </c>
      <c r="AU2165">
        <v>2009</v>
      </c>
    </row>
    <row r="2166" spans="46:47" x14ac:dyDescent="0.2">
      <c r="AT2166">
        <v>2026.6129000000001</v>
      </c>
      <c r="AU2166">
        <v>1984</v>
      </c>
    </row>
    <row r="2167" spans="46:47" x14ac:dyDescent="0.2">
      <c r="AT2167">
        <v>2026.0968</v>
      </c>
      <c r="AU2167">
        <v>1992</v>
      </c>
    </row>
    <row r="2168" spans="46:47" x14ac:dyDescent="0.2">
      <c r="AT2168">
        <v>2026.1102000000001</v>
      </c>
      <c r="AU2168">
        <v>2024</v>
      </c>
    </row>
    <row r="2169" spans="46:47" x14ac:dyDescent="0.2">
      <c r="AT2169">
        <v>2026.2929999999999</v>
      </c>
      <c r="AU2169">
        <v>2015</v>
      </c>
    </row>
    <row r="2170" spans="46:47" x14ac:dyDescent="0.2">
      <c r="AT2170">
        <v>2026.4838999999999</v>
      </c>
      <c r="AU2170">
        <v>1981</v>
      </c>
    </row>
    <row r="2171" spans="46:47" x14ac:dyDescent="0.2">
      <c r="AT2171">
        <v>2026.0564999999999</v>
      </c>
      <c r="AU2171">
        <v>2005</v>
      </c>
    </row>
    <row r="2172" spans="46:47" x14ac:dyDescent="0.2">
      <c r="AT2172">
        <v>2026.1210000000001</v>
      </c>
      <c r="AU2172">
        <v>2003</v>
      </c>
    </row>
    <row r="2173" spans="46:47" x14ac:dyDescent="0.2">
      <c r="AT2173">
        <v>2026.1316999999999</v>
      </c>
      <c r="AU2173">
        <v>1999</v>
      </c>
    </row>
    <row r="2174" spans="46:47" x14ac:dyDescent="0.2">
      <c r="AT2174">
        <v>2026.3843999999999</v>
      </c>
      <c r="AU2174">
        <v>2026</v>
      </c>
    </row>
    <row r="2175" spans="46:47" x14ac:dyDescent="0.2">
      <c r="AT2175">
        <v>2026.4462000000001</v>
      </c>
      <c r="AU2175">
        <v>2005</v>
      </c>
    </row>
    <row r="2176" spans="46:47" x14ac:dyDescent="0.2">
      <c r="AT2176">
        <v>2026.5108</v>
      </c>
      <c r="AU2176">
        <v>1997</v>
      </c>
    </row>
    <row r="2177" spans="46:47" x14ac:dyDescent="0.2">
      <c r="AT2177">
        <v>2026.6882000000001</v>
      </c>
      <c r="AU2177">
        <v>1990</v>
      </c>
    </row>
    <row r="2178" spans="46:47" x14ac:dyDescent="0.2">
      <c r="AT2178">
        <v>2026.2902999999999</v>
      </c>
      <c r="AU2178">
        <v>2008</v>
      </c>
    </row>
    <row r="2179" spans="46:47" x14ac:dyDescent="0.2">
      <c r="AT2179">
        <v>2026.3064999999999</v>
      </c>
      <c r="AU2179">
        <v>1990</v>
      </c>
    </row>
    <row r="2180" spans="46:47" x14ac:dyDescent="0.2">
      <c r="AT2180">
        <v>2026.5161000000001</v>
      </c>
      <c r="AU2180">
        <v>2014</v>
      </c>
    </row>
    <row r="2181" spans="46:47" x14ac:dyDescent="0.2">
      <c r="AT2181">
        <v>2026.2688000000001</v>
      </c>
      <c r="AU2181">
        <v>1970</v>
      </c>
    </row>
    <row r="2182" spans="46:47" x14ac:dyDescent="0.2">
      <c r="AT2182">
        <v>2026.3548000000001</v>
      </c>
      <c r="AU2182">
        <v>1997</v>
      </c>
    </row>
    <row r="2183" spans="46:47" x14ac:dyDescent="0.2">
      <c r="AT2183">
        <v>2026.3789999999999</v>
      </c>
      <c r="AU2183">
        <v>2007</v>
      </c>
    </row>
    <row r="2184" spans="46:47" x14ac:dyDescent="0.2">
      <c r="AT2184">
        <v>2026.3117999999999</v>
      </c>
      <c r="AU2184">
        <v>1976</v>
      </c>
    </row>
    <row r="2185" spans="46:47" x14ac:dyDescent="0.2">
      <c r="AT2185">
        <v>2026.3145</v>
      </c>
      <c r="AU2185">
        <v>1998</v>
      </c>
    </row>
    <row r="2186" spans="46:47" x14ac:dyDescent="0.2">
      <c r="AT2186">
        <v>2026.4059</v>
      </c>
      <c r="AU2186">
        <v>2017</v>
      </c>
    </row>
    <row r="2187" spans="46:47" x14ac:dyDescent="0.2">
      <c r="AT2187">
        <v>2026.4113</v>
      </c>
      <c r="AU2187">
        <v>1992</v>
      </c>
    </row>
    <row r="2188" spans="46:47" x14ac:dyDescent="0.2">
      <c r="AT2188">
        <v>2026.4355</v>
      </c>
      <c r="AU2188">
        <v>2018</v>
      </c>
    </row>
    <row r="2189" spans="46:47" x14ac:dyDescent="0.2">
      <c r="AT2189">
        <v>2026.4946</v>
      </c>
      <c r="AU2189">
        <v>1995</v>
      </c>
    </row>
    <row r="2190" spans="46:47" x14ac:dyDescent="0.2">
      <c r="AT2190">
        <v>2026.6048000000001</v>
      </c>
      <c r="AU2190">
        <v>2024</v>
      </c>
    </row>
    <row r="2191" spans="46:47" x14ac:dyDescent="0.2">
      <c r="AT2191">
        <v>2026.2446</v>
      </c>
      <c r="AU2191">
        <v>2024</v>
      </c>
    </row>
    <row r="2192" spans="46:47" x14ac:dyDescent="0.2">
      <c r="AT2192">
        <v>2026.4516000000001</v>
      </c>
      <c r="AU2192">
        <v>1996</v>
      </c>
    </row>
    <row r="2193" spans="46:47" x14ac:dyDescent="0.2">
      <c r="AT2193">
        <v>2026.6343999999999</v>
      </c>
      <c r="AU2193">
        <v>2012</v>
      </c>
    </row>
    <row r="2194" spans="46:47" x14ac:dyDescent="0.2">
      <c r="AT2194">
        <v>2026.4194</v>
      </c>
      <c r="AU2194">
        <v>1997</v>
      </c>
    </row>
    <row r="2195" spans="46:47" x14ac:dyDescent="0.2">
      <c r="AT2195">
        <v>2026.5296000000001</v>
      </c>
      <c r="AU2195">
        <v>1994</v>
      </c>
    </row>
    <row r="2196" spans="46:47" x14ac:dyDescent="0.2">
      <c r="AT2196">
        <v>2026.6935000000001</v>
      </c>
      <c r="AU2196">
        <v>2026</v>
      </c>
    </row>
    <row r="2197" spans="46:47" x14ac:dyDescent="0.2">
      <c r="AT2197">
        <v>2026.2070000000001</v>
      </c>
      <c r="AU2197">
        <v>1993</v>
      </c>
    </row>
    <row r="2198" spans="46:47" x14ac:dyDescent="0.2">
      <c r="AT2198">
        <v>2026.2823000000001</v>
      </c>
      <c r="AU2198">
        <v>1992</v>
      </c>
    </row>
    <row r="2199" spans="46:47" x14ac:dyDescent="0.2">
      <c r="AT2199">
        <v>2026.3978</v>
      </c>
      <c r="AU2199">
        <v>1976</v>
      </c>
    </row>
    <row r="2200" spans="46:47" x14ac:dyDescent="0.2">
      <c r="AT2200">
        <v>2026.6048000000001</v>
      </c>
      <c r="AU2200">
        <v>2024</v>
      </c>
    </row>
    <row r="2201" spans="46:47" x14ac:dyDescent="0.2">
      <c r="AT2201">
        <v>2026.6694</v>
      </c>
      <c r="AU2201">
        <v>1999</v>
      </c>
    </row>
    <row r="2202" spans="46:47" x14ac:dyDescent="0.2">
      <c r="AT2202">
        <v>2026.2876000000001</v>
      </c>
      <c r="AU2202">
        <v>2003</v>
      </c>
    </row>
    <row r="2203" spans="46:47" x14ac:dyDescent="0.2">
      <c r="AT2203">
        <v>2026.1129000000001</v>
      </c>
      <c r="AU2203">
        <v>2003</v>
      </c>
    </row>
    <row r="2204" spans="46:47" x14ac:dyDescent="0.2">
      <c r="AT2204">
        <v>2026.4301</v>
      </c>
      <c r="AU2204">
        <v>1971</v>
      </c>
    </row>
    <row r="2205" spans="46:47" x14ac:dyDescent="0.2">
      <c r="AT2205">
        <v>2026.5429999999999</v>
      </c>
      <c r="AU2205">
        <v>2007</v>
      </c>
    </row>
    <row r="2206" spans="46:47" x14ac:dyDescent="0.2">
      <c r="AT2206">
        <v>2026.1451999999999</v>
      </c>
      <c r="AU2206">
        <v>1999</v>
      </c>
    </row>
    <row r="2207" spans="46:47" x14ac:dyDescent="0.2">
      <c r="AT2207">
        <v>2026.3629000000001</v>
      </c>
      <c r="AU2207">
        <v>1970</v>
      </c>
    </row>
    <row r="2208" spans="46:47" x14ac:dyDescent="0.2">
      <c r="AT2208">
        <v>2026.3737000000001</v>
      </c>
      <c r="AU2208">
        <v>2008</v>
      </c>
    </row>
    <row r="2209" spans="46:47" x14ac:dyDescent="0.2">
      <c r="AT2209">
        <v>2026.25</v>
      </c>
      <c r="AU2209">
        <v>2024</v>
      </c>
    </row>
    <row r="2210" spans="46:47" x14ac:dyDescent="0.2">
      <c r="AT2210">
        <v>2026.1532</v>
      </c>
      <c r="AU2210">
        <v>2024</v>
      </c>
    </row>
    <row r="2211" spans="46:47" x14ac:dyDescent="0.2">
      <c r="AT2211">
        <v>2026.2311999999999</v>
      </c>
      <c r="AU2211">
        <v>2026</v>
      </c>
    </row>
    <row r="2212" spans="46:47" x14ac:dyDescent="0.2">
      <c r="AT2212">
        <v>2026.5</v>
      </c>
      <c r="AU2212">
        <v>1998</v>
      </c>
    </row>
    <row r="2213" spans="46:47" x14ac:dyDescent="0.2">
      <c r="AT2213">
        <v>2026.0672</v>
      </c>
      <c r="AU2213">
        <v>2016</v>
      </c>
    </row>
    <row r="2214" spans="46:47" x14ac:dyDescent="0.2">
      <c r="AT2214">
        <v>2026.4730999999999</v>
      </c>
      <c r="AU2214">
        <v>2021</v>
      </c>
    </row>
    <row r="2215" spans="46:47" x14ac:dyDescent="0.2">
      <c r="AT2215">
        <v>2026.5027</v>
      </c>
      <c r="AU2215">
        <v>2009</v>
      </c>
    </row>
    <row r="2216" spans="46:47" x14ac:dyDescent="0.2">
      <c r="AT2216">
        <v>2026.2849000000001</v>
      </c>
      <c r="AU2216">
        <v>1991</v>
      </c>
    </row>
    <row r="2217" spans="46:47" x14ac:dyDescent="0.2">
      <c r="AT2217">
        <v>2026.5456999999999</v>
      </c>
      <c r="AU2217">
        <v>1999</v>
      </c>
    </row>
    <row r="2218" spans="46:47" x14ac:dyDescent="0.2">
      <c r="AT2218">
        <v>2026.5</v>
      </c>
      <c r="AU2218">
        <v>1998</v>
      </c>
    </row>
    <row r="2219" spans="46:47" x14ac:dyDescent="0.2">
      <c r="AT2219">
        <v>2026.0510999999999</v>
      </c>
      <c r="AU2219">
        <v>2018</v>
      </c>
    </row>
    <row r="2220" spans="46:47" x14ac:dyDescent="0.2">
      <c r="AT2220">
        <v>2026.3870999999999</v>
      </c>
      <c r="AU2220">
        <v>1966</v>
      </c>
    </row>
    <row r="2221" spans="46:47" x14ac:dyDescent="0.2">
      <c r="AT2221">
        <v>2026.3897999999999</v>
      </c>
      <c r="AU2221">
        <v>2022</v>
      </c>
    </row>
    <row r="2222" spans="46:47" x14ac:dyDescent="0.2">
      <c r="AT2222">
        <v>2026.1559</v>
      </c>
      <c r="AU2222">
        <v>2024</v>
      </c>
    </row>
    <row r="2223" spans="46:47" x14ac:dyDescent="0.2">
      <c r="AT2223">
        <v>2026.2634</v>
      </c>
      <c r="AU2223">
        <v>2026</v>
      </c>
    </row>
    <row r="2224" spans="46:47" x14ac:dyDescent="0.2">
      <c r="AT2224">
        <v>2026.2123999999999</v>
      </c>
      <c r="AU2224">
        <v>2026</v>
      </c>
    </row>
    <row r="2225" spans="46:47" x14ac:dyDescent="0.2">
      <c r="AT2225">
        <v>2026.3710000000001</v>
      </c>
      <c r="AU2225">
        <v>1990</v>
      </c>
    </row>
    <row r="2226" spans="46:47" x14ac:dyDescent="0.2">
      <c r="AT2226">
        <v>2026.4811999999999</v>
      </c>
      <c r="AU2226">
        <v>1999</v>
      </c>
    </row>
    <row r="2227" spans="46:47" x14ac:dyDescent="0.2">
      <c r="AT2227">
        <v>2026.5376000000001</v>
      </c>
      <c r="AU2227">
        <v>1992</v>
      </c>
    </row>
    <row r="2228" spans="46:47" x14ac:dyDescent="0.2">
      <c r="AT2228">
        <v>2026.0429999999999</v>
      </c>
      <c r="AU2228">
        <v>2000</v>
      </c>
    </row>
    <row r="2229" spans="46:47" x14ac:dyDescent="0.2">
      <c r="AT2229">
        <v>2026.2043000000001</v>
      </c>
      <c r="AU2229">
        <v>2016</v>
      </c>
    </row>
    <row r="2230" spans="46:47" x14ac:dyDescent="0.2">
      <c r="AT2230">
        <v>2026.4059</v>
      </c>
      <c r="AU2230">
        <v>1986</v>
      </c>
    </row>
    <row r="2231" spans="46:47" x14ac:dyDescent="0.2">
      <c r="AT2231">
        <v>2026.4623999999999</v>
      </c>
      <c r="AU2231">
        <v>2005</v>
      </c>
    </row>
    <row r="2232" spans="46:47" x14ac:dyDescent="0.2">
      <c r="AT2232">
        <v>2026.2661000000001</v>
      </c>
      <c r="AU2232">
        <v>1994</v>
      </c>
    </row>
    <row r="2233" spans="46:47" x14ac:dyDescent="0.2">
      <c r="AT2233">
        <v>2026.5564999999999</v>
      </c>
      <c r="AU2233">
        <v>2001</v>
      </c>
    </row>
    <row r="2234" spans="46:47" x14ac:dyDescent="0.2">
      <c r="AT2234">
        <v>2026.6505</v>
      </c>
      <c r="AU2234">
        <v>1996</v>
      </c>
    </row>
    <row r="2235" spans="46:47" x14ac:dyDescent="0.2">
      <c r="AT2235">
        <v>2026.4005</v>
      </c>
      <c r="AU2235">
        <v>1989</v>
      </c>
    </row>
    <row r="2236" spans="46:47" x14ac:dyDescent="0.2">
      <c r="AT2236">
        <v>2026.4382000000001</v>
      </c>
      <c r="AU2236">
        <v>1995</v>
      </c>
    </row>
    <row r="2237" spans="46:47" x14ac:dyDescent="0.2">
      <c r="AT2237">
        <v>2026.4435000000001</v>
      </c>
      <c r="AU2237">
        <v>2024</v>
      </c>
    </row>
    <row r="2238" spans="46:47" x14ac:dyDescent="0.2">
      <c r="AT2238">
        <v>2026.1505</v>
      </c>
      <c r="AU2238">
        <v>1993</v>
      </c>
    </row>
    <row r="2239" spans="46:47" x14ac:dyDescent="0.2">
      <c r="AT2239">
        <v>2026.2419</v>
      </c>
      <c r="AU2239">
        <v>1998</v>
      </c>
    </row>
    <row r="2240" spans="46:47" x14ac:dyDescent="0.2">
      <c r="AT2240">
        <v>2026.4757999999999</v>
      </c>
      <c r="AU2240">
        <v>2025</v>
      </c>
    </row>
    <row r="2241" spans="46:47" x14ac:dyDescent="0.2">
      <c r="AT2241">
        <v>2026.2742000000001</v>
      </c>
      <c r="AU2241">
        <v>1992</v>
      </c>
    </row>
    <row r="2242" spans="46:47" x14ac:dyDescent="0.2">
      <c r="AT2242">
        <v>2026.2230999999999</v>
      </c>
      <c r="AU2242">
        <v>1996</v>
      </c>
    </row>
    <row r="2243" spans="46:47" x14ac:dyDescent="0.2">
      <c r="AT2243">
        <v>2026.3951999999999</v>
      </c>
      <c r="AU2243">
        <v>2003</v>
      </c>
    </row>
    <row r="2244" spans="46:47" x14ac:dyDescent="0.2">
      <c r="AT2244">
        <v>2026.4597000000001</v>
      </c>
      <c r="AU2244">
        <v>2000</v>
      </c>
    </row>
    <row r="2245" spans="46:47" x14ac:dyDescent="0.2">
      <c r="AT2245">
        <v>2026.3468</v>
      </c>
      <c r="AU2245">
        <v>2001</v>
      </c>
    </row>
    <row r="2246" spans="46:47" x14ac:dyDescent="0.2">
      <c r="AT2246">
        <v>2026.0510999999999</v>
      </c>
      <c r="AU2246">
        <v>1993</v>
      </c>
    </row>
    <row r="2247" spans="46:47" x14ac:dyDescent="0.2">
      <c r="AT2247">
        <v>2026.5537999999999</v>
      </c>
      <c r="AU2247">
        <v>1972</v>
      </c>
    </row>
    <row r="2248" spans="46:47" x14ac:dyDescent="0.2">
      <c r="AT2248">
        <v>2026.6397999999999</v>
      </c>
      <c r="AU2248">
        <v>1997</v>
      </c>
    </row>
    <row r="2249" spans="46:47" x14ac:dyDescent="0.2">
      <c r="AT2249">
        <v>2026.4409000000001</v>
      </c>
      <c r="AU2249">
        <v>2002</v>
      </c>
    </row>
    <row r="2250" spans="46:47" x14ac:dyDescent="0.2">
      <c r="AT2250">
        <v>2026.0510999999999</v>
      </c>
      <c r="AU2250">
        <v>1979</v>
      </c>
    </row>
    <row r="2251" spans="46:47" x14ac:dyDescent="0.2">
      <c r="AT2251">
        <v>2026.6210000000001</v>
      </c>
      <c r="AU2251">
        <v>1994</v>
      </c>
    </row>
    <row r="2252" spans="46:47" x14ac:dyDescent="0.2">
      <c r="AT2252">
        <v>2026.3897999999999</v>
      </c>
      <c r="AU2252">
        <v>2024</v>
      </c>
    </row>
    <row r="2253" spans="46:47" x14ac:dyDescent="0.2">
      <c r="AT2253">
        <v>2026.6613</v>
      </c>
      <c r="AU2253">
        <v>2026</v>
      </c>
    </row>
    <row r="2254" spans="46:47" x14ac:dyDescent="0.2">
      <c r="AT2254">
        <v>2026.0483999999999</v>
      </c>
      <c r="AU2254">
        <v>1993</v>
      </c>
    </row>
    <row r="2255" spans="46:47" x14ac:dyDescent="0.2">
      <c r="AT2255">
        <v>2026.0726</v>
      </c>
      <c r="AU2255">
        <v>2016</v>
      </c>
    </row>
    <row r="2256" spans="46:47" x14ac:dyDescent="0.2">
      <c r="AT2256">
        <v>2026.2366</v>
      </c>
      <c r="AU2256">
        <v>2018</v>
      </c>
    </row>
    <row r="2257" spans="46:47" x14ac:dyDescent="0.2">
      <c r="AT2257">
        <v>2026.3656000000001</v>
      </c>
      <c r="AU2257">
        <v>2016</v>
      </c>
    </row>
    <row r="2258" spans="46:47" x14ac:dyDescent="0.2">
      <c r="AT2258">
        <v>2026.2311999999999</v>
      </c>
      <c r="AU2258">
        <v>2014</v>
      </c>
    </row>
    <row r="2259" spans="46:47" x14ac:dyDescent="0.2">
      <c r="AT2259">
        <v>2026.3064999999999</v>
      </c>
      <c r="AU2259">
        <v>2026</v>
      </c>
    </row>
    <row r="2260" spans="46:47" x14ac:dyDescent="0.2">
      <c r="AT2260">
        <v>2026.4946</v>
      </c>
      <c r="AU2260">
        <v>1995</v>
      </c>
    </row>
    <row r="2261" spans="46:47" x14ac:dyDescent="0.2">
      <c r="AT2261">
        <v>2026.0753</v>
      </c>
      <c r="AU2261">
        <v>2001</v>
      </c>
    </row>
    <row r="2262" spans="46:47" x14ac:dyDescent="0.2">
      <c r="AT2262">
        <v>2026.6747</v>
      </c>
      <c r="AU2262">
        <v>2010</v>
      </c>
    </row>
    <row r="2263" spans="46:47" x14ac:dyDescent="0.2">
      <c r="AT2263">
        <v>2026.5188000000001</v>
      </c>
      <c r="AU2263">
        <v>1992</v>
      </c>
    </row>
    <row r="2264" spans="46:47" x14ac:dyDescent="0.2">
      <c r="AT2264">
        <v>2026.0617999999999</v>
      </c>
      <c r="AU2264">
        <v>2023</v>
      </c>
    </row>
    <row r="2265" spans="46:47" x14ac:dyDescent="0.2">
      <c r="AT2265">
        <v>2026.2473</v>
      </c>
      <c r="AU2265">
        <v>2001</v>
      </c>
    </row>
    <row r="2266" spans="46:47" x14ac:dyDescent="0.2">
      <c r="AT2266">
        <v>2026.578</v>
      </c>
      <c r="AU2266">
        <v>1974</v>
      </c>
    </row>
    <row r="2267" spans="46:47" x14ac:dyDescent="0.2">
      <c r="AT2267">
        <v>2026.3199</v>
      </c>
      <c r="AU2267">
        <v>2016</v>
      </c>
    </row>
    <row r="2268" spans="46:47" x14ac:dyDescent="0.2">
      <c r="AT2268">
        <v>2026.4919</v>
      </c>
      <c r="AU2268">
        <v>2018</v>
      </c>
    </row>
    <row r="2269" spans="46:47" x14ac:dyDescent="0.2">
      <c r="AT2269">
        <v>2026.1667</v>
      </c>
      <c r="AU2269">
        <v>2026</v>
      </c>
    </row>
    <row r="2270" spans="46:47" x14ac:dyDescent="0.2">
      <c r="AT2270">
        <v>2026.5726</v>
      </c>
      <c r="AU2270">
        <v>1984</v>
      </c>
    </row>
    <row r="2271" spans="46:47" x14ac:dyDescent="0.2">
      <c r="AT2271">
        <v>2026.0510999999999</v>
      </c>
      <c r="AU2271">
        <v>2005</v>
      </c>
    </row>
    <row r="2272" spans="46:47" x14ac:dyDescent="0.2">
      <c r="AT2272">
        <v>2026.4730999999999</v>
      </c>
      <c r="AU2272">
        <v>1996</v>
      </c>
    </row>
    <row r="2273" spans="46:47" x14ac:dyDescent="0.2">
      <c r="AT2273">
        <v>2026.0887</v>
      </c>
      <c r="AU2273">
        <v>1997</v>
      </c>
    </row>
    <row r="2274" spans="46:47" x14ac:dyDescent="0.2">
      <c r="AT2274">
        <v>2026.1801</v>
      </c>
      <c r="AU2274">
        <v>2026</v>
      </c>
    </row>
    <row r="2275" spans="46:47" x14ac:dyDescent="0.2">
      <c r="AT2275">
        <v>2026.2876000000001</v>
      </c>
      <c r="AU2275">
        <v>2025</v>
      </c>
    </row>
    <row r="2276" spans="46:47" x14ac:dyDescent="0.2">
      <c r="AT2276">
        <v>2026.4247</v>
      </c>
      <c r="AU2276">
        <v>1995</v>
      </c>
    </row>
    <row r="2277" spans="46:47" x14ac:dyDescent="0.2">
      <c r="AT2277">
        <v>2026.5617999999999</v>
      </c>
      <c r="AU2277">
        <v>2016</v>
      </c>
    </row>
    <row r="2278" spans="46:47" x14ac:dyDescent="0.2">
      <c r="AT2278">
        <v>2026.6505</v>
      </c>
      <c r="AU2278">
        <v>2004</v>
      </c>
    </row>
    <row r="2279" spans="46:47" x14ac:dyDescent="0.2">
      <c r="AT2279">
        <v>2026.4167</v>
      </c>
      <c r="AU2279">
        <v>2019</v>
      </c>
    </row>
    <row r="2280" spans="46:47" x14ac:dyDescent="0.2">
      <c r="AT2280">
        <v>2026.5402999999999</v>
      </c>
      <c r="AU2280">
        <v>2026</v>
      </c>
    </row>
    <row r="2281" spans="46:47" x14ac:dyDescent="0.2">
      <c r="AT2281">
        <v>2026.4059</v>
      </c>
      <c r="AU2281">
        <v>1992</v>
      </c>
    </row>
    <row r="2282" spans="46:47" x14ac:dyDescent="0.2">
      <c r="AT2282">
        <v>2026.5672</v>
      </c>
      <c r="AU2282">
        <v>2026</v>
      </c>
    </row>
    <row r="2283" spans="46:47" x14ac:dyDescent="0.2">
      <c r="AT2283">
        <v>2026.1989000000001</v>
      </c>
      <c r="AU2283">
        <v>2005</v>
      </c>
    </row>
    <row r="2284" spans="46:47" x14ac:dyDescent="0.2">
      <c r="AT2284">
        <v>2026.1289999999999</v>
      </c>
      <c r="AU2284">
        <v>2011</v>
      </c>
    </row>
    <row r="2285" spans="46:47" x14ac:dyDescent="0.2">
      <c r="AT2285">
        <v>2026.0806</v>
      </c>
      <c r="AU2285">
        <v>2026</v>
      </c>
    </row>
    <row r="2286" spans="46:47" x14ac:dyDescent="0.2">
      <c r="AT2286">
        <v>2026.5134</v>
      </c>
      <c r="AU2286">
        <v>2026</v>
      </c>
    </row>
    <row r="2287" spans="46:47" x14ac:dyDescent="0.2">
      <c r="AT2287">
        <v>2026.0645</v>
      </c>
      <c r="AU2287">
        <v>2021</v>
      </c>
    </row>
    <row r="2288" spans="46:47" x14ac:dyDescent="0.2">
      <c r="AT2288">
        <v>2026.4489000000001</v>
      </c>
      <c r="AU2288">
        <v>1999</v>
      </c>
    </row>
    <row r="2289" spans="46:47" x14ac:dyDescent="0.2">
      <c r="AT2289">
        <v>2026.4597000000001</v>
      </c>
      <c r="AU2289">
        <v>2011</v>
      </c>
    </row>
    <row r="2290" spans="46:47" x14ac:dyDescent="0.2">
      <c r="AT2290">
        <v>2026.0590999999999</v>
      </c>
      <c r="AU2290">
        <v>2026</v>
      </c>
    </row>
    <row r="2291" spans="46:47" x14ac:dyDescent="0.2">
      <c r="AT2291">
        <v>2026.1532</v>
      </c>
      <c r="AU2291">
        <v>2020</v>
      </c>
    </row>
    <row r="2292" spans="46:47" x14ac:dyDescent="0.2">
      <c r="AT2292">
        <v>2026.1343999999999</v>
      </c>
      <c r="AU2292">
        <v>1993</v>
      </c>
    </row>
    <row r="2293" spans="46:47" x14ac:dyDescent="0.2">
      <c r="AT2293">
        <v>2026.2473</v>
      </c>
      <c r="AU2293">
        <v>2026</v>
      </c>
    </row>
    <row r="2294" spans="46:47" x14ac:dyDescent="0.2">
      <c r="AT2294">
        <v>2026.0564999999999</v>
      </c>
      <c r="AU2294">
        <v>2021</v>
      </c>
    </row>
    <row r="2295" spans="46:47" x14ac:dyDescent="0.2">
      <c r="AT2295">
        <v>2026.3199</v>
      </c>
      <c r="AU2295">
        <v>2013</v>
      </c>
    </row>
    <row r="2296" spans="46:47" x14ac:dyDescent="0.2">
      <c r="AT2296">
        <v>2026.086</v>
      </c>
      <c r="AU2296">
        <v>2026</v>
      </c>
    </row>
    <row r="2297" spans="46:47" x14ac:dyDescent="0.2">
      <c r="AT2297">
        <v>2026.6694</v>
      </c>
      <c r="AU2297">
        <v>2007</v>
      </c>
    </row>
    <row r="2298" spans="46:47" x14ac:dyDescent="0.2">
      <c r="AT2298">
        <v>2026.5726</v>
      </c>
      <c r="AU2298">
        <v>2026</v>
      </c>
    </row>
    <row r="2299" spans="46:47" x14ac:dyDescent="0.2">
      <c r="AT2299">
        <v>2026.4274</v>
      </c>
      <c r="AU2299">
        <v>2025</v>
      </c>
    </row>
    <row r="2300" spans="46:47" x14ac:dyDescent="0.2">
      <c r="AT2300">
        <v>2026.2338999999999</v>
      </c>
      <c r="AU2300">
        <v>2003</v>
      </c>
    </row>
    <row r="2301" spans="46:47" x14ac:dyDescent="0.2">
      <c r="AT2301">
        <v>2026.3441</v>
      </c>
      <c r="AU2301">
        <v>2025</v>
      </c>
    </row>
    <row r="2302" spans="46:47" x14ac:dyDescent="0.2">
      <c r="AT2302">
        <v>2026.5429999999999</v>
      </c>
      <c r="AU2302">
        <v>2021</v>
      </c>
    </row>
    <row r="2305" spans="46:47" x14ac:dyDescent="0.2">
      <c r="AT2305" s="418" t="s">
        <v>5503</v>
      </c>
      <c r="AU2305" t="s">
        <v>5504</v>
      </c>
    </row>
    <row r="2306" spans="46:47" x14ac:dyDescent="0.2">
      <c r="AT2306" s="418" t="s">
        <v>1812</v>
      </c>
      <c r="AU2306">
        <v>-0.31</v>
      </c>
    </row>
    <row r="2307" spans="46:47" x14ac:dyDescent="0.2">
      <c r="AT2307" s="418" t="s">
        <v>3787</v>
      </c>
      <c r="AU2307">
        <v>-0.193</v>
      </c>
    </row>
    <row r="2308" spans="46:47" x14ac:dyDescent="0.2">
      <c r="AT2308" s="418" t="s">
        <v>3786</v>
      </c>
      <c r="AU2308">
        <v>-0.107</v>
      </c>
    </row>
    <row r="2309" spans="46:47" x14ac:dyDescent="0.2">
      <c r="AT2309" s="418" t="s">
        <v>291</v>
      </c>
      <c r="AU2309">
        <v>9.8000000000000004E-2</v>
      </c>
    </row>
    <row r="2310" spans="46:47" x14ac:dyDescent="0.2">
      <c r="AT2310" s="418" t="s">
        <v>5505</v>
      </c>
      <c r="AU2310">
        <v>9.9000000000000005E-2</v>
      </c>
    </row>
    <row r="2311" spans="46:47" x14ac:dyDescent="0.2">
      <c r="AT2311" s="418" t="s">
        <v>1813</v>
      </c>
      <c r="AU2311">
        <v>0.11600000000000001</v>
      </c>
    </row>
    <row r="2312" spans="46:47" x14ac:dyDescent="0.2">
      <c r="AT2312" s="418" t="s">
        <v>289</v>
      </c>
      <c r="AU2312">
        <v>0.50800000000000001</v>
      </c>
    </row>
    <row r="2315" spans="46:47" x14ac:dyDescent="0.2">
      <c r="AT2315" s="418" t="s">
        <v>286</v>
      </c>
      <c r="AU2315" t="s">
        <v>957</v>
      </c>
    </row>
    <row r="2316" spans="46:47" x14ac:dyDescent="0.2">
      <c r="AT2316" s="418" t="s">
        <v>3788</v>
      </c>
      <c r="AU2316">
        <v>9.44</v>
      </c>
    </row>
    <row r="2317" spans="46:47" x14ac:dyDescent="0.2">
      <c r="AT2317" s="418" t="s">
        <v>3789</v>
      </c>
      <c r="AU2317">
        <v>9.4600000000000009</v>
      </c>
    </row>
    <row r="2318" spans="46:47" x14ac:dyDescent="0.2">
      <c r="AT2318" s="418" t="s">
        <v>3790</v>
      </c>
      <c r="AU2318">
        <v>9.5299999999999994</v>
      </c>
    </row>
    <row r="2319" spans="46:47" x14ac:dyDescent="0.2">
      <c r="AT2319" s="418" t="s">
        <v>3791</v>
      </c>
      <c r="AU2319">
        <v>9.5500000000000007</v>
      </c>
    </row>
    <row r="2320" spans="46:47" x14ac:dyDescent="0.2">
      <c r="AT2320" s="418" t="s">
        <v>4661</v>
      </c>
      <c r="AU2320">
        <v>9.77</v>
      </c>
    </row>
    <row r="2321" spans="46:47" x14ac:dyDescent="0.2">
      <c r="AT2321" s="418" t="s">
        <v>3792</v>
      </c>
      <c r="AU2321">
        <v>9.9600000000000009</v>
      </c>
    </row>
    <row r="2322" spans="46:47" x14ac:dyDescent="0.2">
      <c r="AT2322" s="418" t="s">
        <v>3793</v>
      </c>
      <c r="AU2322">
        <v>9.99</v>
      </c>
    </row>
    <row r="2323" spans="46:47" x14ac:dyDescent="0.2">
      <c r="AT2323" s="418" t="s">
        <v>3794</v>
      </c>
      <c r="AU2323">
        <v>10</v>
      </c>
    </row>
    <row r="2324" spans="46:47" x14ac:dyDescent="0.2">
      <c r="AT2324" s="418" t="s">
        <v>3796</v>
      </c>
      <c r="AU2324">
        <v>10.050000000000001</v>
      </c>
    </row>
    <row r="2325" spans="46:47" x14ac:dyDescent="0.2">
      <c r="AT2325" s="418" t="s">
        <v>3795</v>
      </c>
      <c r="AU2325">
        <v>10.07</v>
      </c>
    </row>
    <row r="2326" spans="46:47" x14ac:dyDescent="0.2">
      <c r="AT2326" s="418" t="s">
        <v>3797</v>
      </c>
      <c r="AU2326">
        <v>10.37</v>
      </c>
    </row>
    <row r="2327" spans="46:47" x14ac:dyDescent="0.2">
      <c r="AT2327" s="418" t="s">
        <v>3798</v>
      </c>
      <c r="AU2327">
        <v>10.39</v>
      </c>
    </row>
    <row r="2328" spans="46:47" x14ac:dyDescent="0.2">
      <c r="AT2328" s="418" t="s">
        <v>3799</v>
      </c>
      <c r="AU2328">
        <v>10.44</v>
      </c>
    </row>
    <row r="2329" spans="46:47" x14ac:dyDescent="0.2">
      <c r="AT2329" s="418" t="s">
        <v>3800</v>
      </c>
      <c r="AU2329">
        <v>10.85</v>
      </c>
    </row>
    <row r="2330" spans="46:47" x14ac:dyDescent="0.2">
      <c r="AT2330" s="418" t="s">
        <v>3801</v>
      </c>
      <c r="AU2330">
        <v>10.99</v>
      </c>
    </row>
    <row r="2333" spans="46:47" x14ac:dyDescent="0.2">
      <c r="AT2333" s="418" t="s">
        <v>286</v>
      </c>
      <c r="AU2333" t="s">
        <v>3785</v>
      </c>
    </row>
    <row r="2334" spans="46:47" x14ac:dyDescent="0.2">
      <c r="AT2334" s="418" t="s">
        <v>4281</v>
      </c>
      <c r="AU2334">
        <v>77</v>
      </c>
    </row>
    <row r="2335" spans="46:47" x14ac:dyDescent="0.2">
      <c r="AT2335" s="418" t="s">
        <v>5590</v>
      </c>
      <c r="AU2335">
        <v>77</v>
      </c>
    </row>
    <row r="2336" spans="46:47" x14ac:dyDescent="0.2">
      <c r="AT2336" s="418" t="s">
        <v>4282</v>
      </c>
      <c r="AU2336">
        <v>77</v>
      </c>
    </row>
    <row r="2337" spans="46:47" x14ac:dyDescent="0.2">
      <c r="AT2337" s="418" t="s">
        <v>4283</v>
      </c>
      <c r="AU2337">
        <v>78</v>
      </c>
    </row>
    <row r="2338" spans="46:47" x14ac:dyDescent="0.2">
      <c r="AT2338" s="418" t="s">
        <v>4284</v>
      </c>
      <c r="AU2338">
        <v>79</v>
      </c>
    </row>
    <row r="2339" spans="46:47" x14ac:dyDescent="0.2">
      <c r="AT2339" s="418" t="s">
        <v>4285</v>
      </c>
      <c r="AU2339">
        <v>81</v>
      </c>
    </row>
    <row r="2340" spans="46:47" x14ac:dyDescent="0.2">
      <c r="AT2340" s="418" t="s">
        <v>4286</v>
      </c>
      <c r="AU2340">
        <v>84</v>
      </c>
    </row>
    <row r="2341" spans="46:47" x14ac:dyDescent="0.2">
      <c r="AT2341" s="418" t="s">
        <v>4287</v>
      </c>
      <c r="AU2341">
        <v>84</v>
      </c>
    </row>
    <row r="2342" spans="46:47" x14ac:dyDescent="0.2">
      <c r="AT2342" s="418" t="s">
        <v>4288</v>
      </c>
      <c r="AU2342">
        <v>86</v>
      </c>
    </row>
    <row r="2343" spans="46:47" x14ac:dyDescent="0.2">
      <c r="AT2343" s="418" t="s">
        <v>4289</v>
      </c>
      <c r="AU2343">
        <v>87</v>
      </c>
    </row>
    <row r="2344" spans="46:47" x14ac:dyDescent="0.2">
      <c r="AT2344" s="418" t="s">
        <v>4290</v>
      </c>
      <c r="AU2344">
        <v>100</v>
      </c>
    </row>
    <row r="2345" spans="46:47" x14ac:dyDescent="0.2">
      <c r="AT2345" s="418" t="s">
        <v>4291</v>
      </c>
      <c r="AU2345">
        <v>121</v>
      </c>
    </row>
    <row r="2346" spans="46:47" x14ac:dyDescent="0.2">
      <c r="AT2346" s="418" t="s">
        <v>4292</v>
      </c>
      <c r="AU2346">
        <v>121</v>
      </c>
    </row>
    <row r="2347" spans="46:47" x14ac:dyDescent="0.2">
      <c r="AT2347" s="418" t="s">
        <v>4293</v>
      </c>
      <c r="AU2347">
        <v>141</v>
      </c>
    </row>
    <row r="2348" spans="46:47" x14ac:dyDescent="0.2">
      <c r="AT2348" s="418" t="s">
        <v>3377</v>
      </c>
      <c r="AU2348">
        <v>156</v>
      </c>
    </row>
    <row r="2351" spans="46:47" x14ac:dyDescent="0.2">
      <c r="AT2351" s="418" t="s">
        <v>285</v>
      </c>
      <c r="AU2351" t="s">
        <v>287</v>
      </c>
    </row>
    <row r="2352" spans="46:47" x14ac:dyDescent="0.2">
      <c r="AT2352" s="418" t="s">
        <v>3802</v>
      </c>
      <c r="AU2352">
        <v>8.81</v>
      </c>
    </row>
    <row r="2353" spans="46:47" x14ac:dyDescent="0.2">
      <c r="AT2353" s="418" t="s">
        <v>3803</v>
      </c>
      <c r="AU2353">
        <v>8.86</v>
      </c>
    </row>
    <row r="2354" spans="46:47" x14ac:dyDescent="0.2">
      <c r="AT2354" s="418" t="s">
        <v>3804</v>
      </c>
      <c r="AU2354">
        <v>8.89</v>
      </c>
    </row>
    <row r="2355" spans="46:47" x14ac:dyDescent="0.2">
      <c r="AT2355" s="418" t="s">
        <v>3805</v>
      </c>
      <c r="AU2355">
        <v>8.9</v>
      </c>
    </row>
    <row r="2356" spans="46:47" x14ac:dyDescent="0.2">
      <c r="AT2356" s="418" t="s">
        <v>4520</v>
      </c>
      <c r="AU2356">
        <v>8.9</v>
      </c>
    </row>
    <row r="2357" spans="46:47" x14ac:dyDescent="0.2">
      <c r="AT2357" s="418" t="s">
        <v>3806</v>
      </c>
      <c r="AU2357">
        <v>8.91</v>
      </c>
    </row>
    <row r="2358" spans="46:47" x14ac:dyDescent="0.2">
      <c r="AT2358" s="418" t="s">
        <v>3807</v>
      </c>
      <c r="AU2358">
        <v>8.91</v>
      </c>
    </row>
    <row r="2359" spans="46:47" x14ac:dyDescent="0.2">
      <c r="AT2359" s="418" t="s">
        <v>4571</v>
      </c>
      <c r="AU2359">
        <v>8.91</v>
      </c>
    </row>
    <row r="2360" spans="46:47" x14ac:dyDescent="0.2">
      <c r="AT2360" s="418" t="s">
        <v>4681</v>
      </c>
      <c r="AU2360">
        <v>8.9600000000000009</v>
      </c>
    </row>
    <row r="2361" spans="46:47" x14ac:dyDescent="0.2">
      <c r="AT2361" s="418" t="s">
        <v>4075</v>
      </c>
      <c r="AU2361">
        <v>9.0399999999999991</v>
      </c>
    </row>
    <row r="2362" spans="46:47" x14ac:dyDescent="0.2">
      <c r="AT2362" s="418" t="s">
        <v>4079</v>
      </c>
      <c r="AU2362">
        <v>9.15</v>
      </c>
    </row>
    <row r="2363" spans="46:47" x14ac:dyDescent="0.2">
      <c r="AT2363" s="418" t="s">
        <v>5410</v>
      </c>
      <c r="AU2363">
        <v>9.2100000000000009</v>
      </c>
    </row>
    <row r="2364" spans="46:47" x14ac:dyDescent="0.2">
      <c r="AT2364" s="418" t="s">
        <v>3808</v>
      </c>
      <c r="AU2364">
        <v>9.24</v>
      </c>
    </row>
    <row r="2365" spans="46:47" x14ac:dyDescent="0.2">
      <c r="AT2365" s="418" t="s">
        <v>3809</v>
      </c>
      <c r="AU2365">
        <v>9.35</v>
      </c>
    </row>
    <row r="2366" spans="46:47" x14ac:dyDescent="0.2">
      <c r="AT2366" s="418" t="s">
        <v>4454</v>
      </c>
      <c r="AU2366">
        <v>9.75</v>
      </c>
    </row>
    <row r="2369" spans="46:47" x14ac:dyDescent="0.2">
      <c r="AT2369" s="418" t="s">
        <v>285</v>
      </c>
      <c r="AU2369" t="s">
        <v>957</v>
      </c>
    </row>
    <row r="2370" spans="46:47" x14ac:dyDescent="0.2">
      <c r="AT2370" s="418" t="s">
        <v>5506</v>
      </c>
      <c r="AU2370">
        <v>8.81</v>
      </c>
    </row>
    <row r="2371" spans="46:47" x14ac:dyDescent="0.2">
      <c r="AT2371" s="418" t="s">
        <v>3806</v>
      </c>
      <c r="AU2371">
        <v>8.82</v>
      </c>
    </row>
    <row r="2372" spans="46:47" x14ac:dyDescent="0.2">
      <c r="AT2372" s="418" t="s">
        <v>5507</v>
      </c>
      <c r="AU2372">
        <v>8.83</v>
      </c>
    </row>
    <row r="2373" spans="46:47" x14ac:dyDescent="0.2">
      <c r="AT2373" s="418" t="s">
        <v>4681</v>
      </c>
      <c r="AU2373">
        <v>8.8800000000000008</v>
      </c>
    </row>
    <row r="2374" spans="46:47" x14ac:dyDescent="0.2">
      <c r="AT2374" s="418" t="s">
        <v>4520</v>
      </c>
      <c r="AU2374">
        <v>8.8800000000000008</v>
      </c>
    </row>
    <row r="2375" spans="46:47" x14ac:dyDescent="0.2">
      <c r="AT2375" s="418" t="s">
        <v>3803</v>
      </c>
      <c r="AU2375">
        <v>8.9</v>
      </c>
    </row>
    <row r="2376" spans="46:47" x14ac:dyDescent="0.2">
      <c r="AT2376" s="418" t="s">
        <v>3804</v>
      </c>
      <c r="AU2376">
        <v>8.93</v>
      </c>
    </row>
    <row r="2377" spans="46:47" x14ac:dyDescent="0.2">
      <c r="AT2377" s="418" t="s">
        <v>3807</v>
      </c>
      <c r="AU2377">
        <v>8.9700000000000006</v>
      </c>
    </row>
    <row r="2378" spans="46:47" x14ac:dyDescent="0.2">
      <c r="AT2378" s="418" t="s">
        <v>4571</v>
      </c>
      <c r="AU2378">
        <v>8.99</v>
      </c>
    </row>
    <row r="2379" spans="46:47" x14ac:dyDescent="0.2">
      <c r="AT2379" s="418" t="s">
        <v>4075</v>
      </c>
      <c r="AU2379">
        <v>9.06</v>
      </c>
    </row>
    <row r="2380" spans="46:47" x14ac:dyDescent="0.2">
      <c r="AT2380" s="418" t="s">
        <v>3808</v>
      </c>
      <c r="AU2380">
        <v>9.2799999999999994</v>
      </c>
    </row>
    <row r="2381" spans="46:47" x14ac:dyDescent="0.2">
      <c r="AT2381" s="418" t="s">
        <v>5410</v>
      </c>
      <c r="AU2381">
        <v>9.3699999999999992</v>
      </c>
    </row>
    <row r="2382" spans="46:47" x14ac:dyDescent="0.2">
      <c r="AT2382" s="418" t="s">
        <v>4079</v>
      </c>
      <c r="AU2382">
        <v>9.4</v>
      </c>
    </row>
    <row r="2383" spans="46:47" x14ac:dyDescent="0.2">
      <c r="AT2383" s="418" t="s">
        <v>3809</v>
      </c>
      <c r="AU2383">
        <v>9.58</v>
      </c>
    </row>
    <row r="2384" spans="46:47" x14ac:dyDescent="0.2">
      <c r="AT2384" s="418" t="s">
        <v>4454</v>
      </c>
      <c r="AU2384">
        <v>9.8800000000000008</v>
      </c>
    </row>
    <row r="2387" spans="46:47" x14ac:dyDescent="0.2">
      <c r="AT2387" s="418" t="s">
        <v>285</v>
      </c>
      <c r="AU2387" t="s">
        <v>475</v>
      </c>
    </row>
    <row r="2388" spans="46:47" x14ac:dyDescent="0.2">
      <c r="AT2388" s="418" t="s">
        <v>2460</v>
      </c>
      <c r="AU2388">
        <v>3</v>
      </c>
    </row>
    <row r="2389" spans="46:47" x14ac:dyDescent="0.2">
      <c r="AT2389" s="418" t="s">
        <v>2293</v>
      </c>
      <c r="AU2389">
        <v>3</v>
      </c>
    </row>
    <row r="2390" spans="46:47" x14ac:dyDescent="0.2">
      <c r="AT2390" s="418" t="s">
        <v>677</v>
      </c>
      <c r="AU2390">
        <v>4</v>
      </c>
    </row>
    <row r="2391" spans="46:47" x14ac:dyDescent="0.2">
      <c r="AT2391" s="418" t="s">
        <v>774</v>
      </c>
      <c r="AU2391">
        <v>4</v>
      </c>
    </row>
    <row r="2392" spans="46:47" x14ac:dyDescent="0.2">
      <c r="AT2392" s="418" t="s">
        <v>2699</v>
      </c>
      <c r="AU2392">
        <v>4</v>
      </c>
    </row>
    <row r="2393" spans="46:47" x14ac:dyDescent="0.2">
      <c r="AT2393" s="418" t="s">
        <v>303</v>
      </c>
      <c r="AU2393">
        <v>4</v>
      </c>
    </row>
    <row r="2394" spans="46:47" x14ac:dyDescent="0.2">
      <c r="AT2394" s="418" t="s">
        <v>441</v>
      </c>
      <c r="AU2394">
        <v>4</v>
      </c>
    </row>
    <row r="2395" spans="46:47" x14ac:dyDescent="0.2">
      <c r="AT2395" s="418" t="s">
        <v>2844</v>
      </c>
      <c r="AU2395">
        <v>5</v>
      </c>
    </row>
    <row r="2396" spans="46:47" x14ac:dyDescent="0.2">
      <c r="AT2396" s="418" t="s">
        <v>297</v>
      </c>
      <c r="AU2396">
        <v>5</v>
      </c>
    </row>
    <row r="2397" spans="46:47" x14ac:dyDescent="0.2">
      <c r="AT2397" s="418" t="s">
        <v>298</v>
      </c>
      <c r="AU2397">
        <v>5</v>
      </c>
    </row>
    <row r="2398" spans="46:47" x14ac:dyDescent="0.2">
      <c r="AT2398" s="418" t="s">
        <v>292</v>
      </c>
      <c r="AU2398">
        <v>6</v>
      </c>
    </row>
    <row r="2399" spans="46:47" x14ac:dyDescent="0.2">
      <c r="AT2399" s="418" t="s">
        <v>1368</v>
      </c>
      <c r="AU2399">
        <v>7</v>
      </c>
    </row>
    <row r="2400" spans="46:47" x14ac:dyDescent="0.2">
      <c r="AT2400" s="418" t="s">
        <v>301</v>
      </c>
      <c r="AU2400">
        <v>7</v>
      </c>
    </row>
    <row r="2401" spans="46:47" x14ac:dyDescent="0.2">
      <c r="AT2401" s="418" t="s">
        <v>293</v>
      </c>
      <c r="AU2401">
        <v>9</v>
      </c>
    </row>
    <row r="2402" spans="46:47" x14ac:dyDescent="0.2">
      <c r="AT2402" s="418" t="s">
        <v>300</v>
      </c>
      <c r="AU2402">
        <v>14</v>
      </c>
    </row>
    <row r="2405" spans="46:47" x14ac:dyDescent="0.2">
      <c r="AT2405" s="418" t="s">
        <v>285</v>
      </c>
      <c r="AU2405" t="s">
        <v>4251</v>
      </c>
    </row>
    <row r="2406" spans="46:47" x14ac:dyDescent="0.2">
      <c r="AT2406" s="418" t="s">
        <v>4333</v>
      </c>
      <c r="AU2406">
        <v>61</v>
      </c>
    </row>
    <row r="2407" spans="46:47" x14ac:dyDescent="0.2">
      <c r="AT2407" s="418" t="s">
        <v>4294</v>
      </c>
      <c r="AU2407">
        <v>61</v>
      </c>
    </row>
    <row r="2408" spans="46:47" x14ac:dyDescent="0.2">
      <c r="AT2408" s="418" t="s">
        <v>4713</v>
      </c>
      <c r="AU2408">
        <v>61</v>
      </c>
    </row>
    <row r="2409" spans="46:47" x14ac:dyDescent="0.2">
      <c r="AT2409" s="418" t="s">
        <v>4295</v>
      </c>
      <c r="AU2409">
        <v>62</v>
      </c>
    </row>
    <row r="2410" spans="46:47" x14ac:dyDescent="0.2">
      <c r="AT2410" s="418" t="s">
        <v>5354</v>
      </c>
      <c r="AU2410">
        <v>63</v>
      </c>
    </row>
    <row r="2411" spans="46:47" x14ac:dyDescent="0.2">
      <c r="AT2411" s="418" t="s">
        <v>4849</v>
      </c>
      <c r="AU2411">
        <v>64</v>
      </c>
    </row>
    <row r="2412" spans="46:47" x14ac:dyDescent="0.2">
      <c r="AT2412" s="418" t="s">
        <v>4296</v>
      </c>
      <c r="AU2412">
        <v>64</v>
      </c>
    </row>
    <row r="2413" spans="46:47" x14ac:dyDescent="0.2">
      <c r="AT2413" s="418" t="s">
        <v>4297</v>
      </c>
      <c r="AU2413">
        <v>65</v>
      </c>
    </row>
    <row r="2414" spans="46:47" x14ac:dyDescent="0.2">
      <c r="AT2414" s="418" t="s">
        <v>4298</v>
      </c>
      <c r="AU2414">
        <v>65</v>
      </c>
    </row>
    <row r="2415" spans="46:47" x14ac:dyDescent="0.2">
      <c r="AT2415" s="418" t="s">
        <v>4299</v>
      </c>
      <c r="AU2415">
        <v>66</v>
      </c>
    </row>
    <row r="2416" spans="46:47" x14ac:dyDescent="0.2">
      <c r="AT2416" s="418" t="s">
        <v>4300</v>
      </c>
      <c r="AU2416">
        <v>68</v>
      </c>
    </row>
    <row r="2417" spans="46:47" x14ac:dyDescent="0.2">
      <c r="AT2417" s="418" t="s">
        <v>4301</v>
      </c>
      <c r="AU2417">
        <v>75</v>
      </c>
    </row>
    <row r="2418" spans="46:47" x14ac:dyDescent="0.2">
      <c r="AT2418" s="418" t="s">
        <v>4302</v>
      </c>
      <c r="AU2418">
        <v>75</v>
      </c>
    </row>
    <row r="2419" spans="46:47" x14ac:dyDescent="0.2">
      <c r="AT2419" s="418" t="s">
        <v>4303</v>
      </c>
      <c r="AU2419">
        <v>92</v>
      </c>
    </row>
    <row r="2420" spans="46:47" x14ac:dyDescent="0.2">
      <c r="AT2420" s="418" t="s">
        <v>4304</v>
      </c>
      <c r="AU2420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06"/>
  <sheetViews>
    <sheetView zoomScale="110" zoomScaleNormal="110" workbookViewId="0">
      <selection activeCell="N46" sqref="N46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42" t="s">
        <v>4979</v>
      </c>
      <c r="B1" s="542"/>
    </row>
    <row r="2" spans="1:2" x14ac:dyDescent="0.2">
      <c r="A2" s="342" t="s">
        <v>4980</v>
      </c>
      <c r="B2" s="342"/>
    </row>
    <row r="3" spans="1:2" x14ac:dyDescent="0.2">
      <c r="A3" s="229" t="s">
        <v>4981</v>
      </c>
      <c r="B3" s="520">
        <v>300</v>
      </c>
    </row>
    <row r="4" spans="1:2" x14ac:dyDescent="0.2">
      <c r="A4" s="226" t="s">
        <v>4982</v>
      </c>
      <c r="B4" s="521">
        <v>187</v>
      </c>
    </row>
    <row r="5" spans="1:2" x14ac:dyDescent="0.2">
      <c r="A5" s="229" t="s">
        <v>4983</v>
      </c>
      <c r="B5" s="520">
        <v>3163</v>
      </c>
    </row>
    <row r="6" spans="1:2" x14ac:dyDescent="0.2">
      <c r="A6" s="226" t="s">
        <v>4984</v>
      </c>
      <c r="B6" s="521">
        <v>3016</v>
      </c>
    </row>
    <row r="7" spans="1:2" x14ac:dyDescent="0.2">
      <c r="A7" s="229" t="s">
        <v>291</v>
      </c>
      <c r="B7" s="520">
        <v>147</v>
      </c>
    </row>
    <row r="8" spans="1:2" x14ac:dyDescent="0.2">
      <c r="A8" s="226" t="s">
        <v>4985</v>
      </c>
      <c r="B8" s="521">
        <v>10.54</v>
      </c>
    </row>
    <row r="9" spans="1:2" x14ac:dyDescent="0.2">
      <c r="A9" s="229" t="s">
        <v>4986</v>
      </c>
      <c r="B9" s="522">
        <v>4.65E-2</v>
      </c>
    </row>
    <row r="11" spans="1:2" x14ac:dyDescent="0.2">
      <c r="A11" s="342" t="s">
        <v>4987</v>
      </c>
      <c r="B11" s="342"/>
    </row>
    <row r="12" spans="1:2" x14ac:dyDescent="0.2">
      <c r="A12" s="226" t="s">
        <v>4988</v>
      </c>
      <c r="B12" s="521">
        <v>8.5299999999999994</v>
      </c>
    </row>
    <row r="13" spans="1:2" x14ac:dyDescent="0.2">
      <c r="A13" s="229" t="s">
        <v>4989</v>
      </c>
      <c r="B13" s="520">
        <v>8.5</v>
      </c>
    </row>
    <row r="14" spans="1:2" x14ac:dyDescent="0.2">
      <c r="A14" s="226" t="s">
        <v>4990</v>
      </c>
      <c r="B14" s="521" t="s">
        <v>5670</v>
      </c>
    </row>
    <row r="16" spans="1:2" x14ac:dyDescent="0.2">
      <c r="A16" s="342" t="s">
        <v>4991</v>
      </c>
      <c r="B16" s="342"/>
    </row>
    <row r="17" spans="1:2" x14ac:dyDescent="0.2">
      <c r="A17" s="229" t="s">
        <v>4992</v>
      </c>
      <c r="B17" s="520">
        <v>1.1299999999999999</v>
      </c>
    </row>
    <row r="18" spans="1:2" x14ac:dyDescent="0.2">
      <c r="A18" s="226" t="s">
        <v>4993</v>
      </c>
      <c r="B18" s="523">
        <v>0.13270000000000001</v>
      </c>
    </row>
    <row r="19" spans="1:2" x14ac:dyDescent="0.2">
      <c r="A19" s="229" t="s">
        <v>4994</v>
      </c>
      <c r="B19" s="520" t="s">
        <v>4995</v>
      </c>
    </row>
    <row r="20" spans="1:2" x14ac:dyDescent="0.2">
      <c r="A20" s="226" t="s">
        <v>4996</v>
      </c>
      <c r="B20" s="521" t="s">
        <v>4997</v>
      </c>
    </row>
    <row r="22" spans="1:2" x14ac:dyDescent="0.2">
      <c r="A22" s="342" t="s">
        <v>4998</v>
      </c>
      <c r="B22" s="342"/>
    </row>
    <row r="23" spans="1:2" x14ac:dyDescent="0.2">
      <c r="A23" s="229" t="s">
        <v>4999</v>
      </c>
      <c r="B23" s="520" t="s">
        <v>5352</v>
      </c>
    </row>
    <row r="24" spans="1:2" x14ac:dyDescent="0.2">
      <c r="A24" s="226" t="s">
        <v>5000</v>
      </c>
      <c r="B24" s="521" t="s">
        <v>5671</v>
      </c>
    </row>
    <row r="26" spans="1:2" x14ac:dyDescent="0.2">
      <c r="A26" s="342" t="s">
        <v>5001</v>
      </c>
      <c r="B26" s="342"/>
    </row>
    <row r="27" spans="1:2" x14ac:dyDescent="0.2">
      <c r="A27" s="229" t="s">
        <v>5002</v>
      </c>
      <c r="B27" s="520" t="s">
        <v>5672</v>
      </c>
    </row>
    <row r="28" spans="1:2" x14ac:dyDescent="0.2">
      <c r="A28" s="226" t="s">
        <v>5003</v>
      </c>
      <c r="B28" s="521" t="s">
        <v>5673</v>
      </c>
    </row>
    <row r="29" spans="1:2" x14ac:dyDescent="0.2">
      <c r="A29" s="229" t="s">
        <v>5004</v>
      </c>
      <c r="B29" s="520" t="s">
        <v>5674</v>
      </c>
    </row>
    <row r="30" spans="1:2" x14ac:dyDescent="0.2">
      <c r="A30" s="226" t="s">
        <v>5005</v>
      </c>
      <c r="B30" s="521" t="s">
        <v>5675</v>
      </c>
    </row>
    <row r="31" spans="1:2" x14ac:dyDescent="0.2">
      <c r="A31" s="229" t="s">
        <v>5006</v>
      </c>
      <c r="B31" s="520" t="s">
        <v>5676</v>
      </c>
    </row>
    <row r="32" spans="1:2" x14ac:dyDescent="0.2">
      <c r="A32" s="226" t="s">
        <v>5007</v>
      </c>
      <c r="B32" s="521" t="s">
        <v>5677</v>
      </c>
    </row>
    <row r="34" spans="1:2" x14ac:dyDescent="0.2">
      <c r="A34" s="342" t="s">
        <v>5008</v>
      </c>
      <c r="B34" s="342"/>
    </row>
    <row r="35" spans="1:2" x14ac:dyDescent="0.2">
      <c r="A35" s="229" t="s">
        <v>5009</v>
      </c>
      <c r="B35" s="520" t="s">
        <v>5010</v>
      </c>
    </row>
    <row r="36" spans="1:2" x14ac:dyDescent="0.2">
      <c r="A36" s="226" t="s">
        <v>5011</v>
      </c>
      <c r="B36" s="521" t="s">
        <v>5012</v>
      </c>
    </row>
    <row r="37" spans="1:2" x14ac:dyDescent="0.2">
      <c r="A37" s="229" t="s">
        <v>5013</v>
      </c>
      <c r="B37" s="520" t="s">
        <v>5014</v>
      </c>
    </row>
    <row r="38" spans="1:2" x14ac:dyDescent="0.2">
      <c r="A38" s="226" t="s">
        <v>5015</v>
      </c>
      <c r="B38" s="521" t="s">
        <v>5016</v>
      </c>
    </row>
    <row r="40" spans="1:2" x14ac:dyDescent="0.2">
      <c r="A40" s="342" t="s">
        <v>5017</v>
      </c>
      <c r="B40" s="342"/>
    </row>
    <row r="41" spans="1:2" x14ac:dyDescent="0.2">
      <c r="A41" s="229" t="s">
        <v>5018</v>
      </c>
      <c r="B41" s="520" t="s">
        <v>5706</v>
      </c>
    </row>
    <row r="42" spans="1:2" x14ac:dyDescent="0.2">
      <c r="A42" s="226" t="s">
        <v>5019</v>
      </c>
      <c r="B42" s="521">
        <v>148</v>
      </c>
    </row>
    <row r="43" spans="1:2" x14ac:dyDescent="0.2">
      <c r="A43" s="229" t="s">
        <v>5020</v>
      </c>
      <c r="B43" s="520" t="s">
        <v>5267</v>
      </c>
    </row>
    <row r="44" spans="1:2" x14ac:dyDescent="0.2">
      <c r="A44" s="226" t="s">
        <v>5021</v>
      </c>
      <c r="B44" s="521" t="s">
        <v>5022</v>
      </c>
    </row>
    <row r="45" spans="1:2" x14ac:dyDescent="0.2">
      <c r="A45" s="229" t="s">
        <v>5023</v>
      </c>
      <c r="B45" s="520" t="s">
        <v>5024</v>
      </c>
    </row>
    <row r="47" spans="1:2" x14ac:dyDescent="0.2">
      <c r="A47" s="342" t="s">
        <v>5025</v>
      </c>
      <c r="B47" s="342"/>
    </row>
    <row r="48" spans="1:2" x14ac:dyDescent="0.2">
      <c r="A48" s="226" t="s">
        <v>720</v>
      </c>
      <c r="B48" s="521" t="s">
        <v>5026</v>
      </c>
    </row>
    <row r="49" spans="1:2" x14ac:dyDescent="0.2">
      <c r="A49" s="229" t="s">
        <v>984</v>
      </c>
      <c r="B49" s="520" t="s">
        <v>5027</v>
      </c>
    </row>
    <row r="50" spans="1:2" x14ac:dyDescent="0.2">
      <c r="A50" s="226" t="s">
        <v>989</v>
      </c>
      <c r="B50" s="521" t="s">
        <v>5028</v>
      </c>
    </row>
    <row r="51" spans="1:2" x14ac:dyDescent="0.2">
      <c r="A51" s="229" t="s">
        <v>990</v>
      </c>
      <c r="B51" s="520" t="s">
        <v>5030</v>
      </c>
    </row>
    <row r="52" spans="1:2" x14ac:dyDescent="0.2">
      <c r="A52" s="226" t="s">
        <v>991</v>
      </c>
      <c r="B52" s="521" t="s">
        <v>5030</v>
      </c>
    </row>
    <row r="53" spans="1:2" x14ac:dyDescent="0.2">
      <c r="A53" s="229" t="s">
        <v>5704</v>
      </c>
      <c r="B53" s="520" t="s">
        <v>5707</v>
      </c>
    </row>
    <row r="54" spans="1:2" x14ac:dyDescent="0.2">
      <c r="A54" s="226" t="s">
        <v>2557</v>
      </c>
      <c r="B54" s="521" t="s">
        <v>5029</v>
      </c>
    </row>
    <row r="55" spans="1:2" x14ac:dyDescent="0.2">
      <c r="A55" s="229" t="s">
        <v>2558</v>
      </c>
      <c r="B55" s="520" t="s">
        <v>5029</v>
      </c>
    </row>
    <row r="56" spans="1:2" x14ac:dyDescent="0.2">
      <c r="A56" s="226" t="s">
        <v>986</v>
      </c>
      <c r="B56" s="521" t="s">
        <v>5031</v>
      </c>
    </row>
    <row r="57" spans="1:2" x14ac:dyDescent="0.2">
      <c r="A57" s="229" t="s">
        <v>985</v>
      </c>
      <c r="B57" s="520" t="s">
        <v>5032</v>
      </c>
    </row>
    <row r="58" spans="1:2" x14ac:dyDescent="0.2">
      <c r="A58" s="226" t="s">
        <v>5668</v>
      </c>
      <c r="B58" s="521" t="s">
        <v>5678</v>
      </c>
    </row>
    <row r="59" spans="1:2" x14ac:dyDescent="0.2">
      <c r="A59" s="229" t="s">
        <v>3825</v>
      </c>
      <c r="B59" s="520" t="s">
        <v>5034</v>
      </c>
    </row>
    <row r="60" spans="1:2" x14ac:dyDescent="0.2">
      <c r="A60" s="226" t="s">
        <v>4460</v>
      </c>
      <c r="B60" s="521" t="s">
        <v>5033</v>
      </c>
    </row>
    <row r="61" spans="1:2" x14ac:dyDescent="0.2">
      <c r="A61" s="229" t="s">
        <v>3958</v>
      </c>
      <c r="B61" s="520" t="s">
        <v>5708</v>
      </c>
    </row>
    <row r="62" spans="1:2" x14ac:dyDescent="0.2">
      <c r="A62" s="226" t="s">
        <v>988</v>
      </c>
      <c r="B62" s="521" t="s">
        <v>5439</v>
      </c>
    </row>
    <row r="63" spans="1:2" x14ac:dyDescent="0.2">
      <c r="A63" s="229" t="s">
        <v>1494</v>
      </c>
      <c r="B63" s="520" t="s">
        <v>5035</v>
      </c>
    </row>
    <row r="64" spans="1:2" x14ac:dyDescent="0.2">
      <c r="A64" s="226" t="s">
        <v>993</v>
      </c>
      <c r="B64" s="521" t="s">
        <v>5036</v>
      </c>
    </row>
    <row r="65" spans="1:2" x14ac:dyDescent="0.2">
      <c r="A65" s="229" t="s">
        <v>2517</v>
      </c>
      <c r="B65" s="520" t="s">
        <v>5037</v>
      </c>
    </row>
    <row r="66" spans="1:2" x14ac:dyDescent="0.2">
      <c r="A66" s="226" t="s">
        <v>2427</v>
      </c>
      <c r="B66" s="521" t="s">
        <v>5038</v>
      </c>
    </row>
    <row r="67" spans="1:2" x14ac:dyDescent="0.2">
      <c r="A67" s="229" t="s">
        <v>1005</v>
      </c>
      <c r="B67" s="520" t="s">
        <v>5039</v>
      </c>
    </row>
    <row r="68" spans="1:2" x14ac:dyDescent="0.2">
      <c r="A68" s="226" t="s">
        <v>1287</v>
      </c>
      <c r="B68" s="521" t="s">
        <v>5041</v>
      </c>
    </row>
    <row r="69" spans="1:2" x14ac:dyDescent="0.2">
      <c r="A69" s="229" t="s">
        <v>4775</v>
      </c>
      <c r="B69" s="520" t="s">
        <v>5040</v>
      </c>
    </row>
    <row r="70" spans="1:2" x14ac:dyDescent="0.2">
      <c r="A70" s="226" t="s">
        <v>2902</v>
      </c>
      <c r="B70" s="521" t="s">
        <v>5042</v>
      </c>
    </row>
    <row r="71" spans="1:2" x14ac:dyDescent="0.2">
      <c r="A71" s="229" t="s">
        <v>998</v>
      </c>
      <c r="B71" s="520" t="s">
        <v>5043</v>
      </c>
    </row>
    <row r="72" spans="1:2" x14ac:dyDescent="0.2">
      <c r="A72" s="226" t="s">
        <v>1002</v>
      </c>
      <c r="B72" s="521" t="s">
        <v>5044</v>
      </c>
    </row>
    <row r="73" spans="1:2" x14ac:dyDescent="0.2">
      <c r="A73" s="229" t="s">
        <v>1123</v>
      </c>
      <c r="B73" s="520" t="s">
        <v>5046</v>
      </c>
    </row>
    <row r="74" spans="1:2" x14ac:dyDescent="0.2">
      <c r="A74" s="226" t="s">
        <v>4802</v>
      </c>
      <c r="B74" s="521" t="s">
        <v>5045</v>
      </c>
    </row>
    <row r="75" spans="1:2" x14ac:dyDescent="0.2">
      <c r="A75" s="229" t="s">
        <v>3276</v>
      </c>
      <c r="B75" s="520" t="s">
        <v>5048</v>
      </c>
    </row>
    <row r="76" spans="1:2" x14ac:dyDescent="0.2">
      <c r="A76" s="226" t="s">
        <v>3518</v>
      </c>
      <c r="B76" s="521" t="s">
        <v>5047</v>
      </c>
    </row>
    <row r="77" spans="1:2" x14ac:dyDescent="0.2">
      <c r="A77" s="229" t="s">
        <v>3517</v>
      </c>
      <c r="B77" s="520" t="s">
        <v>5047</v>
      </c>
    </row>
    <row r="78" spans="1:2" x14ac:dyDescent="0.2">
      <c r="A78" s="226" t="s">
        <v>2265</v>
      </c>
      <c r="B78" s="521" t="s">
        <v>5679</v>
      </c>
    </row>
    <row r="79" spans="1:2" x14ac:dyDescent="0.2">
      <c r="A79" s="229" t="s">
        <v>1894</v>
      </c>
      <c r="B79" s="520" t="s">
        <v>5049</v>
      </c>
    </row>
    <row r="80" spans="1:2" x14ac:dyDescent="0.2">
      <c r="A80" s="226" t="s">
        <v>1137</v>
      </c>
      <c r="B80" s="521" t="s">
        <v>5050</v>
      </c>
    </row>
    <row r="81" spans="1:2" x14ac:dyDescent="0.2">
      <c r="A81" s="229" t="s">
        <v>2779</v>
      </c>
      <c r="B81" s="520" t="s">
        <v>5052</v>
      </c>
    </row>
    <row r="82" spans="1:2" x14ac:dyDescent="0.2">
      <c r="A82" s="226" t="s">
        <v>5584</v>
      </c>
      <c r="B82" s="521" t="s">
        <v>5586</v>
      </c>
    </row>
    <row r="83" spans="1:2" x14ac:dyDescent="0.2">
      <c r="A83" s="229" t="s">
        <v>4536</v>
      </c>
      <c r="B83" s="520" t="s">
        <v>5051</v>
      </c>
    </row>
    <row r="84" spans="1:2" x14ac:dyDescent="0.2">
      <c r="A84" s="226" t="s">
        <v>987</v>
      </c>
      <c r="B84" s="521" t="s">
        <v>5268</v>
      </c>
    </row>
    <row r="85" spans="1:2" x14ac:dyDescent="0.2">
      <c r="A85" s="229" t="s">
        <v>2916</v>
      </c>
      <c r="B85" s="520" t="s">
        <v>5054</v>
      </c>
    </row>
    <row r="86" spans="1:2" x14ac:dyDescent="0.2">
      <c r="A86" s="226" t="s">
        <v>1124</v>
      </c>
      <c r="B86" s="521" t="s">
        <v>5053</v>
      </c>
    </row>
    <row r="87" spans="1:2" x14ac:dyDescent="0.2">
      <c r="A87" s="229" t="s">
        <v>1232</v>
      </c>
      <c r="B87" s="520" t="s">
        <v>5055</v>
      </c>
    </row>
    <row r="88" spans="1:2" x14ac:dyDescent="0.2">
      <c r="A88" s="226" t="s">
        <v>734</v>
      </c>
      <c r="B88" s="521" t="s">
        <v>5056</v>
      </c>
    </row>
    <row r="89" spans="1:2" x14ac:dyDescent="0.2">
      <c r="A89" s="229" t="s">
        <v>992</v>
      </c>
      <c r="B89" s="520" t="s">
        <v>5057</v>
      </c>
    </row>
    <row r="90" spans="1:2" x14ac:dyDescent="0.2">
      <c r="A90" s="226" t="s">
        <v>1016</v>
      </c>
      <c r="B90" s="521" t="s">
        <v>5058</v>
      </c>
    </row>
    <row r="91" spans="1:2" x14ac:dyDescent="0.2">
      <c r="A91" s="229" t="s">
        <v>1532</v>
      </c>
      <c r="B91" s="520" t="s">
        <v>5059</v>
      </c>
    </row>
    <row r="92" spans="1:2" x14ac:dyDescent="0.2">
      <c r="A92" s="226" t="s">
        <v>3657</v>
      </c>
      <c r="B92" s="521" t="s">
        <v>5061</v>
      </c>
    </row>
    <row r="93" spans="1:2" x14ac:dyDescent="0.2">
      <c r="A93" s="229" t="s">
        <v>1396</v>
      </c>
      <c r="B93" s="520" t="s">
        <v>5060</v>
      </c>
    </row>
    <row r="94" spans="1:2" x14ac:dyDescent="0.2">
      <c r="A94" s="226" t="s">
        <v>4186</v>
      </c>
      <c r="B94" s="521" t="s">
        <v>5060</v>
      </c>
    </row>
    <row r="95" spans="1:2" x14ac:dyDescent="0.2">
      <c r="A95" s="229" t="s">
        <v>2559</v>
      </c>
      <c r="B95" s="520" t="s">
        <v>5062</v>
      </c>
    </row>
    <row r="96" spans="1:2" x14ac:dyDescent="0.2">
      <c r="A96" s="226" t="s">
        <v>5640</v>
      </c>
      <c r="B96" s="521" t="s">
        <v>5642</v>
      </c>
    </row>
    <row r="97" spans="1:2" x14ac:dyDescent="0.2">
      <c r="A97" s="229" t="s">
        <v>1136</v>
      </c>
      <c r="B97" s="520" t="s">
        <v>5063</v>
      </c>
    </row>
    <row r="98" spans="1:2" x14ac:dyDescent="0.2">
      <c r="A98" s="226" t="s">
        <v>1003</v>
      </c>
      <c r="B98" s="521" t="s">
        <v>5064</v>
      </c>
    </row>
    <row r="99" spans="1:2" x14ac:dyDescent="0.2">
      <c r="A99" s="229" t="s">
        <v>1380</v>
      </c>
      <c r="B99" s="520" t="s">
        <v>5066</v>
      </c>
    </row>
    <row r="100" spans="1:2" x14ac:dyDescent="0.2">
      <c r="A100" s="226" t="s">
        <v>999</v>
      </c>
      <c r="B100" s="521" t="s">
        <v>5065</v>
      </c>
    </row>
    <row r="101" spans="1:2" x14ac:dyDescent="0.2">
      <c r="A101" s="229" t="s">
        <v>2647</v>
      </c>
      <c r="B101" s="520" t="s">
        <v>5065</v>
      </c>
    </row>
    <row r="102" spans="1:2" x14ac:dyDescent="0.2">
      <c r="A102" s="226" t="s">
        <v>733</v>
      </c>
      <c r="B102" s="521" t="s">
        <v>5680</v>
      </c>
    </row>
    <row r="103" spans="1:2" x14ac:dyDescent="0.2">
      <c r="A103" s="229" t="s">
        <v>1533</v>
      </c>
      <c r="B103" s="520" t="s">
        <v>5067</v>
      </c>
    </row>
    <row r="104" spans="1:2" x14ac:dyDescent="0.2">
      <c r="A104" s="226" t="s">
        <v>997</v>
      </c>
      <c r="B104" s="521" t="s">
        <v>5068</v>
      </c>
    </row>
    <row r="105" spans="1:2" x14ac:dyDescent="0.2">
      <c r="A105" s="229" t="s">
        <v>3311</v>
      </c>
      <c r="B105" s="520" t="s">
        <v>5069</v>
      </c>
    </row>
    <row r="106" spans="1:2" x14ac:dyDescent="0.2">
      <c r="A106" s="226" t="s">
        <v>2583</v>
      </c>
      <c r="B106" s="521" t="s">
        <v>5070</v>
      </c>
    </row>
    <row r="107" spans="1:2" x14ac:dyDescent="0.2">
      <c r="A107" s="229" t="s">
        <v>1008</v>
      </c>
      <c r="B107" s="520" t="s">
        <v>5071</v>
      </c>
    </row>
    <row r="108" spans="1:2" x14ac:dyDescent="0.2">
      <c r="A108" s="226" t="s">
        <v>1094</v>
      </c>
      <c r="B108" s="521" t="s">
        <v>5072</v>
      </c>
    </row>
    <row r="109" spans="1:2" x14ac:dyDescent="0.2">
      <c r="A109" s="229" t="s">
        <v>3009</v>
      </c>
      <c r="B109" s="520" t="s">
        <v>5073</v>
      </c>
    </row>
    <row r="110" spans="1:2" x14ac:dyDescent="0.2">
      <c r="A110" s="226" t="s">
        <v>2266</v>
      </c>
      <c r="B110" s="521" t="s">
        <v>5074</v>
      </c>
    </row>
    <row r="111" spans="1:2" x14ac:dyDescent="0.2">
      <c r="A111" s="229" t="s">
        <v>1716</v>
      </c>
      <c r="B111" s="520" t="s">
        <v>5075</v>
      </c>
    </row>
    <row r="112" spans="1:2" x14ac:dyDescent="0.2">
      <c r="A112" s="226" t="s">
        <v>1000</v>
      </c>
      <c r="B112" s="521" t="s">
        <v>5076</v>
      </c>
    </row>
    <row r="113" spans="1:2" x14ac:dyDescent="0.2">
      <c r="A113" s="229" t="s">
        <v>994</v>
      </c>
      <c r="B113" s="520" t="s">
        <v>5077</v>
      </c>
    </row>
    <row r="114" spans="1:2" x14ac:dyDescent="0.2">
      <c r="A114" s="226" t="s">
        <v>3928</v>
      </c>
      <c r="B114" s="521" t="s">
        <v>5078</v>
      </c>
    </row>
    <row r="115" spans="1:2" x14ac:dyDescent="0.2">
      <c r="A115" s="229" t="s">
        <v>1247</v>
      </c>
      <c r="B115" s="520" t="s">
        <v>5079</v>
      </c>
    </row>
    <row r="116" spans="1:2" x14ac:dyDescent="0.2">
      <c r="A116" s="226" t="s">
        <v>1019</v>
      </c>
      <c r="B116" s="521" t="s">
        <v>5080</v>
      </c>
    </row>
    <row r="117" spans="1:2" x14ac:dyDescent="0.2">
      <c r="A117" s="229" t="s">
        <v>2072</v>
      </c>
      <c r="B117" s="520" t="s">
        <v>5081</v>
      </c>
    </row>
    <row r="118" spans="1:2" x14ac:dyDescent="0.2">
      <c r="A118" s="226" t="s">
        <v>737</v>
      </c>
      <c r="B118" s="521" t="s">
        <v>5083</v>
      </c>
    </row>
    <row r="119" spans="1:2" x14ac:dyDescent="0.2">
      <c r="A119" s="229" t="s">
        <v>3662</v>
      </c>
      <c r="B119" s="520" t="s">
        <v>5082</v>
      </c>
    </row>
    <row r="120" spans="1:2" x14ac:dyDescent="0.2">
      <c r="A120" s="226" t="s">
        <v>2243</v>
      </c>
      <c r="B120" s="521" t="s">
        <v>5084</v>
      </c>
    </row>
    <row r="121" spans="1:2" x14ac:dyDescent="0.2">
      <c r="A121" s="229" t="s">
        <v>1862</v>
      </c>
      <c r="B121" s="520" t="s">
        <v>5085</v>
      </c>
    </row>
    <row r="122" spans="1:2" x14ac:dyDescent="0.2">
      <c r="A122" s="226" t="s">
        <v>1349</v>
      </c>
      <c r="B122" s="521" t="s">
        <v>5549</v>
      </c>
    </row>
    <row r="123" spans="1:2" x14ac:dyDescent="0.2">
      <c r="A123" s="229" t="s">
        <v>1277</v>
      </c>
      <c r="B123" s="520" t="s">
        <v>5086</v>
      </c>
    </row>
    <row r="124" spans="1:2" x14ac:dyDescent="0.2">
      <c r="A124" s="226" t="s">
        <v>3376</v>
      </c>
      <c r="B124" s="521" t="s">
        <v>5087</v>
      </c>
    </row>
    <row r="125" spans="1:2" x14ac:dyDescent="0.2">
      <c r="A125" s="229" t="s">
        <v>5583</v>
      </c>
      <c r="B125" s="520" t="s">
        <v>5087</v>
      </c>
    </row>
    <row r="126" spans="1:2" x14ac:dyDescent="0.2">
      <c r="A126" s="226" t="s">
        <v>1289</v>
      </c>
      <c r="B126" s="521" t="s">
        <v>5088</v>
      </c>
    </row>
    <row r="127" spans="1:2" x14ac:dyDescent="0.2">
      <c r="A127" s="229" t="s">
        <v>3913</v>
      </c>
      <c r="B127" s="520" t="s">
        <v>5089</v>
      </c>
    </row>
    <row r="128" spans="1:2" x14ac:dyDescent="0.2">
      <c r="A128" s="226" t="s">
        <v>1010</v>
      </c>
      <c r="B128" s="521" t="s">
        <v>5090</v>
      </c>
    </row>
    <row r="129" spans="1:2" x14ac:dyDescent="0.2">
      <c r="A129" s="229" t="s">
        <v>2599</v>
      </c>
      <c r="B129" s="520" t="s">
        <v>5091</v>
      </c>
    </row>
    <row r="130" spans="1:2" x14ac:dyDescent="0.2">
      <c r="A130" s="226" t="s">
        <v>2383</v>
      </c>
      <c r="B130" s="521" t="s">
        <v>5092</v>
      </c>
    </row>
    <row r="131" spans="1:2" x14ac:dyDescent="0.2">
      <c r="A131" s="229" t="s">
        <v>1492</v>
      </c>
      <c r="B131" s="520" t="s">
        <v>5093</v>
      </c>
    </row>
    <row r="132" spans="1:2" x14ac:dyDescent="0.2">
      <c r="A132" s="226" t="s">
        <v>995</v>
      </c>
      <c r="B132" s="521" t="s">
        <v>5587</v>
      </c>
    </row>
    <row r="133" spans="1:2" x14ac:dyDescent="0.2">
      <c r="A133" s="229" t="s">
        <v>1009</v>
      </c>
      <c r="B133" s="520" t="s">
        <v>5094</v>
      </c>
    </row>
    <row r="134" spans="1:2" x14ac:dyDescent="0.2">
      <c r="A134" s="226" t="s">
        <v>2869</v>
      </c>
      <c r="B134" s="521" t="s">
        <v>5095</v>
      </c>
    </row>
    <row r="135" spans="1:2" x14ac:dyDescent="0.2">
      <c r="A135" s="229" t="s">
        <v>1944</v>
      </c>
      <c r="B135" s="520" t="s">
        <v>5096</v>
      </c>
    </row>
    <row r="136" spans="1:2" x14ac:dyDescent="0.2">
      <c r="A136" s="226" t="s">
        <v>5548</v>
      </c>
      <c r="B136" s="521" t="s">
        <v>5550</v>
      </c>
    </row>
    <row r="137" spans="1:2" x14ac:dyDescent="0.2">
      <c r="A137" s="229" t="s">
        <v>732</v>
      </c>
      <c r="B137" s="520" t="s">
        <v>5246</v>
      </c>
    </row>
    <row r="138" spans="1:2" x14ac:dyDescent="0.2">
      <c r="A138" s="226" t="s">
        <v>1006</v>
      </c>
      <c r="B138" s="521" t="s">
        <v>5097</v>
      </c>
    </row>
    <row r="139" spans="1:2" x14ac:dyDescent="0.2">
      <c r="A139" s="229" t="s">
        <v>1081</v>
      </c>
      <c r="B139" s="520" t="s">
        <v>5098</v>
      </c>
    </row>
    <row r="140" spans="1:2" x14ac:dyDescent="0.2">
      <c r="A140" s="226" t="s">
        <v>1004</v>
      </c>
      <c r="B140" s="521" t="s">
        <v>5098</v>
      </c>
    </row>
    <row r="141" spans="1:2" x14ac:dyDescent="0.2">
      <c r="A141" s="229" t="s">
        <v>2329</v>
      </c>
      <c r="B141" s="520" t="s">
        <v>5099</v>
      </c>
    </row>
    <row r="142" spans="1:2" x14ac:dyDescent="0.2">
      <c r="A142" s="226" t="s">
        <v>1351</v>
      </c>
      <c r="B142" s="521" t="s">
        <v>5100</v>
      </c>
    </row>
    <row r="143" spans="1:2" x14ac:dyDescent="0.2">
      <c r="A143" s="229" t="s">
        <v>4138</v>
      </c>
      <c r="B143" s="520" t="s">
        <v>5101</v>
      </c>
    </row>
    <row r="144" spans="1:2" x14ac:dyDescent="0.2">
      <c r="A144" s="226" t="s">
        <v>1543</v>
      </c>
      <c r="B144" s="521" t="s">
        <v>5353</v>
      </c>
    </row>
    <row r="145" spans="1:2" x14ac:dyDescent="0.2">
      <c r="A145" s="229" t="s">
        <v>3085</v>
      </c>
      <c r="B145" s="520" t="s">
        <v>5102</v>
      </c>
    </row>
    <row r="146" spans="1:2" x14ac:dyDescent="0.2">
      <c r="A146" s="226" t="s">
        <v>1011</v>
      </c>
      <c r="B146" s="521" t="s">
        <v>5103</v>
      </c>
    </row>
    <row r="147" spans="1:2" x14ac:dyDescent="0.2">
      <c r="A147" s="229" t="s">
        <v>3121</v>
      </c>
      <c r="B147" s="520" t="s">
        <v>5104</v>
      </c>
    </row>
    <row r="148" spans="1:2" x14ac:dyDescent="0.2">
      <c r="A148" s="226" t="s">
        <v>1012</v>
      </c>
      <c r="B148" s="521" t="s">
        <v>5105</v>
      </c>
    </row>
    <row r="149" spans="1:2" x14ac:dyDescent="0.2">
      <c r="A149" s="229" t="s">
        <v>1013</v>
      </c>
      <c r="B149" s="520" t="s">
        <v>5105</v>
      </c>
    </row>
    <row r="150" spans="1:2" x14ac:dyDescent="0.2">
      <c r="A150" s="226" t="s">
        <v>4231</v>
      </c>
      <c r="B150" s="521" t="s">
        <v>5106</v>
      </c>
    </row>
    <row r="151" spans="1:2" x14ac:dyDescent="0.2">
      <c r="A151" s="229" t="s">
        <v>3590</v>
      </c>
      <c r="B151" s="520" t="s">
        <v>5643</v>
      </c>
    </row>
    <row r="152" spans="1:2" x14ac:dyDescent="0.2">
      <c r="A152" s="226" t="s">
        <v>1014</v>
      </c>
      <c r="B152" s="521" t="s">
        <v>5108</v>
      </c>
    </row>
    <row r="153" spans="1:2" x14ac:dyDescent="0.2">
      <c r="A153" s="229" t="s">
        <v>2513</v>
      </c>
      <c r="B153" s="520" t="s">
        <v>5107</v>
      </c>
    </row>
    <row r="154" spans="1:2" x14ac:dyDescent="0.2">
      <c r="A154" s="226" t="s">
        <v>3284</v>
      </c>
      <c r="B154" s="521" t="s">
        <v>5109</v>
      </c>
    </row>
    <row r="155" spans="1:2" x14ac:dyDescent="0.2">
      <c r="A155" s="229" t="s">
        <v>1015</v>
      </c>
      <c r="B155" s="520" t="s">
        <v>5110</v>
      </c>
    </row>
    <row r="156" spans="1:2" x14ac:dyDescent="0.2">
      <c r="A156" s="226" t="s">
        <v>3562</v>
      </c>
      <c r="B156" s="521" t="s">
        <v>5110</v>
      </c>
    </row>
    <row r="157" spans="1:2" x14ac:dyDescent="0.2">
      <c r="A157" s="229" t="s">
        <v>1659</v>
      </c>
      <c r="B157" s="520" t="s">
        <v>5111</v>
      </c>
    </row>
    <row r="158" spans="1:2" x14ac:dyDescent="0.2">
      <c r="A158" s="226" t="s">
        <v>2036</v>
      </c>
      <c r="B158" s="521" t="s">
        <v>5112</v>
      </c>
    </row>
    <row r="159" spans="1:2" x14ac:dyDescent="0.2">
      <c r="A159" s="229" t="s">
        <v>731</v>
      </c>
      <c r="B159" s="520" t="s">
        <v>5113</v>
      </c>
    </row>
    <row r="160" spans="1:2" x14ac:dyDescent="0.2">
      <c r="A160" s="226" t="s">
        <v>1021</v>
      </c>
      <c r="B160" s="521" t="s">
        <v>5114</v>
      </c>
    </row>
    <row r="161" spans="1:2" x14ac:dyDescent="0.2">
      <c r="A161" s="229" t="s">
        <v>724</v>
      </c>
      <c r="B161" s="520" t="s">
        <v>5115</v>
      </c>
    </row>
    <row r="162" spans="1:2" x14ac:dyDescent="0.2">
      <c r="A162" s="226" t="s">
        <v>3658</v>
      </c>
      <c r="B162" s="521" t="s">
        <v>5116</v>
      </c>
    </row>
    <row r="163" spans="1:2" x14ac:dyDescent="0.2">
      <c r="A163" s="229" t="s">
        <v>1176</v>
      </c>
      <c r="B163" s="520" t="s">
        <v>5117</v>
      </c>
    </row>
    <row r="164" spans="1:2" x14ac:dyDescent="0.2">
      <c r="A164" s="226" t="s">
        <v>1177</v>
      </c>
      <c r="B164" s="521" t="s">
        <v>5117</v>
      </c>
    </row>
    <row r="165" spans="1:2" x14ac:dyDescent="0.2">
      <c r="A165" s="229" t="s">
        <v>1001</v>
      </c>
      <c r="B165" s="520" t="s">
        <v>5118</v>
      </c>
    </row>
    <row r="166" spans="1:2" x14ac:dyDescent="0.2">
      <c r="A166" s="226" t="s">
        <v>2828</v>
      </c>
      <c r="B166" s="521" t="s">
        <v>5119</v>
      </c>
    </row>
    <row r="167" spans="1:2" x14ac:dyDescent="0.2">
      <c r="A167" s="229" t="s">
        <v>4232</v>
      </c>
      <c r="B167" s="520" t="s">
        <v>5401</v>
      </c>
    </row>
    <row r="168" spans="1:2" x14ac:dyDescent="0.2">
      <c r="A168" s="226" t="s">
        <v>1179</v>
      </c>
      <c r="B168" s="521" t="s">
        <v>5681</v>
      </c>
    </row>
    <row r="169" spans="1:2" x14ac:dyDescent="0.2">
      <c r="A169" s="229" t="s">
        <v>1730</v>
      </c>
      <c r="B169" s="520" t="s">
        <v>5120</v>
      </c>
    </row>
    <row r="170" spans="1:2" x14ac:dyDescent="0.2">
      <c r="A170" s="226" t="s">
        <v>1018</v>
      </c>
      <c r="B170" s="521" t="s">
        <v>5121</v>
      </c>
    </row>
    <row r="171" spans="1:2" x14ac:dyDescent="0.2">
      <c r="A171" s="229" t="s">
        <v>1763</v>
      </c>
      <c r="B171" s="520" t="s">
        <v>5122</v>
      </c>
    </row>
    <row r="172" spans="1:2" x14ac:dyDescent="0.2">
      <c r="A172" s="226" t="s">
        <v>2707</v>
      </c>
      <c r="B172" s="521" t="s">
        <v>5123</v>
      </c>
    </row>
    <row r="173" spans="1:2" x14ac:dyDescent="0.2">
      <c r="A173" s="229" t="s">
        <v>3932</v>
      </c>
      <c r="B173" s="520" t="s">
        <v>5124</v>
      </c>
    </row>
    <row r="174" spans="1:2" x14ac:dyDescent="0.2">
      <c r="A174" s="226" t="s">
        <v>1928</v>
      </c>
      <c r="B174" s="521" t="s">
        <v>5126</v>
      </c>
    </row>
    <row r="175" spans="1:2" x14ac:dyDescent="0.2">
      <c r="A175" s="229" t="s">
        <v>1017</v>
      </c>
      <c r="B175" s="520" t="s">
        <v>5125</v>
      </c>
    </row>
    <row r="176" spans="1:2" x14ac:dyDescent="0.2">
      <c r="A176" s="226" t="s">
        <v>4687</v>
      </c>
      <c r="B176" s="521" t="s">
        <v>5127</v>
      </c>
    </row>
    <row r="177" spans="1:2" x14ac:dyDescent="0.2">
      <c r="A177" s="229" t="s">
        <v>1456</v>
      </c>
      <c r="B177" s="520" t="s">
        <v>5129</v>
      </c>
    </row>
    <row r="178" spans="1:2" x14ac:dyDescent="0.2">
      <c r="A178" s="226" t="s">
        <v>1470</v>
      </c>
      <c r="B178" s="521" t="s">
        <v>5128</v>
      </c>
    </row>
    <row r="179" spans="1:2" x14ac:dyDescent="0.2">
      <c r="A179" s="229" t="s">
        <v>4019</v>
      </c>
      <c r="B179" s="520" t="s">
        <v>5130</v>
      </c>
    </row>
    <row r="180" spans="1:2" x14ac:dyDescent="0.2">
      <c r="A180" s="226" t="s">
        <v>996</v>
      </c>
      <c r="B180" s="521" t="s">
        <v>5131</v>
      </c>
    </row>
    <row r="181" spans="1:2" x14ac:dyDescent="0.2">
      <c r="A181" s="229" t="s">
        <v>739</v>
      </c>
      <c r="B181" s="520" t="s">
        <v>5132</v>
      </c>
    </row>
    <row r="182" spans="1:2" x14ac:dyDescent="0.2">
      <c r="A182" s="226" t="s">
        <v>4881</v>
      </c>
      <c r="B182" s="521" t="s">
        <v>5133</v>
      </c>
    </row>
    <row r="183" spans="1:2" x14ac:dyDescent="0.2">
      <c r="A183" s="229" t="s">
        <v>4071</v>
      </c>
      <c r="B183" s="520" t="s">
        <v>5134</v>
      </c>
    </row>
    <row r="184" spans="1:2" x14ac:dyDescent="0.2">
      <c r="A184" s="226" t="s">
        <v>1197</v>
      </c>
      <c r="B184" s="521" t="s">
        <v>5135</v>
      </c>
    </row>
    <row r="185" spans="1:2" x14ac:dyDescent="0.2">
      <c r="A185" s="229" t="s">
        <v>4848</v>
      </c>
      <c r="B185" s="520" t="s">
        <v>5136</v>
      </c>
    </row>
    <row r="186" spans="1:2" x14ac:dyDescent="0.2">
      <c r="A186" s="226" t="s">
        <v>1457</v>
      </c>
      <c r="B186" s="521" t="s">
        <v>5137</v>
      </c>
    </row>
    <row r="187" spans="1:2" x14ac:dyDescent="0.2">
      <c r="A187" s="229" t="s">
        <v>1020</v>
      </c>
      <c r="B187" s="520" t="s">
        <v>5138</v>
      </c>
    </row>
    <row r="188" spans="1:2" x14ac:dyDescent="0.2">
      <c r="A188" s="226" t="s">
        <v>1007</v>
      </c>
      <c r="B188" s="521" t="s">
        <v>5247</v>
      </c>
    </row>
    <row r="189" spans="1:2" x14ac:dyDescent="0.2">
      <c r="A189" s="229" t="s">
        <v>4490</v>
      </c>
      <c r="B189" s="520" t="s">
        <v>5139</v>
      </c>
    </row>
    <row r="190" spans="1:2" x14ac:dyDescent="0.2">
      <c r="A190" s="226" t="s">
        <v>1095</v>
      </c>
      <c r="B190" s="521" t="s">
        <v>5140</v>
      </c>
    </row>
    <row r="191" spans="1:2" x14ac:dyDescent="0.2">
      <c r="A191" s="229" t="s">
        <v>1022</v>
      </c>
      <c r="B191" s="520" t="s">
        <v>5141</v>
      </c>
    </row>
    <row r="192" spans="1:2" x14ac:dyDescent="0.2">
      <c r="A192" s="226" t="s">
        <v>1023</v>
      </c>
      <c r="B192" s="521" t="s">
        <v>5141</v>
      </c>
    </row>
    <row r="193" spans="1:2" x14ac:dyDescent="0.2">
      <c r="A193" s="229" t="s">
        <v>740</v>
      </c>
      <c r="B193" s="520" t="s">
        <v>5142</v>
      </c>
    </row>
    <row r="194" spans="1:2" x14ac:dyDescent="0.2">
      <c r="A194" s="226" t="s">
        <v>3142</v>
      </c>
      <c r="B194" s="521" t="s">
        <v>5143</v>
      </c>
    </row>
    <row r="195" spans="1:2" x14ac:dyDescent="0.2">
      <c r="A195" s="229" t="s">
        <v>4225</v>
      </c>
      <c r="B195" s="520" t="s">
        <v>5144</v>
      </c>
    </row>
    <row r="197" spans="1:2" x14ac:dyDescent="0.2">
      <c r="A197" s="342" t="s">
        <v>5145</v>
      </c>
      <c r="B197" s="342"/>
    </row>
    <row r="198" spans="1:2" x14ac:dyDescent="0.2">
      <c r="A198" s="226" t="s">
        <v>5146</v>
      </c>
      <c r="B198" s="521" t="s">
        <v>5706</v>
      </c>
    </row>
    <row r="199" spans="1:2" x14ac:dyDescent="0.2">
      <c r="A199" s="229" t="s">
        <v>5147</v>
      </c>
      <c r="B199" s="520">
        <v>16</v>
      </c>
    </row>
    <row r="200" spans="1:2" x14ac:dyDescent="0.2">
      <c r="A200" s="226" t="s">
        <v>5020</v>
      </c>
      <c r="B200" s="521" t="s">
        <v>5709</v>
      </c>
    </row>
    <row r="201" spans="1:2" x14ac:dyDescent="0.2">
      <c r="A201" s="229" t="s">
        <v>5021</v>
      </c>
      <c r="B201" s="520" t="s">
        <v>5148</v>
      </c>
    </row>
    <row r="202" spans="1:2" x14ac:dyDescent="0.2">
      <c r="A202" s="226" t="s">
        <v>5023</v>
      </c>
      <c r="B202" s="521" t="s">
        <v>5149</v>
      </c>
    </row>
    <row r="203" spans="1:2" x14ac:dyDescent="0.2">
      <c r="A203" s="229" t="s">
        <v>5150</v>
      </c>
      <c r="B203" s="520" t="s">
        <v>5610</v>
      </c>
    </row>
    <row r="204" spans="1:2" x14ac:dyDescent="0.2">
      <c r="A204" s="226" t="s">
        <v>5151</v>
      </c>
      <c r="B204" s="521" t="s">
        <v>5152</v>
      </c>
    </row>
    <row r="205" spans="1:2" x14ac:dyDescent="0.2">
      <c r="A205" s="229" t="s">
        <v>5153</v>
      </c>
      <c r="B205" s="520" t="s">
        <v>5154</v>
      </c>
    </row>
    <row r="207" spans="1:2" x14ac:dyDescent="0.2">
      <c r="A207" s="342" t="s">
        <v>5155</v>
      </c>
      <c r="B207" s="342"/>
    </row>
    <row r="208" spans="1:2" x14ac:dyDescent="0.2">
      <c r="A208" s="226" t="s">
        <v>3037</v>
      </c>
      <c r="B208" s="521" t="s">
        <v>5611</v>
      </c>
    </row>
    <row r="209" spans="1:2" x14ac:dyDescent="0.2">
      <c r="A209" s="229" t="s">
        <v>3044</v>
      </c>
      <c r="B209" s="520" t="s">
        <v>5682</v>
      </c>
    </row>
    <row r="210" spans="1:2" x14ac:dyDescent="0.2">
      <c r="A210" s="226" t="s">
        <v>3036</v>
      </c>
      <c r="B210" s="521" t="s">
        <v>5710</v>
      </c>
    </row>
    <row r="211" spans="1:2" x14ac:dyDescent="0.2">
      <c r="A211" s="229" t="s">
        <v>1081</v>
      </c>
      <c r="B211" s="520" t="s">
        <v>5156</v>
      </c>
    </row>
    <row r="212" spans="1:2" x14ac:dyDescent="0.2">
      <c r="A212" s="226" t="s">
        <v>3038</v>
      </c>
      <c r="B212" s="521" t="s">
        <v>5157</v>
      </c>
    </row>
    <row r="213" spans="1:2" x14ac:dyDescent="0.2">
      <c r="A213" s="229" t="s">
        <v>3039</v>
      </c>
      <c r="B213" s="520" t="s">
        <v>5158</v>
      </c>
    </row>
    <row r="214" spans="1:2" x14ac:dyDescent="0.2">
      <c r="A214" s="226" t="s">
        <v>3042</v>
      </c>
      <c r="B214" s="521" t="s">
        <v>5159</v>
      </c>
    </row>
    <row r="215" spans="1:2" x14ac:dyDescent="0.2">
      <c r="A215" s="229" t="s">
        <v>3040</v>
      </c>
      <c r="B215" s="520" t="s">
        <v>5683</v>
      </c>
    </row>
    <row r="216" spans="1:2" x14ac:dyDescent="0.2">
      <c r="A216" s="226" t="s">
        <v>1011</v>
      </c>
      <c r="B216" s="521" t="s">
        <v>5644</v>
      </c>
    </row>
    <row r="217" spans="1:2" x14ac:dyDescent="0.2">
      <c r="A217" s="229" t="s">
        <v>3043</v>
      </c>
      <c r="B217" s="520" t="s">
        <v>5160</v>
      </c>
    </row>
    <row r="218" spans="1:2" x14ac:dyDescent="0.2">
      <c r="A218" s="226" t="s">
        <v>2707</v>
      </c>
      <c r="B218" s="521" t="s">
        <v>5161</v>
      </c>
    </row>
    <row r="219" spans="1:2" x14ac:dyDescent="0.2">
      <c r="A219" s="229" t="s">
        <v>3041</v>
      </c>
      <c r="B219" s="520" t="s">
        <v>5162</v>
      </c>
    </row>
    <row r="220" spans="1:2" x14ac:dyDescent="0.2">
      <c r="A220" s="226" t="s">
        <v>995</v>
      </c>
      <c r="B220" s="521" t="s">
        <v>5588</v>
      </c>
    </row>
    <row r="221" spans="1:2" x14ac:dyDescent="0.2">
      <c r="A221" s="229" t="s">
        <v>4850</v>
      </c>
      <c r="B221" s="520" t="s">
        <v>5163</v>
      </c>
    </row>
    <row r="222" spans="1:2" x14ac:dyDescent="0.2">
      <c r="A222" s="226" t="s">
        <v>3045</v>
      </c>
      <c r="B222" s="521" t="s">
        <v>5164</v>
      </c>
    </row>
    <row r="223" spans="1:2" x14ac:dyDescent="0.2">
      <c r="A223" s="229" t="s">
        <v>3155</v>
      </c>
      <c r="B223" s="520" t="s">
        <v>5165</v>
      </c>
    </row>
    <row r="225" spans="1:2" x14ac:dyDescent="0.2">
      <c r="A225" s="342" t="s">
        <v>5166</v>
      </c>
      <c r="B225" s="342"/>
    </row>
    <row r="226" spans="1:2" x14ac:dyDescent="0.2">
      <c r="A226" s="226" t="s">
        <v>3037</v>
      </c>
      <c r="B226" s="521" t="s">
        <v>5167</v>
      </c>
    </row>
    <row r="227" spans="1:2" x14ac:dyDescent="0.2">
      <c r="A227" s="229" t="s">
        <v>3044</v>
      </c>
      <c r="B227" s="520" t="s">
        <v>5684</v>
      </c>
    </row>
    <row r="228" spans="1:2" x14ac:dyDescent="0.2">
      <c r="A228" s="226" t="s">
        <v>3036</v>
      </c>
      <c r="B228" s="521" t="s">
        <v>5168</v>
      </c>
    </row>
    <row r="229" spans="1:2" x14ac:dyDescent="0.2">
      <c r="A229" s="229" t="s">
        <v>1081</v>
      </c>
      <c r="B229" s="520" t="s">
        <v>5169</v>
      </c>
    </row>
    <row r="230" spans="1:2" x14ac:dyDescent="0.2">
      <c r="A230" s="226" t="s">
        <v>3038</v>
      </c>
      <c r="B230" s="521" t="s">
        <v>5248</v>
      </c>
    </row>
    <row r="231" spans="1:2" x14ac:dyDescent="0.2">
      <c r="A231" s="229" t="s">
        <v>3039</v>
      </c>
      <c r="B231" s="520" t="s">
        <v>5170</v>
      </c>
    </row>
    <row r="232" spans="1:2" x14ac:dyDescent="0.2">
      <c r="A232" s="226" t="s">
        <v>3042</v>
      </c>
      <c r="B232" s="521" t="s">
        <v>5171</v>
      </c>
    </row>
    <row r="233" spans="1:2" x14ac:dyDescent="0.2">
      <c r="A233" s="229" t="s">
        <v>3040</v>
      </c>
      <c r="B233" s="520" t="s">
        <v>5172</v>
      </c>
    </row>
    <row r="234" spans="1:2" x14ac:dyDescent="0.2">
      <c r="A234" s="226" t="s">
        <v>1011</v>
      </c>
      <c r="B234" s="521" t="s">
        <v>5173</v>
      </c>
    </row>
    <row r="235" spans="1:2" x14ac:dyDescent="0.2">
      <c r="A235" s="229" t="s">
        <v>3043</v>
      </c>
      <c r="B235" s="520" t="s">
        <v>5174</v>
      </c>
    </row>
    <row r="236" spans="1:2" x14ac:dyDescent="0.2">
      <c r="A236" s="226" t="s">
        <v>2707</v>
      </c>
      <c r="B236" s="521" t="s">
        <v>5175</v>
      </c>
    </row>
    <row r="237" spans="1:2" x14ac:dyDescent="0.2">
      <c r="A237" s="229" t="s">
        <v>3041</v>
      </c>
      <c r="B237" s="520" t="s">
        <v>5176</v>
      </c>
    </row>
    <row r="238" spans="1:2" x14ac:dyDescent="0.2">
      <c r="A238" s="226" t="s">
        <v>995</v>
      </c>
      <c r="B238" s="521" t="s">
        <v>5177</v>
      </c>
    </row>
    <row r="239" spans="1:2" x14ac:dyDescent="0.2">
      <c r="A239" s="229" t="s">
        <v>4850</v>
      </c>
      <c r="B239" s="520" t="s">
        <v>5178</v>
      </c>
    </row>
    <row r="240" spans="1:2" x14ac:dyDescent="0.2">
      <c r="A240" s="226" t="s">
        <v>3045</v>
      </c>
      <c r="B240" s="521" t="s">
        <v>5179</v>
      </c>
    </row>
    <row r="241" spans="1:2" x14ac:dyDescent="0.2">
      <c r="A241" s="229" t="s">
        <v>3155</v>
      </c>
      <c r="B241" s="520" t="s">
        <v>5180</v>
      </c>
    </row>
    <row r="243" spans="1:2" x14ac:dyDescent="0.2">
      <c r="A243" s="342" t="s">
        <v>5181</v>
      </c>
      <c r="B243" s="342"/>
    </row>
    <row r="244" spans="1:2" x14ac:dyDescent="0.2">
      <c r="A244" s="226" t="s">
        <v>5182</v>
      </c>
      <c r="B244" s="521" t="s">
        <v>5706</v>
      </c>
    </row>
    <row r="245" spans="1:2" x14ac:dyDescent="0.2">
      <c r="A245" s="229" t="s">
        <v>5183</v>
      </c>
      <c r="B245" s="520">
        <v>1966</v>
      </c>
    </row>
    <row r="246" spans="1:2" x14ac:dyDescent="0.2">
      <c r="A246" s="226" t="s">
        <v>5184</v>
      </c>
      <c r="B246" s="521">
        <v>2026</v>
      </c>
    </row>
    <row r="247" spans="1:2" x14ac:dyDescent="0.2">
      <c r="A247" s="229" t="s">
        <v>5185</v>
      </c>
      <c r="B247" s="520" t="s">
        <v>5711</v>
      </c>
    </row>
    <row r="248" spans="1:2" x14ac:dyDescent="0.2">
      <c r="A248" s="226" t="s">
        <v>5186</v>
      </c>
      <c r="B248" s="521" t="s">
        <v>5645</v>
      </c>
    </row>
    <row r="250" spans="1:2" x14ac:dyDescent="0.2">
      <c r="A250" s="342" t="s">
        <v>5187</v>
      </c>
      <c r="B250" s="342"/>
    </row>
    <row r="251" spans="1:2" x14ac:dyDescent="0.2">
      <c r="A251" s="229" t="s">
        <v>1825</v>
      </c>
      <c r="B251" s="520" t="s">
        <v>5188</v>
      </c>
    </row>
    <row r="252" spans="1:2" x14ac:dyDescent="0.2">
      <c r="A252" s="226" t="s">
        <v>1826</v>
      </c>
      <c r="B252" s="521" t="s">
        <v>5685</v>
      </c>
    </row>
    <row r="253" spans="1:2" x14ac:dyDescent="0.2">
      <c r="A253" s="229" t="s">
        <v>1827</v>
      </c>
      <c r="B253" s="520" t="s">
        <v>5189</v>
      </c>
    </row>
    <row r="254" spans="1:2" x14ac:dyDescent="0.2">
      <c r="A254" s="226" t="s">
        <v>1828</v>
      </c>
      <c r="B254" s="521" t="s">
        <v>5589</v>
      </c>
    </row>
    <row r="255" spans="1:2" x14ac:dyDescent="0.2">
      <c r="A255" s="229" t="s">
        <v>1829</v>
      </c>
      <c r="B255" s="520" t="s">
        <v>5712</v>
      </c>
    </row>
    <row r="256" spans="1:2" x14ac:dyDescent="0.2">
      <c r="A256" s="226" t="s">
        <v>1830</v>
      </c>
      <c r="B256" s="521" t="s">
        <v>5440</v>
      </c>
    </row>
    <row r="257" spans="1:2" x14ac:dyDescent="0.2">
      <c r="A257" s="229" t="s">
        <v>1831</v>
      </c>
      <c r="B257" s="520" t="s">
        <v>5551</v>
      </c>
    </row>
    <row r="259" spans="1:2" x14ac:dyDescent="0.2">
      <c r="A259" s="342" t="s">
        <v>5190</v>
      </c>
      <c r="B259" s="342"/>
    </row>
    <row r="260" spans="1:2" x14ac:dyDescent="0.2">
      <c r="A260" s="226" t="s">
        <v>5191</v>
      </c>
      <c r="B260" s="521" t="s">
        <v>5706</v>
      </c>
    </row>
    <row r="261" spans="1:2" x14ac:dyDescent="0.2">
      <c r="A261" s="229" t="s">
        <v>5192</v>
      </c>
      <c r="B261" s="520" t="s">
        <v>1794</v>
      </c>
    </row>
    <row r="262" spans="1:2" x14ac:dyDescent="0.2">
      <c r="A262" s="226" t="s">
        <v>5193</v>
      </c>
      <c r="B262" s="521" t="s">
        <v>3377</v>
      </c>
    </row>
    <row r="263" spans="1:2" x14ac:dyDescent="0.2">
      <c r="A263" s="229" t="s">
        <v>5194</v>
      </c>
      <c r="B263" s="520" t="s">
        <v>5195</v>
      </c>
    </row>
    <row r="265" spans="1:2" x14ac:dyDescent="0.2">
      <c r="A265" s="342" t="s">
        <v>5196</v>
      </c>
      <c r="B265" s="342"/>
    </row>
    <row r="266" spans="1:2" x14ac:dyDescent="0.2">
      <c r="A266" s="226" t="s">
        <v>5197</v>
      </c>
      <c r="B266" s="521"/>
    </row>
    <row r="267" spans="1:2" x14ac:dyDescent="0.2">
      <c r="A267" s="229" t="s">
        <v>4983</v>
      </c>
      <c r="B267" s="520" t="s">
        <v>5686</v>
      </c>
    </row>
    <row r="268" spans="1:2" x14ac:dyDescent="0.2">
      <c r="A268" s="226" t="s">
        <v>5198</v>
      </c>
      <c r="B268" s="521" t="s">
        <v>5687</v>
      </c>
    </row>
    <row r="269" spans="1:2" x14ac:dyDescent="0.2">
      <c r="A269" s="229" t="s">
        <v>4986</v>
      </c>
      <c r="B269" s="520" t="s">
        <v>5646</v>
      </c>
    </row>
    <row r="270" spans="1:2" x14ac:dyDescent="0.2">
      <c r="A270" s="226" t="s">
        <v>4992</v>
      </c>
      <c r="B270" s="521" t="s">
        <v>5688</v>
      </c>
    </row>
    <row r="271" spans="1:2" x14ac:dyDescent="0.2">
      <c r="A271" s="229" t="s">
        <v>289</v>
      </c>
      <c r="B271" s="520" t="s">
        <v>5647</v>
      </c>
    </row>
    <row r="272" spans="1:2" x14ac:dyDescent="0.2">
      <c r="A272" s="226" t="s">
        <v>5199</v>
      </c>
      <c r="B272" s="521" t="s">
        <v>5689</v>
      </c>
    </row>
    <row r="273" spans="1:2" x14ac:dyDescent="0.2">
      <c r="A273" s="229" t="s">
        <v>5200</v>
      </c>
      <c r="B273" s="520" t="s">
        <v>5713</v>
      </c>
    </row>
    <row r="275" spans="1:2" x14ac:dyDescent="0.2">
      <c r="A275" s="229" t="s">
        <v>5201</v>
      </c>
      <c r="B275" s="520" t="s">
        <v>5648</v>
      </c>
    </row>
    <row r="276" spans="1:2" x14ac:dyDescent="0.2">
      <c r="A276" s="226" t="s">
        <v>5202</v>
      </c>
      <c r="B276" s="521" t="s">
        <v>5690</v>
      </c>
    </row>
    <row r="278" spans="1:2" x14ac:dyDescent="0.2">
      <c r="A278" s="342" t="s">
        <v>5203</v>
      </c>
      <c r="B278" s="342"/>
    </row>
    <row r="279" spans="1:2" x14ac:dyDescent="0.2">
      <c r="A279" s="229" t="s">
        <v>5691</v>
      </c>
      <c r="B279" s="520" t="s">
        <v>5543</v>
      </c>
    </row>
    <row r="280" spans="1:2" x14ac:dyDescent="0.2">
      <c r="A280" s="226" t="s">
        <v>5692</v>
      </c>
      <c r="B280" s="521" t="s">
        <v>5649</v>
      </c>
    </row>
    <row r="281" spans="1:2" x14ac:dyDescent="0.2">
      <c r="A281" s="229" t="s">
        <v>5693</v>
      </c>
      <c r="B281" s="520" t="s">
        <v>5204</v>
      </c>
    </row>
    <row r="282" spans="1:2" x14ac:dyDescent="0.2">
      <c r="A282" s="226" t="s">
        <v>5694</v>
      </c>
      <c r="B282" s="521" t="s">
        <v>5650</v>
      </c>
    </row>
    <row r="283" spans="1:2" x14ac:dyDescent="0.2">
      <c r="A283" s="229" t="s">
        <v>5695</v>
      </c>
      <c r="B283" s="520" t="s">
        <v>5205</v>
      </c>
    </row>
    <row r="284" spans="1:2" x14ac:dyDescent="0.2">
      <c r="A284" s="226" t="s">
        <v>5696</v>
      </c>
      <c r="B284" s="521" t="s">
        <v>5697</v>
      </c>
    </row>
    <row r="285" spans="1:2" x14ac:dyDescent="0.2">
      <c r="A285" s="229" t="s">
        <v>5698</v>
      </c>
      <c r="B285" s="520" t="s">
        <v>5699</v>
      </c>
    </row>
    <row r="286" spans="1:2" x14ac:dyDescent="0.2">
      <c r="A286" s="226" t="s">
        <v>5700</v>
      </c>
      <c r="B286" s="521" t="s">
        <v>5544</v>
      </c>
    </row>
    <row r="287" spans="1:2" x14ac:dyDescent="0.2">
      <c r="A287" s="229" t="s">
        <v>5628</v>
      </c>
      <c r="B287" s="520" t="s">
        <v>5206</v>
      </c>
    </row>
    <row r="288" spans="1:2" x14ac:dyDescent="0.2">
      <c r="A288" s="226" t="s">
        <v>5629</v>
      </c>
      <c r="B288" s="521" t="s">
        <v>5545</v>
      </c>
    </row>
    <row r="289" spans="1:2" x14ac:dyDescent="0.2">
      <c r="A289" s="229" t="s">
        <v>5569</v>
      </c>
      <c r="B289" s="520" t="s">
        <v>5570</v>
      </c>
    </row>
    <row r="290" spans="1:2" x14ac:dyDescent="0.2">
      <c r="A290" s="226" t="s">
        <v>5571</v>
      </c>
      <c r="B290" s="521" t="s">
        <v>5572</v>
      </c>
    </row>
    <row r="291" spans="1:2" x14ac:dyDescent="0.2">
      <c r="A291" s="229" t="s">
        <v>5573</v>
      </c>
      <c r="B291" s="520" t="s">
        <v>5574</v>
      </c>
    </row>
    <row r="292" spans="1:2" x14ac:dyDescent="0.2">
      <c r="A292" s="226" t="s">
        <v>5575</v>
      </c>
      <c r="B292" s="521" t="s">
        <v>5576</v>
      </c>
    </row>
    <row r="293" spans="1:2" x14ac:dyDescent="0.2">
      <c r="A293" s="229" t="s">
        <v>5577</v>
      </c>
      <c r="B293" s="520" t="s">
        <v>5578</v>
      </c>
    </row>
    <row r="294" spans="1:2" x14ac:dyDescent="0.2">
      <c r="A294" s="226" t="s">
        <v>5207</v>
      </c>
      <c r="B294" s="521" t="s">
        <v>5208</v>
      </c>
    </row>
    <row r="296" spans="1:2" x14ac:dyDescent="0.2">
      <c r="A296" s="342" t="s">
        <v>5209</v>
      </c>
      <c r="B296" s="342"/>
    </row>
    <row r="297" spans="1:2" x14ac:dyDescent="0.2">
      <c r="A297" s="229" t="s">
        <v>5210</v>
      </c>
      <c r="B297" s="520" t="s">
        <v>5543</v>
      </c>
    </row>
    <row r="298" spans="1:2" x14ac:dyDescent="0.2">
      <c r="A298" s="226" t="s">
        <v>5211</v>
      </c>
      <c r="B298" s="521" t="s">
        <v>5630</v>
      </c>
    </row>
    <row r="299" spans="1:2" x14ac:dyDescent="0.2">
      <c r="A299" s="229" t="s">
        <v>5212</v>
      </c>
      <c r="B299" s="520" t="s">
        <v>5651</v>
      </c>
    </row>
    <row r="300" spans="1:2" x14ac:dyDescent="0.2">
      <c r="A300" s="226" t="s">
        <v>5213</v>
      </c>
      <c r="B300" s="521" t="s">
        <v>5651</v>
      </c>
    </row>
    <row r="301" spans="1:2" x14ac:dyDescent="0.2">
      <c r="A301" s="229" t="s">
        <v>5214</v>
      </c>
      <c r="B301" s="520" t="s">
        <v>5652</v>
      </c>
    </row>
    <row r="302" spans="1:2" x14ac:dyDescent="0.2">
      <c r="A302" s="226" t="s">
        <v>5215</v>
      </c>
      <c r="B302" s="521" t="s">
        <v>5579</v>
      </c>
    </row>
    <row r="303" spans="1:2" x14ac:dyDescent="0.2">
      <c r="A303" s="229" t="s">
        <v>5216</v>
      </c>
      <c r="B303" s="520" t="s">
        <v>5653</v>
      </c>
    </row>
    <row r="304" spans="1:2" x14ac:dyDescent="0.2">
      <c r="A304" s="226" t="s">
        <v>5217</v>
      </c>
      <c r="B304" s="521" t="s">
        <v>5654</v>
      </c>
    </row>
    <row r="305" spans="1:2" x14ac:dyDescent="0.2">
      <c r="A305" s="229" t="s">
        <v>5218</v>
      </c>
      <c r="B305" s="520" t="s">
        <v>5580</v>
      </c>
    </row>
    <row r="306" spans="1:2" x14ac:dyDescent="0.2">
      <c r="A306" s="226" t="s">
        <v>5219</v>
      </c>
      <c r="B306" s="521" t="s">
        <v>5701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zoomScale="120" zoomScaleNormal="120" workbookViewId="0">
      <selection activeCell="H33" sqref="H33"/>
    </sheetView>
  </sheetViews>
  <sheetFormatPr baseColWidth="10" defaultRowHeight="16" x14ac:dyDescent="0.2"/>
  <cols>
    <col min="1" max="1" width="5.5" style="530" customWidth="1"/>
    <col min="2" max="2" width="28.33203125" customWidth="1"/>
    <col min="3" max="3" width="67.1640625" customWidth="1"/>
    <col min="4" max="4" width="26" style="516" customWidth="1"/>
    <col min="5" max="5" width="10.5" customWidth="1"/>
    <col min="6" max="6" width="2.1640625" customWidth="1"/>
    <col min="7" max="7" width="7.5" customWidth="1"/>
  </cols>
  <sheetData>
    <row r="1" spans="1:8" ht="16" customHeight="1" x14ac:dyDescent="0.2">
      <c r="B1" s="533" t="s">
        <v>5429</v>
      </c>
      <c r="C1" s="533" t="s">
        <v>5434</v>
      </c>
      <c r="D1" s="533" t="s">
        <v>5432</v>
      </c>
      <c r="E1" s="533" t="s">
        <v>5430</v>
      </c>
      <c r="F1" s="533" t="s">
        <v>5431</v>
      </c>
      <c r="G1" s="533" t="s">
        <v>5433</v>
      </c>
    </row>
    <row r="2" spans="1:8" ht="16" customHeight="1" x14ac:dyDescent="0.2">
      <c r="A2" s="530">
        <v>1</v>
      </c>
      <c r="B2" s="530" t="s">
        <v>2278</v>
      </c>
      <c r="C2" t="s">
        <v>5427</v>
      </c>
      <c r="D2" s="508" t="str">
        <f>VLOOKUP(E2,'Tabla Albums'!C:L,9,FALSE)</f>
        <v>progressive rock</v>
      </c>
      <c r="E2" t="s">
        <v>2278</v>
      </c>
      <c r="F2" t="s">
        <v>2293</v>
      </c>
      <c r="G2" s="516">
        <v>1972</v>
      </c>
    </row>
    <row r="3" spans="1:8" ht="16" customHeight="1" x14ac:dyDescent="0.2">
      <c r="A3" s="530">
        <v>2</v>
      </c>
      <c r="B3" s="531" t="s">
        <v>9</v>
      </c>
      <c r="C3" s="508" t="s">
        <v>5426</v>
      </c>
      <c r="D3" s="508" t="str">
        <f>VLOOKUP(E3,'Tabla Albums'!C:L,9,FALSE)</f>
        <v>progressive metal, alternative metal</v>
      </c>
      <c r="E3" s="510" t="s">
        <v>7</v>
      </c>
      <c r="F3" s="508" t="s">
        <v>292</v>
      </c>
      <c r="G3" s="509">
        <f>VLOOKUP(E3,'Tabla Albums'!C:L,10,FALSE)</f>
        <v>2001</v>
      </c>
    </row>
    <row r="4" spans="1:8" ht="16" customHeight="1" x14ac:dyDescent="0.2">
      <c r="A4" s="530">
        <v>3</v>
      </c>
      <c r="B4" s="531" t="s">
        <v>16</v>
      </c>
      <c r="C4" s="508" t="s">
        <v>5424</v>
      </c>
      <c r="D4" s="508" t="str">
        <f>VLOOKUP(E4,'Tabla Albums'!C:L,9,FALSE)</f>
        <v>art rock, alternative rock</v>
      </c>
      <c r="E4" s="510" t="s">
        <v>294</v>
      </c>
      <c r="F4" s="511" t="s">
        <v>293</v>
      </c>
      <c r="G4" s="509">
        <f>VLOOKUP(E4,'Tabla Albums'!C:L,10,FALSE)</f>
        <v>2007</v>
      </c>
    </row>
    <row r="5" spans="1:8" ht="16" customHeight="1" x14ac:dyDescent="0.2">
      <c r="A5" s="530">
        <v>4</v>
      </c>
      <c r="B5" s="532" t="s">
        <v>4564</v>
      </c>
      <c r="C5" s="508" t="s">
        <v>5423</v>
      </c>
      <c r="D5" s="508" t="str">
        <f>VLOOKUP(E5,'Tabla Albums'!C:L,9,FALSE)</f>
        <v>hard rock, progressive rock</v>
      </c>
      <c r="E5" s="512" t="s">
        <v>4568</v>
      </c>
      <c r="F5" s="513" t="s">
        <v>4567</v>
      </c>
      <c r="G5" s="509">
        <f>VLOOKUP(E5,'Tabla Albums'!C:L,10,FALSE)</f>
        <v>2008</v>
      </c>
      <c r="H5" s="508"/>
    </row>
    <row r="6" spans="1:8" ht="16" customHeight="1" x14ac:dyDescent="0.2">
      <c r="A6" s="530">
        <v>5</v>
      </c>
      <c r="B6" s="531" t="s">
        <v>632</v>
      </c>
      <c r="C6" s="508" t="s">
        <v>5422</v>
      </c>
      <c r="D6" s="508" t="str">
        <f>VLOOKUP(E6,'Tabla Albums'!C:L,9,FALSE)</f>
        <v>post rock</v>
      </c>
      <c r="E6" s="510" t="s">
        <v>634</v>
      </c>
      <c r="F6" s="511" t="s">
        <v>2460</v>
      </c>
      <c r="G6" s="509">
        <f>VLOOKUP(E6,'Tabla Albums'!C:L,10,FALSE)</f>
        <v>2000</v>
      </c>
      <c r="H6" s="508"/>
    </row>
    <row r="7" spans="1:8" ht="16" customHeight="1" x14ac:dyDescent="0.2">
      <c r="A7" s="530">
        <v>6</v>
      </c>
      <c r="B7" s="531" t="s">
        <v>2279</v>
      </c>
      <c r="C7" s="508" t="s">
        <v>5421</v>
      </c>
      <c r="D7" s="508" t="str">
        <f>VLOOKUP(E7,'Tabla Albums'!C:L,9,FALSE)</f>
        <v>progressive rock</v>
      </c>
      <c r="E7" s="510" t="s">
        <v>2278</v>
      </c>
      <c r="F7" s="511" t="s">
        <v>2293</v>
      </c>
      <c r="G7" s="509">
        <f>VLOOKUP(E7,'Tabla Albums'!C:L,10,FALSE)</f>
        <v>1972</v>
      </c>
      <c r="H7" s="508"/>
    </row>
    <row r="8" spans="1:8" ht="16" customHeight="1" x14ac:dyDescent="0.2">
      <c r="A8" s="530">
        <v>7</v>
      </c>
      <c r="B8" s="531" t="s">
        <v>915</v>
      </c>
      <c r="C8" s="508" t="s">
        <v>5420</v>
      </c>
      <c r="D8" s="508" t="str">
        <f>VLOOKUP(E8,'Tabla Albums'!C:L,9,FALSE)</f>
        <v>progressive metal, death metal</v>
      </c>
      <c r="E8" s="510" t="s">
        <v>922</v>
      </c>
      <c r="F8" s="511" t="s">
        <v>300</v>
      </c>
      <c r="G8" s="509">
        <f>VLOOKUP(E8,'Tabla Albums'!C:L,10,FALSE)</f>
        <v>2005</v>
      </c>
      <c r="H8" s="508"/>
    </row>
    <row r="9" spans="1:8" ht="16" customHeight="1" x14ac:dyDescent="0.2">
      <c r="A9" s="530">
        <v>8</v>
      </c>
      <c r="B9" s="532" t="s">
        <v>703</v>
      </c>
      <c r="C9" s="508" t="s">
        <v>5419</v>
      </c>
      <c r="D9" s="508" t="str">
        <f>VLOOKUP(E9,'Tabla Albums'!C:L,9,FALSE)</f>
        <v>progressive rock, psychedelic rock</v>
      </c>
      <c r="E9" s="512" t="s">
        <v>727</v>
      </c>
      <c r="F9" s="513" t="s">
        <v>298</v>
      </c>
      <c r="G9" s="509">
        <f>VLOOKUP(E9,'Tabla Albums'!C:L,10,FALSE)</f>
        <v>1977</v>
      </c>
      <c r="H9" s="508"/>
    </row>
    <row r="10" spans="1:8" ht="16" customHeight="1" x14ac:dyDescent="0.2">
      <c r="A10" s="530">
        <v>9</v>
      </c>
      <c r="B10" s="531" t="s">
        <v>184</v>
      </c>
      <c r="C10" s="508" t="s">
        <v>5418</v>
      </c>
      <c r="D10" s="508" t="str">
        <f>VLOOKUP(E10,'Tabla Albums'!C:L,9,FALSE)</f>
        <v>shoegaze, slowcore</v>
      </c>
      <c r="E10" s="510" t="s">
        <v>186</v>
      </c>
      <c r="F10" s="511" t="s">
        <v>302</v>
      </c>
      <c r="G10" s="509">
        <f>VLOOKUP(E10,'Tabla Albums'!C:L,10,FALSE)</f>
        <v>2008</v>
      </c>
      <c r="H10" s="508"/>
    </row>
    <row r="11" spans="1:8" ht="16" customHeight="1" x14ac:dyDescent="0.2">
      <c r="A11" s="530">
        <v>10</v>
      </c>
      <c r="B11" s="532" t="s">
        <v>5416</v>
      </c>
      <c r="C11" s="508" t="s">
        <v>5417</v>
      </c>
      <c r="D11" s="508" t="str">
        <f>VLOOKUP(E11,'Tabla Albums'!C:L,9,FALSE)</f>
        <v>art rock, electronic</v>
      </c>
      <c r="E11" s="512" t="s">
        <v>251</v>
      </c>
      <c r="F11" s="513" t="s">
        <v>293</v>
      </c>
      <c r="G11" s="509">
        <f>VLOOKUP(E11,'Tabla Albums'!C:L,10,FALSE)</f>
        <v>2000</v>
      </c>
      <c r="H11" s="508"/>
    </row>
    <row r="12" spans="1:8" ht="16" customHeight="1" x14ac:dyDescent="0.2">
      <c r="A12" s="530">
        <v>11</v>
      </c>
      <c r="B12" s="532" t="s">
        <v>54</v>
      </c>
      <c r="C12" s="508" t="s">
        <v>5415</v>
      </c>
      <c r="D12" s="508" t="str">
        <f>VLOOKUP(E12,'Tabla Albums'!C:L,9,FALSE)</f>
        <v>progressive rock, psychedelic rock</v>
      </c>
      <c r="E12" s="512" t="s">
        <v>299</v>
      </c>
      <c r="F12" s="513" t="s">
        <v>298</v>
      </c>
      <c r="G12" s="509">
        <f>VLOOKUP(E12,'Tabla Albums'!C:L,10,FALSE)</f>
        <v>1973</v>
      </c>
      <c r="H12" s="508"/>
    </row>
    <row r="13" spans="1:8" ht="16" customHeight="1" x14ac:dyDescent="0.2">
      <c r="A13" s="530">
        <v>12</v>
      </c>
      <c r="B13" s="531" t="s">
        <v>515</v>
      </c>
      <c r="C13" s="508" t="s">
        <v>5414</v>
      </c>
      <c r="D13" s="508" t="str">
        <f>VLOOKUP(E13,'Tabla Albums'!C:L,9,FALSE)</f>
        <v>progressive metal, alternative metal</v>
      </c>
      <c r="E13" s="510" t="s">
        <v>517</v>
      </c>
      <c r="F13" s="511" t="s">
        <v>292</v>
      </c>
      <c r="G13" s="509">
        <f>VLOOKUP(E13,'Tabla Albums'!C:L,10,FALSE)</f>
        <v>2006</v>
      </c>
      <c r="H13" s="508"/>
    </row>
    <row r="14" spans="1:8" ht="16" customHeight="1" x14ac:dyDescent="0.2">
      <c r="A14" s="530">
        <v>13</v>
      </c>
      <c r="B14" s="531" t="s">
        <v>854</v>
      </c>
      <c r="C14" s="508" t="s">
        <v>5398</v>
      </c>
      <c r="D14" s="508" t="str">
        <f>VLOOKUP(E14,'Tabla Albums'!C:L,9,FALSE)</f>
        <v>progressive metal, death metal</v>
      </c>
      <c r="E14" s="510" t="s">
        <v>855</v>
      </c>
      <c r="F14" s="511" t="s">
        <v>300</v>
      </c>
      <c r="G14" s="509">
        <f>VLOOKUP(E14,'Tabla Albums'!C:L,10,FALSE)</f>
        <v>1999</v>
      </c>
      <c r="H14" s="508"/>
    </row>
    <row r="15" spans="1:8" ht="16" customHeight="1" x14ac:dyDescent="0.2">
      <c r="A15" s="530">
        <v>14</v>
      </c>
      <c r="B15" s="532" t="s">
        <v>963</v>
      </c>
      <c r="C15" s="508" t="s">
        <v>5393</v>
      </c>
      <c r="D15" s="508" t="str">
        <f>VLOOKUP(E15,'Tabla Albums'!C:L,9,FALSE)</f>
        <v>progressive rock, art rock</v>
      </c>
      <c r="E15" s="512" t="s">
        <v>959</v>
      </c>
      <c r="F15" s="513" t="s">
        <v>297</v>
      </c>
      <c r="G15" s="509">
        <f>VLOOKUP(E15,'Tabla Albums'!C:L,10,FALSE)</f>
        <v>2024</v>
      </c>
      <c r="H15" s="508"/>
    </row>
    <row r="16" spans="1:8" ht="16" customHeight="1" x14ac:dyDescent="0.2">
      <c r="A16" s="530">
        <v>15</v>
      </c>
      <c r="B16" s="532" t="s">
        <v>39</v>
      </c>
      <c r="C16" s="508" t="s">
        <v>5392</v>
      </c>
      <c r="D16" s="508" t="str">
        <f>VLOOKUP(E16,'Tabla Albums'!C:L,9,FALSE)</f>
        <v>progressive rock, art rock</v>
      </c>
      <c r="E16" s="512" t="s">
        <v>36</v>
      </c>
      <c r="F16" s="513" t="s">
        <v>405</v>
      </c>
      <c r="G16" s="509">
        <f>VLOOKUP(E16,'Tabla Albums'!C:L,10,FALSE)</f>
        <v>1982</v>
      </c>
      <c r="H16" s="508"/>
    </row>
    <row r="17" spans="1:8" ht="16" customHeight="1" x14ac:dyDescent="0.2">
      <c r="A17" s="530">
        <v>16</v>
      </c>
      <c r="B17" s="532" t="s">
        <v>3030</v>
      </c>
      <c r="C17" s="508" t="s">
        <v>5389</v>
      </c>
      <c r="D17" s="508" t="str">
        <f>VLOOKUP(E17,'Tabla Albums'!C:L,9,FALSE)</f>
        <v>progressive metal</v>
      </c>
      <c r="E17" s="512" t="s">
        <v>3035</v>
      </c>
      <c r="F17" s="513" t="s">
        <v>3034</v>
      </c>
      <c r="G17" s="509">
        <f>VLOOKUP(E17,'Tabla Albums'!C:L,10,FALSE)</f>
        <v>2012</v>
      </c>
      <c r="H17" s="508"/>
    </row>
    <row r="18" spans="1:8" ht="16" customHeight="1" x14ac:dyDescent="0.2">
      <c r="A18" s="530">
        <v>17</v>
      </c>
      <c r="B18" s="531" t="s">
        <v>691</v>
      </c>
      <c r="C18" s="508" t="s">
        <v>5366</v>
      </c>
      <c r="D18" s="508" t="str">
        <f>VLOOKUP(E18,'Tabla Albums'!C:L,9,FALSE)</f>
        <v>indie rock, post punk</v>
      </c>
      <c r="E18" s="510" t="s">
        <v>700</v>
      </c>
      <c r="F18" s="511" t="s">
        <v>699</v>
      </c>
      <c r="G18" s="509">
        <f>VLOOKUP(E18,'Tabla Albums'!C:L,10,FALSE)</f>
        <v>2002</v>
      </c>
      <c r="H18" s="508"/>
    </row>
    <row r="19" spans="1:8" ht="16" customHeight="1" x14ac:dyDescent="0.2">
      <c r="A19" s="530">
        <v>18</v>
      </c>
      <c r="B19" s="531" t="s">
        <v>1561</v>
      </c>
      <c r="C19" s="508" t="s">
        <v>5364</v>
      </c>
      <c r="D19" s="508" t="str">
        <f>VLOOKUP(E19,'Tabla Albums'!C:L,9,FALSE)</f>
        <v>post metal, atmospheric black metal</v>
      </c>
      <c r="E19" s="510" t="s">
        <v>1565</v>
      </c>
      <c r="F19" s="511" t="s">
        <v>1330</v>
      </c>
      <c r="G19" s="509">
        <f>VLOOKUP(E19,'Tabla Albums'!C:L,10,FALSE)</f>
        <v>2006</v>
      </c>
      <c r="H19" s="508"/>
    </row>
    <row r="20" spans="1:8" ht="16" customHeight="1" x14ac:dyDescent="0.2">
      <c r="A20" s="530">
        <v>19</v>
      </c>
      <c r="B20" s="532" t="s">
        <v>2355</v>
      </c>
      <c r="C20" s="508" t="s">
        <v>5387</v>
      </c>
      <c r="D20" s="508" t="str">
        <f>VLOOKUP(E20,'Tabla Albums'!C:L,9,FALSE)</f>
        <v>french house, mashup</v>
      </c>
      <c r="E20" s="512" t="s">
        <v>2366</v>
      </c>
      <c r="F20" s="513" t="s">
        <v>303</v>
      </c>
      <c r="G20" s="509">
        <f>VLOOKUP(E20,'Tabla Albums'!C:L,10,FALSE)</f>
        <v>2007</v>
      </c>
      <c r="H20" s="508"/>
    </row>
    <row r="21" spans="1:8" ht="16" customHeight="1" x14ac:dyDescent="0.2">
      <c r="A21" s="530">
        <v>20</v>
      </c>
      <c r="B21" s="531" t="s">
        <v>581</v>
      </c>
      <c r="C21" s="508" t="s">
        <v>5384</v>
      </c>
      <c r="D21" s="508" t="str">
        <f>VLOOKUP(E21,'Tabla Albums'!C:L,9,FALSE)</f>
        <v>french house, electronic</v>
      </c>
      <c r="E21" s="510" t="s">
        <v>588</v>
      </c>
      <c r="F21" s="511" t="s">
        <v>303</v>
      </c>
      <c r="G21" s="509">
        <f>VLOOKUP(E21,'Tabla Albums'!C:L,10,FALSE)</f>
        <v>2013</v>
      </c>
      <c r="H21" s="508"/>
    </row>
    <row r="22" spans="1:8" ht="16" customHeight="1" x14ac:dyDescent="0.2">
      <c r="A22" s="530">
        <v>21</v>
      </c>
      <c r="B22" s="532" t="s">
        <v>4615</v>
      </c>
      <c r="C22" s="508" t="s">
        <v>4940</v>
      </c>
      <c r="D22" s="508" t="str">
        <f>VLOOKUP(E22,'Tabla Albums'!C:L,9,FALSE)</f>
        <v>art rock, post rock</v>
      </c>
      <c r="E22" s="512" t="s">
        <v>4911</v>
      </c>
      <c r="F22" s="513" t="s">
        <v>4622</v>
      </c>
      <c r="G22" s="509">
        <f>VLOOKUP(E22,'Tabla Albums'!C:L,10,FALSE)</f>
        <v>2024</v>
      </c>
      <c r="H22" s="508"/>
    </row>
    <row r="23" spans="1:8" ht="16" customHeight="1" x14ac:dyDescent="0.2">
      <c r="A23" s="530">
        <v>22</v>
      </c>
      <c r="B23" s="531" t="s">
        <v>356</v>
      </c>
      <c r="C23" s="508" t="s">
        <v>5386</v>
      </c>
      <c r="D23" s="508" t="str">
        <f>VLOOKUP(E23,'Tabla Albums'!C:L,9,FALSE)</f>
        <v>dream pop, shoegaze</v>
      </c>
      <c r="E23" s="510" t="s">
        <v>351</v>
      </c>
      <c r="F23" s="511" t="s">
        <v>357</v>
      </c>
      <c r="G23" s="509">
        <f>VLOOKUP(E23,'Tabla Albums'!C:L,10,FALSE)</f>
        <v>1990</v>
      </c>
      <c r="H23" s="508"/>
    </row>
    <row r="24" spans="1:8" ht="16" customHeight="1" x14ac:dyDescent="0.2">
      <c r="A24" s="530">
        <v>23</v>
      </c>
      <c r="B24" s="531" t="s">
        <v>1027</v>
      </c>
      <c r="C24" s="508" t="s">
        <v>5388</v>
      </c>
      <c r="D24" s="508" t="str">
        <f>VLOOKUP(E24,'Tabla Albums'!C:L,9,FALSE)</f>
        <v>thrash metal</v>
      </c>
      <c r="E24" s="510" t="s">
        <v>1026</v>
      </c>
      <c r="F24" s="511" t="s">
        <v>301</v>
      </c>
      <c r="G24" s="509">
        <f>VLOOKUP(E24,'Tabla Albums'!C:L,10,FALSE)</f>
        <v>1988</v>
      </c>
      <c r="H24" s="508"/>
    </row>
    <row r="25" spans="1:8" ht="16" customHeight="1" x14ac:dyDescent="0.2">
      <c r="A25" s="530">
        <v>24</v>
      </c>
      <c r="B25" s="532" t="s">
        <v>2684</v>
      </c>
      <c r="C25" s="508" t="s">
        <v>5378</v>
      </c>
      <c r="D25" s="508" t="str">
        <f>VLOOKUP(E25,'Tabla Albums'!C:L,9,FALSE)</f>
        <v>idm, downtempo</v>
      </c>
      <c r="E25" s="512" t="s">
        <v>2700</v>
      </c>
      <c r="F25" s="513" t="s">
        <v>2699</v>
      </c>
      <c r="G25" s="509">
        <f>VLOOKUP(E25,'Tabla Albums'!C:L,10,FALSE)</f>
        <v>1998</v>
      </c>
      <c r="H25" s="508"/>
    </row>
    <row r="26" spans="1:8" ht="16" customHeight="1" x14ac:dyDescent="0.2">
      <c r="A26" s="530">
        <v>25</v>
      </c>
      <c r="B26" s="531" t="s">
        <v>5379</v>
      </c>
      <c r="C26" s="508" t="s">
        <v>5380</v>
      </c>
      <c r="D26" s="508" t="str">
        <f>VLOOKUP(E26,'Tabla Albums'!C:L,9,FALSE)</f>
        <v>progressive rock, progressive metal</v>
      </c>
      <c r="E26" s="510" t="s">
        <v>459</v>
      </c>
      <c r="F26" s="511" t="s">
        <v>441</v>
      </c>
      <c r="G26" s="509">
        <f>VLOOKUP(E26,'Tabla Albums'!C:L,10,FALSE)</f>
        <v>2007</v>
      </c>
      <c r="H26" s="508"/>
    </row>
    <row r="27" spans="1:8" ht="16" customHeight="1" x14ac:dyDescent="0.2">
      <c r="A27" s="530">
        <v>26</v>
      </c>
      <c r="B27" s="531" t="s">
        <v>5376</v>
      </c>
      <c r="C27" s="508" t="s">
        <v>5377</v>
      </c>
      <c r="D27" s="508" t="s">
        <v>1007</v>
      </c>
      <c r="E27" s="510" t="s">
        <v>5376</v>
      </c>
      <c r="F27" s="511" t="s">
        <v>307</v>
      </c>
      <c r="G27" s="509">
        <v>1980</v>
      </c>
      <c r="H27" s="508"/>
    </row>
    <row r="28" spans="1:8" ht="16" customHeight="1" x14ac:dyDescent="0.2">
      <c r="A28" s="530">
        <v>27</v>
      </c>
      <c r="B28" s="531" t="s">
        <v>5394</v>
      </c>
      <c r="C28" s="508" t="s">
        <v>5395</v>
      </c>
      <c r="D28" s="508" t="str">
        <f>VLOOKUP(E28,'Tabla Albums'!C:L,9,FALSE)</f>
        <v>thrash metal</v>
      </c>
      <c r="E28" s="510" t="s">
        <v>653</v>
      </c>
      <c r="F28" s="511" t="s">
        <v>301</v>
      </c>
      <c r="G28" s="509">
        <f>VLOOKUP(E28,'Tabla Albums'!C:L,10,FALSE)</f>
        <v>1984</v>
      </c>
      <c r="H28" s="508"/>
    </row>
    <row r="29" spans="1:8" ht="16" customHeight="1" x14ac:dyDescent="0.2">
      <c r="A29" s="530">
        <v>28</v>
      </c>
      <c r="B29" s="532" t="s">
        <v>4072</v>
      </c>
      <c r="C29" s="508" t="s">
        <v>5282</v>
      </c>
      <c r="D29" s="508" t="str">
        <f>VLOOKUP(E29,'Tabla Albums'!C:L,9,FALSE)</f>
        <v>idm</v>
      </c>
      <c r="E29" s="512" t="s">
        <v>4078</v>
      </c>
      <c r="F29" s="513" t="s">
        <v>1368</v>
      </c>
      <c r="G29" s="509">
        <f>VLOOKUP(E29,'Tabla Albums'!C:L,10,FALSE)</f>
        <v>1995</v>
      </c>
      <c r="H29" s="508"/>
    </row>
    <row r="30" spans="1:8" ht="16" customHeight="1" x14ac:dyDescent="0.2">
      <c r="A30" s="530">
        <v>29</v>
      </c>
      <c r="B30" s="532" t="s">
        <v>5372</v>
      </c>
      <c r="C30" s="508" t="s">
        <v>5375</v>
      </c>
      <c r="D30" s="508" t="s">
        <v>5304</v>
      </c>
      <c r="E30" s="512" t="s">
        <v>5373</v>
      </c>
      <c r="F30" s="513" t="s">
        <v>5374</v>
      </c>
      <c r="G30" s="509">
        <v>2018</v>
      </c>
      <c r="H30" s="508"/>
    </row>
    <row r="31" spans="1:8" ht="16" customHeight="1" x14ac:dyDescent="0.2">
      <c r="A31" s="530">
        <v>30</v>
      </c>
      <c r="B31" s="532" t="s">
        <v>2452</v>
      </c>
      <c r="C31" s="508" t="s">
        <v>5413</v>
      </c>
      <c r="D31" s="508" t="str">
        <f>VLOOKUP(E31,'Tabla Albums'!C:L,9,FALSE)</f>
        <v>progressive rock, art rock</v>
      </c>
      <c r="E31" s="512" t="s">
        <v>2455</v>
      </c>
      <c r="F31" s="513" t="s">
        <v>297</v>
      </c>
      <c r="G31" s="509">
        <f>VLOOKUP(E31,'Tabla Albums'!C:L,10,FALSE)</f>
        <v>1981</v>
      </c>
      <c r="H31" s="508"/>
    </row>
    <row r="32" spans="1:8" ht="16" customHeight="1" x14ac:dyDescent="0.2">
      <c r="A32" s="530">
        <v>31</v>
      </c>
      <c r="B32" s="531" t="s">
        <v>2196</v>
      </c>
      <c r="C32" s="508" t="s">
        <v>5371</v>
      </c>
      <c r="D32" s="508" t="str">
        <f>VLOOKUP(E32,'Tabla Albums'!C:L,9,FALSE)</f>
        <v>nu metal, rap metal</v>
      </c>
      <c r="E32" s="510" t="s">
        <v>2206</v>
      </c>
      <c r="F32" s="511" t="s">
        <v>315</v>
      </c>
      <c r="G32" s="509">
        <f>VLOOKUP(E32,'Tabla Albums'!C:L,10,FALSE)</f>
        <v>2003</v>
      </c>
    </row>
    <row r="33" spans="1:8" ht="16" customHeight="1" x14ac:dyDescent="0.2">
      <c r="A33" s="530">
        <v>32</v>
      </c>
      <c r="B33" s="532" t="s">
        <v>5405</v>
      </c>
      <c r="C33" t="s">
        <v>5425</v>
      </c>
      <c r="D33" s="508" t="str">
        <f>VLOOKUP(E33,'Tabla Albums'!C:L,9,FALSE)</f>
        <v>art rock</v>
      </c>
      <c r="E33" s="512" t="s">
        <v>5409</v>
      </c>
      <c r="F33" s="513" t="s">
        <v>4567</v>
      </c>
      <c r="G33" s="509">
        <f>VLOOKUP(E33,'Tabla Albums'!C:L,10,FALSE)</f>
        <v>2011</v>
      </c>
      <c r="H33" s="508"/>
    </row>
    <row r="34" spans="1:8" ht="16" customHeight="1" x14ac:dyDescent="0.2">
      <c r="A34" s="530">
        <v>33</v>
      </c>
      <c r="B34" s="531" t="s">
        <v>4838</v>
      </c>
      <c r="C34" s="508" t="s">
        <v>5368</v>
      </c>
      <c r="D34" s="508" t="str">
        <f>VLOOKUP(E34,'Tabla Albums'!C:L,9,FALSE)</f>
        <v>slowcore</v>
      </c>
      <c r="E34" s="510" t="s">
        <v>4845</v>
      </c>
      <c r="F34" s="511" t="s">
        <v>4844</v>
      </c>
      <c r="G34" s="509">
        <f>VLOOKUP(E34,'Tabla Albums'!C:L,10,FALSE)</f>
        <v>2002</v>
      </c>
      <c r="H34" s="508"/>
    </row>
    <row r="35" spans="1:8" ht="16" customHeight="1" x14ac:dyDescent="0.2">
      <c r="A35" s="530">
        <v>34</v>
      </c>
      <c r="B35" s="532" t="s">
        <v>4914</v>
      </c>
      <c r="C35" s="508" t="s">
        <v>5365</v>
      </c>
      <c r="D35" s="508" t="s">
        <v>5304</v>
      </c>
      <c r="E35" s="512" t="s">
        <v>4915</v>
      </c>
      <c r="F35" s="513" t="s">
        <v>1440</v>
      </c>
      <c r="G35" s="509">
        <v>2025</v>
      </c>
      <c r="H35" s="508"/>
    </row>
    <row r="36" spans="1:8" ht="16" customHeight="1" x14ac:dyDescent="0.2">
      <c r="A36" s="530">
        <v>35</v>
      </c>
      <c r="B36" s="532" t="s">
        <v>862</v>
      </c>
      <c r="C36" s="508" t="s">
        <v>5385</v>
      </c>
      <c r="D36" s="508" t="str">
        <f>VLOOKUP(E36,'Tabla Albums'!C:L,9,FALSE)</f>
        <v>soul, progressive soul</v>
      </c>
      <c r="E36" s="512" t="s">
        <v>857</v>
      </c>
      <c r="F36" s="513" t="s">
        <v>866</v>
      </c>
      <c r="G36" s="509">
        <f>VLOOKUP(E36,'Tabla Albums'!C:L,10,FALSE)</f>
        <v>1979</v>
      </c>
      <c r="H36" s="508"/>
    </row>
    <row r="37" spans="1:8" ht="16" customHeight="1" x14ac:dyDescent="0.2">
      <c r="A37" s="530">
        <v>36</v>
      </c>
      <c r="B37" s="531" t="s">
        <v>551</v>
      </c>
      <c r="C37" s="508" t="s">
        <v>5362</v>
      </c>
      <c r="D37" s="508" t="str">
        <f>VLOOKUP(E37,'Tabla Albums'!C:L,9,FALSE)</f>
        <v>neo psychedelic, indie</v>
      </c>
      <c r="E37" s="510" t="s">
        <v>561</v>
      </c>
      <c r="F37" s="511" t="s">
        <v>560</v>
      </c>
      <c r="G37" s="509">
        <f>VLOOKUP(E37,'Tabla Albums'!C:L,10,FALSE)</f>
        <v>2015</v>
      </c>
      <c r="H37" s="508"/>
    </row>
    <row r="38" spans="1:8" ht="16" customHeight="1" x14ac:dyDescent="0.2">
      <c r="A38" s="530">
        <v>37</v>
      </c>
      <c r="B38" s="532" t="s">
        <v>27</v>
      </c>
      <c r="C38" s="508" t="s">
        <v>5361</v>
      </c>
      <c r="D38" s="508" t="str">
        <f>VLOOKUP(E38,'Tabla Albums'!C:L,9,FALSE)</f>
        <v>dream pop, indie pop</v>
      </c>
      <c r="E38" s="512" t="s">
        <v>1080</v>
      </c>
      <c r="F38" s="513" t="s">
        <v>312</v>
      </c>
      <c r="G38" s="509">
        <f>VLOOKUP(E38,'Tabla Albums'!C:L,10,FALSE)</f>
        <v>2009</v>
      </c>
      <c r="H38" s="508"/>
    </row>
    <row r="39" spans="1:8" ht="16" customHeight="1" x14ac:dyDescent="0.2">
      <c r="A39" s="530">
        <v>38</v>
      </c>
      <c r="B39" s="531" t="s">
        <v>1055</v>
      </c>
      <c r="C39" s="508" t="s">
        <v>5360</v>
      </c>
      <c r="D39" s="508" t="str">
        <f>VLOOKUP(E39,'Tabla Albums'!C:L,9,FALSE)</f>
        <v>ambient, video game music</v>
      </c>
      <c r="E39" s="510" t="s">
        <v>1439</v>
      </c>
      <c r="F39" s="511" t="s">
        <v>1075</v>
      </c>
      <c r="G39" s="509">
        <f>VLOOKUP(E39,'Tabla Albums'!C:L,10,FALSE)</f>
        <v>2011</v>
      </c>
      <c r="H39" s="508"/>
    </row>
    <row r="40" spans="1:8" ht="16" customHeight="1" x14ac:dyDescent="0.2">
      <c r="A40" s="530">
        <v>39</v>
      </c>
      <c r="B40" s="532" t="s">
        <v>4916</v>
      </c>
      <c r="C40" s="508" t="s">
        <v>5359</v>
      </c>
      <c r="D40" t="s">
        <v>4918</v>
      </c>
      <c r="E40" s="512" t="s">
        <v>4917</v>
      </c>
      <c r="F40" s="513" t="s">
        <v>2867</v>
      </c>
      <c r="G40" s="509">
        <v>1975</v>
      </c>
      <c r="H40" s="508"/>
    </row>
    <row r="41" spans="1:8" ht="16" customHeight="1" x14ac:dyDescent="0.2">
      <c r="A41" s="530">
        <v>40</v>
      </c>
      <c r="B41" s="531" t="s">
        <v>649</v>
      </c>
      <c r="C41" s="508" t="s">
        <v>5358</v>
      </c>
      <c r="D41" s="508" t="str">
        <f>VLOOKUP(E41,'Tabla Albums'!C:L,9,FALSE)</f>
        <v>grunge, alternative rock</v>
      </c>
      <c r="E41" s="510" t="s">
        <v>2382</v>
      </c>
      <c r="F41" s="511" t="s">
        <v>2381</v>
      </c>
      <c r="G41" s="509">
        <f>VLOOKUP(E41,'Tabla Albums'!C:L,10,FALSE)</f>
        <v>1991</v>
      </c>
      <c r="H41" s="508"/>
    </row>
    <row r="42" spans="1:8" ht="16" customHeight="1" x14ac:dyDescent="0.2">
      <c r="A42" s="530">
        <v>41</v>
      </c>
      <c r="B42" s="531" t="s">
        <v>4402</v>
      </c>
      <c r="C42" s="508" t="s">
        <v>5306</v>
      </c>
      <c r="D42" s="508" t="str">
        <f>VLOOKUP(E42,'Tabla Albums'!C:L,9,FALSE)</f>
        <v>art pop, progressive pop</v>
      </c>
      <c r="E42" s="510" t="s">
        <v>4400</v>
      </c>
      <c r="F42" s="511" t="s">
        <v>4428</v>
      </c>
      <c r="G42" s="509">
        <f>VLOOKUP(E42,'Tabla Albums'!C:L,10,FALSE)</f>
        <v>1985</v>
      </c>
      <c r="H42" s="508"/>
    </row>
    <row r="43" spans="1:8" ht="16" customHeight="1" x14ac:dyDescent="0.2">
      <c r="A43" s="530">
        <v>42</v>
      </c>
      <c r="B43" s="532" t="s">
        <v>754</v>
      </c>
      <c r="C43" s="508" t="s">
        <v>4947</v>
      </c>
      <c r="D43" s="508" t="str">
        <f>VLOOKUP(E43,'Tabla Albums'!C:L,9,FALSE)</f>
        <v>neo psychedelic, art rock</v>
      </c>
      <c r="E43" s="512" t="s">
        <v>760</v>
      </c>
      <c r="F43" s="513" t="s">
        <v>759</v>
      </c>
      <c r="G43" s="509">
        <f>VLOOKUP(E43,'Tabla Albums'!C:L,10,FALSE)</f>
        <v>2003</v>
      </c>
      <c r="H43" s="508"/>
    </row>
    <row r="44" spans="1:8" ht="16" customHeight="1" x14ac:dyDescent="0.2">
      <c r="A44" s="530">
        <v>43</v>
      </c>
      <c r="B44" s="531" t="s">
        <v>3444</v>
      </c>
      <c r="C44" s="508" t="s">
        <v>5291</v>
      </c>
      <c r="D44" s="508" t="str">
        <f>VLOOKUP(E44,'Tabla Albums'!C:L,9,FALSE)</f>
        <v>progressive rock, symphonic prog</v>
      </c>
      <c r="E44" s="510" t="s">
        <v>3451</v>
      </c>
      <c r="F44" s="511" t="s">
        <v>2586</v>
      </c>
      <c r="G44" s="509">
        <f>VLOOKUP(E44,'Tabla Albums'!C:L,10,FALSE)</f>
        <v>1973</v>
      </c>
      <c r="H44" s="508"/>
    </row>
    <row r="45" spans="1:8" ht="16" customHeight="1" x14ac:dyDescent="0.2">
      <c r="A45" s="530">
        <v>44</v>
      </c>
      <c r="B45" s="531" t="s">
        <v>4005</v>
      </c>
      <c r="C45" s="508" t="s">
        <v>5412</v>
      </c>
      <c r="D45" s="508" t="str">
        <f>VLOOKUP(E45,'Tabla Albums'!C:L,9,FALSE)</f>
        <v>hard rock</v>
      </c>
      <c r="E45" s="510" t="s">
        <v>4012</v>
      </c>
      <c r="F45" s="511" t="s">
        <v>296</v>
      </c>
      <c r="G45" s="509">
        <f>VLOOKUP(E45,'Tabla Albums'!C:L,10,FALSE)</f>
        <v>1973</v>
      </c>
      <c r="H45" s="508"/>
    </row>
    <row r="46" spans="1:8" ht="16" customHeight="1" x14ac:dyDescent="0.2">
      <c r="A46" s="530">
        <v>45</v>
      </c>
      <c r="B46" s="531" t="s">
        <v>5299</v>
      </c>
      <c r="C46" s="508" t="s">
        <v>5300</v>
      </c>
      <c r="D46" s="508" t="str">
        <f>VLOOKUP(E46,'Tabla Albums'!C:L,9,FALSE)</f>
        <v>neo psychedelic, synthpop</v>
      </c>
      <c r="E46" s="510" t="s">
        <v>2054</v>
      </c>
      <c r="F46" s="511" t="s">
        <v>2053</v>
      </c>
      <c r="G46" s="509">
        <f>VLOOKUP(E46,'Tabla Albums'!C:L,10,FALSE)</f>
        <v>2024</v>
      </c>
      <c r="H46" s="508"/>
    </row>
    <row r="47" spans="1:8" ht="16" customHeight="1" x14ac:dyDescent="0.2">
      <c r="A47" s="530">
        <v>46</v>
      </c>
      <c r="B47" s="532" t="s">
        <v>3946</v>
      </c>
      <c r="C47" s="508" t="s">
        <v>5298</v>
      </c>
      <c r="D47" s="508" t="str">
        <f>VLOOKUP(E47,'Tabla Albums'!C:L,9,FALSE)</f>
        <v>blues rock, country rock</v>
      </c>
      <c r="E47" s="512" t="s">
        <v>3950</v>
      </c>
      <c r="F47" s="513" t="s">
        <v>3955</v>
      </c>
      <c r="G47" s="509">
        <f>VLOOKUP(E47,'Tabla Albums'!C:L,10,FALSE)</f>
        <v>1969</v>
      </c>
      <c r="H47" s="508"/>
    </row>
    <row r="48" spans="1:8" ht="16" customHeight="1" x14ac:dyDescent="0.2">
      <c r="A48" s="530">
        <v>47</v>
      </c>
      <c r="B48" s="532" t="s">
        <v>4929</v>
      </c>
      <c r="C48" s="508" t="s">
        <v>4930</v>
      </c>
      <c r="D48" s="508" t="str">
        <f>VLOOKUP(E48,'Tabla Albums'!C:L,9,FALSE)</f>
        <v>post rock, art rock</v>
      </c>
      <c r="E48" s="512" t="s">
        <v>3403</v>
      </c>
      <c r="F48" s="513" t="s">
        <v>3402</v>
      </c>
      <c r="G48" s="509">
        <f>VLOOKUP(E48,'Tabla Albums'!C:L,10,FALSE)</f>
        <v>1988</v>
      </c>
      <c r="H48" s="508"/>
    </row>
    <row r="49" spans="1:8" ht="16" customHeight="1" x14ac:dyDescent="0.2">
      <c r="A49" s="530">
        <v>48</v>
      </c>
      <c r="B49" s="531" t="s">
        <v>2525</v>
      </c>
      <c r="C49" s="508" t="s">
        <v>5297</v>
      </c>
      <c r="D49" s="508" t="str">
        <f>VLOOKUP(E49,'Tabla Albums'!C:L,9,FALSE)</f>
        <v>progressive rock</v>
      </c>
      <c r="E49" s="510" t="s">
        <v>2528</v>
      </c>
      <c r="F49" s="511" t="s">
        <v>2527</v>
      </c>
      <c r="G49" s="509">
        <f>VLOOKUP(E49,'Tabla Albums'!C:L,10,FALSE)</f>
        <v>2016</v>
      </c>
      <c r="H49" s="508"/>
    </row>
    <row r="50" spans="1:8" ht="16" customHeight="1" x14ac:dyDescent="0.2">
      <c r="A50" s="530">
        <v>49</v>
      </c>
      <c r="B50" s="532" t="s">
        <v>2537</v>
      </c>
      <c r="C50" s="508" t="s">
        <v>5296</v>
      </c>
      <c r="D50" s="508" t="str">
        <f>VLOOKUP(E50,'Tabla Albums'!C:L,9,FALSE)</f>
        <v>contemporary r&amp;b, dance pop</v>
      </c>
      <c r="E50" s="512" t="s">
        <v>2533</v>
      </c>
      <c r="F50" s="513" t="s">
        <v>2540</v>
      </c>
      <c r="G50" s="509">
        <f>VLOOKUP(E50,'Tabla Albums'!C:L,10,FALSE)</f>
        <v>1982</v>
      </c>
      <c r="H50" s="508"/>
    </row>
    <row r="51" spans="1:8" ht="16" customHeight="1" x14ac:dyDescent="0.2">
      <c r="A51" s="530">
        <v>50</v>
      </c>
      <c r="B51" s="531" t="s">
        <v>2154</v>
      </c>
      <c r="C51" s="508" t="s">
        <v>5295</v>
      </c>
      <c r="D51" s="508" t="s">
        <v>1124</v>
      </c>
      <c r="E51" s="510" t="s">
        <v>2166</v>
      </c>
      <c r="F51" s="511" t="s">
        <v>2165</v>
      </c>
      <c r="G51" s="509">
        <f>VLOOKUP(E51,'Tabla Albums'!C:L,10,FALSE)</f>
        <v>1969</v>
      </c>
      <c r="H51" s="508"/>
    </row>
    <row r="52" spans="1:8" ht="16" customHeight="1" x14ac:dyDescent="0.2">
      <c r="A52" s="530">
        <v>51</v>
      </c>
      <c r="B52" s="532" t="s">
        <v>538</v>
      </c>
      <c r="C52" s="508" t="s">
        <v>5290</v>
      </c>
      <c r="D52" s="508" t="str">
        <f>VLOOKUP(E52,'Tabla Albums'!C:L,9,FALSE)</f>
        <v>new wave, post punk</v>
      </c>
      <c r="E52" s="512" t="s">
        <v>546</v>
      </c>
      <c r="F52" s="513" t="s">
        <v>545</v>
      </c>
      <c r="G52" s="509">
        <f>VLOOKUP(E52,'Tabla Albums'!C:L,10,FALSE)</f>
        <v>1983</v>
      </c>
      <c r="H52" s="508"/>
    </row>
    <row r="53" spans="1:8" ht="16" customHeight="1" x14ac:dyDescent="0.2">
      <c r="A53" s="530">
        <v>52</v>
      </c>
      <c r="B53" s="531" t="s">
        <v>3287</v>
      </c>
      <c r="C53" s="508" t="s">
        <v>5289</v>
      </c>
      <c r="D53" s="508" t="str">
        <f>VLOOKUP(E53,'Tabla Albums'!C:L,9,FALSE)</f>
        <v>djent, groove metal</v>
      </c>
      <c r="E53" s="510" t="s">
        <v>3306</v>
      </c>
      <c r="F53" s="511" t="s">
        <v>1174</v>
      </c>
      <c r="G53" s="509">
        <f>VLOOKUP(E53,'Tabla Albums'!C:L,10,FALSE)</f>
        <v>2002</v>
      </c>
      <c r="H53" s="508"/>
    </row>
    <row r="54" spans="1:8" ht="16" customHeight="1" x14ac:dyDescent="0.2">
      <c r="A54" s="530">
        <v>53</v>
      </c>
      <c r="B54" s="532" t="s">
        <v>2238</v>
      </c>
      <c r="C54" s="508" t="s">
        <v>4901</v>
      </c>
      <c r="D54" s="508" t="str">
        <f>VLOOKUP(E54,'Tabla Albums'!C:L,9,FALSE)</f>
        <v>alternative rock, singer songwriter</v>
      </c>
      <c r="E54" s="512" t="s">
        <v>2229</v>
      </c>
      <c r="F54" s="513" t="s">
        <v>2239</v>
      </c>
      <c r="G54" s="509">
        <f>VLOOKUP(E54,'Tabla Albums'!C:L,10,FALSE)</f>
        <v>1994</v>
      </c>
      <c r="H54" s="508"/>
    </row>
    <row r="55" spans="1:8" ht="16" customHeight="1" x14ac:dyDescent="0.2">
      <c r="A55" s="530">
        <v>54</v>
      </c>
      <c r="B55" s="532" t="s">
        <v>4032</v>
      </c>
      <c r="C55" s="508" t="s">
        <v>5288</v>
      </c>
      <c r="D55" s="508" t="str">
        <f>VLOOKUP(E55,'Tabla Albums'!C:L,9,FALSE)</f>
        <v>alternative rock, indie rock</v>
      </c>
      <c r="E55" s="512" t="s">
        <v>4037</v>
      </c>
      <c r="F55" s="513" t="s">
        <v>4036</v>
      </c>
      <c r="G55" s="509">
        <f>VLOOKUP(E55,'Tabla Albums'!C:L,10,FALSE)</f>
        <v>1989</v>
      </c>
      <c r="H55" s="508"/>
    </row>
    <row r="56" spans="1:8" ht="16" customHeight="1" x14ac:dyDescent="0.2">
      <c r="A56" s="530">
        <v>55</v>
      </c>
      <c r="B56" s="531" t="s">
        <v>3607</v>
      </c>
      <c r="C56" s="508" t="s">
        <v>5287</v>
      </c>
      <c r="D56" s="508" t="str">
        <f>VLOOKUP(E56,'Tabla Albums'!C:L,9,FALSE)</f>
        <v>jazz rock, jazz fusion</v>
      </c>
      <c r="E56" s="510" t="s">
        <v>3638</v>
      </c>
      <c r="F56" s="511" t="s">
        <v>3637</v>
      </c>
      <c r="G56" s="509">
        <f>VLOOKUP(E56,'Tabla Albums'!C:L,10,FALSE)</f>
        <v>1969</v>
      </c>
      <c r="H56" s="508"/>
    </row>
    <row r="57" spans="1:8" ht="16" customHeight="1" x14ac:dyDescent="0.2">
      <c r="A57" s="530">
        <v>56</v>
      </c>
      <c r="B57" s="531" t="s">
        <v>785</v>
      </c>
      <c r="C57" s="508" t="s">
        <v>5285</v>
      </c>
      <c r="D57" s="508" t="str">
        <f>VLOOKUP(E57,'Tabla Albums'!C:L,9,FALSE)</f>
        <v>jazz rap, instrumental hip hop</v>
      </c>
      <c r="E57" s="510" t="s">
        <v>790</v>
      </c>
      <c r="F57" s="511" t="s">
        <v>795</v>
      </c>
      <c r="G57" s="509">
        <f>VLOOKUP(E57,'Tabla Albums'!C:L,10,FALSE)</f>
        <v>2005</v>
      </c>
      <c r="H57" s="508"/>
    </row>
    <row r="58" spans="1:8" ht="16" customHeight="1" x14ac:dyDescent="0.2">
      <c r="A58" s="530">
        <v>57</v>
      </c>
      <c r="B58" s="532" t="s">
        <v>2394</v>
      </c>
      <c r="C58" s="508" t="s">
        <v>5284</v>
      </c>
      <c r="D58" s="508" t="str">
        <f>VLOOKUP(E58,'Tabla Albums'!C:L,9,FALSE)</f>
        <v>idm</v>
      </c>
      <c r="E58" s="512" t="s">
        <v>2417</v>
      </c>
      <c r="F58" s="513" t="s">
        <v>1368</v>
      </c>
      <c r="G58" s="509">
        <f>VLOOKUP(E58,'Tabla Albums'!C:L,10,FALSE)</f>
        <v>1995</v>
      </c>
      <c r="H58" s="508"/>
    </row>
    <row r="59" spans="1:8" ht="16" customHeight="1" x14ac:dyDescent="0.2">
      <c r="A59" s="530">
        <v>58</v>
      </c>
      <c r="B59" s="531" t="s">
        <v>2062</v>
      </c>
      <c r="C59" s="508" t="s">
        <v>5283</v>
      </c>
      <c r="D59" s="508" t="str">
        <f>VLOOKUP(E59,'Tabla Albums'!C:L,9,FALSE)</f>
        <v>shoegaze, alternative rock</v>
      </c>
      <c r="E59" s="510" t="s">
        <v>2070</v>
      </c>
      <c r="F59" s="511" t="s">
        <v>2069</v>
      </c>
      <c r="G59" s="509">
        <f>VLOOKUP(E59,'Tabla Albums'!C:L,10,FALSE)</f>
        <v>1992</v>
      </c>
      <c r="H59" s="508"/>
    </row>
    <row r="60" spans="1:8" ht="16" customHeight="1" x14ac:dyDescent="0.2">
      <c r="A60" s="530">
        <v>59</v>
      </c>
      <c r="B60" s="531" t="s">
        <v>4922</v>
      </c>
      <c r="C60" s="508" t="s">
        <v>5281</v>
      </c>
      <c r="D60" s="508" t="s">
        <v>4923</v>
      </c>
      <c r="E60" s="508" t="s">
        <v>4922</v>
      </c>
      <c r="F60" s="511" t="s">
        <v>1477</v>
      </c>
      <c r="G60" s="509">
        <v>1984</v>
      </c>
      <c r="H60" s="508"/>
    </row>
    <row r="61" spans="1:8" ht="16" customHeight="1" x14ac:dyDescent="0.2">
      <c r="A61" s="530">
        <v>60</v>
      </c>
      <c r="B61" s="532" t="s">
        <v>4474</v>
      </c>
      <c r="C61" s="508" t="s">
        <v>5280</v>
      </c>
      <c r="D61" s="508" t="str">
        <f>VLOOKUP(E61,'Tabla Albums'!C:L,9,FALSE)</f>
        <v>neo psychedelic, art rock</v>
      </c>
      <c r="E61" s="512" t="s">
        <v>4471</v>
      </c>
      <c r="F61" s="513" t="s">
        <v>759</v>
      </c>
      <c r="G61" s="509">
        <f>VLOOKUP(E61,'Tabla Albums'!C:L,10,FALSE)</f>
        <v>1997</v>
      </c>
      <c r="H61" s="508"/>
    </row>
    <row r="62" spans="1:8" ht="16" customHeight="1" x14ac:dyDescent="0.2">
      <c r="A62" s="530">
        <v>61</v>
      </c>
      <c r="B62" s="531" t="s">
        <v>4416</v>
      </c>
      <c r="C62" s="508" t="s">
        <v>5279</v>
      </c>
      <c r="D62" s="508" t="str">
        <f>VLOOKUP(E62,'Tabla Albums'!C:L,9,FALSE)</f>
        <v>progressive rock, post hardcore</v>
      </c>
      <c r="E62" s="510" t="s">
        <v>4422</v>
      </c>
      <c r="F62" s="511" t="s">
        <v>4421</v>
      </c>
      <c r="G62" s="509">
        <f>VLOOKUP(E62,'Tabla Albums'!C:L,10,FALSE)</f>
        <v>2003</v>
      </c>
      <c r="H62" s="508"/>
    </row>
    <row r="63" spans="1:8" ht="16" customHeight="1" x14ac:dyDescent="0.2">
      <c r="A63" s="530">
        <v>62</v>
      </c>
      <c r="B63" s="532" t="s">
        <v>4537</v>
      </c>
      <c r="C63" s="508" t="s">
        <v>5278</v>
      </c>
      <c r="D63" s="508" t="str">
        <f>VLOOKUP(E63,'Tabla Albums'!C:L,9,FALSE)</f>
        <v>grunge, acoustic rock</v>
      </c>
      <c r="E63" s="512" t="s">
        <v>4566</v>
      </c>
      <c r="F63" s="513" t="s">
        <v>313</v>
      </c>
      <c r="G63" s="509">
        <f>VLOOKUP(E63,'Tabla Albums'!C:L,10,FALSE)</f>
        <v>1996</v>
      </c>
      <c r="H63" s="508"/>
    </row>
    <row r="64" spans="1:8" ht="16" customHeight="1" x14ac:dyDescent="0.2">
      <c r="A64" s="530">
        <v>63</v>
      </c>
      <c r="B64" s="531" t="s">
        <v>4704</v>
      </c>
      <c r="C64" s="508" t="s">
        <v>4938</v>
      </c>
      <c r="D64" s="508" t="str">
        <f>VLOOKUP(E64,'Tabla Albums'!C:L,9,FALSE)</f>
        <v>progressive rock</v>
      </c>
      <c r="E64" s="510" t="s">
        <v>4710</v>
      </c>
      <c r="F64" s="511" t="s">
        <v>4709</v>
      </c>
      <c r="G64" s="509">
        <f>VLOOKUP(E64,'Tabla Albums'!C:L,10,FALSE)</f>
        <v>2021</v>
      </c>
      <c r="H64" s="508"/>
    </row>
    <row r="65" spans="1:8" ht="16" customHeight="1" x14ac:dyDescent="0.2">
      <c r="A65" s="530">
        <v>64</v>
      </c>
      <c r="B65" s="531" t="s">
        <v>5276</v>
      </c>
      <c r="C65" s="508" t="s">
        <v>5277</v>
      </c>
      <c r="D65" s="508" t="str">
        <f>VLOOKUP(E65,'Tabla Albums'!C:L,9,FALSE)</f>
        <v>new wave, post punk</v>
      </c>
      <c r="E65" s="510" t="s">
        <v>368</v>
      </c>
      <c r="F65" s="511" t="s">
        <v>370</v>
      </c>
      <c r="G65" s="509">
        <f>VLOOKUP(E65,'Tabla Albums'!C:L,10,FALSE)</f>
        <v>1989</v>
      </c>
      <c r="H65" s="508"/>
    </row>
    <row r="66" spans="1:8" ht="16" customHeight="1" x14ac:dyDescent="0.2">
      <c r="A66" s="530">
        <v>65</v>
      </c>
      <c r="B66" s="532" t="s">
        <v>4592</v>
      </c>
      <c r="C66" s="508" t="s">
        <v>4907</v>
      </c>
      <c r="D66" s="508" t="str">
        <f>VLOOKUP(E66,'Tabla Albums'!C:L,9,FALSE)</f>
        <v>alternative metal, metalcore</v>
      </c>
      <c r="E66" s="512" t="s">
        <v>4606</v>
      </c>
      <c r="F66" s="513" t="s">
        <v>4605</v>
      </c>
      <c r="G66" s="509">
        <f>VLOOKUP(E66,'Tabla Albums'!C:L,10,FALSE)</f>
        <v>2020</v>
      </c>
      <c r="H66" s="508"/>
    </row>
    <row r="67" spans="1:8" ht="16" customHeight="1" x14ac:dyDescent="0.2">
      <c r="A67" s="530">
        <v>66</v>
      </c>
      <c r="B67" s="532" t="s">
        <v>3901</v>
      </c>
      <c r="C67" s="508" t="s">
        <v>5275</v>
      </c>
      <c r="D67" s="508" t="str">
        <f>VLOOKUP(E67,'Tabla Albums'!C:L,9,FALSE)</f>
        <v>downtempo, folktronica</v>
      </c>
      <c r="E67" s="512" t="s">
        <v>3911</v>
      </c>
      <c r="F67" s="513" t="s">
        <v>2699</v>
      </c>
      <c r="G67" s="509">
        <f>VLOOKUP(E67,'Tabla Albums'!C:L,10,FALSE)</f>
        <v>2005</v>
      </c>
      <c r="H67" s="508"/>
    </row>
    <row r="68" spans="1:8" ht="16" customHeight="1" x14ac:dyDescent="0.2">
      <c r="A68" s="530">
        <v>67</v>
      </c>
      <c r="B68" s="531" t="s">
        <v>1478</v>
      </c>
      <c r="C68" s="508" t="s">
        <v>5274</v>
      </c>
      <c r="D68" s="508" t="s">
        <v>2265</v>
      </c>
      <c r="E68" s="510" t="s">
        <v>5273</v>
      </c>
      <c r="F68" s="511" t="s">
        <v>4913</v>
      </c>
      <c r="G68" s="509">
        <v>1978</v>
      </c>
      <c r="H68" s="508"/>
    </row>
    <row r="69" spans="1:8" ht="16" customHeight="1" x14ac:dyDescent="0.2">
      <c r="A69" s="530">
        <v>68</v>
      </c>
      <c r="B69" s="532" t="s">
        <v>5301</v>
      </c>
      <c r="C69" s="508" t="s">
        <v>5305</v>
      </c>
      <c r="D69" s="508" t="s">
        <v>5304</v>
      </c>
      <c r="E69" s="512" t="s">
        <v>5303</v>
      </c>
      <c r="F69" s="513" t="s">
        <v>5302</v>
      </c>
      <c r="G69" s="509">
        <v>2008</v>
      </c>
      <c r="H69" s="508"/>
    </row>
    <row r="70" spans="1:8" ht="16" customHeight="1" x14ac:dyDescent="0.2">
      <c r="A70" s="530">
        <v>69</v>
      </c>
      <c r="B70" s="532" t="s">
        <v>4746</v>
      </c>
      <c r="C70" s="508" t="s">
        <v>5272</v>
      </c>
      <c r="D70" s="508" t="str">
        <f>VLOOKUP(E70,'Tabla Albums'!C:L,9,FALSE)</f>
        <v>blues rock, psychedelic rock</v>
      </c>
      <c r="E70" s="512" t="s">
        <v>4741</v>
      </c>
      <c r="F70" s="513" t="s">
        <v>4760</v>
      </c>
      <c r="G70" s="509">
        <f>VLOOKUP(E70,'Tabla Albums'!C:L,10,FALSE)</f>
        <v>1971</v>
      </c>
      <c r="H70" s="508"/>
    </row>
    <row r="71" spans="1:8" ht="16" customHeight="1" x14ac:dyDescent="0.2">
      <c r="A71" s="530">
        <v>70</v>
      </c>
      <c r="B71" s="531" t="s">
        <v>3169</v>
      </c>
      <c r="C71" s="508" t="s">
        <v>5271</v>
      </c>
      <c r="D71" s="508" t="str">
        <f>VLOOKUP(E71,'Tabla Albums'!C:L,9,FALSE)</f>
        <v>progressive metal, death metal</v>
      </c>
      <c r="E71" s="510" t="s">
        <v>3173</v>
      </c>
      <c r="F71" s="511" t="s">
        <v>1410</v>
      </c>
      <c r="G71" s="509">
        <f>VLOOKUP(E71,'Tabla Albums'!C:L,10,FALSE)</f>
        <v>2008</v>
      </c>
      <c r="H71" s="508"/>
    </row>
    <row r="72" spans="1:8" ht="16" customHeight="1" x14ac:dyDescent="0.2">
      <c r="A72" s="530">
        <v>71</v>
      </c>
      <c r="B72" s="531" t="s">
        <v>706</v>
      </c>
      <c r="C72" s="508" t="s">
        <v>5391</v>
      </c>
      <c r="D72" s="508" t="str">
        <f>VLOOKUP(E72,'Tabla Albums'!C:L,9,FALSE)</f>
        <v>death metal, progressive metal</v>
      </c>
      <c r="E72" s="510" t="s">
        <v>729</v>
      </c>
      <c r="F72" s="511" t="s">
        <v>728</v>
      </c>
      <c r="G72" s="509">
        <f>VLOOKUP(E72,'Tabla Albums'!C:L,10,FALSE)</f>
        <v>2024</v>
      </c>
      <c r="H72" s="508"/>
    </row>
    <row r="73" spans="1:8" ht="16" customHeight="1" x14ac:dyDescent="0.2">
      <c r="A73" s="530">
        <v>72</v>
      </c>
      <c r="B73" s="532" t="s">
        <v>1592</v>
      </c>
      <c r="C73" s="508" t="s">
        <v>5270</v>
      </c>
      <c r="D73" s="508" t="str">
        <f>VLOOKUP(E73,'Tabla Albums'!C:L,9,FALSE)</f>
        <v>alternative rock, art rock</v>
      </c>
      <c r="E73" s="512" t="s">
        <v>1586</v>
      </c>
      <c r="F73" s="513" t="s">
        <v>1048</v>
      </c>
      <c r="G73" s="509">
        <f>VLOOKUP(E73,'Tabla Albums'!C:L,10,FALSE)</f>
        <v>1995</v>
      </c>
      <c r="H73" s="508"/>
    </row>
    <row r="74" spans="1:8" ht="16" customHeight="1" x14ac:dyDescent="0.2">
      <c r="A74" s="530">
        <v>73</v>
      </c>
      <c r="B74" s="531" t="s">
        <v>4128</v>
      </c>
      <c r="C74" s="508" t="s">
        <v>4952</v>
      </c>
      <c r="D74" s="508" t="str">
        <f>VLOOKUP(E74,'Tabla Albums'!C:L,9,FALSE)</f>
        <v>britpop</v>
      </c>
      <c r="E74" s="510" t="s">
        <v>4137</v>
      </c>
      <c r="F74" s="511" t="s">
        <v>888</v>
      </c>
      <c r="G74" s="509">
        <f>VLOOKUP(E74,'Tabla Albums'!C:L,10,FALSE)</f>
        <v>1994</v>
      </c>
      <c r="H74" s="508"/>
    </row>
    <row r="75" spans="1:8" ht="16" customHeight="1" x14ac:dyDescent="0.2">
      <c r="A75" s="530">
        <v>74</v>
      </c>
      <c r="B75" s="532" t="s">
        <v>2816</v>
      </c>
      <c r="C75" s="508" t="s">
        <v>4951</v>
      </c>
      <c r="D75" s="508" t="str">
        <f>VLOOKUP(E75,'Tabla Albums'!C:L,9,FALSE)</f>
        <v>alternative rock, alternative metal</v>
      </c>
      <c r="E75" s="512" t="s">
        <v>2827</v>
      </c>
      <c r="F75" s="513" t="s">
        <v>2826</v>
      </c>
      <c r="G75" s="509">
        <f>VLOOKUP(E75,'Tabla Albums'!C:L,10,FALSE)</f>
        <v>2003</v>
      </c>
      <c r="H75" s="508"/>
    </row>
    <row r="76" spans="1:8" ht="16" customHeight="1" x14ac:dyDescent="0.2">
      <c r="A76" s="530">
        <v>75</v>
      </c>
      <c r="B76" s="532" t="s">
        <v>4696</v>
      </c>
      <c r="C76" s="508" t="s">
        <v>5286</v>
      </c>
      <c r="D76" s="508" t="str">
        <f>VLOOKUP(E76,'Tabla Albums'!C:L,9,FALSE)</f>
        <v>alternative metal</v>
      </c>
      <c r="E76" s="512" t="s">
        <v>4688</v>
      </c>
      <c r="F76" s="513" t="s">
        <v>2844</v>
      </c>
      <c r="G76" s="509">
        <f>VLOOKUP(E76,'Tabla Albums'!C:L,10,FALSE)</f>
        <v>2010</v>
      </c>
      <c r="H76" s="508"/>
    </row>
    <row r="77" spans="1:8" ht="16" customHeight="1" x14ac:dyDescent="0.2">
      <c r="A77" s="530">
        <v>76</v>
      </c>
      <c r="B77" s="531" t="s">
        <v>2219</v>
      </c>
      <c r="C77" s="508" t="s">
        <v>4950</v>
      </c>
      <c r="D77" s="508" t="str">
        <f>VLOOKUP(E77,'Tabla Albums'!C:L,9,FALSE)</f>
        <v>synthpop</v>
      </c>
      <c r="E77" s="510" t="s">
        <v>2223</v>
      </c>
      <c r="F77" s="511" t="s">
        <v>2222</v>
      </c>
      <c r="G77" s="509">
        <f>VLOOKUP(E77,'Tabla Albums'!C:L,10,FALSE)</f>
        <v>1990</v>
      </c>
      <c r="H77" s="508"/>
    </row>
    <row r="78" spans="1:8" ht="16" customHeight="1" x14ac:dyDescent="0.2">
      <c r="A78" s="530">
        <v>77</v>
      </c>
      <c r="B78" s="532" t="s">
        <v>1936</v>
      </c>
      <c r="C78" s="508" t="s">
        <v>4949</v>
      </c>
      <c r="D78" s="508" t="str">
        <f>VLOOKUP(E78,'Tabla Albums'!C:L,9,FALSE)</f>
        <v>folk rock, hard rock</v>
      </c>
      <c r="E78" s="512" t="s">
        <v>1940</v>
      </c>
      <c r="F78" s="513" t="s">
        <v>296</v>
      </c>
      <c r="G78" s="509">
        <f>VLOOKUP(E78,'Tabla Albums'!C:L,10,FALSE)</f>
        <v>1970</v>
      </c>
      <c r="H78" s="508"/>
    </row>
    <row r="79" spans="1:8" ht="16" customHeight="1" x14ac:dyDescent="0.2">
      <c r="A79" s="530">
        <v>78</v>
      </c>
      <c r="B79" s="531" t="s">
        <v>1512</v>
      </c>
      <c r="C79" s="508" t="s">
        <v>4948</v>
      </c>
      <c r="D79" s="508" t="str">
        <f>VLOOKUP(E79,'Tabla Albums'!C:L,9,FALSE)</f>
        <v>dream pop, shoegaze</v>
      </c>
      <c r="E79" s="510" t="s">
        <v>1518</v>
      </c>
      <c r="F79" s="511" t="s">
        <v>1517</v>
      </c>
      <c r="G79" s="509">
        <f>VLOOKUP(E79,'Tabla Albums'!C:L,10,FALSE)</f>
        <v>1993</v>
      </c>
      <c r="H79" s="508"/>
    </row>
    <row r="80" spans="1:8" ht="16" customHeight="1" x14ac:dyDescent="0.2">
      <c r="A80" s="530">
        <v>79</v>
      </c>
      <c r="B80" s="531" t="s">
        <v>2575</v>
      </c>
      <c r="C80" s="508" t="s">
        <v>4946</v>
      </c>
      <c r="D80" s="508" t="s">
        <v>3928</v>
      </c>
      <c r="E80" s="510" t="s">
        <v>2582</v>
      </c>
      <c r="F80" s="511" t="s">
        <v>1625</v>
      </c>
      <c r="G80" s="509">
        <f>VLOOKUP(E80,'Tabla Albums'!C:L,10,FALSE)</f>
        <v>2008</v>
      </c>
      <c r="H80" s="508"/>
    </row>
    <row r="81" spans="1:8" ht="16" customHeight="1" x14ac:dyDescent="0.2">
      <c r="A81" s="530">
        <v>80</v>
      </c>
      <c r="B81" s="531" t="s">
        <v>3917</v>
      </c>
      <c r="C81" s="508" t="s">
        <v>4941</v>
      </c>
      <c r="D81" s="508" t="str">
        <f>VLOOKUP(E81,'Tabla Albums'!C:L,9,FALSE)</f>
        <v>djent, technical thrash metal</v>
      </c>
      <c r="E81" s="510" t="s">
        <v>3925</v>
      </c>
      <c r="F81" s="511" t="s">
        <v>1174</v>
      </c>
      <c r="G81" s="509">
        <f>VLOOKUP(E81,'Tabla Albums'!C:L,10,FALSE)</f>
        <v>1998</v>
      </c>
      <c r="H81" s="508"/>
    </row>
    <row r="82" spans="1:8" ht="16" customHeight="1" x14ac:dyDescent="0.2">
      <c r="A82" s="530">
        <v>81</v>
      </c>
      <c r="B82" s="532" t="s">
        <v>3960</v>
      </c>
      <c r="C82" s="508" t="s">
        <v>4939</v>
      </c>
      <c r="D82" s="508" t="str">
        <f>VLOOKUP(E82,'Tabla Albums'!C:L,9,FALSE)</f>
        <v>progressive rock, alternative metal</v>
      </c>
      <c r="E82" s="512" t="s">
        <v>3971</v>
      </c>
      <c r="F82" s="513" t="s">
        <v>1300</v>
      </c>
      <c r="G82" s="509">
        <f>VLOOKUP(E82,'Tabla Albums'!C:L,10,FALSE)</f>
        <v>2009</v>
      </c>
      <c r="H82" s="508"/>
    </row>
    <row r="83" spans="1:8" ht="16" customHeight="1" x14ac:dyDescent="0.2">
      <c r="A83" s="530">
        <v>82</v>
      </c>
      <c r="B83" s="532" t="s">
        <v>4936</v>
      </c>
      <c r="C83" s="508" t="s">
        <v>4937</v>
      </c>
      <c r="D83" s="508" t="str">
        <f>VLOOKUP(E83,'Tabla Albums'!C:L,9,FALSE)</f>
        <v>progressive pop, pop rock</v>
      </c>
      <c r="E83" s="512" t="s">
        <v>1484</v>
      </c>
      <c r="F83" s="513" t="s">
        <v>1491</v>
      </c>
      <c r="G83" s="509">
        <f>VLOOKUP(E83,'Tabla Albums'!C:L,10,FALSE)</f>
        <v>1979</v>
      </c>
      <c r="H83" s="508"/>
    </row>
    <row r="84" spans="1:8" ht="16" customHeight="1" x14ac:dyDescent="0.2">
      <c r="A84" s="530">
        <v>83</v>
      </c>
      <c r="B84" s="532" t="s">
        <v>5337</v>
      </c>
      <c r="C84" s="508" t="s">
        <v>5357</v>
      </c>
      <c r="D84" s="508" t="str">
        <f>VLOOKUP(E84,'Tabla Albums'!C:L,9,FALSE)</f>
        <v>indietronica</v>
      </c>
      <c r="E84" s="512" t="s">
        <v>5348</v>
      </c>
      <c r="F84" s="513" t="s">
        <v>5347</v>
      </c>
      <c r="G84" s="509">
        <f>VLOOKUP(E84,'Tabla Albums'!C:L,10,FALSE)</f>
        <v>2010</v>
      </c>
      <c r="H84" s="508"/>
    </row>
    <row r="85" spans="1:8" ht="16" customHeight="1" x14ac:dyDescent="0.2">
      <c r="A85" s="530">
        <v>84</v>
      </c>
      <c r="B85" s="531" t="s">
        <v>2171</v>
      </c>
      <c r="C85" s="508" t="s">
        <v>4935</v>
      </c>
      <c r="D85" s="508" t="str">
        <f>VLOOKUP(E85,'Tabla Albums'!C:L,9,FALSE)</f>
        <v>post rock, post metal</v>
      </c>
      <c r="E85" s="510" t="s">
        <v>2178</v>
      </c>
      <c r="F85" s="511" t="s">
        <v>2179</v>
      </c>
      <c r="G85" s="509">
        <f>VLOOKUP(E85,'Tabla Albums'!C:L,10,FALSE)</f>
        <v>2015</v>
      </c>
      <c r="H85" s="508"/>
    </row>
    <row r="86" spans="1:8" ht="16" customHeight="1" x14ac:dyDescent="0.2">
      <c r="A86" s="530">
        <v>85</v>
      </c>
      <c r="B86" s="532" t="s">
        <v>1215</v>
      </c>
      <c r="C86" s="508" t="s">
        <v>4934</v>
      </c>
      <c r="D86" s="508" t="str">
        <f>VLOOKUP(E86,'Tabla Albums'!C:L,9,FALSE)</f>
        <v>art rock, indie rock</v>
      </c>
      <c r="E86" s="512" t="s">
        <v>1217</v>
      </c>
      <c r="F86" s="513" t="s">
        <v>1226</v>
      </c>
      <c r="G86" s="509">
        <f>VLOOKUP(E86,'Tabla Albums'!C:L,10,FALSE)</f>
        <v>2025</v>
      </c>
      <c r="H86" s="508"/>
    </row>
    <row r="87" spans="1:8" ht="16" customHeight="1" x14ac:dyDescent="0.2">
      <c r="A87" s="530">
        <v>86</v>
      </c>
      <c r="B87" s="531" t="s">
        <v>1711</v>
      </c>
      <c r="C87" s="508" t="s">
        <v>4933</v>
      </c>
      <c r="D87" s="508" t="str">
        <f>VLOOKUP(E87,'Tabla Albums'!C:L,9,FALSE)</f>
        <v>idm, glitch pop</v>
      </c>
      <c r="E87" s="510" t="s">
        <v>1715</v>
      </c>
      <c r="F87" s="511" t="s">
        <v>312</v>
      </c>
      <c r="G87" s="509">
        <f>VLOOKUP(E87,'Tabla Albums'!C:L,10,FALSE)</f>
        <v>2003</v>
      </c>
      <c r="H87" s="508"/>
    </row>
    <row r="88" spans="1:8" ht="16" customHeight="1" x14ac:dyDescent="0.2">
      <c r="A88" s="530">
        <v>87</v>
      </c>
      <c r="B88" s="532" t="s">
        <v>3596</v>
      </c>
      <c r="C88" s="508" t="s">
        <v>4932</v>
      </c>
      <c r="D88" s="508" t="str">
        <f>VLOOKUP(E88,'Tabla Albums'!C:L,9,FALSE)</f>
        <v>singer songwriter, alternative rock</v>
      </c>
      <c r="E88" s="512" t="s">
        <v>3603</v>
      </c>
      <c r="F88" s="513" t="s">
        <v>3602</v>
      </c>
      <c r="G88" s="509">
        <f>VLOOKUP(E88,'Tabla Albums'!C:L,10,FALSE)</f>
        <v>1999</v>
      </c>
      <c r="H88" s="508"/>
    </row>
    <row r="89" spans="1:8" ht="16" customHeight="1" x14ac:dyDescent="0.2">
      <c r="A89" s="530">
        <v>88</v>
      </c>
      <c r="B89" s="531" t="s">
        <v>2548</v>
      </c>
      <c r="C89" s="508" t="s">
        <v>4931</v>
      </c>
      <c r="D89" s="508" t="str">
        <f>VLOOKUP(E89,'Tabla Albums'!C:L,9,FALSE)</f>
        <v>art rock, ambient</v>
      </c>
      <c r="E89" s="510" t="s">
        <v>168</v>
      </c>
      <c r="F89" s="511" t="s">
        <v>2556</v>
      </c>
      <c r="G89" s="509">
        <f>VLOOKUP(E89,'Tabla Albums'!C:L,10,FALSE)</f>
        <v>1977</v>
      </c>
      <c r="H89" s="508"/>
    </row>
    <row r="90" spans="1:8" ht="16" customHeight="1" x14ac:dyDescent="0.2">
      <c r="A90" s="530">
        <v>89</v>
      </c>
      <c r="B90" s="532" t="s">
        <v>4919</v>
      </c>
      <c r="C90" s="508" t="s">
        <v>5363</v>
      </c>
      <c r="D90" s="508" t="s">
        <v>1003</v>
      </c>
      <c r="E90" s="512" t="s">
        <v>4920</v>
      </c>
      <c r="F90" s="513" t="s">
        <v>4921</v>
      </c>
      <c r="G90" s="509">
        <v>2017</v>
      </c>
      <c r="H90" s="508"/>
    </row>
    <row r="91" spans="1:8" ht="16" customHeight="1" x14ac:dyDescent="0.2">
      <c r="A91" s="530">
        <v>90</v>
      </c>
      <c r="B91" s="531" t="s">
        <v>3989</v>
      </c>
      <c r="C91" s="508" t="s">
        <v>4928</v>
      </c>
      <c r="D91" s="508" t="str">
        <f>VLOOKUP(E91,'Tabla Albums'!C:L,9,FALSE)</f>
        <v>progressive metal, alternative metal</v>
      </c>
      <c r="E91" s="510" t="s">
        <v>4013</v>
      </c>
      <c r="F91" s="511" t="s">
        <v>4014</v>
      </c>
      <c r="G91" s="509">
        <f>VLOOKUP(E91,'Tabla Albums'!C:L,10,FALSE)</f>
        <v>1997</v>
      </c>
      <c r="H91" s="508"/>
    </row>
    <row r="92" spans="1:8" ht="16" customHeight="1" x14ac:dyDescent="0.2">
      <c r="A92" s="530">
        <v>91</v>
      </c>
      <c r="B92" s="531" t="s">
        <v>4720</v>
      </c>
      <c r="C92" s="508" t="s">
        <v>4900</v>
      </c>
      <c r="D92" s="508" t="str">
        <f>VLOOKUP(E92,'Tabla Albums'!C:L,9,FALSE)</f>
        <v>singer songwriter, contemporary folk</v>
      </c>
      <c r="E92" s="510" t="s">
        <v>4762</v>
      </c>
      <c r="F92" s="511" t="s">
        <v>4763</v>
      </c>
      <c r="G92" s="509">
        <f>VLOOKUP(E92,'Tabla Albums'!C:L,10,FALSE)</f>
        <v>2020</v>
      </c>
      <c r="H92" s="508"/>
    </row>
    <row r="93" spans="1:8" ht="16" customHeight="1" x14ac:dyDescent="0.2">
      <c r="A93" s="530">
        <v>92</v>
      </c>
      <c r="B93" s="532" t="s">
        <v>1322</v>
      </c>
      <c r="C93" s="508" t="s">
        <v>4899</v>
      </c>
      <c r="D93" s="508" t="str">
        <f>VLOOKUP(E93,'Tabla Albums'!C:L,9,FALSE)</f>
        <v>post metal, folk metal</v>
      </c>
      <c r="E93" s="512" t="s">
        <v>1331</v>
      </c>
      <c r="F93" s="513" t="s">
        <v>1330</v>
      </c>
      <c r="G93" s="509">
        <f>VLOOKUP(E93,'Tabla Albums'!C:L,10,FALSE)</f>
        <v>2002</v>
      </c>
      <c r="H93" s="508"/>
    </row>
    <row r="94" spans="1:8" ht="16" customHeight="1" x14ac:dyDescent="0.2">
      <c r="A94" s="530">
        <v>93</v>
      </c>
      <c r="B94" s="532" t="s">
        <v>4444</v>
      </c>
      <c r="C94" s="508" t="s">
        <v>4927</v>
      </c>
      <c r="D94" s="508" t="str">
        <f>VLOOKUP(E94,'Tabla Albums'!C:L,9,FALSE)</f>
        <v>dream pop, dowmtempo</v>
      </c>
      <c r="E94" s="512" t="s">
        <v>4452</v>
      </c>
      <c r="F94" s="513" t="s">
        <v>951</v>
      </c>
      <c r="G94" s="509">
        <f>VLOOKUP(E94,'Tabla Albums'!C:L,10,FALSE)</f>
        <v>1997</v>
      </c>
      <c r="H94" s="508"/>
    </row>
    <row r="95" spans="1:8" ht="16" customHeight="1" x14ac:dyDescent="0.2">
      <c r="A95" s="530">
        <v>94</v>
      </c>
      <c r="B95" s="532" t="s">
        <v>5381</v>
      </c>
      <c r="C95" s="508" t="s">
        <v>5383</v>
      </c>
      <c r="D95" s="508" t="s">
        <v>734</v>
      </c>
      <c r="E95" s="512" t="s">
        <v>5382</v>
      </c>
      <c r="F95" s="513" t="s">
        <v>304</v>
      </c>
      <c r="G95" s="509">
        <v>1988</v>
      </c>
      <c r="H95" s="508"/>
    </row>
    <row r="96" spans="1:8" ht="16" customHeight="1" x14ac:dyDescent="0.2">
      <c r="A96" s="530">
        <v>95</v>
      </c>
      <c r="B96" s="532" t="s">
        <v>3934</v>
      </c>
      <c r="C96" s="508" t="s">
        <v>5370</v>
      </c>
      <c r="D96" s="508" t="str">
        <f>VLOOKUP(E96,'Tabla Albums'!C:L,9,FALSE)</f>
        <v>midwest emo, indie rock</v>
      </c>
      <c r="E96" s="512" t="s">
        <v>5369</v>
      </c>
      <c r="F96" s="513" t="s">
        <v>3944</v>
      </c>
      <c r="G96" s="509">
        <f>VLOOKUP(E96,'Tabla Albums'!C:L,10,FALSE)</f>
        <v>1998</v>
      </c>
      <c r="H96" s="508"/>
    </row>
    <row r="97" spans="1:8" ht="16" customHeight="1" x14ac:dyDescent="0.2">
      <c r="A97" s="530">
        <v>96</v>
      </c>
      <c r="B97" s="531" t="s">
        <v>1373</v>
      </c>
      <c r="C97" s="508" t="s">
        <v>4926</v>
      </c>
      <c r="D97" s="508" t="str">
        <f>VLOOKUP(E97,'Tabla Albums'!C:L,9,FALSE)</f>
        <v>indie rock, dream pop</v>
      </c>
      <c r="E97" s="510" t="s">
        <v>1379</v>
      </c>
      <c r="F97" s="511" t="s">
        <v>1378</v>
      </c>
      <c r="G97" s="509">
        <f>VLOOKUP(E97,'Tabla Albums'!C:L,10,FALSE)</f>
        <v>2000</v>
      </c>
      <c r="H97" s="508"/>
    </row>
    <row r="98" spans="1:8" ht="16" customHeight="1" x14ac:dyDescent="0.2">
      <c r="A98" s="530">
        <v>97</v>
      </c>
      <c r="B98" s="532" t="s">
        <v>1473</v>
      </c>
      <c r="C98" s="508" t="s">
        <v>4925</v>
      </c>
      <c r="D98" s="508" t="str">
        <f>VLOOKUP(E98,'Tabla Albums'!C:L,9,FALSE)</f>
        <v>symphonic prog, progressive rock</v>
      </c>
      <c r="E98" s="512" t="s">
        <v>1478</v>
      </c>
      <c r="F98" s="513" t="s">
        <v>1477</v>
      </c>
      <c r="G98" s="509">
        <f>VLOOKUP(E98,'Tabla Albums'!C:L,10,FALSE)</f>
        <v>1974</v>
      </c>
      <c r="H98" s="508"/>
    </row>
    <row r="99" spans="1:8" ht="16" customHeight="1" x14ac:dyDescent="0.2">
      <c r="A99" s="530">
        <v>98</v>
      </c>
      <c r="B99" s="532" t="s">
        <v>5292</v>
      </c>
      <c r="C99" s="508" t="s">
        <v>5294</v>
      </c>
      <c r="D99" s="508" t="s">
        <v>1007</v>
      </c>
      <c r="E99" s="512" t="s">
        <v>5292</v>
      </c>
      <c r="F99" s="513" t="s">
        <v>5293</v>
      </c>
      <c r="G99" s="509">
        <v>1984</v>
      </c>
      <c r="H99" s="508"/>
    </row>
    <row r="100" spans="1:8" ht="16" customHeight="1" x14ac:dyDescent="0.2">
      <c r="A100" s="530">
        <v>99</v>
      </c>
      <c r="B100" s="531" t="s">
        <v>4177</v>
      </c>
      <c r="C100" s="508" t="s">
        <v>4924</v>
      </c>
      <c r="D100" s="508" t="str">
        <f>VLOOKUP(E100,'Tabla Albums'!C:L,9,FALSE)</f>
        <v>alternative metal</v>
      </c>
      <c r="E100" s="510" t="s">
        <v>4185</v>
      </c>
      <c r="F100" s="511" t="s">
        <v>4184</v>
      </c>
      <c r="G100" s="509">
        <f>VLOOKUP(E100,'Tabla Albums'!C:L,10,FALSE)</f>
        <v>1992</v>
      </c>
      <c r="H100" s="508"/>
    </row>
    <row r="101" spans="1:8" ht="16" customHeight="1" x14ac:dyDescent="0.2">
      <c r="A101" s="530">
        <v>100</v>
      </c>
      <c r="B101" s="531" t="s">
        <v>4145</v>
      </c>
      <c r="C101" s="508" t="s">
        <v>4910</v>
      </c>
      <c r="D101" s="508" t="str">
        <f>VLOOKUP(E101,'Tabla Albums'!C:L,9,FALSE)</f>
        <v>atmospheric sludge metal, post metal</v>
      </c>
      <c r="E101" s="510" t="s">
        <v>4151</v>
      </c>
      <c r="F101" s="511" t="s">
        <v>4150</v>
      </c>
      <c r="G101" s="509">
        <f>VLOOKUP(E101,'Tabla Albums'!C:L,10,FALSE)</f>
        <v>2004</v>
      </c>
      <c r="H101" s="508"/>
    </row>
    <row r="102" spans="1:8" ht="16" customHeight="1" x14ac:dyDescent="0.2">
      <c r="A102" s="530">
        <v>101</v>
      </c>
      <c r="B102" s="532" t="s">
        <v>1269</v>
      </c>
      <c r="C102" s="508" t="s">
        <v>4909</v>
      </c>
      <c r="D102" s="508" t="str">
        <f>VLOOKUP(E102,'Tabla Albums'!C:L,9,FALSE)</f>
        <v>funk rock, psychedelic rock</v>
      </c>
      <c r="E102" s="512" t="s">
        <v>1269</v>
      </c>
      <c r="F102" s="513" t="s">
        <v>1276</v>
      </c>
      <c r="G102" s="509">
        <f>VLOOKUP(E102,'Tabla Albums'!C:L,10,FALSE)</f>
        <v>1971</v>
      </c>
      <c r="H102" s="508"/>
    </row>
    <row r="103" spans="1:8" ht="16" customHeight="1" x14ac:dyDescent="0.2">
      <c r="A103" s="530">
        <v>102</v>
      </c>
      <c r="B103" s="531" t="s">
        <v>1655</v>
      </c>
      <c r="C103" s="508" t="s">
        <v>4908</v>
      </c>
      <c r="D103" s="508" t="str">
        <f>VLOOKUP(E103,'Tabla Albums'!C:L,9,FALSE)</f>
        <v>post rock, post hardcore</v>
      </c>
      <c r="E103" s="510" t="s">
        <v>1657</v>
      </c>
      <c r="F103" s="511" t="s">
        <v>1656</v>
      </c>
      <c r="G103" s="509">
        <f>VLOOKUP(E103,'Tabla Albums'!C:L,10,FALSE)</f>
        <v>1991</v>
      </c>
      <c r="H103" s="508"/>
    </row>
    <row r="104" spans="1:8" ht="16" customHeight="1" x14ac:dyDescent="0.2">
      <c r="A104" s="530">
        <v>103</v>
      </c>
      <c r="B104" s="531" t="s">
        <v>2482</v>
      </c>
      <c r="C104" s="508" t="s">
        <v>4906</v>
      </c>
      <c r="D104" s="508" t="str">
        <f>VLOOKUP(E104,'Tabla Albums'!C:L,9,FALSE)</f>
        <v>post rock, drone</v>
      </c>
      <c r="E104" s="510" t="s">
        <v>2477</v>
      </c>
      <c r="F104" s="511" t="s">
        <v>2478</v>
      </c>
      <c r="G104" s="509">
        <f>VLOOKUP(E104,'Tabla Albums'!C:L,10,FALSE)</f>
        <v>2000</v>
      </c>
      <c r="H104" s="508"/>
    </row>
    <row r="105" spans="1:8" ht="16" customHeight="1" x14ac:dyDescent="0.2">
      <c r="A105" s="530">
        <v>104</v>
      </c>
      <c r="B105" s="532" t="s">
        <v>768</v>
      </c>
      <c r="C105" s="508" t="s">
        <v>4905</v>
      </c>
      <c r="D105" s="508" t="str">
        <f>VLOOKUP(E105,'Tabla Albums'!C:L,9,FALSE)</f>
        <v>pop rap, hip hop</v>
      </c>
      <c r="E105" s="512" t="s">
        <v>775</v>
      </c>
      <c r="F105" s="513" t="s">
        <v>774</v>
      </c>
      <c r="G105" s="509">
        <f>VLOOKUP(E105,'Tabla Albums'!C:L,10,FALSE)</f>
        <v>2010</v>
      </c>
      <c r="H105" s="508"/>
    </row>
    <row r="106" spans="1:8" ht="16" customHeight="1" x14ac:dyDescent="0.2">
      <c r="A106" s="530">
        <v>105</v>
      </c>
      <c r="B106" s="531" t="s">
        <v>1547</v>
      </c>
      <c r="C106" s="508" t="s">
        <v>4904</v>
      </c>
      <c r="D106" s="508" t="str">
        <f>VLOOKUP(E106,'Tabla Albums'!C:L,9,FALSE)</f>
        <v>experimental rock, post rock</v>
      </c>
      <c r="E106" s="510" t="s">
        <v>1554</v>
      </c>
      <c r="F106" s="511" t="s">
        <v>1555</v>
      </c>
      <c r="G106" s="509">
        <f>VLOOKUP(E106,'Tabla Albums'!C:L,10,FALSE)</f>
        <v>2014</v>
      </c>
      <c r="H106" s="508"/>
    </row>
    <row r="107" spans="1:8" ht="16" customHeight="1" x14ac:dyDescent="0.2">
      <c r="A107" s="530">
        <v>106</v>
      </c>
      <c r="B107" s="532" t="s">
        <v>5396</v>
      </c>
      <c r="C107" s="508" t="s">
        <v>5397</v>
      </c>
      <c r="D107" s="508" t="str">
        <f>VLOOKUP(E107,'Tabla Albums'!C:L,9,FALSE)</f>
        <v>hard rock, occult rock</v>
      </c>
      <c r="E107" s="512" t="s">
        <v>3647</v>
      </c>
      <c r="F107" s="513" t="s">
        <v>3659</v>
      </c>
      <c r="G107" s="509">
        <f>VLOOKUP(E107,'Tabla Albums'!C:L,10,FALSE)</f>
        <v>1981</v>
      </c>
      <c r="H107" s="508"/>
    </row>
    <row r="108" spans="1:8" ht="16" customHeight="1" x14ac:dyDescent="0.2">
      <c r="A108" s="530">
        <v>107</v>
      </c>
      <c r="B108" s="532" t="s">
        <v>2389</v>
      </c>
      <c r="C108" s="508" t="s">
        <v>4903</v>
      </c>
      <c r="D108" s="508" t="str">
        <f>VLOOKUP(E108,'Tabla Albums'!C:L,9,FALSE)</f>
        <v>shoegaze, space rock revival</v>
      </c>
      <c r="E108" s="512" t="s">
        <v>2419</v>
      </c>
      <c r="F108" s="513" t="s">
        <v>2418</v>
      </c>
      <c r="G108" s="509">
        <f>VLOOKUP(E108,'Tabla Albums'!C:L,10,FALSE)</f>
        <v>2000</v>
      </c>
      <c r="H108" s="508"/>
    </row>
    <row r="109" spans="1:8" ht="16" customHeight="1" x14ac:dyDescent="0.2">
      <c r="A109" s="530">
        <v>108</v>
      </c>
      <c r="B109" s="531" t="s">
        <v>227</v>
      </c>
      <c r="C109" s="508" t="s">
        <v>4902</v>
      </c>
      <c r="D109" s="508" t="str">
        <f>VLOOKUP(E109,'Tabla Albums'!C:L,9,FALSE)</f>
        <v>old school hip hop, east coast hip hop</v>
      </c>
      <c r="E109" s="510" t="s">
        <v>240</v>
      </c>
      <c r="F109" s="511" t="s">
        <v>308</v>
      </c>
      <c r="G109" s="509">
        <f>VLOOKUP(E109,'Tabla Albums'!C:L,10,FALSE)</f>
        <v>1994</v>
      </c>
      <c r="H109" s="508"/>
    </row>
    <row r="110" spans="1:8" ht="16" customHeight="1" x14ac:dyDescent="0.2">
      <c r="A110" s="530">
        <v>109</v>
      </c>
      <c r="B110" s="531" t="s">
        <v>2880</v>
      </c>
      <c r="C110" s="508" t="s">
        <v>4898</v>
      </c>
      <c r="D110" s="508" t="str">
        <f>VLOOKUP(E110,'Tabla Albums'!C:L,9,FALSE)</f>
        <v>singer songwriter, chamber folk</v>
      </c>
      <c r="E110" s="510" t="s">
        <v>2897</v>
      </c>
      <c r="F110" s="511" t="s">
        <v>2896</v>
      </c>
      <c r="G110" s="509">
        <f>VLOOKUP(E110,'Tabla Albums'!C:L,10,FALSE)</f>
        <v>2020</v>
      </c>
      <c r="H110" s="508"/>
    </row>
    <row r="111" spans="1:8" ht="16" customHeight="1" x14ac:dyDescent="0.2">
      <c r="A111" s="530">
        <v>110</v>
      </c>
      <c r="B111" s="532" t="s">
        <v>4942</v>
      </c>
      <c r="C111" s="508" t="s">
        <v>5435</v>
      </c>
      <c r="D111" s="508" t="s">
        <v>4945</v>
      </c>
      <c r="E111" s="512" t="s">
        <v>4944</v>
      </c>
      <c r="F111" s="513" t="s">
        <v>4943</v>
      </c>
      <c r="G111" s="509">
        <v>2015</v>
      </c>
      <c r="H111" s="508"/>
    </row>
    <row r="112" spans="1:8" ht="16" customHeight="1" x14ac:dyDescent="0.2">
      <c r="A112" s="530">
        <v>111</v>
      </c>
      <c r="B112" s="532" t="s">
        <v>4896</v>
      </c>
      <c r="C112" s="508" t="s">
        <v>4897</v>
      </c>
      <c r="D112" s="508" t="str">
        <f>VLOOKUP(E112,'Tabla Albums'!C:L,9,FALSE)</f>
        <v>conscious hip hop, jazz rap</v>
      </c>
      <c r="E112" s="512" t="s">
        <v>1266</v>
      </c>
      <c r="F112" s="513" t="s">
        <v>1265</v>
      </c>
      <c r="G112" s="509">
        <f>VLOOKUP(E112,'Tabla Albums'!C:L,10,FALSE)</f>
        <v>2015</v>
      </c>
      <c r="H112" s="508"/>
    </row>
    <row r="113" spans="1:8" ht="16" customHeight="1" x14ac:dyDescent="0.2">
      <c r="A113" s="530">
        <v>112</v>
      </c>
      <c r="B113" s="531" t="s">
        <v>1383</v>
      </c>
      <c r="C113" s="508" t="s">
        <v>4895</v>
      </c>
      <c r="D113" s="508" t="str">
        <f>VLOOKUP(E113,'Tabla Albums'!C:L,9,FALSE)</f>
        <v>downtempo, ambient pop</v>
      </c>
      <c r="E113" s="510" t="s">
        <v>1394</v>
      </c>
      <c r="F113" s="511" t="s">
        <v>1393</v>
      </c>
      <c r="G113" s="509">
        <f>VLOOKUP(E113,'Tabla Albums'!C:L,10,FALSE)</f>
        <v>1998</v>
      </c>
      <c r="H113" s="508"/>
    </row>
    <row r="114" spans="1:8" ht="16" customHeight="1" x14ac:dyDescent="0.2">
      <c r="A114" s="530">
        <v>113</v>
      </c>
      <c r="B114" s="532" t="s">
        <v>1576</v>
      </c>
      <c r="C114" s="508" t="s">
        <v>5390</v>
      </c>
      <c r="D114" s="508" t="str">
        <f>VLOOKUP(E114,'Tabla Albums'!C:L,9,FALSE)</f>
        <v>heavy metal</v>
      </c>
      <c r="E114" s="512" t="s">
        <v>1573</v>
      </c>
      <c r="F114" s="513" t="s">
        <v>1577</v>
      </c>
      <c r="G114" s="509">
        <f>VLOOKUP(E114,'Tabla Albums'!C:L,10,FALSE)</f>
        <v>1982</v>
      </c>
      <c r="H114" s="508"/>
    </row>
    <row r="115" spans="1:8" ht="16" customHeight="1" x14ac:dyDescent="0.2">
      <c r="A115" s="530">
        <v>114</v>
      </c>
      <c r="B115" s="531" t="s">
        <v>2797</v>
      </c>
      <c r="C115" s="508" t="s">
        <v>4894</v>
      </c>
      <c r="D115" s="508" t="str">
        <f>VLOOKUP(E115,'Tabla Albums'!C:L,9,FALSE)</f>
        <v>shoegaze, dream pop</v>
      </c>
      <c r="E115" s="510" t="s">
        <v>4628</v>
      </c>
      <c r="F115" s="511" t="s">
        <v>2799</v>
      </c>
      <c r="G115" s="509">
        <f>VLOOKUP(E115,'Tabla Albums'!C:L,10,FALSE)</f>
        <v>2007</v>
      </c>
      <c r="H115" s="508"/>
    </row>
    <row r="116" spans="1:8" ht="16" customHeight="1" x14ac:dyDescent="0.2">
      <c r="A116" s="530">
        <v>115</v>
      </c>
      <c r="B116" s="532" t="s">
        <v>4163</v>
      </c>
      <c r="C116" s="508" t="s">
        <v>4893</v>
      </c>
      <c r="D116" s="508" t="str">
        <f>VLOOKUP(E116,'Tabla Albums'!C:L,9,FALSE)</f>
        <v>black metal, melodic black metal</v>
      </c>
      <c r="E116" s="512" t="s">
        <v>4167</v>
      </c>
      <c r="F116" s="513" t="s">
        <v>4166</v>
      </c>
      <c r="G116" s="509">
        <f>VLOOKUP(E116,'Tabla Albums'!C:L,10,FALSE)</f>
        <v>2015</v>
      </c>
      <c r="H116" s="508"/>
    </row>
    <row r="117" spans="1:8" ht="16" customHeight="1" x14ac:dyDescent="0.2">
      <c r="A117" s="530">
        <v>116</v>
      </c>
      <c r="B117" s="531" t="s">
        <v>3513</v>
      </c>
      <c r="C117" s="508" t="s">
        <v>4892</v>
      </c>
      <c r="D117" s="508" t="str">
        <f>VLOOKUP(E117,'Tabla Albums'!C:L,9,FALSE)</f>
        <v>future garage, dubstep</v>
      </c>
      <c r="E117" s="510" t="s">
        <v>3508</v>
      </c>
      <c r="F117" s="511" t="s">
        <v>3515</v>
      </c>
      <c r="G117" s="509">
        <f>VLOOKUP(E117,'Tabla Albums'!C:L,10,FALSE)</f>
        <v>2007</v>
      </c>
      <c r="H117" s="508"/>
    </row>
    <row r="118" spans="1:8" ht="16" customHeight="1" x14ac:dyDescent="0.2">
      <c r="A118" s="530">
        <v>117</v>
      </c>
      <c r="B118" s="532" t="s">
        <v>1116</v>
      </c>
      <c r="C118" s="508" t="s">
        <v>5367</v>
      </c>
      <c r="D118" s="508" t="str">
        <f>VLOOKUP(E118,'Tabla Albums'!C:L,9,FALSE)</f>
        <v>electropop, edm</v>
      </c>
      <c r="E118" s="512" t="s">
        <v>1122</v>
      </c>
      <c r="F118" s="513" t="s">
        <v>1121</v>
      </c>
      <c r="G118" s="509">
        <f>VLOOKUP(E118,'Tabla Albums'!C:L,10,FALSE)</f>
        <v>2024</v>
      </c>
      <c r="H118" s="508"/>
    </row>
    <row r="119" spans="1:8" ht="16" customHeight="1" x14ac:dyDescent="0.2">
      <c r="A119" s="530">
        <v>118</v>
      </c>
      <c r="B119" s="532" t="s">
        <v>4856</v>
      </c>
      <c r="C119" s="508" t="s">
        <v>4891</v>
      </c>
      <c r="D119" s="508" t="str">
        <f>VLOOKUP(E119,'Tabla Albums'!C:L,9,FALSE)</f>
        <v>new wave, post punk</v>
      </c>
      <c r="E119" s="512" t="s">
        <v>4861</v>
      </c>
      <c r="F119" s="513" t="s">
        <v>545</v>
      </c>
      <c r="G119" s="509">
        <f>VLOOKUP(E119,'Tabla Albums'!C:L,10,FALSE)</f>
        <v>1980</v>
      </c>
      <c r="H119" s="508"/>
    </row>
    <row r="120" spans="1:8" ht="16" customHeight="1" x14ac:dyDescent="0.2">
      <c r="A120" s="530">
        <v>119</v>
      </c>
      <c r="B120" s="531" t="s">
        <v>1343</v>
      </c>
      <c r="C120" s="508" t="s">
        <v>4890</v>
      </c>
      <c r="D120" s="508" t="s">
        <v>1000</v>
      </c>
      <c r="E120" s="510" t="s">
        <v>1353</v>
      </c>
      <c r="F120" s="511" t="s">
        <v>1348</v>
      </c>
      <c r="G120" s="509">
        <f>VLOOKUP(E120,'Tabla Albums'!C:L,10,FALSE)</f>
        <v>2012</v>
      </c>
      <c r="H120" s="508"/>
    </row>
    <row r="121" spans="1:8" ht="16" customHeight="1" x14ac:dyDescent="0.2">
      <c r="A121" s="530">
        <v>120</v>
      </c>
      <c r="B121" s="532" t="s">
        <v>4498</v>
      </c>
      <c r="C121" s="508" t="s">
        <v>4888</v>
      </c>
      <c r="D121" s="508" t="s">
        <v>4536</v>
      </c>
      <c r="E121" s="512" t="s">
        <v>4519</v>
      </c>
      <c r="F121" s="513" t="s">
        <v>4518</v>
      </c>
      <c r="G121" s="509">
        <f>VLOOKUP(E121,'Tabla Albums'!C:L,10,FALSE)</f>
        <v>2005</v>
      </c>
      <c r="H121" s="508"/>
    </row>
    <row r="122" spans="1:8" ht="16" customHeight="1" x14ac:dyDescent="0.2">
      <c r="A122" s="530">
        <v>121</v>
      </c>
      <c r="B122" s="531" t="s">
        <v>2485</v>
      </c>
      <c r="C122" s="508" t="s">
        <v>4889</v>
      </c>
      <c r="D122" s="508" t="s">
        <v>992</v>
      </c>
      <c r="E122" s="510" t="s">
        <v>2509</v>
      </c>
      <c r="F122" s="511" t="s">
        <v>2508</v>
      </c>
      <c r="G122" s="509">
        <f>VLOOKUP(E122,'Tabla Albums'!C:L,10,FALSE)</f>
        <v>1991</v>
      </c>
      <c r="H122" s="508"/>
    </row>
    <row r="123" spans="1:8" ht="16" customHeight="1" x14ac:dyDescent="0.2">
      <c r="A123" s="530">
        <v>122</v>
      </c>
      <c r="B123" s="532" t="s">
        <v>450</v>
      </c>
      <c r="C123" s="508" t="s">
        <v>4887</v>
      </c>
      <c r="D123" s="508" t="str">
        <f>VLOOKUP(E123,'Tabla Albums'!C:L,9,FALSE)</f>
        <v>art rock</v>
      </c>
      <c r="E123" s="512" t="s">
        <v>3093</v>
      </c>
      <c r="F123" s="513" t="s">
        <v>2556</v>
      </c>
      <c r="G123" s="509">
        <f>VLOOKUP(E123,'Tabla Albums'!C:L,10,FALSE)</f>
        <v>2016</v>
      </c>
      <c r="H123" s="508"/>
    </row>
    <row r="124" spans="1:8" ht="16" customHeight="1" x14ac:dyDescent="0.2">
      <c r="A124" s="530">
        <v>123</v>
      </c>
      <c r="B124" s="531" t="s">
        <v>3564</v>
      </c>
      <c r="C124" s="508" t="s">
        <v>4886</v>
      </c>
      <c r="D124" s="508" t="s">
        <v>987</v>
      </c>
      <c r="E124" s="510" t="s">
        <v>3586</v>
      </c>
      <c r="F124" s="511" t="s">
        <v>3585</v>
      </c>
      <c r="G124" s="509">
        <f>VLOOKUP(E124,'Tabla Albums'!C:L,10,FALSE)</f>
        <v>1981</v>
      </c>
      <c r="H124" s="508"/>
    </row>
    <row r="125" spans="1:8" ht="16" customHeight="1" x14ac:dyDescent="0.2">
      <c r="A125" s="530">
        <v>124</v>
      </c>
      <c r="B125" s="532" t="s">
        <v>76</v>
      </c>
      <c r="C125" s="508" t="s">
        <v>4885</v>
      </c>
      <c r="D125" s="508" t="s">
        <v>1002</v>
      </c>
      <c r="E125" s="512" t="s">
        <v>218</v>
      </c>
      <c r="F125" s="513" t="s">
        <v>309</v>
      </c>
      <c r="G125" s="509">
        <f>VLOOKUP(E125,'Tabla Albums'!C:L,10,FALSE)</f>
        <v>1998</v>
      </c>
      <c r="H125" s="508"/>
    </row>
    <row r="126" spans="1:8" ht="16" customHeight="1" x14ac:dyDescent="0.2">
      <c r="A126" s="530">
        <v>125</v>
      </c>
      <c r="B126" s="532" t="s">
        <v>1202</v>
      </c>
      <c r="C126" s="508" t="s">
        <v>5428</v>
      </c>
      <c r="D126" s="508" t="s">
        <v>1232</v>
      </c>
      <c r="E126" s="512" t="s">
        <v>1228</v>
      </c>
      <c r="F126" s="513" t="s">
        <v>1227</v>
      </c>
      <c r="G126" s="509">
        <f>VLOOKUP(E126,'Tabla Albums'!C:L,10,FALSE)</f>
        <v>2002</v>
      </c>
      <c r="H126" s="508"/>
    </row>
    <row r="127" spans="1:8" ht="12" customHeight="1" x14ac:dyDescent="0.2">
      <c r="H127" s="508"/>
    </row>
    <row r="128" spans="1:8" x14ac:dyDescent="0.2">
      <c r="H128" s="508"/>
    </row>
    <row r="129" spans="3:8" x14ac:dyDescent="0.2">
      <c r="C129" s="508"/>
      <c r="G129" s="508"/>
      <c r="H129" s="508"/>
    </row>
    <row r="130" spans="3:8" x14ac:dyDescent="0.2">
      <c r="C130" s="508"/>
      <c r="G130" s="508"/>
      <c r="H130" s="508"/>
    </row>
    <row r="131" spans="3:8" x14ac:dyDescent="0.2">
      <c r="C131" s="508"/>
      <c r="G131" s="508"/>
      <c r="H131" s="508"/>
    </row>
    <row r="132" spans="3:8" x14ac:dyDescent="0.2">
      <c r="C132" s="508"/>
      <c r="G132" s="508"/>
      <c r="H132" s="508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2026-09-19T10:55:21Z</dcterms:modified>
</cp:coreProperties>
</file>