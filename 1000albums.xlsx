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5BBA1691-B0E8-461F-938E-E987F74A573F}" xr6:coauthVersionLast="47" xr6:coauthVersionMax="47" xr10:uidLastSave="{00000000-0000-0000-0000-000000000000}"/>
  <bookViews>
    <workbookView xWindow="3660" yWindow="-15315" windowWidth="19230" windowHeight="12645" tabRatio="767" firstSheet="1" activeTab="2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Graficos" sheetId="15" r:id="rId8"/>
    <sheet name="Resumen" sheetId="8" r:id="rId9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12" i="4" l="1"/>
  <c r="E610" i="4"/>
  <c r="H604" i="4"/>
  <c r="B601" i="4"/>
  <c r="N603" i="4"/>
  <c r="E599" i="4"/>
  <c r="K597" i="4"/>
  <c r="N591" i="4"/>
  <c r="H596" i="4"/>
  <c r="B589" i="4"/>
  <c r="H587" i="4"/>
  <c r="K585" i="4"/>
  <c r="E583" i="4"/>
  <c r="N580" i="4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<sst xmlns="http://schemas.openxmlformats.org/spreadsheetml/2006/main" count="6996" uniqueCount="4290">
  <si>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</si>
  <si>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</si>
  <si>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</si>
  <si>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</si>
  <si>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</si>
  <si>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</si>
  <si>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</si>
  <si>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</si>
  <si>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</si>
  <si>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</si>
  <si>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</si>
  <si>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</si>
  <si>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</si>
  <si>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</si>
  <si>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</si>
  <si>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</si>
  <si>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</si>
  <si>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</si>
  <si>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</si>
  <si>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</si>
  <si>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</si>
  <si>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</si>
  <si>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</si>
  <si>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</si>
  <si>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</si>
  <si>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</si>
  <si>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</si>
  <si>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</si>
  <si>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</si>
  <si>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</si>
  <si>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</si>
  <si>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</si>
  <si>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</si>
  <si>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</si>
  <si>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</si>
  <si>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</si>
  <si>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</si>
  <si>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</si>
  <si>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</si>
  <si>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</si>
  <si>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</si>
  <si>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</si>
  <si>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</si>
  <si>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</si>
  <si>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</si>
  <si>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</si>
  <si>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</si>
  <si>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</si>
  <si>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</si>
  <si>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</si>
  <si>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</si>
  <si>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</si>
  <si>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</si>
  <si>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</si>
  <si>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</si>
  <si>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</si>
  <si>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</si>
  <si>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</si>
  <si>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</si>
  <si>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</si>
  <si>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</si>
  <si>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</si>
  <si>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</si>
  <si>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</si>
  <si>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</si>
  <si>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</si>
  <si>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</si>
  <si>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</si>
  <si>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</si>
  <si>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</si>
  <si>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</si>
  <si>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</si>
  <si>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</si>
  <si>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</si>
  <si>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</si>
  <si>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</si>
  <si>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</si>
  <si>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</si>
  <si>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</si>
  <si>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</si>
  <si>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</si>
  <si>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</si>
  <si>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</si>
  <si>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</si>
  <si>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</si>
  <si>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</si>
  <si>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</si>
  <si>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</si>
  <si>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</si>
  <si>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</si>
  <si>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</si>
  <si>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</si>
  <si>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</si>
  <si>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</si>
  <si>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</si>
  <si>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</si>
  <si>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</si>
  <si>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</si>
  <si>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</si>
  <si>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</si>
  <si>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</si>
  <si>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</si>
  <si>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</si>
  <si>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</si>
  <si>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</si>
  <si>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</si>
  <si>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</si>
  <si>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</si>
  <si>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</si>
  <si>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</si>
  <si>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</si>
  <si>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</si>
  <si>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</si>
  <si>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</si>
  <si>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</si>
  <si>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</si>
  <si>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</si>
  <si>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</si>
  <si>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</si>
  <si>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</si>
  <si>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</si>
  <si>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</si>
  <si>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</si>
  <si>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</si>
  <si>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</si>
  <si>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</si>
  <si>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</si>
  <si>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</si>
  <si>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</si>
  <si>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</si>
  <si>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</si>
  <si>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</si>
  <si>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</si>
  <si>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</si>
  <si>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</si>
  <si>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</si>
  <si>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</si>
  <si>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</si>
  <si>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</si>
  <si>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</si>
  <si>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</si>
  <si>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</si>
  <si>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</si>
  <si>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</si>
  <si>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</si>
  <si>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</si>
  <si>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</si>
  <si>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</si>
  <si>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</si>
  <si>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</si>
  <si>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</si>
  <si>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</si>
  <si>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</si>
  <si>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</si>
  <si>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</si>
  <si>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</si>
  <si>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</si>
  <si>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</si>
  <si>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</si>
  <si>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</si>
  <si>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</si>
  <si>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</si>
  <si>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</si>
  <si>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</si>
  <si>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</si>
  <si>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</si>
  <si>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</si>
  <si>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</si>
  <si>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</si>
  <si>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</si>
  <si>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</si>
  <si>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</si>
  <si>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</si>
  <si>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</si>
  <si>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</si>
  <si>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</si>
  <si>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</si>
  <si>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</si>
  <si>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</si>
  <si>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</si>
  <si>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</si>
  <si>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</si>
  <si>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</si>
  <si>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</si>
  <si>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</si>
  <si>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</si>
  <si>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</si>
  <si>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</si>
  <si>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</si>
  <si>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</si>
  <si>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</si>
  <si>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</si>
  <si>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</si>
  <si>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</si>
  <si>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</si>
  <si>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</si>
  <si>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</si>
  <si>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</si>
  <si>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</si>
  <si>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</si>
  <si>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</si>
  <si>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</si>
  <si>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</si>
  <si>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</si>
  <si>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</si>
  <si>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</si>
  <si>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</si>
  <si>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</si>
  <si>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</si>
  <si>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</si>
  <si>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</si>
  <si>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</si>
  <si>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</si>
  <si>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</si>
  <si>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</si>
  <si>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</si>
  <si>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</si>
  <si>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</si>
  <si>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</si>
  <si>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</si>
  <si>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</si>
  <si>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</si>
  <si>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</si>
  <si>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</si>
  <si>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</si>
  <si>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</si>
  <si>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</si>
  <si>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</si>
  <si>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</si>
  <si>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</si>
  <si>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</si>
  <si>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</si>
  <si>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</si>
  <si>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</si>
  <si>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</si>
  <si>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</si>
  <si>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</si>
  <si>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</si>
  <si>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</si>
  <si>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</si>
  <si>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</si>
  <si>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</si>
  <si>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</si>
  <si>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</si>
  <si>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</si>
  <si>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</si>
  <si>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</si>
  <si>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</si>
  <si>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</si>
  <si>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</si>
  <si>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</si>
  <si>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</si>
  <si>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</si>
  <si>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</si>
  <si>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</si>
  <si>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</si>
  <si>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</si>
  <si>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</si>
  <si>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</si>
  <si>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</si>
  <si>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</si>
  <si>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</si>
  <si>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</si>
  <si>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</si>
  <si>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</si>
  <si>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</si>
  <si>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</si>
  <si>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</si>
  <si>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</si>
  <si>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</si>
  <si>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</si>
  <si>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</si>
  <si>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</si>
  <si>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</si>
  <si>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</si>
  <si>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</si>
  <si>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</si>
  <si>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</si>
  <si>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</si>
  <si>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</si>
  <si>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</si>
  <si>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</si>
  <si>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</si>
  <si>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</si>
  <si>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</si>
  <si>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</si>
  <si>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</si>
  <si>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</si>
  <si>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</si>
  <si>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</si>
  <si>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</si>
  <si>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</si>
  <si>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</si>
  <si>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</si>
  <si>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</si>
  <si>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</si>
  <si>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</si>
  <si>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</si>
  <si>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</si>
  <si>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</si>
  <si>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</si>
  <si>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</si>
  <si>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</si>
  <si>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</si>
  <si>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</si>
  <si>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</si>
  <si>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</si>
  <si>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</si>
  <si>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</si>
  <si>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</si>
  <si>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</si>
  <si>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</si>
  <si>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</si>
  <si>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</si>
  <si>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</si>
  <si>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</si>
  <si>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</si>
  <si>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</si>
  <si>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</si>
  <si>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</si>
  <si>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</si>
  <si>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</si>
  <si>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</si>
  <si>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</si>
  <si>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</si>
  <si>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</si>
  <si>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</si>
  <si>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</si>
  <si>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</si>
  <si>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</si>
  <si>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</si>
  <si>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</si>
  <si>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</si>
  <si>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</si>
  <si>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</si>
  <si>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</si>
  <si>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</si>
  <si>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</si>
  <si>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</si>
  <si>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</si>
  <si>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</si>
  <si>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</si>
  <si>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</si>
  <si>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</si>
  <si>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</si>
  <si>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</si>
  <si>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</si>
  <si>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</si>
  <si>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</si>
  <si>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</si>
  <si>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</si>
  <si>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</si>
  <si>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</si>
  <si>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</si>
  <si>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</si>
  <si>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</si>
  <si>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</si>
  <si>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</si>
  <si>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</si>
  <si>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</si>
  <si>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</si>
  <si>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</si>
  <si>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</si>
  <si>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</si>
  <si>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</si>
  <si>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</si>
  <si>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</si>
  <si>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</si>
  <si>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</si>
  <si>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</si>
  <si>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</si>
  <si>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</si>
  <si>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</si>
  <si>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</si>
  <si>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</si>
  <si>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</si>
  <si>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</si>
  <si>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</si>
  <si>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</si>
  <si>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</si>
  <si>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</si>
  <si>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</si>
  <si>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</si>
  <si>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</si>
  <si>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</si>
  <si>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</si>
  <si>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</si>
  <si>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</si>
  <si>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</si>
  <si>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</si>
  <si>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</si>
  <si>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</si>
  <si>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</si>
  <si>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</si>
  <si>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</si>
  <si>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</si>
  <si>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</si>
  <si>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</si>
  <si>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</si>
  <si>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</si>
  <si>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</si>
  <si>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</si>
  <si>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</si>
  <si>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</si>
  <si>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</si>
  <si>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</si>
  <si>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</si>
  <si>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</si>
  <si>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</si>
  <si>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</si>
  <si>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</si>
  <si>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</si>
  <si>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</si>
  <si>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</si>
  <si>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</si>
  <si>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</si>
  <si>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</si>
  <si>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</si>
  <si>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</si>
  <si>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</si>
  <si>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</si>
  <si>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</si>
  <si>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</si>
  <si>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</si>
  <si>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</si>
  <si>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</si>
  <si>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</si>
  <si>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</si>
  <si>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</si>
  <si>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</si>
  <si>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</si>
  <si>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</si>
  <si>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</si>
  <si>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</si>
  <si>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</si>
  <si>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</si>
  <si>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</si>
  <si>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</si>
  <si>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</si>
  <si>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</si>
  <si>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</si>
  <si>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</si>
  <si>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</si>
  <si>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</si>
  <si>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</si>
  <si>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</si>
  <si>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</si>
  <si>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</si>
  <si>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</si>
  <si>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</si>
  <si>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</si>
  <si>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</si>
  <si>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</si>
  <si>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</si>
  <si>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</si>
  <si>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</si>
  <si>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</si>
  <si>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</si>
  <si>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</si>
  <si>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</si>
  <si>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</si>
  <si>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</si>
  <si>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</si>
  <si>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</si>
  <si>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</si>
  <si>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</si>
  <si>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</si>
  <si>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</si>
  <si>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</si>
  <si>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</si>
  <si>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</si>
  <si>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</si>
  <si>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</si>
  <si>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</si>
  <si>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</si>
  <si>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</si>
  <si>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</si>
  <si>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</si>
  <si>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</si>
  <si>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</si>
  <si>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</si>
  <si>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</si>
  <si>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</si>
  <si>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</si>
  <si>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</si>
  <si>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</si>
  <si>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</si>
  <si>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</si>
  <si>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</si>
  <si>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</si>
  <si>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</si>
  <si>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</si>
  <si>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</si>
  <si>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</si>
  <si>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</si>
  <si>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</si>
  <si>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</si>
  <si>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</si>
  <si>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</si>
  <si>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</si>
  <si>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</si>
  <si>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</si>
  <si>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</si>
  <si>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</si>
  <si>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</si>
  <si>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</si>
  <si>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</si>
  <si>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</si>
  <si>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</si>
  <si>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</si>
  <si>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</si>
  <si>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</si>
  <si>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</si>
  <si>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</si>
  <si>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</si>
  <si>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</si>
  <si>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</si>
  <si>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</si>
  <si>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</si>
  <si>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</si>
  <si>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</si>
  <si>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</si>
  <si>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</si>
  <si>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</si>
  <si>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</si>
  <si>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</si>
  <si>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</si>
  <si>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</si>
  <si>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</si>
  <si>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</si>
  <si>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</si>
  <si>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</si>
  <si>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</si>
  <si>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</si>
  <si>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</si>
  <si>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</si>
  <si>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</si>
  <si>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</si>
  <si>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</si>
  <si>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</si>
  <si>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</si>
  <si>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</si>
  <si>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</si>
  <si>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</si>
  <si>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</si>
  <si>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</si>
  <si>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</si>
  <si>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</si>
  <si>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</si>
  <si>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</si>
  <si>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</si>
  <si>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</si>
  <si>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</si>
  <si>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</si>
  <si>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</si>
  <si>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</si>
  <si>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</si>
  <si>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</si>
  <si>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</si>
  <si>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</si>
  <si>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</si>
  <si>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</si>
  <si>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</si>
  <si>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</si>
  <si>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</si>
  <si>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</si>
  <si>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</si>
  <si>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</si>
  <si>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</si>
  <si>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</si>
  <si>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</si>
  <si>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</si>
  <si>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</si>
  <si>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</si>
  <si>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</si>
  <si>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</si>
  <si>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</si>
  <si>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</si>
  <si>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</si>
  <si>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</si>
  <si>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</si>
  <si>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</si>
  <si>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</si>
  <si>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</si>
  <si>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</si>
  <si>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</si>
  <si>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</si>
  <si>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</si>
  <si>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</si>
  <si>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</si>
  <si>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</si>
  <si>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</si>
  <si>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</si>
  <si>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</si>
  <si>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</si>
  <si>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</si>
  <si>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</si>
  <si>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</si>
  <si>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</si>
  <si>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</si>
  <si>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</si>
  <si>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</si>
  <si>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</si>
  <si>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</si>
  <si>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</si>
  <si>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</si>
  <si>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</si>
  <si>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</si>
  <si>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</si>
  <si>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</si>
  <si>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</si>
  <si>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</si>
  <si>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</si>
  <si>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</si>
  <si>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</si>
  <si>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</si>
  <si>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</si>
  <si>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</si>
  <si>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</si>
  <si>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</si>
  <si>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</si>
  <si>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</si>
  <si>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</si>
  <si>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</si>
  <si>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</si>
  <si>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</si>
  <si>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</si>
  <si>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</si>
  <si>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</si>
  <si>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</si>
  <si>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</si>
  <si>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</si>
  <si>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</si>
  <si>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</si>
  <si>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</si>
  <si>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</si>
  <si>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</si>
  <si>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</si>
  <si>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</si>
  <si>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</si>
  <si>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</si>
  <si>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</si>
  <si>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</si>
  <si>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</si>
  <si>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</si>
  <si>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</si>
  <si>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</si>
  <si>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</si>
  <si>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</si>
  <si>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</si>
  <si>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</si>
  <si>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</si>
  <si>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</si>
  <si>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</si>
  <si>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</si>
  <si>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</si>
  <si>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</si>
  <si>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</si>
  <si>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</si>
  <si>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</si>
  <si>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</si>
  <si>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</si>
  <si>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</si>
  <si>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</si>
  <si>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</si>
  <si>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</si>
  <si>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</si>
  <si>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</si>
  <si>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</si>
  <si>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</si>
  <si>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</si>
  <si>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</si>
  <si>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</si>
  <si>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</si>
  <si>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</si>
  <si>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</si>
  <si>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</si>
  <si>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</si>
  <si>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</si>
  <si>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</si>
  <si>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</si>
  <si>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</si>
  <si>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</si>
  <si>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</si>
  <si>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</si>
  <si>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</si>
  <si>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</si>
  <si>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</si>
  <si>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</si>
  <si>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</si>
  <si>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</si>
  <si>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</si>
  <si>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</si>
  <si>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</si>
  <si>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</si>
  <si>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</si>
  <si>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</si>
  <si>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</si>
  <si>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</si>
  <si>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</si>
  <si>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</si>
  <si>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</si>
  <si>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</si>
  <si>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</si>
  <si>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</si>
  <si>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</si>
  <si>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</si>
  <si>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</si>
  <si>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</si>
  <si>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</si>
  <si>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</si>
  <si>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</si>
  <si>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</si>
  <si>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</si>
  <si>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</si>
  <si>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</si>
  <si>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</si>
  <si>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</si>
  <si>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</si>
  <si>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</si>
  <si>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</si>
  <si>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</si>
  <si>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</si>
  <si>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</si>
  <si>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</si>
  <si>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</si>
  <si>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</si>
  <si>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</si>
  <si>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</si>
  <si>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</si>
  <si>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</si>
  <si>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</si>
  <si>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</si>
  <si>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</si>
  <si>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</si>
  <si>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</si>
  <si>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</si>
  <si>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</si>
  <si>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</si>
  <si>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</si>
  <si>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</si>
  <si>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</si>
  <si>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</si>
  <si>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</si>
  <si>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</si>
  <si>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</si>
  <si>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</si>
  <si>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</si>
  <si>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</si>
  <si>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</si>
  <si>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</si>
  <si>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</si>
  <si>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</si>
  <si>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</si>
  <si>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</si>
  <si>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</si>
  <si>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</si>
  <si>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</si>
  <si>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</si>
  <si>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</si>
  <si>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</si>
  <si>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</si>
  <si>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</si>
  <si>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</si>
  <si>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</si>
  <si>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</si>
  <si>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</si>
  <si>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</si>
  <si>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</si>
  <si>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</si>
  <si>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</si>
  <si>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</si>
  <si>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</si>
  <si>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</si>
  <si>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</si>
  <si>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</si>
  <si>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</si>
  <si>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</si>
  <si>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</si>
  <si>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</si>
  <si>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</si>
  <si>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</si>
  <si>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</si>
  <si>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</si>
  <si>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</si>
  <si>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</si>
  <si>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</si>
  <si>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</si>
  <si>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</si>
  <si>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</si>
  <si>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</si>
  <si>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</si>
  <si>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</si>
  <si>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</si>
  <si>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</si>
  <si>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</si>
  <si>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</si>
  <si>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</si>
  <si>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</si>
  <si>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</si>
  <si>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</si>
  <si>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</si>
  <si>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</si>
  <si>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</si>
  <si>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</si>
  <si>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</si>
  <si>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</si>
  <si>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</si>
  <si>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</si>
  <si>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</si>
  <si>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</si>
  <si>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</si>
  <si>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</si>
  <si>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</si>
  <si>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</si>
  <si>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</si>
  <si>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</si>
  <si>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</si>
  <si>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</si>
  <si>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</si>
  <si>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</si>
  <si>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</si>
  <si>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</si>
  <si>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</si>
  <si>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</si>
  <si>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</si>
  <si>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</si>
  <si>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</si>
  <si>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</si>
  <si>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</si>
  <si>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</si>
  <si>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</si>
  <si>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</si>
  <si>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</si>
  <si>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</si>
  <si>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</si>
  <si>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</si>
  <si>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</si>
  <si>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</si>
  <si>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</si>
  <si>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</si>
  <si>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</si>
  <si>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</si>
  <si>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</si>
  <si>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</si>
  <si>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</si>
  <si>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</si>
  <si>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</si>
  <si>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</si>
  <si>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</si>
  <si>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</si>
  <si>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</si>
  <si>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</si>
  <si>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</si>
  <si>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</si>
  <si>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</si>
  <si>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</si>
  <si>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</si>
  <si>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</si>
  <si>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</si>
  <si>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</si>
  <si>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</si>
  <si>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</si>
  <si>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</si>
  <si>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</si>
  <si>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</si>
  <si>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</si>
  <si>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</si>
  <si>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</si>
  <si>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</si>
  <si>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</si>
  <si>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</si>
  <si>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</si>
  <si>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</si>
  <si>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</si>
  <si>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</si>
  <si>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</si>
  <si>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</si>
  <si>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</si>
  <si>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</si>
  <si>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</si>
  <si>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</si>
  <si>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</si>
  <si>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</si>
  <si>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</si>
  <si>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</si>
  <si>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</si>
  <si>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</si>
  <si>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</si>
  <si>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</si>
  <si>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</si>
  <si>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</si>
  <si>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</si>
  <si>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</si>
  <si>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</si>
  <si>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</si>
  <si>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</si>
  <si>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</si>
  <si>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</si>
  <si>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</si>
  <si>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</si>
  <si>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</si>
  <si>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</si>
  <si>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</si>
  <si>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</si>
  <si>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</si>
  <si>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</si>
  <si>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</si>
  <si>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</si>
  <si>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</si>
  <si>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</si>
  <si>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</si>
  <si>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</si>
  <si>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</si>
  <si>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</si>
  <si>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</si>
  <si>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</si>
  <si>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</si>
  <si>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</si>
  <si>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</si>
  <si>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</si>
  <si>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</si>
  <si>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</si>
  <si>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</si>
  <si>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</si>
  <si>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</si>
  <si>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</si>
  <si>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</si>
  <si>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</si>
  <si>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</si>
  <si>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</si>
  <si>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</si>
  <si>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</si>
  <si>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</si>
  <si>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</si>
  <si>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</si>
  <si>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</si>
  <si>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</si>
  <si>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</si>
  <si>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</si>
  <si>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</si>
  <si>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</si>
  <si>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</si>
  <si>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</si>
  <si>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</si>
  <si>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</si>
  <si>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</si>
  <si>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</si>
  <si>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</si>
  <si>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</si>
  <si>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</si>
  <si>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</si>
  <si>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</si>
  <si>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</si>
  <si>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</si>
  <si>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</si>
  <si>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</si>
  <si>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</si>
  <si>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</si>
  <si>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</si>
  <si>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</si>
  <si>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</si>
  <si>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</si>
  <si>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</si>
  <si>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</si>
  <si>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</si>
  <si>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</si>
  <si>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</si>
  <si>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</si>
  <si>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</si>
  <si>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</si>
  <si>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</si>
  <si>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</si>
  <si>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</si>
  <si>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</si>
  <si>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</si>
  <si>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</si>
  <si>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</si>
  <si>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</si>
  <si>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</si>
  <si>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</si>
  <si>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</si>
  <si>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</si>
  <si>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</si>
  <si>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</si>
  <si>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</si>
  <si>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</si>
  <si>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</si>
  <si>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</si>
  <si>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</si>
  <si>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</si>
  <si>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</si>
  <si>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</si>
  <si>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</si>
  <si>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</si>
  <si>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</si>
  <si>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</si>
  <si>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</si>
  <si>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</si>
  <si>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</si>
  <si>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</si>
  <si>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</si>
  <si>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</si>
  <si>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</si>
  <si>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</si>
  <si>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</si>
  <si>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</si>
  <si>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</si>
  <si>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</si>
  <si>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</si>
  <si>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</si>
  <si>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</si>
  <si>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</si>
  <si>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</si>
  <si>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</si>
  <si>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</si>
  <si>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</si>
  <si>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</si>
  <si>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</si>
  <si>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</si>
  <si>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</si>
  <si>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</si>
  <si>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</si>
  <si>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</si>
  <si>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</si>
  <si>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</si>
  <si>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</si>
  <si>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</si>
  <si>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</si>
  <si>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</si>
  <si>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</si>
  <si>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</si>
  <si>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</si>
  <si>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</si>
  <si>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</si>
  <si>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</si>
  <si>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</si>
  <si>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</si>
  <si>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</si>
  <si>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</si>
  <si>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</si>
  <si>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</si>
  <si>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</si>
  <si>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</si>
  <si>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</si>
  <si>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</si>
  <si>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</si>
  <si>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</si>
  <si>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</si>
  <si>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</si>
  <si>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</si>
  <si>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</si>
  <si>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</si>
  <si>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</si>
  <si>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</si>
  <si>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</si>
  <si>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</si>
  <si>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</si>
  <si>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</si>
  <si>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</si>
  <si>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</si>
  <si>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</si>
  <si>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</si>
  <si>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</si>
  <si>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</si>
  <si>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</si>
  <si>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</si>
  <si>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</si>
  <si>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</si>
  <si>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</si>
  <si>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</si>
  <si>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</si>
  <si>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</si>
  <si>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</si>
  <si>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</si>
  <si>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</si>
  <si>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</si>
  <si>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</si>
  <si>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</si>
  <si>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</si>
  <si>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</si>
  <si>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</si>
  <si>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</si>
  <si>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</si>
  <si>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</si>
  <si>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</si>
  <si>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</si>
  <si>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</si>
  <si>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</si>
  <si>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</si>
  <si>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</si>
  <si>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</si>
  <si>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</si>
  <si>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</si>
  <si>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</si>
  <si>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</si>
  <si>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</si>
  <si>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</si>
  <si>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</si>
  <si>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</si>
  <si>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</si>
  <si>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</si>
  <si>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</si>
  <si>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</si>
  <si>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</si>
  <si>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</si>
  <si>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</si>
  <si>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</si>
  <si>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</si>
  <si>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</si>
  <si>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</si>
  <si>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</si>
  <si>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</si>
  <si>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</si>
  <si>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</si>
  <si>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</si>
  <si>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</si>
  <si>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</si>
  <si>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</si>
  <si>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</si>
  <si>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</si>
  <si>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</si>
  <si>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</si>
  <si>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</si>
  <si>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</si>
  <si>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</si>
  <si>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</si>
  <si>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</si>
  <si>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</si>
  <si>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</si>
  <si>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</si>
  <si>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</si>
  <si>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</si>
  <si>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</si>
  <si>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</si>
  <si>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</si>
  <si>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</si>
  <si>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</si>
  <si>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</si>
  <si>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</si>
  <si>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</si>
  <si>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</si>
  <si>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</si>
  <si>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</si>
  <si>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</si>
  <si>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</si>
  <si>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</si>
  <si>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</si>
  <si>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</si>
  <si>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</si>
  <si>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</si>
  <si>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</si>
  <si>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</si>
  <si>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</si>
  <si>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</si>
  <si>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</si>
  <si>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</si>
  <si>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</si>
  <si>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</si>
  <si>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</si>
  <si>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</si>
  <si>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</si>
  <si>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</si>
  <si>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</si>
  <si>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</si>
  <si>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</si>
  <si>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</si>
  <si>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</si>
  <si>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</si>
  <si>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</si>
  <si>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</si>
  <si>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</si>
  <si>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</si>
  <si>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</si>
  <si>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</si>
  <si>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</si>
  <si>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</si>
  <si>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</si>
  <si>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</si>
  <si>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</si>
  <si>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</si>
  <si>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</si>
  <si>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</si>
  <si>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</si>
  <si>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</si>
  <si>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</si>
  <si>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</si>
  <si>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</si>
  <si>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</si>
  <si>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</si>
  <si>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</si>
  <si>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</si>
  <si>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</si>
  <si>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</si>
  <si>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</si>
  <si>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</si>
  <si>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</si>
  <si>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</si>
  <si>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</si>
  <si>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</si>
  <si>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</si>
  <si>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</si>
  <si>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</si>
  <si>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</si>
  <si>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</si>
  <si>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</si>
  <si>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</si>
  <si>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</si>
  <si>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</si>
  <si>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</si>
  <si>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</si>
  <si>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</si>
  <si>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</si>
  <si>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</si>
  <si>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</si>
  <si>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</si>
  <si>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</si>
  <si>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</si>
  <si>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</si>
  <si>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</si>
  <si>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</si>
  <si>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</si>
  <si>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</si>
  <si>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</si>
  <si>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</si>
  <si>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</si>
  <si>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</si>
  <si>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</si>
  <si>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</si>
  <si>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</si>
  <si>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</si>
  <si>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</si>
  <si>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</si>
  <si>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</si>
  <si>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</si>
  <si>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</si>
  <si>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</si>
  <si>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</si>
  <si>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</si>
  <si>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</si>
  <si>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</si>
  <si>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</si>
  <si>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</si>
  <si>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</si>
  <si>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</si>
  <si>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</si>
  <si>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</si>
  <si>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</si>
  <si>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</si>
  <si>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</si>
  <si>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</si>
  <si>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</si>
  <si>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</si>
  <si>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</si>
  <si>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</si>
  <si>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</si>
  <si>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</si>
  <si>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</si>
  <si>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</si>
  <si>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</si>
  <si>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</si>
  <si>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</si>
  <si>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</si>
  <si>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</si>
  <si>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</si>
  <si>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</si>
  <si>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</si>
  <si>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</si>
  <si>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</si>
  <si>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</si>
  <si>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</si>
  <si>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</si>
  <si>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</si>
  <si>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</si>
  <si>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</si>
  <si>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</si>
  <si>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</si>
  <si>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</si>
  <si>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</si>
  <si>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</si>
  <si>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</si>
  <si>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</si>
  <si>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</si>
  <si>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</si>
  <si>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</si>
  <si>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</si>
  <si>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</si>
  <si>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</si>
  <si>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</si>
  <si>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</si>
  <si>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</si>
  <si>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</si>
  <si>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</si>
  <si>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</si>
  <si>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</si>
  <si>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</si>
  <si>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</si>
  <si>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</si>
  <si>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</si>
  <si>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</si>
  <si>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</si>
  <si>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</si>
  <si>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</si>
  <si>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</si>
  <si>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</si>
  <si>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</si>
  <si>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</si>
  <si>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</si>
  <si>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</si>
  <si>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</si>
  <si>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</si>
  <si>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</si>
  <si>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</si>
  <si>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</si>
  <si>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</si>
  <si>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</si>
  <si>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</si>
  <si>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</si>
  <si>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</si>
  <si>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</si>
  <si>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</si>
  <si>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</si>
  <si>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</si>
  <si>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</si>
  <si>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</si>
  <si>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</si>
  <si>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</si>
  <si>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</si>
  <si>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</si>
  <si>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</si>
  <si>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</si>
  <si>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</si>
  <si>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</si>
  <si>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</si>
  <si>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</si>
  <si>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</si>
  <si>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</si>
  <si>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</si>
  <si>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</si>
  <si>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</si>
  <si>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</si>
  <si>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</si>
  <si>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</si>
  <si>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</si>
  <si>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</si>
  <si>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</si>
  <si>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</si>
  <si>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</si>
  <si>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</si>
  <si>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</si>
  <si>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</si>
  <si>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</si>
  <si>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</si>
  <si>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</si>
  <si>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</si>
  <si>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</si>
  <si>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</si>
  <si>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</si>
  <si>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</si>
  <si>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</si>
  <si>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</si>
  <si>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</si>
  <si>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</si>
  <si>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</si>
  <si>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</si>
  <si>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</si>
  <si>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</si>
  <si>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</si>
  <si>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</si>
  <si>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</si>
  <si>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</si>
  <si>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</si>
  <si>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</si>
  <si>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</si>
  <si>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</si>
  <si>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</si>
  <si>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</si>
  <si>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</si>
  <si>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</si>
  <si>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</si>
  <si>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</si>
  <si>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</si>
  <si>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</si>
  <si>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</si>
  <si>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</si>
  <si>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</si>
  <si>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</si>
  <si>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</si>
  <si>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</si>
  <si>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</si>
  <si>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</si>
  <si>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</si>
  <si>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</si>
  <si>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</si>
  <si>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</si>
  <si>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</si>
  <si>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</si>
  <si>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</si>
  <si>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</si>
  <si>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</si>
  <si>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</si>
  <si>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</si>
  <si>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</si>
  <si>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</si>
  <si>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</si>
  <si>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</si>
  <si>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</si>
  <si>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</si>
  <si>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</si>
  <si>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</si>
  <si>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</si>
  <si>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</si>
  <si>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</si>
  <si>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</si>
  <si>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</si>
  <si>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</si>
  <si>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</si>
  <si>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</si>
  <si>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</si>
  <si>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</si>
  <si>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</si>
  <si>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</si>
  <si>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</si>
  <si>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</si>
  <si>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</si>
  <si>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</si>
  <si>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</si>
  <si>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</si>
  <si>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</si>
  <si>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</si>
  <si>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</si>
  <si>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</si>
  <si>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</si>
  <si>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</si>
  <si>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</si>
  <si>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</si>
  <si>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</si>
  <si>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</si>
  <si>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</si>
  <si>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</si>
  <si>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</si>
  <si>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</si>
  <si>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</si>
  <si>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</si>
  <si>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</si>
  <si>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</si>
  <si>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</si>
  <si>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</si>
  <si>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</si>
  <si>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</si>
  <si>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</si>
  <si>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</si>
  <si>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</si>
  <si>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</si>
  <si>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</si>
  <si>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</si>
  <si>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</si>
  <si>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</si>
  <si>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</si>
  <si>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</si>
  <si>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</si>
  <si>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</si>
  <si>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</si>
  <si>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</si>
  <si>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</si>
  <si>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</si>
  <si>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</si>
  <si>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</si>
  <si>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</si>
  <si>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</si>
  <si>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</si>
  <si>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</si>
  <si>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</si>
  <si>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</si>
  <si>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</si>
  <si>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</si>
  <si>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</si>
  <si>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</si>
  <si>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</si>
  <si>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</si>
  <si>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</si>
  <si>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</si>
  <si>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</si>
  <si>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</si>
  <si>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</si>
  <si>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</si>
  <si>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</si>
  <si>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</si>
  <si>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</si>
  <si>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</si>
  <si>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</si>
  <si>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</si>
  <si>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</si>
  <si>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</si>
  <si>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</si>
  <si>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</si>
  <si>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</si>
  <si>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</si>
  <si>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</si>
  <si>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</si>
  <si>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</si>
  <si>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</si>
  <si>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</si>
  <si>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</si>
  <si>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</si>
  <si>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</si>
  <si>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</si>
  <si>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</si>
  <si>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</si>
  <si>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</si>
  <si>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</si>
  <si>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</si>
  <si>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</si>
  <si>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</si>
  <si>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</si>
  <si>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</si>
  <si>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</si>
  <si>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</si>
  <si>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</si>
  <si>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</si>
  <si>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</si>
  <si>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</si>
  <si>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</si>
  <si>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</si>
  <si>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</si>
  <si>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</si>
  <si>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</si>
  <si>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</si>
  <si>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</si>
  <si>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</si>
  <si>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</si>
  <si>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</si>
  <si>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</si>
  <si>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</si>
  <si>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</si>
  <si>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</si>
  <si>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</si>
  <si>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</si>
  <si>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</si>
  <si>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</si>
  <si>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</si>
  <si>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</si>
  <si>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</si>
  <si>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</si>
  <si>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</si>
  <si>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</si>
  <si>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</si>
  <si>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</si>
  <si>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</si>
  <si>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</si>
  <si>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</si>
  <si>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</si>
  <si>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</si>
  <si>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</si>
  <si>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</si>
  <si>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</si>
  <si>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</si>
  <si>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</si>
  <si>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</si>
  <si>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</si>
  <si>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</si>
  <si>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</si>
  <si>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</si>
  <si>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</si>
  <si>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</si>
  <si>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</si>
  <si>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</si>
  <si>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</si>
  <si>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</si>
  <si>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</si>
  <si>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</si>
  <si>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</si>
  <si>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</si>
  <si>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</si>
  <si>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</si>
  <si>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</si>
  <si>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</si>
  <si>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</si>
  <si>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</si>
  <si>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</si>
  <si>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</si>
  <si>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</si>
  <si>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</si>
  <si>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</si>
  <si>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</si>
  <si>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</si>
  <si>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</si>
  <si>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</si>
  <si>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</si>
  <si>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</si>
  <si>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</si>
  <si>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</si>
  <si>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</si>
  <si>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</si>
  <si>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</si>
  <si>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</si>
  <si>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</si>
  <si>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</si>
  <si>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</si>
  <si>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</si>
  <si>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</si>
  <si>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</si>
  <si>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</si>
  <si>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</si>
  <si>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</si>
  <si>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</si>
  <si>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</si>
  <si>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</si>
  <si>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</si>
  <si>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</si>
  <si>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</si>
  <si>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</si>
  <si>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</si>
  <si>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</si>
  <si>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</si>
  <si>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</si>
  <si>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</si>
  <si>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</si>
  <si>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</si>
  <si>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</si>
  <si>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</si>
  <si>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</si>
  <si>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</si>
  <si>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</si>
  <si>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</si>
  <si>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</si>
  <si>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</si>
  <si>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</si>
  <si>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</si>
  <si>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</si>
  <si>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</si>
  <si>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</si>
  <si>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</si>
  <si>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</si>
  <si>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</si>
  <si>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</si>
  <si>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</si>
  <si>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</si>
  <si>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</si>
  <si>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</si>
  <si>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</si>
  <si>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</si>
  <si>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</si>
  <si>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</si>
  <si>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</si>
  <si>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</si>
  <si>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</si>
  <si>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</si>
  <si>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</si>
  <si>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</si>
  <si>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</si>
  <si>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</si>
  <si>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</si>
  <si>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</si>
  <si>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</si>
  <si>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</si>
  <si>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</si>
  <si>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</si>
  <si>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</si>
  <si>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</si>
  <si>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</si>
  <si>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</si>
  <si>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</si>
  <si>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</si>
  <si>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</si>
  <si>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</si>
  <si>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</si>
  <si>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</si>
  <si>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</si>
  <si>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</si>
  <si>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</si>
  <si>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</si>
  <si>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</si>
  <si>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</si>
  <si>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</si>
  <si>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</si>
  <si>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</si>
  <si>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</si>
  <si>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</si>
  <si>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</si>
  <si>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</si>
  <si>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</si>
  <si>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</si>
  <si>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</si>
  <si>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</si>
  <si>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</si>
  <si>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</si>
  <si>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</si>
  <si>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</si>
  <si>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</si>
  <si>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</si>
  <si>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</si>
  <si>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</si>
  <si>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</si>
  <si>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</si>
  <si>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</si>
  <si>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</si>
  <si>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</si>
  <si>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</si>
  <si>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</si>
  <si>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</si>
  <si>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</si>
  <si>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</si>
  <si>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</si>
  <si>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</si>
  <si>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</si>
  <si>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</si>
  <si>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</si>
  <si>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</si>
  <si>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</si>
  <si>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</si>
  <si>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</si>
  <si>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</si>
  <si>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</si>
  <si>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</si>
  <si>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</si>
  <si>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</si>
  <si>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</si>
  <si>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</si>
  <si>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</si>
  <si>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</si>
  <si>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</si>
  <si>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</si>
  <si>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</si>
  <si>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</si>
  <si>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</si>
  <si>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</si>
  <si>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</si>
  <si>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</si>
  <si>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</si>
  <si>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</si>
  <si>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</si>
  <si>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</si>
  <si>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</si>
  <si>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</si>
  <si>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</si>
  <si>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</si>
  <si>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</si>
  <si>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</si>
  <si>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</si>
  <si>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</si>
  <si>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</si>
  <si>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</si>
  <si>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</si>
  <si>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</si>
  <si>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</si>
  <si>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</si>
  <si>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</si>
  <si>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</si>
  <si>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</si>
  <si>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</si>
  <si>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</si>
  <si>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</si>
  <si>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</si>
  <si>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</si>
  <si>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</si>
  <si>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</si>
  <si>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</si>
  <si>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</si>
  <si>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</si>
  <si>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</si>
  <si>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</si>
  <si>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</si>
  <si>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</si>
  <si>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</si>
  <si>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</si>
  <si>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</si>
  <si>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</si>
  <si>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</si>
  <si>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</si>
  <si>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</si>
  <si>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</si>
  <si>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</si>
  <si>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</si>
  <si>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</si>
  <si>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</si>
  <si>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</si>
  <si>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</si>
  <si>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</si>
  <si>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</si>
  <si>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</si>
  <si>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</si>
  <si>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</si>
  <si>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</si>
  <si>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</si>
  <si>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</si>
  <si>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</si>
  <si>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</si>
  <si>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</si>
  <si>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</si>
  <si>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</si>
  <si>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</si>
  <si>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</si>
  <si>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</si>
  <si>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</si>
  <si>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</si>
  <si>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</si>
  <si>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</si>
  <si>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</si>
  <si>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</si>
  <si>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</si>
  <si>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</si>
  <si>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</si>
  <si>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</si>
  <si>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</si>
  <si>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</si>
  <si>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</si>
  <si>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</si>
  <si>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</si>
  <si>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</si>
  <si>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</si>
  <si>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</si>
  <si>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</si>
  <si>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</si>
  <si>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</si>
  <si>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</si>
  <si>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</si>
  <si>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</si>
  <si>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</si>
  <si>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</si>
  <si>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</si>
  <si>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</si>
  <si>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</si>
  <si>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</si>
  <si>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</si>
  <si>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</si>
  <si>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</si>
  <si>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</si>
  <si>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</si>
  <si>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</si>
  <si>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</si>
  <si>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</si>
  <si>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</si>
  <si>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</si>
  <si>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</si>
  <si>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</si>
  <si>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</si>
  <si>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</si>
  <si>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</si>
  <si>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</si>
  <si>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</si>
  <si>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</si>
  <si>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</si>
  <si>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</si>
  <si>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</si>
  <si>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</si>
  <si>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</si>
  <si>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</si>
  <si>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</si>
  <si>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</si>
  <si>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</si>
  <si>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</si>
  <si>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</si>
  <si>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</si>
  <si>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</si>
  <si>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</si>
  <si>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</si>
  <si>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</si>
  <si>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</si>
  <si>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</si>
  <si>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</si>
  <si>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</si>
  <si>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</si>
  <si>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</si>
  <si>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</si>
  <si>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</si>
  <si>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</si>
  <si>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</si>
  <si>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</si>
  <si>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</si>
  <si>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</si>
  <si>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</si>
  <si>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</si>
  <si>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</si>
  <si>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</si>
  <si>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</si>
  <si>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</si>
  <si>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</si>
  <si>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</si>
  <si>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</si>
  <si>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</si>
  <si>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</si>
  <si>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</si>
  <si>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</si>
  <si>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</si>
  <si>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</si>
  <si>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</si>
  <si>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</si>
  <si>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</si>
  <si>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</si>
  <si>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</si>
  <si>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</si>
  <si>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</si>
  <si>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</si>
  <si>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</si>
  <si>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</si>
  <si>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</si>
  <si>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</si>
  <si>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</si>
  <si>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</si>
  <si>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</si>
  <si>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</si>
  <si>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</si>
  <si>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</si>
  <si>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</si>
  <si>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</si>
  <si>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</si>
  <si>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</si>
  <si>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</si>
  <si>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</si>
  <si>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</si>
  <si>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</si>
  <si>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</si>
  <si>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</si>
  <si>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</si>
  <si>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</si>
  <si>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</si>
  <si>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</si>
  <si>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</si>
  <si>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</si>
  <si>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</si>
  <si>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</si>
  <si>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</si>
  <si>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</si>
  <si>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</si>
  <si>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</si>
  <si>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</si>
  <si>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</si>
  <si>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</si>
  <si>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</si>
  <si>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</si>
  <si>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</si>
  <si>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</si>
  <si>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</si>
  <si>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</si>
  <si>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</si>
  <si>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</si>
  <si>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</si>
  <si>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</si>
  <si>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</si>
  <si>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</si>
  <si>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</si>
  <si>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</si>
  <si>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</si>
  <si>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</si>
  <si>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</si>
  <si>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</si>
  <si>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</si>
  <si>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</si>
  <si>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</si>
  <si>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</si>
  <si>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</si>
  <si>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</si>
  <si>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</si>
  <si>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</si>
  <si>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</si>
  <si>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</si>
  <si>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</si>
  <si>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</si>
  <si>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</si>
  <si>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</si>
  <si>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</si>
  <si>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</si>
  <si>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</si>
  <si>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</si>
  <si>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</si>
  <si>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</si>
  <si>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</si>
  <si>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</si>
  <si>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</si>
  <si>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</si>
  <si>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</si>
  <si>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</si>
  <si>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</si>
  <si>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</si>
  <si>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</si>
  <si>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</si>
  <si>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</si>
  <si>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</si>
  <si>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</si>
  <si>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</si>
  <si>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</si>
  <si>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</si>
  <si>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</si>
  <si>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</si>
  <si>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</si>
  <si>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</si>
  <si>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</si>
  <si>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</si>
  <si>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</si>
  <si>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</si>
  <si>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</si>
  <si>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</si>
  <si>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</si>
  <si>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</si>
  <si>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</si>
  <si>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</si>
  <si>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</si>
  <si>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</si>
  <si>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</si>
  <si>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</si>
  <si>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</si>
  <si>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</si>
  <si>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</si>
  <si>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</si>
  <si>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</si>
  <si>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</si>
  <si>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</si>
  <si>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</si>
  <si>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</si>
  <si>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</si>
  <si>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</si>
  <si>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</si>
  <si>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</si>
  <si>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</si>
  <si>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</si>
  <si>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</si>
  <si>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</si>
  <si>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</si>
  <si>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</si>
  <si>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</si>
  <si>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</si>
  <si>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</si>
  <si>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</si>
  <si>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</si>
  <si>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</si>
  <si>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</si>
  <si>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</si>
  <si>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</si>
  <si>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</si>
  <si>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</si>
  <si>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</si>
  <si>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</si>
  <si>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</si>
  <si>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</si>
  <si>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</si>
  <si>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</si>
  <si>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</si>
  <si>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</si>
  <si>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</si>
  <si>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</si>
  <si>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</si>
  <si>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</si>
  <si>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</si>
  <si>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</si>
  <si>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</si>
  <si>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</si>
  <si>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</si>
  <si>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</si>
  <si>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</si>
  <si>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</si>
  <si>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</si>
  <si>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</si>
  <si>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</si>
  <si>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</si>
  <si>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</si>
  <si>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</si>
  <si>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</si>
  <si>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</si>
  <si>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</si>
  <si>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</si>
  <si>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</si>
  <si>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</si>
  <si>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</si>
  <si>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</si>
  <si>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</si>
  <si>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</si>
  <si>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</si>
  <si>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</si>
  <si>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</si>
  <si>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</si>
  <si>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</si>
  <si>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</si>
  <si>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</si>
  <si>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</si>
  <si>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</si>
  <si>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</si>
  <si>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</si>
  <si>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</si>
  <si>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</si>
  <si>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</si>
  <si>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</si>
  <si>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</si>
  <si>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</si>
  <si>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</si>
  <si>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</si>
  <si>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</si>
  <si>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</si>
  <si>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</si>
  <si>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</si>
  <si>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</si>
  <si>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</si>
  <si>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</si>
  <si>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</si>
  <si>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</si>
  <si>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</si>
  <si>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</si>
  <si>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</si>
  <si>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</si>
  <si>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</si>
  <si>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</si>
  <si>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</si>
  <si>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</si>
  <si>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</si>
  <si>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</si>
  <si>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</si>
  <si>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</si>
  <si>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</si>
  <si>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</si>
  <si>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</si>
  <si>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</si>
  <si>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</si>
  <si>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</si>
  <si>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</si>
  <si>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</si>
  <si>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</si>
  <si>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</si>
  <si>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</si>
  <si>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</si>
  <si>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</si>
  <si>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</si>
  <si>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</si>
  <si>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</si>
  <si>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</si>
  <si>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</si>
  <si>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</si>
  <si>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</si>
  <si>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</si>
  <si>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</si>
  <si>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</si>
  <si>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</si>
  <si>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</si>
  <si>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</si>
  <si>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</si>
  <si>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</si>
  <si>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</si>
  <si>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</si>
  <si>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</si>
  <si>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</si>
  <si>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</si>
  <si>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</si>
  <si>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</si>
  <si>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</si>
  <si>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</si>
  <si>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</si>
  <si>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</si>
  <si>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</si>
  <si>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</si>
  <si>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</si>
  <si>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</si>
  <si>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</si>
  <si>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</si>
  <si>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</si>
  <si>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</si>
  <si>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</si>
  <si>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</si>
  <si>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</si>
  <si>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</si>
  <si>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</si>
  <si>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</si>
  <si>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</si>
  <si>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</si>
  <si>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</si>
  <si>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</si>
  <si>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</si>
  <si>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</si>
  <si>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</si>
  <si>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</si>
  <si>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</si>
  <si>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</si>
  <si>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</si>
  <si>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</si>
  <si>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</si>
  <si>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</si>
  <si>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</si>
  <si>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</si>
  <si>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</si>
  <si>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</si>
  <si>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</si>
  <si>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</si>
  <si>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</si>
  <si>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</si>
  <si>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</si>
  <si>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</si>
  <si>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</si>
  <si>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</si>
  <si>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</si>
  <si>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</si>
  <si>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</si>
  <si>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</si>
  <si>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</si>
  <si>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</si>
  <si>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</si>
  <si>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</si>
  <si>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</si>
  <si>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</si>
  <si>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</si>
  <si>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</si>
  <si>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</si>
  <si>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</si>
  <si>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</si>
  <si>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</si>
  <si>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</si>
  <si>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</si>
  <si>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</si>
  <si>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</si>
  <si>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</si>
  <si>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</si>
  <si>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</si>
  <si>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</si>
  <si>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</si>
  <si>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</si>
  <si>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</si>
  <si>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</si>
  <si>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</si>
  <si>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</si>
  <si>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</si>
  <si>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</si>
  <si>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</si>
  <si>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</si>
  <si>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</si>
  <si>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</si>
  <si>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</si>
  <si>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</si>
  <si>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</si>
  <si>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</si>
  <si>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</si>
  <si>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</si>
  <si>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</si>
  <si>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</si>
  <si>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</si>
  <si>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</si>
  <si>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</si>
  <si>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</si>
  <si>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</si>
  <si>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</si>
  <si>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</si>
  <si>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</si>
  <si>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</si>
  <si>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</si>
  <si>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</si>
  <si>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</si>
  <si>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</si>
  <si>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</si>
  <si>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</si>
  <si>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</si>
  <si>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</si>
  <si>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</si>
  <si>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</si>
  <si>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</si>
  <si>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</si>
  <si>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</si>
  <si>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</si>
  <si>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</si>
  <si>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</si>
  <si>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</si>
  <si>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</si>
  <si>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</si>
  <si>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</si>
  <si>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</si>
  <si>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</si>
  <si>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</si>
  <si>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</si>
  <si>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</si>
  <si>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</si>
  <si>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</si>
  <si>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</si>
  <si>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</si>
  <si>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</si>
  <si>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</si>
  <si>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</si>
  <si>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</si>
  <si>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</si>
  <si>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</si>
  <si>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</si>
  <si>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</si>
  <si>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</si>
  <si>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</si>
  <si>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</si>
  <si>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</si>
  <si>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</si>
  <si>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</si>
  <si>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</si>
  <si>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</si>
  <si>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</si>
  <si>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</si>
  <si>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</si>
  <si>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</si>
  <si>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</si>
  <si>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</si>
  <si>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</si>
  <si>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</si>
  <si>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</si>
  <si>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</si>
  <si>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</si>
  <si>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</si>
  <si>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</si>
  <si>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</si>
  <si>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</si>
  <si>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</si>
  <si>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</si>
  <si>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</si>
  <si>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</si>
  <si>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</si>
  <si>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</si>
  <si>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</si>
  <si>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</si>
  <si>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</si>
  <si>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</si>
  <si>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</si>
  <si>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</si>
  <si>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</si>
  <si>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</si>
  <si>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</si>
  <si>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</si>
  <si>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</si>
  <si>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</si>
  <si>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</si>
  <si>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</si>
  <si>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</si>
  <si>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</si>
  <si>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</si>
  <si>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</si>
  <si>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</si>
  <si>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</si>
  <si>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</si>
  <si>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</si>
  <si>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</si>
  <si>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</si>
  <si>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</si>
  <si>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</si>
  <si>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</si>
  <si>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</si>
  <si>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</si>
  <si>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</si>
  <si>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</si>
  <si>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</si>
  <si>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</si>
  <si>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</si>
  <si>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</si>
  <si>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</si>
  <si>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</si>
  <si>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</si>
  <si>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</si>
  <si>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</si>
  <si>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</si>
  <si>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</si>
  <si>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</si>
  <si>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</si>
  <si>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</si>
  <si>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</si>
  <si>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</si>
  <si>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</si>
  <si>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</si>
  <si>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</si>
  <si>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</si>
  <si>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</si>
  <si>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</si>
  <si>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</si>
  <si>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</si>
  <si>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</si>
  <si>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</si>
  <si>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</si>
  <si>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</si>
  <si>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</si>
  <si>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</si>
  <si>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</si>
  <si>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</si>
  <si>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</si>
  <si>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</si>
  <si>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</si>
  <si>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</si>
  <si>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</si>
  <si>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</si>
  <si>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</si>
  <si>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</si>
  <si>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</si>
  <si>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</si>
  <si>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</si>
  <si>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</si>
  <si>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</si>
  <si>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</si>
  <si>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</si>
  <si>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</si>
  <si>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</si>
  <si>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</si>
  <si>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</si>
  <si>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</si>
  <si>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</si>
  <si>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</si>
  <si>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</si>
  <si>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</si>
  <si>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</si>
  <si>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</si>
  <si>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</si>
  <si>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</si>
  <si>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</si>
  <si>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</si>
  <si>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</si>
  <si>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</si>
  <si>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</si>
  <si>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</si>
  <si>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</si>
  <si>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</si>
  <si>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</si>
  <si>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</si>
  <si>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</si>
  <si>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</si>
  <si>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</si>
  <si>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</si>
  <si>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</si>
  <si>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</si>
  <si>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</si>
  <si>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</si>
  <si>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</si>
  <si>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</si>
  <si>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</si>
  <si>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</si>
  <si>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</si>
  <si>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</si>
  <si>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</si>
  <si>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</si>
  <si>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</si>
  <si>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</si>
  <si>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</si>
  <si>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</si>
  <si>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</si>
  <si>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</si>
  <si>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</si>
  <si>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</si>
  <si>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</si>
  <si>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</si>
  <si>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</si>
  <si>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</si>
  <si>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</si>
  <si>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</si>
  <si>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</si>
  <si>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</si>
  <si>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</si>
  <si>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</si>
  <si>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</si>
  <si>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</si>
  <si>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</si>
  <si>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</si>
  <si>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</si>
  <si>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</si>
  <si>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</si>
  <si>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</si>
  <si>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</si>
  <si>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</si>
  <si>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</si>
  <si>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</si>
  <si>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</si>
  <si>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</si>
  <si>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</si>
  <si>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</si>
  <si>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</si>
  <si>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</si>
  <si>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</si>
  <si>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</si>
  <si>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</si>
  <si>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</si>
  <si>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</si>
  <si>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</si>
  <si>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</si>
  <si>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</si>
  <si>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</si>
  <si>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</si>
  <si>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</si>
  <si>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</si>
  <si>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</si>
  <si>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</si>
  <si>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</si>
  <si>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</si>
  <si>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</si>
  <si>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</si>
  <si>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</si>
  <si>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</si>
  <si>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</si>
  <si>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</si>
  <si>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</si>
  <si>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</si>
  <si>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</si>
  <si>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</si>
  <si>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</si>
  <si>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</si>
  <si>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</si>
  <si>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</si>
  <si>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</si>
  <si>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</si>
  <si>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</si>
  <si>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</si>
  <si>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</si>
  <si>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</si>
  <si>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</si>
  <si>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</si>
  <si>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</si>
  <si>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</si>
  <si>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</si>
  <si>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</si>
  <si>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</si>
  <si>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</si>
  <si>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</si>
  <si>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</si>
  <si>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</si>
  <si>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</si>
  <si>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</si>
  <si>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</si>
  <si>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</si>
  <si>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</si>
  <si>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</si>
  <si>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</si>
  <si>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</si>
  <si>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</si>
  <si>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</si>
  <si>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</si>
  <si>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</si>
  <si>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</si>
  <si>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</si>
  <si>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</si>
  <si>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</si>
  <si>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</si>
  <si>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</si>
  <si>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</si>
  <si>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</si>
  <si>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</si>
  <si>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</si>
  <si>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</si>
  <si>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</si>
  <si>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</si>
  <si>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</si>
  <si>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</si>
  <si>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</si>
  <si>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</si>
  <si>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</si>
  <si>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</si>
  <si>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</si>
  <si>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</si>
  <si>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</si>
  <si>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</si>
  <si>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</si>
  <si>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</si>
  <si>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</si>
  <si>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</si>
  <si>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</si>
  <si>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</si>
  <si>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</si>
  <si>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</si>
  <si>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</si>
  <si>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</si>
  <si>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</si>
  <si>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</si>
  <si>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</si>
  <si>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</si>
  <si>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</si>
  <si>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</si>
  <si>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</si>
  <si>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</si>
  <si>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</si>
  <si>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</si>
  <si>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</si>
  <si>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</si>
  <si>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</si>
  <si>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</si>
  <si>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</si>
  <si>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</si>
  <si>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</si>
  <si>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</si>
  <si>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</si>
  <si>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</si>
  <si>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</si>
  <si>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</si>
  <si>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</si>
  <si>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</si>
  <si>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</si>
  <si>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</si>
  <si>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</si>
  <si>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</si>
  <si>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</si>
  <si>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</si>
  <si>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</si>
  <si>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</si>
  <si>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</si>
  <si>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</si>
  <si>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</si>
  <si>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</si>
  <si>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</si>
  <si>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</si>
  <si>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</si>
  <si>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</si>
  <si>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</si>
  <si>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</si>
  <si>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</si>
  <si>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</si>
  <si>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</si>
  <si>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</si>
  <si>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</si>
  <si>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</si>
  <si>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</si>
  <si>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</si>
  <si>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</si>
  <si>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</si>
  <si>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</si>
  <si>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</si>
  <si>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</si>
  <si>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</si>
  <si>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</si>
  <si>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</si>
  <si>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</si>
  <si>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</si>
  <si>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</si>
  <si>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</si>
  <si>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</si>
  <si>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</si>
  <si>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</si>
  <si>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</si>
  <si>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</si>
  <si>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</si>
  <si>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</si>
  <si>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</si>
  <si>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</si>
  <si>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</si>
  <si>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</si>
  <si>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</si>
  <si>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</si>
  <si>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</si>
  <si>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</si>
  <si>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</si>
  <si>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</si>
  <si>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</si>
  <si>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</si>
  <si>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</si>
  <si>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</si>
  <si>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</si>
  <si>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</si>
  <si>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</si>
  <si>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</si>
  <si>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</si>
  <si>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</si>
  <si>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</si>
  <si>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New Abnormal, Is This It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</si>
  <si>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</si>
  <si>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</si>
  <si>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</si>
  <si>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</si>
  <si>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</si>
  <si>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</si>
  <si>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</si>
  <si>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</si>
  <si>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</si>
  <si>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</si>
  <si>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</si>
  <si>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</si>
  <si>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</si>
  <si>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</si>
  <si>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</si>
  <si>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</si>
  <si>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</si>
  <si>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</si>
  <si>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</si>
  <si>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</si>
  <si>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</si>
  <si>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</si>
  <si>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</si>
  <si>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</si>
  <si>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</si>
  <si>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</si>
  <si>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</si>
  <si>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</si>
  <si>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</si>
  <si>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</si>
  <si>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</si>
  <si>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</si>
  <si>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</si>
  <si>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</si>
  <si>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</si>
  <si>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</si>
  <si>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</si>
  <si>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</si>
  <si>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</si>
  <si>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</si>
  <si>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</si>
  <si>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</si>
  <si>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</si>
  <si>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</si>
  <si>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</si>
  <si>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</si>
  <si>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</si>
  <si>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</si>
  <si>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</si>
  <si>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</si>
  <si>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</si>
  <si>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</si>
  <si>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</si>
  <si>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</si>
  <si>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</si>
  <si>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</si>
  <si>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</si>
  <si>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</si>
  <si>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</si>
  <si>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</si>
  <si>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</si>
  <si>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</si>
  <si>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</si>
  <si>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</si>
  <si>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</si>
  <si>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</si>
  <si>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</si>
  <si>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</si>
  <si>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</si>
  <si>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</si>
  <si>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</si>
  <si>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</si>
  <si>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</si>
  <si>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</si>
  <si>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</si>
  <si>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</si>
  <si>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</si>
  <si>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</si>
  <si>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</si>
  <si>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</si>
  <si>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</si>
  <si>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</si>
  <si>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</si>
  <si>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</si>
  <si>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</si>
  <si>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</si>
  <si>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</si>
  <si>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</si>
  <si>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</si>
  <si>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</si>
  <si>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</si>
  <si>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</si>
  <si>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</si>
  <si>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</si>
  <si>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</si>
  <si>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</si>
  <si>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</si>
  <si>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</si>
  <si>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</si>
  <si>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</si>
  <si>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</si>
  <si>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</si>
  <si>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</si>
  <si>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</si>
  <si>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</si>
  <si>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</si>
  <si>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</si>
  <si>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</si>
  <si>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</si>
  <si>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</si>
  <si>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</si>
  <si>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</si>
  <si>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</si>
  <si>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</si>
  <si>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</si>
  <si>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</si>
  <si>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</si>
  <si>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</si>
  <si>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</si>
  <si>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</si>
  <si>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</si>
  <si>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</si>
  <si>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</si>
  <si>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</si>
  <si>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</si>
  <si>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</si>
  <si>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</si>
  <si>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</si>
  <si>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</si>
  <si>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</si>
  <si>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</si>
  <si>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</si>
  <si>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</si>
  <si>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</si>
  <si>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</si>
  <si>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</si>
  <si>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</si>
  <si>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</si>
  <si>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</si>
  <si>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</si>
  <si>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</si>
  <si>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</si>
  <si>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</si>
  <si>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</si>
  <si>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</si>
  <si>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</si>
  <si>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</si>
  <si>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</si>
  <si>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</si>
  <si>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</si>
  <si>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</si>
  <si>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</si>
  <si>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</si>
  <si>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</si>
  <si>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</si>
  <si>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</si>
  <si>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</si>
  <si>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</si>
  <si>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</si>
  <si>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</si>
  <si>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</si>
  <si>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</si>
  <si>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</si>
  <si>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</si>
  <si>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</si>
  <si>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</si>
  <si>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</si>
  <si>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</si>
  <si>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</si>
  <si>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</si>
  <si>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</si>
  <si>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</si>
  <si>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</si>
  <si>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</si>
  <si>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</si>
  <si>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</si>
  <si>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</si>
  <si>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</si>
  <si>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</si>
  <si>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</si>
  <si>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</si>
  <si>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</si>
  <si>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</si>
  <si>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</si>
  <si>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</si>
  <si>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</si>
  <si>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</si>
  <si>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</si>
  <si>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</si>
  <si>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</si>
  <si>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</si>
  <si>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</si>
  <si>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</si>
  <si>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</si>
  <si>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</si>
  <si>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</si>
  <si>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</si>
  <si>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</si>
  <si>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</si>
  <si>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</si>
  <si>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</si>
  <si>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</si>
  <si>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</si>
  <si>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</si>
  <si>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</si>
  <si>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</si>
  <si>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</si>
  <si>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</si>
  <si>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</si>
  <si>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</si>
  <si>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</si>
  <si>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</si>
  <si>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</si>
  <si>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</si>
  <si>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</si>
  <si>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</si>
  <si>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</si>
  <si>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</si>
  <si>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</si>
  <si>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</si>
  <si>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</si>
  <si>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</si>
  <si>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</si>
  <si>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</si>
  <si>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</si>
  <si>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</si>
  <si>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</si>
  <si>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</si>
  <si>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</si>
  <si>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</si>
  <si>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</si>
  <si>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</si>
  <si>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</si>
  <si>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</si>
  <si>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</si>
  <si>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</si>
  <si>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</si>
  <si>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</si>
  <si>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</si>
  <si>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</si>
  <si>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</si>
  <si>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</si>
  <si>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</si>
  <si>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</si>
  <si>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</si>
  <si>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</si>
  <si>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</si>
  <si>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</si>
  <si>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</si>
  <si>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</si>
  <si>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</si>
  <si>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</si>
  <si>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</si>
  <si>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</si>
  <si>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</si>
  <si>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</si>
  <si>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</si>
  <si>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</si>
  <si>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</si>
  <si>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</si>
  <si>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</si>
  <si>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</si>
  <si>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</si>
  <si>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</si>
  <si>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</si>
  <si>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</si>
  <si>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</si>
  <si>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</si>
  <si>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</si>
  <si>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</si>
  <si>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</si>
  <si>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</si>
  <si>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</si>
  <si>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</si>
  <si>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</si>
  <si>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</si>
  <si>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</si>
  <si>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</si>
  <si>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</si>
  <si>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</si>
  <si>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</si>
  <si>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</si>
  <si>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</si>
  <si>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</si>
  <si>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</si>
  <si>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</si>
  <si>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</si>
  <si>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</si>
  <si>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</si>
  <si>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</si>
  <si>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</si>
  <si>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</si>
  <si>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</si>
  <si>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</si>
  <si>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</si>
  <si>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</si>
  <si>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</si>
  <si>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</si>
  <si>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</si>
  <si>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</si>
  <si>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</si>
  <si>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</si>
  <si>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</si>
  <si>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</si>
  <si>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</si>
  <si>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</si>
  <si>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</si>
  <si>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</si>
  <si>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</si>
  <si>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</si>
  <si>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</si>
  <si>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</si>
  <si>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</si>
  <si>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</si>
  <si>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</si>
  <si>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</si>
  <si>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</si>
  <si>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</si>
  <si>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</si>
  <si>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</si>
  <si>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</si>
  <si>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</si>
  <si>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</si>
  <si>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</si>
  <si>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</si>
  <si>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</si>
  <si>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</si>
  <si>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</si>
  <si>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</si>
  <si>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</si>
  <si>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</si>
  <si>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</si>
  <si>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</si>
  <si>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</si>
  <si>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</si>
  <si>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</si>
  <si>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</si>
  <si>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</si>
  <si>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</si>
  <si>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</si>
  <si>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</si>
  <si>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</si>
  <si>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</si>
  <si>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</si>
  <si>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</si>
  <si>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</si>
  <si>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</si>
  <si>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</si>
  <si>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</si>
  <si>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</si>
  <si>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</si>
  <si>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</si>
  <si>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</si>
  <si>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</si>
  <si>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</si>
  <si>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</si>
  <si>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</si>
  <si>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</si>
  <si>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</si>
  <si>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</si>
  <si>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</si>
  <si>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</si>
  <si>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</si>
  <si>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</si>
  <si>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</si>
  <si>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</si>
  <si>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</si>
  <si>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</si>
  <si>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</si>
  <si>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</si>
  <si>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</si>
  <si>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</si>
  <si>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</si>
  <si>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</si>
  <si>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</si>
  <si>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</si>
  <si>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</si>
  <si>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</si>
  <si>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</si>
  <si>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</si>
  <si>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</si>
  <si>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</si>
  <si>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</si>
  <si>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</si>
  <si>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</si>
  <si>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</si>
  <si>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</si>
  <si>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</si>
  <si>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</si>
  <si>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</si>
  <si>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</si>
  <si>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</si>
  <si>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</si>
  <si>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</si>
  <si>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</si>
  <si>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</si>
  <si>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</si>
  <si>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</si>
  <si>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</si>
  <si>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</si>
  <si>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</si>
  <si>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</si>
  <si>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</si>
  <si>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</si>
  <si>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</si>
  <si>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</si>
  <si>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</si>
  <si>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</si>
  <si>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</si>
  <si>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</si>
  <si>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</si>
  <si>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</si>
  <si>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</si>
  <si>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</si>
  <si>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</si>
  <si>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</si>
  <si>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</si>
  <si>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</si>
  <si>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</si>
  <si>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TOP  Downtempo (6 álbumes)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</si>
  <si>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</si>
  <si>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</si>
  <si>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</si>
  <si>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</si>
  <si>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</si>
  <si>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</si>
  <si>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</si>
  <si>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</si>
  <si>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</si>
  <si>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</si>
  <si>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</si>
  <si>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</si>
  <si>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</si>
  <si>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</si>
  <si>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</si>
  <si>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</si>
  <si>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</si>
  <si>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</si>
  <si>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</si>
  <si>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</si>
  <si>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</si>
  <si>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</si>
  <si>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</si>
  <si>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</si>
  <si>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</si>
  <si>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</si>
  <si>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</si>
  <si>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</si>
  <si>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</si>
  <si>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</si>
  <si>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</si>
  <si>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</si>
  <si>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</si>
  <si>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</si>
  <si>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</si>
  <si>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</si>
  <si>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</si>
  <si>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</si>
  <si>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</si>
  <si>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</si>
  <si>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</si>
  <si>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</si>
  <si>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</si>
  <si>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</si>
  <si>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</si>
  <si>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</si>
  <si>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</si>
  <si>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</si>
  <si>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</si>
  <si>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</si>
  <si>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</si>
  <si>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</si>
  <si>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</si>
  <si>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</si>
  <si>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</si>
  <si>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</si>
  <si>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</si>
  <si>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</si>
  <si>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</si>
  <si>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</si>
  <si>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</si>
  <si>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</si>
  <si>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</si>
  <si>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</si>
  <si>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</si>
  <si>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</si>
  <si>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</si>
  <si>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</si>
  <si>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</si>
  <si>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</si>
  <si>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</si>
  <si>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</si>
  <si>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Punk (7 álbumes)</t>
  </si>
  <si>
    <t>TOP R&amp;b (4 álbumes)</t>
  </si>
  <si>
    <t>TOP Psychedelia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</si>
  <si>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</si>
  <si>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</si>
  <si>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</si>
  <si>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</si>
  <si>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</si>
  <si>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</si>
  <si>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</si>
  <si>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</si>
  <si>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</si>
  <si>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</si>
  <si>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</si>
  <si>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</si>
  <si>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</si>
  <si>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</si>
  <si>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</si>
  <si>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</si>
  <si>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</si>
  <si>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</si>
  <si>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</si>
  <si>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</si>
  <si>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</si>
  <si>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</si>
  <si>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</si>
  <si>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</si>
  <si>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</si>
  <si>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8.77 · score 8.65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</si>
  <si>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</si>
  <si>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</si>
  <si>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</si>
  <si>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</si>
  <si>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</si>
  <si>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</si>
  <si>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</si>
  <si>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</si>
  <si>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</si>
  <si>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</si>
  <si>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</si>
  <si>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</si>
  <si>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</si>
  <si>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</si>
  <si>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</si>
  <si>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8.53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</si>
  <si>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</si>
  <si>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</si>
  <si>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</si>
  <si>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</si>
  <si>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</si>
  <si>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</si>
  <si>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</si>
  <si>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2 · media 8.62 · score 8.57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</si>
  <si>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</si>
  <si>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</si>
  <si>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</si>
  <si>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</si>
  <si>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</si>
  <si>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</si>
  <si>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</si>
  <si>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</si>
  <si>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</si>
  <si>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</si>
  <si>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</si>
  <si>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</si>
  <si>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</si>
  <si>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</si>
  <si>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</si>
  <si>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</si>
  <si>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</si>
  <si>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8.43 · score 8.38</t>
  </si>
  <si>
    <t>1 · media 8.4 · score 8.37</t>
  </si>
  <si>
    <t>1 · media 8.38 · score 8.33</t>
  </si>
  <si>
    <t>1 · media 8.38 · score 8.25</t>
  </si>
  <si>
    <t>2 · media 8.32 · score 8.18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</si>
  <si>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</si>
  <si>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</si>
  <si>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</si>
  <si>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</si>
  <si>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</si>
  <si>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</si>
  <si>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</si>
  <si>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</si>
  <si>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</si>
  <si>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</si>
  <si>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</si>
  <si>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</si>
  <si>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</si>
  <si>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</si>
  <si>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</si>
  <si>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</si>
  <si>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</si>
  <si>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1 álb · 1 subg · media 8.4 · score 8.37</t>
  </si>
  <si>
    <t>2 álb · 2 subg · media 8.42 · score 8.32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</si>
  <si>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</si>
  <si>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</si>
  <si>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</si>
  <si>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</si>
  <si>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</si>
  <si>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</si>
  <si>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</si>
  <si>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</si>
  <si>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Ichiko Aoba - Windswept Adan (8.72)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</si>
  <si>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</si>
  <si>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</si>
  <si>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</si>
  <si>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</si>
  <si>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</si>
  <si>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</si>
  <si>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</si>
  <si>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</si>
  <si>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</si>
  <si>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</si>
  <si>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</si>
  <si>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</si>
  <si>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</si>
  <si>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</si>
  <si>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</si>
  <si>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</si>
  <si>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</si>
  <si>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</si>
  <si>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</si>
  <si>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</si>
  <si>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</si>
  <si>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</si>
  <si>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</si>
  <si>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</si>
  <si>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</si>
  <si>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</si>
  <si>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</si>
  <si>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</si>
  <si>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</si>
  <si>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</si>
  <si>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</si>
  <si>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</si>
  <si>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</si>
  <si>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</si>
  <si>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</si>
  <si>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White Pony, Koi No Yokan</t>
  </si>
  <si>
    <t>singer songwriter, indie folk</t>
  </si>
  <si>
    <t>indie folk</t>
  </si>
  <si>
    <t>1 · media 8.58 · score 8.51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</si>
  <si>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</si>
  <si>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</si>
  <si>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</si>
  <si>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</si>
  <si>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</si>
  <si>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</si>
  <si>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</si>
  <si>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</si>
  <si>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</si>
  <si>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</si>
  <si>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</si>
  <si>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</si>
  <si>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</si>
  <si>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</si>
  <si>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</si>
  <si>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</si>
  <si>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</si>
  <si>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</si>
  <si>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</si>
  <si>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</si>
  <si>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</si>
  <si>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</si>
  <si>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</si>
  <si>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</si>
  <si>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</si>
  <si>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</si>
  <si>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</si>
  <si>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</si>
  <si>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</si>
  <si>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</si>
  <si>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</si>
  <si>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</si>
  <si>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</si>
  <si>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</si>
  <si>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</si>
  <si>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</si>
  <si>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</si>
  <si>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</si>
  <si>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t>6 · media 8.74 · score 8.71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</si>
  <si>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</si>
  <si>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</si>
  <si>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</si>
  <si>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</si>
  <si>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</si>
  <si>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</si>
  <si>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</si>
  <si>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</si>
  <si>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</si>
  <si>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</si>
  <si>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</si>
  <si>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</si>
  <si>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</si>
  <si>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</si>
  <si>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</si>
  <si>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</si>
  <si>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</si>
  <si>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</si>
  <si>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</si>
  <si>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</si>
  <si>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</si>
  <si>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</si>
  <si>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</si>
  <si>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</si>
  <si>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</si>
  <si>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</si>
  <si>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</si>
  <si>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</si>
  <si>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</si>
  <si>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</si>
  <si>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</si>
  <si>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</si>
  <si>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</si>
  <si>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</si>
  <si>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</si>
  <si>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</si>
  <si>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</si>
  <si>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</si>
  <si>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</si>
  <si>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</si>
  <si>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</si>
  <si>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</si>
  <si>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</si>
  <si>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</si>
  <si>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</si>
  <si>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</si>
  <si>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</si>
  <si>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</si>
  <si>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</si>
  <si>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</si>
  <si>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06/06/2026</t>
  </si>
  <si>
    <t>1971 - 1972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</si>
  <si>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</si>
  <si>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</si>
  <si>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</si>
  <si>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</si>
  <si>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</si>
  <si>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</si>
  <si>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</si>
  <si>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</si>
  <si>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</si>
  <si>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</si>
  <si>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</si>
  <si>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</si>
  <si>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</si>
  <si>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</si>
  <si>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</si>
  <si>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</si>
  <si>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</si>
  <si>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</si>
  <si>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</si>
  <si>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</si>
  <si>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</si>
  <si>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</si>
  <si>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</si>
  <si>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</si>
  <si>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</si>
  <si>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</si>
  <si>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</si>
  <si>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</si>
  <si>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</si>
  <si>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</si>
  <si>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</si>
  <si>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</si>
  <si>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</si>
  <si>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</si>
  <si>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</si>
  <si>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</si>
  <si>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</si>
  <si>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</si>
  <si>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</si>
  <si>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</si>
  <si>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</si>
  <si>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</si>
  <si>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</si>
  <si>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</si>
  <si>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</si>
  <si>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</si>
  <si>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</si>
  <si>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</si>
  <si>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</si>
  <si>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</si>
  <si>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</si>
  <si>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</si>
  <si>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</si>
  <si>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</si>
  <si>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</si>
  <si>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</si>
  <si>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</si>
  <si>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</si>
  <si>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</si>
  <si>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</si>
  <si>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</si>
  <si>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</si>
  <si>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</si>
  <si>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</si>
  <si>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</si>
  <si>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</si>
  <si>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</si>
  <si>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</si>
  <si>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</si>
  <si>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</si>
  <si>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</si>
  <si>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</si>
  <si>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</si>
  <si>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</si>
  <si>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</si>
  <si>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</si>
  <si>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</si>
  <si>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</si>
  <si>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</si>
  <si>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</si>
  <si>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</si>
  <si>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</si>
  <si>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</si>
  <si>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</si>
  <si>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</si>
  <si>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</si>
  <si>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</si>
  <si>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</si>
  <si>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</si>
  <si>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</si>
  <si>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</si>
  <si>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</si>
  <si>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</si>
  <si>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</si>
  <si>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</si>
  <si>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</si>
  <si>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</si>
  <si>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</si>
  <si>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</si>
  <si>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</si>
  <si>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</si>
  <si>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</si>
  <si>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TOP  Death Metal (12 álbumes)</t>
  </si>
  <si>
    <t>From Mars to Sirius, The way of all flesh</t>
  </si>
  <si>
    <t>2 · media 8.86 · score 8.85</t>
  </si>
  <si>
    <t>2 · media 8.63 · score 8.54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</si>
  <si>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</si>
  <si>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</si>
  <si>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</si>
  <si>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</si>
  <si>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</si>
  <si>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</si>
  <si>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</si>
  <si>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</si>
  <si>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</si>
  <si>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</si>
  <si>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</si>
  <si>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</si>
  <si>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</si>
  <si>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</si>
  <si>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</si>
  <si>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</si>
  <si>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</si>
  <si>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</si>
  <si>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</si>
  <si>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</si>
  <si>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</si>
  <si>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</si>
  <si>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</si>
  <si>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</si>
  <si>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TOP Pop (22 álbumes)</t>
  </si>
  <si>
    <t>22 álb · 11 subg · media 8.67 · score 8.63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</si>
  <si>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</si>
  <si>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</si>
  <si>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</si>
  <si>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</si>
  <si>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</si>
  <si>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</si>
  <si>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</si>
  <si>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2 · media 8.81 · score 8.85</t>
  </si>
  <si>
    <t>melodic black metal, melodic death metal</t>
  </si>
  <si>
    <t>melodic black metal</t>
  </si>
  <si>
    <t>1 · media 8.29 · score 8.3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</si>
  <si>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</si>
  <si>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</si>
  <si>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</si>
  <si>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</si>
  <si>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</si>
  <si>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</si>
  <si>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</si>
  <si>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</si>
  <si>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</si>
  <si>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</si>
  <si>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</si>
  <si>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</si>
  <si>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</si>
  <si>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</si>
  <si>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</si>
  <si>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</si>
  <si>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</si>
  <si>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</si>
  <si>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</si>
  <si>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</si>
  <si>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</si>
  <si>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</si>
  <si>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</si>
  <si>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</si>
  <si>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</si>
  <si>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</si>
  <si>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2002 - 2008</t>
  </si>
  <si>
    <t>drill and bass</t>
  </si>
  <si>
    <t>2 · media 8.43 · score 8.5</t>
  </si>
  <si>
    <t>2 · media 8.32 · score 8.28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</si>
  <si>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</si>
  <si>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</si>
  <si>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</si>
  <si>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</si>
  <si>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</si>
  <si>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</si>
  <si>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</si>
  <si>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</si>
  <si>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</si>
  <si>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</si>
  <si>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</si>
  <si>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</si>
  <si>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</si>
  <si>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</si>
  <si>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</si>
  <si>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</si>
  <si>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</si>
  <si>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</si>
  <si>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</si>
  <si>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</si>
  <si>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</si>
  <si>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</si>
  <si>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</si>
  <si>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</si>
  <si>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</si>
  <si>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</si>
  <si>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</si>
  <si>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</si>
  <si>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</si>
  <si>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</si>
  <si>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</si>
  <si>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</si>
  <si>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</si>
  <si>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</si>
  <si>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</si>
  <si>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</si>
  <si>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</si>
  <si>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</si>
  <si>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</si>
  <si>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</si>
  <si>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</si>
  <si>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</si>
  <si>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</si>
  <si>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</si>
  <si>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</si>
  <si>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</si>
  <si>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HARDSTONE PSYCHO, OCTANE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</si>
  <si>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</si>
  <si>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</si>
  <si>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</si>
  <si>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</si>
  <si>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</si>
  <si>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</si>
  <si>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</si>
  <si>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</si>
  <si>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</si>
  <si>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</si>
  <si>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</si>
  <si>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</si>
  <si>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</si>
  <si>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</si>
  <si>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</si>
  <si>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</si>
  <si>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TOP  Electronic (7 álbumes)</t>
  </si>
  <si>
    <t>Minecraft Volume Beta [OST], Minecraft Volume Alpha [OST]</t>
  </si>
  <si>
    <t>noise rock</t>
  </si>
  <si>
    <t>2 · media 8.7 · score 8.61</t>
  </si>
  <si>
    <t>1 · media 8.65 · score 8.56</t>
  </si>
  <si>
    <t>7 · media 8.57 · score 8.58</t>
  </si>
  <si>
    <t>Aphex Twin - Selected Ambient Works Volume II (2h 36m)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</si>
  <si>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</si>
  <si>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</si>
  <si>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</si>
  <si>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</si>
  <si>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</si>
  <si>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</si>
  <si>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</si>
  <si>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</si>
  <si>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</si>
  <si>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</si>
  <si>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</si>
  <si>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</si>
  <si>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</si>
  <si>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</si>
  <si>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</si>
  <si>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</si>
  <si>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</si>
  <si>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</si>
  <si>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13/06/2026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</si>
  <si>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</si>
  <si>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</si>
  <si>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</si>
  <si>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</si>
  <si>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</si>
  <si>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</si>
  <si>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</si>
  <si>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</si>
  <si>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</si>
  <si>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</si>
  <si>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</si>
  <si>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</si>
  <si>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</si>
  <si>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</si>
  <si>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</si>
  <si>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</si>
  <si>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</si>
  <si>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</si>
  <si>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</si>
  <si>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</si>
  <si>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</si>
  <si>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</si>
  <si>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</si>
  <si>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</si>
  <si>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</si>
  <si>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</si>
  <si>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</si>
  <si>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</si>
  <si>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</si>
  <si>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</si>
  <si>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</si>
  <si>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</si>
  <si>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</si>
  <si>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</si>
  <si>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</si>
  <si>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</si>
  <si>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</si>
  <si>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</si>
  <si>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</si>
  <si>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</si>
  <si>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</si>
  <si>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</si>
  <si>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</si>
  <si>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</si>
  <si>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TOP  Art Rock (20 álbumes)</t>
  </si>
  <si>
    <t>20 · media 8.98 · score 9.07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</si>
  <si>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</si>
  <si>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</si>
  <si>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</si>
  <si>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</si>
  <si>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</si>
  <si>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</si>
  <si>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</si>
  <si>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</si>
  <si>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</si>
  <si>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</si>
  <si>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</si>
  <si>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</si>
  <si>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</si>
  <si>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</si>
  <si>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progressive rock, symphonic prog</t>
  </si>
  <si>
    <t>16/06/2026</t>
  </si>
  <si>
    <t>2 · media 8.86 · score 8.86</t>
  </si>
  <si>
    <t>1970s (9.01)</t>
  </si>
  <si>
    <t>24 álbumes · media 9.01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</si>
  <si>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</si>
  <si>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</si>
  <si>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</si>
  <si>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</si>
  <si>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</si>
  <si>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</si>
  <si>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</si>
  <si>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</si>
  <si>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</si>
  <si>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</si>
  <si>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</si>
  <si>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</si>
  <si>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</si>
  <si>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</si>
  <si>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</si>
  <si>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</si>
  <si>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</si>
  <si>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</si>
  <si>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</si>
  <si>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</si>
  <si>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</si>
  <si>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</si>
  <si>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</si>
  <si>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</si>
  <si>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</si>
  <si>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</si>
  <si>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</si>
  <si>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</si>
  <si>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</si>
  <si>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</si>
  <si>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</si>
  <si>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</si>
  <si>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</si>
  <si>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</si>
  <si>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</si>
  <si>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</si>
  <si>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</si>
  <si>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</si>
  <si>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</si>
  <si>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2h 21m</t>
  </si>
  <si>
    <t>18/06/2026</t>
  </si>
  <si>
    <t>1996 - 2014</t>
  </si>
  <si>
    <t>2h 11m</t>
  </si>
  <si>
    <t>2005 - 2026</t>
  </si>
  <si>
    <t>TOP  Progressive Metal (30 álbumes)</t>
  </si>
  <si>
    <t>Lateralus, 10,000 Days, Ænima, Salival [LIVE]</t>
  </si>
  <si>
    <t>progressive metal (30)</t>
  </si>
  <si>
    <t>4 · media 8.46 · score 8.38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</si>
  <si>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</si>
  <si>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</si>
  <si>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</si>
  <si>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</si>
  <si>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</si>
  <si>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</si>
  <si>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</si>
  <si>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</si>
  <si>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</si>
  <si>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</si>
  <si>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</si>
  <si>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</si>
  <si>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</si>
  <si>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</si>
  <si>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future garage, dubstep</t>
  </si>
  <si>
    <t>dubstep</t>
  </si>
  <si>
    <t>future garage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</si>
  <si>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</si>
  <si>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</si>
  <si>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</si>
  <si>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</si>
  <si>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</si>
  <si>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</si>
  <si>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</si>
  <si>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</si>
  <si>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</si>
  <si>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</si>
  <si>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30 · media 8.75 · score 8.81</t>
  </si>
  <si>
    <t>12 · media 8.74 · score 8.74</t>
  </si>
  <si>
    <t>19/06/2026</t>
  </si>
  <si>
    <t>Ain't My Bitch</t>
  </si>
  <si>
    <t>2 x 4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</si>
  <si>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</si>
  <si>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</si>
  <si>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</si>
  <si>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</si>
  <si>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</si>
  <si>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</si>
  <si>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</si>
  <si>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Wasting My Hate</t>
  </si>
  <si>
    <t>Mama Said</t>
  </si>
  <si>
    <t>Thorn Within</t>
  </si>
  <si>
    <t>Ronnie</t>
  </si>
  <si>
    <t>The Outlaw Torn</t>
  </si>
  <si>
    <t>Load</t>
  </si>
  <si>
    <t>1995 - 1998</t>
  </si>
  <si>
    <t>4 · media 8.44 · score 8.38</t>
  </si>
  <si>
    <t>8.31, [-0.05]</t>
  </si>
  <si>
    <t>1h 18m</t>
  </si>
  <si>
    <t>22/06/2026</t>
  </si>
  <si>
    <t>Beautiful World</t>
  </si>
  <si>
    <t>Analog Sentimentalism</t>
  </si>
  <si>
    <t>White Ceiling</t>
  </si>
  <si>
    <r>
      <t xml:space="preserve">* Parannoul - </t>
    </r>
    <r>
      <rPr>
        <b/>
        <sz val="10"/>
        <color theme="0"/>
        <rFont val="Aptos Narrow"/>
        <family val="2"/>
        <scheme val="minor"/>
      </rPr>
      <t>To See the Next Part of the Dream</t>
    </r>
  </si>
  <si>
    <t>To See the Next Part of the Dream</t>
  </si>
  <si>
    <t>Age of Fluctuation</t>
  </si>
  <si>
    <t>Youth Rebellion</t>
  </si>
  <si>
    <t>Extra Story</t>
  </si>
  <si>
    <t>Chicken</t>
  </si>
  <si>
    <t>I Can Feel My Heart Touching You</t>
  </si>
  <si>
    <t>Parannoul</t>
  </si>
  <si>
    <t>TOP  Heavy Metal (6 álbumes)</t>
  </si>
  <si>
    <t>Metallica, Load</t>
  </si>
  <si>
    <t>6 · media 8.67 · score 8.68</t>
  </si>
  <si>
    <t>shoegaze, emo</t>
  </si>
  <si>
    <t>TOP  Shoegaze (9 álbumes)</t>
  </si>
  <si>
    <t>emo</t>
  </si>
  <si>
    <t>9 · media 8.73 · score 8.67</t>
  </si>
  <si>
    <r>
      <t xml:space="preserve">* Rush - </t>
    </r>
    <r>
      <rPr>
        <b/>
        <sz val="14"/>
        <color rgb="FFD40000"/>
        <rFont val="Aptos Narrow"/>
        <scheme val="minor"/>
      </rPr>
      <t>Moving Pictures</t>
    </r>
  </si>
  <si>
    <t>Tom Sawyer</t>
  </si>
  <si>
    <t>Red Barchetta</t>
  </si>
  <si>
    <t>YYZ</t>
  </si>
  <si>
    <t>Limelight</t>
  </si>
  <si>
    <t>The Camera Eye</t>
  </si>
  <si>
    <t>Witch Hunt</t>
  </si>
  <si>
    <t>Vital Signs</t>
  </si>
  <si>
    <r>
      <t xml:space="preserve">* Metallica - </t>
    </r>
    <r>
      <rPr>
        <b/>
        <sz val="14"/>
        <color rgb="FFFF9966"/>
        <rFont val="Aptos Narrow"/>
        <family val="2"/>
        <scheme val="minor"/>
      </rPr>
      <t>Load</t>
    </r>
  </si>
  <si>
    <t>For Residue</t>
  </si>
  <si>
    <t xml:space="preserve">Bumpy </t>
  </si>
  <si>
    <t>LifeWorld</t>
  </si>
  <si>
    <t xml:space="preserve">Measuring Ruins </t>
  </si>
  <si>
    <t xml:space="preserve">Modern Lust </t>
  </si>
  <si>
    <t xml:space="preserve">Fear of Symmetry </t>
  </si>
  <si>
    <t xml:space="preserve">Vestigel </t>
  </si>
  <si>
    <t xml:space="preserve">Cherry Blue </t>
  </si>
  <si>
    <t>Bell Scanner</t>
  </si>
  <si>
    <t>D.I.S.</t>
  </si>
  <si>
    <r>
      <t xml:space="preserve">* Oneohtrix Point Never - </t>
    </r>
    <r>
      <rPr>
        <b/>
        <sz val="12"/>
        <color rgb="FF63FB44"/>
        <rFont val="Aptos Narrow"/>
        <scheme val="minor"/>
      </rPr>
      <t>Tranquilizer</t>
    </r>
  </si>
  <si>
    <t>Oneohtrix Point Never</t>
  </si>
  <si>
    <t>Tranquilizer</t>
  </si>
  <si>
    <t>Rush</t>
  </si>
  <si>
    <t>Moving Pictures</t>
  </si>
  <si>
    <t>progressive rock, hard rock</t>
  </si>
  <si>
    <t>progressive electronic, ambient</t>
  </si>
  <si>
    <t>23/06/2026</t>
  </si>
  <si>
    <t>TOP  Progressive Rock (25 álbumes)</t>
  </si>
  <si>
    <t>TOP  Ambient (6 álbumes)</t>
  </si>
  <si>
    <t>progressive electronic</t>
  </si>
  <si>
    <t>TOP Ambient (7 álbumes)</t>
  </si>
  <si>
    <t>25 · media 8.85 · score 8.89</t>
  </si>
  <si>
    <t>6 · media 8.68 · score 8.78</t>
  </si>
  <si>
    <t>1 · media 8.35 · score 8.27</t>
  </si>
  <si>
    <t>ambient (8.78)</t>
  </si>
  <si>
    <t>7 álb · 2 subg · media 8.71 · score 8.78</t>
  </si>
  <si>
    <r>
      <t xml:space="preserve">* Fiona Apple - </t>
    </r>
    <r>
      <rPr>
        <b/>
        <sz val="14"/>
        <color rgb="FFFF0000"/>
        <rFont val="Aptos Narrow"/>
        <family val="2"/>
        <scheme val="minor"/>
      </rPr>
      <t>When The Pawn...</t>
    </r>
  </si>
  <si>
    <t>On The Bound</t>
  </si>
  <si>
    <t>To Your Love</t>
  </si>
  <si>
    <t>Limp</t>
  </si>
  <si>
    <t>Love Ridden</t>
  </si>
  <si>
    <t>Paper Bag</t>
  </si>
  <si>
    <t>A Mistake</t>
  </si>
  <si>
    <t>Fast As You Can</t>
  </si>
  <si>
    <t>The Way Things Are</t>
  </si>
  <si>
    <t>Get Gone</t>
  </si>
  <si>
    <t>I Know</t>
  </si>
  <si>
    <t>Fiona Apple</t>
  </si>
  <si>
    <t>When The Pawn...</t>
  </si>
  <si>
    <t>8.80, [+0.20]</t>
  </si>
  <si>
    <t>8.25, [-0.22]</t>
  </si>
  <si>
    <t>singer songwriter, alternative rock</t>
  </si>
  <si>
    <t>24/06/2026</t>
  </si>
  <si>
    <t>TOP  Alternative Rock (18 álbumes)</t>
  </si>
  <si>
    <t>TOP  Singer Songwriter (6 álbumes)</t>
  </si>
  <si>
    <t>TOP Singer-songwriter (6 álbumes)</t>
  </si>
  <si>
    <t>18 · media 8.68 · score 8.7</t>
  </si>
  <si>
    <t>Fiona Apple - When The Pawn... (8.95)</t>
  </si>
  <si>
    <r>
      <t xml:space="preserve">* Frank Zappa - </t>
    </r>
    <r>
      <rPr>
        <b/>
        <sz val="14"/>
        <color theme="0"/>
        <rFont val="Aptos Narrow"/>
        <family val="2"/>
        <scheme val="minor"/>
      </rPr>
      <t>Hot Rats</t>
    </r>
  </si>
  <si>
    <t>Peaches En Regalia</t>
  </si>
  <si>
    <t>Willie The Pimp</t>
  </si>
  <si>
    <t>Son Of Mr. Green Genes</t>
  </si>
  <si>
    <t>Little Umbrellas</t>
  </si>
  <si>
    <t>The Gumbo Variations</t>
  </si>
  <si>
    <t>It Must Be A Camel</t>
  </si>
  <si>
    <t>Annihilate</t>
  </si>
  <si>
    <t>Am I Dreaming</t>
  </si>
  <si>
    <t>All The Way Live</t>
  </si>
  <si>
    <t>Danger</t>
  </si>
  <si>
    <t>Hummingbird</t>
  </si>
  <si>
    <t>Calling</t>
  </si>
  <si>
    <t>Silk &amp; Cologne</t>
  </si>
  <si>
    <t>Link Up</t>
  </si>
  <si>
    <t>Self Love</t>
  </si>
  <si>
    <t>Home</t>
  </si>
  <si>
    <t>Nonviolent</t>
  </si>
  <si>
    <t>Givin' Up</t>
  </si>
  <si>
    <t>Nas Morales</t>
  </si>
  <si>
    <r>
      <t xml:space="preserve">* Metro Boomin - </t>
    </r>
    <r>
      <rPr>
        <b/>
        <sz val="11"/>
        <color rgb="FFFF00D7"/>
        <rFont val="Aptos Narrow"/>
        <scheme val="minor"/>
      </rPr>
      <t>Spider-Man: Across The Spider-Verse</t>
    </r>
    <r>
      <rPr>
        <sz val="11"/>
        <color rgb="FFFF00D7"/>
        <rFont val="Aptos Narrow"/>
        <scheme val="minor"/>
      </rPr>
      <t xml:space="preserve"> [OST]</t>
    </r>
  </si>
  <si>
    <t>Never Meant</t>
  </si>
  <si>
    <t>The Summer Ends</t>
  </si>
  <si>
    <t>Honestly?</t>
  </si>
  <si>
    <t>For Sure</t>
  </si>
  <si>
    <t>You Know I Should Be Leaving Soon</t>
  </si>
  <si>
    <t>But the Regrets Are Killing Me</t>
  </si>
  <si>
    <t>I'll See You When We're Both Not So Emotional</t>
  </si>
  <si>
    <t>Stay Home</t>
  </si>
  <si>
    <t>The One With The Wurlitzer</t>
  </si>
  <si>
    <r>
      <t xml:space="preserve">* American Football - </t>
    </r>
    <r>
      <rPr>
        <b/>
        <sz val="12"/>
        <color rgb="FFF2F0C0"/>
        <rFont val="Aptos Narrow"/>
        <scheme val="minor"/>
      </rPr>
      <t>American Football</t>
    </r>
  </si>
  <si>
    <t>Frank Zappa</t>
  </si>
  <si>
    <t>Hot Rats</t>
  </si>
  <si>
    <t>Metro Boomin</t>
  </si>
  <si>
    <t>Spider-Man: Across The Spider-Verse [OST]</t>
  </si>
  <si>
    <t>American Football</t>
  </si>
  <si>
    <t>8.98, [+0.37]</t>
  </si>
  <si>
    <t>8.13, [-0.35]</t>
  </si>
  <si>
    <t>jazz rock, jazz fusion</t>
  </si>
  <si>
    <t>midwest emo, post rock</t>
  </si>
  <si>
    <t>25/06/2026</t>
  </si>
  <si>
    <t>pop rap, trap</t>
  </si>
  <si>
    <r>
      <t xml:space="preserve">* Blue Öyster Cult - </t>
    </r>
    <r>
      <rPr>
        <b/>
        <sz val="12"/>
        <color theme="5" tint="-0.499984740745262"/>
        <rFont val="Aptos Narrow"/>
        <family val="2"/>
        <scheme val="minor"/>
      </rPr>
      <t>Fire of Unknown Origin</t>
    </r>
  </si>
  <si>
    <t>Fire of Unknown Origin</t>
  </si>
  <si>
    <t>Burnin' for You</t>
  </si>
  <si>
    <t>Veteran of the Psychic Wars</t>
  </si>
  <si>
    <t>Sole Survivor</t>
  </si>
  <si>
    <t>Heavy Metal: The Black and Silver</t>
  </si>
  <si>
    <t>Vengeance</t>
  </si>
  <si>
    <t>After Dark</t>
  </si>
  <si>
    <t>Joan Crawford</t>
  </si>
  <si>
    <t>Don't Turn Your Back</t>
  </si>
  <si>
    <t>TOP  Post Rock (11 álbumes)</t>
  </si>
  <si>
    <t>TOP  Trap (6 álbumes)</t>
  </si>
  <si>
    <t>jazz rock</t>
  </si>
  <si>
    <t>midwest emo</t>
  </si>
  <si>
    <t>TOP Hip Hop (21 álbumes)</t>
  </si>
  <si>
    <t>TOP Jazz (3 álbumes)</t>
  </si>
  <si>
    <t>11 · media 8.88 · score 8.85</t>
  </si>
  <si>
    <t>2 · media 8.72 · score 8.65</t>
  </si>
  <si>
    <t>1 · media 8.39 · score 8.36</t>
  </si>
  <si>
    <t>6 · media 8.3 · score 8.23</t>
  </si>
  <si>
    <t>3 álb · 2 subg · media 8.63 · score 8.56</t>
  </si>
  <si>
    <t>21 álb · 15 subg · media 8.34 · score 8.27</t>
  </si>
  <si>
    <t>Michael Jackson - Thriller (9.02)</t>
  </si>
  <si>
    <t>Frank Zappa - Hot Rats (8.78)</t>
  </si>
  <si>
    <t>5 álbumes · media 8.86</t>
  </si>
  <si>
    <t>37 álbumes · media 8</t>
  </si>
  <si>
    <t>Blue Öyster Cult</t>
  </si>
  <si>
    <t>8.38, [-0.16]</t>
  </si>
  <si>
    <t>hard rock, occult rock</t>
  </si>
  <si>
    <t>26/06/2026</t>
  </si>
  <si>
    <t>TOP  Hard Rock (7 álbumes)</t>
  </si>
  <si>
    <t>occult rock</t>
  </si>
  <si>
    <t>21 álbumes · media 8.82</t>
  </si>
  <si>
    <t>TOP Rock (111 álbumes)</t>
  </si>
  <si>
    <t>rock (111)</t>
  </si>
  <si>
    <t>rock (40)</t>
  </si>
  <si>
    <t>Mes</t>
  </si>
  <si>
    <t>Reviews acumuladas</t>
  </si>
  <si>
    <t>2026-01</t>
  </si>
  <si>
    <t>2026-02</t>
  </si>
  <si>
    <t>2026-03</t>
  </si>
  <si>
    <t>2026-04</t>
  </si>
  <si>
    <t>2026-05</t>
  </si>
  <si>
    <t>2026-06</t>
  </si>
  <si>
    <t>Reviews del mes</t>
  </si>
  <si>
    <t>Nota</t>
  </si>
  <si>
    <t>Frecuencia</t>
  </si>
  <si>
    <t>0.0</t>
  </si>
  <si>
    <t>0.5</t>
  </si>
  <si>
    <t>1.0</t>
  </si>
  <si>
    <t>1.5</t>
  </si>
  <si>
    <t>2.0</t>
  </si>
  <si>
    <t>2.5</t>
  </si>
  <si>
    <t>3.0</t>
  </si>
  <si>
    <t>3.5</t>
  </si>
  <si>
    <t>4.0</t>
  </si>
  <si>
    <t>4.5</t>
  </si>
  <si>
    <t>5.0</t>
  </si>
  <si>
    <t>5.5</t>
  </si>
  <si>
    <t>6.0</t>
  </si>
  <si>
    <t>6.5</t>
  </si>
  <si>
    <t>7.0</t>
  </si>
  <si>
    <t>7.5</t>
  </si>
  <si>
    <t>8.0</t>
  </si>
  <si>
    <t>8.5</t>
  </si>
  <si>
    <t>9.0</t>
  </si>
  <si>
    <t>9.5</t>
  </si>
  <si>
    <t>10.0</t>
  </si>
  <si>
    <t>10.5</t>
  </si>
  <si>
    <t>Década</t>
  </si>
  <si>
    <t>3rd EYE SCORE medio</t>
  </si>
  <si>
    <t>1966</t>
  </si>
  <si>
    <t>1967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</si>
  <si>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</si>
  <si>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</si>
  <si>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</si>
  <si>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</si>
  <si>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</si>
  <si>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</si>
  <si>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</si>
  <si>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</si>
  <si>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</si>
  <si>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</si>
  <si>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1981</t>
  </si>
  <si>
    <t>1982</t>
  </si>
  <si>
    <t>1983</t>
  </si>
  <si>
    <t>1984</t>
  </si>
  <si>
    <t>1985</t>
  </si>
  <si>
    <t>1986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</si>
  <si>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</si>
  <si>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</si>
  <si>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</si>
  <si>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</si>
  <si>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</si>
  <si>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</si>
  <si>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</si>
  <si>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</si>
  <si>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</si>
  <si>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</si>
  <si>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</si>
  <si>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</si>
  <si>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</si>
  <si>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</si>
  <si>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</si>
  <si>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</si>
  <si>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</si>
  <si>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</si>
  <si>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</si>
  <si>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</si>
  <si>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</si>
  <si>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</si>
  <si>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</si>
  <si>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</si>
  <si>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</si>
  <si>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</si>
  <si>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</si>
  <si>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</si>
  <si>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</si>
  <si>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</si>
  <si>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</si>
  <si>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</si>
  <si>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</si>
  <si>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</si>
  <si>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</si>
  <si>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</si>
  <si>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</si>
  <si>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</si>
  <si>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</si>
  <si>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Género padre</t>
  </si>
  <si>
    <t>Géneros padre</t>
  </si>
  <si>
    <t>1</t>
  </si>
  <si>
    <t>2</t>
  </si>
  <si>
    <t>Nº de canción</t>
  </si>
  <si>
    <t>3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</si>
  <si>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</si>
  <si>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</si>
  <si>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</si>
  <si>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</si>
  <si>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</si>
  <si>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</si>
  <si>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</si>
  <si>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</si>
  <si>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</si>
  <si>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</si>
  <si>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</si>
  <si>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</si>
  <si>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</si>
  <si>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% del álbum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</si>
  <si>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</si>
  <si>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</si>
  <si>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</si>
  <si>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</si>
  <si>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</si>
  <si>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</si>
  <si>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</si>
  <si>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</si>
  <si>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</si>
  <si>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</si>
  <si>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11.0</t>
  </si>
  <si>
    <t>Duración (min)</t>
  </si>
  <si>
    <t>Nº canciones</t>
  </si>
  <si>
    <t>Desv. típica</t>
  </si>
  <si>
    <t>Opeth - Blackwater Park</t>
  </si>
  <si>
    <t>King Crimson - In The Court Of The Crimson King</t>
  </si>
  <si>
    <t>Led Zeppelin - Led Zeppelin IV</t>
  </si>
  <si>
    <t>TOOL - Salival [LIVE]</t>
  </si>
  <si>
    <t>Pink Floyd - Animals</t>
  </si>
  <si>
    <t>TOOL - Ænima</t>
  </si>
  <si>
    <t>TOOL - 10,000 Days</t>
  </si>
  <si>
    <t>Pink Floyd - The Dark Side Of The Moon</t>
  </si>
  <si>
    <t>Radiohead - OK Computer</t>
  </si>
  <si>
    <t>Godspeed You! Black Emperor - Lift Yr. Skinny Fists Like Antennas to Heaven!</t>
  </si>
  <si>
    <t>Radiohead - In Rainbows</t>
  </si>
  <si>
    <t>Pink Floyd - Wish You Were Here</t>
  </si>
  <si>
    <t>Yes - Close to the Edge</t>
  </si>
  <si>
    <t>Fishmans - LONG SEASON</t>
  </si>
  <si>
    <t>TOOL - Lateralus</t>
  </si>
  <si>
    <t>Iron Maiden (2)</t>
  </si>
  <si>
    <t>Boards of Canada (3)</t>
  </si>
  <si>
    <t>Dire Straits (3)</t>
  </si>
  <si>
    <t>Sweet Trip (2)</t>
  </si>
  <si>
    <t>David Bowie (2)</t>
  </si>
  <si>
    <t>Supertramp (2)</t>
  </si>
  <si>
    <t>Porcupine Tree (4)</t>
  </si>
  <si>
    <t>Led Zeppelin (2)</t>
  </si>
  <si>
    <t>King Crimson (4)</t>
  </si>
  <si>
    <t>TOOL (7)</t>
  </si>
  <si>
    <t>Godspeed You! Black Emperor (3)</t>
  </si>
  <si>
    <t>Yes (2)</t>
  </si>
  <si>
    <t>Pink Floyd (5)</t>
  </si>
  <si>
    <r>
      <t xml:space="preserve">* Car Seat Headrest - </t>
    </r>
    <r>
      <rPr>
        <b/>
        <sz val="12"/>
        <color theme="1"/>
        <rFont val="Aptos Narrow"/>
        <family val="2"/>
        <scheme val="minor"/>
      </rPr>
      <t>Twin Fantasy</t>
    </r>
  </si>
  <si>
    <t>My Boy - Twin Fantasy</t>
  </si>
  <si>
    <t>Beach Life-In-Death</t>
  </si>
  <si>
    <t>Stop Smoking (We Love You)</t>
  </si>
  <si>
    <t>Sober to Death</t>
  </si>
  <si>
    <t>Nervous Young Inhumans</t>
  </si>
  <si>
    <t>Bodys</t>
  </si>
  <si>
    <t>Cute Thing</t>
  </si>
  <si>
    <t>High to Death</t>
  </si>
  <si>
    <t>Famous Prophets (Stars)</t>
  </si>
  <si>
    <t>Twin Fantasy (Those Boys)</t>
  </si>
  <si>
    <t>Car Seat Headrest</t>
  </si>
  <si>
    <t>Twin Fantasy</t>
  </si>
  <si>
    <t>1 · media 8.67 · score 8.57</t>
  </si>
  <si>
    <t>7 · media 8.66 · score 8.61</t>
  </si>
  <si>
    <t>8.68, [+0.07]</t>
  </si>
  <si>
    <t>8.44, [-0.16]</t>
  </si>
  <si>
    <t>29/06/2026</t>
  </si>
  <si>
    <t>classic rock, folk rock, hard rock</t>
  </si>
  <si>
    <t>progressive rock, progressive metal, post brit pop</t>
  </si>
  <si>
    <t>djent, progressive metal, groove metal</t>
  </si>
  <si>
    <t>garage rock, indie rock, garage rock revival</t>
  </si>
  <si>
    <t>TOP  Indie Rock (9 álbumes)</t>
  </si>
  <si>
    <t>9 · media 8.38 · score 8.31</t>
  </si>
  <si>
    <t>33 álbumes · media 8.48</t>
  </si>
  <si>
    <t>idm, glitch pop</t>
  </si>
  <si>
    <t>TOP  Dream Pop (7 álbumes)</t>
  </si>
  <si>
    <t>glitch pop</t>
  </si>
  <si>
    <t>7 · media 9.01 · score 9.03</t>
  </si>
  <si>
    <t>1 · media 9 · score 8.96</t>
  </si>
  <si>
    <t>4 · media 8.59 · score 8.51</t>
  </si>
  <si>
    <t>111 álb · 40 subg · media 8.68 · score 8.68</t>
  </si>
  <si>
    <t>Agalloch (2)</t>
  </si>
  <si>
    <r>
      <t xml:space="preserve">* Aphex Twin - </t>
    </r>
    <r>
      <rPr>
        <b/>
        <sz val="14"/>
        <color rgb="FFFAC062"/>
        <rFont val="Aptos Narrow"/>
        <family val="2"/>
        <scheme val="minor"/>
      </rPr>
      <t>Drukqs</t>
    </r>
  </si>
  <si>
    <t>Jynweythek</t>
  </si>
  <si>
    <t>Vordhosbn</t>
  </si>
  <si>
    <t>Kladfvgbung Mischk</t>
  </si>
  <si>
    <t>Omgyjya-Switch7</t>
  </si>
  <si>
    <t>Strotha Tynhe</t>
  </si>
  <si>
    <t>Gwely Mernans</t>
  </si>
  <si>
    <t>Bdydhyonchord</t>
  </si>
  <si>
    <t>Cock/ver10</t>
  </si>
  <si>
    <t>Avril 14th</t>
  </si>
  <si>
    <t>Mt Saint Michel + Saint Michaels Mount</t>
  </si>
  <si>
    <t>Gwarek2</t>
  </si>
  <si>
    <t>Orban Eq Trx 4</t>
  </si>
  <si>
    <t>Aussois</t>
  </si>
  <si>
    <t>Hy A Scullyas Lyf Adhagrow</t>
  </si>
  <si>
    <t>Kesson Dalek</t>
  </si>
  <si>
    <t>54 Cymru Beats</t>
  </si>
  <si>
    <t>Btoum-Roumada</t>
  </si>
  <si>
    <t>Lornaderek</t>
  </si>
  <si>
    <t>QKThr</t>
  </si>
  <si>
    <t>Meltphace 6</t>
  </si>
  <si>
    <t>Bit 4</t>
  </si>
  <si>
    <t>Prep Gwarek 36</t>
  </si>
  <si>
    <t>Father</t>
  </si>
  <si>
    <t>Taking Control</t>
  </si>
  <si>
    <t>Petiatil Cx Htdui</t>
  </si>
  <si>
    <t>Ruglen Holon</t>
  </si>
  <si>
    <t>Afx237 v.7</t>
  </si>
  <si>
    <t>Ziggomatic 17</t>
  </si>
  <si>
    <t>Beskhu3epnm</t>
  </si>
  <si>
    <t>Nanou2</t>
  </si>
  <si>
    <t>Artista *</t>
  </si>
  <si>
    <t>Drukqs</t>
  </si>
  <si>
    <t>progressive rock, art rock, psychedelic rock, rock opera</t>
  </si>
  <si>
    <t>progressive metal, alternative metal, post metal</t>
  </si>
  <si>
    <t>idm, glitch pop, dream pop, indie pop</t>
  </si>
  <si>
    <t>classic rock, roots rock, blues rock, art rock</t>
  </si>
  <si>
    <t>post britpop, pop rock, art rock, art pop</t>
  </si>
  <si>
    <t>post rock, drone, noise rock, stoner metal</t>
  </si>
  <si>
    <t>trip hop, electronic, experimental rock</t>
  </si>
  <si>
    <t>post metal, folk metal, atmospheric black metal</t>
  </si>
  <si>
    <t>progressive metal, death metal, groove metal</t>
  </si>
  <si>
    <t>melodic death metal, progressive metal, death metal</t>
  </si>
  <si>
    <t>french house, mashup, electronic, electroclash, post industrial</t>
  </si>
  <si>
    <t>alternative rock, art pop, electropop, hip hop, neo psychedelia</t>
  </si>
  <si>
    <t>progressive metal, death metal, progressive rock, melodic death metal</t>
  </si>
  <si>
    <t>pop rap, hip hop, chipmunk soul, experimental hip hop</t>
  </si>
  <si>
    <t>thrash metal, heavy metal, hard rock, alternative metal</t>
  </si>
  <si>
    <t>Godspeed You! Black Emperor - F♯A♯∞ (σ=0.24)</t>
  </si>
  <si>
    <t>6 · media 8.75 · score 8.65</t>
  </si>
  <si>
    <t>6 álb · 1 subg · media 8.75 · score 8.65</t>
  </si>
  <si>
    <t>r=-0.122   · ≈ nula</t>
  </si>
  <si>
    <t>r=-0.242         · ↓ débil</t>
  </si>
  <si>
    <t>8.54, [-0.02]</t>
  </si>
  <si>
    <t>Álbumes con al menos 12 canciones: 74</t>
  </si>
  <si>
    <t>8.31, [-0.18]</t>
  </si>
  <si>
    <t>Álbumes con al menos 13 canciones: 52</t>
  </si>
  <si>
    <t>Álbumes con al menos 14 canciones: 35</t>
  </si>
  <si>
    <t>Álbumes con al menos 15 canciones: 27</t>
  </si>
  <si>
    <t>8.19, [-0.20]</t>
  </si>
  <si>
    <t>Álbumes con al menos 16 canciones: 19</t>
  </si>
  <si>
    <t>Álbumes con al menos 17 canciones: 16</t>
  </si>
  <si>
    <t>8.53, [+0.32]</t>
  </si>
  <si>
    <t>0</t>
  </si>
  <si>
    <t>drill and bass, idm</t>
  </si>
  <si>
    <t>1h 40m</t>
  </si>
  <si>
    <t>30/06/2026</t>
  </si>
  <si>
    <t>idm, drill and bass, ambient techno, IDM, ambient, electronic</t>
  </si>
  <si>
    <t>1992 - 2001</t>
  </si>
  <si>
    <t>TOP  Idm (8 álbumes)</t>
  </si>
  <si>
    <t>Drukqs, Richard D. James Album, …I Care Because You Do, Come To Daddy</t>
  </si>
  <si>
    <t>TOP Electronic (35 álbumes)</t>
  </si>
  <si>
    <t>8 · media 8.79 · score 8.76</t>
  </si>
  <si>
    <t>3 · media 8.71 · score 8.65</t>
  </si>
  <si>
    <t>35 álb · 19 subg · media 8.64 · score 8.63</t>
  </si>
  <si>
    <t>2000s (63)</t>
  </si>
  <si>
    <t>63 álbumes · media 8.74</t>
  </si>
  <si>
    <t>7.82, [-0.46]</t>
  </si>
  <si>
    <r>
      <t xml:space="preserve">* Deftones - </t>
    </r>
    <r>
      <rPr>
        <b/>
        <sz val="14"/>
        <color rgb="FFFFCCCC"/>
        <rFont val="Aptos Narrow"/>
        <family val="2"/>
        <scheme val="minor"/>
      </rPr>
      <t>Adrenaline</t>
    </r>
  </si>
  <si>
    <t>Bored</t>
  </si>
  <si>
    <t>Minus Blindfold</t>
  </si>
  <si>
    <t>One Weak</t>
  </si>
  <si>
    <t>Nosebleed</t>
  </si>
  <si>
    <t>Lifter</t>
  </si>
  <si>
    <t>Root</t>
  </si>
  <si>
    <t>7 Words</t>
  </si>
  <si>
    <t>Birthmark</t>
  </si>
  <si>
    <t>Engine No. 9</t>
  </si>
  <si>
    <t>Fireal</t>
  </si>
  <si>
    <t>Fist</t>
  </si>
  <si>
    <t>Adrenaline</t>
  </si>
  <si>
    <t>-1.48 ← sesgo alto</t>
  </si>
  <si>
    <t>r=0.106 · ≈ nula</t>
  </si>
  <si>
    <t>r=0.111 · ≈ nula</t>
  </si>
  <si>
    <t>8.69, [+0.10]</t>
  </si>
  <si>
    <t>8.25, [-0.27]</t>
  </si>
  <si>
    <t>8.35, [-0.24]</t>
  </si>
  <si>
    <t>8.37, [-0.22]</t>
  </si>
  <si>
    <t>8.48, [-0.10]</t>
  </si>
  <si>
    <t>Boris (2)</t>
  </si>
  <si>
    <t>nu metal, alternative metal</t>
  </si>
  <si>
    <t>Blinded by Fear</t>
  </si>
  <si>
    <t>Slaughter of the Soul</t>
  </si>
  <si>
    <t>Cold</t>
  </si>
  <si>
    <t>Under a Serpent Sun</t>
  </si>
  <si>
    <t>Into the Dead Sky</t>
  </si>
  <si>
    <t>Suicide Nation</t>
  </si>
  <si>
    <t>World of Lies</t>
  </si>
  <si>
    <t>Unto Others</t>
  </si>
  <si>
    <t>Nausea</t>
  </si>
  <si>
    <t>Need</t>
  </si>
  <si>
    <t>The Flames of the End</t>
  </si>
  <si>
    <r>
      <t xml:space="preserve">* At The Gates - </t>
    </r>
    <r>
      <rPr>
        <b/>
        <sz val="12"/>
        <color rgb="FFF79C09"/>
        <rFont val="Aptos Narrow"/>
        <family val="2"/>
        <scheme val="minor"/>
      </rPr>
      <t>Slaughter Of The Soul</t>
    </r>
  </si>
  <si>
    <t>At The Gates</t>
  </si>
  <si>
    <t>Slaughter Of The Soul</t>
  </si>
  <si>
    <t>alternative metal, nu metal</t>
  </si>
  <si>
    <t>1995 - 2012</t>
  </si>
  <si>
    <t>TOP  Alternative Metal (16 álbumes)</t>
  </si>
  <si>
    <t>TOP Metal (71 álbumes)</t>
  </si>
  <si>
    <t>8 (×589)</t>
  </si>
  <si>
    <t>8.41 ← colas pesadas</t>
  </si>
  <si>
    <t>24   (0.96%)</t>
  </si>
  <si>
    <t>41   (1.64%)</t>
  </si>
  <si>
    <t>308   (12.34%)</t>
  </si>
  <si>
    <t>1140   (45.69%)</t>
  </si>
  <si>
    <t>591  (23.69%)</t>
  </si>
  <si>
    <t>391(15.67%)</t>
  </si>
  <si>
    <t>238 de 239</t>
  </si>
  <si>
    <t>16 · media 8.44 · score 8.5</t>
  </si>
  <si>
    <t>4 · media 8.34 · score 8.28</t>
  </si>
  <si>
    <t>71 álb · 20 subg · media 8.59 · score 8.58</t>
  </si>
  <si>
    <t>55 álbumes · media 8.6</t>
  </si>
  <si>
    <t>r=0.538      · ↑ moderada</t>
  </si>
  <si>
    <t>r=-0.315 · ↓ débil</t>
  </si>
  <si>
    <t>r=0.087 · ≈ nula</t>
  </si>
  <si>
    <t>Notas ≥10 (r=0.538)</t>
  </si>
  <si>
    <t>Duración   (r=0.087)</t>
  </si>
  <si>
    <t>Álbumes con al menos 1 cancion: 239</t>
  </si>
  <si>
    <t>Álbumes con al menos 2 canciones: 238</t>
  </si>
  <si>
    <t>8.86, [+0.27]</t>
  </si>
  <si>
    <t>Álbumes con al menos 3 canciones: 238</t>
  </si>
  <si>
    <t>Álbumes con al menos 4 canciones: 236</t>
  </si>
  <si>
    <t>Álbumes con al menos 5 canciones: 232</t>
  </si>
  <si>
    <t>8.54, [-0.05]</t>
  </si>
  <si>
    <t>Álbumes con al menos 6 canciones: 219</t>
  </si>
  <si>
    <t>Álbumes con al menos 7 canciones: 207</t>
  </si>
  <si>
    <t>8.44, [-0.12]</t>
  </si>
  <si>
    <t>Álbumes con al menos 8 canciones: 188</t>
  </si>
  <si>
    <t>Álbumes con al menos 9 canciones: 168</t>
  </si>
  <si>
    <t>Álbumes con al menos 10 canciones: 135</t>
  </si>
  <si>
    <t>Álbumes con al menos 11 canciones: 102</t>
  </si>
  <si>
    <t>8.28, [-0.21]</t>
  </si>
  <si>
    <t>9.02, [+0.41]</t>
  </si>
  <si>
    <t>8.78, [+0.17]</t>
  </si>
  <si>
    <t>8.74, [+0.14]</t>
  </si>
  <si>
    <t>8.46, [-0.15]</t>
  </si>
  <si>
    <t>8.48, [-0.13]</t>
  </si>
  <si>
    <t>melodic death metal, gothenburg sound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</si>
</sst>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9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4"/>
      <color rgb="FFD40000"/>
      <name val="Aptos Narrow"/>
      <scheme val="minor"/>
    </font>
    <font>
      <b/>
      <sz val="14"/>
      <color rgb="FFD40000"/>
      <name val="Aptos Narrow"/>
      <scheme val="minor"/>
    </font>
    <font>
      <sz val="14"/>
      <color rgb="FFFF9966"/>
      <name val="Aptos Narrow"/>
      <family val="2"/>
      <scheme val="minor"/>
    </font>
    <font>
      <b/>
      <sz val="14"/>
      <color rgb="FFFF9966"/>
      <name val="Aptos Narrow"/>
      <family val="2"/>
      <scheme val="minor"/>
    </font>
    <font>
      <sz val="12"/>
      <color rgb="FF63FB44"/>
      <name val="Aptos Narrow"/>
      <scheme val="minor"/>
    </font>
    <font>
      <b/>
      <sz val="12"/>
      <color rgb="FF63FB44"/>
      <name val="Aptos Narrow"/>
      <scheme val="minor"/>
    </font>
    <font>
      <sz val="11"/>
      <color rgb="FFFF00D7"/>
      <name val="Aptos Narrow"/>
      <scheme val="minor"/>
    </font>
    <font>
      <b/>
      <sz val="11"/>
      <color rgb="FFFF00D7"/>
      <name val="Aptos Narrow"/>
      <scheme val="minor"/>
    </font>
    <font>
      <sz val="12"/>
      <color rgb="FFF2F0C0"/>
      <name val="Aptos Narrow"/>
      <scheme val="minor"/>
    </font>
    <font>
      <b/>
      <sz val="12"/>
      <color rgb="FFF2F0C0"/>
      <name val="Aptos Narrow"/>
      <scheme val="minor"/>
    </font>
    <font>
      <sz val="14"/>
      <color rgb="FFFAC062"/>
      <name val="Aptos Narrow"/>
      <family val="2"/>
      <scheme val="minor"/>
    </font>
    <font>
      <b/>
      <sz val="14"/>
      <color rgb="FFFAC062"/>
      <name val="Aptos Narrow"/>
      <family val="2"/>
      <scheme val="minor"/>
    </font>
    <font>
      <sz val="14"/>
      <color rgb="FFFFCCCC"/>
      <name val="Aptos Narrow"/>
      <family val="2"/>
      <scheme val="minor"/>
    </font>
    <font>
      <b/>
      <sz val="14"/>
      <color rgb="FFFFCCCC"/>
      <name val="Aptos Narrow"/>
      <family val="2"/>
      <scheme val="minor"/>
    </font>
    <font>
      <sz val="12"/>
      <color rgb="FFF79C09"/>
      <name val="Aptos Narrow"/>
      <family val="2"/>
      <scheme val="minor"/>
    </font>
    <font>
      <b/>
      <sz val="12"/>
      <color rgb="FFF79C09"/>
      <name val="Aptos Narrow"/>
      <family val="2"/>
      <scheme val="minor"/>
    </font>
  </fonts>
  <fills count="30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9DDB85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A7DD7F"/>
        <bgColor indexed="64"/>
      </patternFill>
    </fill>
    <fill>
      <patternFill patternType="solid">
        <fgColor rgb="FF4E97F0"/>
        <bgColor indexed="64"/>
      </patternFill>
    </fill>
    <fill>
      <patternFill patternType="solid">
        <fgColor rgb="FF90D78F"/>
        <bgColor indexed="64"/>
      </patternFill>
    </fill>
    <fill>
      <patternFill patternType="solid">
        <fgColor rgb="FF0354BF"/>
        <bgColor indexed="64"/>
      </patternFill>
    </fill>
    <fill>
      <patternFill patternType="solid">
        <fgColor rgb="FF680000"/>
        <bgColor indexed="64"/>
      </patternFill>
    </fill>
    <fill>
      <patternFill patternType="solid">
        <fgColor rgb="FF626643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88800"/>
        <bgColor indexed="64"/>
      </patternFill>
    </fill>
    <fill>
      <patternFill patternType="solid">
        <fgColor rgb="FF7A3308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35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0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3" borderId="1" xfId="0" applyFont="1" applyFill="1" applyBorder="1" applyAlignment="1">
      <alignment vertical="center"/>
    </xf>
    <xf numFmtId="0" fontId="180" fillId="165" borderId="1" xfId="0" applyFont="1" applyFill="1" applyBorder="1" applyAlignment="1">
      <alignment vertical="center"/>
    </xf>
    <xf numFmtId="0" fontId="182" fillId="166" borderId="1" xfId="0" applyFont="1" applyFill="1" applyBorder="1" applyAlignment="1">
      <alignment vertical="center"/>
    </xf>
    <xf numFmtId="0" fontId="184" fillId="167" borderId="1" xfId="0" applyFont="1" applyFill="1" applyBorder="1" applyAlignment="1">
      <alignment vertical="center"/>
    </xf>
    <xf numFmtId="0" fontId="186" fillId="169" borderId="1" xfId="0" applyFont="1" applyFill="1" applyBorder="1" applyAlignment="1">
      <alignment vertical="center"/>
    </xf>
    <xf numFmtId="0" fontId="188" fillId="171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3" fillId="176" borderId="1" xfId="0" applyFont="1" applyFill="1" applyBorder="1" applyAlignment="1">
      <alignment vertical="center"/>
    </xf>
    <xf numFmtId="0" fontId="135" fillId="178" borderId="1" xfId="0" applyFont="1" applyFill="1" applyBorder="1" applyAlignment="1">
      <alignment vertical="center"/>
    </xf>
    <xf numFmtId="0" fontId="195" fillId="179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2" borderId="1" xfId="0" applyFont="1" applyFill="1" applyBorder="1" applyAlignment="1">
      <alignment vertical="center"/>
    </xf>
    <xf numFmtId="0" fontId="203" fillId="184" borderId="1" xfId="0" applyFont="1" applyFill="1" applyBorder="1" applyAlignment="1">
      <alignment vertical="center"/>
    </xf>
    <xf numFmtId="0" fontId="51" fillId="185" borderId="1" xfId="0" applyFont="1" applyFill="1" applyBorder="1" applyAlignment="1">
      <alignment vertical="center"/>
    </xf>
    <xf numFmtId="0" fontId="62" fillId="186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7" borderId="4" xfId="0" applyFont="1" applyFill="1" applyBorder="1" applyAlignment="1">
      <alignment vertical="center"/>
    </xf>
    <xf numFmtId="0" fontId="207" fillId="188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3" borderId="1" xfId="0" applyFont="1" applyFill="1" applyBorder="1" applyAlignment="1">
      <alignment vertical="center"/>
    </xf>
    <xf numFmtId="0" fontId="213" fillId="194" borderId="1" xfId="0" applyFont="1" applyFill="1" applyBorder="1" applyAlignment="1">
      <alignment vertical="center"/>
    </xf>
    <xf numFmtId="0" fontId="215" fillId="195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6" borderId="1" xfId="0" applyFont="1" applyFill="1" applyBorder="1" applyAlignment="1">
      <alignment vertical="center"/>
    </xf>
    <xf numFmtId="0" fontId="124" fillId="195" borderId="1" xfId="0" applyFont="1" applyFill="1" applyBorder="1" applyAlignment="1">
      <alignment vertical="center"/>
    </xf>
    <xf numFmtId="0" fontId="42" fillId="199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1" borderId="1" xfId="0" applyFont="1" applyFill="1" applyBorder="1" applyAlignment="1">
      <alignment vertical="center"/>
    </xf>
    <xf numFmtId="0" fontId="225" fillId="202" borderId="1" xfId="0" applyFont="1" applyFill="1" applyBorder="1" applyAlignment="1">
      <alignment vertical="center"/>
    </xf>
    <xf numFmtId="0" fontId="227" fillId="204" borderId="1" xfId="0" applyFont="1" applyFill="1" applyBorder="1" applyAlignment="1">
      <alignment vertical="center"/>
    </xf>
    <xf numFmtId="0" fontId="229" fillId="205" borderId="1" xfId="0" applyFont="1" applyFill="1" applyBorder="1" applyAlignment="1">
      <alignment vertical="center"/>
    </xf>
    <xf numFmtId="0" fontId="231" fillId="206" borderId="1" xfId="0" applyFont="1" applyFill="1" applyBorder="1" applyAlignment="1">
      <alignment vertical="center"/>
    </xf>
    <xf numFmtId="0" fontId="215" fillId="207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5" borderId="1" xfId="0" applyFont="1" applyFill="1" applyBorder="1" applyAlignment="1">
      <alignment vertical="center"/>
    </xf>
    <xf numFmtId="0" fontId="235" fillId="210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2" borderId="1" xfId="0" applyFont="1" applyFill="1" applyBorder="1" applyAlignment="1">
      <alignment vertical="center"/>
    </xf>
    <xf numFmtId="0" fontId="241" fillId="213" borderId="1" xfId="0" applyFont="1" applyFill="1" applyBorder="1" applyAlignment="1">
      <alignment vertical="center"/>
    </xf>
    <xf numFmtId="0" fontId="243" fillId="214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6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7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8" borderId="5" xfId="0" applyFont="1" applyFill="1" applyBorder="1" applyAlignment="1">
      <alignment vertical="center"/>
    </xf>
    <xf numFmtId="0" fontId="253" fillId="219" borderId="1" xfId="0" applyFont="1" applyFill="1" applyBorder="1" applyAlignment="1">
      <alignment vertical="center"/>
    </xf>
    <xf numFmtId="0" fontId="51" fillId="221" borderId="8" xfId="0" applyFont="1" applyFill="1" applyBorder="1" applyAlignment="1">
      <alignment vertical="center"/>
    </xf>
    <xf numFmtId="0" fontId="255" fillId="222" borderId="1" xfId="0" applyFont="1" applyFill="1" applyBorder="1" applyAlignment="1">
      <alignment vertical="center"/>
    </xf>
    <xf numFmtId="0" fontId="257" fillId="223" borderId="1" xfId="0" applyFont="1" applyFill="1" applyBorder="1" applyAlignment="1">
      <alignment vertical="center"/>
    </xf>
    <xf numFmtId="0" fontId="147" fillId="195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4" borderId="1" xfId="0" applyFont="1" applyFill="1" applyBorder="1" applyAlignment="1">
      <alignment vertical="center"/>
    </xf>
    <xf numFmtId="0" fontId="88" fillId="229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1" borderId="1" xfId="0" applyFont="1" applyFill="1" applyBorder="1" applyAlignment="1">
      <alignment vertical="center"/>
    </xf>
    <xf numFmtId="0" fontId="263" fillId="232" borderId="1" xfId="0" applyFont="1" applyFill="1" applyBorder="1" applyAlignment="1">
      <alignment vertical="center"/>
    </xf>
    <xf numFmtId="0" fontId="265" fillId="234" borderId="1" xfId="0" applyFont="1" applyFill="1" applyBorder="1" applyAlignment="1">
      <alignment vertical="center"/>
    </xf>
    <xf numFmtId="0" fontId="267" fillId="235" borderId="1" xfId="0" applyFont="1" applyFill="1" applyBorder="1" applyAlignment="1">
      <alignment vertical="center"/>
    </xf>
    <xf numFmtId="0" fontId="269" fillId="236" borderId="1" xfId="0" applyFont="1" applyFill="1" applyBorder="1" applyAlignment="1">
      <alignment vertical="center"/>
    </xf>
    <xf numFmtId="0" fontId="168" fillId="195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1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2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3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4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198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0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7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3" borderId="0" xfId="0" applyFont="1" applyFill="1" applyAlignment="1">
      <alignment horizontal="center"/>
    </xf>
    <xf numFmtId="0" fontId="15" fillId="203" borderId="0" xfId="0" applyFont="1" applyFill="1" applyAlignment="1">
      <alignment horizontal="center"/>
    </xf>
    <xf numFmtId="0" fontId="15" fillId="170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75" borderId="0" xfId="0" applyFont="1" applyFill="1" applyAlignment="1">
      <alignment horizontal="center"/>
    </xf>
    <xf numFmtId="0" fontId="15" fillId="158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15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08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209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237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5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6" borderId="1" xfId="0" applyFont="1" applyFill="1" applyBorder="1" applyAlignment="1">
      <alignment vertical="center"/>
    </xf>
    <xf numFmtId="0" fontId="281" fillId="247" borderId="1" xfId="0" applyFont="1" applyFill="1" applyBorder="1" applyAlignment="1">
      <alignment vertical="center"/>
    </xf>
    <xf numFmtId="0" fontId="283" fillId="249" borderId="1" xfId="0" applyFont="1" applyFill="1" applyBorder="1" applyAlignment="1">
      <alignment vertical="center"/>
    </xf>
    <xf numFmtId="0" fontId="285" fillId="248" borderId="1" xfId="0" applyFont="1" applyFill="1" applyBorder="1" applyAlignment="1">
      <alignment vertical="center"/>
    </xf>
    <xf numFmtId="0" fontId="287" fillId="250" borderId="1" xfId="0" applyFont="1" applyFill="1" applyBorder="1" applyAlignment="1">
      <alignment vertical="center"/>
    </xf>
    <xf numFmtId="0" fontId="15" fillId="251" borderId="0" xfId="0" applyFont="1" applyFill="1" applyAlignment="1">
      <alignment horizontal="center"/>
    </xf>
    <xf numFmtId="0" fontId="164" fillId="252" borderId="1" xfId="0" applyFont="1" applyFill="1" applyBorder="1" applyAlignment="1">
      <alignment vertical="center"/>
    </xf>
    <xf numFmtId="0" fontId="15" fillId="254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6" borderId="1" xfId="0" applyFont="1" applyFill="1" applyBorder="1" applyAlignment="1">
      <alignment vertical="center"/>
    </xf>
    <xf numFmtId="0" fontId="289" fillId="253" borderId="1" xfId="0" applyFont="1" applyFill="1" applyBorder="1" applyAlignment="1">
      <alignment vertical="center"/>
    </xf>
    <xf numFmtId="0" fontId="293" fillId="257" borderId="1" xfId="0" applyFont="1" applyFill="1" applyBorder="1" applyAlignment="1">
      <alignment vertical="center"/>
    </xf>
    <xf numFmtId="0" fontId="295" fillId="185" borderId="1" xfId="0" applyFont="1" applyFill="1" applyBorder="1" applyAlignment="1">
      <alignment vertical="center"/>
    </xf>
    <xf numFmtId="0" fontId="297" fillId="258" borderId="1" xfId="0" applyFont="1" applyFill="1" applyBorder="1" applyAlignment="1">
      <alignment vertical="center"/>
    </xf>
    <xf numFmtId="0" fontId="15" fillId="259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0" borderId="1" xfId="0" applyFont="1" applyFill="1" applyBorder="1" applyAlignment="1">
      <alignment vertical="center"/>
    </xf>
    <xf numFmtId="0" fontId="305" fillId="255" borderId="1" xfId="0" applyFont="1" applyFill="1" applyBorder="1" applyAlignment="1">
      <alignment vertical="center"/>
    </xf>
    <xf numFmtId="0" fontId="303" fillId="261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3" borderId="1" xfId="0" applyFont="1" applyFill="1" applyBorder="1" applyAlignment="1">
      <alignment vertical="center"/>
    </xf>
    <xf numFmtId="0" fontId="315" fillId="264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15" fillId="268" borderId="0" xfId="0" applyFont="1" applyFill="1" applyAlignment="1">
      <alignment horizontal="center"/>
    </xf>
    <xf numFmtId="0" fontId="317" fillId="269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0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1" borderId="1" xfId="0" applyFont="1" applyFill="1" applyBorder="1" applyAlignment="1">
      <alignment vertical="center"/>
    </xf>
    <xf numFmtId="0" fontId="323" fillId="272" borderId="1" xfId="0" applyFont="1" applyFill="1" applyBorder="1" applyAlignment="1">
      <alignment vertical="center"/>
    </xf>
    <xf numFmtId="0" fontId="42" fillId="273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4" borderId="0" xfId="0" applyFont="1" applyFill="1" applyAlignment="1">
      <alignment horizontal="center"/>
    </xf>
    <xf numFmtId="0" fontId="101" fillId="275" borderId="1" xfId="0" applyFont="1" applyFill="1" applyBorder="1" applyAlignment="1">
      <alignment vertical="center"/>
    </xf>
    <xf numFmtId="0" fontId="15" fillId="276" borderId="0" xfId="0" applyFont="1" applyFill="1" applyAlignment="1">
      <alignment horizontal="center"/>
    </xf>
    <xf numFmtId="0" fontId="15" fillId="277" borderId="0" xfId="0" applyFont="1" applyFill="1" applyAlignment="1">
      <alignment horizontal="center"/>
    </xf>
    <xf numFmtId="0" fontId="327" fillId="278" borderId="1" xfId="0" applyFont="1" applyFill="1" applyBorder="1" applyAlignment="1">
      <alignment vertical="center"/>
    </xf>
    <xf numFmtId="0" fontId="329" fillId="279" borderId="1" xfId="0" applyFont="1" applyFill="1" applyBorder="1" applyAlignment="1">
      <alignment vertical="center"/>
    </xf>
    <xf numFmtId="0" fontId="38" fillId="280" borderId="1" xfId="0" applyFont="1" applyFill="1" applyBorder="1" applyAlignment="1">
      <alignment vertical="center"/>
    </xf>
    <xf numFmtId="0" fontId="15" fillId="281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5" borderId="1" xfId="0" applyFont="1" applyFill="1" applyBorder="1" applyAlignment="1">
      <alignment vertical="center"/>
    </xf>
    <xf numFmtId="0" fontId="333" fillId="282" borderId="1" xfId="0" applyFont="1" applyFill="1" applyBorder="1" applyAlignment="1">
      <alignment vertical="center"/>
    </xf>
    <xf numFmtId="0" fontId="335" fillId="283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4" borderId="1" xfId="0" applyFont="1" applyFill="1" applyBorder="1" applyAlignment="1">
      <alignment vertical="center"/>
    </xf>
    <xf numFmtId="0" fontId="339" fillId="285" borderId="1" xfId="0" applyFont="1" applyFill="1" applyBorder="1" applyAlignment="1">
      <alignment vertical="center"/>
    </xf>
    <xf numFmtId="0" fontId="15" fillId="286" borderId="0" xfId="0" applyFont="1" applyFill="1" applyAlignment="1">
      <alignment horizontal="center"/>
    </xf>
    <xf numFmtId="0" fontId="174" fillId="22" borderId="1" xfId="0" applyFont="1" applyFill="1" applyBorder="1" applyAlignment="1">
      <alignment vertical="center"/>
    </xf>
    <xf numFmtId="0" fontId="271" fillId="287" borderId="1" xfId="0" applyFont="1" applyFill="1" applyBorder="1" applyAlignment="1">
      <alignment vertical="center"/>
    </xf>
    <xf numFmtId="0" fontId="15" fillId="288" borderId="0" xfId="0" applyFont="1" applyFill="1" applyAlignment="1">
      <alignment horizontal="center"/>
    </xf>
    <xf numFmtId="0" fontId="15" fillId="289" borderId="0" xfId="0" applyFont="1" applyFill="1" applyAlignment="1">
      <alignment horizontal="center"/>
    </xf>
    <xf numFmtId="0" fontId="15" fillId="290" borderId="0" xfId="0" applyFont="1" applyFill="1" applyAlignment="1">
      <alignment horizontal="center"/>
    </xf>
    <xf numFmtId="0" fontId="15" fillId="291" borderId="0" xfId="0" applyFont="1" applyFill="1" applyAlignment="1">
      <alignment horizontal="center"/>
    </xf>
    <xf numFmtId="0" fontId="341" fillId="292" borderId="1" xfId="0" applyFont="1" applyFill="1" applyBorder="1" applyAlignment="1">
      <alignment vertical="center"/>
    </xf>
    <xf numFmtId="0" fontId="15" fillId="293" borderId="0" xfId="0" applyFont="1" applyFill="1" applyAlignment="1">
      <alignment horizontal="center"/>
    </xf>
    <xf numFmtId="0" fontId="343" fillId="4" borderId="1" xfId="0" applyFont="1" applyFill="1" applyBorder="1" applyAlignment="1">
      <alignment vertical="center"/>
    </xf>
    <xf numFmtId="0" fontId="345" fillId="37" borderId="1" xfId="0" applyFont="1" applyFill="1" applyBorder="1" applyAlignment="1">
      <alignment vertical="center"/>
    </xf>
    <xf numFmtId="0" fontId="0" fillId="0" borderId="3" xfId="0" applyBorder="1"/>
    <xf numFmtId="0" fontId="347" fillId="294" borderId="1" xfId="0" applyFont="1" applyFill="1" applyBorder="1" applyAlignment="1">
      <alignment vertical="center"/>
    </xf>
    <xf numFmtId="0" fontId="209" fillId="295" borderId="1" xfId="0" applyFont="1" applyFill="1" applyBorder="1" applyAlignment="1">
      <alignment vertical="center"/>
    </xf>
    <xf numFmtId="0" fontId="51" fillId="241" borderId="1" xfId="0" applyFont="1" applyFill="1" applyBorder="1" applyAlignment="1">
      <alignment vertical="center"/>
    </xf>
    <xf numFmtId="0" fontId="349" fillId="4" borderId="1" xfId="0" applyFont="1" applyFill="1" applyBorder="1" applyAlignment="1">
      <alignment vertical="center"/>
    </xf>
    <xf numFmtId="0" fontId="351" fillId="296" borderId="1" xfId="0" applyFont="1" applyFill="1" applyBorder="1" applyAlignment="1">
      <alignment vertical="center"/>
    </xf>
    <xf numFmtId="0" fontId="15" fillId="297" borderId="0" xfId="0" applyFont="1" applyFill="1" applyAlignment="1">
      <alignment horizontal="center"/>
    </xf>
    <xf numFmtId="0" fontId="243" fillId="298" borderId="1" xfId="0" applyFont="1" applyFill="1" applyBorder="1" applyAlignment="1">
      <alignment vertical="center"/>
    </xf>
    <xf numFmtId="49" fontId="0" fillId="0" borderId="0" xfId="0" applyNumberFormat="1"/>
    <xf numFmtId="0" fontId="0" fillId="0" borderId="1" xfId="0" applyBorder="1" applyAlignment="1">
      <alignment vertical="center"/>
    </xf>
    <xf numFmtId="0" fontId="15" fillId="299" borderId="0" xfId="0" applyFont="1" applyFill="1" applyAlignment="1">
      <alignment horizontal="center"/>
    </xf>
    <xf numFmtId="0" fontId="353" fillId="300" borderId="1" xfId="0" applyFont="1" applyFill="1" applyBorder="1" applyAlignment="1">
      <alignment vertical="center"/>
    </xf>
    <xf numFmtId="0" fontId="355" fillId="0" borderId="1" xfId="0" applyFont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357" fillId="301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848"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</dxfs>
  <tableStyles count="0" defaultTableStyle="TableStyleMedium2" defaultPivotStyle="PivotStyleLight16"/>
  <colors>
    <mruColors>
      <color rgb="FFF79C09"/>
      <color rgb="FFF89108"/>
      <color rgb="FF7A3308"/>
      <color rgb="FF803E02"/>
      <color rgb="FFFFCCCC"/>
      <color rgb="FFFAC062"/>
      <color rgb="FFEF9707"/>
      <color rgb="FFA88800"/>
      <color rgb="FF33CCCC"/>
      <color rgb="FFF2F0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acumuladas en el tiempo (238 con fecha)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Graficos!$AU$1</c:f>
              <c:strCache>
                <c:ptCount val="1"/>
                <c:pt idx="0">
                  <c:v>Reviews acumuladas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Graficos!$AT$2:$AT$7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Graficos!$AU$2:$AU$7</c:f>
              <c:numCache>
                <c:formatCode>General</c:formatCode>
                <c:ptCount val="6"/>
                <c:pt idx="0">
                  <c:v>42</c:v>
                </c:pt>
                <c:pt idx="1">
                  <c:v>79</c:v>
                </c:pt>
                <c:pt idx="2">
                  <c:v>121</c:v>
                </c:pt>
                <c:pt idx="3">
                  <c:v>157</c:v>
                </c:pt>
                <c:pt idx="4">
                  <c:v>198</c:v>
                </c:pt>
                <c:pt idx="5">
                  <c:v>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B8-439A-B969-78D941F0F0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8280175"/>
        <c:axId val="1234360495"/>
      </c:lineChart>
      <c:catAx>
        <c:axId val="1258280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4360495"/>
        <c:crosses val="autoZero"/>
        <c:auto val="1"/>
        <c:lblAlgn val="ctr"/>
        <c:lblOffset val="100"/>
        <c:noMultiLvlLbl val="0"/>
      </c:catAx>
      <c:valAx>
        <c:axId val="1234360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582801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por mes (ritmo de reseñas)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Graficos!$AU$10</c:f>
              <c:strCache>
                <c:ptCount val="1"/>
                <c:pt idx="0">
                  <c:v>Reviews del 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Graficos!$AT$11:$AT$16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Graficos!$AU$11:$AU$16</c:f>
              <c:numCache>
                <c:formatCode>General</c:formatCode>
                <c:ptCount val="6"/>
                <c:pt idx="0">
                  <c:v>42</c:v>
                </c:pt>
                <c:pt idx="1">
                  <c:v>37</c:v>
                </c:pt>
                <c:pt idx="2">
                  <c:v>42</c:v>
                </c:pt>
                <c:pt idx="3">
                  <c:v>36</c:v>
                </c:pt>
                <c:pt idx="4">
                  <c:v>41</c:v>
                </c:pt>
                <c:pt idx="5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E8-496A-8CD5-C9455DB106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8269039"/>
        <c:axId val="1234362895"/>
      </c:barChart>
      <c:catAx>
        <c:axId val="1258269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4362895"/>
        <c:crosses val="autoZero"/>
        <c:auto val="1"/>
        <c:lblAlgn val="ctr"/>
        <c:lblOffset val="100"/>
        <c:noMultiLvlLbl val="0"/>
      </c:catAx>
      <c:valAx>
        <c:axId val="123436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58269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Histograma de notas (2495 canciones)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Graficos!$AU$19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Graficos!$AT$20:$AT$41</c:f>
              <c:strCache>
                <c:ptCount val="22"/>
                <c:pt idx="0">
                  <c:v>0.0</c:v>
                </c:pt>
                <c:pt idx="1">
                  <c:v>0.5</c:v>
                </c:pt>
                <c:pt idx="2">
                  <c:v>1.0</c:v>
                </c:pt>
                <c:pt idx="3">
                  <c:v>1.5</c:v>
                </c:pt>
                <c:pt idx="4">
                  <c:v>2.0</c:v>
                </c:pt>
                <c:pt idx="5">
                  <c:v>2.5</c:v>
                </c:pt>
                <c:pt idx="6">
                  <c:v>3.0</c:v>
                </c:pt>
                <c:pt idx="7">
                  <c:v>3.5</c:v>
                </c:pt>
                <c:pt idx="8">
                  <c:v>4.0</c:v>
                </c:pt>
                <c:pt idx="9">
                  <c:v>4.5</c:v>
                </c:pt>
                <c:pt idx="10">
                  <c:v>5.0</c:v>
                </c:pt>
                <c:pt idx="11">
                  <c:v>5.5</c:v>
                </c:pt>
                <c:pt idx="12">
                  <c:v>6.0</c:v>
                </c:pt>
                <c:pt idx="13">
                  <c:v>6.5</c:v>
                </c:pt>
                <c:pt idx="14">
                  <c:v>7.0</c:v>
                </c:pt>
                <c:pt idx="15">
                  <c:v>7.5</c:v>
                </c:pt>
                <c:pt idx="16">
                  <c:v>8.0</c:v>
                </c:pt>
                <c:pt idx="17">
                  <c:v>8.5</c:v>
                </c:pt>
                <c:pt idx="18">
                  <c:v>9.0</c:v>
                </c:pt>
                <c:pt idx="19">
                  <c:v>9.5</c:v>
                </c:pt>
                <c:pt idx="20">
                  <c:v>10.0</c:v>
                </c:pt>
                <c:pt idx="21">
                  <c:v>10.5</c:v>
                </c:pt>
              </c:strCache>
            </c:strRef>
          </c:cat>
          <c:val>
            <c:numRef>
              <c:f>Graficos!$AU$20:$AU$41</c:f>
              <c:numCache>
                <c:formatCode>General</c:formatCode>
                <c:ptCount val="2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4</c:v>
                </c:pt>
                <c:pt idx="5">
                  <c:v>1</c:v>
                </c:pt>
                <c:pt idx="6">
                  <c:v>9</c:v>
                </c:pt>
                <c:pt idx="7">
                  <c:v>2</c:v>
                </c:pt>
                <c:pt idx="8">
                  <c:v>5</c:v>
                </c:pt>
                <c:pt idx="9">
                  <c:v>0</c:v>
                </c:pt>
                <c:pt idx="10">
                  <c:v>5</c:v>
                </c:pt>
                <c:pt idx="11">
                  <c:v>1</c:v>
                </c:pt>
                <c:pt idx="12">
                  <c:v>13</c:v>
                </c:pt>
                <c:pt idx="13">
                  <c:v>22</c:v>
                </c:pt>
                <c:pt idx="14">
                  <c:v>88</c:v>
                </c:pt>
                <c:pt idx="15">
                  <c:v>220</c:v>
                </c:pt>
                <c:pt idx="16">
                  <c:v>589</c:v>
                </c:pt>
                <c:pt idx="17">
                  <c:v>551</c:v>
                </c:pt>
                <c:pt idx="18">
                  <c:v>436</c:v>
                </c:pt>
                <c:pt idx="19">
                  <c:v>155</c:v>
                </c:pt>
                <c:pt idx="20">
                  <c:v>276</c:v>
                </c:pt>
                <c:pt idx="21">
                  <c:v>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82-4D1B-BD1C-60035C323E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12532415"/>
        <c:axId val="1234355215"/>
      </c:barChart>
      <c:catAx>
        <c:axId val="111253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4355215"/>
        <c:crosses val="autoZero"/>
        <c:auto val="1"/>
        <c:lblAlgn val="ctr"/>
        <c:lblOffset val="100"/>
        <c:noMultiLvlLbl val="0"/>
      </c:catAx>
      <c:valAx>
        <c:axId val="1234355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12532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Graficos!$AU$44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Graficos!$AT$45:$AT$51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Graficos!$AU$45:$AU$51</c:f>
              <c:numCache>
                <c:formatCode>General</c:formatCode>
                <c:ptCount val="7"/>
                <c:pt idx="0">
                  <c:v>5</c:v>
                </c:pt>
                <c:pt idx="1">
                  <c:v>24</c:v>
                </c:pt>
                <c:pt idx="2">
                  <c:v>21</c:v>
                </c:pt>
                <c:pt idx="3">
                  <c:v>55</c:v>
                </c:pt>
                <c:pt idx="4">
                  <c:v>63</c:v>
                </c:pt>
                <c:pt idx="5">
                  <c:v>33</c:v>
                </c:pt>
                <c:pt idx="6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A6-4CD5-ABE5-CEA1E9A4F8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34491759"/>
        <c:axId val="1234361455"/>
      </c:barChart>
      <c:catAx>
        <c:axId val="1234491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4361455"/>
        <c:crosses val="autoZero"/>
        <c:auto val="1"/>
        <c:lblAlgn val="ctr"/>
        <c:lblOffset val="100"/>
        <c:noMultiLvlLbl val="0"/>
      </c:catAx>
      <c:valAx>
        <c:axId val="1234361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449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Graficos!$AU$54</c:f>
              <c:strCache>
                <c:ptCount val="1"/>
                <c:pt idx="0">
                  <c:v>3rd EYE SCORE 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Graficos!$AT$55:$AT$61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Graficos!$AU$55:$AU$61</c:f>
              <c:numCache>
                <c:formatCode>General</c:formatCode>
                <c:ptCount val="7"/>
                <c:pt idx="0">
                  <c:v>8.86</c:v>
                </c:pt>
                <c:pt idx="1">
                  <c:v>9.01</c:v>
                </c:pt>
                <c:pt idx="2">
                  <c:v>8.82</c:v>
                </c:pt>
                <c:pt idx="3">
                  <c:v>8.6</c:v>
                </c:pt>
                <c:pt idx="4">
                  <c:v>8.74</c:v>
                </c:pt>
                <c:pt idx="5">
                  <c:v>8.48</c:v>
                </c:pt>
                <c:pt idx="6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F1-46A1-B436-4427AE5D6E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33395023"/>
        <c:axId val="1234356175"/>
      </c:barChart>
      <c:catAx>
        <c:axId val="1233395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4356175"/>
        <c:crosses val="autoZero"/>
        <c:auto val="1"/>
        <c:lblAlgn val="ctr"/>
        <c:lblOffset val="100"/>
        <c:noMultiLvlLbl val="0"/>
      </c:catAx>
      <c:valAx>
        <c:axId val="1234356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3395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año de publicación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Graficos!$AU$64</c:f>
              <c:strCache>
                <c:ptCount val="1"/>
                <c:pt idx="0">
                  <c:v>Álbumes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Graficos!$AT$65:$AT$122</c:f>
              <c:strCache>
                <c:ptCount val="58"/>
                <c:pt idx="0">
                  <c:v>1966</c:v>
                </c:pt>
                <c:pt idx="1">
                  <c:v>1967</c:v>
                </c:pt>
                <c:pt idx="2">
                  <c:v>1969</c:v>
                </c:pt>
                <c:pt idx="3">
                  <c:v>1970</c:v>
                </c:pt>
                <c:pt idx="4">
                  <c:v>1971</c:v>
                </c:pt>
                <c:pt idx="5">
                  <c:v>1972</c:v>
                </c:pt>
                <c:pt idx="6">
                  <c:v>1973</c:v>
                </c:pt>
                <c:pt idx="7">
                  <c:v>1974</c:v>
                </c:pt>
                <c:pt idx="8">
                  <c:v>1975</c:v>
                </c:pt>
                <c:pt idx="9">
                  <c:v>1976</c:v>
                </c:pt>
                <c:pt idx="10">
                  <c:v>1977</c:v>
                </c:pt>
                <c:pt idx="11">
                  <c:v>1978</c:v>
                </c:pt>
                <c:pt idx="12">
                  <c:v>1979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1988</c:v>
                </c:pt>
                <c:pt idx="20">
                  <c:v>1989</c:v>
                </c:pt>
                <c:pt idx="21">
                  <c:v>1990</c:v>
                </c:pt>
                <c:pt idx="22">
                  <c:v>1991</c:v>
                </c:pt>
                <c:pt idx="23">
                  <c:v>1992</c:v>
                </c:pt>
                <c:pt idx="24">
                  <c:v>1993</c:v>
                </c:pt>
                <c:pt idx="25">
                  <c:v>1994</c:v>
                </c:pt>
                <c:pt idx="26">
                  <c:v>1995</c:v>
                </c:pt>
                <c:pt idx="27">
                  <c:v>1996</c:v>
                </c:pt>
                <c:pt idx="28">
                  <c:v>1997</c:v>
                </c:pt>
                <c:pt idx="29">
                  <c:v>1998</c:v>
                </c:pt>
                <c:pt idx="30">
                  <c:v>1999</c:v>
                </c:pt>
                <c:pt idx="31">
                  <c:v>2000</c:v>
                </c:pt>
                <c:pt idx="32">
                  <c:v>2001</c:v>
                </c:pt>
                <c:pt idx="33">
                  <c:v>2002</c:v>
                </c:pt>
                <c:pt idx="34">
                  <c:v>2003</c:v>
                </c:pt>
                <c:pt idx="35">
                  <c:v>2004</c:v>
                </c:pt>
                <c:pt idx="36">
                  <c:v>2005</c:v>
                </c:pt>
                <c:pt idx="37">
                  <c:v>2006</c:v>
                </c:pt>
                <c:pt idx="38">
                  <c:v>2007</c:v>
                </c:pt>
                <c:pt idx="39">
                  <c:v>2008</c:v>
                </c:pt>
                <c:pt idx="40">
                  <c:v>2009</c:v>
                </c:pt>
                <c:pt idx="41">
                  <c:v>2010</c:v>
                </c:pt>
                <c:pt idx="42">
                  <c:v>2011</c:v>
                </c:pt>
                <c:pt idx="43">
                  <c:v>2012</c:v>
                </c:pt>
                <c:pt idx="44">
                  <c:v>2013</c:v>
                </c:pt>
                <c:pt idx="45">
                  <c:v>2014</c:v>
                </c:pt>
                <c:pt idx="46">
                  <c:v>2015</c:v>
                </c:pt>
                <c:pt idx="47">
                  <c:v>2016</c:v>
                </c:pt>
                <c:pt idx="48">
                  <c:v>2017</c:v>
                </c:pt>
                <c:pt idx="49">
                  <c:v>2018</c:v>
                </c:pt>
                <c:pt idx="50">
                  <c:v>2019</c:v>
                </c:pt>
                <c:pt idx="51">
                  <c:v>2020</c:v>
                </c:pt>
                <c:pt idx="52">
                  <c:v>2021</c:v>
                </c:pt>
                <c:pt idx="53">
                  <c:v>2022</c:v>
                </c:pt>
                <c:pt idx="54">
                  <c:v>2023</c:v>
                </c:pt>
                <c:pt idx="55">
                  <c:v>2024</c:v>
                </c:pt>
                <c:pt idx="56">
                  <c:v>2025</c:v>
                </c:pt>
                <c:pt idx="57">
                  <c:v>2026</c:v>
                </c:pt>
              </c:strCache>
            </c:strRef>
          </c:cat>
          <c:val>
            <c:numRef>
              <c:f>Graficos!$AU$65:$AU$122</c:f>
              <c:numCache>
                <c:formatCode>General</c:formatCode>
                <c:ptCount val="58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4</c:v>
                </c:pt>
                <c:pt idx="11">
                  <c:v>1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4</c:v>
                </c:pt>
                <c:pt idx="23">
                  <c:v>6</c:v>
                </c:pt>
                <c:pt idx="24">
                  <c:v>5</c:v>
                </c:pt>
                <c:pt idx="25">
                  <c:v>5</c:v>
                </c:pt>
                <c:pt idx="26">
                  <c:v>7</c:v>
                </c:pt>
                <c:pt idx="27">
                  <c:v>7</c:v>
                </c:pt>
                <c:pt idx="28">
                  <c:v>6</c:v>
                </c:pt>
                <c:pt idx="29">
                  <c:v>5</c:v>
                </c:pt>
                <c:pt idx="30">
                  <c:v>6</c:v>
                </c:pt>
                <c:pt idx="31">
                  <c:v>12</c:v>
                </c:pt>
                <c:pt idx="32">
                  <c:v>8</c:v>
                </c:pt>
                <c:pt idx="33">
                  <c:v>9</c:v>
                </c:pt>
                <c:pt idx="34">
                  <c:v>8</c:v>
                </c:pt>
                <c:pt idx="35">
                  <c:v>1</c:v>
                </c:pt>
                <c:pt idx="36">
                  <c:v>10</c:v>
                </c:pt>
                <c:pt idx="37">
                  <c:v>2</c:v>
                </c:pt>
                <c:pt idx="38">
                  <c:v>6</c:v>
                </c:pt>
                <c:pt idx="39">
                  <c:v>5</c:v>
                </c:pt>
                <c:pt idx="40">
                  <c:v>2</c:v>
                </c:pt>
                <c:pt idx="41">
                  <c:v>2</c:v>
                </c:pt>
                <c:pt idx="42">
                  <c:v>3</c:v>
                </c:pt>
                <c:pt idx="43">
                  <c:v>3</c:v>
                </c:pt>
                <c:pt idx="44">
                  <c:v>5</c:v>
                </c:pt>
                <c:pt idx="45">
                  <c:v>2</c:v>
                </c:pt>
                <c:pt idx="46">
                  <c:v>3</c:v>
                </c:pt>
                <c:pt idx="47">
                  <c:v>7</c:v>
                </c:pt>
                <c:pt idx="48">
                  <c:v>2</c:v>
                </c:pt>
                <c:pt idx="49">
                  <c:v>4</c:v>
                </c:pt>
                <c:pt idx="50">
                  <c:v>2</c:v>
                </c:pt>
                <c:pt idx="51">
                  <c:v>3</c:v>
                </c:pt>
                <c:pt idx="52">
                  <c:v>4</c:v>
                </c:pt>
                <c:pt idx="53">
                  <c:v>1</c:v>
                </c:pt>
                <c:pt idx="54">
                  <c:v>3</c:v>
                </c:pt>
                <c:pt idx="55">
                  <c:v>9</c:v>
                </c:pt>
                <c:pt idx="56">
                  <c:v>5</c:v>
                </c:pt>
                <c:pt idx="57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FC-43E8-803F-9980FB2135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5771903"/>
        <c:axId val="1234363855"/>
      </c:lineChart>
      <c:catAx>
        <c:axId val="1225771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4363855"/>
        <c:crosses val="autoZero"/>
        <c:auto val="1"/>
        <c:lblAlgn val="ctr"/>
        <c:lblOffset val="100"/>
        <c:noMultiLvlLbl val="0"/>
      </c:catAx>
      <c:valAx>
        <c:axId val="123436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25771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subgéneros más frecuentes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Graficos!$AU$125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Graficos!$AT$126:$AT$140</c:f>
              <c:strCache>
                <c:ptCount val="15"/>
                <c:pt idx="0">
                  <c:v>thrash metal</c:v>
                </c:pt>
                <c:pt idx="1">
                  <c:v>dream pop</c:v>
                </c:pt>
                <c:pt idx="2">
                  <c:v>hard rock</c:v>
                </c:pt>
                <c:pt idx="3">
                  <c:v>electronic</c:v>
                </c:pt>
                <c:pt idx="4">
                  <c:v>idm</c:v>
                </c:pt>
                <c:pt idx="5">
                  <c:v>shoegaze</c:v>
                </c:pt>
                <c:pt idx="6">
                  <c:v>indie rock</c:v>
                </c:pt>
                <c:pt idx="7">
                  <c:v>pop rock</c:v>
                </c:pt>
                <c:pt idx="8">
                  <c:v>post rock</c:v>
                </c:pt>
                <c:pt idx="9">
                  <c:v>death metal</c:v>
                </c:pt>
                <c:pt idx="10">
                  <c:v>alternative metal</c:v>
                </c:pt>
                <c:pt idx="11">
                  <c:v>alternative rock</c:v>
                </c:pt>
                <c:pt idx="12">
                  <c:v>art rock</c:v>
                </c:pt>
                <c:pt idx="13">
                  <c:v>progressive rock</c:v>
                </c:pt>
                <c:pt idx="14">
                  <c:v>progressive metal</c:v>
                </c:pt>
              </c:strCache>
            </c:strRef>
          </c:cat>
          <c:val>
            <c:numRef>
              <c:f>Graficos!$AU$126:$AU$140</c:f>
              <c:numCache>
                <c:formatCode>General</c:formatCode>
                <c:ptCount val="15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16</c:v>
                </c:pt>
                <c:pt idx="11">
                  <c:v>18</c:v>
                </c:pt>
                <c:pt idx="12">
                  <c:v>20</c:v>
                </c:pt>
                <c:pt idx="13">
                  <c:v>25</c:v>
                </c:pt>
                <c:pt idx="1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93-448F-94B5-0B6B657B3F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29381551"/>
        <c:axId val="1234369135"/>
      </c:barChart>
      <c:catAx>
        <c:axId val="10293815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4369135"/>
        <c:crosses val="autoZero"/>
        <c:auto val="1"/>
        <c:lblAlgn val="ctr"/>
        <c:lblOffset val="100"/>
        <c:noMultiLvlLbl val="0"/>
      </c:catAx>
      <c:valAx>
        <c:axId val="1234369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93815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Reparto de álbumes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Graficos!$AU$143</c:f>
              <c:strCache>
                <c:ptCount val="1"/>
                <c:pt idx="0">
                  <c:v>Álbumes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Graficos!$AT$144:$AT$158</c:f>
              <c:strCache>
                <c:ptCount val="15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ambient</c:v>
                </c:pt>
                <c:pt idx="6">
                  <c:v>punk</c:v>
                </c:pt>
                <c:pt idx="7">
                  <c:v>singer-songwriter</c:v>
                </c:pt>
                <c:pt idx="8">
                  <c:v>folk</c:v>
                </c:pt>
                <c:pt idx="9">
                  <c:v>r&amp;b</c:v>
                </c:pt>
                <c:pt idx="10">
                  <c:v>jazz</c:v>
                </c:pt>
                <c:pt idx="11">
                  <c:v>psychedelia</c:v>
                </c:pt>
                <c:pt idx="12">
                  <c:v>regional music</c:v>
                </c:pt>
                <c:pt idx="13">
                  <c:v>industrial &amp; noise</c:v>
                </c:pt>
                <c:pt idx="14">
                  <c:v>new age</c:v>
                </c:pt>
              </c:strCache>
            </c:strRef>
          </c:cat>
          <c:val>
            <c:numRef>
              <c:f>Graficos!$AU$144:$AU$158</c:f>
              <c:numCache>
                <c:formatCode>General</c:formatCode>
                <c:ptCount val="15"/>
                <c:pt idx="0">
                  <c:v>111</c:v>
                </c:pt>
                <c:pt idx="1">
                  <c:v>71</c:v>
                </c:pt>
                <c:pt idx="2">
                  <c:v>35</c:v>
                </c:pt>
                <c:pt idx="3">
                  <c:v>22</c:v>
                </c:pt>
                <c:pt idx="4">
                  <c:v>21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87-4CAB-A671-175758EA12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Graficos!$AU$161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Graficos!$AT$162:$AT$176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new age</c:v>
                </c:pt>
                <c:pt idx="4">
                  <c:v>psychedelia</c:v>
                </c:pt>
                <c:pt idx="5">
                  <c:v>metal</c:v>
                </c:pt>
                <c:pt idx="6">
                  <c:v>jazz</c:v>
                </c:pt>
                <c:pt idx="7">
                  <c:v>electronic</c:v>
                </c:pt>
                <c:pt idx="8">
                  <c:v>folk</c:v>
                </c:pt>
                <c:pt idx="9">
                  <c:v>pop</c:v>
                </c:pt>
                <c:pt idx="10">
                  <c:v>rock</c:v>
                </c:pt>
                <c:pt idx="11">
                  <c:v>punk</c:v>
                </c:pt>
                <c:pt idx="12">
                  <c:v>ambient</c:v>
                </c:pt>
                <c:pt idx="13">
                  <c:v>singer-songwriter</c:v>
                </c:pt>
                <c:pt idx="14">
                  <c:v>r&amp;b</c:v>
                </c:pt>
              </c:strCache>
            </c:strRef>
          </c:cat>
          <c:val>
            <c:numRef>
              <c:f>Graficos!$AU$162:$AU$176</c:f>
              <c:numCache>
                <c:formatCode>General</c:formatCode>
                <c:ptCount val="15"/>
                <c:pt idx="0">
                  <c:v>4.79</c:v>
                </c:pt>
                <c:pt idx="1">
                  <c:v>8</c:v>
                </c:pt>
                <c:pt idx="2">
                  <c:v>8.34</c:v>
                </c:pt>
                <c:pt idx="3">
                  <c:v>8.4</c:v>
                </c:pt>
                <c:pt idx="4">
                  <c:v>8.42</c:v>
                </c:pt>
                <c:pt idx="5">
                  <c:v>8.59</c:v>
                </c:pt>
                <c:pt idx="6">
                  <c:v>8.6300000000000008</c:v>
                </c:pt>
                <c:pt idx="7">
                  <c:v>8.64</c:v>
                </c:pt>
                <c:pt idx="8">
                  <c:v>8.65</c:v>
                </c:pt>
                <c:pt idx="9">
                  <c:v>8.67</c:v>
                </c:pt>
                <c:pt idx="10">
                  <c:v>8.68</c:v>
                </c:pt>
                <c:pt idx="11">
                  <c:v>8.68</c:v>
                </c:pt>
                <c:pt idx="12">
                  <c:v>8.7100000000000009</c:v>
                </c:pt>
                <c:pt idx="13">
                  <c:v>8.75</c:v>
                </c:pt>
                <c:pt idx="14">
                  <c:v>8.82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72-450A-B30C-11D917ED0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33079903"/>
        <c:axId val="1234396495"/>
      </c:barChart>
      <c:catAx>
        <c:axId val="123307990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4396495"/>
        <c:crosses val="autoZero"/>
        <c:auto val="1"/>
        <c:lblAlgn val="ctr"/>
        <c:lblOffset val="100"/>
        <c:noMultiLvlLbl val="0"/>
      </c:catAx>
      <c:valAx>
        <c:axId val="1234396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3079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Graficos!$AU$179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Graficos!$AT$180:$AT$194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psychedelia</c:v>
                </c:pt>
                <c:pt idx="4">
                  <c:v>new age</c:v>
                </c:pt>
                <c:pt idx="5">
                  <c:v>jazz</c:v>
                </c:pt>
                <c:pt idx="6">
                  <c:v>folk</c:v>
                </c:pt>
                <c:pt idx="7">
                  <c:v>metal</c:v>
                </c:pt>
                <c:pt idx="8">
                  <c:v>electronic</c:v>
                </c:pt>
                <c:pt idx="9">
                  <c:v>pop</c:v>
                </c:pt>
                <c:pt idx="10">
                  <c:v>singer-songwriter</c:v>
                </c:pt>
                <c:pt idx="11">
                  <c:v>punk</c:v>
                </c:pt>
                <c:pt idx="12">
                  <c:v>rock</c:v>
                </c:pt>
                <c:pt idx="13">
                  <c:v>ambient</c:v>
                </c:pt>
                <c:pt idx="14">
                  <c:v>r&amp;b</c:v>
                </c:pt>
              </c:strCache>
            </c:strRef>
          </c:cat>
          <c:val>
            <c:numRef>
              <c:f>Graficos!$AU$180:$AU$194</c:f>
              <c:numCache>
                <c:formatCode>General</c:formatCode>
                <c:ptCount val="15"/>
                <c:pt idx="0">
                  <c:v>4.62</c:v>
                </c:pt>
                <c:pt idx="1">
                  <c:v>7.79</c:v>
                </c:pt>
                <c:pt idx="2">
                  <c:v>8.27</c:v>
                </c:pt>
                <c:pt idx="3">
                  <c:v>8.32</c:v>
                </c:pt>
                <c:pt idx="4">
                  <c:v>8.3699999999999992</c:v>
                </c:pt>
                <c:pt idx="5">
                  <c:v>8.56</c:v>
                </c:pt>
                <c:pt idx="6">
                  <c:v>8.56</c:v>
                </c:pt>
                <c:pt idx="7">
                  <c:v>8.58</c:v>
                </c:pt>
                <c:pt idx="8">
                  <c:v>8.6300000000000008</c:v>
                </c:pt>
                <c:pt idx="9">
                  <c:v>8.6300000000000008</c:v>
                </c:pt>
                <c:pt idx="10">
                  <c:v>8.65</c:v>
                </c:pt>
                <c:pt idx="11">
                  <c:v>8.66</c:v>
                </c:pt>
                <c:pt idx="12">
                  <c:v>8.68</c:v>
                </c:pt>
                <c:pt idx="13">
                  <c:v>8.7799999999999994</c:v>
                </c:pt>
                <c:pt idx="14">
                  <c:v>8.7799999999999994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E1-4B40-A6E9-7E1D6A915C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33060879"/>
        <c:axId val="1234396015"/>
      </c:barChart>
      <c:catAx>
        <c:axId val="12330608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4396015"/>
        <c:crosses val="autoZero"/>
        <c:auto val="1"/>
        <c:lblAlgn val="ctr"/>
        <c:lblOffset val="100"/>
        <c:noMultiLvlLbl val="0"/>
      </c:catAx>
      <c:valAx>
        <c:axId val="1234396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30608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géneros padre por álbum (media 1.24)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Graficos!$AU$197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Graficos!$AT$198:$AT$200</c:f>
              <c:strCache>
                <c:ptCount val="3"/>
                <c:pt idx="0">
                  <c:v>0</c:v>
                </c:pt>
                <c:pt idx="1">
                  <c:v>1</c:v>
                </c:pt>
                <c:pt idx="2">
                  <c:v>2</c:v>
                </c:pt>
              </c:strCache>
            </c:strRef>
          </c:cat>
          <c:val>
            <c:numRef>
              <c:f>Graficos!$AU$198:$AU$200</c:f>
              <c:numCache>
                <c:formatCode>General</c:formatCode>
                <c:ptCount val="3"/>
                <c:pt idx="0">
                  <c:v>1</c:v>
                </c:pt>
                <c:pt idx="1">
                  <c:v>180</c:v>
                </c:pt>
                <c:pt idx="2">
                  <c:v>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10-456D-B10D-89F5FC270E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33065519"/>
        <c:axId val="1234396975"/>
      </c:barChart>
      <c:catAx>
        <c:axId val="1233065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4396975"/>
        <c:crosses val="autoZero"/>
        <c:auto val="1"/>
        <c:lblAlgn val="ctr"/>
        <c:lblOffset val="100"/>
        <c:noMultiLvlLbl val="0"/>
      </c:catAx>
      <c:valAx>
        <c:axId val="12343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30655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la posición de la canción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Graficos!$AU$203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Graficos!$AT$204:$AT$220</c:f>
              <c:strCach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strCache>
            </c:strRef>
          </c:cat>
          <c:val>
            <c:numRef>
              <c:f>Graficos!$AU$204:$AU$220</c:f>
              <c:numCache>
                <c:formatCode>General</c:formatCode>
                <c:ptCount val="17"/>
                <c:pt idx="0">
                  <c:v>8.98</c:v>
                </c:pt>
                <c:pt idx="1">
                  <c:v>8.86</c:v>
                </c:pt>
                <c:pt idx="2">
                  <c:v>8.8000000000000007</c:v>
                </c:pt>
                <c:pt idx="3">
                  <c:v>8.69</c:v>
                </c:pt>
                <c:pt idx="4">
                  <c:v>8.5399999999999991</c:v>
                </c:pt>
                <c:pt idx="5">
                  <c:v>8.5399999999999991</c:v>
                </c:pt>
                <c:pt idx="6">
                  <c:v>8.44</c:v>
                </c:pt>
                <c:pt idx="7">
                  <c:v>8.3800000000000008</c:v>
                </c:pt>
                <c:pt idx="8">
                  <c:v>8.25</c:v>
                </c:pt>
                <c:pt idx="9">
                  <c:v>8.25</c:v>
                </c:pt>
                <c:pt idx="10">
                  <c:v>8.2799999999999994</c:v>
                </c:pt>
                <c:pt idx="11">
                  <c:v>8.31</c:v>
                </c:pt>
                <c:pt idx="12">
                  <c:v>8.1300000000000008</c:v>
                </c:pt>
                <c:pt idx="13">
                  <c:v>8.31</c:v>
                </c:pt>
                <c:pt idx="14">
                  <c:v>8.19</c:v>
                </c:pt>
                <c:pt idx="15">
                  <c:v>7.82</c:v>
                </c:pt>
                <c:pt idx="16">
                  <c:v>8.5299999999999994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35-4FAD-B26C-E3E903F2D6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7149951"/>
        <c:axId val="1234388335"/>
      </c:lineChart>
      <c:catAx>
        <c:axId val="1257149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4388335"/>
        <c:crosses val="autoZero"/>
        <c:auto val="1"/>
        <c:lblAlgn val="ctr"/>
        <c:lblOffset val="100"/>
        <c:noMultiLvlLbl val="0"/>
      </c:catAx>
      <c:valAx>
        <c:axId val="123438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571499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el % de avance del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Graficos!$AU$223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Graficos!$AT$224:$AT$233</c:f>
              <c:strCache>
                <c:ptCount val="10"/>
                <c:pt idx="0">
                  <c:v>10%</c:v>
                </c:pt>
                <c:pt idx="1">
                  <c:v>20%</c:v>
                </c:pt>
                <c:pt idx="2">
                  <c:v>30%</c:v>
                </c:pt>
                <c:pt idx="3">
                  <c:v>40%</c:v>
                </c:pt>
                <c:pt idx="4">
                  <c:v>50%</c:v>
                </c:pt>
                <c:pt idx="5">
                  <c:v>60%</c:v>
                </c:pt>
                <c:pt idx="6">
                  <c:v>70%</c:v>
                </c:pt>
                <c:pt idx="7">
                  <c:v>80%</c:v>
                </c:pt>
                <c:pt idx="8">
                  <c:v>90%</c:v>
                </c:pt>
                <c:pt idx="9">
                  <c:v>100%</c:v>
                </c:pt>
              </c:strCache>
            </c:strRef>
          </c:cat>
          <c:val>
            <c:numRef>
              <c:f>Graficos!$AU$224:$AU$233</c:f>
              <c:numCache>
                <c:formatCode>General</c:formatCode>
                <c:ptCount val="10"/>
                <c:pt idx="0">
                  <c:v>9.02</c:v>
                </c:pt>
                <c:pt idx="1">
                  <c:v>8.7799999999999994</c:v>
                </c:pt>
                <c:pt idx="2">
                  <c:v>8.74</c:v>
                </c:pt>
                <c:pt idx="3">
                  <c:v>8.68</c:v>
                </c:pt>
                <c:pt idx="4">
                  <c:v>8.4600000000000009</c:v>
                </c:pt>
                <c:pt idx="5">
                  <c:v>8.48</c:v>
                </c:pt>
                <c:pt idx="6">
                  <c:v>8.44</c:v>
                </c:pt>
                <c:pt idx="7">
                  <c:v>8.35</c:v>
                </c:pt>
                <c:pt idx="8">
                  <c:v>8.3699999999999992</c:v>
                </c:pt>
                <c:pt idx="9">
                  <c:v>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3-4C40-9E10-56AFD91F81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7171295"/>
        <c:axId val="1234393135"/>
      </c:lineChart>
      <c:catAx>
        <c:axId val="1257171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4393135"/>
        <c:crosses val="autoZero"/>
        <c:auto val="1"/>
        <c:lblAlgn val="ctr"/>
        <c:lblOffset val="100"/>
        <c:noMultiLvlLbl val="0"/>
      </c:catAx>
      <c:valAx>
        <c:axId val="1234393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57171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3rd EYE SCORE (álbumes)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Graficos!$AU$236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Graficos!$AT$237:$AT$255</c:f>
              <c:strCache>
                <c:ptCount val="19"/>
                <c:pt idx="0">
                  <c:v>2.0</c:v>
                </c:pt>
                <c:pt idx="1">
                  <c:v>2.5</c:v>
                </c:pt>
                <c:pt idx="2">
                  <c:v>3.0</c:v>
                </c:pt>
                <c:pt idx="3">
                  <c:v>3.5</c:v>
                </c:pt>
                <c:pt idx="4">
                  <c:v>4.0</c:v>
                </c:pt>
                <c:pt idx="5">
                  <c:v>4.5</c:v>
                </c:pt>
                <c:pt idx="6">
                  <c:v>5.0</c:v>
                </c:pt>
                <c:pt idx="7">
                  <c:v>5.5</c:v>
                </c:pt>
                <c:pt idx="8">
                  <c:v>6.0</c:v>
                </c:pt>
                <c:pt idx="9">
                  <c:v>6.5</c:v>
                </c:pt>
                <c:pt idx="10">
                  <c:v>7.0</c:v>
                </c:pt>
                <c:pt idx="11">
                  <c:v>7.5</c:v>
                </c:pt>
                <c:pt idx="12">
                  <c:v>8.0</c:v>
                </c:pt>
                <c:pt idx="13">
                  <c:v>8.5</c:v>
                </c:pt>
                <c:pt idx="14">
                  <c:v>9.0</c:v>
                </c:pt>
                <c:pt idx="15">
                  <c:v>9.5</c:v>
                </c:pt>
                <c:pt idx="16">
                  <c:v>10.0</c:v>
                </c:pt>
                <c:pt idx="17">
                  <c:v>10.5</c:v>
                </c:pt>
                <c:pt idx="18">
                  <c:v>11.0</c:v>
                </c:pt>
              </c:strCache>
            </c:strRef>
          </c:cat>
          <c:val>
            <c:numRef>
              <c:f>Graficos!$AU$237:$AU$255</c:f>
              <c:numCache>
                <c:formatCode>General</c:formatCode>
                <c:ptCount val="19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4</c:v>
                </c:pt>
                <c:pt idx="11">
                  <c:v>16</c:v>
                </c:pt>
                <c:pt idx="12">
                  <c:v>54</c:v>
                </c:pt>
                <c:pt idx="13">
                  <c:v>121</c:v>
                </c:pt>
                <c:pt idx="14">
                  <c:v>27</c:v>
                </c:pt>
                <c:pt idx="15">
                  <c:v>5</c:v>
                </c:pt>
                <c:pt idx="16">
                  <c:v>6</c:v>
                </c:pt>
                <c:pt idx="17">
                  <c:v>2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1-4BAF-A9B4-29E28E460C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7191247"/>
        <c:axId val="1234407055"/>
      </c:barChart>
      <c:catAx>
        <c:axId val="125719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4407055"/>
        <c:crosses val="autoZero"/>
        <c:auto val="1"/>
        <c:lblAlgn val="ctr"/>
        <c:lblOffset val="100"/>
        <c:noMultiLvlLbl val="0"/>
      </c:catAx>
      <c:valAx>
        <c:axId val="1234407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57191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media por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Graficos!$AU$258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Graficos!$AT$259:$AT$275</c:f>
              <c:strCache>
                <c:ptCount val="17"/>
                <c:pt idx="0">
                  <c:v>2.5</c:v>
                </c:pt>
                <c:pt idx="1">
                  <c:v>3.0</c:v>
                </c:pt>
                <c:pt idx="2">
                  <c:v>3.5</c:v>
                </c:pt>
                <c:pt idx="3">
                  <c:v>4.0</c:v>
                </c:pt>
                <c:pt idx="4">
                  <c:v>4.5</c:v>
                </c:pt>
                <c:pt idx="5">
                  <c:v>5.0</c:v>
                </c:pt>
                <c:pt idx="6">
                  <c:v>5.5</c:v>
                </c:pt>
                <c:pt idx="7">
                  <c:v>6.0</c:v>
                </c:pt>
                <c:pt idx="8">
                  <c:v>6.5</c:v>
                </c:pt>
                <c:pt idx="9">
                  <c:v>7.0</c:v>
                </c:pt>
                <c:pt idx="10">
                  <c:v>7.5</c:v>
                </c:pt>
                <c:pt idx="11">
                  <c:v>8.0</c:v>
                </c:pt>
                <c:pt idx="12">
                  <c:v>8.5</c:v>
                </c:pt>
                <c:pt idx="13">
                  <c:v>9.0</c:v>
                </c:pt>
                <c:pt idx="14">
                  <c:v>9.5</c:v>
                </c:pt>
                <c:pt idx="15">
                  <c:v>10.0</c:v>
                </c:pt>
                <c:pt idx="16">
                  <c:v>10.5</c:v>
                </c:pt>
              </c:strCache>
            </c:strRef>
          </c:cat>
          <c:val>
            <c:numRef>
              <c:f>Graficos!$AU$259:$AU$275</c:f>
              <c:numCache>
                <c:formatCode>General</c:formatCode>
                <c:ptCount val="17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10</c:v>
                </c:pt>
                <c:pt idx="11">
                  <c:v>50</c:v>
                </c:pt>
                <c:pt idx="12">
                  <c:v>132</c:v>
                </c:pt>
                <c:pt idx="13">
                  <c:v>30</c:v>
                </c:pt>
                <c:pt idx="14">
                  <c:v>6</c:v>
                </c:pt>
                <c:pt idx="15">
                  <c:v>3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CC-4DB7-83E3-DF6722C48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7209807"/>
        <c:axId val="1234405615"/>
      </c:barChart>
      <c:catAx>
        <c:axId val="1257209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4405615"/>
        <c:crosses val="autoZero"/>
        <c:auto val="1"/>
        <c:lblAlgn val="ctr"/>
        <c:lblOffset val="100"/>
        <c:noMultiLvlLbl val="0"/>
      </c:catAx>
      <c:valAx>
        <c:axId val="1234405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57209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Año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Graficos!$AU$278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Graficos!$AT$279:$AT$516</c:f>
              <c:numCache>
                <c:formatCode>General</c:formatCode>
                <c:ptCount val="238"/>
                <c:pt idx="0">
                  <c:v>2003</c:v>
                </c:pt>
                <c:pt idx="1">
                  <c:v>2000</c:v>
                </c:pt>
                <c:pt idx="2">
                  <c:v>1991</c:v>
                </c:pt>
                <c:pt idx="3">
                  <c:v>2002</c:v>
                </c:pt>
                <c:pt idx="4">
                  <c:v>2006</c:v>
                </c:pt>
                <c:pt idx="5">
                  <c:v>1998</c:v>
                </c:pt>
                <c:pt idx="6">
                  <c:v>1992</c:v>
                </c:pt>
                <c:pt idx="7">
                  <c:v>1999</c:v>
                </c:pt>
                <c:pt idx="8">
                  <c:v>1996</c:v>
                </c:pt>
                <c:pt idx="9">
                  <c:v>1992</c:v>
                </c:pt>
                <c:pt idx="10">
                  <c:v>1997</c:v>
                </c:pt>
                <c:pt idx="11">
                  <c:v>2001</c:v>
                </c:pt>
                <c:pt idx="12">
                  <c:v>1995</c:v>
                </c:pt>
                <c:pt idx="13">
                  <c:v>1994</c:v>
                </c:pt>
                <c:pt idx="14">
                  <c:v>2013</c:v>
                </c:pt>
                <c:pt idx="15">
                  <c:v>2025</c:v>
                </c:pt>
                <c:pt idx="16">
                  <c:v>2024</c:v>
                </c:pt>
                <c:pt idx="17">
                  <c:v>2025</c:v>
                </c:pt>
                <c:pt idx="18">
                  <c:v>2024</c:v>
                </c:pt>
                <c:pt idx="19">
                  <c:v>2024</c:v>
                </c:pt>
                <c:pt idx="20">
                  <c:v>2022</c:v>
                </c:pt>
                <c:pt idx="21">
                  <c:v>1970</c:v>
                </c:pt>
                <c:pt idx="22">
                  <c:v>2024</c:v>
                </c:pt>
                <c:pt idx="23">
                  <c:v>1981</c:v>
                </c:pt>
                <c:pt idx="24">
                  <c:v>2002</c:v>
                </c:pt>
                <c:pt idx="25">
                  <c:v>1998</c:v>
                </c:pt>
                <c:pt idx="26">
                  <c:v>2026</c:v>
                </c:pt>
                <c:pt idx="27">
                  <c:v>2000</c:v>
                </c:pt>
                <c:pt idx="28">
                  <c:v>2005</c:v>
                </c:pt>
                <c:pt idx="29">
                  <c:v>2007</c:v>
                </c:pt>
                <c:pt idx="30">
                  <c:v>2011</c:v>
                </c:pt>
                <c:pt idx="31">
                  <c:v>2013</c:v>
                </c:pt>
                <c:pt idx="32">
                  <c:v>2025</c:v>
                </c:pt>
                <c:pt idx="33">
                  <c:v>1974</c:v>
                </c:pt>
                <c:pt idx="34">
                  <c:v>2018</c:v>
                </c:pt>
                <c:pt idx="35">
                  <c:v>2015</c:v>
                </c:pt>
                <c:pt idx="36">
                  <c:v>1970</c:v>
                </c:pt>
                <c:pt idx="37">
                  <c:v>2024</c:v>
                </c:pt>
                <c:pt idx="38">
                  <c:v>2017</c:v>
                </c:pt>
                <c:pt idx="39">
                  <c:v>1990</c:v>
                </c:pt>
                <c:pt idx="40">
                  <c:v>2000</c:v>
                </c:pt>
                <c:pt idx="41">
                  <c:v>2002</c:v>
                </c:pt>
                <c:pt idx="42">
                  <c:v>2005</c:v>
                </c:pt>
                <c:pt idx="43">
                  <c:v>2007</c:v>
                </c:pt>
                <c:pt idx="44">
                  <c:v>2001</c:v>
                </c:pt>
                <c:pt idx="45">
                  <c:v>2013</c:v>
                </c:pt>
                <c:pt idx="46">
                  <c:v>1997</c:v>
                </c:pt>
                <c:pt idx="47">
                  <c:v>2005</c:v>
                </c:pt>
                <c:pt idx="48">
                  <c:v>2021</c:v>
                </c:pt>
                <c:pt idx="49">
                  <c:v>1977</c:v>
                </c:pt>
                <c:pt idx="50">
                  <c:v>2016</c:v>
                </c:pt>
                <c:pt idx="51">
                  <c:v>2013</c:v>
                </c:pt>
                <c:pt idx="52">
                  <c:v>1995</c:v>
                </c:pt>
                <c:pt idx="53">
                  <c:v>1998</c:v>
                </c:pt>
                <c:pt idx="54">
                  <c:v>2000</c:v>
                </c:pt>
                <c:pt idx="55">
                  <c:v>2012</c:v>
                </c:pt>
                <c:pt idx="56">
                  <c:v>1995</c:v>
                </c:pt>
                <c:pt idx="57">
                  <c:v>2020</c:v>
                </c:pt>
                <c:pt idx="58">
                  <c:v>1990</c:v>
                </c:pt>
                <c:pt idx="59">
                  <c:v>1985</c:v>
                </c:pt>
                <c:pt idx="60">
                  <c:v>1978</c:v>
                </c:pt>
                <c:pt idx="61">
                  <c:v>1982</c:v>
                </c:pt>
                <c:pt idx="62">
                  <c:v>1995</c:v>
                </c:pt>
                <c:pt idx="63">
                  <c:v>2024</c:v>
                </c:pt>
                <c:pt idx="64">
                  <c:v>2026</c:v>
                </c:pt>
                <c:pt idx="65">
                  <c:v>2009</c:v>
                </c:pt>
                <c:pt idx="66">
                  <c:v>1999</c:v>
                </c:pt>
                <c:pt idx="67">
                  <c:v>1996</c:v>
                </c:pt>
                <c:pt idx="68">
                  <c:v>2000</c:v>
                </c:pt>
                <c:pt idx="69">
                  <c:v>1997</c:v>
                </c:pt>
                <c:pt idx="70">
                  <c:v>1990</c:v>
                </c:pt>
                <c:pt idx="71">
                  <c:v>1999</c:v>
                </c:pt>
                <c:pt idx="72">
                  <c:v>1996</c:v>
                </c:pt>
                <c:pt idx="73">
                  <c:v>1977</c:v>
                </c:pt>
                <c:pt idx="74">
                  <c:v>1981</c:v>
                </c:pt>
                <c:pt idx="75">
                  <c:v>2016</c:v>
                </c:pt>
                <c:pt idx="76">
                  <c:v>1969</c:v>
                </c:pt>
                <c:pt idx="77">
                  <c:v>1971</c:v>
                </c:pt>
                <c:pt idx="78">
                  <c:v>2025</c:v>
                </c:pt>
                <c:pt idx="79">
                  <c:v>1973</c:v>
                </c:pt>
                <c:pt idx="80">
                  <c:v>2000</c:v>
                </c:pt>
                <c:pt idx="81">
                  <c:v>2002</c:v>
                </c:pt>
                <c:pt idx="82">
                  <c:v>1997</c:v>
                </c:pt>
                <c:pt idx="83">
                  <c:v>2005</c:v>
                </c:pt>
                <c:pt idx="84">
                  <c:v>2008</c:v>
                </c:pt>
                <c:pt idx="85">
                  <c:v>2016</c:v>
                </c:pt>
                <c:pt idx="86">
                  <c:v>2005</c:v>
                </c:pt>
                <c:pt idx="87">
                  <c:v>2010</c:v>
                </c:pt>
                <c:pt idx="88">
                  <c:v>2001</c:v>
                </c:pt>
                <c:pt idx="89">
                  <c:v>2026</c:v>
                </c:pt>
                <c:pt idx="90">
                  <c:v>2008</c:v>
                </c:pt>
                <c:pt idx="91">
                  <c:v>1992</c:v>
                </c:pt>
                <c:pt idx="92">
                  <c:v>2021</c:v>
                </c:pt>
                <c:pt idx="93">
                  <c:v>2000</c:v>
                </c:pt>
                <c:pt idx="94">
                  <c:v>2020</c:v>
                </c:pt>
                <c:pt idx="95">
                  <c:v>2002</c:v>
                </c:pt>
                <c:pt idx="96">
                  <c:v>1982</c:v>
                </c:pt>
                <c:pt idx="97">
                  <c:v>1988</c:v>
                </c:pt>
                <c:pt idx="98">
                  <c:v>2026</c:v>
                </c:pt>
                <c:pt idx="99">
                  <c:v>1994</c:v>
                </c:pt>
                <c:pt idx="100">
                  <c:v>2012</c:v>
                </c:pt>
                <c:pt idx="101">
                  <c:v>1979</c:v>
                </c:pt>
                <c:pt idx="102">
                  <c:v>2007</c:v>
                </c:pt>
                <c:pt idx="103">
                  <c:v>2018</c:v>
                </c:pt>
                <c:pt idx="104">
                  <c:v>2010</c:v>
                </c:pt>
                <c:pt idx="105">
                  <c:v>2004</c:v>
                </c:pt>
                <c:pt idx="106">
                  <c:v>2026</c:v>
                </c:pt>
                <c:pt idx="107">
                  <c:v>2005</c:v>
                </c:pt>
                <c:pt idx="108">
                  <c:v>2026</c:v>
                </c:pt>
                <c:pt idx="109">
                  <c:v>2015</c:v>
                </c:pt>
                <c:pt idx="110">
                  <c:v>2018</c:v>
                </c:pt>
                <c:pt idx="111">
                  <c:v>1969</c:v>
                </c:pt>
                <c:pt idx="112">
                  <c:v>2024</c:v>
                </c:pt>
                <c:pt idx="113">
                  <c:v>1981</c:v>
                </c:pt>
                <c:pt idx="114">
                  <c:v>2023</c:v>
                </c:pt>
                <c:pt idx="115">
                  <c:v>2026</c:v>
                </c:pt>
                <c:pt idx="116">
                  <c:v>1971</c:v>
                </c:pt>
                <c:pt idx="117">
                  <c:v>1970</c:v>
                </c:pt>
                <c:pt idx="118">
                  <c:v>2003</c:v>
                </c:pt>
                <c:pt idx="119">
                  <c:v>2000</c:v>
                </c:pt>
                <c:pt idx="120">
                  <c:v>2007</c:v>
                </c:pt>
                <c:pt idx="121">
                  <c:v>2017</c:v>
                </c:pt>
                <c:pt idx="122">
                  <c:v>2018</c:v>
                </c:pt>
                <c:pt idx="123">
                  <c:v>2024</c:v>
                </c:pt>
                <c:pt idx="124">
                  <c:v>1979</c:v>
                </c:pt>
                <c:pt idx="125">
                  <c:v>1976</c:v>
                </c:pt>
                <c:pt idx="126">
                  <c:v>1998</c:v>
                </c:pt>
                <c:pt idx="127">
                  <c:v>1990</c:v>
                </c:pt>
                <c:pt idx="128">
                  <c:v>2026</c:v>
                </c:pt>
                <c:pt idx="129">
                  <c:v>2008</c:v>
                </c:pt>
                <c:pt idx="130">
                  <c:v>2002</c:v>
                </c:pt>
                <c:pt idx="131">
                  <c:v>1986</c:v>
                </c:pt>
                <c:pt idx="132">
                  <c:v>1984</c:v>
                </c:pt>
                <c:pt idx="133">
                  <c:v>1988</c:v>
                </c:pt>
                <c:pt idx="134">
                  <c:v>1983</c:v>
                </c:pt>
                <c:pt idx="135">
                  <c:v>2021</c:v>
                </c:pt>
                <c:pt idx="136">
                  <c:v>1996</c:v>
                </c:pt>
                <c:pt idx="137">
                  <c:v>2003</c:v>
                </c:pt>
                <c:pt idx="138">
                  <c:v>2023</c:v>
                </c:pt>
                <c:pt idx="139">
                  <c:v>1982</c:v>
                </c:pt>
                <c:pt idx="140">
                  <c:v>2026</c:v>
                </c:pt>
                <c:pt idx="141">
                  <c:v>1989</c:v>
                </c:pt>
                <c:pt idx="142">
                  <c:v>1991</c:v>
                </c:pt>
                <c:pt idx="143">
                  <c:v>1994</c:v>
                </c:pt>
                <c:pt idx="144">
                  <c:v>2012</c:v>
                </c:pt>
                <c:pt idx="145">
                  <c:v>2026</c:v>
                </c:pt>
                <c:pt idx="146">
                  <c:v>2005</c:v>
                </c:pt>
                <c:pt idx="147">
                  <c:v>2003</c:v>
                </c:pt>
                <c:pt idx="148">
                  <c:v>2025</c:v>
                </c:pt>
                <c:pt idx="149">
                  <c:v>2001</c:v>
                </c:pt>
                <c:pt idx="150">
                  <c:v>2005</c:v>
                </c:pt>
                <c:pt idx="151">
                  <c:v>2002</c:v>
                </c:pt>
                <c:pt idx="152">
                  <c:v>1999</c:v>
                </c:pt>
                <c:pt idx="153">
                  <c:v>2003</c:v>
                </c:pt>
                <c:pt idx="154">
                  <c:v>2008</c:v>
                </c:pt>
                <c:pt idx="155">
                  <c:v>2024</c:v>
                </c:pt>
                <c:pt idx="156">
                  <c:v>1996</c:v>
                </c:pt>
                <c:pt idx="157">
                  <c:v>1998</c:v>
                </c:pt>
                <c:pt idx="158">
                  <c:v>2014</c:v>
                </c:pt>
                <c:pt idx="159">
                  <c:v>2016</c:v>
                </c:pt>
                <c:pt idx="160">
                  <c:v>1995</c:v>
                </c:pt>
                <c:pt idx="161">
                  <c:v>2019</c:v>
                </c:pt>
                <c:pt idx="162">
                  <c:v>2011</c:v>
                </c:pt>
                <c:pt idx="163">
                  <c:v>2000</c:v>
                </c:pt>
                <c:pt idx="164">
                  <c:v>2021</c:v>
                </c:pt>
                <c:pt idx="165">
                  <c:v>1991</c:v>
                </c:pt>
                <c:pt idx="166">
                  <c:v>1975</c:v>
                </c:pt>
                <c:pt idx="167">
                  <c:v>1973</c:v>
                </c:pt>
                <c:pt idx="168">
                  <c:v>1977</c:v>
                </c:pt>
                <c:pt idx="169">
                  <c:v>1971</c:v>
                </c:pt>
                <c:pt idx="170">
                  <c:v>1979</c:v>
                </c:pt>
                <c:pt idx="171">
                  <c:v>2007</c:v>
                </c:pt>
                <c:pt idx="172">
                  <c:v>2005</c:v>
                </c:pt>
                <c:pt idx="173">
                  <c:v>2002</c:v>
                </c:pt>
                <c:pt idx="174">
                  <c:v>2000</c:v>
                </c:pt>
                <c:pt idx="175">
                  <c:v>1994</c:v>
                </c:pt>
                <c:pt idx="176">
                  <c:v>2008</c:v>
                </c:pt>
                <c:pt idx="177">
                  <c:v>2002</c:v>
                </c:pt>
                <c:pt idx="178">
                  <c:v>2007</c:v>
                </c:pt>
                <c:pt idx="179">
                  <c:v>1997</c:v>
                </c:pt>
                <c:pt idx="180">
                  <c:v>2000</c:v>
                </c:pt>
                <c:pt idx="181">
                  <c:v>1995</c:v>
                </c:pt>
                <c:pt idx="182">
                  <c:v>2016</c:v>
                </c:pt>
                <c:pt idx="183">
                  <c:v>2003</c:v>
                </c:pt>
                <c:pt idx="184">
                  <c:v>2001</c:v>
                </c:pt>
                <c:pt idx="185">
                  <c:v>2011</c:v>
                </c:pt>
                <c:pt idx="186">
                  <c:v>1993</c:v>
                </c:pt>
                <c:pt idx="187">
                  <c:v>1976</c:v>
                </c:pt>
                <c:pt idx="188">
                  <c:v>2005</c:v>
                </c:pt>
                <c:pt idx="189">
                  <c:v>1981</c:v>
                </c:pt>
                <c:pt idx="190">
                  <c:v>1992</c:v>
                </c:pt>
                <c:pt idx="191">
                  <c:v>1999</c:v>
                </c:pt>
                <c:pt idx="192">
                  <c:v>1986</c:v>
                </c:pt>
                <c:pt idx="193">
                  <c:v>2026</c:v>
                </c:pt>
                <c:pt idx="194">
                  <c:v>1991</c:v>
                </c:pt>
                <c:pt idx="195">
                  <c:v>1999</c:v>
                </c:pt>
                <c:pt idx="196">
                  <c:v>1993</c:v>
                </c:pt>
                <c:pt idx="197">
                  <c:v>1992</c:v>
                </c:pt>
                <c:pt idx="198">
                  <c:v>2013</c:v>
                </c:pt>
                <c:pt idx="199">
                  <c:v>1977</c:v>
                </c:pt>
                <c:pt idx="200">
                  <c:v>1979</c:v>
                </c:pt>
                <c:pt idx="201">
                  <c:v>2014</c:v>
                </c:pt>
                <c:pt idx="202">
                  <c:v>1996</c:v>
                </c:pt>
                <c:pt idx="203">
                  <c:v>2003</c:v>
                </c:pt>
                <c:pt idx="204">
                  <c:v>2009</c:v>
                </c:pt>
                <c:pt idx="205">
                  <c:v>2001</c:v>
                </c:pt>
                <c:pt idx="206">
                  <c:v>1988</c:v>
                </c:pt>
                <c:pt idx="207">
                  <c:v>1983</c:v>
                </c:pt>
                <c:pt idx="208">
                  <c:v>2015</c:v>
                </c:pt>
                <c:pt idx="209">
                  <c:v>1982</c:v>
                </c:pt>
                <c:pt idx="210">
                  <c:v>1969</c:v>
                </c:pt>
                <c:pt idx="211">
                  <c:v>1967</c:v>
                </c:pt>
                <c:pt idx="212">
                  <c:v>1966</c:v>
                </c:pt>
                <c:pt idx="213">
                  <c:v>1979</c:v>
                </c:pt>
                <c:pt idx="214">
                  <c:v>1989</c:v>
                </c:pt>
                <c:pt idx="215">
                  <c:v>1994</c:v>
                </c:pt>
                <c:pt idx="216">
                  <c:v>2016</c:v>
                </c:pt>
                <c:pt idx="217">
                  <c:v>1997</c:v>
                </c:pt>
                <c:pt idx="218">
                  <c:v>1995</c:v>
                </c:pt>
                <c:pt idx="219">
                  <c:v>1993</c:v>
                </c:pt>
                <c:pt idx="220">
                  <c:v>1986</c:v>
                </c:pt>
                <c:pt idx="221">
                  <c:v>1989</c:v>
                </c:pt>
                <c:pt idx="222">
                  <c:v>2020</c:v>
                </c:pt>
                <c:pt idx="223">
                  <c:v>2001</c:v>
                </c:pt>
                <c:pt idx="224">
                  <c:v>2001</c:v>
                </c:pt>
                <c:pt idx="225">
                  <c:v>1996</c:v>
                </c:pt>
                <c:pt idx="226">
                  <c:v>2006</c:v>
                </c:pt>
                <c:pt idx="227">
                  <c:v>2019</c:v>
                </c:pt>
                <c:pt idx="228">
                  <c:v>2000</c:v>
                </c:pt>
                <c:pt idx="229">
                  <c:v>1993</c:v>
                </c:pt>
                <c:pt idx="230">
                  <c:v>1992</c:v>
                </c:pt>
                <c:pt idx="231">
                  <c:v>2023</c:v>
                </c:pt>
                <c:pt idx="232">
                  <c:v>2026</c:v>
                </c:pt>
                <c:pt idx="233">
                  <c:v>2003</c:v>
                </c:pt>
                <c:pt idx="234">
                  <c:v>1993</c:v>
                </c:pt>
                <c:pt idx="235">
                  <c:v>1972</c:v>
                </c:pt>
                <c:pt idx="236">
                  <c:v>1971</c:v>
                </c:pt>
                <c:pt idx="237">
                  <c:v>2016</c:v>
                </c:pt>
              </c:numCache>
            </c:numRef>
          </c:xVal>
          <c:yVal>
            <c:numRef>
              <c:f>Graficos!$AU$279:$AU$516</c:f>
              <c:numCache>
                <c:formatCode>General</c:formatCode>
                <c:ptCount val="238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4.62</c:v>
                </c:pt>
                <c:pt idx="16">
                  <c:v>8.18</c:v>
                </c:pt>
                <c:pt idx="17">
                  <c:v>2.39</c:v>
                </c:pt>
                <c:pt idx="18">
                  <c:v>8.3800000000000008</c:v>
                </c:pt>
                <c:pt idx="19">
                  <c:v>8.52</c:v>
                </c:pt>
                <c:pt idx="20">
                  <c:v>8.39</c:v>
                </c:pt>
                <c:pt idx="21">
                  <c:v>9.43</c:v>
                </c:pt>
                <c:pt idx="22">
                  <c:v>8.57</c:v>
                </c:pt>
                <c:pt idx="23">
                  <c:v>8.57</c:v>
                </c:pt>
                <c:pt idx="24">
                  <c:v>8.84</c:v>
                </c:pt>
                <c:pt idx="25">
                  <c:v>9.0399999999999991</c:v>
                </c:pt>
                <c:pt idx="26">
                  <c:v>8.65</c:v>
                </c:pt>
                <c:pt idx="27">
                  <c:v>8.81</c:v>
                </c:pt>
                <c:pt idx="28">
                  <c:v>8.56</c:v>
                </c:pt>
                <c:pt idx="29">
                  <c:v>8.65</c:v>
                </c:pt>
                <c:pt idx="30">
                  <c:v>8.89</c:v>
                </c:pt>
                <c:pt idx="31">
                  <c:v>8.91</c:v>
                </c:pt>
                <c:pt idx="32">
                  <c:v>7.94</c:v>
                </c:pt>
                <c:pt idx="33">
                  <c:v>8.8800000000000008</c:v>
                </c:pt>
                <c:pt idx="34">
                  <c:v>8.01</c:v>
                </c:pt>
                <c:pt idx="35">
                  <c:v>8.57</c:v>
                </c:pt>
                <c:pt idx="36">
                  <c:v>8.4700000000000006</c:v>
                </c:pt>
                <c:pt idx="37">
                  <c:v>8.4499999999999993</c:v>
                </c:pt>
                <c:pt idx="38">
                  <c:v>9</c:v>
                </c:pt>
                <c:pt idx="39">
                  <c:v>8.81</c:v>
                </c:pt>
                <c:pt idx="40">
                  <c:v>8.9499999999999993</c:v>
                </c:pt>
                <c:pt idx="41">
                  <c:v>8.85</c:v>
                </c:pt>
                <c:pt idx="42">
                  <c:v>8.56</c:v>
                </c:pt>
                <c:pt idx="43">
                  <c:v>9.17</c:v>
                </c:pt>
                <c:pt idx="44">
                  <c:v>9.09</c:v>
                </c:pt>
                <c:pt idx="45">
                  <c:v>8.7899999999999991</c:v>
                </c:pt>
                <c:pt idx="46">
                  <c:v>7.95</c:v>
                </c:pt>
                <c:pt idx="47">
                  <c:v>7.79</c:v>
                </c:pt>
                <c:pt idx="48">
                  <c:v>7.66</c:v>
                </c:pt>
                <c:pt idx="49">
                  <c:v>8.94</c:v>
                </c:pt>
                <c:pt idx="50">
                  <c:v>8.67</c:v>
                </c:pt>
                <c:pt idx="51">
                  <c:v>8.6300000000000008</c:v>
                </c:pt>
                <c:pt idx="52">
                  <c:v>8.6300000000000008</c:v>
                </c:pt>
                <c:pt idx="53">
                  <c:v>8.5299999999999994</c:v>
                </c:pt>
                <c:pt idx="54">
                  <c:v>8.92</c:v>
                </c:pt>
                <c:pt idx="55">
                  <c:v>8.77</c:v>
                </c:pt>
                <c:pt idx="56">
                  <c:v>8.1300000000000008</c:v>
                </c:pt>
                <c:pt idx="57">
                  <c:v>7.61</c:v>
                </c:pt>
                <c:pt idx="58">
                  <c:v>8.5500000000000007</c:v>
                </c:pt>
                <c:pt idx="59">
                  <c:v>9.0299999999999994</c:v>
                </c:pt>
                <c:pt idx="60">
                  <c:v>8.86</c:v>
                </c:pt>
                <c:pt idx="61">
                  <c:v>8.81</c:v>
                </c:pt>
                <c:pt idx="62">
                  <c:v>8.3000000000000007</c:v>
                </c:pt>
                <c:pt idx="63">
                  <c:v>8.2799999999999994</c:v>
                </c:pt>
                <c:pt idx="64">
                  <c:v>7.7</c:v>
                </c:pt>
                <c:pt idx="65">
                  <c:v>8.59</c:v>
                </c:pt>
                <c:pt idx="66">
                  <c:v>8.4700000000000006</c:v>
                </c:pt>
                <c:pt idx="67">
                  <c:v>8.64</c:v>
                </c:pt>
                <c:pt idx="68">
                  <c:v>8.65</c:v>
                </c:pt>
                <c:pt idx="69">
                  <c:v>8.51</c:v>
                </c:pt>
                <c:pt idx="70">
                  <c:v>8.3699999999999992</c:v>
                </c:pt>
                <c:pt idx="71">
                  <c:v>8.9499999999999993</c:v>
                </c:pt>
                <c:pt idx="72">
                  <c:v>10.85</c:v>
                </c:pt>
                <c:pt idx="73">
                  <c:v>8.65</c:v>
                </c:pt>
                <c:pt idx="74">
                  <c:v>8.6</c:v>
                </c:pt>
                <c:pt idx="75">
                  <c:v>8.43</c:v>
                </c:pt>
                <c:pt idx="76">
                  <c:v>8.7799999999999994</c:v>
                </c:pt>
                <c:pt idx="77">
                  <c:v>8.83</c:v>
                </c:pt>
                <c:pt idx="78">
                  <c:v>8.9600000000000009</c:v>
                </c:pt>
                <c:pt idx="79">
                  <c:v>8.83</c:v>
                </c:pt>
                <c:pt idx="80">
                  <c:v>10.220000000000001</c:v>
                </c:pt>
                <c:pt idx="81">
                  <c:v>8.9600000000000009</c:v>
                </c:pt>
                <c:pt idx="82">
                  <c:v>8.84</c:v>
                </c:pt>
                <c:pt idx="83">
                  <c:v>8.84</c:v>
                </c:pt>
                <c:pt idx="84">
                  <c:v>8.68</c:v>
                </c:pt>
                <c:pt idx="85">
                  <c:v>8.34</c:v>
                </c:pt>
                <c:pt idx="86">
                  <c:v>8.89</c:v>
                </c:pt>
                <c:pt idx="87">
                  <c:v>8.75</c:v>
                </c:pt>
                <c:pt idx="88">
                  <c:v>8.23</c:v>
                </c:pt>
                <c:pt idx="89">
                  <c:v>8</c:v>
                </c:pt>
                <c:pt idx="90">
                  <c:v>9.34</c:v>
                </c:pt>
                <c:pt idx="91">
                  <c:v>8.5299999999999994</c:v>
                </c:pt>
                <c:pt idx="92">
                  <c:v>7.16</c:v>
                </c:pt>
                <c:pt idx="93">
                  <c:v>8.77</c:v>
                </c:pt>
                <c:pt idx="94">
                  <c:v>8.7200000000000006</c:v>
                </c:pt>
                <c:pt idx="95">
                  <c:v>8.93</c:v>
                </c:pt>
                <c:pt idx="96">
                  <c:v>8.6999999999999993</c:v>
                </c:pt>
                <c:pt idx="97">
                  <c:v>8.83</c:v>
                </c:pt>
                <c:pt idx="98">
                  <c:v>6.99</c:v>
                </c:pt>
                <c:pt idx="99">
                  <c:v>8.74</c:v>
                </c:pt>
                <c:pt idx="100">
                  <c:v>8.68</c:v>
                </c:pt>
                <c:pt idx="101">
                  <c:v>8.1999999999999993</c:v>
                </c:pt>
                <c:pt idx="102">
                  <c:v>8.5399999999999991</c:v>
                </c:pt>
                <c:pt idx="103">
                  <c:v>8.5299999999999994</c:v>
                </c:pt>
                <c:pt idx="104">
                  <c:v>8.7899999999999991</c:v>
                </c:pt>
                <c:pt idx="105">
                  <c:v>8.6199999999999992</c:v>
                </c:pt>
                <c:pt idx="106">
                  <c:v>7.2</c:v>
                </c:pt>
                <c:pt idx="107">
                  <c:v>8.34</c:v>
                </c:pt>
                <c:pt idx="108">
                  <c:v>7.95</c:v>
                </c:pt>
                <c:pt idx="109">
                  <c:v>8.8800000000000008</c:v>
                </c:pt>
                <c:pt idx="110">
                  <c:v>8.16</c:v>
                </c:pt>
                <c:pt idx="111">
                  <c:v>9.4600000000000009</c:v>
                </c:pt>
                <c:pt idx="112">
                  <c:v>9.36</c:v>
                </c:pt>
                <c:pt idx="113">
                  <c:v>8.82</c:v>
                </c:pt>
                <c:pt idx="114">
                  <c:v>8.77</c:v>
                </c:pt>
                <c:pt idx="115">
                  <c:v>8.1300000000000008</c:v>
                </c:pt>
                <c:pt idx="116">
                  <c:v>9.5299999999999994</c:v>
                </c:pt>
                <c:pt idx="117">
                  <c:v>8.5399999999999991</c:v>
                </c:pt>
                <c:pt idx="118">
                  <c:v>9</c:v>
                </c:pt>
                <c:pt idx="119">
                  <c:v>8.34</c:v>
                </c:pt>
                <c:pt idx="120">
                  <c:v>8.6999999999999993</c:v>
                </c:pt>
                <c:pt idx="121">
                  <c:v>8.5299999999999994</c:v>
                </c:pt>
                <c:pt idx="122">
                  <c:v>8.39</c:v>
                </c:pt>
                <c:pt idx="123">
                  <c:v>8.6300000000000008</c:v>
                </c:pt>
                <c:pt idx="124">
                  <c:v>9.1</c:v>
                </c:pt>
                <c:pt idx="125">
                  <c:v>8.5299999999999994</c:v>
                </c:pt>
                <c:pt idx="126">
                  <c:v>8.66</c:v>
                </c:pt>
                <c:pt idx="127">
                  <c:v>9.09</c:v>
                </c:pt>
                <c:pt idx="128">
                  <c:v>7.64</c:v>
                </c:pt>
                <c:pt idx="129">
                  <c:v>8.7899999999999991</c:v>
                </c:pt>
                <c:pt idx="130">
                  <c:v>8.2100000000000009</c:v>
                </c:pt>
                <c:pt idx="131">
                  <c:v>9.3699999999999992</c:v>
                </c:pt>
                <c:pt idx="132">
                  <c:v>9.2100000000000009</c:v>
                </c:pt>
                <c:pt idx="133">
                  <c:v>9.08</c:v>
                </c:pt>
                <c:pt idx="134">
                  <c:v>8.61</c:v>
                </c:pt>
                <c:pt idx="135">
                  <c:v>8.65</c:v>
                </c:pt>
                <c:pt idx="136">
                  <c:v>7.96</c:v>
                </c:pt>
                <c:pt idx="137">
                  <c:v>3.37</c:v>
                </c:pt>
                <c:pt idx="138">
                  <c:v>8.49</c:v>
                </c:pt>
                <c:pt idx="139">
                  <c:v>9.02</c:v>
                </c:pt>
                <c:pt idx="140">
                  <c:v>8.3699999999999992</c:v>
                </c:pt>
                <c:pt idx="141">
                  <c:v>8.3000000000000007</c:v>
                </c:pt>
                <c:pt idx="142">
                  <c:v>8.67</c:v>
                </c:pt>
                <c:pt idx="143">
                  <c:v>8.76</c:v>
                </c:pt>
                <c:pt idx="144">
                  <c:v>9.23</c:v>
                </c:pt>
                <c:pt idx="145">
                  <c:v>8.3800000000000008</c:v>
                </c:pt>
                <c:pt idx="146">
                  <c:v>8.76</c:v>
                </c:pt>
                <c:pt idx="147">
                  <c:v>8.49</c:v>
                </c:pt>
                <c:pt idx="148">
                  <c:v>8.27</c:v>
                </c:pt>
                <c:pt idx="149">
                  <c:v>9.44</c:v>
                </c:pt>
                <c:pt idx="150">
                  <c:v>9.14</c:v>
                </c:pt>
                <c:pt idx="151">
                  <c:v>8.9</c:v>
                </c:pt>
                <c:pt idx="152">
                  <c:v>8.85</c:v>
                </c:pt>
                <c:pt idx="153">
                  <c:v>8.73</c:v>
                </c:pt>
                <c:pt idx="154">
                  <c:v>8.5500000000000007</c:v>
                </c:pt>
                <c:pt idx="155">
                  <c:v>8.4600000000000009</c:v>
                </c:pt>
                <c:pt idx="156">
                  <c:v>8.25</c:v>
                </c:pt>
                <c:pt idx="157">
                  <c:v>8.27</c:v>
                </c:pt>
                <c:pt idx="158">
                  <c:v>8.1300000000000008</c:v>
                </c:pt>
                <c:pt idx="159">
                  <c:v>8.0299999999999994</c:v>
                </c:pt>
                <c:pt idx="160">
                  <c:v>7.94</c:v>
                </c:pt>
                <c:pt idx="161">
                  <c:v>7.89</c:v>
                </c:pt>
                <c:pt idx="162">
                  <c:v>7.66</c:v>
                </c:pt>
                <c:pt idx="163">
                  <c:v>8.8800000000000008</c:v>
                </c:pt>
                <c:pt idx="164">
                  <c:v>8.43</c:v>
                </c:pt>
                <c:pt idx="165">
                  <c:v>8.8800000000000008</c:v>
                </c:pt>
                <c:pt idx="166">
                  <c:v>10.39</c:v>
                </c:pt>
                <c:pt idx="167">
                  <c:v>10</c:v>
                </c:pt>
                <c:pt idx="168">
                  <c:v>9.5500000000000007</c:v>
                </c:pt>
                <c:pt idx="169">
                  <c:v>8.9700000000000006</c:v>
                </c:pt>
                <c:pt idx="170">
                  <c:v>8.9700000000000006</c:v>
                </c:pt>
                <c:pt idx="171">
                  <c:v>9.23</c:v>
                </c:pt>
                <c:pt idx="172">
                  <c:v>9.0399999999999991</c:v>
                </c:pt>
                <c:pt idx="173">
                  <c:v>8.81</c:v>
                </c:pt>
                <c:pt idx="174">
                  <c:v>8.7799999999999994</c:v>
                </c:pt>
                <c:pt idx="175">
                  <c:v>8.8800000000000008</c:v>
                </c:pt>
                <c:pt idx="176">
                  <c:v>8.4700000000000006</c:v>
                </c:pt>
                <c:pt idx="177">
                  <c:v>8.65</c:v>
                </c:pt>
                <c:pt idx="178">
                  <c:v>10.37</c:v>
                </c:pt>
                <c:pt idx="179">
                  <c:v>10.07</c:v>
                </c:pt>
                <c:pt idx="180">
                  <c:v>9.3699999999999992</c:v>
                </c:pt>
                <c:pt idx="181">
                  <c:v>9.14</c:v>
                </c:pt>
                <c:pt idx="182">
                  <c:v>8.75</c:v>
                </c:pt>
                <c:pt idx="183">
                  <c:v>8.56</c:v>
                </c:pt>
                <c:pt idx="184">
                  <c:v>8.11</c:v>
                </c:pt>
                <c:pt idx="185">
                  <c:v>7.74</c:v>
                </c:pt>
                <c:pt idx="186">
                  <c:v>7.4</c:v>
                </c:pt>
                <c:pt idx="187">
                  <c:v>8.5</c:v>
                </c:pt>
                <c:pt idx="188">
                  <c:v>7.98</c:v>
                </c:pt>
                <c:pt idx="189">
                  <c:v>8.67</c:v>
                </c:pt>
                <c:pt idx="190">
                  <c:v>8.58</c:v>
                </c:pt>
                <c:pt idx="191">
                  <c:v>8.56</c:v>
                </c:pt>
                <c:pt idx="192">
                  <c:v>8.34</c:v>
                </c:pt>
                <c:pt idx="193">
                  <c:v>8.56</c:v>
                </c:pt>
                <c:pt idx="194">
                  <c:v>8.83</c:v>
                </c:pt>
                <c:pt idx="195">
                  <c:v>7.66</c:v>
                </c:pt>
                <c:pt idx="196">
                  <c:v>8.5</c:v>
                </c:pt>
                <c:pt idx="197">
                  <c:v>8.5</c:v>
                </c:pt>
                <c:pt idx="198">
                  <c:v>8.61</c:v>
                </c:pt>
                <c:pt idx="199">
                  <c:v>9.02</c:v>
                </c:pt>
                <c:pt idx="200">
                  <c:v>8.6300000000000008</c:v>
                </c:pt>
                <c:pt idx="201">
                  <c:v>8.7799999999999994</c:v>
                </c:pt>
                <c:pt idx="202">
                  <c:v>8.52</c:v>
                </c:pt>
                <c:pt idx="203">
                  <c:v>8.9600000000000009</c:v>
                </c:pt>
                <c:pt idx="204">
                  <c:v>8.89</c:v>
                </c:pt>
                <c:pt idx="205">
                  <c:v>9</c:v>
                </c:pt>
                <c:pt idx="206">
                  <c:v>8.92</c:v>
                </c:pt>
                <c:pt idx="207">
                  <c:v>8.7899999999999991</c:v>
                </c:pt>
                <c:pt idx="208">
                  <c:v>8.6199999999999992</c:v>
                </c:pt>
                <c:pt idx="209">
                  <c:v>9.23</c:v>
                </c:pt>
                <c:pt idx="210">
                  <c:v>8.83</c:v>
                </c:pt>
                <c:pt idx="211">
                  <c:v>8.86</c:v>
                </c:pt>
                <c:pt idx="212">
                  <c:v>8.39</c:v>
                </c:pt>
                <c:pt idx="213">
                  <c:v>8.6</c:v>
                </c:pt>
                <c:pt idx="214">
                  <c:v>8.7100000000000009</c:v>
                </c:pt>
                <c:pt idx="215">
                  <c:v>8.33</c:v>
                </c:pt>
                <c:pt idx="216">
                  <c:v>8.16</c:v>
                </c:pt>
                <c:pt idx="217">
                  <c:v>8.61</c:v>
                </c:pt>
                <c:pt idx="218">
                  <c:v>8.6300000000000008</c:v>
                </c:pt>
                <c:pt idx="219">
                  <c:v>8.27</c:v>
                </c:pt>
                <c:pt idx="220">
                  <c:v>8.8699999999999992</c:v>
                </c:pt>
                <c:pt idx="221">
                  <c:v>8.83</c:v>
                </c:pt>
                <c:pt idx="222">
                  <c:v>8.8699999999999992</c:v>
                </c:pt>
                <c:pt idx="223">
                  <c:v>8.06</c:v>
                </c:pt>
                <c:pt idx="224">
                  <c:v>10.99</c:v>
                </c:pt>
                <c:pt idx="225">
                  <c:v>9.9600000000000009</c:v>
                </c:pt>
                <c:pt idx="226">
                  <c:v>9.99</c:v>
                </c:pt>
                <c:pt idx="227">
                  <c:v>9.42</c:v>
                </c:pt>
                <c:pt idx="228">
                  <c:v>9.5299999999999994</c:v>
                </c:pt>
                <c:pt idx="229">
                  <c:v>8.2200000000000006</c:v>
                </c:pt>
                <c:pt idx="230">
                  <c:v>7.84</c:v>
                </c:pt>
                <c:pt idx="231">
                  <c:v>8.06</c:v>
                </c:pt>
                <c:pt idx="232">
                  <c:v>8.4499999999999993</c:v>
                </c:pt>
                <c:pt idx="233">
                  <c:v>8.16</c:v>
                </c:pt>
                <c:pt idx="234">
                  <c:v>8.17</c:v>
                </c:pt>
                <c:pt idx="235">
                  <c:v>10.44</c:v>
                </c:pt>
                <c:pt idx="236">
                  <c:v>8.48</c:v>
                </c:pt>
                <c:pt idx="237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A5-47FC-9FFB-3B1E10B253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7173151"/>
        <c:axId val="1234404655"/>
      </c:scatterChart>
      <c:valAx>
        <c:axId val="1257173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4404655"/>
        <c:crosses val="autoZero"/>
        <c:crossBetween val="midCat"/>
      </c:valAx>
      <c:valAx>
        <c:axId val="1234404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571731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Graficos!$AU$519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Graficos!$AT$520:$AT$757</c:f>
              <c:numCache>
                <c:formatCode>General</c:formatCode>
                <c:ptCount val="238"/>
                <c:pt idx="0">
                  <c:v>50</c:v>
                </c:pt>
                <c:pt idx="1">
                  <c:v>44</c:v>
                </c:pt>
                <c:pt idx="2">
                  <c:v>48</c:v>
                </c:pt>
                <c:pt idx="3">
                  <c:v>68</c:v>
                </c:pt>
                <c:pt idx="4">
                  <c:v>60</c:v>
                </c:pt>
                <c:pt idx="5">
                  <c:v>43</c:v>
                </c:pt>
                <c:pt idx="6">
                  <c:v>57</c:v>
                </c:pt>
                <c:pt idx="7">
                  <c:v>40</c:v>
                </c:pt>
                <c:pt idx="8">
                  <c:v>32</c:v>
                </c:pt>
                <c:pt idx="9">
                  <c:v>74</c:v>
                </c:pt>
                <c:pt idx="10">
                  <c:v>33</c:v>
                </c:pt>
                <c:pt idx="11">
                  <c:v>100</c:v>
                </c:pt>
                <c:pt idx="12">
                  <c:v>63</c:v>
                </c:pt>
                <c:pt idx="13">
                  <c:v>156</c:v>
                </c:pt>
                <c:pt idx="14">
                  <c:v>41</c:v>
                </c:pt>
                <c:pt idx="15">
                  <c:v>62</c:v>
                </c:pt>
                <c:pt idx="16">
                  <c:v>34</c:v>
                </c:pt>
                <c:pt idx="17">
                  <c:v>30</c:v>
                </c:pt>
                <c:pt idx="18">
                  <c:v>34</c:v>
                </c:pt>
                <c:pt idx="19">
                  <c:v>43</c:v>
                </c:pt>
                <c:pt idx="20">
                  <c:v>38</c:v>
                </c:pt>
                <c:pt idx="21">
                  <c:v>41</c:v>
                </c:pt>
                <c:pt idx="22">
                  <c:v>43</c:v>
                </c:pt>
                <c:pt idx="23">
                  <c:v>39</c:v>
                </c:pt>
                <c:pt idx="24">
                  <c:v>66</c:v>
                </c:pt>
                <c:pt idx="25">
                  <c:v>63</c:v>
                </c:pt>
                <c:pt idx="26">
                  <c:v>69</c:v>
                </c:pt>
                <c:pt idx="27">
                  <c:v>70</c:v>
                </c:pt>
                <c:pt idx="28">
                  <c:v>47</c:v>
                </c:pt>
                <c:pt idx="29">
                  <c:v>50</c:v>
                </c:pt>
                <c:pt idx="30">
                  <c:v>58</c:v>
                </c:pt>
                <c:pt idx="31">
                  <c:v>140</c:v>
                </c:pt>
                <c:pt idx="32">
                  <c:v>37</c:v>
                </c:pt>
                <c:pt idx="33">
                  <c:v>67</c:v>
                </c:pt>
                <c:pt idx="34">
                  <c:v>71</c:v>
                </c:pt>
                <c:pt idx="35">
                  <c:v>56</c:v>
                </c:pt>
                <c:pt idx="36">
                  <c:v>36</c:v>
                </c:pt>
                <c:pt idx="37">
                  <c:v>41</c:v>
                </c:pt>
                <c:pt idx="38">
                  <c:v>67</c:v>
                </c:pt>
                <c:pt idx="39">
                  <c:v>37</c:v>
                </c:pt>
                <c:pt idx="40">
                  <c:v>41</c:v>
                </c:pt>
                <c:pt idx="41">
                  <c:v>54</c:v>
                </c:pt>
                <c:pt idx="42">
                  <c:v>62</c:v>
                </c:pt>
                <c:pt idx="43">
                  <c:v>84</c:v>
                </c:pt>
                <c:pt idx="44">
                  <c:v>61</c:v>
                </c:pt>
                <c:pt idx="45">
                  <c:v>74</c:v>
                </c:pt>
                <c:pt idx="46">
                  <c:v>74</c:v>
                </c:pt>
                <c:pt idx="47">
                  <c:v>45</c:v>
                </c:pt>
                <c:pt idx="48">
                  <c:v>60</c:v>
                </c:pt>
                <c:pt idx="49">
                  <c:v>39</c:v>
                </c:pt>
                <c:pt idx="50">
                  <c:v>41</c:v>
                </c:pt>
                <c:pt idx="51">
                  <c:v>59</c:v>
                </c:pt>
                <c:pt idx="52">
                  <c:v>50</c:v>
                </c:pt>
                <c:pt idx="53">
                  <c:v>56</c:v>
                </c:pt>
                <c:pt idx="54">
                  <c:v>52</c:v>
                </c:pt>
                <c:pt idx="55">
                  <c:v>51</c:v>
                </c:pt>
                <c:pt idx="56">
                  <c:v>47</c:v>
                </c:pt>
                <c:pt idx="57">
                  <c:v>24</c:v>
                </c:pt>
                <c:pt idx="58">
                  <c:v>47</c:v>
                </c:pt>
                <c:pt idx="59">
                  <c:v>54</c:v>
                </c:pt>
                <c:pt idx="60">
                  <c:v>41</c:v>
                </c:pt>
                <c:pt idx="61">
                  <c:v>41</c:v>
                </c:pt>
                <c:pt idx="62">
                  <c:v>43</c:v>
                </c:pt>
                <c:pt idx="63">
                  <c:v>51</c:v>
                </c:pt>
                <c:pt idx="64">
                  <c:v>49</c:v>
                </c:pt>
                <c:pt idx="65">
                  <c:v>50</c:v>
                </c:pt>
                <c:pt idx="66">
                  <c:v>77</c:v>
                </c:pt>
                <c:pt idx="67">
                  <c:v>40</c:v>
                </c:pt>
                <c:pt idx="68">
                  <c:v>75</c:v>
                </c:pt>
                <c:pt idx="69">
                  <c:v>37</c:v>
                </c:pt>
                <c:pt idx="70">
                  <c:v>40</c:v>
                </c:pt>
                <c:pt idx="71">
                  <c:v>40</c:v>
                </c:pt>
                <c:pt idx="72">
                  <c:v>35</c:v>
                </c:pt>
                <c:pt idx="73">
                  <c:v>39</c:v>
                </c:pt>
                <c:pt idx="74">
                  <c:v>41</c:v>
                </c:pt>
                <c:pt idx="75">
                  <c:v>60</c:v>
                </c:pt>
                <c:pt idx="76">
                  <c:v>43</c:v>
                </c:pt>
                <c:pt idx="77">
                  <c:v>36</c:v>
                </c:pt>
                <c:pt idx="78">
                  <c:v>45</c:v>
                </c:pt>
                <c:pt idx="79">
                  <c:v>53</c:v>
                </c:pt>
                <c:pt idx="80">
                  <c:v>87</c:v>
                </c:pt>
                <c:pt idx="81">
                  <c:v>74</c:v>
                </c:pt>
                <c:pt idx="82">
                  <c:v>63</c:v>
                </c:pt>
                <c:pt idx="83">
                  <c:v>66</c:v>
                </c:pt>
                <c:pt idx="84">
                  <c:v>75</c:v>
                </c:pt>
                <c:pt idx="85">
                  <c:v>43</c:v>
                </c:pt>
                <c:pt idx="86">
                  <c:v>51</c:v>
                </c:pt>
                <c:pt idx="87">
                  <c:v>56</c:v>
                </c:pt>
                <c:pt idx="88">
                  <c:v>64</c:v>
                </c:pt>
                <c:pt idx="89">
                  <c:v>66</c:v>
                </c:pt>
                <c:pt idx="90">
                  <c:v>84</c:v>
                </c:pt>
                <c:pt idx="91">
                  <c:v>36</c:v>
                </c:pt>
                <c:pt idx="92">
                  <c:v>29</c:v>
                </c:pt>
                <c:pt idx="93">
                  <c:v>33</c:v>
                </c:pt>
                <c:pt idx="94">
                  <c:v>50</c:v>
                </c:pt>
                <c:pt idx="95">
                  <c:v>49</c:v>
                </c:pt>
                <c:pt idx="96">
                  <c:v>40</c:v>
                </c:pt>
                <c:pt idx="97">
                  <c:v>44</c:v>
                </c:pt>
                <c:pt idx="98">
                  <c:v>50</c:v>
                </c:pt>
                <c:pt idx="99">
                  <c:v>51</c:v>
                </c:pt>
                <c:pt idx="100">
                  <c:v>61</c:v>
                </c:pt>
                <c:pt idx="101">
                  <c:v>39</c:v>
                </c:pt>
                <c:pt idx="102">
                  <c:v>48</c:v>
                </c:pt>
                <c:pt idx="103">
                  <c:v>84</c:v>
                </c:pt>
                <c:pt idx="104">
                  <c:v>68</c:v>
                </c:pt>
                <c:pt idx="105">
                  <c:v>76</c:v>
                </c:pt>
                <c:pt idx="106">
                  <c:v>42</c:v>
                </c:pt>
                <c:pt idx="107">
                  <c:v>48</c:v>
                </c:pt>
                <c:pt idx="108">
                  <c:v>63</c:v>
                </c:pt>
                <c:pt idx="109">
                  <c:v>79</c:v>
                </c:pt>
                <c:pt idx="110">
                  <c:v>23</c:v>
                </c:pt>
                <c:pt idx="111">
                  <c:v>67</c:v>
                </c:pt>
                <c:pt idx="112">
                  <c:v>38</c:v>
                </c:pt>
                <c:pt idx="113">
                  <c:v>37</c:v>
                </c:pt>
                <c:pt idx="114">
                  <c:v>39</c:v>
                </c:pt>
                <c:pt idx="115">
                  <c:v>24</c:v>
                </c:pt>
                <c:pt idx="116">
                  <c:v>42</c:v>
                </c:pt>
                <c:pt idx="117">
                  <c:v>43</c:v>
                </c:pt>
                <c:pt idx="118">
                  <c:v>36</c:v>
                </c:pt>
                <c:pt idx="119">
                  <c:v>37</c:v>
                </c:pt>
                <c:pt idx="120">
                  <c:v>22</c:v>
                </c:pt>
                <c:pt idx="121">
                  <c:v>42</c:v>
                </c:pt>
                <c:pt idx="122">
                  <c:v>58</c:v>
                </c:pt>
                <c:pt idx="123">
                  <c:v>53</c:v>
                </c:pt>
                <c:pt idx="124">
                  <c:v>35</c:v>
                </c:pt>
                <c:pt idx="125">
                  <c:v>40</c:v>
                </c:pt>
                <c:pt idx="126">
                  <c:v>63</c:v>
                </c:pt>
                <c:pt idx="127">
                  <c:v>40</c:v>
                </c:pt>
                <c:pt idx="128">
                  <c:v>47</c:v>
                </c:pt>
                <c:pt idx="129">
                  <c:v>52</c:v>
                </c:pt>
                <c:pt idx="130">
                  <c:v>53</c:v>
                </c:pt>
                <c:pt idx="131">
                  <c:v>54</c:v>
                </c:pt>
                <c:pt idx="132">
                  <c:v>47</c:v>
                </c:pt>
                <c:pt idx="133">
                  <c:v>65</c:v>
                </c:pt>
                <c:pt idx="134">
                  <c:v>51</c:v>
                </c:pt>
                <c:pt idx="135">
                  <c:v>62</c:v>
                </c:pt>
                <c:pt idx="136">
                  <c:v>78</c:v>
                </c:pt>
                <c:pt idx="137">
                  <c:v>75</c:v>
                </c:pt>
                <c:pt idx="138">
                  <c:v>47</c:v>
                </c:pt>
                <c:pt idx="139">
                  <c:v>42</c:v>
                </c:pt>
                <c:pt idx="140">
                  <c:v>51</c:v>
                </c:pt>
                <c:pt idx="141">
                  <c:v>46</c:v>
                </c:pt>
                <c:pt idx="142">
                  <c:v>48</c:v>
                </c:pt>
                <c:pt idx="143">
                  <c:v>39</c:v>
                </c:pt>
                <c:pt idx="144">
                  <c:v>71</c:v>
                </c:pt>
                <c:pt idx="145">
                  <c:v>63</c:v>
                </c:pt>
                <c:pt idx="146">
                  <c:v>63</c:v>
                </c:pt>
                <c:pt idx="147">
                  <c:v>62</c:v>
                </c:pt>
                <c:pt idx="148">
                  <c:v>58</c:v>
                </c:pt>
                <c:pt idx="149">
                  <c:v>76</c:v>
                </c:pt>
                <c:pt idx="150">
                  <c:v>66</c:v>
                </c:pt>
                <c:pt idx="151">
                  <c:v>61</c:v>
                </c:pt>
                <c:pt idx="152">
                  <c:v>62</c:v>
                </c:pt>
                <c:pt idx="153">
                  <c:v>43</c:v>
                </c:pt>
                <c:pt idx="154">
                  <c:v>55</c:v>
                </c:pt>
                <c:pt idx="155">
                  <c:v>50</c:v>
                </c:pt>
                <c:pt idx="156">
                  <c:v>74</c:v>
                </c:pt>
                <c:pt idx="157">
                  <c:v>62</c:v>
                </c:pt>
                <c:pt idx="158">
                  <c:v>55</c:v>
                </c:pt>
                <c:pt idx="159">
                  <c:v>56</c:v>
                </c:pt>
                <c:pt idx="160">
                  <c:v>71</c:v>
                </c:pt>
                <c:pt idx="161">
                  <c:v>68</c:v>
                </c:pt>
                <c:pt idx="162">
                  <c:v>57</c:v>
                </c:pt>
                <c:pt idx="163">
                  <c:v>48</c:v>
                </c:pt>
                <c:pt idx="164">
                  <c:v>61</c:v>
                </c:pt>
                <c:pt idx="165">
                  <c:v>54</c:v>
                </c:pt>
                <c:pt idx="166">
                  <c:v>44</c:v>
                </c:pt>
                <c:pt idx="167">
                  <c:v>42</c:v>
                </c:pt>
                <c:pt idx="168">
                  <c:v>41</c:v>
                </c:pt>
                <c:pt idx="169">
                  <c:v>46</c:v>
                </c:pt>
                <c:pt idx="170">
                  <c:v>81</c:v>
                </c:pt>
                <c:pt idx="171">
                  <c:v>51</c:v>
                </c:pt>
                <c:pt idx="172">
                  <c:v>59</c:v>
                </c:pt>
                <c:pt idx="173">
                  <c:v>68</c:v>
                </c:pt>
                <c:pt idx="174">
                  <c:v>56</c:v>
                </c:pt>
                <c:pt idx="175">
                  <c:v>49</c:v>
                </c:pt>
                <c:pt idx="176">
                  <c:v>49</c:v>
                </c:pt>
                <c:pt idx="177">
                  <c:v>65</c:v>
                </c:pt>
                <c:pt idx="178">
                  <c:v>42</c:v>
                </c:pt>
                <c:pt idx="179">
                  <c:v>53</c:v>
                </c:pt>
                <c:pt idx="180">
                  <c:v>47</c:v>
                </c:pt>
                <c:pt idx="181">
                  <c:v>48</c:v>
                </c:pt>
                <c:pt idx="182">
                  <c:v>52</c:v>
                </c:pt>
                <c:pt idx="183">
                  <c:v>56</c:v>
                </c:pt>
                <c:pt idx="184">
                  <c:v>43</c:v>
                </c:pt>
                <c:pt idx="185">
                  <c:v>37</c:v>
                </c:pt>
                <c:pt idx="186">
                  <c:v>42</c:v>
                </c:pt>
                <c:pt idx="187">
                  <c:v>33</c:v>
                </c:pt>
                <c:pt idx="188">
                  <c:v>63</c:v>
                </c:pt>
                <c:pt idx="189">
                  <c:v>40</c:v>
                </c:pt>
                <c:pt idx="190">
                  <c:v>45</c:v>
                </c:pt>
                <c:pt idx="191">
                  <c:v>71</c:v>
                </c:pt>
                <c:pt idx="192">
                  <c:v>28</c:v>
                </c:pt>
                <c:pt idx="193">
                  <c:v>42</c:v>
                </c:pt>
                <c:pt idx="194">
                  <c:v>39</c:v>
                </c:pt>
                <c:pt idx="195">
                  <c:v>50</c:v>
                </c:pt>
                <c:pt idx="196">
                  <c:v>40</c:v>
                </c:pt>
                <c:pt idx="197">
                  <c:v>56</c:v>
                </c:pt>
                <c:pt idx="198">
                  <c:v>54</c:v>
                </c:pt>
                <c:pt idx="199">
                  <c:v>43</c:v>
                </c:pt>
                <c:pt idx="200">
                  <c:v>46</c:v>
                </c:pt>
                <c:pt idx="201">
                  <c:v>121</c:v>
                </c:pt>
                <c:pt idx="202">
                  <c:v>141</c:v>
                </c:pt>
                <c:pt idx="203">
                  <c:v>73</c:v>
                </c:pt>
                <c:pt idx="204">
                  <c:v>57</c:v>
                </c:pt>
                <c:pt idx="205">
                  <c:v>44</c:v>
                </c:pt>
                <c:pt idx="206">
                  <c:v>40</c:v>
                </c:pt>
                <c:pt idx="207">
                  <c:v>47</c:v>
                </c:pt>
                <c:pt idx="208">
                  <c:v>51</c:v>
                </c:pt>
                <c:pt idx="209">
                  <c:v>42</c:v>
                </c:pt>
                <c:pt idx="210">
                  <c:v>47</c:v>
                </c:pt>
                <c:pt idx="211">
                  <c:v>39</c:v>
                </c:pt>
                <c:pt idx="212">
                  <c:v>34</c:v>
                </c:pt>
                <c:pt idx="213">
                  <c:v>65</c:v>
                </c:pt>
                <c:pt idx="214">
                  <c:v>72</c:v>
                </c:pt>
                <c:pt idx="215">
                  <c:v>76</c:v>
                </c:pt>
                <c:pt idx="216">
                  <c:v>41</c:v>
                </c:pt>
                <c:pt idx="217">
                  <c:v>56</c:v>
                </c:pt>
                <c:pt idx="218">
                  <c:v>121</c:v>
                </c:pt>
                <c:pt idx="219">
                  <c:v>62</c:v>
                </c:pt>
                <c:pt idx="220">
                  <c:v>37</c:v>
                </c:pt>
                <c:pt idx="221">
                  <c:v>58</c:v>
                </c:pt>
                <c:pt idx="222">
                  <c:v>45</c:v>
                </c:pt>
                <c:pt idx="223">
                  <c:v>35</c:v>
                </c:pt>
                <c:pt idx="224">
                  <c:v>76</c:v>
                </c:pt>
                <c:pt idx="225">
                  <c:v>77</c:v>
                </c:pt>
                <c:pt idx="226">
                  <c:v>75</c:v>
                </c:pt>
                <c:pt idx="227">
                  <c:v>86</c:v>
                </c:pt>
                <c:pt idx="228">
                  <c:v>73</c:v>
                </c:pt>
                <c:pt idx="229">
                  <c:v>68</c:v>
                </c:pt>
                <c:pt idx="230">
                  <c:v>26</c:v>
                </c:pt>
                <c:pt idx="231">
                  <c:v>73</c:v>
                </c:pt>
                <c:pt idx="232">
                  <c:v>34</c:v>
                </c:pt>
                <c:pt idx="233">
                  <c:v>55</c:v>
                </c:pt>
                <c:pt idx="234">
                  <c:v>36</c:v>
                </c:pt>
                <c:pt idx="235">
                  <c:v>38</c:v>
                </c:pt>
                <c:pt idx="236">
                  <c:v>41</c:v>
                </c:pt>
                <c:pt idx="237">
                  <c:v>58</c:v>
                </c:pt>
              </c:numCache>
            </c:numRef>
          </c:xVal>
          <c:yVal>
            <c:numRef>
              <c:f>Graficos!$AU$520:$AU$757</c:f>
              <c:numCache>
                <c:formatCode>General</c:formatCode>
                <c:ptCount val="238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4.62</c:v>
                </c:pt>
                <c:pt idx="16">
                  <c:v>8.18</c:v>
                </c:pt>
                <c:pt idx="17">
                  <c:v>2.39</c:v>
                </c:pt>
                <c:pt idx="18">
                  <c:v>8.3800000000000008</c:v>
                </c:pt>
                <c:pt idx="19">
                  <c:v>8.52</c:v>
                </c:pt>
                <c:pt idx="20">
                  <c:v>8.39</c:v>
                </c:pt>
                <c:pt idx="21">
                  <c:v>9.43</c:v>
                </c:pt>
                <c:pt idx="22">
                  <c:v>8.57</c:v>
                </c:pt>
                <c:pt idx="23">
                  <c:v>8.57</c:v>
                </c:pt>
                <c:pt idx="24">
                  <c:v>8.84</c:v>
                </c:pt>
                <c:pt idx="25">
                  <c:v>9.0399999999999991</c:v>
                </c:pt>
                <c:pt idx="26">
                  <c:v>8.65</c:v>
                </c:pt>
                <c:pt idx="27">
                  <c:v>8.81</c:v>
                </c:pt>
                <c:pt idx="28">
                  <c:v>8.56</c:v>
                </c:pt>
                <c:pt idx="29">
                  <c:v>8.65</c:v>
                </c:pt>
                <c:pt idx="30">
                  <c:v>8.89</c:v>
                </c:pt>
                <c:pt idx="31">
                  <c:v>8.91</c:v>
                </c:pt>
                <c:pt idx="32">
                  <c:v>7.94</c:v>
                </c:pt>
                <c:pt idx="33">
                  <c:v>8.8800000000000008</c:v>
                </c:pt>
                <c:pt idx="34">
                  <c:v>8.01</c:v>
                </c:pt>
                <c:pt idx="35">
                  <c:v>8.57</c:v>
                </c:pt>
                <c:pt idx="36">
                  <c:v>8.4700000000000006</c:v>
                </c:pt>
                <c:pt idx="37">
                  <c:v>8.4499999999999993</c:v>
                </c:pt>
                <c:pt idx="38">
                  <c:v>9</c:v>
                </c:pt>
                <c:pt idx="39">
                  <c:v>8.81</c:v>
                </c:pt>
                <c:pt idx="40">
                  <c:v>8.9499999999999993</c:v>
                </c:pt>
                <c:pt idx="41">
                  <c:v>8.85</c:v>
                </c:pt>
                <c:pt idx="42">
                  <c:v>8.56</c:v>
                </c:pt>
                <c:pt idx="43">
                  <c:v>9.17</c:v>
                </c:pt>
                <c:pt idx="44">
                  <c:v>9.09</c:v>
                </c:pt>
                <c:pt idx="45">
                  <c:v>8.7899999999999991</c:v>
                </c:pt>
                <c:pt idx="46">
                  <c:v>7.95</c:v>
                </c:pt>
                <c:pt idx="47">
                  <c:v>7.79</c:v>
                </c:pt>
                <c:pt idx="48">
                  <c:v>7.66</c:v>
                </c:pt>
                <c:pt idx="49">
                  <c:v>8.94</c:v>
                </c:pt>
                <c:pt idx="50">
                  <c:v>8.67</c:v>
                </c:pt>
                <c:pt idx="51">
                  <c:v>8.6300000000000008</c:v>
                </c:pt>
                <c:pt idx="52">
                  <c:v>8.6300000000000008</c:v>
                </c:pt>
                <c:pt idx="53">
                  <c:v>8.5299999999999994</c:v>
                </c:pt>
                <c:pt idx="54">
                  <c:v>8.92</c:v>
                </c:pt>
                <c:pt idx="55">
                  <c:v>8.77</c:v>
                </c:pt>
                <c:pt idx="56">
                  <c:v>8.1300000000000008</c:v>
                </c:pt>
                <c:pt idx="57">
                  <c:v>7.61</c:v>
                </c:pt>
                <c:pt idx="58">
                  <c:v>8.5500000000000007</c:v>
                </c:pt>
                <c:pt idx="59">
                  <c:v>9.0299999999999994</c:v>
                </c:pt>
                <c:pt idx="60">
                  <c:v>8.86</c:v>
                </c:pt>
                <c:pt idx="61">
                  <c:v>8.81</c:v>
                </c:pt>
                <c:pt idx="62">
                  <c:v>8.3000000000000007</c:v>
                </c:pt>
                <c:pt idx="63">
                  <c:v>8.2799999999999994</c:v>
                </c:pt>
                <c:pt idx="64">
                  <c:v>7.7</c:v>
                </c:pt>
                <c:pt idx="65">
                  <c:v>8.59</c:v>
                </c:pt>
                <c:pt idx="66">
                  <c:v>8.4700000000000006</c:v>
                </c:pt>
                <c:pt idx="67">
                  <c:v>8.64</c:v>
                </c:pt>
                <c:pt idx="68">
                  <c:v>8.65</c:v>
                </c:pt>
                <c:pt idx="69">
                  <c:v>8.51</c:v>
                </c:pt>
                <c:pt idx="70">
                  <c:v>8.3699999999999992</c:v>
                </c:pt>
                <c:pt idx="71">
                  <c:v>8.9499999999999993</c:v>
                </c:pt>
                <c:pt idx="72">
                  <c:v>10.85</c:v>
                </c:pt>
                <c:pt idx="73">
                  <c:v>8.65</c:v>
                </c:pt>
                <c:pt idx="74">
                  <c:v>8.6</c:v>
                </c:pt>
                <c:pt idx="75">
                  <c:v>8.43</c:v>
                </c:pt>
                <c:pt idx="76">
                  <c:v>8.7799999999999994</c:v>
                </c:pt>
                <c:pt idx="77">
                  <c:v>8.83</c:v>
                </c:pt>
                <c:pt idx="78">
                  <c:v>8.9600000000000009</c:v>
                </c:pt>
                <c:pt idx="79">
                  <c:v>8.83</c:v>
                </c:pt>
                <c:pt idx="80">
                  <c:v>10.220000000000001</c:v>
                </c:pt>
                <c:pt idx="81">
                  <c:v>8.9600000000000009</c:v>
                </c:pt>
                <c:pt idx="82">
                  <c:v>8.84</c:v>
                </c:pt>
                <c:pt idx="83">
                  <c:v>8.84</c:v>
                </c:pt>
                <c:pt idx="84">
                  <c:v>8.68</c:v>
                </c:pt>
                <c:pt idx="85">
                  <c:v>8.34</c:v>
                </c:pt>
                <c:pt idx="86">
                  <c:v>8.89</c:v>
                </c:pt>
                <c:pt idx="87">
                  <c:v>8.75</c:v>
                </c:pt>
                <c:pt idx="88">
                  <c:v>8.23</c:v>
                </c:pt>
                <c:pt idx="89">
                  <c:v>8</c:v>
                </c:pt>
                <c:pt idx="90">
                  <c:v>9.34</c:v>
                </c:pt>
                <c:pt idx="91">
                  <c:v>8.5299999999999994</c:v>
                </c:pt>
                <c:pt idx="92">
                  <c:v>7.16</c:v>
                </c:pt>
                <c:pt idx="93">
                  <c:v>8.77</c:v>
                </c:pt>
                <c:pt idx="94">
                  <c:v>8.7200000000000006</c:v>
                </c:pt>
                <c:pt idx="95">
                  <c:v>8.93</c:v>
                </c:pt>
                <c:pt idx="96">
                  <c:v>8.6999999999999993</c:v>
                </c:pt>
                <c:pt idx="97">
                  <c:v>8.83</c:v>
                </c:pt>
                <c:pt idx="98">
                  <c:v>6.99</c:v>
                </c:pt>
                <c:pt idx="99">
                  <c:v>8.74</c:v>
                </c:pt>
                <c:pt idx="100">
                  <c:v>8.68</c:v>
                </c:pt>
                <c:pt idx="101">
                  <c:v>8.1999999999999993</c:v>
                </c:pt>
                <c:pt idx="102">
                  <c:v>8.5399999999999991</c:v>
                </c:pt>
                <c:pt idx="103">
                  <c:v>8.5299999999999994</c:v>
                </c:pt>
                <c:pt idx="104">
                  <c:v>8.7899999999999991</c:v>
                </c:pt>
                <c:pt idx="105">
                  <c:v>8.6199999999999992</c:v>
                </c:pt>
                <c:pt idx="106">
                  <c:v>7.2</c:v>
                </c:pt>
                <c:pt idx="107">
                  <c:v>8.34</c:v>
                </c:pt>
                <c:pt idx="108">
                  <c:v>7.95</c:v>
                </c:pt>
                <c:pt idx="109">
                  <c:v>8.8800000000000008</c:v>
                </c:pt>
                <c:pt idx="110">
                  <c:v>8.16</c:v>
                </c:pt>
                <c:pt idx="111">
                  <c:v>9.4600000000000009</c:v>
                </c:pt>
                <c:pt idx="112">
                  <c:v>9.36</c:v>
                </c:pt>
                <c:pt idx="113">
                  <c:v>8.82</c:v>
                </c:pt>
                <c:pt idx="114">
                  <c:v>8.77</c:v>
                </c:pt>
                <c:pt idx="115">
                  <c:v>8.1300000000000008</c:v>
                </c:pt>
                <c:pt idx="116">
                  <c:v>9.5299999999999994</c:v>
                </c:pt>
                <c:pt idx="117">
                  <c:v>8.5399999999999991</c:v>
                </c:pt>
                <c:pt idx="118">
                  <c:v>9</c:v>
                </c:pt>
                <c:pt idx="119">
                  <c:v>8.34</c:v>
                </c:pt>
                <c:pt idx="120">
                  <c:v>8.6999999999999993</c:v>
                </c:pt>
                <c:pt idx="121">
                  <c:v>8.5299999999999994</c:v>
                </c:pt>
                <c:pt idx="122">
                  <c:v>8.39</c:v>
                </c:pt>
                <c:pt idx="123">
                  <c:v>8.6300000000000008</c:v>
                </c:pt>
                <c:pt idx="124">
                  <c:v>9.1</c:v>
                </c:pt>
                <c:pt idx="125">
                  <c:v>8.5299999999999994</c:v>
                </c:pt>
                <c:pt idx="126">
                  <c:v>8.66</c:v>
                </c:pt>
                <c:pt idx="127">
                  <c:v>9.09</c:v>
                </c:pt>
                <c:pt idx="128">
                  <c:v>7.64</c:v>
                </c:pt>
                <c:pt idx="129">
                  <c:v>8.7899999999999991</c:v>
                </c:pt>
                <c:pt idx="130">
                  <c:v>8.2100000000000009</c:v>
                </c:pt>
                <c:pt idx="131">
                  <c:v>9.3699999999999992</c:v>
                </c:pt>
                <c:pt idx="132">
                  <c:v>9.2100000000000009</c:v>
                </c:pt>
                <c:pt idx="133">
                  <c:v>9.08</c:v>
                </c:pt>
                <c:pt idx="134">
                  <c:v>8.61</c:v>
                </c:pt>
                <c:pt idx="135">
                  <c:v>8.65</c:v>
                </c:pt>
                <c:pt idx="136">
                  <c:v>7.96</c:v>
                </c:pt>
                <c:pt idx="137">
                  <c:v>3.37</c:v>
                </c:pt>
                <c:pt idx="138">
                  <c:v>8.49</c:v>
                </c:pt>
                <c:pt idx="139">
                  <c:v>9.02</c:v>
                </c:pt>
                <c:pt idx="140">
                  <c:v>8.3699999999999992</c:v>
                </c:pt>
                <c:pt idx="141">
                  <c:v>8.3000000000000007</c:v>
                </c:pt>
                <c:pt idx="142">
                  <c:v>8.67</c:v>
                </c:pt>
                <c:pt idx="143">
                  <c:v>8.76</c:v>
                </c:pt>
                <c:pt idx="144">
                  <c:v>9.23</c:v>
                </c:pt>
                <c:pt idx="145">
                  <c:v>8.3800000000000008</c:v>
                </c:pt>
                <c:pt idx="146">
                  <c:v>8.76</c:v>
                </c:pt>
                <c:pt idx="147">
                  <c:v>8.49</c:v>
                </c:pt>
                <c:pt idx="148">
                  <c:v>8.27</c:v>
                </c:pt>
                <c:pt idx="149">
                  <c:v>9.44</c:v>
                </c:pt>
                <c:pt idx="150">
                  <c:v>9.14</c:v>
                </c:pt>
                <c:pt idx="151">
                  <c:v>8.9</c:v>
                </c:pt>
                <c:pt idx="152">
                  <c:v>8.85</c:v>
                </c:pt>
                <c:pt idx="153">
                  <c:v>8.73</c:v>
                </c:pt>
                <c:pt idx="154">
                  <c:v>8.5500000000000007</c:v>
                </c:pt>
                <c:pt idx="155">
                  <c:v>8.4600000000000009</c:v>
                </c:pt>
                <c:pt idx="156">
                  <c:v>8.25</c:v>
                </c:pt>
                <c:pt idx="157">
                  <c:v>8.27</c:v>
                </c:pt>
                <c:pt idx="158">
                  <c:v>8.1300000000000008</c:v>
                </c:pt>
                <c:pt idx="159">
                  <c:v>8.0299999999999994</c:v>
                </c:pt>
                <c:pt idx="160">
                  <c:v>7.94</c:v>
                </c:pt>
                <c:pt idx="161">
                  <c:v>7.89</c:v>
                </c:pt>
                <c:pt idx="162">
                  <c:v>7.66</c:v>
                </c:pt>
                <c:pt idx="163">
                  <c:v>8.8800000000000008</c:v>
                </c:pt>
                <c:pt idx="164">
                  <c:v>8.43</c:v>
                </c:pt>
                <c:pt idx="165">
                  <c:v>8.8800000000000008</c:v>
                </c:pt>
                <c:pt idx="166">
                  <c:v>10.39</c:v>
                </c:pt>
                <c:pt idx="167">
                  <c:v>10</c:v>
                </c:pt>
                <c:pt idx="168">
                  <c:v>9.5500000000000007</c:v>
                </c:pt>
                <c:pt idx="169">
                  <c:v>8.9700000000000006</c:v>
                </c:pt>
                <c:pt idx="170">
                  <c:v>8.9700000000000006</c:v>
                </c:pt>
                <c:pt idx="171">
                  <c:v>9.23</c:v>
                </c:pt>
                <c:pt idx="172">
                  <c:v>9.0399999999999991</c:v>
                </c:pt>
                <c:pt idx="173">
                  <c:v>8.81</c:v>
                </c:pt>
                <c:pt idx="174">
                  <c:v>8.7799999999999994</c:v>
                </c:pt>
                <c:pt idx="175">
                  <c:v>8.8800000000000008</c:v>
                </c:pt>
                <c:pt idx="176">
                  <c:v>8.4700000000000006</c:v>
                </c:pt>
                <c:pt idx="177">
                  <c:v>8.65</c:v>
                </c:pt>
                <c:pt idx="178">
                  <c:v>10.37</c:v>
                </c:pt>
                <c:pt idx="179">
                  <c:v>10.07</c:v>
                </c:pt>
                <c:pt idx="180">
                  <c:v>9.3699999999999992</c:v>
                </c:pt>
                <c:pt idx="181">
                  <c:v>9.14</c:v>
                </c:pt>
                <c:pt idx="182">
                  <c:v>8.75</c:v>
                </c:pt>
                <c:pt idx="183">
                  <c:v>8.56</c:v>
                </c:pt>
                <c:pt idx="184">
                  <c:v>8.11</c:v>
                </c:pt>
                <c:pt idx="185">
                  <c:v>7.74</c:v>
                </c:pt>
                <c:pt idx="186">
                  <c:v>7.4</c:v>
                </c:pt>
                <c:pt idx="187">
                  <c:v>8.5</c:v>
                </c:pt>
                <c:pt idx="188">
                  <c:v>7.98</c:v>
                </c:pt>
                <c:pt idx="189">
                  <c:v>8.67</c:v>
                </c:pt>
                <c:pt idx="190">
                  <c:v>8.58</c:v>
                </c:pt>
                <c:pt idx="191">
                  <c:v>8.56</c:v>
                </c:pt>
                <c:pt idx="192">
                  <c:v>8.34</c:v>
                </c:pt>
                <c:pt idx="193">
                  <c:v>8.56</c:v>
                </c:pt>
                <c:pt idx="194">
                  <c:v>8.83</c:v>
                </c:pt>
                <c:pt idx="195">
                  <c:v>7.66</c:v>
                </c:pt>
                <c:pt idx="196">
                  <c:v>8.5</c:v>
                </c:pt>
                <c:pt idx="197">
                  <c:v>8.5</c:v>
                </c:pt>
                <c:pt idx="198">
                  <c:v>8.61</c:v>
                </c:pt>
                <c:pt idx="199">
                  <c:v>9.02</c:v>
                </c:pt>
                <c:pt idx="200">
                  <c:v>8.6300000000000008</c:v>
                </c:pt>
                <c:pt idx="201">
                  <c:v>8.7799999999999994</c:v>
                </c:pt>
                <c:pt idx="202">
                  <c:v>8.52</c:v>
                </c:pt>
                <c:pt idx="203">
                  <c:v>8.9600000000000009</c:v>
                </c:pt>
                <c:pt idx="204">
                  <c:v>8.89</c:v>
                </c:pt>
                <c:pt idx="205">
                  <c:v>9</c:v>
                </c:pt>
                <c:pt idx="206">
                  <c:v>8.92</c:v>
                </c:pt>
                <c:pt idx="207">
                  <c:v>8.7899999999999991</c:v>
                </c:pt>
                <c:pt idx="208">
                  <c:v>8.6199999999999992</c:v>
                </c:pt>
                <c:pt idx="209">
                  <c:v>9.23</c:v>
                </c:pt>
                <c:pt idx="210">
                  <c:v>8.83</c:v>
                </c:pt>
                <c:pt idx="211">
                  <c:v>8.86</c:v>
                </c:pt>
                <c:pt idx="212">
                  <c:v>8.39</c:v>
                </c:pt>
                <c:pt idx="213">
                  <c:v>8.6</c:v>
                </c:pt>
                <c:pt idx="214">
                  <c:v>8.7100000000000009</c:v>
                </c:pt>
                <c:pt idx="215">
                  <c:v>8.33</c:v>
                </c:pt>
                <c:pt idx="216">
                  <c:v>8.16</c:v>
                </c:pt>
                <c:pt idx="217">
                  <c:v>8.61</c:v>
                </c:pt>
                <c:pt idx="218">
                  <c:v>8.6300000000000008</c:v>
                </c:pt>
                <c:pt idx="219">
                  <c:v>8.27</c:v>
                </c:pt>
                <c:pt idx="220">
                  <c:v>8.8699999999999992</c:v>
                </c:pt>
                <c:pt idx="221">
                  <c:v>8.83</c:v>
                </c:pt>
                <c:pt idx="222">
                  <c:v>8.8699999999999992</c:v>
                </c:pt>
                <c:pt idx="223">
                  <c:v>8.06</c:v>
                </c:pt>
                <c:pt idx="224">
                  <c:v>10.99</c:v>
                </c:pt>
                <c:pt idx="225">
                  <c:v>9.9600000000000009</c:v>
                </c:pt>
                <c:pt idx="226">
                  <c:v>9.99</c:v>
                </c:pt>
                <c:pt idx="227">
                  <c:v>9.42</c:v>
                </c:pt>
                <c:pt idx="228">
                  <c:v>9.5299999999999994</c:v>
                </c:pt>
                <c:pt idx="229">
                  <c:v>8.2200000000000006</c:v>
                </c:pt>
                <c:pt idx="230">
                  <c:v>7.84</c:v>
                </c:pt>
                <c:pt idx="231">
                  <c:v>8.06</c:v>
                </c:pt>
                <c:pt idx="232">
                  <c:v>8.4499999999999993</c:v>
                </c:pt>
                <c:pt idx="233">
                  <c:v>8.16</c:v>
                </c:pt>
                <c:pt idx="234">
                  <c:v>8.17</c:v>
                </c:pt>
                <c:pt idx="235">
                  <c:v>10.44</c:v>
                </c:pt>
                <c:pt idx="236">
                  <c:v>8.48</c:v>
                </c:pt>
                <c:pt idx="237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8D-414E-B0C9-EA124DFD4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7206095"/>
        <c:axId val="1234398415"/>
      </c:scatterChart>
      <c:valAx>
        <c:axId val="1257206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4398415"/>
        <c:crosses val="autoZero"/>
        <c:crossBetween val="midCat"/>
      </c:valAx>
      <c:valAx>
        <c:axId val="1234398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57206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canciones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Graficos!$AU$760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Graficos!$AT$761:$AT$999</c:f>
              <c:numCache>
                <c:formatCode>General</c:formatCode>
                <c:ptCount val="239"/>
                <c:pt idx="0">
                  <c:v>12</c:v>
                </c:pt>
                <c:pt idx="1">
                  <c:v>12</c:v>
                </c:pt>
                <c:pt idx="2">
                  <c:v>14</c:v>
                </c:pt>
                <c:pt idx="3">
                  <c:v>9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9</c:v>
                </c:pt>
                <c:pt idx="8">
                  <c:v>10</c:v>
                </c:pt>
                <c:pt idx="9">
                  <c:v>13</c:v>
                </c:pt>
                <c:pt idx="10">
                  <c:v>8</c:v>
                </c:pt>
                <c:pt idx="11">
                  <c:v>30</c:v>
                </c:pt>
                <c:pt idx="12">
                  <c:v>12</c:v>
                </c:pt>
                <c:pt idx="13">
                  <c:v>24</c:v>
                </c:pt>
                <c:pt idx="14">
                  <c:v>12</c:v>
                </c:pt>
                <c:pt idx="15">
                  <c:v>11</c:v>
                </c:pt>
                <c:pt idx="16">
                  <c:v>17</c:v>
                </c:pt>
                <c:pt idx="17">
                  <c:v>12</c:v>
                </c:pt>
                <c:pt idx="18">
                  <c:v>10</c:v>
                </c:pt>
                <c:pt idx="19">
                  <c:v>11</c:v>
                </c:pt>
                <c:pt idx="20">
                  <c:v>10</c:v>
                </c:pt>
                <c:pt idx="21">
                  <c:v>10</c:v>
                </c:pt>
                <c:pt idx="22">
                  <c:v>8</c:v>
                </c:pt>
                <c:pt idx="23">
                  <c:v>6</c:v>
                </c:pt>
                <c:pt idx="24">
                  <c:v>9</c:v>
                </c:pt>
                <c:pt idx="25">
                  <c:v>23</c:v>
                </c:pt>
                <c:pt idx="26">
                  <c:v>18</c:v>
                </c:pt>
                <c:pt idx="27">
                  <c:v>18</c:v>
                </c:pt>
                <c:pt idx="28">
                  <c:v>4</c:v>
                </c:pt>
                <c:pt idx="29">
                  <c:v>11</c:v>
                </c:pt>
                <c:pt idx="30">
                  <c:v>13</c:v>
                </c:pt>
                <c:pt idx="31">
                  <c:v>24</c:v>
                </c:pt>
                <c:pt idx="32">
                  <c:v>30</c:v>
                </c:pt>
                <c:pt idx="33">
                  <c:v>10</c:v>
                </c:pt>
                <c:pt idx="34">
                  <c:v>5</c:v>
                </c:pt>
                <c:pt idx="35">
                  <c:v>10</c:v>
                </c:pt>
                <c:pt idx="36">
                  <c:v>10</c:v>
                </c:pt>
                <c:pt idx="37">
                  <c:v>11</c:v>
                </c:pt>
                <c:pt idx="38">
                  <c:v>15</c:v>
                </c:pt>
                <c:pt idx="39">
                  <c:v>26</c:v>
                </c:pt>
                <c:pt idx="40">
                  <c:v>10</c:v>
                </c:pt>
                <c:pt idx="41">
                  <c:v>10</c:v>
                </c:pt>
                <c:pt idx="42">
                  <c:v>11</c:v>
                </c:pt>
                <c:pt idx="43">
                  <c:v>13</c:v>
                </c:pt>
                <c:pt idx="44">
                  <c:v>13</c:v>
                </c:pt>
                <c:pt idx="45">
                  <c:v>14</c:v>
                </c:pt>
                <c:pt idx="46">
                  <c:v>13</c:v>
                </c:pt>
                <c:pt idx="47">
                  <c:v>16</c:v>
                </c:pt>
                <c:pt idx="48">
                  <c:v>10</c:v>
                </c:pt>
                <c:pt idx="49">
                  <c:v>12</c:v>
                </c:pt>
                <c:pt idx="50">
                  <c:v>11</c:v>
                </c:pt>
                <c:pt idx="51">
                  <c:v>7</c:v>
                </c:pt>
                <c:pt idx="52">
                  <c:v>7</c:v>
                </c:pt>
                <c:pt idx="53">
                  <c:v>9</c:v>
                </c:pt>
                <c:pt idx="54">
                  <c:v>9</c:v>
                </c:pt>
                <c:pt idx="55">
                  <c:v>12</c:v>
                </c:pt>
                <c:pt idx="56">
                  <c:v>11</c:v>
                </c:pt>
                <c:pt idx="57">
                  <c:v>11</c:v>
                </c:pt>
                <c:pt idx="58">
                  <c:v>8</c:v>
                </c:pt>
                <c:pt idx="59">
                  <c:v>9</c:v>
                </c:pt>
                <c:pt idx="60">
                  <c:v>9</c:v>
                </c:pt>
                <c:pt idx="61">
                  <c:v>9</c:v>
                </c:pt>
                <c:pt idx="62">
                  <c:v>5</c:v>
                </c:pt>
                <c:pt idx="63">
                  <c:v>8</c:v>
                </c:pt>
                <c:pt idx="64">
                  <c:v>16</c:v>
                </c:pt>
                <c:pt idx="65">
                  <c:v>18</c:v>
                </c:pt>
                <c:pt idx="66">
                  <c:v>7</c:v>
                </c:pt>
                <c:pt idx="67">
                  <c:v>12</c:v>
                </c:pt>
                <c:pt idx="68">
                  <c:v>8</c:v>
                </c:pt>
                <c:pt idx="69">
                  <c:v>9</c:v>
                </c:pt>
                <c:pt idx="70">
                  <c:v>12</c:v>
                </c:pt>
                <c:pt idx="71">
                  <c:v>7</c:v>
                </c:pt>
                <c:pt idx="72">
                  <c:v>10</c:v>
                </c:pt>
                <c:pt idx="73">
                  <c:v>1</c:v>
                </c:pt>
                <c:pt idx="74">
                  <c:v>12</c:v>
                </c:pt>
                <c:pt idx="75">
                  <c:v>10</c:v>
                </c:pt>
                <c:pt idx="76">
                  <c:v>17</c:v>
                </c:pt>
                <c:pt idx="77">
                  <c:v>6</c:v>
                </c:pt>
                <c:pt idx="78">
                  <c:v>7</c:v>
                </c:pt>
                <c:pt idx="79">
                  <c:v>11</c:v>
                </c:pt>
                <c:pt idx="80">
                  <c:v>8</c:v>
                </c:pt>
                <c:pt idx="81">
                  <c:v>4</c:v>
                </c:pt>
                <c:pt idx="82">
                  <c:v>5</c:v>
                </c:pt>
                <c:pt idx="83">
                  <c:v>3</c:v>
                </c:pt>
                <c:pt idx="84">
                  <c:v>12</c:v>
                </c:pt>
                <c:pt idx="85">
                  <c:v>12</c:v>
                </c:pt>
                <c:pt idx="86">
                  <c:v>10</c:v>
                </c:pt>
                <c:pt idx="87">
                  <c:v>15</c:v>
                </c:pt>
                <c:pt idx="88">
                  <c:v>16</c:v>
                </c:pt>
                <c:pt idx="89">
                  <c:v>17</c:v>
                </c:pt>
                <c:pt idx="90">
                  <c:v>15</c:v>
                </c:pt>
                <c:pt idx="91">
                  <c:v>13</c:v>
                </c:pt>
                <c:pt idx="92">
                  <c:v>10</c:v>
                </c:pt>
                <c:pt idx="93">
                  <c:v>7</c:v>
                </c:pt>
                <c:pt idx="94">
                  <c:v>6</c:v>
                </c:pt>
                <c:pt idx="95">
                  <c:v>14</c:v>
                </c:pt>
                <c:pt idx="96">
                  <c:v>11</c:v>
                </c:pt>
                <c:pt idx="97">
                  <c:v>8</c:v>
                </c:pt>
                <c:pt idx="98">
                  <c:v>8</c:v>
                </c:pt>
                <c:pt idx="99">
                  <c:v>10</c:v>
                </c:pt>
                <c:pt idx="100">
                  <c:v>11</c:v>
                </c:pt>
                <c:pt idx="101">
                  <c:v>15</c:v>
                </c:pt>
                <c:pt idx="102">
                  <c:v>10</c:v>
                </c:pt>
                <c:pt idx="103">
                  <c:v>12</c:v>
                </c:pt>
                <c:pt idx="104">
                  <c:v>15</c:v>
                </c:pt>
                <c:pt idx="105">
                  <c:v>13</c:v>
                </c:pt>
                <c:pt idx="106">
                  <c:v>21</c:v>
                </c:pt>
                <c:pt idx="107">
                  <c:v>18</c:v>
                </c:pt>
                <c:pt idx="108">
                  <c:v>12</c:v>
                </c:pt>
                <c:pt idx="109">
                  <c:v>10</c:v>
                </c:pt>
                <c:pt idx="110">
                  <c:v>16</c:v>
                </c:pt>
                <c:pt idx="111">
                  <c:v>7</c:v>
                </c:pt>
                <c:pt idx="112">
                  <c:v>5</c:v>
                </c:pt>
                <c:pt idx="113">
                  <c:v>5</c:v>
                </c:pt>
                <c:pt idx="114">
                  <c:v>7</c:v>
                </c:pt>
                <c:pt idx="115">
                  <c:v>6</c:v>
                </c:pt>
                <c:pt idx="116">
                  <c:v>5</c:v>
                </c:pt>
                <c:pt idx="117">
                  <c:v>8</c:v>
                </c:pt>
                <c:pt idx="118">
                  <c:v>10</c:v>
                </c:pt>
                <c:pt idx="119">
                  <c:v>13</c:v>
                </c:pt>
                <c:pt idx="120">
                  <c:v>13</c:v>
                </c:pt>
                <c:pt idx="121">
                  <c:v>5</c:v>
                </c:pt>
                <c:pt idx="122">
                  <c:v>13</c:v>
                </c:pt>
                <c:pt idx="123">
                  <c:v>13</c:v>
                </c:pt>
                <c:pt idx="124">
                  <c:v>15</c:v>
                </c:pt>
                <c:pt idx="125">
                  <c:v>9</c:v>
                </c:pt>
                <c:pt idx="126">
                  <c:v>8</c:v>
                </c:pt>
                <c:pt idx="127">
                  <c:v>11</c:v>
                </c:pt>
                <c:pt idx="128">
                  <c:v>9</c:v>
                </c:pt>
                <c:pt idx="129">
                  <c:v>11</c:v>
                </c:pt>
                <c:pt idx="130">
                  <c:v>9</c:v>
                </c:pt>
                <c:pt idx="131">
                  <c:v>10</c:v>
                </c:pt>
                <c:pt idx="132">
                  <c:v>8</c:v>
                </c:pt>
                <c:pt idx="133">
                  <c:v>8</c:v>
                </c:pt>
                <c:pt idx="134">
                  <c:v>9</c:v>
                </c:pt>
                <c:pt idx="135">
                  <c:v>10</c:v>
                </c:pt>
                <c:pt idx="136">
                  <c:v>12</c:v>
                </c:pt>
                <c:pt idx="137">
                  <c:v>14</c:v>
                </c:pt>
                <c:pt idx="138">
                  <c:v>11</c:v>
                </c:pt>
                <c:pt idx="139">
                  <c:v>13</c:v>
                </c:pt>
                <c:pt idx="140">
                  <c:v>9</c:v>
                </c:pt>
                <c:pt idx="141">
                  <c:v>5</c:v>
                </c:pt>
                <c:pt idx="142">
                  <c:v>10</c:v>
                </c:pt>
                <c:pt idx="143">
                  <c:v>11</c:v>
                </c:pt>
                <c:pt idx="144">
                  <c:v>10</c:v>
                </c:pt>
                <c:pt idx="145">
                  <c:v>7</c:v>
                </c:pt>
                <c:pt idx="146">
                  <c:v>8</c:v>
                </c:pt>
                <c:pt idx="147">
                  <c:v>14</c:v>
                </c:pt>
                <c:pt idx="148">
                  <c:v>15</c:v>
                </c:pt>
                <c:pt idx="149">
                  <c:v>10</c:v>
                </c:pt>
                <c:pt idx="150">
                  <c:v>7</c:v>
                </c:pt>
                <c:pt idx="151">
                  <c:v>8</c:v>
                </c:pt>
                <c:pt idx="152">
                  <c:v>6</c:v>
                </c:pt>
                <c:pt idx="153">
                  <c:v>7</c:v>
                </c:pt>
                <c:pt idx="154">
                  <c:v>8</c:v>
                </c:pt>
                <c:pt idx="155">
                  <c:v>7</c:v>
                </c:pt>
                <c:pt idx="156">
                  <c:v>8</c:v>
                </c:pt>
                <c:pt idx="157">
                  <c:v>5</c:v>
                </c:pt>
                <c:pt idx="158">
                  <c:v>9</c:v>
                </c:pt>
                <c:pt idx="159">
                  <c:v>8</c:v>
                </c:pt>
                <c:pt idx="160">
                  <c:v>11</c:v>
                </c:pt>
                <c:pt idx="161">
                  <c:v>7</c:v>
                </c:pt>
                <c:pt idx="162">
                  <c:v>10</c:v>
                </c:pt>
                <c:pt idx="163">
                  <c:v>10</c:v>
                </c:pt>
                <c:pt idx="164">
                  <c:v>7</c:v>
                </c:pt>
                <c:pt idx="165">
                  <c:v>10</c:v>
                </c:pt>
                <c:pt idx="166">
                  <c:v>11</c:v>
                </c:pt>
                <c:pt idx="167">
                  <c:v>5</c:v>
                </c:pt>
                <c:pt idx="168">
                  <c:v>10</c:v>
                </c:pt>
                <c:pt idx="169">
                  <c:v>5</c:v>
                </c:pt>
                <c:pt idx="170">
                  <c:v>6</c:v>
                </c:pt>
                <c:pt idx="171">
                  <c:v>26</c:v>
                </c:pt>
                <c:pt idx="172">
                  <c:v>6</c:v>
                </c:pt>
                <c:pt idx="173">
                  <c:v>9</c:v>
                </c:pt>
                <c:pt idx="174">
                  <c:v>12</c:v>
                </c:pt>
                <c:pt idx="175">
                  <c:v>10</c:v>
                </c:pt>
                <c:pt idx="176">
                  <c:v>11</c:v>
                </c:pt>
                <c:pt idx="177">
                  <c:v>11</c:v>
                </c:pt>
                <c:pt idx="178">
                  <c:v>14</c:v>
                </c:pt>
                <c:pt idx="179">
                  <c:v>10</c:v>
                </c:pt>
                <c:pt idx="180">
                  <c:v>12</c:v>
                </c:pt>
                <c:pt idx="181">
                  <c:v>11</c:v>
                </c:pt>
                <c:pt idx="182">
                  <c:v>12</c:v>
                </c:pt>
                <c:pt idx="183">
                  <c:v>11</c:v>
                </c:pt>
                <c:pt idx="184">
                  <c:v>14</c:v>
                </c:pt>
                <c:pt idx="185">
                  <c:v>11</c:v>
                </c:pt>
                <c:pt idx="186">
                  <c:v>8</c:v>
                </c:pt>
                <c:pt idx="187">
                  <c:v>12</c:v>
                </c:pt>
                <c:pt idx="188">
                  <c:v>6</c:v>
                </c:pt>
                <c:pt idx="189">
                  <c:v>9</c:v>
                </c:pt>
                <c:pt idx="190">
                  <c:v>7</c:v>
                </c:pt>
                <c:pt idx="191">
                  <c:v>9</c:v>
                </c:pt>
                <c:pt idx="192">
                  <c:v>10</c:v>
                </c:pt>
                <c:pt idx="193">
                  <c:v>10</c:v>
                </c:pt>
                <c:pt idx="194">
                  <c:v>14</c:v>
                </c:pt>
                <c:pt idx="195">
                  <c:v>6</c:v>
                </c:pt>
                <c:pt idx="196">
                  <c:v>15</c:v>
                </c:pt>
                <c:pt idx="197">
                  <c:v>10</c:v>
                </c:pt>
                <c:pt idx="198">
                  <c:v>12</c:v>
                </c:pt>
                <c:pt idx="199">
                  <c:v>6</c:v>
                </c:pt>
                <c:pt idx="200">
                  <c:v>7</c:v>
                </c:pt>
                <c:pt idx="201">
                  <c:v>10</c:v>
                </c:pt>
                <c:pt idx="202">
                  <c:v>10</c:v>
                </c:pt>
                <c:pt idx="203">
                  <c:v>26</c:v>
                </c:pt>
                <c:pt idx="204">
                  <c:v>12</c:v>
                </c:pt>
                <c:pt idx="205">
                  <c:v>13</c:v>
                </c:pt>
                <c:pt idx="206">
                  <c:v>15</c:v>
                </c:pt>
                <c:pt idx="207">
                  <c:v>4</c:v>
                </c:pt>
                <c:pt idx="208">
                  <c:v>9</c:v>
                </c:pt>
                <c:pt idx="209">
                  <c:v>13</c:v>
                </c:pt>
                <c:pt idx="210">
                  <c:v>10</c:v>
                </c:pt>
                <c:pt idx="211">
                  <c:v>17</c:v>
                </c:pt>
                <c:pt idx="212">
                  <c:v>13</c:v>
                </c:pt>
                <c:pt idx="213">
                  <c:v>14</c:v>
                </c:pt>
                <c:pt idx="214">
                  <c:v>19</c:v>
                </c:pt>
                <c:pt idx="215">
                  <c:v>12</c:v>
                </c:pt>
                <c:pt idx="216">
                  <c:v>19</c:v>
                </c:pt>
                <c:pt idx="217">
                  <c:v>8</c:v>
                </c:pt>
                <c:pt idx="218">
                  <c:v>10</c:v>
                </c:pt>
                <c:pt idx="219">
                  <c:v>28</c:v>
                </c:pt>
                <c:pt idx="220">
                  <c:v>13</c:v>
                </c:pt>
                <c:pt idx="221">
                  <c:v>10</c:v>
                </c:pt>
                <c:pt idx="222">
                  <c:v>12</c:v>
                </c:pt>
                <c:pt idx="223">
                  <c:v>9</c:v>
                </c:pt>
                <c:pt idx="224">
                  <c:v>11</c:v>
                </c:pt>
                <c:pt idx="225">
                  <c:v>12</c:v>
                </c:pt>
                <c:pt idx="226">
                  <c:v>15</c:v>
                </c:pt>
                <c:pt idx="227">
                  <c:v>11</c:v>
                </c:pt>
                <c:pt idx="228">
                  <c:v>10</c:v>
                </c:pt>
                <c:pt idx="229">
                  <c:v>8</c:v>
                </c:pt>
                <c:pt idx="230">
                  <c:v>10</c:v>
                </c:pt>
                <c:pt idx="231">
                  <c:v>6</c:v>
                </c:pt>
                <c:pt idx="232">
                  <c:v>19</c:v>
                </c:pt>
                <c:pt idx="233">
                  <c:v>9</c:v>
                </c:pt>
                <c:pt idx="234">
                  <c:v>15</c:v>
                </c:pt>
                <c:pt idx="235">
                  <c:v>9</c:v>
                </c:pt>
                <c:pt idx="236">
                  <c:v>3</c:v>
                </c:pt>
                <c:pt idx="237">
                  <c:v>9</c:v>
                </c:pt>
                <c:pt idx="238">
                  <c:v>14</c:v>
                </c:pt>
              </c:numCache>
            </c:numRef>
          </c:xVal>
          <c:yVal>
            <c:numRef>
              <c:f>Graficos!$AU$761:$AU$999</c:f>
              <c:numCache>
                <c:formatCode>General</c:formatCode>
                <c:ptCount val="239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8.81</c:v>
                </c:pt>
                <c:pt idx="29">
                  <c:v>8.56</c:v>
                </c:pt>
                <c:pt idx="30">
                  <c:v>8.65</c:v>
                </c:pt>
                <c:pt idx="31">
                  <c:v>8.89</c:v>
                </c:pt>
                <c:pt idx="32">
                  <c:v>8.91</c:v>
                </c:pt>
                <c:pt idx="33">
                  <c:v>7.94</c:v>
                </c:pt>
                <c:pt idx="34">
                  <c:v>8.8800000000000008</c:v>
                </c:pt>
                <c:pt idx="35">
                  <c:v>8.01</c:v>
                </c:pt>
                <c:pt idx="36">
                  <c:v>8.57</c:v>
                </c:pt>
                <c:pt idx="37">
                  <c:v>8.4700000000000006</c:v>
                </c:pt>
                <c:pt idx="38">
                  <c:v>8.4499999999999993</c:v>
                </c:pt>
                <c:pt idx="39">
                  <c:v>9</c:v>
                </c:pt>
                <c:pt idx="40">
                  <c:v>8.81</c:v>
                </c:pt>
                <c:pt idx="41">
                  <c:v>8.9499999999999993</c:v>
                </c:pt>
                <c:pt idx="42">
                  <c:v>8.85</c:v>
                </c:pt>
                <c:pt idx="43">
                  <c:v>8.56</c:v>
                </c:pt>
                <c:pt idx="44">
                  <c:v>9.17</c:v>
                </c:pt>
                <c:pt idx="45">
                  <c:v>9.09</c:v>
                </c:pt>
                <c:pt idx="46">
                  <c:v>8.7899999999999991</c:v>
                </c:pt>
                <c:pt idx="47">
                  <c:v>7.95</c:v>
                </c:pt>
                <c:pt idx="48">
                  <c:v>7.79</c:v>
                </c:pt>
                <c:pt idx="49">
                  <c:v>7.66</c:v>
                </c:pt>
                <c:pt idx="50">
                  <c:v>8.94</c:v>
                </c:pt>
                <c:pt idx="51">
                  <c:v>8.67</c:v>
                </c:pt>
                <c:pt idx="52">
                  <c:v>8.6300000000000008</c:v>
                </c:pt>
                <c:pt idx="53">
                  <c:v>8.6300000000000008</c:v>
                </c:pt>
                <c:pt idx="54">
                  <c:v>8.5299999999999994</c:v>
                </c:pt>
                <c:pt idx="55">
                  <c:v>8.92</c:v>
                </c:pt>
                <c:pt idx="56">
                  <c:v>8.77</c:v>
                </c:pt>
                <c:pt idx="57">
                  <c:v>8.1300000000000008</c:v>
                </c:pt>
                <c:pt idx="58">
                  <c:v>7.61</c:v>
                </c:pt>
                <c:pt idx="59">
                  <c:v>8.5500000000000007</c:v>
                </c:pt>
                <c:pt idx="60">
                  <c:v>9.0299999999999994</c:v>
                </c:pt>
                <c:pt idx="61">
                  <c:v>8.86</c:v>
                </c:pt>
                <c:pt idx="62">
                  <c:v>8.81</c:v>
                </c:pt>
                <c:pt idx="63">
                  <c:v>8.3000000000000007</c:v>
                </c:pt>
                <c:pt idx="64">
                  <c:v>8.2799999999999994</c:v>
                </c:pt>
                <c:pt idx="65">
                  <c:v>7.7</c:v>
                </c:pt>
                <c:pt idx="66">
                  <c:v>8.59</c:v>
                </c:pt>
                <c:pt idx="67">
                  <c:v>8.4700000000000006</c:v>
                </c:pt>
                <c:pt idx="68">
                  <c:v>8.64</c:v>
                </c:pt>
                <c:pt idx="69">
                  <c:v>8.65</c:v>
                </c:pt>
                <c:pt idx="70">
                  <c:v>8.51</c:v>
                </c:pt>
                <c:pt idx="71">
                  <c:v>8.3699999999999992</c:v>
                </c:pt>
                <c:pt idx="72">
                  <c:v>8.9499999999999993</c:v>
                </c:pt>
                <c:pt idx="73">
                  <c:v>10.85</c:v>
                </c:pt>
                <c:pt idx="74">
                  <c:v>8.65</c:v>
                </c:pt>
                <c:pt idx="75">
                  <c:v>8.6</c:v>
                </c:pt>
                <c:pt idx="76">
                  <c:v>8.43</c:v>
                </c:pt>
                <c:pt idx="77">
                  <c:v>8.7799999999999994</c:v>
                </c:pt>
                <c:pt idx="78">
                  <c:v>8.83</c:v>
                </c:pt>
                <c:pt idx="79">
                  <c:v>8.9600000000000009</c:v>
                </c:pt>
                <c:pt idx="80">
                  <c:v>8.83</c:v>
                </c:pt>
                <c:pt idx="81">
                  <c:v>10.220000000000001</c:v>
                </c:pt>
                <c:pt idx="82">
                  <c:v>8.9600000000000009</c:v>
                </c:pt>
                <c:pt idx="83">
                  <c:v>8.84</c:v>
                </c:pt>
                <c:pt idx="84">
                  <c:v>8.84</c:v>
                </c:pt>
                <c:pt idx="85">
                  <c:v>8.68</c:v>
                </c:pt>
                <c:pt idx="86">
                  <c:v>8.34</c:v>
                </c:pt>
                <c:pt idx="87">
                  <c:v>8.89</c:v>
                </c:pt>
                <c:pt idx="88">
                  <c:v>8.75</c:v>
                </c:pt>
                <c:pt idx="89">
                  <c:v>8.23</c:v>
                </c:pt>
                <c:pt idx="90">
                  <c:v>8</c:v>
                </c:pt>
                <c:pt idx="91">
                  <c:v>9.34</c:v>
                </c:pt>
                <c:pt idx="92">
                  <c:v>8.5299999999999994</c:v>
                </c:pt>
                <c:pt idx="93">
                  <c:v>7.16</c:v>
                </c:pt>
                <c:pt idx="94">
                  <c:v>8.77</c:v>
                </c:pt>
                <c:pt idx="95">
                  <c:v>8.7200000000000006</c:v>
                </c:pt>
                <c:pt idx="96">
                  <c:v>8.93</c:v>
                </c:pt>
                <c:pt idx="97">
                  <c:v>8.6999999999999993</c:v>
                </c:pt>
                <c:pt idx="98">
                  <c:v>8.83</c:v>
                </c:pt>
                <c:pt idx="99">
                  <c:v>6.99</c:v>
                </c:pt>
                <c:pt idx="100">
                  <c:v>8.74</c:v>
                </c:pt>
                <c:pt idx="101">
                  <c:v>8.68</c:v>
                </c:pt>
                <c:pt idx="102">
                  <c:v>8.1999999999999993</c:v>
                </c:pt>
                <c:pt idx="103">
                  <c:v>8.5399999999999991</c:v>
                </c:pt>
                <c:pt idx="104">
                  <c:v>8.5299999999999994</c:v>
                </c:pt>
                <c:pt idx="105">
                  <c:v>8.7899999999999991</c:v>
                </c:pt>
                <c:pt idx="106">
                  <c:v>8.6199999999999992</c:v>
                </c:pt>
                <c:pt idx="107">
                  <c:v>7.2</c:v>
                </c:pt>
                <c:pt idx="108">
                  <c:v>8.34</c:v>
                </c:pt>
                <c:pt idx="109">
                  <c:v>7.95</c:v>
                </c:pt>
                <c:pt idx="110">
                  <c:v>8.8800000000000008</c:v>
                </c:pt>
                <c:pt idx="111">
                  <c:v>8.16</c:v>
                </c:pt>
                <c:pt idx="112">
                  <c:v>9.4600000000000009</c:v>
                </c:pt>
                <c:pt idx="113">
                  <c:v>9.36</c:v>
                </c:pt>
                <c:pt idx="114">
                  <c:v>8.82</c:v>
                </c:pt>
                <c:pt idx="115">
                  <c:v>8.77</c:v>
                </c:pt>
                <c:pt idx="116">
                  <c:v>8.1300000000000008</c:v>
                </c:pt>
                <c:pt idx="117">
                  <c:v>9.5299999999999994</c:v>
                </c:pt>
                <c:pt idx="118">
                  <c:v>8.5399999999999991</c:v>
                </c:pt>
                <c:pt idx="119">
                  <c:v>9</c:v>
                </c:pt>
                <c:pt idx="120">
                  <c:v>8.34</c:v>
                </c:pt>
                <c:pt idx="121">
                  <c:v>8.6999999999999993</c:v>
                </c:pt>
                <c:pt idx="122">
                  <c:v>8.5299999999999994</c:v>
                </c:pt>
                <c:pt idx="123">
                  <c:v>8.39</c:v>
                </c:pt>
                <c:pt idx="124">
                  <c:v>8.6300000000000008</c:v>
                </c:pt>
                <c:pt idx="125">
                  <c:v>9.1</c:v>
                </c:pt>
                <c:pt idx="126">
                  <c:v>8.5299999999999994</c:v>
                </c:pt>
                <c:pt idx="127">
                  <c:v>8.66</c:v>
                </c:pt>
                <c:pt idx="128">
                  <c:v>9.09</c:v>
                </c:pt>
                <c:pt idx="129">
                  <c:v>7.64</c:v>
                </c:pt>
                <c:pt idx="130">
                  <c:v>8.7899999999999991</c:v>
                </c:pt>
                <c:pt idx="131">
                  <c:v>8.2100000000000009</c:v>
                </c:pt>
                <c:pt idx="132">
                  <c:v>9.3699999999999992</c:v>
                </c:pt>
                <c:pt idx="133">
                  <c:v>9.2100000000000009</c:v>
                </c:pt>
                <c:pt idx="134">
                  <c:v>9.08</c:v>
                </c:pt>
                <c:pt idx="135">
                  <c:v>8.61</c:v>
                </c:pt>
                <c:pt idx="136">
                  <c:v>8.65</c:v>
                </c:pt>
                <c:pt idx="137">
                  <c:v>7.96</c:v>
                </c:pt>
                <c:pt idx="138">
                  <c:v>3.37</c:v>
                </c:pt>
                <c:pt idx="139">
                  <c:v>8.49</c:v>
                </c:pt>
                <c:pt idx="140">
                  <c:v>9.02</c:v>
                </c:pt>
                <c:pt idx="141">
                  <c:v>8.3699999999999992</c:v>
                </c:pt>
                <c:pt idx="142">
                  <c:v>8.3000000000000007</c:v>
                </c:pt>
                <c:pt idx="143">
                  <c:v>8.67</c:v>
                </c:pt>
                <c:pt idx="144">
                  <c:v>8.76</c:v>
                </c:pt>
                <c:pt idx="145">
                  <c:v>9.23</c:v>
                </c:pt>
                <c:pt idx="146">
                  <c:v>8.3800000000000008</c:v>
                </c:pt>
                <c:pt idx="147">
                  <c:v>8.76</c:v>
                </c:pt>
                <c:pt idx="148">
                  <c:v>8.49</c:v>
                </c:pt>
                <c:pt idx="149">
                  <c:v>8.27</c:v>
                </c:pt>
                <c:pt idx="150">
                  <c:v>9.44</c:v>
                </c:pt>
                <c:pt idx="151">
                  <c:v>9.14</c:v>
                </c:pt>
                <c:pt idx="152">
                  <c:v>8.9</c:v>
                </c:pt>
                <c:pt idx="153">
                  <c:v>8.85</c:v>
                </c:pt>
                <c:pt idx="154">
                  <c:v>8.73</c:v>
                </c:pt>
                <c:pt idx="155">
                  <c:v>8.5500000000000007</c:v>
                </c:pt>
                <c:pt idx="156">
                  <c:v>8.4600000000000009</c:v>
                </c:pt>
                <c:pt idx="157">
                  <c:v>8.25</c:v>
                </c:pt>
                <c:pt idx="158">
                  <c:v>8.27</c:v>
                </c:pt>
                <c:pt idx="159">
                  <c:v>8.1300000000000008</c:v>
                </c:pt>
                <c:pt idx="160">
                  <c:v>8.0299999999999994</c:v>
                </c:pt>
                <c:pt idx="161">
                  <c:v>7.94</c:v>
                </c:pt>
                <c:pt idx="162">
                  <c:v>7.89</c:v>
                </c:pt>
                <c:pt idx="163">
                  <c:v>7.66</c:v>
                </c:pt>
                <c:pt idx="164">
                  <c:v>8.8800000000000008</c:v>
                </c:pt>
                <c:pt idx="165">
                  <c:v>8.43</c:v>
                </c:pt>
                <c:pt idx="166">
                  <c:v>8.8800000000000008</c:v>
                </c:pt>
                <c:pt idx="167">
                  <c:v>10.39</c:v>
                </c:pt>
                <c:pt idx="168">
                  <c:v>10</c:v>
                </c:pt>
                <c:pt idx="169">
                  <c:v>9.5500000000000007</c:v>
                </c:pt>
                <c:pt idx="170">
                  <c:v>8.9700000000000006</c:v>
                </c:pt>
                <c:pt idx="171">
                  <c:v>8.9700000000000006</c:v>
                </c:pt>
                <c:pt idx="172">
                  <c:v>9.23</c:v>
                </c:pt>
                <c:pt idx="173">
                  <c:v>9.0399999999999991</c:v>
                </c:pt>
                <c:pt idx="174">
                  <c:v>8.81</c:v>
                </c:pt>
                <c:pt idx="175">
                  <c:v>8.7799999999999994</c:v>
                </c:pt>
                <c:pt idx="176">
                  <c:v>8.8800000000000008</c:v>
                </c:pt>
                <c:pt idx="177">
                  <c:v>8.4700000000000006</c:v>
                </c:pt>
                <c:pt idx="178">
                  <c:v>8.65</c:v>
                </c:pt>
                <c:pt idx="179">
                  <c:v>10.37</c:v>
                </c:pt>
                <c:pt idx="180">
                  <c:v>10.07</c:v>
                </c:pt>
                <c:pt idx="181">
                  <c:v>9.3699999999999992</c:v>
                </c:pt>
                <c:pt idx="182">
                  <c:v>9.14</c:v>
                </c:pt>
                <c:pt idx="183">
                  <c:v>8.75</c:v>
                </c:pt>
                <c:pt idx="184">
                  <c:v>8.56</c:v>
                </c:pt>
                <c:pt idx="185">
                  <c:v>8.11</c:v>
                </c:pt>
                <c:pt idx="186">
                  <c:v>7.74</c:v>
                </c:pt>
                <c:pt idx="187">
                  <c:v>7.4</c:v>
                </c:pt>
                <c:pt idx="188">
                  <c:v>8.5</c:v>
                </c:pt>
                <c:pt idx="189">
                  <c:v>7.98</c:v>
                </c:pt>
                <c:pt idx="190">
                  <c:v>8.67</c:v>
                </c:pt>
                <c:pt idx="191">
                  <c:v>8.58</c:v>
                </c:pt>
                <c:pt idx="192">
                  <c:v>8.56</c:v>
                </c:pt>
                <c:pt idx="193">
                  <c:v>8.34</c:v>
                </c:pt>
                <c:pt idx="194">
                  <c:v>8.56</c:v>
                </c:pt>
                <c:pt idx="195">
                  <c:v>8.83</c:v>
                </c:pt>
                <c:pt idx="196">
                  <c:v>7.66</c:v>
                </c:pt>
                <c:pt idx="197">
                  <c:v>8.5</c:v>
                </c:pt>
                <c:pt idx="198">
                  <c:v>8.5</c:v>
                </c:pt>
                <c:pt idx="199">
                  <c:v>8.61</c:v>
                </c:pt>
                <c:pt idx="200">
                  <c:v>9.02</c:v>
                </c:pt>
                <c:pt idx="201">
                  <c:v>8.6300000000000008</c:v>
                </c:pt>
                <c:pt idx="202">
                  <c:v>8.7799999999999994</c:v>
                </c:pt>
                <c:pt idx="203">
                  <c:v>8.52</c:v>
                </c:pt>
                <c:pt idx="204">
                  <c:v>8.9600000000000009</c:v>
                </c:pt>
                <c:pt idx="205">
                  <c:v>8.89</c:v>
                </c:pt>
                <c:pt idx="206">
                  <c:v>9</c:v>
                </c:pt>
                <c:pt idx="207">
                  <c:v>8.92</c:v>
                </c:pt>
                <c:pt idx="208">
                  <c:v>8.7899999999999991</c:v>
                </c:pt>
                <c:pt idx="209">
                  <c:v>8.6199999999999992</c:v>
                </c:pt>
                <c:pt idx="210">
                  <c:v>9.23</c:v>
                </c:pt>
                <c:pt idx="211">
                  <c:v>8.83</c:v>
                </c:pt>
                <c:pt idx="212">
                  <c:v>8.86</c:v>
                </c:pt>
                <c:pt idx="213">
                  <c:v>8.39</c:v>
                </c:pt>
                <c:pt idx="214">
                  <c:v>8.6</c:v>
                </c:pt>
                <c:pt idx="215">
                  <c:v>8.7100000000000009</c:v>
                </c:pt>
                <c:pt idx="216">
                  <c:v>8.33</c:v>
                </c:pt>
                <c:pt idx="217">
                  <c:v>8.16</c:v>
                </c:pt>
                <c:pt idx="218">
                  <c:v>8.61</c:v>
                </c:pt>
                <c:pt idx="219">
                  <c:v>8.6300000000000008</c:v>
                </c:pt>
                <c:pt idx="220">
                  <c:v>8.27</c:v>
                </c:pt>
                <c:pt idx="221">
                  <c:v>8.8699999999999992</c:v>
                </c:pt>
                <c:pt idx="222">
                  <c:v>8.83</c:v>
                </c:pt>
                <c:pt idx="223">
                  <c:v>8.8699999999999992</c:v>
                </c:pt>
                <c:pt idx="224">
                  <c:v>8.06</c:v>
                </c:pt>
                <c:pt idx="225">
                  <c:v>10.99</c:v>
                </c:pt>
                <c:pt idx="226">
                  <c:v>9.9600000000000009</c:v>
                </c:pt>
                <c:pt idx="227">
                  <c:v>9.99</c:v>
                </c:pt>
                <c:pt idx="228">
                  <c:v>9.42</c:v>
                </c:pt>
                <c:pt idx="229">
                  <c:v>9.5299999999999994</c:v>
                </c:pt>
                <c:pt idx="230">
                  <c:v>8.2200000000000006</c:v>
                </c:pt>
                <c:pt idx="231">
                  <c:v>7.84</c:v>
                </c:pt>
                <c:pt idx="232">
                  <c:v>8.06</c:v>
                </c:pt>
                <c:pt idx="233">
                  <c:v>8.4499999999999993</c:v>
                </c:pt>
                <c:pt idx="234">
                  <c:v>8.16</c:v>
                </c:pt>
                <c:pt idx="235">
                  <c:v>8.17</c:v>
                </c:pt>
                <c:pt idx="236">
                  <c:v>10.44</c:v>
                </c:pt>
                <c:pt idx="237">
                  <c:v>8.48</c:v>
                </c:pt>
                <c:pt idx="238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83-4336-A27D-EE82CEA8C2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7192175"/>
        <c:axId val="1234403695"/>
      </c:scatterChart>
      <c:valAx>
        <c:axId val="12571921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4403695"/>
        <c:crosses val="autoZero"/>
        <c:crossBetween val="midCat"/>
      </c:valAx>
      <c:valAx>
        <c:axId val="1234403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571921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Consistencia (desv. típica)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Graficos!$AU$1002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Graficos!$AT$1003:$AT$1241</c:f>
              <c:numCache>
                <c:formatCode>General</c:formatCode>
                <c:ptCount val="239"/>
                <c:pt idx="0">
                  <c:v>0.95</c:v>
                </c:pt>
                <c:pt idx="1">
                  <c:v>0.87</c:v>
                </c:pt>
                <c:pt idx="2">
                  <c:v>0.81</c:v>
                </c:pt>
                <c:pt idx="3">
                  <c:v>0.57999999999999996</c:v>
                </c:pt>
                <c:pt idx="4">
                  <c:v>0.65</c:v>
                </c:pt>
                <c:pt idx="5">
                  <c:v>0.75</c:v>
                </c:pt>
                <c:pt idx="6">
                  <c:v>1.06</c:v>
                </c:pt>
                <c:pt idx="7">
                  <c:v>0.39</c:v>
                </c:pt>
                <c:pt idx="8">
                  <c:v>0.68</c:v>
                </c:pt>
                <c:pt idx="9">
                  <c:v>0.75</c:v>
                </c:pt>
                <c:pt idx="10">
                  <c:v>1.06</c:v>
                </c:pt>
                <c:pt idx="11">
                  <c:v>0.65</c:v>
                </c:pt>
                <c:pt idx="12">
                  <c:v>0.89</c:v>
                </c:pt>
                <c:pt idx="13">
                  <c:v>0.89</c:v>
                </c:pt>
                <c:pt idx="14">
                  <c:v>0.72</c:v>
                </c:pt>
                <c:pt idx="15">
                  <c:v>0.61</c:v>
                </c:pt>
                <c:pt idx="16">
                  <c:v>1.72</c:v>
                </c:pt>
                <c:pt idx="17">
                  <c:v>0.6</c:v>
                </c:pt>
                <c:pt idx="18">
                  <c:v>1.3</c:v>
                </c:pt>
                <c:pt idx="19">
                  <c:v>0.78</c:v>
                </c:pt>
                <c:pt idx="20">
                  <c:v>0.66</c:v>
                </c:pt>
                <c:pt idx="21">
                  <c:v>0.55000000000000004</c:v>
                </c:pt>
                <c:pt idx="22">
                  <c:v>0.75</c:v>
                </c:pt>
                <c:pt idx="23">
                  <c:v>0.75</c:v>
                </c:pt>
                <c:pt idx="24">
                  <c:v>0.67</c:v>
                </c:pt>
                <c:pt idx="25">
                  <c:v>0.79</c:v>
                </c:pt>
                <c:pt idx="26">
                  <c:v>0.87</c:v>
                </c:pt>
                <c:pt idx="27">
                  <c:v>0.61</c:v>
                </c:pt>
                <c:pt idx="28">
                  <c:v>0.74</c:v>
                </c:pt>
                <c:pt idx="29">
                  <c:v>0.5</c:v>
                </c:pt>
                <c:pt idx="30">
                  <c:v>0.54</c:v>
                </c:pt>
                <c:pt idx="31">
                  <c:v>1.03</c:v>
                </c:pt>
                <c:pt idx="32">
                  <c:v>0.85</c:v>
                </c:pt>
                <c:pt idx="33">
                  <c:v>0.45</c:v>
                </c:pt>
                <c:pt idx="34">
                  <c:v>0.66</c:v>
                </c:pt>
                <c:pt idx="35">
                  <c:v>0.81</c:v>
                </c:pt>
                <c:pt idx="36">
                  <c:v>0.82</c:v>
                </c:pt>
                <c:pt idx="37">
                  <c:v>0.78</c:v>
                </c:pt>
                <c:pt idx="38">
                  <c:v>0.96</c:v>
                </c:pt>
                <c:pt idx="39">
                  <c:v>0.98</c:v>
                </c:pt>
                <c:pt idx="40">
                  <c:v>0.98</c:v>
                </c:pt>
                <c:pt idx="41">
                  <c:v>0.76</c:v>
                </c:pt>
                <c:pt idx="42">
                  <c:v>0.96</c:v>
                </c:pt>
                <c:pt idx="43">
                  <c:v>0.72</c:v>
                </c:pt>
                <c:pt idx="44">
                  <c:v>0.73</c:v>
                </c:pt>
                <c:pt idx="45">
                  <c:v>0.85</c:v>
                </c:pt>
                <c:pt idx="46">
                  <c:v>0.99</c:v>
                </c:pt>
                <c:pt idx="47">
                  <c:v>1.07</c:v>
                </c:pt>
                <c:pt idx="48">
                  <c:v>0.88</c:v>
                </c:pt>
                <c:pt idx="49">
                  <c:v>0.59</c:v>
                </c:pt>
                <c:pt idx="50">
                  <c:v>0.74</c:v>
                </c:pt>
                <c:pt idx="51">
                  <c:v>0.7</c:v>
                </c:pt>
                <c:pt idx="52">
                  <c:v>0.8</c:v>
                </c:pt>
                <c:pt idx="53">
                  <c:v>0.57999999999999996</c:v>
                </c:pt>
                <c:pt idx="54">
                  <c:v>0.66</c:v>
                </c:pt>
                <c:pt idx="55">
                  <c:v>0.75</c:v>
                </c:pt>
                <c:pt idx="56">
                  <c:v>0.96</c:v>
                </c:pt>
                <c:pt idx="57">
                  <c:v>0.86</c:v>
                </c:pt>
                <c:pt idx="58">
                  <c:v>0.45</c:v>
                </c:pt>
                <c:pt idx="59">
                  <c:v>1.24</c:v>
                </c:pt>
                <c:pt idx="60">
                  <c:v>0.96</c:v>
                </c:pt>
                <c:pt idx="61">
                  <c:v>0.82</c:v>
                </c:pt>
                <c:pt idx="62">
                  <c:v>0.93</c:v>
                </c:pt>
                <c:pt idx="63">
                  <c:v>0.25</c:v>
                </c:pt>
                <c:pt idx="64">
                  <c:v>0.67</c:v>
                </c:pt>
                <c:pt idx="65">
                  <c:v>0.57999999999999996</c:v>
                </c:pt>
                <c:pt idx="66">
                  <c:v>0.56000000000000005</c:v>
                </c:pt>
                <c:pt idx="67">
                  <c:v>0.69</c:v>
                </c:pt>
                <c:pt idx="68">
                  <c:v>0.66</c:v>
                </c:pt>
                <c:pt idx="69">
                  <c:v>0.56000000000000005</c:v>
                </c:pt>
                <c:pt idx="70">
                  <c:v>0.76</c:v>
                </c:pt>
                <c:pt idx="71">
                  <c:v>0.37</c:v>
                </c:pt>
                <c:pt idx="72">
                  <c:v>0.55000000000000004</c:v>
                </c:pt>
                <c:pt idx="73">
                  <c:v>0</c:v>
                </c:pt>
                <c:pt idx="74">
                  <c:v>0.78</c:v>
                </c:pt>
                <c:pt idx="75">
                  <c:v>0.97</c:v>
                </c:pt>
                <c:pt idx="76">
                  <c:v>0.59</c:v>
                </c:pt>
                <c:pt idx="77">
                  <c:v>0.85</c:v>
                </c:pt>
                <c:pt idx="78">
                  <c:v>0.69</c:v>
                </c:pt>
                <c:pt idx="79">
                  <c:v>0.6</c:v>
                </c:pt>
                <c:pt idx="80">
                  <c:v>0.79</c:v>
                </c:pt>
                <c:pt idx="81">
                  <c:v>0.65</c:v>
                </c:pt>
                <c:pt idx="82">
                  <c:v>0.32</c:v>
                </c:pt>
                <c:pt idx="83">
                  <c:v>0.24</c:v>
                </c:pt>
                <c:pt idx="84">
                  <c:v>0.81</c:v>
                </c:pt>
                <c:pt idx="85">
                  <c:v>0.88</c:v>
                </c:pt>
                <c:pt idx="86">
                  <c:v>1.28</c:v>
                </c:pt>
                <c:pt idx="87">
                  <c:v>0.74</c:v>
                </c:pt>
                <c:pt idx="88">
                  <c:v>1.04</c:v>
                </c:pt>
                <c:pt idx="89">
                  <c:v>1.1299999999999999</c:v>
                </c:pt>
                <c:pt idx="90">
                  <c:v>0.71</c:v>
                </c:pt>
                <c:pt idx="91">
                  <c:v>0.85</c:v>
                </c:pt>
                <c:pt idx="92">
                  <c:v>0.57999999999999996</c:v>
                </c:pt>
                <c:pt idx="93">
                  <c:v>0.52</c:v>
                </c:pt>
                <c:pt idx="94">
                  <c:v>0.89</c:v>
                </c:pt>
                <c:pt idx="95">
                  <c:v>0.66</c:v>
                </c:pt>
                <c:pt idx="96">
                  <c:v>0.85</c:v>
                </c:pt>
                <c:pt idx="97">
                  <c:v>0.83</c:v>
                </c:pt>
                <c:pt idx="98">
                  <c:v>0.79</c:v>
                </c:pt>
                <c:pt idx="99">
                  <c:v>0.44</c:v>
                </c:pt>
                <c:pt idx="100">
                  <c:v>0.86</c:v>
                </c:pt>
                <c:pt idx="101">
                  <c:v>0.7</c:v>
                </c:pt>
                <c:pt idx="102">
                  <c:v>0.78</c:v>
                </c:pt>
                <c:pt idx="103">
                  <c:v>0.71</c:v>
                </c:pt>
                <c:pt idx="104">
                  <c:v>0.69</c:v>
                </c:pt>
                <c:pt idx="105">
                  <c:v>0.86</c:v>
                </c:pt>
                <c:pt idx="106">
                  <c:v>0.56999999999999995</c:v>
                </c:pt>
                <c:pt idx="107">
                  <c:v>0.73</c:v>
                </c:pt>
                <c:pt idx="108">
                  <c:v>0.91</c:v>
                </c:pt>
                <c:pt idx="109">
                  <c:v>0.72</c:v>
                </c:pt>
                <c:pt idx="110">
                  <c:v>0.92</c:v>
                </c:pt>
                <c:pt idx="111">
                  <c:v>0.52</c:v>
                </c:pt>
                <c:pt idx="112">
                  <c:v>0.73</c:v>
                </c:pt>
                <c:pt idx="113">
                  <c:v>0.87</c:v>
                </c:pt>
                <c:pt idx="114">
                  <c:v>0.52</c:v>
                </c:pt>
                <c:pt idx="115">
                  <c:v>0.62</c:v>
                </c:pt>
                <c:pt idx="116">
                  <c:v>0.24</c:v>
                </c:pt>
                <c:pt idx="117">
                  <c:v>0.78</c:v>
                </c:pt>
                <c:pt idx="118">
                  <c:v>1.02</c:v>
                </c:pt>
                <c:pt idx="119">
                  <c:v>1.02</c:v>
                </c:pt>
                <c:pt idx="120">
                  <c:v>0.91</c:v>
                </c:pt>
                <c:pt idx="121">
                  <c:v>0.68</c:v>
                </c:pt>
                <c:pt idx="122">
                  <c:v>0.68</c:v>
                </c:pt>
                <c:pt idx="123">
                  <c:v>0.84</c:v>
                </c:pt>
                <c:pt idx="124">
                  <c:v>0.67</c:v>
                </c:pt>
                <c:pt idx="125">
                  <c:v>0.92</c:v>
                </c:pt>
                <c:pt idx="126">
                  <c:v>0.79</c:v>
                </c:pt>
                <c:pt idx="127">
                  <c:v>0.86</c:v>
                </c:pt>
                <c:pt idx="128">
                  <c:v>0.82</c:v>
                </c:pt>
                <c:pt idx="129">
                  <c:v>0.62</c:v>
                </c:pt>
                <c:pt idx="130">
                  <c:v>1.08</c:v>
                </c:pt>
                <c:pt idx="131">
                  <c:v>0.95</c:v>
                </c:pt>
                <c:pt idx="132">
                  <c:v>0.83</c:v>
                </c:pt>
                <c:pt idx="133">
                  <c:v>0.93</c:v>
                </c:pt>
                <c:pt idx="134">
                  <c:v>0.88</c:v>
                </c:pt>
                <c:pt idx="135">
                  <c:v>0.75</c:v>
                </c:pt>
                <c:pt idx="136">
                  <c:v>1.33</c:v>
                </c:pt>
                <c:pt idx="137">
                  <c:v>0.57999999999999996</c:v>
                </c:pt>
                <c:pt idx="138">
                  <c:v>1.37</c:v>
                </c:pt>
                <c:pt idx="139">
                  <c:v>0.82</c:v>
                </c:pt>
                <c:pt idx="140">
                  <c:v>0.72</c:v>
                </c:pt>
                <c:pt idx="141">
                  <c:v>0.37</c:v>
                </c:pt>
                <c:pt idx="142">
                  <c:v>0.73</c:v>
                </c:pt>
                <c:pt idx="143">
                  <c:v>0.75</c:v>
                </c:pt>
                <c:pt idx="144">
                  <c:v>0.79</c:v>
                </c:pt>
                <c:pt idx="145">
                  <c:v>0.74</c:v>
                </c:pt>
                <c:pt idx="146">
                  <c:v>0.49</c:v>
                </c:pt>
                <c:pt idx="147">
                  <c:v>0.75</c:v>
                </c:pt>
                <c:pt idx="148">
                  <c:v>0.6</c:v>
                </c:pt>
                <c:pt idx="149">
                  <c:v>0.5</c:v>
                </c:pt>
                <c:pt idx="150">
                  <c:v>0.8</c:v>
                </c:pt>
                <c:pt idx="151">
                  <c:v>0.85</c:v>
                </c:pt>
                <c:pt idx="152">
                  <c:v>0.86</c:v>
                </c:pt>
                <c:pt idx="153">
                  <c:v>0.95</c:v>
                </c:pt>
                <c:pt idx="154">
                  <c:v>0.79</c:v>
                </c:pt>
                <c:pt idx="155">
                  <c:v>0.74</c:v>
                </c:pt>
                <c:pt idx="156">
                  <c:v>0.35</c:v>
                </c:pt>
                <c:pt idx="157">
                  <c:v>0.86</c:v>
                </c:pt>
                <c:pt idx="158">
                  <c:v>0.45</c:v>
                </c:pt>
                <c:pt idx="159">
                  <c:v>0.97</c:v>
                </c:pt>
                <c:pt idx="160">
                  <c:v>0.46</c:v>
                </c:pt>
                <c:pt idx="161">
                  <c:v>0.5</c:v>
                </c:pt>
                <c:pt idx="162">
                  <c:v>0.56999999999999995</c:v>
                </c:pt>
                <c:pt idx="163">
                  <c:v>0.75</c:v>
                </c:pt>
                <c:pt idx="164">
                  <c:v>0.73</c:v>
                </c:pt>
                <c:pt idx="165">
                  <c:v>0.53</c:v>
                </c:pt>
                <c:pt idx="166">
                  <c:v>0.93</c:v>
                </c:pt>
                <c:pt idx="167">
                  <c:v>0.55000000000000004</c:v>
                </c:pt>
                <c:pt idx="168">
                  <c:v>0.91</c:v>
                </c:pt>
                <c:pt idx="169">
                  <c:v>0.8</c:v>
                </c:pt>
                <c:pt idx="170">
                  <c:v>0.79</c:v>
                </c:pt>
                <c:pt idx="171">
                  <c:v>0.73</c:v>
                </c:pt>
                <c:pt idx="172">
                  <c:v>0.69</c:v>
                </c:pt>
                <c:pt idx="173">
                  <c:v>0.86</c:v>
                </c:pt>
                <c:pt idx="174">
                  <c:v>0.99</c:v>
                </c:pt>
                <c:pt idx="175">
                  <c:v>0.68</c:v>
                </c:pt>
                <c:pt idx="176">
                  <c:v>0.67</c:v>
                </c:pt>
                <c:pt idx="177">
                  <c:v>0.8</c:v>
                </c:pt>
                <c:pt idx="178">
                  <c:v>0.75</c:v>
                </c:pt>
                <c:pt idx="179">
                  <c:v>0.87</c:v>
                </c:pt>
                <c:pt idx="180">
                  <c:v>0.61</c:v>
                </c:pt>
                <c:pt idx="181">
                  <c:v>1</c:v>
                </c:pt>
                <c:pt idx="182">
                  <c:v>0.78</c:v>
                </c:pt>
                <c:pt idx="183">
                  <c:v>0.72</c:v>
                </c:pt>
                <c:pt idx="184">
                  <c:v>0.96</c:v>
                </c:pt>
                <c:pt idx="185">
                  <c:v>1.19</c:v>
                </c:pt>
                <c:pt idx="186">
                  <c:v>0.86</c:v>
                </c:pt>
                <c:pt idx="187">
                  <c:v>0.76</c:v>
                </c:pt>
                <c:pt idx="188">
                  <c:v>0.79</c:v>
                </c:pt>
                <c:pt idx="189">
                  <c:v>0.56000000000000005</c:v>
                </c:pt>
                <c:pt idx="190">
                  <c:v>0.7</c:v>
                </c:pt>
                <c:pt idx="191">
                  <c:v>0.62</c:v>
                </c:pt>
                <c:pt idx="192">
                  <c:v>0.71</c:v>
                </c:pt>
                <c:pt idx="193">
                  <c:v>0.69</c:v>
                </c:pt>
                <c:pt idx="194">
                  <c:v>0.77</c:v>
                </c:pt>
                <c:pt idx="195">
                  <c:v>0.67</c:v>
                </c:pt>
                <c:pt idx="196">
                  <c:v>0.73</c:v>
                </c:pt>
                <c:pt idx="197">
                  <c:v>0.83</c:v>
                </c:pt>
                <c:pt idx="198">
                  <c:v>0.67</c:v>
                </c:pt>
                <c:pt idx="199">
                  <c:v>0.62</c:v>
                </c:pt>
                <c:pt idx="200">
                  <c:v>0.73</c:v>
                </c:pt>
                <c:pt idx="201">
                  <c:v>0.87</c:v>
                </c:pt>
                <c:pt idx="202">
                  <c:v>0.55000000000000004</c:v>
                </c:pt>
                <c:pt idx="203">
                  <c:v>0.62</c:v>
                </c:pt>
                <c:pt idx="204">
                  <c:v>0.61</c:v>
                </c:pt>
                <c:pt idx="205">
                  <c:v>0.87</c:v>
                </c:pt>
                <c:pt idx="206">
                  <c:v>0.87</c:v>
                </c:pt>
                <c:pt idx="207">
                  <c:v>0.61</c:v>
                </c:pt>
                <c:pt idx="208">
                  <c:v>0.97</c:v>
                </c:pt>
                <c:pt idx="209">
                  <c:v>0.89</c:v>
                </c:pt>
                <c:pt idx="210">
                  <c:v>0.78</c:v>
                </c:pt>
                <c:pt idx="211">
                  <c:v>0.73</c:v>
                </c:pt>
                <c:pt idx="212">
                  <c:v>0.75</c:v>
                </c:pt>
                <c:pt idx="213">
                  <c:v>0.83</c:v>
                </c:pt>
                <c:pt idx="214">
                  <c:v>0.96</c:v>
                </c:pt>
                <c:pt idx="215">
                  <c:v>0.85</c:v>
                </c:pt>
                <c:pt idx="216">
                  <c:v>0.78</c:v>
                </c:pt>
                <c:pt idx="217">
                  <c:v>0.93</c:v>
                </c:pt>
                <c:pt idx="218">
                  <c:v>0.56000000000000005</c:v>
                </c:pt>
                <c:pt idx="219">
                  <c:v>0.78</c:v>
                </c:pt>
                <c:pt idx="220">
                  <c:v>1.1299999999999999</c:v>
                </c:pt>
                <c:pt idx="221">
                  <c:v>0.87</c:v>
                </c:pt>
                <c:pt idx="222">
                  <c:v>0.86</c:v>
                </c:pt>
                <c:pt idx="223">
                  <c:v>0.7</c:v>
                </c:pt>
                <c:pt idx="224">
                  <c:v>0.86</c:v>
                </c:pt>
                <c:pt idx="225">
                  <c:v>0.52</c:v>
                </c:pt>
                <c:pt idx="226">
                  <c:v>0.74</c:v>
                </c:pt>
                <c:pt idx="227">
                  <c:v>0.74</c:v>
                </c:pt>
                <c:pt idx="228">
                  <c:v>0.92</c:v>
                </c:pt>
                <c:pt idx="229">
                  <c:v>1.18</c:v>
                </c:pt>
                <c:pt idx="230">
                  <c:v>1.32</c:v>
                </c:pt>
                <c:pt idx="231">
                  <c:v>0.79</c:v>
                </c:pt>
                <c:pt idx="232">
                  <c:v>0.89</c:v>
                </c:pt>
                <c:pt idx="233">
                  <c:v>0.41</c:v>
                </c:pt>
                <c:pt idx="234">
                  <c:v>1.1599999999999999</c:v>
                </c:pt>
                <c:pt idx="235">
                  <c:v>0.94</c:v>
                </c:pt>
                <c:pt idx="236">
                  <c:v>0.71</c:v>
                </c:pt>
                <c:pt idx="237">
                  <c:v>0.73</c:v>
                </c:pt>
                <c:pt idx="238">
                  <c:v>0.89</c:v>
                </c:pt>
              </c:numCache>
            </c:numRef>
          </c:xVal>
          <c:yVal>
            <c:numRef>
              <c:f>Graficos!$AU$1003:$AU$1241</c:f>
              <c:numCache>
                <c:formatCode>General</c:formatCode>
                <c:ptCount val="239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8.81</c:v>
                </c:pt>
                <c:pt idx="29">
                  <c:v>8.56</c:v>
                </c:pt>
                <c:pt idx="30">
                  <c:v>8.65</c:v>
                </c:pt>
                <c:pt idx="31">
                  <c:v>8.89</c:v>
                </c:pt>
                <c:pt idx="32">
                  <c:v>8.91</c:v>
                </c:pt>
                <c:pt idx="33">
                  <c:v>7.94</c:v>
                </c:pt>
                <c:pt idx="34">
                  <c:v>8.8800000000000008</c:v>
                </c:pt>
                <c:pt idx="35">
                  <c:v>8.01</c:v>
                </c:pt>
                <c:pt idx="36">
                  <c:v>8.57</c:v>
                </c:pt>
                <c:pt idx="37">
                  <c:v>8.4700000000000006</c:v>
                </c:pt>
                <c:pt idx="38">
                  <c:v>8.4499999999999993</c:v>
                </c:pt>
                <c:pt idx="39">
                  <c:v>9</c:v>
                </c:pt>
                <c:pt idx="40">
                  <c:v>8.81</c:v>
                </c:pt>
                <c:pt idx="41">
                  <c:v>8.9499999999999993</c:v>
                </c:pt>
                <c:pt idx="42">
                  <c:v>8.85</c:v>
                </c:pt>
                <c:pt idx="43">
                  <c:v>8.56</c:v>
                </c:pt>
                <c:pt idx="44">
                  <c:v>9.17</c:v>
                </c:pt>
                <c:pt idx="45">
                  <c:v>9.09</c:v>
                </c:pt>
                <c:pt idx="46">
                  <c:v>8.7899999999999991</c:v>
                </c:pt>
                <c:pt idx="47">
                  <c:v>7.95</c:v>
                </c:pt>
                <c:pt idx="48">
                  <c:v>7.79</c:v>
                </c:pt>
                <c:pt idx="49">
                  <c:v>7.66</c:v>
                </c:pt>
                <c:pt idx="50">
                  <c:v>8.94</c:v>
                </c:pt>
                <c:pt idx="51">
                  <c:v>8.67</c:v>
                </c:pt>
                <c:pt idx="52">
                  <c:v>8.6300000000000008</c:v>
                </c:pt>
                <c:pt idx="53">
                  <c:v>8.6300000000000008</c:v>
                </c:pt>
                <c:pt idx="54">
                  <c:v>8.5299999999999994</c:v>
                </c:pt>
                <c:pt idx="55">
                  <c:v>8.92</c:v>
                </c:pt>
                <c:pt idx="56">
                  <c:v>8.77</c:v>
                </c:pt>
                <c:pt idx="57">
                  <c:v>8.1300000000000008</c:v>
                </c:pt>
                <c:pt idx="58">
                  <c:v>7.61</c:v>
                </c:pt>
                <c:pt idx="59">
                  <c:v>8.5500000000000007</c:v>
                </c:pt>
                <c:pt idx="60">
                  <c:v>9.0299999999999994</c:v>
                </c:pt>
                <c:pt idx="61">
                  <c:v>8.86</c:v>
                </c:pt>
                <c:pt idx="62">
                  <c:v>8.81</c:v>
                </c:pt>
                <c:pt idx="63">
                  <c:v>8.3000000000000007</c:v>
                </c:pt>
                <c:pt idx="64">
                  <c:v>8.2799999999999994</c:v>
                </c:pt>
                <c:pt idx="65">
                  <c:v>7.7</c:v>
                </c:pt>
                <c:pt idx="66">
                  <c:v>8.59</c:v>
                </c:pt>
                <c:pt idx="67">
                  <c:v>8.4700000000000006</c:v>
                </c:pt>
                <c:pt idx="68">
                  <c:v>8.64</c:v>
                </c:pt>
                <c:pt idx="69">
                  <c:v>8.65</c:v>
                </c:pt>
                <c:pt idx="70">
                  <c:v>8.51</c:v>
                </c:pt>
                <c:pt idx="71">
                  <c:v>8.3699999999999992</c:v>
                </c:pt>
                <c:pt idx="72">
                  <c:v>8.9499999999999993</c:v>
                </c:pt>
                <c:pt idx="73">
                  <c:v>10.85</c:v>
                </c:pt>
                <c:pt idx="74">
                  <c:v>8.65</c:v>
                </c:pt>
                <c:pt idx="75">
                  <c:v>8.6</c:v>
                </c:pt>
                <c:pt idx="76">
                  <c:v>8.43</c:v>
                </c:pt>
                <c:pt idx="77">
                  <c:v>8.7799999999999994</c:v>
                </c:pt>
                <c:pt idx="78">
                  <c:v>8.83</c:v>
                </c:pt>
                <c:pt idx="79">
                  <c:v>8.9600000000000009</c:v>
                </c:pt>
                <c:pt idx="80">
                  <c:v>8.83</c:v>
                </c:pt>
                <c:pt idx="81">
                  <c:v>10.220000000000001</c:v>
                </c:pt>
                <c:pt idx="82">
                  <c:v>8.9600000000000009</c:v>
                </c:pt>
                <c:pt idx="83">
                  <c:v>8.84</c:v>
                </c:pt>
                <c:pt idx="84">
                  <c:v>8.84</c:v>
                </c:pt>
                <c:pt idx="85">
                  <c:v>8.68</c:v>
                </c:pt>
                <c:pt idx="86">
                  <c:v>8.34</c:v>
                </c:pt>
                <c:pt idx="87">
                  <c:v>8.89</c:v>
                </c:pt>
                <c:pt idx="88">
                  <c:v>8.75</c:v>
                </c:pt>
                <c:pt idx="89">
                  <c:v>8.23</c:v>
                </c:pt>
                <c:pt idx="90">
                  <c:v>8</c:v>
                </c:pt>
                <c:pt idx="91">
                  <c:v>9.34</c:v>
                </c:pt>
                <c:pt idx="92">
                  <c:v>8.5299999999999994</c:v>
                </c:pt>
                <c:pt idx="93">
                  <c:v>7.16</c:v>
                </c:pt>
                <c:pt idx="94">
                  <c:v>8.77</c:v>
                </c:pt>
                <c:pt idx="95">
                  <c:v>8.7200000000000006</c:v>
                </c:pt>
                <c:pt idx="96">
                  <c:v>8.93</c:v>
                </c:pt>
                <c:pt idx="97">
                  <c:v>8.6999999999999993</c:v>
                </c:pt>
                <c:pt idx="98">
                  <c:v>8.83</c:v>
                </c:pt>
                <c:pt idx="99">
                  <c:v>6.99</c:v>
                </c:pt>
                <c:pt idx="100">
                  <c:v>8.74</c:v>
                </c:pt>
                <c:pt idx="101">
                  <c:v>8.68</c:v>
                </c:pt>
                <c:pt idx="102">
                  <c:v>8.1999999999999993</c:v>
                </c:pt>
                <c:pt idx="103">
                  <c:v>8.5399999999999991</c:v>
                </c:pt>
                <c:pt idx="104">
                  <c:v>8.5299999999999994</c:v>
                </c:pt>
                <c:pt idx="105">
                  <c:v>8.7899999999999991</c:v>
                </c:pt>
                <c:pt idx="106">
                  <c:v>8.6199999999999992</c:v>
                </c:pt>
                <c:pt idx="107">
                  <c:v>7.2</c:v>
                </c:pt>
                <c:pt idx="108">
                  <c:v>8.34</c:v>
                </c:pt>
                <c:pt idx="109">
                  <c:v>7.95</c:v>
                </c:pt>
                <c:pt idx="110">
                  <c:v>8.8800000000000008</c:v>
                </c:pt>
                <c:pt idx="111">
                  <c:v>8.16</c:v>
                </c:pt>
                <c:pt idx="112">
                  <c:v>9.4600000000000009</c:v>
                </c:pt>
                <c:pt idx="113">
                  <c:v>9.36</c:v>
                </c:pt>
                <c:pt idx="114">
                  <c:v>8.82</c:v>
                </c:pt>
                <c:pt idx="115">
                  <c:v>8.77</c:v>
                </c:pt>
                <c:pt idx="116">
                  <c:v>8.1300000000000008</c:v>
                </c:pt>
                <c:pt idx="117">
                  <c:v>9.5299999999999994</c:v>
                </c:pt>
                <c:pt idx="118">
                  <c:v>8.5399999999999991</c:v>
                </c:pt>
                <c:pt idx="119">
                  <c:v>9</c:v>
                </c:pt>
                <c:pt idx="120">
                  <c:v>8.34</c:v>
                </c:pt>
                <c:pt idx="121">
                  <c:v>8.6999999999999993</c:v>
                </c:pt>
                <c:pt idx="122">
                  <c:v>8.5299999999999994</c:v>
                </c:pt>
                <c:pt idx="123">
                  <c:v>8.39</c:v>
                </c:pt>
                <c:pt idx="124">
                  <c:v>8.6300000000000008</c:v>
                </c:pt>
                <c:pt idx="125">
                  <c:v>9.1</c:v>
                </c:pt>
                <c:pt idx="126">
                  <c:v>8.5299999999999994</c:v>
                </c:pt>
                <c:pt idx="127">
                  <c:v>8.66</c:v>
                </c:pt>
                <c:pt idx="128">
                  <c:v>9.09</c:v>
                </c:pt>
                <c:pt idx="129">
                  <c:v>7.64</c:v>
                </c:pt>
                <c:pt idx="130">
                  <c:v>8.7899999999999991</c:v>
                </c:pt>
                <c:pt idx="131">
                  <c:v>8.2100000000000009</c:v>
                </c:pt>
                <c:pt idx="132">
                  <c:v>9.3699999999999992</c:v>
                </c:pt>
                <c:pt idx="133">
                  <c:v>9.2100000000000009</c:v>
                </c:pt>
                <c:pt idx="134">
                  <c:v>9.08</c:v>
                </c:pt>
                <c:pt idx="135">
                  <c:v>8.61</c:v>
                </c:pt>
                <c:pt idx="136">
                  <c:v>8.65</c:v>
                </c:pt>
                <c:pt idx="137">
                  <c:v>7.96</c:v>
                </c:pt>
                <c:pt idx="138">
                  <c:v>3.37</c:v>
                </c:pt>
                <c:pt idx="139">
                  <c:v>8.49</c:v>
                </c:pt>
                <c:pt idx="140">
                  <c:v>9.02</c:v>
                </c:pt>
                <c:pt idx="141">
                  <c:v>8.3699999999999992</c:v>
                </c:pt>
                <c:pt idx="142">
                  <c:v>8.3000000000000007</c:v>
                </c:pt>
                <c:pt idx="143">
                  <c:v>8.67</c:v>
                </c:pt>
                <c:pt idx="144">
                  <c:v>8.76</c:v>
                </c:pt>
                <c:pt idx="145">
                  <c:v>9.23</c:v>
                </c:pt>
                <c:pt idx="146">
                  <c:v>8.3800000000000008</c:v>
                </c:pt>
                <c:pt idx="147">
                  <c:v>8.76</c:v>
                </c:pt>
                <c:pt idx="148">
                  <c:v>8.49</c:v>
                </c:pt>
                <c:pt idx="149">
                  <c:v>8.27</c:v>
                </c:pt>
                <c:pt idx="150">
                  <c:v>9.44</c:v>
                </c:pt>
                <c:pt idx="151">
                  <c:v>9.14</c:v>
                </c:pt>
                <c:pt idx="152">
                  <c:v>8.9</c:v>
                </c:pt>
                <c:pt idx="153">
                  <c:v>8.85</c:v>
                </c:pt>
                <c:pt idx="154">
                  <c:v>8.73</c:v>
                </c:pt>
                <c:pt idx="155">
                  <c:v>8.5500000000000007</c:v>
                </c:pt>
                <c:pt idx="156">
                  <c:v>8.4600000000000009</c:v>
                </c:pt>
                <c:pt idx="157">
                  <c:v>8.25</c:v>
                </c:pt>
                <c:pt idx="158">
                  <c:v>8.27</c:v>
                </c:pt>
                <c:pt idx="159">
                  <c:v>8.1300000000000008</c:v>
                </c:pt>
                <c:pt idx="160">
                  <c:v>8.0299999999999994</c:v>
                </c:pt>
                <c:pt idx="161">
                  <c:v>7.94</c:v>
                </c:pt>
                <c:pt idx="162">
                  <c:v>7.89</c:v>
                </c:pt>
                <c:pt idx="163">
                  <c:v>7.66</c:v>
                </c:pt>
                <c:pt idx="164">
                  <c:v>8.8800000000000008</c:v>
                </c:pt>
                <c:pt idx="165">
                  <c:v>8.43</c:v>
                </c:pt>
                <c:pt idx="166">
                  <c:v>8.8800000000000008</c:v>
                </c:pt>
                <c:pt idx="167">
                  <c:v>10.39</c:v>
                </c:pt>
                <c:pt idx="168">
                  <c:v>10</c:v>
                </c:pt>
                <c:pt idx="169">
                  <c:v>9.5500000000000007</c:v>
                </c:pt>
                <c:pt idx="170">
                  <c:v>8.9700000000000006</c:v>
                </c:pt>
                <c:pt idx="171">
                  <c:v>8.9700000000000006</c:v>
                </c:pt>
                <c:pt idx="172">
                  <c:v>9.23</c:v>
                </c:pt>
                <c:pt idx="173">
                  <c:v>9.0399999999999991</c:v>
                </c:pt>
                <c:pt idx="174">
                  <c:v>8.81</c:v>
                </c:pt>
                <c:pt idx="175">
                  <c:v>8.7799999999999994</c:v>
                </c:pt>
                <c:pt idx="176">
                  <c:v>8.8800000000000008</c:v>
                </c:pt>
                <c:pt idx="177">
                  <c:v>8.4700000000000006</c:v>
                </c:pt>
                <c:pt idx="178">
                  <c:v>8.65</c:v>
                </c:pt>
                <c:pt idx="179">
                  <c:v>10.37</c:v>
                </c:pt>
                <c:pt idx="180">
                  <c:v>10.07</c:v>
                </c:pt>
                <c:pt idx="181">
                  <c:v>9.3699999999999992</c:v>
                </c:pt>
                <c:pt idx="182">
                  <c:v>9.14</c:v>
                </c:pt>
                <c:pt idx="183">
                  <c:v>8.75</c:v>
                </c:pt>
                <c:pt idx="184">
                  <c:v>8.56</c:v>
                </c:pt>
                <c:pt idx="185">
                  <c:v>8.11</c:v>
                </c:pt>
                <c:pt idx="186">
                  <c:v>7.74</c:v>
                </c:pt>
                <c:pt idx="187">
                  <c:v>7.4</c:v>
                </c:pt>
                <c:pt idx="188">
                  <c:v>8.5</c:v>
                </c:pt>
                <c:pt idx="189">
                  <c:v>7.98</c:v>
                </c:pt>
                <c:pt idx="190">
                  <c:v>8.67</c:v>
                </c:pt>
                <c:pt idx="191">
                  <c:v>8.58</c:v>
                </c:pt>
                <c:pt idx="192">
                  <c:v>8.56</c:v>
                </c:pt>
                <c:pt idx="193">
                  <c:v>8.34</c:v>
                </c:pt>
                <c:pt idx="194">
                  <c:v>8.56</c:v>
                </c:pt>
                <c:pt idx="195">
                  <c:v>8.83</c:v>
                </c:pt>
                <c:pt idx="196">
                  <c:v>7.66</c:v>
                </c:pt>
                <c:pt idx="197">
                  <c:v>8.5</c:v>
                </c:pt>
                <c:pt idx="198">
                  <c:v>8.5</c:v>
                </c:pt>
                <c:pt idx="199">
                  <c:v>8.61</c:v>
                </c:pt>
                <c:pt idx="200">
                  <c:v>9.02</c:v>
                </c:pt>
                <c:pt idx="201">
                  <c:v>8.6300000000000008</c:v>
                </c:pt>
                <c:pt idx="202">
                  <c:v>8.7799999999999994</c:v>
                </c:pt>
                <c:pt idx="203">
                  <c:v>8.52</c:v>
                </c:pt>
                <c:pt idx="204">
                  <c:v>8.9600000000000009</c:v>
                </c:pt>
                <c:pt idx="205">
                  <c:v>8.89</c:v>
                </c:pt>
                <c:pt idx="206">
                  <c:v>9</c:v>
                </c:pt>
                <c:pt idx="207">
                  <c:v>8.92</c:v>
                </c:pt>
                <c:pt idx="208">
                  <c:v>8.7899999999999991</c:v>
                </c:pt>
                <c:pt idx="209">
                  <c:v>8.6199999999999992</c:v>
                </c:pt>
                <c:pt idx="210">
                  <c:v>9.23</c:v>
                </c:pt>
                <c:pt idx="211">
                  <c:v>8.83</c:v>
                </c:pt>
                <c:pt idx="212">
                  <c:v>8.86</c:v>
                </c:pt>
                <c:pt idx="213">
                  <c:v>8.39</c:v>
                </c:pt>
                <c:pt idx="214">
                  <c:v>8.6</c:v>
                </c:pt>
                <c:pt idx="215">
                  <c:v>8.7100000000000009</c:v>
                </c:pt>
                <c:pt idx="216">
                  <c:v>8.33</c:v>
                </c:pt>
                <c:pt idx="217">
                  <c:v>8.16</c:v>
                </c:pt>
                <c:pt idx="218">
                  <c:v>8.61</c:v>
                </c:pt>
                <c:pt idx="219">
                  <c:v>8.6300000000000008</c:v>
                </c:pt>
                <c:pt idx="220">
                  <c:v>8.27</c:v>
                </c:pt>
                <c:pt idx="221">
                  <c:v>8.8699999999999992</c:v>
                </c:pt>
                <c:pt idx="222">
                  <c:v>8.83</c:v>
                </c:pt>
                <c:pt idx="223">
                  <c:v>8.8699999999999992</c:v>
                </c:pt>
                <c:pt idx="224">
                  <c:v>8.06</c:v>
                </c:pt>
                <c:pt idx="225">
                  <c:v>10.99</c:v>
                </c:pt>
                <c:pt idx="226">
                  <c:v>9.9600000000000009</c:v>
                </c:pt>
                <c:pt idx="227">
                  <c:v>9.99</c:v>
                </c:pt>
                <c:pt idx="228">
                  <c:v>9.42</c:v>
                </c:pt>
                <c:pt idx="229">
                  <c:v>9.5299999999999994</c:v>
                </c:pt>
                <c:pt idx="230">
                  <c:v>8.2200000000000006</c:v>
                </c:pt>
                <c:pt idx="231">
                  <c:v>7.84</c:v>
                </c:pt>
                <c:pt idx="232">
                  <c:v>8.06</c:v>
                </c:pt>
                <c:pt idx="233">
                  <c:v>8.4499999999999993</c:v>
                </c:pt>
                <c:pt idx="234">
                  <c:v>8.16</c:v>
                </c:pt>
                <c:pt idx="235">
                  <c:v>8.17</c:v>
                </c:pt>
                <c:pt idx="236">
                  <c:v>10.44</c:v>
                </c:pt>
                <c:pt idx="237">
                  <c:v>8.48</c:v>
                </c:pt>
                <c:pt idx="238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91-479C-B442-E55BBCF5C8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7162015"/>
        <c:axId val="1234422415"/>
      </c:scatterChart>
      <c:valAx>
        <c:axId val="1257162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4422415"/>
        <c:crosses val="autoZero"/>
        <c:crossBetween val="midCat"/>
      </c:valAx>
      <c:valAx>
        <c:axId val="123442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571620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por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Graficos!$AU$1244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Graficos!$AT$1245:$AT$1259</c:f>
              <c:strCache>
                <c:ptCount val="15"/>
                <c:pt idx="0">
                  <c:v>Opeth - Blackwater Park</c:v>
                </c:pt>
                <c:pt idx="1">
                  <c:v>King Crimson - In The Court Of The Crimson King</c:v>
                </c:pt>
                <c:pt idx="2">
                  <c:v>TOOL - Salival [LIVE]</c:v>
                </c:pt>
                <c:pt idx="3">
                  <c:v>Led Zeppelin - Led Zeppelin IV</c:v>
                </c:pt>
                <c:pt idx="4">
                  <c:v>Pink Floyd - Animals</c:v>
                </c:pt>
                <c:pt idx="5">
                  <c:v>TOOL - Ænima</c:v>
                </c:pt>
                <c:pt idx="6">
                  <c:v>TOOL - 10,000 Days</c:v>
                </c:pt>
                <c:pt idx="7">
                  <c:v>Pink Floyd - The Dark Side Of The Moon</c:v>
                </c:pt>
                <c:pt idx="8">
                  <c:v>Radiohead - OK Computer</c:v>
                </c:pt>
                <c:pt idx="9">
                  <c:v>Godspeed You! Black Emperor - Lift Yr. Skinny Fists Like Antennas to Heaven!</c:v>
                </c:pt>
                <c:pt idx="10">
                  <c:v>Radiohead - In Rainbows</c:v>
                </c:pt>
                <c:pt idx="11">
                  <c:v>Pink Floyd - Wish You Were Here</c:v>
                </c:pt>
                <c:pt idx="12">
                  <c:v>Yes - Close to the Edge</c:v>
                </c:pt>
                <c:pt idx="13">
                  <c:v>Fishmans - LONG SEASON</c:v>
                </c:pt>
                <c:pt idx="14">
                  <c:v>TOOL - Lateralus</c:v>
                </c:pt>
              </c:strCache>
            </c:strRef>
          </c:cat>
          <c:val>
            <c:numRef>
              <c:f>Graficos!$AU$1245:$AU$1259</c:f>
              <c:numCache>
                <c:formatCode>General</c:formatCode>
                <c:ptCount val="15"/>
                <c:pt idx="0">
                  <c:v>9.44</c:v>
                </c:pt>
                <c:pt idx="1">
                  <c:v>9.4600000000000009</c:v>
                </c:pt>
                <c:pt idx="2">
                  <c:v>9.5299999999999994</c:v>
                </c:pt>
                <c:pt idx="3">
                  <c:v>9.5299999999999994</c:v>
                </c:pt>
                <c:pt idx="4">
                  <c:v>9.5500000000000007</c:v>
                </c:pt>
                <c:pt idx="5">
                  <c:v>9.9600000000000009</c:v>
                </c:pt>
                <c:pt idx="6">
                  <c:v>9.99</c:v>
                </c:pt>
                <c:pt idx="7">
                  <c:v>10</c:v>
                </c:pt>
                <c:pt idx="8">
                  <c:v>10.07</c:v>
                </c:pt>
                <c:pt idx="9">
                  <c:v>10.220000000000001</c:v>
                </c:pt>
                <c:pt idx="10">
                  <c:v>10.37</c:v>
                </c:pt>
                <c:pt idx="11">
                  <c:v>10.39</c:v>
                </c:pt>
                <c:pt idx="12">
                  <c:v>10.44</c:v>
                </c:pt>
                <c:pt idx="13">
                  <c:v>10.85</c:v>
                </c:pt>
                <c:pt idx="14">
                  <c:v>10.99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B4-4C75-9CDD-3C1F121FC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57167583"/>
        <c:axId val="1234417135"/>
      </c:barChart>
      <c:catAx>
        <c:axId val="12571675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4417135"/>
        <c:crosses val="autoZero"/>
        <c:auto val="1"/>
        <c:lblAlgn val="ctr"/>
        <c:lblOffset val="100"/>
        <c:noMultiLvlLbl val="0"/>
      </c:catAx>
      <c:valAx>
        <c:axId val="123441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5716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Graficos!$AU$1262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Graficos!$AT$1263:$AT$1277</c:f>
              <c:strCache>
                <c:ptCount val="15"/>
                <c:pt idx="0">
                  <c:v>Boris (2)</c:v>
                </c:pt>
                <c:pt idx="1">
                  <c:v>Agalloch (2)</c:v>
                </c:pt>
                <c:pt idx="2">
                  <c:v>Iron Maiden (2)</c:v>
                </c:pt>
                <c:pt idx="3">
                  <c:v>Boards of Canada (3)</c:v>
                </c:pt>
                <c:pt idx="4">
                  <c:v>Dire Straits (3)</c:v>
                </c:pt>
                <c:pt idx="5">
                  <c:v>Sweet Trip (2)</c:v>
                </c:pt>
                <c:pt idx="6">
                  <c:v>David Bowie (2)</c:v>
                </c:pt>
                <c:pt idx="7">
                  <c:v>Supertramp (2)</c:v>
                </c:pt>
                <c:pt idx="8">
                  <c:v>Porcupine Tree (4)</c:v>
                </c:pt>
                <c:pt idx="9">
                  <c:v>Led Zeppelin (2)</c:v>
                </c:pt>
                <c:pt idx="10">
                  <c:v>King Crimson (4)</c:v>
                </c:pt>
                <c:pt idx="11">
                  <c:v>TOOL (7)</c:v>
                </c:pt>
                <c:pt idx="12">
                  <c:v>Godspeed You! Black Emperor (3)</c:v>
                </c:pt>
                <c:pt idx="13">
                  <c:v>Yes (2)</c:v>
                </c:pt>
                <c:pt idx="14">
                  <c:v>Pink Floyd (5)</c:v>
                </c:pt>
              </c:strCache>
            </c:strRef>
          </c:cat>
          <c:val>
            <c:numRef>
              <c:f>Graficos!$AU$1263:$AU$1277</c:f>
              <c:numCache>
                <c:formatCode>General</c:formatCode>
                <c:ptCount val="15"/>
                <c:pt idx="0">
                  <c:v>8.77</c:v>
                </c:pt>
                <c:pt idx="1">
                  <c:v>8.77</c:v>
                </c:pt>
                <c:pt idx="2">
                  <c:v>8.81</c:v>
                </c:pt>
                <c:pt idx="3">
                  <c:v>8.84</c:v>
                </c:pt>
                <c:pt idx="4">
                  <c:v>8.86</c:v>
                </c:pt>
                <c:pt idx="5">
                  <c:v>8.89</c:v>
                </c:pt>
                <c:pt idx="6">
                  <c:v>8.9</c:v>
                </c:pt>
                <c:pt idx="7">
                  <c:v>8.91</c:v>
                </c:pt>
                <c:pt idx="8">
                  <c:v>8.91</c:v>
                </c:pt>
                <c:pt idx="9">
                  <c:v>8.99</c:v>
                </c:pt>
                <c:pt idx="10">
                  <c:v>9.1</c:v>
                </c:pt>
                <c:pt idx="11">
                  <c:v>9.16</c:v>
                </c:pt>
                <c:pt idx="12">
                  <c:v>9.24</c:v>
                </c:pt>
                <c:pt idx="13">
                  <c:v>9.2799999999999994</c:v>
                </c:pt>
                <c:pt idx="14">
                  <c:v>9.35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4E07-93DD-D546FBA27D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65256143"/>
        <c:axId val="1234416175"/>
      </c:barChart>
      <c:catAx>
        <c:axId val="13652561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4416175"/>
        <c:crosses val="autoZero"/>
        <c:auto val="1"/>
        <c:lblAlgn val="ctr"/>
        <c:lblOffset val="100"/>
        <c:noMultiLvlLbl val="0"/>
      </c:catAx>
      <c:valAx>
        <c:axId val="12344161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65256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por nº de álbumes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Graficos!$AU$1280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Graficos!$AT$1281:$AT$1295</c:f>
              <c:strCache>
                <c:ptCount val="15"/>
                <c:pt idx="0">
                  <c:v>Godspeed You! Black Emperor</c:v>
                </c:pt>
                <c:pt idx="1">
                  <c:v>Dire Straits</c:v>
                </c:pt>
                <c:pt idx="2">
                  <c:v>Deftones</c:v>
                </c:pt>
                <c:pt idx="3">
                  <c:v>Coldplay</c:v>
                </c:pt>
                <c:pt idx="4">
                  <c:v>Boards of Canada</c:v>
                </c:pt>
                <c:pt idx="5">
                  <c:v>Porcupine Tree</c:v>
                </c:pt>
                <c:pt idx="6">
                  <c:v>King Crimson</c:v>
                </c:pt>
                <c:pt idx="7">
                  <c:v>Gorillaz</c:v>
                </c:pt>
                <c:pt idx="8">
                  <c:v>Pink Floyd</c:v>
                </c:pt>
                <c:pt idx="9">
                  <c:v>Daft Punk</c:v>
                </c:pt>
                <c:pt idx="10">
                  <c:v>Aphex Twin</c:v>
                </c:pt>
                <c:pt idx="11">
                  <c:v>TOOL</c:v>
                </c:pt>
                <c:pt idx="12">
                  <c:v>Metallica</c:v>
                </c:pt>
                <c:pt idx="13">
                  <c:v>Radiohead</c:v>
                </c:pt>
                <c:pt idx="14">
                  <c:v>Opeth</c:v>
                </c:pt>
              </c:strCache>
            </c:strRef>
          </c:cat>
          <c:val>
            <c:numRef>
              <c:f>Graficos!$AU$1281:$AU$1295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5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7</c:v>
                </c:pt>
                <c:pt idx="13">
                  <c:v>9</c:v>
                </c:pt>
                <c:pt idx="1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8B-48B2-A5D2-99B3B855E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65269135"/>
        <c:axId val="1234415695"/>
      </c:barChart>
      <c:catAx>
        <c:axId val="13652691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4415695"/>
        <c:crosses val="autoZero"/>
        <c:auto val="1"/>
        <c:lblAlgn val="ctr"/>
        <c:lblOffset val="100"/>
        <c:noMultiLvlLbl val="0"/>
      </c:catAx>
      <c:valAx>
        <c:axId val="12344156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6526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130809</xdr:colOff>
      <xdr:row>0</xdr:row>
      <xdr:rowOff>134619</xdr:rowOff>
    </xdr:from>
    <xdr:to>
      <xdr:col>9</xdr:col>
      <xdr:colOff>229869</xdr:colOff>
      <xdr:row>19</xdr:row>
      <xdr:rowOff>144144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466D4F-8B64-AF84-A5E3-8BE866967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545465</xdr:colOff>
      <xdr:row>0</xdr:row>
      <xdr:rowOff>134619</xdr:rowOff>
    </xdr:from>
    <xdr:to>
      <xdr:col>18</xdr:col>
      <xdr:colOff>636905</xdr:colOff>
      <xdr:row>19</xdr:row>
      <xdr:rowOff>144144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07C7D31-7A41-E34D-C932-D33F43624E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130809</xdr:colOff>
      <xdr:row>21</xdr:row>
      <xdr:rowOff>53974</xdr:rowOff>
    </xdr:from>
    <xdr:to>
      <xdr:col>9</xdr:col>
      <xdr:colOff>229869</xdr:colOff>
      <xdr:row>40</xdr:row>
      <xdr:rowOff>63499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4F77C22-A7F0-BA14-D207-27673E7376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545465</xdr:colOff>
      <xdr:row>21</xdr:row>
      <xdr:rowOff>53974</xdr:rowOff>
    </xdr:from>
    <xdr:to>
      <xdr:col>18</xdr:col>
      <xdr:colOff>636905</xdr:colOff>
      <xdr:row>40</xdr:row>
      <xdr:rowOff>63499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EB4DA2F-8C95-A487-3FD7-5D983CD396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130809</xdr:colOff>
      <xdr:row>41</xdr:row>
      <xdr:rowOff>177164</xdr:rowOff>
    </xdr:from>
    <xdr:to>
      <xdr:col>9</xdr:col>
      <xdr:colOff>229869</xdr:colOff>
      <xdr:row>60</xdr:row>
      <xdr:rowOff>186689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65B933F-00D7-C0C3-1092-B8B7EB79DF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545465</xdr:colOff>
      <xdr:row>41</xdr:row>
      <xdr:rowOff>177164</xdr:rowOff>
    </xdr:from>
    <xdr:to>
      <xdr:col>18</xdr:col>
      <xdr:colOff>636905</xdr:colOff>
      <xdr:row>60</xdr:row>
      <xdr:rowOff>186689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BD14A51-4A56-1D79-18B5-1760FF132F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130809</xdr:colOff>
      <xdr:row>62</xdr:row>
      <xdr:rowOff>104139</xdr:rowOff>
    </xdr:from>
    <xdr:to>
      <xdr:col>9</xdr:col>
      <xdr:colOff>229869</xdr:colOff>
      <xdr:row>81</xdr:row>
      <xdr:rowOff>113664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85ECC20-7A7C-C9EB-A470-911705B27A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545465</xdr:colOff>
      <xdr:row>62</xdr:row>
      <xdr:rowOff>104139</xdr:rowOff>
    </xdr:from>
    <xdr:to>
      <xdr:col>18</xdr:col>
      <xdr:colOff>636905</xdr:colOff>
      <xdr:row>81</xdr:row>
      <xdr:rowOff>113664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882B13B-78EF-F330-BC24-68E4A1ECEA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130809</xdr:colOff>
      <xdr:row>83</xdr:row>
      <xdr:rowOff>34925</xdr:rowOff>
    </xdr:from>
    <xdr:to>
      <xdr:col>9</xdr:col>
      <xdr:colOff>229869</xdr:colOff>
      <xdr:row>102</xdr:row>
      <xdr:rowOff>44450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F9E37B6-F117-0E3F-3DC5-22E48B0F6F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545465</xdr:colOff>
      <xdr:row>83</xdr:row>
      <xdr:rowOff>34925</xdr:rowOff>
    </xdr:from>
    <xdr:to>
      <xdr:col>18</xdr:col>
      <xdr:colOff>636905</xdr:colOff>
      <xdr:row>102</xdr:row>
      <xdr:rowOff>44450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168D9DC-50FF-E60F-81DB-8ED90A7D07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130809</xdr:colOff>
      <xdr:row>103</xdr:row>
      <xdr:rowOff>167640</xdr:rowOff>
    </xdr:from>
    <xdr:to>
      <xdr:col>9</xdr:col>
      <xdr:colOff>229869</xdr:colOff>
      <xdr:row>122</xdr:row>
      <xdr:rowOff>177165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33511281-FF73-0E40-91AA-865D2CEA62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545465</xdr:colOff>
      <xdr:row>103</xdr:row>
      <xdr:rowOff>167640</xdr:rowOff>
    </xdr:from>
    <xdr:to>
      <xdr:col>18</xdr:col>
      <xdr:colOff>636905</xdr:colOff>
      <xdr:row>122</xdr:row>
      <xdr:rowOff>177165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F439D7C-F203-BBB0-64D9-7F071D5BC7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130809</xdr:colOff>
      <xdr:row>124</xdr:row>
      <xdr:rowOff>96519</xdr:rowOff>
    </xdr:from>
    <xdr:to>
      <xdr:col>9</xdr:col>
      <xdr:colOff>229869</xdr:colOff>
      <xdr:row>143</xdr:row>
      <xdr:rowOff>106044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3D03F80-7A3A-2020-4EA9-D9F64D56A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545465</xdr:colOff>
      <xdr:row>124</xdr:row>
      <xdr:rowOff>96519</xdr:rowOff>
    </xdr:from>
    <xdr:to>
      <xdr:col>18</xdr:col>
      <xdr:colOff>636905</xdr:colOff>
      <xdr:row>143</xdr:row>
      <xdr:rowOff>106044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FB3099E-FC69-9A3E-A074-249493DCC2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130809</xdr:colOff>
      <xdr:row>145</xdr:row>
      <xdr:rowOff>15874</xdr:rowOff>
    </xdr:from>
    <xdr:to>
      <xdr:col>9</xdr:col>
      <xdr:colOff>229869</xdr:colOff>
      <xdr:row>164</xdr:row>
      <xdr:rowOff>25399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DA20A8F-3B7F-59AF-B8FB-40CDCC8FF1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545465</xdr:colOff>
      <xdr:row>145</xdr:row>
      <xdr:rowOff>15874</xdr:rowOff>
    </xdr:from>
    <xdr:to>
      <xdr:col>18</xdr:col>
      <xdr:colOff>636905</xdr:colOff>
      <xdr:row>164</xdr:row>
      <xdr:rowOff>25399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EB92979-470D-B9DD-DF67-ADAC2F25CE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130809</xdr:colOff>
      <xdr:row>165</xdr:row>
      <xdr:rowOff>139064</xdr:rowOff>
    </xdr:from>
    <xdr:to>
      <xdr:col>9</xdr:col>
      <xdr:colOff>229869</xdr:colOff>
      <xdr:row>184</xdr:row>
      <xdr:rowOff>148589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4E479C45-5F46-D845-4CFC-8FC1903570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9</xdr:col>
      <xdr:colOff>545465</xdr:colOff>
      <xdr:row>165</xdr:row>
      <xdr:rowOff>139064</xdr:rowOff>
    </xdr:from>
    <xdr:to>
      <xdr:col>18</xdr:col>
      <xdr:colOff>636905</xdr:colOff>
      <xdr:row>184</xdr:row>
      <xdr:rowOff>148589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873A057D-F7CA-E10B-D9CD-AFFBEEAA65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130809</xdr:colOff>
      <xdr:row>186</xdr:row>
      <xdr:rowOff>66039</xdr:rowOff>
    </xdr:from>
    <xdr:to>
      <xdr:col>9</xdr:col>
      <xdr:colOff>229869</xdr:colOff>
      <xdr:row>205</xdr:row>
      <xdr:rowOff>75564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3EB18EBC-DAE1-DF7F-B7B1-5A6638A5A1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</xdr:col>
      <xdr:colOff>545465</xdr:colOff>
      <xdr:row>186</xdr:row>
      <xdr:rowOff>66039</xdr:rowOff>
    </xdr:from>
    <xdr:to>
      <xdr:col>18</xdr:col>
      <xdr:colOff>636905</xdr:colOff>
      <xdr:row>205</xdr:row>
      <xdr:rowOff>75564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C7167BD6-55DC-54CA-F62F-FCDA4B60D9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130809</xdr:colOff>
      <xdr:row>207</xdr:row>
      <xdr:rowOff>635</xdr:rowOff>
    </xdr:from>
    <xdr:to>
      <xdr:col>9</xdr:col>
      <xdr:colOff>229869</xdr:colOff>
      <xdr:row>226</xdr:row>
      <xdr:rowOff>10160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861C8CB3-B7E3-6ABB-DC7E-EFDD8E7DBC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</xdr:col>
      <xdr:colOff>545465</xdr:colOff>
      <xdr:row>207</xdr:row>
      <xdr:rowOff>635</xdr:rowOff>
    </xdr:from>
    <xdr:to>
      <xdr:col>18</xdr:col>
      <xdr:colOff>636905</xdr:colOff>
      <xdr:row>226</xdr:row>
      <xdr:rowOff>10160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6A7C112C-7C47-05D6-B5CA-F97D1FCC1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2"/>
  <sheetViews>
    <sheetView zoomScale="80" zoomScaleNormal="80" workbookViewId="0">
      <selection activeCell="J23" sqref="J23"/>
    </sheetView>
  </sheetViews>
  <sheetFormatPr defaultColWidth="8.796875" defaultRowHeight="15.6" x14ac:dyDescent="0.3"/>
  <cols>
    <col min="1" max="1" width="14" customWidth="1"/>
    <col min="2" max="2" width="17.796875" customWidth="1"/>
  </cols>
  <sheetData>
    <row r="1" spans="1:2" x14ac:dyDescent="0.3">
      <c r="A1" t="s">
        <v>3403</v>
      </c>
    </row>
    <row r="2" spans="1:2" x14ac:dyDescent="0.3">
      <c r="A2" t="s">
        <v>3404</v>
      </c>
    </row>
    <row r="4" spans="1:2" x14ac:dyDescent="0.3">
      <c r="A4" s="386" t="s">
        <v>3405</v>
      </c>
    </row>
    <row r="5" spans="1:2" x14ac:dyDescent="0.3">
      <c r="A5" t="s">
        <v>3406</v>
      </c>
    </row>
    <row r="6" spans="1:2" x14ac:dyDescent="0.3">
      <c r="B6" t="s">
        <v>3407</v>
      </c>
    </row>
    <row r="7" spans="1:2" x14ac:dyDescent="0.3">
      <c r="B7" t="s">
        <v>3408</v>
      </c>
    </row>
    <row r="8" spans="1:2" x14ac:dyDescent="0.3">
      <c r="B8" t="s">
        <v>3409</v>
      </c>
    </row>
    <row r="9" spans="1:2" x14ac:dyDescent="0.3">
      <c r="B9" t="s">
        <v>3410</v>
      </c>
    </row>
    <row r="10" spans="1:2" x14ac:dyDescent="0.3">
      <c r="A10" t="s">
        <v>3418</v>
      </c>
    </row>
    <row r="11" spans="1:2" x14ac:dyDescent="0.3">
      <c r="B11" t="s">
        <v>3411</v>
      </c>
    </row>
    <row r="12" spans="1:2" x14ac:dyDescent="0.3">
      <c r="B12" t="s">
        <v>3412</v>
      </c>
    </row>
    <row r="13" spans="1:2" x14ac:dyDescent="0.3">
      <c r="B13" t="s">
        <v>3413</v>
      </c>
    </row>
    <row r="14" spans="1:2" x14ac:dyDescent="0.3">
      <c r="A14" t="s">
        <v>3414</v>
      </c>
    </row>
    <row r="15" spans="1:2" x14ac:dyDescent="0.3">
      <c r="B15" t="s">
        <v>3415</v>
      </c>
    </row>
    <row r="16" spans="1:2" x14ac:dyDescent="0.3">
      <c r="B16" t="s">
        <v>3416</v>
      </c>
    </row>
    <row r="17" spans="1:3" x14ac:dyDescent="0.3">
      <c r="B17" t="s">
        <v>3465</v>
      </c>
    </row>
    <row r="18" spans="1:3" x14ac:dyDescent="0.3">
      <c r="B18" t="s">
        <v>3417</v>
      </c>
    </row>
    <row r="19" spans="1:3" x14ac:dyDescent="0.3">
      <c r="A19" t="s">
        <v>3419</v>
      </c>
    </row>
    <row r="20" spans="1:3" x14ac:dyDescent="0.3">
      <c r="B20" t="s">
        <v>3420</v>
      </c>
    </row>
    <row r="21" spans="1:3" x14ac:dyDescent="0.3">
      <c r="B21" t="s">
        <v>3421</v>
      </c>
    </row>
    <row r="22" spans="1:3" x14ac:dyDescent="0.3">
      <c r="B22" t="s">
        <v>3422</v>
      </c>
    </row>
    <row r="23" spans="1:3" x14ac:dyDescent="0.3">
      <c r="A23" t="s">
        <v>3423</v>
      </c>
    </row>
    <row r="24" spans="1:3" x14ac:dyDescent="0.3">
      <c r="A24" t="s">
        <v>3455</v>
      </c>
    </row>
    <row r="27" spans="1:3" x14ac:dyDescent="0.3">
      <c r="A27" t="s">
        <v>3460</v>
      </c>
    </row>
    <row r="29" spans="1:3" x14ac:dyDescent="0.3">
      <c r="A29" t="s">
        <v>3424</v>
      </c>
    </row>
    <row r="30" spans="1:3" x14ac:dyDescent="0.3">
      <c r="A30" s="387" t="s">
        <v>3435</v>
      </c>
      <c r="B30" s="387" t="s">
        <v>3436</v>
      </c>
      <c r="C30" s="387" t="s">
        <v>3437</v>
      </c>
    </row>
    <row r="31" spans="1:3" x14ac:dyDescent="0.3">
      <c r="A31" t="s">
        <v>3425</v>
      </c>
      <c r="B31" t="s">
        <v>3426</v>
      </c>
      <c r="C31" t="s">
        <v>3440</v>
      </c>
    </row>
    <row r="32" spans="1:3" x14ac:dyDescent="0.3">
      <c r="A32" t="s">
        <v>3427</v>
      </c>
      <c r="B32" t="s">
        <v>3432</v>
      </c>
      <c r="C32" t="s">
        <v>3438</v>
      </c>
    </row>
    <row r="33" spans="1:3" x14ac:dyDescent="0.3">
      <c r="A33" t="s">
        <v>3428</v>
      </c>
      <c r="B33" t="s">
        <v>3433</v>
      </c>
    </row>
    <row r="34" spans="1:3" x14ac:dyDescent="0.3">
      <c r="A34" t="s">
        <v>3429</v>
      </c>
      <c r="B34" t="s">
        <v>3433</v>
      </c>
    </row>
    <row r="35" spans="1:3" x14ac:dyDescent="0.3">
      <c r="A35" t="s">
        <v>3430</v>
      </c>
      <c r="B35" t="s">
        <v>3433</v>
      </c>
    </row>
    <row r="36" spans="1:3" x14ac:dyDescent="0.3">
      <c r="A36" t="s">
        <v>3434</v>
      </c>
      <c r="B36" t="s">
        <v>3432</v>
      </c>
      <c r="C36" t="s">
        <v>3439</v>
      </c>
    </row>
    <row r="37" spans="1:3" x14ac:dyDescent="0.3">
      <c r="A37" t="s">
        <v>3431</v>
      </c>
      <c r="B37" t="s">
        <v>3433</v>
      </c>
    </row>
    <row r="39" spans="1:3" x14ac:dyDescent="0.3">
      <c r="A39" t="s">
        <v>3442</v>
      </c>
    </row>
    <row r="40" spans="1:3" x14ac:dyDescent="0.3">
      <c r="A40" t="s">
        <v>3443</v>
      </c>
    </row>
    <row r="41" spans="1:3" x14ac:dyDescent="0.3">
      <c r="A41" t="s">
        <v>3444</v>
      </c>
    </row>
    <row r="43" spans="1:3" x14ac:dyDescent="0.3">
      <c r="A43" t="s">
        <v>3445</v>
      </c>
    </row>
    <row r="44" spans="1:3" x14ac:dyDescent="0.3">
      <c r="A44" t="s">
        <v>3446</v>
      </c>
    </row>
    <row r="46" spans="1:3" x14ac:dyDescent="0.3">
      <c r="A46" t="s">
        <v>3447</v>
      </c>
    </row>
    <row r="47" spans="1:3" x14ac:dyDescent="0.3">
      <c r="A47" s="387" t="s">
        <v>3435</v>
      </c>
      <c r="B47" s="387" t="s">
        <v>3436</v>
      </c>
      <c r="C47" s="387" t="s">
        <v>3437</v>
      </c>
    </row>
    <row r="48" spans="1:3" x14ac:dyDescent="0.3">
      <c r="A48" t="s">
        <v>3425</v>
      </c>
      <c r="B48" s="388" t="s">
        <v>3448</v>
      </c>
      <c r="C48" t="s">
        <v>3451</v>
      </c>
    </row>
    <row r="49" spans="1:3" x14ac:dyDescent="0.3">
      <c r="A49" t="s">
        <v>3427</v>
      </c>
      <c r="B49" s="388" t="s">
        <v>3449</v>
      </c>
      <c r="C49" t="s">
        <v>3452</v>
      </c>
    </row>
    <row r="50" spans="1:3" x14ac:dyDescent="0.3">
      <c r="A50" t="s">
        <v>3428</v>
      </c>
      <c r="B50" t="s">
        <v>3450</v>
      </c>
      <c r="C50" t="s">
        <v>3453</v>
      </c>
    </row>
    <row r="51" spans="1:3" x14ac:dyDescent="0.3">
      <c r="A51" t="s">
        <v>3429</v>
      </c>
      <c r="B51" t="s">
        <v>3450</v>
      </c>
      <c r="C51" t="s">
        <v>3453</v>
      </c>
    </row>
    <row r="52" spans="1:3" x14ac:dyDescent="0.3">
      <c r="A52" t="s">
        <v>3430</v>
      </c>
      <c r="B52" t="s">
        <v>3450</v>
      </c>
      <c r="C52" t="s">
        <v>3453</v>
      </c>
    </row>
    <row r="53" spans="1:3" x14ac:dyDescent="0.3">
      <c r="A53" t="s">
        <v>3434</v>
      </c>
      <c r="B53" s="388" t="s">
        <v>3448</v>
      </c>
      <c r="C53" t="s">
        <v>3454</v>
      </c>
    </row>
    <row r="54" spans="1:3" x14ac:dyDescent="0.3">
      <c r="A54" t="s">
        <v>3431</v>
      </c>
      <c r="B54" t="s">
        <v>3450</v>
      </c>
      <c r="C54" t="s">
        <v>3453</v>
      </c>
    </row>
    <row r="55" spans="1:3" x14ac:dyDescent="0.3">
      <c r="A55" t="s">
        <v>3458</v>
      </c>
    </row>
    <row r="57" spans="1:3" x14ac:dyDescent="0.3">
      <c r="A57" t="s">
        <v>3456</v>
      </c>
    </row>
    <row r="59" spans="1:3" x14ac:dyDescent="0.3">
      <c r="A59" t="s">
        <v>3457</v>
      </c>
    </row>
    <row r="60" spans="1:3" x14ac:dyDescent="0.3">
      <c r="B60" t="s">
        <v>3461</v>
      </c>
    </row>
    <row r="62" spans="1:3" x14ac:dyDescent="0.3">
      <c r="A62" t="s">
        <v>3459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opLeftCell="G1" zoomScaleNormal="100" zoomScaleSheetLayoutView="90" workbookViewId="0">
      <pane ySplit="1" topLeftCell="A604" activePane="bottomLeft" state="frozen"/>
      <selection pane="bottomLeft" activeCell="M622" sqref="M622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1770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1956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2156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402" t="s">
        <v>2532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1710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3375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1450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1308</v>
      </c>
      <c r="B229" s="134">
        <v>9</v>
      </c>
      <c r="C229" s="2"/>
      <c r="D229" s="222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1409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1410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1411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1412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1413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1447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1430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1414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1435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1421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1415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1436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1422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1437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1438</v>
      </c>
      <c r="B250" s="134"/>
      <c r="C250" s="2"/>
      <c r="D250" s="4" t="s">
        <v>1382</v>
      </c>
      <c r="E250" s="134">
        <v>9</v>
      </c>
      <c r="F250" s="2"/>
      <c r="G250" s="4" t="s">
        <v>1423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1451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1439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1424</v>
      </c>
      <c r="H251" s="134">
        <v>8.5</v>
      </c>
      <c r="I251" s="2"/>
      <c r="J251" s="2"/>
      <c r="K251" s="2"/>
      <c r="L251" s="2"/>
      <c r="M251" s="4" t="s">
        <v>1453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1440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1425</v>
      </c>
      <c r="H252" s="134">
        <v>8</v>
      </c>
      <c r="I252" s="2"/>
      <c r="J252" s="114" t="s">
        <v>1492</v>
      </c>
      <c r="K252" s="1">
        <f>ROUND(SUM(K253:K262)/COUNT(K253:K262), 2)</f>
        <v>8</v>
      </c>
      <c r="L252" s="2"/>
      <c r="M252" s="4" t="s">
        <v>1454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1441</v>
      </c>
      <c r="B253" s="134">
        <v>10.5</v>
      </c>
      <c r="C253" s="2"/>
      <c r="D253" s="2"/>
      <c r="E253" s="2"/>
      <c r="F253" s="2"/>
      <c r="G253" s="4" t="s">
        <v>1426</v>
      </c>
      <c r="H253" s="134">
        <v>9</v>
      </c>
      <c r="I253" s="2"/>
      <c r="J253" s="11" t="s">
        <v>1482</v>
      </c>
      <c r="K253" s="133">
        <v>8.5</v>
      </c>
      <c r="L253" s="2"/>
      <c r="M253" s="4" t="s">
        <v>1455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1442</v>
      </c>
      <c r="B254" s="134">
        <v>9</v>
      </c>
      <c r="C254" s="2"/>
      <c r="D254" s="115" t="s">
        <v>1496</v>
      </c>
      <c r="E254" s="1">
        <f>ROUND(SUM(E255:E264)/COUNT(E255:E264), 2)</f>
        <v>8.44</v>
      </c>
      <c r="F254" s="2"/>
      <c r="G254" s="4" t="s">
        <v>1427</v>
      </c>
      <c r="H254" s="134">
        <v>8</v>
      </c>
      <c r="I254" s="2"/>
      <c r="J254" s="4" t="s">
        <v>1483</v>
      </c>
      <c r="K254" s="134">
        <v>7.5</v>
      </c>
      <c r="L254" s="2"/>
      <c r="M254" s="4" t="s">
        <v>1456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1443</v>
      </c>
      <c r="B255" s="134">
        <v>8</v>
      </c>
      <c r="C255" s="2"/>
      <c r="D255" s="11" t="s">
        <v>1497</v>
      </c>
      <c r="E255" s="133">
        <v>8.5</v>
      </c>
      <c r="F255" s="2"/>
      <c r="G255" s="4" t="s">
        <v>1428</v>
      </c>
      <c r="H255" s="134">
        <v>8</v>
      </c>
      <c r="I255" s="2"/>
      <c r="J255" s="4" t="s">
        <v>1484</v>
      </c>
      <c r="K255" s="134">
        <v>9.5</v>
      </c>
      <c r="L255" s="2"/>
      <c r="M255" s="4" t="s">
        <v>1457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1444</v>
      </c>
      <c r="B256" s="134">
        <v>8</v>
      </c>
      <c r="C256" s="2"/>
      <c r="D256" s="4" t="s">
        <v>1498</v>
      </c>
      <c r="E256" s="134">
        <v>10</v>
      </c>
      <c r="F256" s="2"/>
      <c r="G256" s="7" t="s">
        <v>1429</v>
      </c>
      <c r="H256" s="135">
        <v>8</v>
      </c>
      <c r="I256" s="2"/>
      <c r="J256" s="4" t="s">
        <v>1485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1445</v>
      </c>
      <c r="B257" s="134">
        <v>8.5</v>
      </c>
      <c r="C257" s="2"/>
      <c r="D257" s="4" t="s">
        <v>1499</v>
      </c>
      <c r="E257" s="134">
        <v>9.5</v>
      </c>
      <c r="F257" s="2"/>
      <c r="G257" s="2"/>
      <c r="H257" s="2"/>
      <c r="I257" s="2"/>
      <c r="J257" s="4" t="s">
        <v>1486</v>
      </c>
      <c r="K257" s="134">
        <v>9</v>
      </c>
      <c r="L257" s="2"/>
      <c r="M257" s="4" t="s">
        <v>1458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1446</v>
      </c>
      <c r="B258" s="135">
        <v>8.5</v>
      </c>
      <c r="C258" s="2"/>
      <c r="D258" s="4" t="s">
        <v>1500</v>
      </c>
      <c r="E258" s="134">
        <v>10</v>
      </c>
      <c r="F258" s="2"/>
      <c r="G258" s="116" t="s">
        <v>1509</v>
      </c>
      <c r="H258" s="12">
        <f>ROUND(SUM(H259:H263)/COUNT(H259:H263), 2)</f>
        <v>8.9</v>
      </c>
      <c r="I258" s="2"/>
      <c r="J258" s="4" t="s">
        <v>1487</v>
      </c>
      <c r="K258" s="134">
        <v>6.5</v>
      </c>
      <c r="L258" s="2"/>
      <c r="M258" s="4" t="s">
        <v>1459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1501</v>
      </c>
      <c r="E259" s="134"/>
      <c r="F259" s="2"/>
      <c r="G259" s="11" t="s">
        <v>1510</v>
      </c>
      <c r="H259" s="133">
        <v>9</v>
      </c>
      <c r="I259" s="2"/>
      <c r="J259" s="4" t="s">
        <v>1488</v>
      </c>
      <c r="K259" s="134"/>
      <c r="L259" s="2"/>
      <c r="M259" s="4" t="s">
        <v>1460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1518</v>
      </c>
      <c r="B260" s="1">
        <f>ROUND(SUM(B261:B270)/COUNT(B261:B270), 2)</f>
        <v>8.75</v>
      </c>
      <c r="C260" s="2"/>
      <c r="D260" s="4" t="s">
        <v>1502</v>
      </c>
      <c r="E260" s="134">
        <v>8</v>
      </c>
      <c r="F260" s="2"/>
      <c r="G260" s="4" t="s">
        <v>1511</v>
      </c>
      <c r="H260" s="134">
        <v>8.5</v>
      </c>
      <c r="I260" s="2"/>
      <c r="J260" s="4" t="s">
        <v>1489</v>
      </c>
      <c r="K260" s="134">
        <v>7.5</v>
      </c>
      <c r="L260" s="2"/>
      <c r="M260" s="4" t="s">
        <v>1461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1519</v>
      </c>
      <c r="B261" s="134">
        <v>8</v>
      </c>
      <c r="C261" s="2"/>
      <c r="D261" s="4" t="s">
        <v>1503</v>
      </c>
      <c r="E261" s="134">
        <v>9</v>
      </c>
      <c r="F261" s="2"/>
      <c r="G261" s="4" t="s">
        <v>1512</v>
      </c>
      <c r="H261" s="134">
        <v>9</v>
      </c>
      <c r="I261" s="2"/>
      <c r="J261" s="4" t="s">
        <v>1490</v>
      </c>
      <c r="K261" s="134">
        <v>8.5</v>
      </c>
      <c r="L261" s="2"/>
      <c r="M261" s="4" t="s">
        <v>1462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1520</v>
      </c>
      <c r="B262" s="134">
        <v>9.5</v>
      </c>
      <c r="C262" s="2"/>
      <c r="D262" s="4" t="s">
        <v>1504</v>
      </c>
      <c r="E262" s="134">
        <v>8</v>
      </c>
      <c r="F262" s="2"/>
      <c r="G262" s="4" t="s">
        <v>1513</v>
      </c>
      <c r="H262" s="134">
        <v>8</v>
      </c>
      <c r="I262" s="2"/>
      <c r="J262" s="7" t="s">
        <v>1491</v>
      </c>
      <c r="K262" s="135">
        <v>7.5</v>
      </c>
      <c r="L262" s="2"/>
      <c r="M262" s="4" t="s">
        <v>1463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1521</v>
      </c>
      <c r="B263" s="134">
        <v>10</v>
      </c>
      <c r="C263" s="2"/>
      <c r="D263" s="4" t="s">
        <v>1505</v>
      </c>
      <c r="E263" s="134">
        <v>7</v>
      </c>
      <c r="F263" s="2"/>
      <c r="G263" s="7" t="s">
        <v>1514</v>
      </c>
      <c r="H263" s="135">
        <v>10</v>
      </c>
      <c r="I263" s="2"/>
      <c r="J263" s="2"/>
      <c r="K263" s="2"/>
      <c r="L263" s="2"/>
      <c r="M263" s="4" t="s">
        <v>1464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1522</v>
      </c>
      <c r="B264" s="134">
        <v>9.5</v>
      </c>
      <c r="C264" s="2"/>
      <c r="D264" s="7" t="s">
        <v>1506</v>
      </c>
      <c r="E264" s="135">
        <v>6</v>
      </c>
      <c r="F264" s="2"/>
      <c r="G264" s="2"/>
      <c r="H264" s="2"/>
      <c r="I264" s="2"/>
      <c r="J264" s="118" t="s">
        <v>1533</v>
      </c>
      <c r="K264" s="1">
        <f>ROUND(SUM(K265:K274)/COUNT(K265:K274), 2)</f>
        <v>8.94</v>
      </c>
      <c r="L264" s="2"/>
      <c r="M264" s="4" t="s">
        <v>1465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1523</v>
      </c>
      <c r="B265" s="134">
        <v>8</v>
      </c>
      <c r="C265" s="2"/>
      <c r="D265" s="2"/>
      <c r="E265" s="2"/>
      <c r="F265" s="2"/>
      <c r="G265" s="120" t="s">
        <v>1567</v>
      </c>
      <c r="H265" s="12">
        <f>ROUND(SUM(H266:H274)/COUNT(H266:H274), 2)</f>
        <v>8.75</v>
      </c>
      <c r="I265" s="2"/>
      <c r="J265" s="11" t="s">
        <v>1534</v>
      </c>
      <c r="K265" s="133">
        <v>8</v>
      </c>
      <c r="L265" s="2"/>
      <c r="M265" s="4" t="s">
        <v>1466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1524</v>
      </c>
      <c r="B266" s="134">
        <v>8.5</v>
      </c>
      <c r="C266" s="2"/>
      <c r="D266" s="119" t="s">
        <v>1544</v>
      </c>
      <c r="E266" s="12">
        <f>ROUND(SUM(E267:E276)/COUNT(E267:E276), 2)</f>
        <v>8.6</v>
      </c>
      <c r="F266" s="2"/>
      <c r="G266" s="11" t="s">
        <v>1558</v>
      </c>
      <c r="H266" s="133">
        <v>8.5</v>
      </c>
      <c r="I266" s="2"/>
      <c r="J266" s="4" t="s">
        <v>1535</v>
      </c>
      <c r="K266" s="134">
        <v>8.5</v>
      </c>
      <c r="L266" s="2"/>
      <c r="M266" s="4" t="s">
        <v>1467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1525</v>
      </c>
      <c r="B267" s="134">
        <v>8.5</v>
      </c>
      <c r="C267" s="2"/>
      <c r="D267" s="11" t="s">
        <v>1545</v>
      </c>
      <c r="E267" s="133">
        <v>9.5</v>
      </c>
      <c r="F267" s="2"/>
      <c r="G267" s="4" t="s">
        <v>1559</v>
      </c>
      <c r="H267" s="134">
        <v>10</v>
      </c>
      <c r="I267" s="2"/>
      <c r="J267" s="4" t="s">
        <v>1536</v>
      </c>
      <c r="K267" s="134">
        <v>8.5</v>
      </c>
      <c r="L267" s="2"/>
      <c r="M267" s="4" t="s">
        <v>1468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1526</v>
      </c>
      <c r="B268" s="134">
        <v>8</v>
      </c>
      <c r="C268" s="2"/>
      <c r="D268" s="4" t="s">
        <v>1546</v>
      </c>
      <c r="E268" s="134">
        <v>8.5</v>
      </c>
      <c r="F268" s="2"/>
      <c r="G268" s="4" t="s">
        <v>1566</v>
      </c>
      <c r="H268" s="134">
        <v>9</v>
      </c>
      <c r="I268" s="2"/>
      <c r="J268" s="4" t="s">
        <v>1537</v>
      </c>
      <c r="K268" s="134">
        <v>9</v>
      </c>
      <c r="L268" s="2"/>
      <c r="M268" s="4" t="s">
        <v>1469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1527</v>
      </c>
      <c r="B269" s="134">
        <v>7.5</v>
      </c>
      <c r="C269" s="2"/>
      <c r="D269" s="4" t="s">
        <v>1547</v>
      </c>
      <c r="E269" s="134">
        <v>8.5</v>
      </c>
      <c r="F269" s="2"/>
      <c r="G269" s="4" t="s">
        <v>1560</v>
      </c>
      <c r="H269" s="134">
        <v>8.5</v>
      </c>
      <c r="I269" s="2"/>
      <c r="J269" s="4" t="s">
        <v>1538</v>
      </c>
      <c r="K269" s="134">
        <v>10</v>
      </c>
      <c r="L269" s="2"/>
      <c r="M269" s="4" t="s">
        <v>1470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1528</v>
      </c>
      <c r="B270" s="135">
        <v>10</v>
      </c>
      <c r="C270" s="2"/>
      <c r="D270" s="4" t="s">
        <v>1548</v>
      </c>
      <c r="E270" s="134">
        <v>8</v>
      </c>
      <c r="F270" s="2"/>
      <c r="G270" s="4" t="s">
        <v>1561</v>
      </c>
      <c r="H270" s="134">
        <v>8.5</v>
      </c>
      <c r="I270" s="2"/>
      <c r="J270" s="4" t="s">
        <v>1539</v>
      </c>
      <c r="K270" s="134">
        <v>10.5</v>
      </c>
      <c r="L270" s="2"/>
      <c r="M270" s="4" t="s">
        <v>1471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1549</v>
      </c>
      <c r="E271" s="134">
        <v>7.5</v>
      </c>
      <c r="F271" s="2"/>
      <c r="G271" s="4" t="s">
        <v>1562</v>
      </c>
      <c r="H271" s="134"/>
      <c r="I271" s="2"/>
      <c r="J271" s="4" t="s">
        <v>1540</v>
      </c>
      <c r="K271" s="134"/>
      <c r="L271" s="2"/>
      <c r="M271" s="4" t="s">
        <v>1472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1572</v>
      </c>
      <c r="B272" s="12">
        <f>ROUND(SUM(B273:B277)/COUNT(B273:B277), 2)</f>
        <v>8.4</v>
      </c>
      <c r="C272" s="2"/>
      <c r="D272" s="4" t="s">
        <v>1550</v>
      </c>
      <c r="E272" s="134">
        <v>9.5</v>
      </c>
      <c r="F272" s="2"/>
      <c r="G272" s="4" t="s">
        <v>1563</v>
      </c>
      <c r="H272" s="134">
        <v>8.5</v>
      </c>
      <c r="I272" s="2"/>
      <c r="J272" s="4" t="s">
        <v>1541</v>
      </c>
      <c r="K272" s="134">
        <v>9</v>
      </c>
      <c r="L272" s="2"/>
      <c r="M272" s="4" t="s">
        <v>1473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1573</v>
      </c>
      <c r="B273" s="134">
        <v>8.5</v>
      </c>
      <c r="C273" s="2"/>
      <c r="D273" s="4" t="s">
        <v>1551</v>
      </c>
      <c r="E273" s="134">
        <v>10</v>
      </c>
      <c r="F273" s="2"/>
      <c r="G273" s="4" t="s">
        <v>1564</v>
      </c>
      <c r="H273" s="134">
        <v>9</v>
      </c>
      <c r="I273" s="2"/>
      <c r="J273" s="4" t="s">
        <v>1542</v>
      </c>
      <c r="K273" s="134">
        <v>8.5</v>
      </c>
      <c r="L273" s="2"/>
      <c r="M273" s="4" t="s">
        <v>1474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1574</v>
      </c>
      <c r="B274" s="134">
        <v>9</v>
      </c>
      <c r="C274" s="2"/>
      <c r="D274" s="4" t="s">
        <v>1552</v>
      </c>
      <c r="E274" s="134">
        <v>8</v>
      </c>
      <c r="F274" s="2"/>
      <c r="G274" s="7" t="s">
        <v>1565</v>
      </c>
      <c r="H274" s="135">
        <v>8</v>
      </c>
      <c r="I274" s="2"/>
      <c r="J274" s="7" t="s">
        <v>1543</v>
      </c>
      <c r="K274" s="135">
        <v>8.5</v>
      </c>
      <c r="L274" s="2"/>
      <c r="M274" s="4" t="s">
        <v>1475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1575</v>
      </c>
      <c r="B275" s="134">
        <v>8.5</v>
      </c>
      <c r="C275" s="2"/>
      <c r="D275" s="4" t="s">
        <v>1553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1476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1576</v>
      </c>
      <c r="B276" s="134">
        <v>8</v>
      </c>
      <c r="C276" s="2"/>
      <c r="D276" s="7" t="s">
        <v>1554</v>
      </c>
      <c r="E276" s="135">
        <v>9</v>
      </c>
      <c r="F276" s="2"/>
      <c r="G276" s="122" t="s">
        <v>1582</v>
      </c>
      <c r="H276" s="1">
        <f>ROUND(SUM(H277:H286)/COUNT(H277:H286), 2)</f>
        <v>8.85</v>
      </c>
      <c r="I276" s="2"/>
      <c r="J276" s="123" t="s">
        <v>1605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1577</v>
      </c>
      <c r="B277" s="135">
        <v>8</v>
      </c>
      <c r="C277" s="2"/>
      <c r="D277" s="2"/>
      <c r="E277" s="2"/>
      <c r="F277" s="2"/>
      <c r="G277" s="11" t="s">
        <v>1583</v>
      </c>
      <c r="H277" s="133">
        <v>9.5</v>
      </c>
      <c r="I277" s="2"/>
      <c r="J277" s="11" t="s">
        <v>1595</v>
      </c>
      <c r="K277" s="133">
        <v>8.5</v>
      </c>
      <c r="L277" s="2"/>
      <c r="M277" s="125" t="s">
        <v>1616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1606</v>
      </c>
      <c r="E278" s="12">
        <f>ROUND(SUM(E279:E286)/COUNT(E279:E286), 2)</f>
        <v>8.81</v>
      </c>
      <c r="F278" s="2"/>
      <c r="G278" s="4" t="s">
        <v>1584</v>
      </c>
      <c r="H278" s="134">
        <v>9</v>
      </c>
      <c r="I278" s="2"/>
      <c r="J278" s="4" t="s">
        <v>1596</v>
      </c>
      <c r="K278" s="134">
        <v>9</v>
      </c>
      <c r="L278" s="2"/>
      <c r="M278" s="4" t="s">
        <v>1617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1623</v>
      </c>
      <c r="B279" s="12">
        <f>ROUND(SUM(B280:B307)/COUNT(B280:B307), 2)</f>
        <v>8.57</v>
      </c>
      <c r="C279" s="2"/>
      <c r="D279" s="11" t="s">
        <v>1607</v>
      </c>
      <c r="E279" s="133">
        <v>8</v>
      </c>
      <c r="F279" s="2"/>
      <c r="G279" s="4" t="s">
        <v>1585</v>
      </c>
      <c r="H279" s="134">
        <v>10</v>
      </c>
      <c r="I279" s="2"/>
      <c r="J279" s="4" t="s">
        <v>1597</v>
      </c>
      <c r="K279" s="134"/>
      <c r="L279" s="2"/>
      <c r="M279" s="4" t="s">
        <v>1618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1624</v>
      </c>
      <c r="B280" s="133"/>
      <c r="C280" s="2"/>
      <c r="D280" s="4" t="s">
        <v>1608</v>
      </c>
      <c r="E280" s="134">
        <v>8.5</v>
      </c>
      <c r="F280" s="2"/>
      <c r="G280" s="4" t="s">
        <v>1586</v>
      </c>
      <c r="H280" s="134">
        <v>8.5</v>
      </c>
      <c r="I280" s="2"/>
      <c r="J280" s="4" t="s">
        <v>1598</v>
      </c>
      <c r="K280" s="134">
        <v>8.5</v>
      </c>
      <c r="L280" s="2"/>
      <c r="M280" s="4" t="s">
        <v>1619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1625</v>
      </c>
      <c r="B281" s="134">
        <v>10</v>
      </c>
      <c r="C281" s="2"/>
      <c r="D281" s="4" t="s">
        <v>1609</v>
      </c>
      <c r="E281" s="134">
        <v>8</v>
      </c>
      <c r="F281" s="2"/>
      <c r="G281" s="4" t="s">
        <v>1587</v>
      </c>
      <c r="H281" s="134">
        <v>8</v>
      </c>
      <c r="I281" s="2"/>
      <c r="J281" s="4" t="s">
        <v>1599</v>
      </c>
      <c r="K281" s="134">
        <v>10</v>
      </c>
      <c r="L281" s="2"/>
      <c r="M281" s="4" t="s">
        <v>1620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1626</v>
      </c>
      <c r="B282" s="134">
        <v>8</v>
      </c>
      <c r="C282" s="2"/>
      <c r="D282" s="4" t="s">
        <v>1610</v>
      </c>
      <c r="E282" s="134">
        <v>8.5</v>
      </c>
      <c r="F282" s="2"/>
      <c r="G282" s="4" t="s">
        <v>1588</v>
      </c>
      <c r="H282" s="134">
        <v>8.5</v>
      </c>
      <c r="I282" s="2"/>
      <c r="J282" s="4" t="s">
        <v>1600</v>
      </c>
      <c r="K282" s="134">
        <v>8</v>
      </c>
      <c r="L282" s="2"/>
      <c r="M282" s="7" t="s">
        <v>1621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1627</v>
      </c>
      <c r="B283" s="134">
        <v>9.5</v>
      </c>
      <c r="C283" s="2"/>
      <c r="D283" s="4" t="s">
        <v>1611</v>
      </c>
      <c r="E283" s="134">
        <v>10</v>
      </c>
      <c r="F283" s="2"/>
      <c r="G283" s="4" t="s">
        <v>1589</v>
      </c>
      <c r="H283" s="134">
        <v>8.5</v>
      </c>
      <c r="I283" s="2"/>
      <c r="J283" s="4" t="s">
        <v>1601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1628</v>
      </c>
      <c r="B284" s="134">
        <v>8</v>
      </c>
      <c r="C284" s="2"/>
      <c r="D284" s="4" t="s">
        <v>1612</v>
      </c>
      <c r="E284" s="134">
        <v>9.5</v>
      </c>
      <c r="F284" s="2"/>
      <c r="G284" s="4" t="s">
        <v>1590</v>
      </c>
      <c r="H284" s="134">
        <v>9</v>
      </c>
      <c r="I284" s="2"/>
      <c r="J284" s="7" t="s">
        <v>1602</v>
      </c>
      <c r="K284" s="135">
        <v>8</v>
      </c>
      <c r="L284" s="2"/>
      <c r="M284" s="132" t="s">
        <v>1652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1629</v>
      </c>
      <c r="B285" s="134">
        <v>10</v>
      </c>
      <c r="C285" s="2"/>
      <c r="D285" s="4" t="s">
        <v>1613</v>
      </c>
      <c r="E285" s="134">
        <v>8</v>
      </c>
      <c r="F285" s="2"/>
      <c r="G285" s="4" t="s">
        <v>1591</v>
      </c>
      <c r="H285" s="134">
        <v>8.5</v>
      </c>
      <c r="I285" s="2"/>
      <c r="J285" s="2"/>
      <c r="K285" s="2"/>
      <c r="L285" s="2"/>
      <c r="M285" s="11" t="s">
        <v>1653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1630</v>
      </c>
      <c r="B286" s="134">
        <v>9</v>
      </c>
      <c r="C286" s="2"/>
      <c r="D286" s="7" t="s">
        <v>1614</v>
      </c>
      <c r="E286" s="135">
        <v>10</v>
      </c>
      <c r="F286" s="2"/>
      <c r="G286" s="7" t="s">
        <v>1592</v>
      </c>
      <c r="H286" s="135">
        <v>9</v>
      </c>
      <c r="I286" s="2"/>
      <c r="J286" s="128" t="s">
        <v>1674</v>
      </c>
      <c r="K286" s="1">
        <f>ROUND(SUM(K287:K294)/COUNT(K287:K294), 2)</f>
        <v>8.25</v>
      </c>
      <c r="L286" s="2"/>
      <c r="M286" s="4" t="s">
        <v>1654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1631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1666</v>
      </c>
      <c r="K287" s="134">
        <v>9.5</v>
      </c>
      <c r="L287" s="2"/>
      <c r="M287" s="4" t="s">
        <v>1655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1632</v>
      </c>
      <c r="B288" s="134">
        <v>7.5</v>
      </c>
      <c r="C288" s="2"/>
      <c r="D288" s="129" t="s">
        <v>1676</v>
      </c>
      <c r="E288" s="12">
        <f>ROUND(SUM(E289:E297)/COUNT(E289:E297), 2)</f>
        <v>8.5</v>
      </c>
      <c r="F288" s="2"/>
      <c r="G288" s="370" t="s">
        <v>3268</v>
      </c>
      <c r="H288" s="12">
        <f>ROUND(SUM(H289:H294)/COUNT(H289:H294), 2)</f>
        <v>8.92</v>
      </c>
      <c r="I288" s="2"/>
      <c r="J288" s="4" t="s">
        <v>1667</v>
      </c>
      <c r="K288" s="134">
        <v>9.5</v>
      </c>
      <c r="L288" s="2"/>
      <c r="M288" s="4" t="s">
        <v>1656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1633</v>
      </c>
      <c r="B289" s="134">
        <v>8.5</v>
      </c>
      <c r="C289" s="2"/>
      <c r="D289" s="11" t="s">
        <v>1677</v>
      </c>
      <c r="E289" s="133">
        <v>8</v>
      </c>
      <c r="F289" s="2"/>
      <c r="G289" s="11" t="s">
        <v>1688</v>
      </c>
      <c r="H289" s="133">
        <v>9</v>
      </c>
      <c r="I289" s="2"/>
      <c r="J289" s="4" t="s">
        <v>1668</v>
      </c>
      <c r="K289" s="134">
        <v>8.5</v>
      </c>
      <c r="L289" s="2"/>
      <c r="M289" s="4" t="s">
        <v>1657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1634</v>
      </c>
      <c r="B290" s="134">
        <v>8.5</v>
      </c>
      <c r="C290" s="2"/>
      <c r="D290" s="4" t="s">
        <v>1678</v>
      </c>
      <c r="E290" s="134">
        <v>9</v>
      </c>
      <c r="F290" s="2"/>
      <c r="G290" s="4" t="s">
        <v>1689</v>
      </c>
      <c r="H290" s="134">
        <v>8.5</v>
      </c>
      <c r="I290" s="2"/>
      <c r="J290" s="4" t="s">
        <v>1669</v>
      </c>
      <c r="K290" s="134">
        <v>7</v>
      </c>
      <c r="L290" s="2"/>
      <c r="M290" s="4" t="s">
        <v>1658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1635</v>
      </c>
      <c r="B291" s="134">
        <v>8</v>
      </c>
      <c r="C291" s="2"/>
      <c r="D291" s="4" t="s">
        <v>1679</v>
      </c>
      <c r="E291" s="134">
        <v>8.5</v>
      </c>
      <c r="F291" s="2"/>
      <c r="G291" s="4" t="s">
        <v>1690</v>
      </c>
      <c r="H291" s="134">
        <v>8</v>
      </c>
      <c r="I291" s="2"/>
      <c r="J291" s="4" t="s">
        <v>1670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1636</v>
      </c>
      <c r="B292" s="134">
        <v>9</v>
      </c>
      <c r="C292" s="2"/>
      <c r="D292" s="4" t="s">
        <v>1680</v>
      </c>
      <c r="E292" s="134">
        <v>8.5</v>
      </c>
      <c r="F292" s="2"/>
      <c r="G292" s="4" t="s">
        <v>1691</v>
      </c>
      <c r="H292" s="134">
        <v>9.5</v>
      </c>
      <c r="I292" s="2"/>
      <c r="J292" s="4" t="s">
        <v>1671</v>
      </c>
      <c r="K292" s="134">
        <v>8</v>
      </c>
      <c r="L292" s="2"/>
      <c r="M292" s="4" t="s">
        <v>1659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1637</v>
      </c>
      <c r="B293" s="134">
        <v>8.5</v>
      </c>
      <c r="C293" s="2"/>
      <c r="D293" s="4" t="s">
        <v>1681</v>
      </c>
      <c r="E293" s="134">
        <v>9</v>
      </c>
      <c r="F293" s="2"/>
      <c r="G293" s="4" t="s">
        <v>1692</v>
      </c>
      <c r="H293" s="134">
        <v>8.5</v>
      </c>
      <c r="I293" s="2"/>
      <c r="J293" s="4" t="s">
        <v>1672</v>
      </c>
      <c r="K293" s="134">
        <v>7</v>
      </c>
      <c r="L293" s="2"/>
      <c r="M293" s="4" t="s">
        <v>1660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1638</v>
      </c>
      <c r="B294" s="134">
        <v>8</v>
      </c>
      <c r="C294" s="2"/>
      <c r="D294" s="4" t="s">
        <v>1682</v>
      </c>
      <c r="E294" s="134">
        <v>8</v>
      </c>
      <c r="F294" s="2"/>
      <c r="G294" s="7" t="s">
        <v>1693</v>
      </c>
      <c r="H294" s="135">
        <v>10</v>
      </c>
      <c r="I294" s="2"/>
      <c r="J294" s="7" t="s">
        <v>1673</v>
      </c>
      <c r="K294" s="135">
        <v>9</v>
      </c>
      <c r="L294" s="2"/>
      <c r="M294" s="4" t="s">
        <v>1661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1639</v>
      </c>
      <c r="B295" s="134">
        <v>8</v>
      </c>
      <c r="C295" s="2"/>
      <c r="D295" s="4" t="s">
        <v>1683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1662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1640</v>
      </c>
      <c r="B296" s="134">
        <v>9</v>
      </c>
      <c r="C296" s="2"/>
      <c r="D296" s="4" t="s">
        <v>1684</v>
      </c>
      <c r="E296" s="134">
        <v>8.5</v>
      </c>
      <c r="F296" s="2"/>
      <c r="G296" s="130" t="s">
        <v>1698</v>
      </c>
      <c r="H296" s="12">
        <f>ROUND(SUM(H297:H307)/COUNT(H297:H307), 2)</f>
        <v>3.68</v>
      </c>
      <c r="I296" s="2"/>
      <c r="J296" s="146" t="s">
        <v>1711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1641</v>
      </c>
      <c r="B297" s="134">
        <v>8</v>
      </c>
      <c r="C297" s="2"/>
      <c r="D297" s="7" t="s">
        <v>1685</v>
      </c>
      <c r="E297" s="135">
        <v>8</v>
      </c>
      <c r="F297" s="2"/>
      <c r="G297" s="11" t="s">
        <v>1699</v>
      </c>
      <c r="H297" s="133">
        <v>6.5</v>
      </c>
      <c r="I297" s="2"/>
      <c r="J297" s="11" t="s">
        <v>1712</v>
      </c>
      <c r="K297" s="133">
        <v>9</v>
      </c>
      <c r="L297" s="2"/>
      <c r="M297" s="147" t="s">
        <v>1726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1700</v>
      </c>
      <c r="H298" s="134">
        <v>5</v>
      </c>
      <c r="I298" s="2"/>
      <c r="J298" s="4" t="s">
        <v>1713</v>
      </c>
      <c r="K298" s="134">
        <v>8.5</v>
      </c>
      <c r="L298" s="2"/>
      <c r="M298" s="11" t="s">
        <v>1719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1642</v>
      </c>
      <c r="B299" s="134">
        <v>7</v>
      </c>
      <c r="C299" s="2"/>
      <c r="D299" s="148" t="s">
        <v>1729</v>
      </c>
      <c r="E299" s="12">
        <f>ROUND(SUM(E300:E309)/COUNT(E300:E309), 2)</f>
        <v>8.2899999999999991</v>
      </c>
      <c r="F299" s="2"/>
      <c r="G299" s="4" t="s">
        <v>1701</v>
      </c>
      <c r="H299" s="134">
        <v>5.5</v>
      </c>
      <c r="I299" s="2"/>
      <c r="J299" s="4" t="s">
        <v>1714</v>
      </c>
      <c r="K299" s="134">
        <v>9</v>
      </c>
      <c r="L299" s="2"/>
      <c r="M299" s="4" t="s">
        <v>1720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1643</v>
      </c>
      <c r="B300" s="134">
        <v>8.5</v>
      </c>
      <c r="C300" s="2"/>
      <c r="D300" s="11" t="s">
        <v>1730</v>
      </c>
      <c r="E300" s="133"/>
      <c r="F300" s="2"/>
      <c r="G300" s="4" t="s">
        <v>1702</v>
      </c>
      <c r="H300" s="134">
        <v>4</v>
      </c>
      <c r="I300" s="2"/>
      <c r="J300" s="4" t="s">
        <v>1715</v>
      </c>
      <c r="K300" s="134">
        <v>8.5</v>
      </c>
      <c r="L300" s="2"/>
      <c r="M300" s="4" t="s">
        <v>1721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1644</v>
      </c>
      <c r="B301" s="134">
        <v>8.5</v>
      </c>
      <c r="C301" s="2"/>
      <c r="D301" s="4" t="s">
        <v>1731</v>
      </c>
      <c r="E301" s="134">
        <v>8.5</v>
      </c>
      <c r="F301" s="2"/>
      <c r="G301" s="4" t="s">
        <v>1703</v>
      </c>
      <c r="H301" s="134">
        <v>3</v>
      </c>
      <c r="I301" s="2"/>
      <c r="J301" s="4" t="s">
        <v>1716</v>
      </c>
      <c r="K301" s="134">
        <v>8</v>
      </c>
      <c r="L301" s="2"/>
      <c r="M301" s="4" t="s">
        <v>1722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1645</v>
      </c>
      <c r="B302" s="134">
        <v>7.5</v>
      </c>
      <c r="C302" s="2"/>
      <c r="D302" s="4" t="s">
        <v>1732</v>
      </c>
      <c r="E302" s="134">
        <v>9</v>
      </c>
      <c r="F302" s="2"/>
      <c r="G302" s="4" t="s">
        <v>1704</v>
      </c>
      <c r="H302" s="134">
        <v>3</v>
      </c>
      <c r="I302" s="2"/>
      <c r="J302" s="7" t="s">
        <v>1717</v>
      </c>
      <c r="K302" s="135">
        <v>10.5</v>
      </c>
      <c r="L302" s="2"/>
      <c r="M302" s="4" t="s">
        <v>1723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1646</v>
      </c>
      <c r="B303" s="134">
        <v>8.5</v>
      </c>
      <c r="C303" s="2"/>
      <c r="D303" s="4" t="s">
        <v>1733</v>
      </c>
      <c r="E303" s="134"/>
      <c r="F303" s="2"/>
      <c r="G303" s="4" t="s">
        <v>1705</v>
      </c>
      <c r="H303" s="134">
        <v>3</v>
      </c>
      <c r="I303" s="2"/>
      <c r="J303" s="2"/>
      <c r="K303" s="2"/>
      <c r="L303" s="2"/>
      <c r="M303" s="4" t="s">
        <v>1724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1647</v>
      </c>
      <c r="B304" s="134">
        <v>9</v>
      </c>
      <c r="C304" s="2"/>
      <c r="D304" s="4" t="s">
        <v>1734</v>
      </c>
      <c r="E304" s="134">
        <v>7.5</v>
      </c>
      <c r="F304" s="2"/>
      <c r="G304" s="4" t="s">
        <v>1706</v>
      </c>
      <c r="H304" s="134">
        <v>3.5</v>
      </c>
      <c r="I304" s="2"/>
      <c r="J304" s="149" t="s">
        <v>1753</v>
      </c>
      <c r="K304" s="12">
        <f>ROUND(SUM(K305:K316)/COUNT(K305:K316), 2)</f>
        <v>9</v>
      </c>
      <c r="L304" s="2"/>
      <c r="M304" s="7" t="s">
        <v>1725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1648</v>
      </c>
      <c r="B305" s="134">
        <v>8.5</v>
      </c>
      <c r="C305" s="2"/>
      <c r="D305" s="4" t="s">
        <v>1735</v>
      </c>
      <c r="E305" s="134">
        <v>8.5</v>
      </c>
      <c r="F305" s="2"/>
      <c r="G305" s="4" t="s">
        <v>1707</v>
      </c>
      <c r="H305" s="134">
        <v>3</v>
      </c>
      <c r="I305" s="2"/>
      <c r="J305" s="11" t="s">
        <v>1741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1649</v>
      </c>
      <c r="B306" s="134">
        <v>9</v>
      </c>
      <c r="C306" s="2"/>
      <c r="D306" s="4" t="s">
        <v>1736</v>
      </c>
      <c r="E306" s="134">
        <v>8</v>
      </c>
      <c r="F306" s="2"/>
      <c r="G306" s="4" t="s">
        <v>1708</v>
      </c>
      <c r="H306" s="134">
        <v>2</v>
      </c>
      <c r="I306" s="2"/>
      <c r="J306" s="4" t="s">
        <v>1742</v>
      </c>
      <c r="K306" s="134">
        <v>10</v>
      </c>
      <c r="L306" s="2"/>
      <c r="M306" s="150" t="s">
        <v>1756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1650</v>
      </c>
      <c r="B307" s="135">
        <v>8.5</v>
      </c>
      <c r="C307" s="2"/>
      <c r="D307" s="4" t="s">
        <v>1737</v>
      </c>
      <c r="E307" s="134">
        <v>8</v>
      </c>
      <c r="F307" s="2"/>
      <c r="G307" s="7" t="s">
        <v>1709</v>
      </c>
      <c r="H307" s="135">
        <v>2</v>
      </c>
      <c r="I307" s="2"/>
      <c r="J307" s="4" t="s">
        <v>1743</v>
      </c>
      <c r="K307" s="134">
        <v>9</v>
      </c>
      <c r="L307" s="2"/>
      <c r="M307" s="11" t="s">
        <v>1757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1738</v>
      </c>
      <c r="E308" s="135">
        <v>8.5</v>
      </c>
      <c r="F308" s="2"/>
      <c r="G308" s="2"/>
      <c r="H308" s="2"/>
      <c r="I308" s="2"/>
      <c r="J308" s="4" t="s">
        <v>1744</v>
      </c>
      <c r="K308" s="134">
        <v>9</v>
      </c>
      <c r="L308" s="2"/>
      <c r="M308" s="4" t="s">
        <v>1758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1771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1801</v>
      </c>
      <c r="H309" s="12">
        <f>ROUND(SUM(H310:H327)/COUNT(H310:H327), 2)</f>
        <v>7.31</v>
      </c>
      <c r="I309" s="2"/>
      <c r="J309" s="4" t="s">
        <v>1745</v>
      </c>
      <c r="K309" s="134">
        <v>9</v>
      </c>
      <c r="L309" s="2"/>
      <c r="M309" s="4" t="s">
        <v>1759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1772</v>
      </c>
      <c r="B310" s="133">
        <v>7.5</v>
      </c>
      <c r="C310" s="2"/>
      <c r="D310" s="153" t="s">
        <v>1891</v>
      </c>
      <c r="E310" s="12">
        <f>ROUND(SUM(E311:E318)/COUNT(E311:E318), 2)</f>
        <v>8.5</v>
      </c>
      <c r="F310" s="2"/>
      <c r="G310" s="11" t="s">
        <v>1783</v>
      </c>
      <c r="H310" s="133">
        <v>8.5</v>
      </c>
      <c r="I310" s="2"/>
      <c r="J310" s="4" t="s">
        <v>1746</v>
      </c>
      <c r="K310" s="134">
        <v>10</v>
      </c>
      <c r="L310" s="2"/>
      <c r="M310" s="4" t="s">
        <v>1760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1773</v>
      </c>
      <c r="B311" s="134">
        <v>8.5</v>
      </c>
      <c r="C311" s="2"/>
      <c r="D311" s="11" t="s">
        <v>1892</v>
      </c>
      <c r="E311" s="133">
        <v>8.5</v>
      </c>
      <c r="F311" s="2"/>
      <c r="G311" s="4" t="s">
        <v>1784</v>
      </c>
      <c r="H311" s="134">
        <v>7.5</v>
      </c>
      <c r="I311" s="2"/>
      <c r="J311" s="4" t="s">
        <v>1747</v>
      </c>
      <c r="K311" s="134">
        <v>8</v>
      </c>
      <c r="L311" s="2"/>
      <c r="M311" s="4" t="s">
        <v>1761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1078</v>
      </c>
      <c r="B312" s="134">
        <v>8</v>
      </c>
      <c r="C312" s="2"/>
      <c r="D312" s="4" t="s">
        <v>1893</v>
      </c>
      <c r="E312" s="134">
        <v>8.5</v>
      </c>
      <c r="F312" s="2"/>
      <c r="G312" s="4" t="s">
        <v>1785</v>
      </c>
      <c r="H312" s="134">
        <v>8.5</v>
      </c>
      <c r="I312" s="2"/>
      <c r="J312" s="4" t="s">
        <v>1748</v>
      </c>
      <c r="K312" s="134">
        <v>8.5</v>
      </c>
      <c r="L312" s="2"/>
      <c r="M312" s="4" t="s">
        <v>1762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1774</v>
      </c>
      <c r="B313" s="134">
        <v>8</v>
      </c>
      <c r="C313" s="2"/>
      <c r="D313" s="4" t="s">
        <v>1894</v>
      </c>
      <c r="E313" s="134">
        <v>9</v>
      </c>
      <c r="F313" s="2"/>
      <c r="G313" s="4" t="s">
        <v>1786</v>
      </c>
      <c r="H313" s="134">
        <v>8.5</v>
      </c>
      <c r="I313" s="2"/>
      <c r="J313" s="4" t="s">
        <v>1749</v>
      </c>
      <c r="K313" s="134">
        <v>8.5</v>
      </c>
      <c r="L313" s="2"/>
      <c r="M313" s="4" t="s">
        <v>1763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1775</v>
      </c>
      <c r="B314" s="134">
        <v>9.5</v>
      </c>
      <c r="C314" s="2"/>
      <c r="D314" s="4" t="s">
        <v>1895</v>
      </c>
      <c r="E314" s="134">
        <v>9</v>
      </c>
      <c r="F314" s="2"/>
      <c r="G314" s="4" t="s">
        <v>1787</v>
      </c>
      <c r="H314" s="134">
        <v>7.5</v>
      </c>
      <c r="I314" s="2"/>
      <c r="J314" s="4" t="s">
        <v>1750</v>
      </c>
      <c r="K314" s="134">
        <v>9.5</v>
      </c>
      <c r="L314" s="2"/>
      <c r="M314" s="4" t="s">
        <v>1764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1776</v>
      </c>
      <c r="B315" s="134">
        <v>7</v>
      </c>
      <c r="C315" s="2"/>
      <c r="D315" s="4" t="s">
        <v>1896</v>
      </c>
      <c r="E315" s="134">
        <v>8</v>
      </c>
      <c r="F315" s="2"/>
      <c r="G315" s="4" t="s">
        <v>1788</v>
      </c>
      <c r="H315" s="134">
        <v>7</v>
      </c>
      <c r="I315" s="2"/>
      <c r="J315" s="4" t="s">
        <v>1751</v>
      </c>
      <c r="K315" s="134">
        <v>9.5</v>
      </c>
      <c r="L315" s="2"/>
      <c r="M315" s="4" t="s">
        <v>1765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1777</v>
      </c>
      <c r="B316" s="134">
        <v>10</v>
      </c>
      <c r="C316" s="2"/>
      <c r="D316" s="4" t="s">
        <v>1897</v>
      </c>
      <c r="E316" s="134">
        <v>8</v>
      </c>
      <c r="F316" s="2"/>
      <c r="G316" s="4" t="s">
        <v>1789</v>
      </c>
      <c r="H316" s="134">
        <v>7</v>
      </c>
      <c r="I316" s="2"/>
      <c r="J316" s="7" t="s">
        <v>1752</v>
      </c>
      <c r="K316" s="135">
        <v>8.5</v>
      </c>
      <c r="L316" s="2"/>
      <c r="M316" s="7" t="s">
        <v>1766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1778</v>
      </c>
      <c r="B317" s="134">
        <v>8.5</v>
      </c>
      <c r="C317" s="2"/>
      <c r="D317" s="4" t="s">
        <v>1898</v>
      </c>
      <c r="E317" s="134">
        <v>8.5</v>
      </c>
      <c r="F317" s="2"/>
      <c r="G317" s="4" t="s">
        <v>1790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1779</v>
      </c>
      <c r="B318" s="134">
        <v>7.5</v>
      </c>
      <c r="C318" s="2"/>
      <c r="D318" s="7" t="s">
        <v>1899</v>
      </c>
      <c r="E318" s="135">
        <v>8.5</v>
      </c>
      <c r="F318" s="2"/>
      <c r="G318" s="4" t="s">
        <v>1791</v>
      </c>
      <c r="H318" s="134">
        <v>7</v>
      </c>
      <c r="I318" s="2"/>
      <c r="J318" s="155" t="s">
        <v>1911</v>
      </c>
      <c r="K318" s="12">
        <f>ROUND(SUM(K319:K326)/COUNT(K319:K326), 2)</f>
        <v>8.43</v>
      </c>
      <c r="L318" s="2"/>
      <c r="M318" s="156" t="s">
        <v>1923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1780</v>
      </c>
      <c r="B319" s="134">
        <v>7.5</v>
      </c>
      <c r="C319" s="2"/>
      <c r="D319" s="2"/>
      <c r="E319" s="2"/>
      <c r="F319" s="2"/>
      <c r="G319" s="4" t="s">
        <v>1792</v>
      </c>
      <c r="H319" s="134">
        <v>7</v>
      </c>
      <c r="I319" s="2"/>
      <c r="J319" s="11" t="s">
        <v>1912</v>
      </c>
      <c r="K319" s="133"/>
      <c r="L319" s="2"/>
      <c r="M319" s="11" t="s">
        <v>1924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1781</v>
      </c>
      <c r="B320" s="135">
        <v>8</v>
      </c>
      <c r="C320" s="2"/>
      <c r="D320" s="154" t="s">
        <v>1901</v>
      </c>
      <c r="E320" s="12">
        <f>ROUND(SUM(E321:E326)/COUNT(E321:E326), 2)</f>
        <v>8.67</v>
      </c>
      <c r="F320" s="2"/>
      <c r="G320" s="4" t="s">
        <v>1793</v>
      </c>
      <c r="H320" s="134">
        <v>7.5</v>
      </c>
      <c r="I320" s="2"/>
      <c r="J320" s="4" t="s">
        <v>1913</v>
      </c>
      <c r="K320" s="134">
        <v>8.5</v>
      </c>
      <c r="L320" s="2"/>
      <c r="M320" s="4" t="s">
        <v>1925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1902</v>
      </c>
      <c r="E321" s="133">
        <v>8.5</v>
      </c>
      <c r="F321" s="2"/>
      <c r="G321" s="4" t="s">
        <v>1794</v>
      </c>
      <c r="H321" s="134">
        <v>6</v>
      </c>
      <c r="I321" s="2"/>
      <c r="J321" s="4" t="s">
        <v>1914</v>
      </c>
      <c r="K321" s="134">
        <v>9</v>
      </c>
      <c r="L321" s="2"/>
      <c r="M321" s="4" t="s">
        <v>1926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1934</v>
      </c>
      <c r="B322" s="12">
        <f>ROUND(SUM(B323:B341)/COUNT(B323:B341), 2)</f>
        <v>8.3800000000000008</v>
      </c>
      <c r="C322" s="2"/>
      <c r="D322" s="4" t="s">
        <v>1903</v>
      </c>
      <c r="E322" s="134">
        <v>9</v>
      </c>
      <c r="F322" s="2"/>
      <c r="G322" s="4" t="s">
        <v>1795</v>
      </c>
      <c r="H322" s="134">
        <v>7</v>
      </c>
      <c r="I322" s="2"/>
      <c r="J322" s="4" t="s">
        <v>1915</v>
      </c>
      <c r="K322" s="134">
        <v>8.5</v>
      </c>
      <c r="L322" s="2"/>
      <c r="M322" s="4" t="s">
        <v>1927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1341</v>
      </c>
      <c r="B323" s="133"/>
      <c r="C323" s="2"/>
      <c r="D323" s="4" t="s">
        <v>1904</v>
      </c>
      <c r="E323" s="134">
        <v>8.5</v>
      </c>
      <c r="F323" s="2"/>
      <c r="G323" s="4" t="s">
        <v>1796</v>
      </c>
      <c r="H323" s="134">
        <v>8</v>
      </c>
      <c r="I323" s="2"/>
      <c r="J323" s="4" t="s">
        <v>1916</v>
      </c>
      <c r="K323" s="134">
        <v>8.5</v>
      </c>
      <c r="L323" s="2"/>
      <c r="M323" s="4" t="s">
        <v>1928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1935</v>
      </c>
      <c r="B324" s="134">
        <v>8</v>
      </c>
      <c r="C324" s="2"/>
      <c r="D324" s="4" t="s">
        <v>1905</v>
      </c>
      <c r="E324" s="134">
        <v>7.5</v>
      </c>
      <c r="F324" s="2"/>
      <c r="G324" s="4" t="s">
        <v>1797</v>
      </c>
      <c r="H324" s="134">
        <v>7.5</v>
      </c>
      <c r="I324" s="2"/>
      <c r="J324" s="4" t="s">
        <v>1917</v>
      </c>
      <c r="K324" s="134">
        <v>7.5</v>
      </c>
      <c r="L324" s="2"/>
      <c r="M324" s="4" t="s">
        <v>1929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1936</v>
      </c>
      <c r="B325" s="134">
        <v>8</v>
      </c>
      <c r="C325" s="2"/>
      <c r="D325" s="4" t="s">
        <v>1906</v>
      </c>
      <c r="E325" s="134">
        <v>9</v>
      </c>
      <c r="F325" s="2"/>
      <c r="G325" s="4" t="s">
        <v>1798</v>
      </c>
      <c r="H325" s="134">
        <v>7</v>
      </c>
      <c r="I325" s="2"/>
      <c r="J325" s="4" t="s">
        <v>1918</v>
      </c>
      <c r="K325" s="134">
        <v>8</v>
      </c>
      <c r="L325" s="2"/>
      <c r="M325" s="4" t="s">
        <v>1930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1937</v>
      </c>
      <c r="B326" s="134">
        <v>8.5</v>
      </c>
      <c r="C326" s="2"/>
      <c r="D326" s="7" t="s">
        <v>1907</v>
      </c>
      <c r="E326" s="135">
        <v>9.5</v>
      </c>
      <c r="F326" s="2"/>
      <c r="G326" s="4" t="s">
        <v>1799</v>
      </c>
      <c r="H326" s="134">
        <v>6</v>
      </c>
      <c r="I326" s="2"/>
      <c r="J326" s="7" t="s">
        <v>1919</v>
      </c>
      <c r="K326" s="135">
        <v>9</v>
      </c>
      <c r="L326" s="2"/>
      <c r="M326" s="7" t="s">
        <v>1931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1938</v>
      </c>
      <c r="B327" s="134">
        <v>8</v>
      </c>
      <c r="C327" s="2"/>
      <c r="D327" s="2"/>
      <c r="E327" s="2"/>
      <c r="F327" s="2"/>
      <c r="G327" s="7" t="s">
        <v>1800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1939</v>
      </c>
      <c r="B328" s="134">
        <v>9</v>
      </c>
      <c r="C328" s="2"/>
      <c r="D328" s="159" t="s">
        <v>1957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2087</v>
      </c>
      <c r="K328" s="12">
        <f>ROUND(SUM(K329:K338)/COUNT(K329:K338), 2)</f>
        <v>8.6</v>
      </c>
      <c r="L328" s="2"/>
      <c r="M328" s="160" t="s">
        <v>2006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1940</v>
      </c>
      <c r="B329" s="134">
        <v>8.5</v>
      </c>
      <c r="C329" s="2"/>
      <c r="D329" s="11" t="s">
        <v>1958</v>
      </c>
      <c r="E329" s="133">
        <v>8.5</v>
      </c>
      <c r="F329" s="2"/>
      <c r="G329" s="162" t="s">
        <v>2086</v>
      </c>
      <c r="H329" s="12">
        <f>ROUND(SUM(H330:H337)/COUNT(H330:H337), 2)</f>
        <v>8.75</v>
      </c>
      <c r="I329" s="2"/>
      <c r="J329" s="11" t="s">
        <v>1990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1941</v>
      </c>
      <c r="B330" s="134"/>
      <c r="C330" s="2"/>
      <c r="D330" s="4" t="s">
        <v>1959</v>
      </c>
      <c r="E330" s="134">
        <v>10.5</v>
      </c>
      <c r="F330" s="2"/>
      <c r="G330" s="11" t="s">
        <v>2088</v>
      </c>
      <c r="H330" s="133">
        <v>9.5</v>
      </c>
      <c r="I330" s="2"/>
      <c r="J330" s="4" t="s">
        <v>1991</v>
      </c>
      <c r="K330" s="134">
        <v>8</v>
      </c>
      <c r="L330" s="2"/>
      <c r="M330" s="4" t="s">
        <v>2007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1942</v>
      </c>
      <c r="B331" s="134">
        <v>8.5</v>
      </c>
      <c r="C331" s="2"/>
      <c r="D331" s="4" t="s">
        <v>1960</v>
      </c>
      <c r="E331" s="134">
        <v>9.5</v>
      </c>
      <c r="F331" s="2"/>
      <c r="G331" s="4" t="s">
        <v>2089</v>
      </c>
      <c r="H331" s="134">
        <v>8.5</v>
      </c>
      <c r="I331" s="2"/>
      <c r="J331" s="4" t="s">
        <v>1992</v>
      </c>
      <c r="K331" s="134">
        <v>7.5</v>
      </c>
      <c r="L331" s="2"/>
      <c r="M331" s="4" t="s">
        <v>2008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1943</v>
      </c>
      <c r="B332" s="134">
        <v>10</v>
      </c>
      <c r="C332" s="2"/>
      <c r="D332" s="4" t="s">
        <v>1961</v>
      </c>
      <c r="E332" s="134">
        <v>9</v>
      </c>
      <c r="F332" s="2"/>
      <c r="G332" s="4" t="s">
        <v>2090</v>
      </c>
      <c r="H332" s="134">
        <v>8.5</v>
      </c>
      <c r="I332" s="2"/>
      <c r="J332" s="4" t="s">
        <v>1993</v>
      </c>
      <c r="K332" s="134">
        <v>9.5</v>
      </c>
      <c r="L332" s="2"/>
      <c r="M332" s="4" t="s">
        <v>2009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1944</v>
      </c>
      <c r="B333" s="134">
        <v>8.5</v>
      </c>
      <c r="C333" s="2"/>
      <c r="D333" s="4" t="s">
        <v>1962</v>
      </c>
      <c r="E333" s="134">
        <v>8.5</v>
      </c>
      <c r="F333" s="2"/>
      <c r="G333" s="4" t="s">
        <v>2091</v>
      </c>
      <c r="H333" s="134">
        <v>8</v>
      </c>
      <c r="I333" s="2"/>
      <c r="J333" s="4" t="s">
        <v>1994</v>
      </c>
      <c r="K333" s="134">
        <v>7.5</v>
      </c>
      <c r="L333" s="2"/>
      <c r="M333" s="4" t="s">
        <v>2010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1945</v>
      </c>
      <c r="B334" s="134">
        <v>7.5</v>
      </c>
      <c r="C334" s="2"/>
      <c r="D334" s="4" t="s">
        <v>1963</v>
      </c>
      <c r="E334" s="134">
        <v>9</v>
      </c>
      <c r="F334" s="2"/>
      <c r="G334" s="4" t="s">
        <v>2092</v>
      </c>
      <c r="H334" s="134">
        <v>9</v>
      </c>
      <c r="I334" s="2"/>
      <c r="J334" s="4" t="s">
        <v>1995</v>
      </c>
      <c r="K334" s="134">
        <v>8</v>
      </c>
      <c r="L334" s="2"/>
      <c r="M334" s="4" t="s">
        <v>2011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1946</v>
      </c>
      <c r="B335" s="134">
        <v>10</v>
      </c>
      <c r="C335" s="2"/>
      <c r="D335" s="4" t="s">
        <v>1964</v>
      </c>
      <c r="E335" s="134">
        <v>8.5</v>
      </c>
      <c r="F335" s="2"/>
      <c r="G335" s="4" t="s">
        <v>2093</v>
      </c>
      <c r="H335" s="134">
        <v>8.5</v>
      </c>
      <c r="I335" s="2"/>
      <c r="J335" s="4" t="s">
        <v>1996</v>
      </c>
      <c r="K335" s="134">
        <v>10</v>
      </c>
      <c r="L335" s="2"/>
      <c r="M335" s="4" t="s">
        <v>2012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1947</v>
      </c>
      <c r="B336" s="134">
        <v>8</v>
      </c>
      <c r="C336" s="2"/>
      <c r="D336" s="4" t="s">
        <v>1965</v>
      </c>
      <c r="E336" s="134">
        <v>8.5</v>
      </c>
      <c r="F336" s="2"/>
      <c r="G336" s="4" t="s">
        <v>2094</v>
      </c>
      <c r="H336" s="134">
        <v>10</v>
      </c>
      <c r="I336" s="2"/>
      <c r="J336" s="4" t="s">
        <v>1997</v>
      </c>
      <c r="K336" s="134">
        <v>9</v>
      </c>
      <c r="L336" s="2"/>
      <c r="M336" s="7" t="s">
        <v>2013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1948</v>
      </c>
      <c r="B337" s="134">
        <v>7</v>
      </c>
      <c r="C337" s="2"/>
      <c r="D337" s="4" t="s">
        <v>1966</v>
      </c>
      <c r="E337" s="134">
        <v>10</v>
      </c>
      <c r="F337" s="2"/>
      <c r="G337" s="7" t="s">
        <v>2095</v>
      </c>
      <c r="H337" s="135">
        <v>8</v>
      </c>
      <c r="I337" s="2"/>
      <c r="J337" s="4" t="s">
        <v>1998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1949</v>
      </c>
      <c r="B338" s="134">
        <v>8</v>
      </c>
      <c r="C338" s="2"/>
      <c r="D338" s="4" t="s">
        <v>1967</v>
      </c>
      <c r="E338" s="134">
        <v>8.5</v>
      </c>
      <c r="F338" s="2"/>
      <c r="G338" s="2"/>
      <c r="H338" s="2"/>
      <c r="I338" s="2"/>
      <c r="J338" s="7" t="s">
        <v>1999</v>
      </c>
      <c r="K338" s="135">
        <v>8</v>
      </c>
      <c r="L338" s="2"/>
      <c r="M338" s="163" t="s">
        <v>2099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1950</v>
      </c>
      <c r="B339" s="134">
        <v>9</v>
      </c>
      <c r="C339" s="2"/>
      <c r="D339" s="4" t="s">
        <v>1968</v>
      </c>
      <c r="E339" s="134">
        <v>8.5</v>
      </c>
      <c r="F339" s="2"/>
      <c r="G339" s="164" t="s">
        <v>2119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2100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1951</v>
      </c>
      <c r="B340" s="134">
        <v>8.5</v>
      </c>
      <c r="C340" s="2"/>
      <c r="D340" s="4" t="s">
        <v>1969</v>
      </c>
      <c r="E340" s="134">
        <v>7.5</v>
      </c>
      <c r="F340" s="2"/>
      <c r="G340" s="11" t="s">
        <v>2120</v>
      </c>
      <c r="H340" s="133">
        <v>8</v>
      </c>
      <c r="I340" s="2"/>
      <c r="J340" s="165" t="s">
        <v>2151</v>
      </c>
      <c r="K340" s="12">
        <f>ROUND(SUM(K341:K354)/COUNT(K341:K354), 2)</f>
        <v>8.5399999999999991</v>
      </c>
      <c r="L340" s="2"/>
      <c r="M340" s="4" t="s">
        <v>2101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1952</v>
      </c>
      <c r="B341" s="135">
        <v>7.5</v>
      </c>
      <c r="C341" s="2"/>
      <c r="D341" s="4" t="s">
        <v>1970</v>
      </c>
      <c r="E341" s="134">
        <v>10.5</v>
      </c>
      <c r="F341" s="2"/>
      <c r="G341" s="4" t="s">
        <v>2121</v>
      </c>
      <c r="H341" s="134">
        <v>9</v>
      </c>
      <c r="I341" s="2"/>
      <c r="J341" s="11" t="s">
        <v>2137</v>
      </c>
      <c r="K341" s="133">
        <v>8.5</v>
      </c>
      <c r="L341" s="2"/>
      <c r="M341" s="4" t="s">
        <v>2102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1971</v>
      </c>
      <c r="E342" s="134">
        <v>8</v>
      </c>
      <c r="F342" s="2"/>
      <c r="G342" s="4" t="s">
        <v>2122</v>
      </c>
      <c r="H342" s="134">
        <v>9.5</v>
      </c>
      <c r="I342" s="2"/>
      <c r="J342" s="4" t="s">
        <v>2138</v>
      </c>
      <c r="K342" s="134">
        <v>9</v>
      </c>
      <c r="L342" s="2"/>
      <c r="M342" s="4" t="s">
        <v>2103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2157</v>
      </c>
      <c r="B343" s="12">
        <f>ROUND(SUM(B344:B358)/COUNT(B344:B358), 2)</f>
        <v>8.57</v>
      </c>
      <c r="C343" s="2"/>
      <c r="D343" s="4" t="s">
        <v>1972</v>
      </c>
      <c r="E343" s="134">
        <v>7.5</v>
      </c>
      <c r="F343" s="2"/>
      <c r="G343" s="4" t="s">
        <v>2123</v>
      </c>
      <c r="H343" s="134">
        <v>8.5</v>
      </c>
      <c r="I343" s="2"/>
      <c r="J343" s="4" t="s">
        <v>2139</v>
      </c>
      <c r="K343" s="134">
        <v>8</v>
      </c>
      <c r="L343" s="2"/>
      <c r="M343" s="4" t="s">
        <v>2104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2158</v>
      </c>
      <c r="B344" s="133">
        <v>9</v>
      </c>
      <c r="C344" s="2"/>
      <c r="D344" s="4" t="s">
        <v>1973</v>
      </c>
      <c r="E344" s="134">
        <v>10</v>
      </c>
      <c r="F344" s="2"/>
      <c r="G344" s="4" t="s">
        <v>2124</v>
      </c>
      <c r="H344" s="134">
        <v>9</v>
      </c>
      <c r="I344" s="2"/>
      <c r="J344" s="4" t="s">
        <v>2140</v>
      </c>
      <c r="K344" s="134">
        <v>8.5</v>
      </c>
      <c r="L344" s="2"/>
      <c r="M344" s="4" t="s">
        <v>2105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2159</v>
      </c>
      <c r="B345" s="134">
        <v>8</v>
      </c>
      <c r="C345" s="2"/>
      <c r="D345" s="4" t="s">
        <v>1974</v>
      </c>
      <c r="E345" s="134">
        <v>9.5</v>
      </c>
      <c r="F345" s="2"/>
      <c r="G345" s="4" t="s">
        <v>2125</v>
      </c>
      <c r="H345" s="134">
        <v>10</v>
      </c>
      <c r="I345" s="2"/>
      <c r="J345" s="4" t="s">
        <v>2141</v>
      </c>
      <c r="K345" s="134">
        <v>9</v>
      </c>
      <c r="L345" s="2"/>
      <c r="M345" s="4" t="s">
        <v>2106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2160</v>
      </c>
      <c r="B346" s="134">
        <v>10</v>
      </c>
      <c r="C346" s="2"/>
      <c r="D346" s="4" t="s">
        <v>1975</v>
      </c>
      <c r="E346" s="134">
        <v>10</v>
      </c>
      <c r="F346" s="2"/>
      <c r="G346" s="4" t="s">
        <v>2126</v>
      </c>
      <c r="H346" s="134">
        <v>8.5</v>
      </c>
      <c r="I346" s="2"/>
      <c r="J346" s="4" t="s">
        <v>2142</v>
      </c>
      <c r="K346" s="134">
        <v>8</v>
      </c>
      <c r="L346" s="2"/>
      <c r="M346" s="4" t="s">
        <v>2107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2161</v>
      </c>
      <c r="B347" s="134">
        <v>9</v>
      </c>
      <c r="C347" s="2"/>
      <c r="D347" s="4" t="s">
        <v>1976</v>
      </c>
      <c r="E347" s="134">
        <v>8</v>
      </c>
      <c r="F347" s="2"/>
      <c r="G347" s="4" t="s">
        <v>2127</v>
      </c>
      <c r="H347" s="134">
        <v>8.5</v>
      </c>
      <c r="I347" s="2"/>
      <c r="J347" s="4" t="s">
        <v>2143</v>
      </c>
      <c r="K347" s="134">
        <v>8</v>
      </c>
      <c r="L347" s="2"/>
      <c r="M347" s="4" t="s">
        <v>2108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2162</v>
      </c>
      <c r="B348" s="134">
        <v>9</v>
      </c>
      <c r="C348" s="2"/>
      <c r="D348" s="4" t="s">
        <v>1977</v>
      </c>
      <c r="E348" s="134">
        <v>8.5</v>
      </c>
      <c r="F348" s="2"/>
      <c r="G348" s="4" t="s">
        <v>2128</v>
      </c>
      <c r="H348" s="134">
        <v>8</v>
      </c>
      <c r="I348" s="2"/>
      <c r="J348" s="4" t="s">
        <v>2144</v>
      </c>
      <c r="K348" s="134">
        <v>7.5</v>
      </c>
      <c r="L348" s="2"/>
      <c r="M348" s="4" t="s">
        <v>2109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2163</v>
      </c>
      <c r="B349" s="134">
        <v>8.5</v>
      </c>
      <c r="C349" s="2"/>
      <c r="D349" s="4" t="s">
        <v>1978</v>
      </c>
      <c r="E349" s="134">
        <v>8</v>
      </c>
      <c r="F349" s="2"/>
      <c r="G349" s="4" t="s">
        <v>2129</v>
      </c>
      <c r="H349" s="134">
        <v>8</v>
      </c>
      <c r="I349" s="2"/>
      <c r="J349" s="4" t="s">
        <v>2145</v>
      </c>
      <c r="K349" s="134">
        <v>9.5</v>
      </c>
      <c r="L349" s="2"/>
      <c r="M349" s="4" t="s">
        <v>2110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2164</v>
      </c>
      <c r="B350" s="134">
        <v>9</v>
      </c>
      <c r="C350" s="2"/>
      <c r="D350" s="4" t="s">
        <v>1979</v>
      </c>
      <c r="E350" s="134">
        <v>7.5</v>
      </c>
      <c r="F350" s="2"/>
      <c r="G350" s="4" t="s">
        <v>2130</v>
      </c>
      <c r="H350" s="134">
        <v>8.5</v>
      </c>
      <c r="I350" s="2"/>
      <c r="J350" s="4" t="s">
        <v>2146</v>
      </c>
      <c r="K350" s="134">
        <v>8</v>
      </c>
      <c r="L350" s="2"/>
      <c r="M350" s="4" t="s">
        <v>2111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2165</v>
      </c>
      <c r="B351" s="134">
        <v>8.5</v>
      </c>
      <c r="C351" s="2"/>
      <c r="D351" s="4" t="s">
        <v>1980</v>
      </c>
      <c r="E351" s="134">
        <v>9</v>
      </c>
      <c r="F351" s="2"/>
      <c r="G351" s="7" t="s">
        <v>2131</v>
      </c>
      <c r="H351" s="135">
        <v>7.5</v>
      </c>
      <c r="I351" s="2"/>
      <c r="J351" s="4" t="s">
        <v>2147</v>
      </c>
      <c r="K351" s="134">
        <v>10</v>
      </c>
      <c r="L351" s="2"/>
      <c r="M351" s="4" t="s">
        <v>2112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2166</v>
      </c>
      <c r="B352" s="134">
        <v>8</v>
      </c>
      <c r="C352" s="2"/>
      <c r="D352" s="4" t="s">
        <v>1981</v>
      </c>
      <c r="E352" s="134">
        <v>8</v>
      </c>
      <c r="F352" s="2"/>
      <c r="G352" s="2"/>
      <c r="H352" s="2"/>
      <c r="I352" s="2"/>
      <c r="J352" s="4" t="s">
        <v>2148</v>
      </c>
      <c r="K352" s="134">
        <v>8</v>
      </c>
      <c r="L352" s="2"/>
      <c r="M352" s="4" t="s">
        <v>2113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2167</v>
      </c>
      <c r="B353" s="134">
        <v>8</v>
      </c>
      <c r="C353" s="2"/>
      <c r="D353" s="4" t="s">
        <v>1982</v>
      </c>
      <c r="E353" s="134"/>
      <c r="F353" s="2"/>
      <c r="G353" s="168" t="s">
        <v>2176</v>
      </c>
      <c r="H353" s="12">
        <f>ROUND(SUM(H354:H363)/COUNT(H354:H363), 2)</f>
        <v>8.6999999999999993</v>
      </c>
      <c r="I353" s="2"/>
      <c r="J353" s="4" t="s">
        <v>2149</v>
      </c>
      <c r="K353" s="134">
        <v>7.5</v>
      </c>
      <c r="L353" s="2"/>
      <c r="M353" s="7" t="s">
        <v>2114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2168</v>
      </c>
      <c r="B354" s="134">
        <v>7.5</v>
      </c>
      <c r="C354" s="2"/>
      <c r="D354" s="4" t="s">
        <v>1983</v>
      </c>
      <c r="E354" s="134">
        <v>8</v>
      </c>
      <c r="F354" s="2"/>
      <c r="G354" s="11" t="s">
        <v>2177</v>
      </c>
      <c r="H354" s="133">
        <v>9</v>
      </c>
      <c r="I354" s="2"/>
      <c r="J354" s="7" t="s">
        <v>2150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2169</v>
      </c>
      <c r="B355" s="134">
        <v>8.5</v>
      </c>
      <c r="C355" s="2"/>
      <c r="D355" s="4" t="s">
        <v>1984</v>
      </c>
      <c r="E355" s="134">
        <v>8.5</v>
      </c>
      <c r="F355" s="2"/>
      <c r="G355" s="4" t="s">
        <v>2178</v>
      </c>
      <c r="H355" s="134">
        <v>10</v>
      </c>
      <c r="I355" s="2"/>
      <c r="J355" s="2"/>
      <c r="K355" s="2"/>
      <c r="L355" s="2"/>
      <c r="M355" s="169" t="s">
        <v>2200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2170</v>
      </c>
      <c r="B356" s="134">
        <v>8</v>
      </c>
      <c r="C356" s="2"/>
      <c r="D356" s="4" t="s">
        <v>1985</v>
      </c>
      <c r="E356" s="134">
        <v>8</v>
      </c>
      <c r="F356" s="2"/>
      <c r="G356" s="4" t="s">
        <v>2179</v>
      </c>
      <c r="H356" s="134">
        <v>8</v>
      </c>
      <c r="I356" s="2"/>
      <c r="J356" s="170" t="s">
        <v>2203</v>
      </c>
      <c r="K356" s="12">
        <f>ROUND(SUM(K357:K363)/COUNT(K357:K363), 2)</f>
        <v>8.64</v>
      </c>
      <c r="L356" s="2"/>
      <c r="M356" s="11" t="s">
        <v>2190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2171</v>
      </c>
      <c r="B357" s="134">
        <v>9</v>
      </c>
      <c r="C357" s="2"/>
      <c r="D357" s="4" t="s">
        <v>1986</v>
      </c>
      <c r="E357" s="134">
        <v>8.5</v>
      </c>
      <c r="F357" s="2"/>
      <c r="G357" s="4" t="s">
        <v>2180</v>
      </c>
      <c r="H357" s="134">
        <v>9</v>
      </c>
      <c r="I357" s="2"/>
      <c r="J357" s="11" t="s">
        <v>2204</v>
      </c>
      <c r="K357" s="133">
        <v>8</v>
      </c>
      <c r="L357" s="2"/>
      <c r="M357" s="4" t="s">
        <v>2191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2172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2181</v>
      </c>
      <c r="H358" s="134">
        <v>8</v>
      </c>
      <c r="I358" s="2"/>
      <c r="J358" s="4" t="s">
        <v>2205</v>
      </c>
      <c r="K358" s="134">
        <v>9</v>
      </c>
      <c r="L358" s="2"/>
      <c r="M358" s="4" t="s">
        <v>2192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2182</v>
      </c>
      <c r="H359" s="134">
        <v>8.5</v>
      </c>
      <c r="I359" s="2"/>
      <c r="J359" s="4" t="s">
        <v>2206</v>
      </c>
      <c r="K359" s="134">
        <v>8.5</v>
      </c>
      <c r="L359" s="2"/>
      <c r="M359" s="4" t="s">
        <v>2193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2212</v>
      </c>
      <c r="B360" s="12">
        <f>ROUND(SUM(B361:B377)/COUNT(B361:B377), 2)</f>
        <v>8.81</v>
      </c>
      <c r="C360" s="2"/>
      <c r="D360" s="173" t="s">
        <v>2232</v>
      </c>
      <c r="E360" s="12">
        <f>ROUND(SUM(E361:E370)/COUNT(E361:E370), 2)</f>
        <v>8.67</v>
      </c>
      <c r="F360" s="2"/>
      <c r="G360" s="4" t="s">
        <v>2183</v>
      </c>
      <c r="H360" s="134">
        <v>8</v>
      </c>
      <c r="I360" s="2"/>
      <c r="J360" s="4" t="s">
        <v>2207</v>
      </c>
      <c r="K360" s="134">
        <v>10</v>
      </c>
      <c r="L360" s="2"/>
      <c r="M360" s="4" t="s">
        <v>2194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2213</v>
      </c>
      <c r="B361" s="133">
        <v>10</v>
      </c>
      <c r="C361" s="2"/>
      <c r="D361" s="11" t="s">
        <v>2233</v>
      </c>
      <c r="E361" s="133">
        <v>8.5</v>
      </c>
      <c r="F361" s="2"/>
      <c r="G361" s="4" t="s">
        <v>2184</v>
      </c>
      <c r="H361" s="134">
        <v>8</v>
      </c>
      <c r="I361" s="2"/>
      <c r="J361" s="4" t="s">
        <v>2208</v>
      </c>
      <c r="K361" s="134">
        <v>9</v>
      </c>
      <c r="L361" s="2"/>
      <c r="M361" s="4" t="s">
        <v>2195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2214</v>
      </c>
      <c r="B362" s="134">
        <v>9</v>
      </c>
      <c r="C362" s="2"/>
      <c r="D362" s="4" t="s">
        <v>2234</v>
      </c>
      <c r="E362" s="134">
        <v>8</v>
      </c>
      <c r="F362" s="2"/>
      <c r="G362" s="4" t="s">
        <v>2185</v>
      </c>
      <c r="H362" s="134">
        <v>10</v>
      </c>
      <c r="I362" s="2"/>
      <c r="J362" s="4" t="s">
        <v>2209</v>
      </c>
      <c r="K362" s="134">
        <v>8.5</v>
      </c>
      <c r="L362" s="2"/>
      <c r="M362" s="4" t="s">
        <v>2196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2215</v>
      </c>
      <c r="B363" s="134">
        <v>8.5</v>
      </c>
      <c r="C363" s="2"/>
      <c r="D363" s="4" t="s">
        <v>2235</v>
      </c>
      <c r="E363" s="134">
        <v>10</v>
      </c>
      <c r="F363" s="2"/>
      <c r="G363" s="7" t="s">
        <v>2186</v>
      </c>
      <c r="H363" s="135">
        <v>8.5</v>
      </c>
      <c r="I363" s="2"/>
      <c r="J363" s="7" t="s">
        <v>2210</v>
      </c>
      <c r="K363" s="135">
        <v>7.5</v>
      </c>
      <c r="L363" s="2"/>
      <c r="M363" s="4" t="s">
        <v>2197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2216</v>
      </c>
      <c r="B364" s="134">
        <v>9.5</v>
      </c>
      <c r="C364" s="2"/>
      <c r="D364" s="4" t="s">
        <v>2236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2198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 x14ac:dyDescent="0.35">
      <c r="A365" s="4" t="s">
        <v>2217</v>
      </c>
      <c r="B365" s="134">
        <v>8.5</v>
      </c>
      <c r="C365" s="2"/>
      <c r="D365" s="4" t="s">
        <v>2237</v>
      </c>
      <c r="E365" s="134">
        <v>8</v>
      </c>
      <c r="F365" s="2"/>
      <c r="G365" s="174" t="s">
        <v>2246</v>
      </c>
      <c r="H365" s="12">
        <f>ROUND(SUM(H366:H372)/COUNT(H366:H372), 2)</f>
        <v>9.07</v>
      </c>
      <c r="I365" s="2"/>
      <c r="J365" s="175" t="s">
        <v>2257</v>
      </c>
      <c r="K365" s="12">
        <f>ROUND(SUM(K366:K378)/COUNT(K366:K378), 2)</f>
        <v>8.92</v>
      </c>
      <c r="L365" s="2"/>
      <c r="M365" s="7" t="s">
        <v>2199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2218</v>
      </c>
      <c r="B366" s="134">
        <v>9.5</v>
      </c>
      <c r="C366" s="2"/>
      <c r="D366" s="4" t="s">
        <v>2238</v>
      </c>
      <c r="E366" s="134">
        <v>7.5</v>
      </c>
      <c r="F366" s="2"/>
      <c r="G366" s="11" t="s">
        <v>2247</v>
      </c>
      <c r="H366" s="133">
        <v>10</v>
      </c>
      <c r="I366" s="2"/>
      <c r="J366" s="11" t="s">
        <v>2258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2219</v>
      </c>
      <c r="B367" s="134">
        <v>10.5</v>
      </c>
      <c r="C367" s="2"/>
      <c r="D367" s="4" t="s">
        <v>2239</v>
      </c>
      <c r="E367" s="134">
        <v>9</v>
      </c>
      <c r="F367" s="2"/>
      <c r="G367" s="4" t="s">
        <v>2248</v>
      </c>
      <c r="H367" s="134">
        <v>8.5</v>
      </c>
      <c r="I367" s="2"/>
      <c r="J367" s="4" t="s">
        <v>2259</v>
      </c>
      <c r="K367" s="134">
        <v>8.5</v>
      </c>
      <c r="L367" s="2"/>
      <c r="M367" s="176" t="s">
        <v>2271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2220</v>
      </c>
      <c r="B368" s="134">
        <v>9</v>
      </c>
      <c r="C368" s="2"/>
      <c r="D368" s="4" t="s">
        <v>2240</v>
      </c>
      <c r="E368" s="134">
        <v>8.5</v>
      </c>
      <c r="F368" s="2"/>
      <c r="G368" s="4" t="s">
        <v>2249</v>
      </c>
      <c r="H368" s="134">
        <v>9.5</v>
      </c>
      <c r="I368" s="2"/>
      <c r="J368" s="4" t="s">
        <v>2260</v>
      </c>
      <c r="K368" s="134">
        <v>10.5</v>
      </c>
      <c r="L368" s="2"/>
      <c r="M368" s="11" t="s">
        <v>2272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2221</v>
      </c>
      <c r="B369" s="134">
        <v>8</v>
      </c>
      <c r="C369" s="2"/>
      <c r="D369" s="4" t="s">
        <v>2241</v>
      </c>
      <c r="E369" s="134"/>
      <c r="F369" s="2"/>
      <c r="G369" s="4" t="s">
        <v>2250</v>
      </c>
      <c r="H369" s="134">
        <v>8</v>
      </c>
      <c r="I369" s="2"/>
      <c r="J369" s="4" t="s">
        <v>2261</v>
      </c>
      <c r="K369" s="134">
        <v>9.5</v>
      </c>
      <c r="L369" s="2"/>
      <c r="M369" s="4" t="s">
        <v>2273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2222</v>
      </c>
      <c r="B370" s="134">
        <v>8</v>
      </c>
      <c r="C370" s="2"/>
      <c r="D370" s="7" t="s">
        <v>2242</v>
      </c>
      <c r="E370" s="135">
        <v>10</v>
      </c>
      <c r="F370" s="2"/>
      <c r="G370" s="4" t="s">
        <v>2251</v>
      </c>
      <c r="H370" s="134">
        <v>8.5</v>
      </c>
      <c r="I370" s="2"/>
      <c r="J370" s="4" t="s">
        <v>2262</v>
      </c>
      <c r="K370" s="134">
        <v>8.5</v>
      </c>
      <c r="L370" s="2"/>
      <c r="M370" s="4" t="s">
        <v>2274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2223</v>
      </c>
      <c r="B371" s="134">
        <v>8.5</v>
      </c>
      <c r="C371" s="2"/>
      <c r="D371" s="2"/>
      <c r="E371" s="2"/>
      <c r="F371" s="2"/>
      <c r="G371" s="4" t="s">
        <v>2252</v>
      </c>
      <c r="H371" s="134">
        <v>9</v>
      </c>
      <c r="I371" s="2"/>
      <c r="J371" s="4" t="s">
        <v>2263</v>
      </c>
      <c r="K371" s="134">
        <v>7.5</v>
      </c>
      <c r="L371" s="2"/>
      <c r="M371" s="4" t="s">
        <v>2275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2224</v>
      </c>
      <c r="B372" s="134">
        <v>8</v>
      </c>
      <c r="C372" s="2"/>
      <c r="D372" s="121" t="s">
        <v>2277</v>
      </c>
      <c r="E372" s="12">
        <f>ROUND(SUM(E373:E381)/COUNT(E373:E381), 2)</f>
        <v>8.61</v>
      </c>
      <c r="F372" s="2"/>
      <c r="G372" s="7" t="s">
        <v>2253</v>
      </c>
      <c r="H372" s="135">
        <v>10</v>
      </c>
      <c r="I372" s="2"/>
      <c r="J372" s="4" t="s">
        <v>2264</v>
      </c>
      <c r="K372" s="134">
        <v>10</v>
      </c>
      <c r="L372" s="2"/>
      <c r="M372" s="7" t="s">
        <v>2276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2225</v>
      </c>
      <c r="B373" s="134">
        <v>8</v>
      </c>
      <c r="C373" s="2"/>
      <c r="D373" s="11" t="s">
        <v>2278</v>
      </c>
      <c r="E373" s="133">
        <v>9</v>
      </c>
      <c r="F373" s="2"/>
      <c r="G373" s="2"/>
      <c r="H373" s="2"/>
      <c r="I373" s="2"/>
      <c r="J373" s="4" t="s">
        <v>2265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2226</v>
      </c>
      <c r="B374" s="134">
        <v>8.5</v>
      </c>
      <c r="C374" s="2"/>
      <c r="D374" s="4" t="s">
        <v>2279</v>
      </c>
      <c r="E374" s="134">
        <v>7</v>
      </c>
      <c r="F374" s="2"/>
      <c r="G374" s="177" t="s">
        <v>2291</v>
      </c>
      <c r="H374" s="12">
        <f>ROUND(SUM(H375:H385)/COUNT(H375:H385), 2)</f>
        <v>8.86</v>
      </c>
      <c r="I374" s="2"/>
      <c r="J374" s="4" t="s">
        <v>2266</v>
      </c>
      <c r="K374" s="134">
        <v>9</v>
      </c>
      <c r="L374" s="2"/>
      <c r="M374" s="178" t="s">
        <v>2316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2227</v>
      </c>
      <c r="B375" s="134">
        <v>9</v>
      </c>
      <c r="C375" s="2"/>
      <c r="D375" s="4" t="s">
        <v>2280</v>
      </c>
      <c r="E375" s="134">
        <v>10</v>
      </c>
      <c r="F375" s="2"/>
      <c r="G375" s="11" t="s">
        <v>2292</v>
      </c>
      <c r="H375" s="133">
        <v>8.5</v>
      </c>
      <c r="I375" s="2"/>
      <c r="J375" s="4" t="s">
        <v>2267</v>
      </c>
      <c r="K375" s="134">
        <v>9</v>
      </c>
      <c r="L375" s="2"/>
      <c r="M375" s="11" t="s">
        <v>2308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1976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2293</v>
      </c>
      <c r="H376" s="134">
        <v>9.5</v>
      </c>
      <c r="I376" s="2"/>
      <c r="J376" s="4" t="s">
        <v>2268</v>
      </c>
      <c r="K376" s="134">
        <v>8</v>
      </c>
      <c r="L376" s="2"/>
      <c r="M376" s="199" t="s">
        <v>2309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2228</v>
      </c>
      <c r="B377" s="135"/>
      <c r="C377" s="2"/>
      <c r="D377" s="4" t="s">
        <v>2281</v>
      </c>
      <c r="E377" s="134">
        <v>7</v>
      </c>
      <c r="F377" s="2"/>
      <c r="G377" s="4" t="s">
        <v>2294</v>
      </c>
      <c r="H377" s="134">
        <v>8</v>
      </c>
      <c r="I377" s="2"/>
      <c r="J377" s="4" t="s">
        <v>2269</v>
      </c>
      <c r="K377" s="134">
        <v>7</v>
      </c>
      <c r="L377" s="2"/>
      <c r="M377" s="199" t="s">
        <v>2310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2282</v>
      </c>
      <c r="E378" s="134">
        <v>10</v>
      </c>
      <c r="F378" s="2"/>
      <c r="G378" s="4" t="s">
        <v>2295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2311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2431</v>
      </c>
      <c r="B379" s="1">
        <f>ROUND(SUM(B380:B390)/COUNT(B380:B390), 2)</f>
        <v>9.16</v>
      </c>
      <c r="C379" s="2"/>
      <c r="D379" s="4" t="s">
        <v>2283</v>
      </c>
      <c r="E379" s="134">
        <v>10.5</v>
      </c>
      <c r="F379" s="2"/>
      <c r="G379" s="4" t="s">
        <v>2296</v>
      </c>
      <c r="H379" s="134">
        <v>8.5</v>
      </c>
      <c r="I379" s="2"/>
      <c r="J379" s="2"/>
      <c r="K379" s="2"/>
      <c r="L379" s="2"/>
      <c r="M379" s="4" t="s">
        <v>2312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2322</v>
      </c>
      <c r="B380" s="133">
        <v>9</v>
      </c>
      <c r="C380" s="2"/>
      <c r="D380" s="4" t="s">
        <v>2284</v>
      </c>
      <c r="E380" s="134">
        <v>8</v>
      </c>
      <c r="F380" s="2"/>
      <c r="G380" s="4" t="s">
        <v>2297</v>
      </c>
      <c r="H380" s="134">
        <v>10</v>
      </c>
      <c r="I380" s="2"/>
      <c r="J380" s="180" t="s">
        <v>2332</v>
      </c>
      <c r="K380" s="12">
        <f>ROUND(SUM(K381:K391)/COUNT(K381:K391), 2)</f>
        <v>8.64</v>
      </c>
      <c r="L380" s="2"/>
      <c r="M380" s="199" t="s">
        <v>2313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2323</v>
      </c>
      <c r="B381" s="134">
        <v>8</v>
      </c>
      <c r="C381" s="2"/>
      <c r="D381" s="7" t="s">
        <v>2285</v>
      </c>
      <c r="E381" s="135">
        <v>8</v>
      </c>
      <c r="F381" s="2"/>
      <c r="G381" s="4" t="s">
        <v>2298</v>
      </c>
      <c r="H381" s="134">
        <v>10</v>
      </c>
      <c r="I381" s="2"/>
      <c r="J381" s="11" t="s">
        <v>2333</v>
      </c>
      <c r="K381" s="133">
        <v>8</v>
      </c>
      <c r="L381" s="2"/>
      <c r="M381" s="199" t="s">
        <v>2314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2328</v>
      </c>
      <c r="B382" s="134">
        <v>10.5</v>
      </c>
      <c r="C382" s="2"/>
      <c r="D382" s="2"/>
      <c r="E382" s="2"/>
      <c r="F382" s="2"/>
      <c r="G382" s="4" t="s">
        <v>2299</v>
      </c>
      <c r="H382" s="134">
        <v>7.5</v>
      </c>
      <c r="I382" s="2"/>
      <c r="J382" s="4" t="s">
        <v>2334</v>
      </c>
      <c r="K382" s="134">
        <v>9</v>
      </c>
      <c r="L382" s="2"/>
      <c r="M382" s="7" t="s">
        <v>2315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2324</v>
      </c>
      <c r="B383" s="134"/>
      <c r="C383" s="2"/>
      <c r="D383" s="181" t="s">
        <v>2342</v>
      </c>
      <c r="E383" s="12">
        <f>ROUND(SUM(E384:E386)/COUNT(E384:E386), 2)</f>
        <v>10</v>
      </c>
      <c r="F383" s="2"/>
      <c r="G383" s="4" t="s">
        <v>2300</v>
      </c>
      <c r="H383" s="134">
        <v>9</v>
      </c>
      <c r="I383" s="2"/>
      <c r="J383" s="4" t="s">
        <v>2335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2325</v>
      </c>
      <c r="B384" s="134">
        <v>10</v>
      </c>
      <c r="C384" s="2"/>
      <c r="D384" s="11" t="s">
        <v>2343</v>
      </c>
      <c r="E384" s="133">
        <v>10.5</v>
      </c>
      <c r="F384" s="2"/>
      <c r="G384" s="4" t="s">
        <v>2301</v>
      </c>
      <c r="H384" s="134">
        <v>8.5</v>
      </c>
      <c r="I384" s="2"/>
      <c r="J384" s="4" t="s">
        <v>2336</v>
      </c>
      <c r="K384" s="134">
        <v>8.5</v>
      </c>
      <c r="L384" s="2"/>
      <c r="M384" s="182" t="s">
        <v>2345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2326</v>
      </c>
      <c r="B385" s="134">
        <v>7.5</v>
      </c>
      <c r="C385" s="2"/>
      <c r="D385" s="4" t="s">
        <v>3376</v>
      </c>
      <c r="E385" s="134">
        <v>9</v>
      </c>
      <c r="F385" s="2"/>
      <c r="G385" s="7" t="s">
        <v>2302</v>
      </c>
      <c r="H385" s="135">
        <v>10</v>
      </c>
      <c r="I385" s="2"/>
      <c r="J385" s="4" t="s">
        <v>2337</v>
      </c>
      <c r="K385" s="134">
        <v>8.5</v>
      </c>
      <c r="L385" s="2"/>
      <c r="M385" s="4" t="s">
        <v>2346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2327</v>
      </c>
      <c r="B386" s="134">
        <v>10.5</v>
      </c>
      <c r="C386" s="2"/>
      <c r="D386" s="7" t="s">
        <v>2344</v>
      </c>
      <c r="E386" s="135">
        <v>10.5</v>
      </c>
      <c r="F386" s="2"/>
      <c r="G386" s="2"/>
      <c r="H386" s="2"/>
      <c r="I386" s="2"/>
      <c r="J386" s="4" t="s">
        <v>2338</v>
      </c>
      <c r="K386" s="134">
        <v>10</v>
      </c>
      <c r="L386" s="2"/>
      <c r="M386" s="4" t="s">
        <v>2347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2329</v>
      </c>
      <c r="B387" s="135"/>
      <c r="C387" s="2"/>
      <c r="D387" s="2"/>
      <c r="E387" s="2"/>
      <c r="F387" s="2"/>
      <c r="G387" s="183" t="s">
        <v>2359</v>
      </c>
      <c r="H387" s="12">
        <f>ROUND(SUM(H388:H399)/COUNT(H388:H399), 2)</f>
        <v>7.17</v>
      </c>
      <c r="I387" s="2"/>
      <c r="J387" s="4" t="s">
        <v>2339</v>
      </c>
      <c r="K387" s="134">
        <v>8.5</v>
      </c>
      <c r="L387" s="2"/>
      <c r="M387" s="4" t="s">
        <v>2348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2378</v>
      </c>
      <c r="E388" s="12">
        <f>ROUND(SUM(E389:E401)/COUNT(E389:E401), 2)</f>
        <v>8.7899999999999991</v>
      </c>
      <c r="F388" s="2"/>
      <c r="G388" s="11" t="s">
        <v>2360</v>
      </c>
      <c r="H388" s="133">
        <v>8.5</v>
      </c>
      <c r="I388" s="2"/>
      <c r="J388" s="4" t="s">
        <v>2340</v>
      </c>
      <c r="K388" s="134">
        <v>7.5</v>
      </c>
      <c r="L388" s="2"/>
      <c r="M388" s="4" t="s">
        <v>2349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2405</v>
      </c>
      <c r="B389" s="12">
        <f>ROUND(SUM(B390:B399)/COUNT(B390:B399), 2)</f>
        <v>8.75</v>
      </c>
      <c r="C389" s="2"/>
      <c r="D389" s="11" t="s">
        <v>2379</v>
      </c>
      <c r="E389" s="133">
        <v>8.5</v>
      </c>
      <c r="F389" s="2"/>
      <c r="G389" s="4" t="s">
        <v>2361</v>
      </c>
      <c r="H389" s="134">
        <v>7.5</v>
      </c>
      <c r="I389" s="2"/>
      <c r="J389" s="7" t="s">
        <v>2341</v>
      </c>
      <c r="K389" s="135">
        <v>9</v>
      </c>
      <c r="L389" s="2"/>
      <c r="M389" s="4" t="s">
        <v>2350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2395</v>
      </c>
      <c r="B390" s="133">
        <v>9</v>
      </c>
      <c r="C390" s="2"/>
      <c r="D390" s="4" t="s">
        <v>2380</v>
      </c>
      <c r="E390" s="134">
        <v>9.5</v>
      </c>
      <c r="F390" s="2"/>
      <c r="G390" s="4" t="s">
        <v>2362</v>
      </c>
      <c r="H390" s="134">
        <v>7</v>
      </c>
      <c r="I390" s="2"/>
      <c r="J390" s="2"/>
      <c r="K390" s="2"/>
      <c r="L390" s="2"/>
      <c r="M390" s="4" t="s">
        <v>2351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2396</v>
      </c>
      <c r="B391" s="134">
        <v>8</v>
      </c>
      <c r="C391" s="2"/>
      <c r="D391" s="4" t="s">
        <v>2381</v>
      </c>
      <c r="E391" s="134">
        <v>8.5</v>
      </c>
      <c r="F391" s="2"/>
      <c r="G391" s="4" t="s">
        <v>2363</v>
      </c>
      <c r="H391" s="134">
        <v>6.5</v>
      </c>
      <c r="I391" s="2"/>
      <c r="J391" s="186" t="s">
        <v>2409</v>
      </c>
      <c r="K391" s="12">
        <f>ROUND(SUM(K392:K397)/COUNT(K392:K397), 2)</f>
        <v>8.9</v>
      </c>
      <c r="L391" s="2"/>
      <c r="M391" s="4" t="s">
        <v>2352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2397</v>
      </c>
      <c r="B392" s="134">
        <v>9</v>
      </c>
      <c r="C392" s="2"/>
      <c r="D392" s="4" t="s">
        <v>2382</v>
      </c>
      <c r="E392" s="134">
        <v>8</v>
      </c>
      <c r="F392" s="2"/>
      <c r="G392" s="4" t="s">
        <v>2364</v>
      </c>
      <c r="H392" s="134">
        <v>7</v>
      </c>
      <c r="I392" s="2"/>
      <c r="J392" s="11" t="s">
        <v>2410</v>
      </c>
      <c r="K392" s="133">
        <v>8.5</v>
      </c>
      <c r="L392" s="2"/>
      <c r="M392" s="4" t="s">
        <v>2353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2398</v>
      </c>
      <c r="B393" s="134">
        <v>10.5</v>
      </c>
      <c r="C393" s="2"/>
      <c r="D393" s="4" t="s">
        <v>2383</v>
      </c>
      <c r="E393" s="134">
        <v>8</v>
      </c>
      <c r="F393" s="2"/>
      <c r="G393" s="4" t="s">
        <v>2365</v>
      </c>
      <c r="H393" s="134">
        <v>7.5</v>
      </c>
      <c r="I393" s="2"/>
      <c r="J393" s="4" t="s">
        <v>2411</v>
      </c>
      <c r="K393" s="134">
        <v>10.5</v>
      </c>
      <c r="L393" s="2"/>
      <c r="M393" s="4" t="s">
        <v>2354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2399</v>
      </c>
      <c r="B394" s="134">
        <v>8.5</v>
      </c>
      <c r="C394" s="2"/>
      <c r="D394" s="4" t="s">
        <v>2384</v>
      </c>
      <c r="E394" s="134">
        <v>9.5</v>
      </c>
      <c r="F394" s="2"/>
      <c r="G394" s="4" t="s">
        <v>2366</v>
      </c>
      <c r="H394" s="134">
        <v>6.5</v>
      </c>
      <c r="I394" s="2"/>
      <c r="J394" s="4" t="s">
        <v>2412</v>
      </c>
      <c r="K394" s="134">
        <v>9</v>
      </c>
      <c r="L394" s="2"/>
      <c r="M394" s="4" t="s">
        <v>2355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2400</v>
      </c>
      <c r="B395" s="134">
        <v>8.5</v>
      </c>
      <c r="C395" s="2"/>
      <c r="D395" s="4" t="s">
        <v>2385</v>
      </c>
      <c r="E395" s="134">
        <v>8</v>
      </c>
      <c r="F395" s="2"/>
      <c r="G395" s="4" t="s">
        <v>2367</v>
      </c>
      <c r="H395" s="134">
        <v>6</v>
      </c>
      <c r="I395" s="2"/>
      <c r="J395" s="4" t="s">
        <v>2413</v>
      </c>
      <c r="K395" s="134"/>
      <c r="L395" s="2"/>
      <c r="M395" s="7" t="s">
        <v>2356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2401</v>
      </c>
      <c r="B396" s="134">
        <v>8</v>
      </c>
      <c r="C396" s="2"/>
      <c r="D396" s="4" t="s">
        <v>2386</v>
      </c>
      <c r="E396" s="134">
        <v>9</v>
      </c>
      <c r="F396" s="2"/>
      <c r="G396" s="4" t="s">
        <v>2368</v>
      </c>
      <c r="H396" s="134">
        <v>8</v>
      </c>
      <c r="I396" s="2"/>
      <c r="J396" s="4" t="s">
        <v>2414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2402</v>
      </c>
      <c r="B397" s="134">
        <v>8.5</v>
      </c>
      <c r="C397" s="2"/>
      <c r="D397" s="4" t="s">
        <v>2387</v>
      </c>
      <c r="E397" s="134">
        <v>9</v>
      </c>
      <c r="F397" s="2"/>
      <c r="G397" s="4" t="s">
        <v>2369</v>
      </c>
      <c r="H397" s="134">
        <v>7</v>
      </c>
      <c r="I397" s="2"/>
      <c r="J397" s="7" t="s">
        <v>2415</v>
      </c>
      <c r="K397" s="135">
        <v>8</v>
      </c>
      <c r="L397" s="2"/>
      <c r="M397" s="196" t="s">
        <v>2430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2403</v>
      </c>
      <c r="B398" s="134">
        <v>8.5</v>
      </c>
      <c r="C398" s="2"/>
      <c r="D398" s="4" t="s">
        <v>2388</v>
      </c>
      <c r="E398" s="134">
        <v>9</v>
      </c>
      <c r="F398" s="2"/>
      <c r="G398" s="4" t="s">
        <v>2370</v>
      </c>
      <c r="H398" s="134">
        <v>6.5</v>
      </c>
      <c r="I398" s="2"/>
      <c r="J398" s="2"/>
      <c r="K398" s="2"/>
      <c r="L398" s="2"/>
      <c r="M398" s="11" t="s">
        <v>2417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2404</v>
      </c>
      <c r="B399" s="135">
        <v>9</v>
      </c>
      <c r="C399" s="2"/>
      <c r="D399" s="4" t="s">
        <v>2389</v>
      </c>
      <c r="E399" s="134">
        <v>8</v>
      </c>
      <c r="F399" s="2"/>
      <c r="G399" s="7" t="s">
        <v>2371</v>
      </c>
      <c r="H399" s="135">
        <v>8</v>
      </c>
      <c r="I399" s="2"/>
      <c r="J399" s="187" t="s">
        <v>2435</v>
      </c>
      <c r="K399" s="12">
        <f>ROUND(SUM(K400:K410)/COUNT(K400:K410), 2)</f>
        <v>8.86</v>
      </c>
      <c r="L399" s="2"/>
      <c r="M399" s="4" t="s">
        <v>2418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2390</v>
      </c>
      <c r="E400" s="134"/>
      <c r="F400" s="2"/>
      <c r="G400" s="2"/>
      <c r="H400" s="2"/>
      <c r="I400" s="2"/>
      <c r="J400" s="11" t="s">
        <v>2436</v>
      </c>
      <c r="K400" s="133">
        <v>8.5</v>
      </c>
      <c r="L400" s="2"/>
      <c r="M400" s="4" t="s">
        <v>2419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2452</v>
      </c>
      <c r="B401" s="12">
        <f>ROUND(SUM(B402:B411)/COUNT(B402:B411), 2)</f>
        <v>8.75</v>
      </c>
      <c r="C401" s="2"/>
      <c r="D401" s="7" t="s">
        <v>2391</v>
      </c>
      <c r="E401" s="135">
        <v>10.5</v>
      </c>
      <c r="F401" s="2"/>
      <c r="G401" s="189" t="s">
        <v>2459</v>
      </c>
      <c r="H401" s="12">
        <f>ROUND(SUM(H402:H413)/COUNT(H402:H413), 2)</f>
        <v>8.6300000000000008</v>
      </c>
      <c r="I401" s="2"/>
      <c r="J401" s="4" t="s">
        <v>2437</v>
      </c>
      <c r="K401" s="134">
        <v>10</v>
      </c>
      <c r="L401" s="2"/>
      <c r="M401" s="4" t="s">
        <v>2420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2453</v>
      </c>
      <c r="B402" s="133"/>
      <c r="C402" s="2"/>
      <c r="D402" s="2"/>
      <c r="E402" s="2"/>
      <c r="F402" s="2"/>
      <c r="G402" s="11" t="s">
        <v>2460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2421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2454</v>
      </c>
      <c r="B403" s="134">
        <v>10</v>
      </c>
      <c r="C403" s="2"/>
      <c r="D403" s="194" t="s">
        <v>2482</v>
      </c>
      <c r="E403" s="12">
        <f>ROUND(SUM(E404:E413)/COUNT(E404:E413), 2)</f>
        <v>2.5</v>
      </c>
      <c r="F403" s="2"/>
      <c r="G403" s="4" t="s">
        <v>2461</v>
      </c>
      <c r="H403" s="134">
        <v>9</v>
      </c>
      <c r="I403" s="2"/>
      <c r="J403" s="4" t="s">
        <v>2438</v>
      </c>
      <c r="K403" s="134">
        <v>8.5</v>
      </c>
      <c r="L403" s="2"/>
      <c r="M403" s="4" t="s">
        <v>2422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2455</v>
      </c>
      <c r="B404" s="134">
        <v>9.5</v>
      </c>
      <c r="C404" s="2"/>
      <c r="D404" s="11" t="s">
        <v>2472</v>
      </c>
      <c r="E404" s="133">
        <v>3.5</v>
      </c>
      <c r="F404" s="2"/>
      <c r="G404" s="4" t="s">
        <v>2462</v>
      </c>
      <c r="H404" s="134">
        <v>8.5</v>
      </c>
      <c r="I404" s="2"/>
      <c r="J404" s="4" t="s">
        <v>2439</v>
      </c>
      <c r="K404" s="134">
        <v>10.5</v>
      </c>
      <c r="L404" s="2"/>
      <c r="M404" s="4" t="s">
        <v>2423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2456</v>
      </c>
      <c r="B405" s="134">
        <v>8</v>
      </c>
      <c r="C405" s="2"/>
      <c r="D405" s="4" t="s">
        <v>2473</v>
      </c>
      <c r="E405" s="134">
        <v>0</v>
      </c>
      <c r="F405" s="2"/>
      <c r="G405" s="4" t="s">
        <v>2463</v>
      </c>
      <c r="H405" s="134">
        <v>8.5</v>
      </c>
      <c r="I405" s="2"/>
      <c r="J405" s="4" t="s">
        <v>2440</v>
      </c>
      <c r="K405" s="134">
        <v>9.5</v>
      </c>
      <c r="L405" s="2"/>
      <c r="M405" s="4" t="s">
        <v>2424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2457</v>
      </c>
      <c r="B406" s="134"/>
      <c r="C406" s="2"/>
      <c r="D406" s="4" t="s">
        <v>2474</v>
      </c>
      <c r="E406" s="134">
        <v>3</v>
      </c>
      <c r="F406" s="2"/>
      <c r="G406" s="4" t="s">
        <v>2464</v>
      </c>
      <c r="H406" s="134">
        <v>8</v>
      </c>
      <c r="I406" s="2"/>
      <c r="J406" s="4" t="s">
        <v>2441</v>
      </c>
      <c r="K406" s="134">
        <v>8</v>
      </c>
      <c r="L406" s="2"/>
      <c r="M406" s="4" t="s">
        <v>2425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2458</v>
      </c>
      <c r="B407" s="135">
        <v>8</v>
      </c>
      <c r="C407" s="2"/>
      <c r="D407" s="4" t="s">
        <v>2475</v>
      </c>
      <c r="E407" s="134">
        <v>2</v>
      </c>
      <c r="F407" s="2"/>
      <c r="G407" s="4" t="s">
        <v>2465</v>
      </c>
      <c r="H407" s="134">
        <v>7.5</v>
      </c>
      <c r="I407" s="2"/>
      <c r="J407" s="4" t="s">
        <v>2442</v>
      </c>
      <c r="K407" s="134">
        <v>8.5</v>
      </c>
      <c r="L407" s="2"/>
      <c r="M407" s="4" t="s">
        <v>2426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2476</v>
      </c>
      <c r="E408" s="134">
        <v>3</v>
      </c>
      <c r="F408" s="2"/>
      <c r="G408" s="4" t="s">
        <v>2466</v>
      </c>
      <c r="H408" s="134">
        <v>8</v>
      </c>
      <c r="I408" s="2"/>
      <c r="J408" s="4" t="s">
        <v>2443</v>
      </c>
      <c r="K408" s="134">
        <v>7.5</v>
      </c>
      <c r="L408" s="2"/>
      <c r="M408" s="4" t="s">
        <v>2427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2496</v>
      </c>
      <c r="B409" s="12">
        <f>ROUND(SUM(B410:B426)/COUNT(B410:B426), 2)</f>
        <v>8.24</v>
      </c>
      <c r="C409" s="2"/>
      <c r="D409" s="4" t="s">
        <v>2477</v>
      </c>
      <c r="E409" s="136">
        <v>5</v>
      </c>
      <c r="F409" s="2"/>
      <c r="G409" s="4" t="s">
        <v>2467</v>
      </c>
      <c r="H409" s="134">
        <v>7.5</v>
      </c>
      <c r="I409" s="2"/>
      <c r="J409" s="4" t="s">
        <v>2444</v>
      </c>
      <c r="K409" s="134">
        <v>8</v>
      </c>
      <c r="L409" s="2"/>
      <c r="M409" s="4" t="s">
        <v>2428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2497</v>
      </c>
      <c r="B410" s="190">
        <v>7.5</v>
      </c>
      <c r="C410" s="2"/>
      <c r="D410" s="4" t="s">
        <v>2478</v>
      </c>
      <c r="E410" s="134">
        <v>2.5</v>
      </c>
      <c r="F410" s="2"/>
      <c r="G410" s="4" t="s">
        <v>2468</v>
      </c>
      <c r="H410" s="134">
        <v>9</v>
      </c>
      <c r="I410" s="2"/>
      <c r="J410" s="7" t="s">
        <v>2445</v>
      </c>
      <c r="K410" s="135">
        <v>8.5</v>
      </c>
      <c r="L410" s="2"/>
      <c r="M410" s="7" t="s">
        <v>2429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2498</v>
      </c>
      <c r="B411" s="136">
        <v>10</v>
      </c>
      <c r="C411" s="2"/>
      <c r="D411" s="4" t="s">
        <v>2479</v>
      </c>
      <c r="E411" s="134">
        <v>3</v>
      </c>
      <c r="F411" s="2"/>
      <c r="G411" s="4" t="s">
        <v>2469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2499</v>
      </c>
      <c r="B412" s="136">
        <v>9</v>
      </c>
      <c r="C412" s="2"/>
      <c r="D412" s="4" t="s">
        <v>2480</v>
      </c>
      <c r="E412" s="134">
        <v>2</v>
      </c>
      <c r="F412" s="2"/>
      <c r="G412" s="4" t="s">
        <v>2470</v>
      </c>
      <c r="H412" s="134">
        <v>9</v>
      </c>
      <c r="I412" s="2"/>
      <c r="J412" s="195" t="s">
        <v>2516</v>
      </c>
      <c r="K412" s="12">
        <f>ROUND(SUM(K413:K419)/COUNT(K413:K419), 2)</f>
        <v>8.86</v>
      </c>
      <c r="L412" s="2"/>
      <c r="M412" s="201" t="s">
        <v>2525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2500</v>
      </c>
      <c r="B413" s="136">
        <v>8</v>
      </c>
      <c r="C413" s="2"/>
      <c r="D413" s="7" t="s">
        <v>2481</v>
      </c>
      <c r="E413" s="135">
        <v>1</v>
      </c>
      <c r="F413" s="2"/>
      <c r="G413" s="7" t="s">
        <v>2471</v>
      </c>
      <c r="H413" s="135">
        <v>8</v>
      </c>
      <c r="I413" s="2"/>
      <c r="J413" s="11" t="s">
        <v>2517</v>
      </c>
      <c r="K413" s="133">
        <v>8.5</v>
      </c>
      <c r="L413" s="2"/>
      <c r="M413" s="11" t="s">
        <v>2526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2501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2518</v>
      </c>
      <c r="K414" s="134">
        <v>9.5</v>
      </c>
      <c r="L414" s="2"/>
      <c r="M414" s="4" t="s">
        <v>2527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2502</v>
      </c>
      <c r="B415" s="136">
        <v>7.5</v>
      </c>
      <c r="C415" s="2"/>
      <c r="D415" s="202" t="s">
        <v>2534</v>
      </c>
      <c r="E415" s="12">
        <f>ROUND(SUM(E416:E423)/COUNT(E416:E423), 2)</f>
        <v>8.69</v>
      </c>
      <c r="F415" s="2"/>
      <c r="G415" s="203" t="s">
        <v>2544</v>
      </c>
      <c r="H415" s="12">
        <f>ROUND(SUM(H416:H419)/COUNT(H416:H419), 2)</f>
        <v>8.8800000000000008</v>
      </c>
      <c r="I415" s="2"/>
      <c r="J415" s="4" t="s">
        <v>2519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2503</v>
      </c>
      <c r="B416" s="136">
        <v>6</v>
      </c>
      <c r="C416" s="2"/>
      <c r="D416" s="11" t="s">
        <v>2535</v>
      </c>
      <c r="E416" s="133">
        <v>10</v>
      </c>
      <c r="F416" s="2"/>
      <c r="G416" s="11" t="s">
        <v>2548</v>
      </c>
      <c r="H416" s="133">
        <v>8</v>
      </c>
      <c r="I416" s="2"/>
      <c r="J416" s="4" t="s">
        <v>2520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2504</v>
      </c>
      <c r="B417" s="136">
        <v>7.5</v>
      </c>
      <c r="C417" s="2"/>
      <c r="D417" s="4" t="s">
        <v>2536</v>
      </c>
      <c r="E417" s="134">
        <v>10</v>
      </c>
      <c r="F417" s="2"/>
      <c r="G417" s="4" t="s">
        <v>2549</v>
      </c>
      <c r="H417" s="134">
        <v>9</v>
      </c>
      <c r="I417" s="2"/>
      <c r="J417" s="4" t="s">
        <v>2521</v>
      </c>
      <c r="K417" s="134">
        <v>9</v>
      </c>
      <c r="L417" s="2"/>
      <c r="M417" s="204" t="s">
        <v>2552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2505</v>
      </c>
      <c r="B418" s="136">
        <v>7</v>
      </c>
      <c r="C418" s="2"/>
      <c r="D418" s="4" t="s">
        <v>2537</v>
      </c>
      <c r="E418" s="134">
        <v>7.5</v>
      </c>
      <c r="F418" s="2"/>
      <c r="G418" s="4" t="s">
        <v>2550</v>
      </c>
      <c r="H418" s="134">
        <v>10</v>
      </c>
      <c r="I418" s="2"/>
      <c r="J418" s="4" t="s">
        <v>2522</v>
      </c>
      <c r="K418" s="134">
        <v>8.5</v>
      </c>
      <c r="L418" s="2"/>
      <c r="M418" s="11" t="s">
        <v>2553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2506</v>
      </c>
      <c r="B419" s="136">
        <v>8.5</v>
      </c>
      <c r="C419" s="2"/>
      <c r="D419" s="4" t="s">
        <v>2538</v>
      </c>
      <c r="E419" s="134">
        <v>8.5</v>
      </c>
      <c r="F419" s="2"/>
      <c r="G419" s="7" t="s">
        <v>2551</v>
      </c>
      <c r="H419" s="135">
        <v>8.5</v>
      </c>
      <c r="I419" s="2"/>
      <c r="J419" s="7" t="s">
        <v>2523</v>
      </c>
      <c r="K419" s="135">
        <v>8</v>
      </c>
      <c r="L419" s="2"/>
      <c r="M419" s="4" t="s">
        <v>2554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2507</v>
      </c>
      <c r="B420" s="136">
        <v>10</v>
      </c>
      <c r="C420" s="2"/>
      <c r="D420" s="4" t="s">
        <v>2539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2555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2508</v>
      </c>
      <c r="B421" s="136">
        <v>8</v>
      </c>
      <c r="C421" s="2"/>
      <c r="D421" s="4" t="s">
        <v>2540</v>
      </c>
      <c r="E421" s="134">
        <v>8</v>
      </c>
      <c r="F421" s="2"/>
      <c r="G421" s="205" t="s">
        <v>2575</v>
      </c>
      <c r="H421" s="12">
        <f>ROUND(SUM(H422:H432)/COUNT(H422:H432), 2)</f>
        <v>8.5500000000000007</v>
      </c>
      <c r="I421" s="2"/>
      <c r="J421" s="206" t="s">
        <v>2586</v>
      </c>
      <c r="K421" s="12">
        <f>ROUND(SUM(K422:K429)/COUNT(K422:K429), 2)</f>
        <v>8.31</v>
      </c>
      <c r="L421" s="2"/>
      <c r="M421" s="4" t="s">
        <v>2556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2509</v>
      </c>
      <c r="B422" s="136">
        <v>8</v>
      </c>
      <c r="C422" s="2"/>
      <c r="D422" s="4" t="s">
        <v>2541</v>
      </c>
      <c r="E422" s="134">
        <v>7.5</v>
      </c>
      <c r="F422" s="2"/>
      <c r="G422" s="11" t="s">
        <v>2564</v>
      </c>
      <c r="H422" s="133">
        <v>9</v>
      </c>
      <c r="I422" s="2"/>
      <c r="J422" s="11" t="s">
        <v>2587</v>
      </c>
      <c r="K422" s="133">
        <v>9.5</v>
      </c>
      <c r="L422" s="2"/>
      <c r="M422" s="4" t="s">
        <v>2557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2510</v>
      </c>
      <c r="B423" s="136">
        <v>8</v>
      </c>
      <c r="C423" s="2"/>
      <c r="D423" s="7" t="s">
        <v>2542</v>
      </c>
      <c r="E423" s="135">
        <v>10</v>
      </c>
      <c r="F423" s="2"/>
      <c r="G423" s="4" t="s">
        <v>2565</v>
      </c>
      <c r="H423" s="134">
        <v>8.5</v>
      </c>
      <c r="I423" s="2"/>
      <c r="J423" s="4" t="s">
        <v>2588</v>
      </c>
      <c r="K423" s="134">
        <v>8.5</v>
      </c>
      <c r="L423" s="2"/>
      <c r="M423" s="4" t="s">
        <v>2558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2511</v>
      </c>
      <c r="B424" s="136">
        <v>8</v>
      </c>
      <c r="C424" s="2"/>
      <c r="D424" s="2"/>
      <c r="E424" s="2"/>
      <c r="F424" s="2"/>
      <c r="G424" s="4" t="s">
        <v>2566</v>
      </c>
      <c r="H424" s="134">
        <v>10</v>
      </c>
      <c r="I424" s="2"/>
      <c r="J424" s="4" t="s">
        <v>2589</v>
      </c>
      <c r="K424" s="134">
        <v>8</v>
      </c>
      <c r="L424" s="2"/>
      <c r="M424" s="4" t="s">
        <v>2559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2512</v>
      </c>
      <c r="B425" s="136">
        <v>7.5</v>
      </c>
      <c r="C425" s="2"/>
      <c r="D425" s="207" t="s">
        <v>2607</v>
      </c>
      <c r="E425" s="12">
        <f>ROUND(SUM(E426:E434)/COUNT(E426:E434), 2)</f>
        <v>9.06</v>
      </c>
      <c r="F425" s="2"/>
      <c r="G425" s="4" t="s">
        <v>2567</v>
      </c>
      <c r="H425" s="134">
        <v>8.5</v>
      </c>
      <c r="I425" s="2"/>
      <c r="J425" s="4" t="s">
        <v>2590</v>
      </c>
      <c r="K425" s="134">
        <v>7.5</v>
      </c>
      <c r="L425" s="2"/>
      <c r="M425" s="4" t="s">
        <v>2560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2513</v>
      </c>
      <c r="B426" s="191">
        <v>9</v>
      </c>
      <c r="C426" s="2"/>
      <c r="D426" s="11" t="s">
        <v>2598</v>
      </c>
      <c r="E426" s="190">
        <v>8.5</v>
      </c>
      <c r="F426" s="2"/>
      <c r="G426" s="4" t="s">
        <v>2568</v>
      </c>
      <c r="H426" s="134">
        <v>8</v>
      </c>
      <c r="I426" s="2"/>
      <c r="J426" s="4" t="s">
        <v>2591</v>
      </c>
      <c r="K426" s="134">
        <v>8</v>
      </c>
      <c r="L426" s="2"/>
      <c r="M426" s="4" t="s">
        <v>2561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2599</v>
      </c>
      <c r="E427" s="136">
        <v>8</v>
      </c>
      <c r="F427" s="2"/>
      <c r="G427" s="4" t="s">
        <v>2569</v>
      </c>
      <c r="H427" s="134">
        <v>7.5</v>
      </c>
      <c r="I427" s="2"/>
      <c r="J427" s="4" t="s">
        <v>2592</v>
      </c>
      <c r="K427" s="134">
        <v>7</v>
      </c>
      <c r="L427" s="2"/>
      <c r="M427" s="4" t="s">
        <v>2562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8" t="s">
        <v>2612</v>
      </c>
      <c r="B428" s="12">
        <f>ROUND(SUM(B429:B439)/COUNT(B429:B439), 2)</f>
        <v>9</v>
      </c>
      <c r="C428" s="2"/>
      <c r="D428" s="4" t="s">
        <v>2600</v>
      </c>
      <c r="E428" s="136">
        <v>8.5</v>
      </c>
      <c r="F428" s="2"/>
      <c r="G428" s="4" t="s">
        <v>2570</v>
      </c>
      <c r="H428" s="134">
        <v>8</v>
      </c>
      <c r="I428" s="2"/>
      <c r="J428" s="4" t="s">
        <v>2593</v>
      </c>
      <c r="K428" s="134">
        <v>10</v>
      </c>
      <c r="L428" s="2"/>
      <c r="M428" s="7" t="s">
        <v>2563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2613</v>
      </c>
      <c r="B429" s="190">
        <v>9.5</v>
      </c>
      <c r="C429" s="2"/>
      <c r="D429" s="4" t="s">
        <v>2601</v>
      </c>
      <c r="E429" s="136">
        <v>10</v>
      </c>
      <c r="F429" s="2"/>
      <c r="G429" s="4" t="s">
        <v>2571</v>
      </c>
      <c r="H429" s="134">
        <v>8</v>
      </c>
      <c r="I429" s="2"/>
      <c r="J429" s="7" t="s">
        <v>2594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2614</v>
      </c>
      <c r="B430" s="136">
        <v>8</v>
      </c>
      <c r="C430" s="2"/>
      <c r="D430" s="4" t="s">
        <v>2602</v>
      </c>
      <c r="E430" s="136">
        <v>10</v>
      </c>
      <c r="F430" s="2"/>
      <c r="G430" s="4" t="s">
        <v>2572</v>
      </c>
      <c r="H430" s="134">
        <v>8</v>
      </c>
      <c r="I430" s="2"/>
      <c r="J430" s="2"/>
      <c r="K430" s="2"/>
      <c r="L430" s="2"/>
      <c r="M430" s="209" t="s">
        <v>2650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2615</v>
      </c>
      <c r="B431" s="136">
        <v>8</v>
      </c>
      <c r="C431" s="2"/>
      <c r="D431" s="4" t="s">
        <v>2603</v>
      </c>
      <c r="E431" s="136">
        <v>10</v>
      </c>
      <c r="F431" s="2"/>
      <c r="G431" s="4" t="s">
        <v>2573</v>
      </c>
      <c r="H431" s="134">
        <v>10</v>
      </c>
      <c r="I431" s="2"/>
      <c r="J431" s="210" t="s">
        <v>2663</v>
      </c>
      <c r="K431" s="12">
        <f>ROUND(SUM(K432:K443)/COUNT(K432:K443), 2)</f>
        <v>8.6300000000000008</v>
      </c>
      <c r="L431" s="2"/>
      <c r="M431" s="11" t="s">
        <v>2651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2616</v>
      </c>
      <c r="B432" s="136">
        <v>10</v>
      </c>
      <c r="C432" s="2"/>
      <c r="D432" s="4" t="s">
        <v>2604</v>
      </c>
      <c r="E432" s="136">
        <v>9</v>
      </c>
      <c r="F432" s="2"/>
      <c r="G432" s="7" t="s">
        <v>2574</v>
      </c>
      <c r="H432" s="135">
        <v>8.5</v>
      </c>
      <c r="I432" s="2"/>
      <c r="J432" s="11" t="s">
        <v>2664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2617</v>
      </c>
      <c r="B433" s="136">
        <v>9</v>
      </c>
      <c r="C433" s="2"/>
      <c r="D433" s="4" t="s">
        <v>2605</v>
      </c>
      <c r="E433" s="136">
        <v>9</v>
      </c>
      <c r="F433" s="2"/>
      <c r="G433" s="2"/>
      <c r="H433" s="2"/>
      <c r="I433" s="2"/>
      <c r="J433" s="4" t="s">
        <v>2665</v>
      </c>
      <c r="K433" s="134">
        <v>9</v>
      </c>
      <c r="L433" s="2"/>
      <c r="M433" s="4" t="s">
        <v>2652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2618</v>
      </c>
      <c r="B434" s="136">
        <v>10</v>
      </c>
      <c r="C434" s="2"/>
      <c r="D434" s="7" t="s">
        <v>2606</v>
      </c>
      <c r="E434" s="191">
        <v>8.5</v>
      </c>
      <c r="F434" s="2"/>
      <c r="G434" s="211" t="s">
        <v>2679</v>
      </c>
      <c r="H434" s="12">
        <f>ROUND(SUM(H435:H449)/COUNT(H435:H449), 2)</f>
        <v>8.83</v>
      </c>
      <c r="I434" s="2"/>
      <c r="J434" s="4" t="s">
        <v>2666</v>
      </c>
      <c r="K434" s="134">
        <v>10</v>
      </c>
      <c r="L434" s="2"/>
      <c r="M434" s="4" t="s">
        <v>2653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2619</v>
      </c>
      <c r="B435" s="136">
        <v>9.5</v>
      </c>
      <c r="C435" s="2"/>
      <c r="D435" s="2"/>
      <c r="E435" s="2"/>
      <c r="F435" s="2"/>
      <c r="G435" s="11" t="s">
        <v>2680</v>
      </c>
      <c r="H435" s="190">
        <v>9</v>
      </c>
      <c r="I435" s="2"/>
      <c r="J435" s="4" t="s">
        <v>2667</v>
      </c>
      <c r="K435" s="134">
        <v>8.5</v>
      </c>
      <c r="L435" s="2"/>
      <c r="M435" s="4" t="s">
        <v>2654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2620</v>
      </c>
      <c r="B436" s="136">
        <v>9</v>
      </c>
      <c r="C436" s="2"/>
      <c r="D436" s="212" t="s">
        <v>2696</v>
      </c>
      <c r="E436" s="12">
        <f>ROUND(SUM(E437:E457)/COUNT(E437:E457), 2)</f>
        <v>8.73</v>
      </c>
      <c r="F436" s="2"/>
      <c r="G436" s="4" t="s">
        <v>2681</v>
      </c>
      <c r="H436" s="136">
        <v>9</v>
      </c>
      <c r="I436" s="2"/>
      <c r="J436" s="4" t="s">
        <v>2668</v>
      </c>
      <c r="K436" s="134">
        <v>8</v>
      </c>
      <c r="L436" s="2"/>
      <c r="M436" s="4" t="s">
        <v>2655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2621</v>
      </c>
      <c r="B437" s="136">
        <v>8</v>
      </c>
      <c r="C437" s="2"/>
      <c r="D437" s="11" t="s">
        <v>1341</v>
      </c>
      <c r="E437" s="190"/>
      <c r="F437" s="2"/>
      <c r="G437" s="4" t="s">
        <v>2682</v>
      </c>
      <c r="H437" s="136">
        <v>8</v>
      </c>
      <c r="I437" s="2"/>
      <c r="J437" s="4" t="s">
        <v>2669</v>
      </c>
      <c r="K437" s="134">
        <v>9</v>
      </c>
      <c r="L437" s="2"/>
      <c r="M437" s="4" t="s">
        <v>2656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2622</v>
      </c>
      <c r="B438" s="136">
        <v>8.5</v>
      </c>
      <c r="C438" s="2"/>
      <c r="D438" s="4" t="s">
        <v>2697</v>
      </c>
      <c r="E438" s="136">
        <v>9.5</v>
      </c>
      <c r="F438" s="2"/>
      <c r="G438" s="4" t="s">
        <v>2683</v>
      </c>
      <c r="H438" s="136">
        <v>7.5</v>
      </c>
      <c r="I438" s="2"/>
      <c r="J438" s="4" t="s">
        <v>2670</v>
      </c>
      <c r="K438" s="134">
        <v>8</v>
      </c>
      <c r="L438" s="2"/>
      <c r="M438" s="4" t="s">
        <v>1546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2623</v>
      </c>
      <c r="B439" s="191">
        <v>9.5</v>
      </c>
      <c r="C439" s="2"/>
      <c r="D439" s="4" t="s">
        <v>2698</v>
      </c>
      <c r="E439" s="136">
        <v>8.5</v>
      </c>
      <c r="F439" s="2"/>
      <c r="G439" s="4" t="s">
        <v>2684</v>
      </c>
      <c r="H439" s="136">
        <v>8</v>
      </c>
      <c r="I439" s="2"/>
      <c r="J439" s="4" t="s">
        <v>2671</v>
      </c>
      <c r="K439" s="134">
        <v>8.5</v>
      </c>
      <c r="L439" s="2"/>
      <c r="M439" s="4" t="s">
        <v>2657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2699</v>
      </c>
      <c r="E440" s="136">
        <v>10</v>
      </c>
      <c r="F440" s="2"/>
      <c r="G440" s="4" t="s">
        <v>2685</v>
      </c>
      <c r="H440" s="136">
        <v>10.5</v>
      </c>
      <c r="I440" s="2"/>
      <c r="J440" s="4" t="s">
        <v>2672</v>
      </c>
      <c r="K440" s="134">
        <v>8.5</v>
      </c>
      <c r="L440" s="2"/>
      <c r="M440" s="4" t="s">
        <v>2658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5" t="s">
        <v>2928</v>
      </c>
      <c r="B441" s="12">
        <f>ROUND(SUM(B442:B446)/COUNT(B442:B446), 2)</f>
        <v>8.8000000000000007</v>
      </c>
      <c r="C441" s="2"/>
      <c r="D441" s="4" t="s">
        <v>2700</v>
      </c>
      <c r="E441" s="136"/>
      <c r="F441" s="2"/>
      <c r="G441" s="4" t="s">
        <v>2686</v>
      </c>
      <c r="H441" s="136">
        <v>8.5</v>
      </c>
      <c r="I441" s="2"/>
      <c r="J441" s="4" t="s">
        <v>2673</v>
      </c>
      <c r="K441" s="134">
        <v>8</v>
      </c>
      <c r="L441" s="2"/>
      <c r="M441" s="7" t="s">
        <v>2659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2719</v>
      </c>
      <c r="B442" s="190">
        <v>10.5</v>
      </c>
      <c r="C442" s="2"/>
      <c r="D442" s="4" t="s">
        <v>2701</v>
      </c>
      <c r="E442" s="136">
        <v>9</v>
      </c>
      <c r="F442" s="2"/>
      <c r="G442" s="4" t="s">
        <v>2687</v>
      </c>
      <c r="H442" s="136">
        <v>9</v>
      </c>
      <c r="I442" s="2"/>
      <c r="J442" s="4" t="s">
        <v>2674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2720</v>
      </c>
      <c r="B443" s="136">
        <v>9</v>
      </c>
      <c r="C443" s="2"/>
      <c r="D443" s="4" t="s">
        <v>2702</v>
      </c>
      <c r="E443" s="136">
        <v>8</v>
      </c>
      <c r="F443" s="2"/>
      <c r="G443" s="4" t="s">
        <v>2688</v>
      </c>
      <c r="H443" s="136">
        <v>9</v>
      </c>
      <c r="I443" s="2"/>
      <c r="J443" s="7" t="s">
        <v>527</v>
      </c>
      <c r="K443" s="135">
        <v>8</v>
      </c>
      <c r="L443" s="2"/>
      <c r="M443" s="213" t="s">
        <v>2727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2721</v>
      </c>
      <c r="B444" s="136">
        <v>8.5</v>
      </c>
      <c r="C444" s="2"/>
      <c r="D444" s="4" t="s">
        <v>2703</v>
      </c>
      <c r="E444" s="136">
        <v>9.5</v>
      </c>
      <c r="F444" s="2"/>
      <c r="G444" s="4" t="s">
        <v>2689</v>
      </c>
      <c r="H444" s="136">
        <v>8</v>
      </c>
      <c r="I444" s="2"/>
      <c r="J444" s="2"/>
      <c r="K444" s="2"/>
      <c r="L444" s="2"/>
      <c r="M444" s="11" t="s">
        <v>2728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2722</v>
      </c>
      <c r="B445" s="136">
        <v>8</v>
      </c>
      <c r="C445" s="2"/>
      <c r="D445" s="4" t="s">
        <v>2704</v>
      </c>
      <c r="E445" s="136">
        <v>8</v>
      </c>
      <c r="F445" s="2"/>
      <c r="G445" s="4" t="s">
        <v>2690</v>
      </c>
      <c r="H445" s="136">
        <v>8.5</v>
      </c>
      <c r="I445" s="2"/>
      <c r="J445" s="215" t="s">
        <v>2758</v>
      </c>
      <c r="K445" s="12">
        <f>ROUND(SUM(K446:K463)/COUNT(K446:K463), 2)</f>
        <v>8.8800000000000008</v>
      </c>
      <c r="L445" s="2"/>
      <c r="M445" s="4" t="s">
        <v>2729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2723</v>
      </c>
      <c r="B446" s="191">
        <v>8</v>
      </c>
      <c r="C446" s="2"/>
      <c r="D446" s="4" t="s">
        <v>2705</v>
      </c>
      <c r="E446" s="136"/>
      <c r="F446" s="2"/>
      <c r="G446" s="4" t="s">
        <v>2691</v>
      </c>
      <c r="H446" s="136">
        <v>10</v>
      </c>
      <c r="I446" s="2"/>
      <c r="J446" s="11" t="s">
        <v>2759</v>
      </c>
      <c r="K446" s="133">
        <v>9</v>
      </c>
      <c r="L446" s="2"/>
      <c r="M446" s="4" t="s">
        <v>2730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2706</v>
      </c>
      <c r="E447" s="136">
        <v>8.5</v>
      </c>
      <c r="F447" s="2"/>
      <c r="G447" s="4" t="s">
        <v>2692</v>
      </c>
      <c r="H447" s="136">
        <v>8.5</v>
      </c>
      <c r="I447" s="2"/>
      <c r="J447" s="4" t="s">
        <v>2760</v>
      </c>
      <c r="K447" s="134">
        <v>10</v>
      </c>
      <c r="L447" s="2"/>
      <c r="M447" s="4" t="s">
        <v>2731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4" t="s">
        <v>2750</v>
      </c>
      <c r="B448" s="12">
        <f>ROUND(SUM(B449:B455)/COUNT(B449:B455), 2)</f>
        <v>8.4</v>
      </c>
      <c r="C448" s="2"/>
      <c r="D448" s="4" t="s">
        <v>2707</v>
      </c>
      <c r="E448" s="136">
        <v>9</v>
      </c>
      <c r="F448" s="2"/>
      <c r="G448" s="4" t="s">
        <v>2693</v>
      </c>
      <c r="H448" s="136">
        <v>10.5</v>
      </c>
      <c r="I448" s="2"/>
      <c r="J448" s="4" t="s">
        <v>2761</v>
      </c>
      <c r="K448" s="134">
        <v>8</v>
      </c>
      <c r="L448" s="2"/>
      <c r="M448" s="4" t="s">
        <v>2732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2751</v>
      </c>
      <c r="B449" s="190"/>
      <c r="C449" s="2"/>
      <c r="D449" s="4" t="s">
        <v>2708</v>
      </c>
      <c r="E449" s="136">
        <v>8.5</v>
      </c>
      <c r="F449" s="2"/>
      <c r="G449" s="7" t="s">
        <v>2694</v>
      </c>
      <c r="H449" s="191">
        <v>8.5</v>
      </c>
      <c r="I449" s="2"/>
      <c r="J449" s="4" t="s">
        <v>2762</v>
      </c>
      <c r="K449" s="134">
        <v>10</v>
      </c>
      <c r="L449" s="2"/>
      <c r="M449" s="4" t="s">
        <v>2733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2752</v>
      </c>
      <c r="B450" s="136">
        <v>9</v>
      </c>
      <c r="C450" s="2"/>
      <c r="D450" s="4" t="s">
        <v>2709</v>
      </c>
      <c r="E450" s="136"/>
      <c r="F450" s="2"/>
      <c r="G450" s="2"/>
      <c r="H450" s="2"/>
      <c r="I450" s="2"/>
      <c r="J450" s="4" t="s">
        <v>2763</v>
      </c>
      <c r="K450" s="134">
        <v>8.5</v>
      </c>
      <c r="L450" s="2"/>
      <c r="M450" s="4" t="s">
        <v>2734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2753</v>
      </c>
      <c r="B451" s="136">
        <v>8</v>
      </c>
      <c r="C451" s="2"/>
      <c r="D451" s="4" t="s">
        <v>2710</v>
      </c>
      <c r="E451" s="136">
        <v>8.5</v>
      </c>
      <c r="F451" s="2"/>
      <c r="G451" s="216" t="s">
        <v>2786</v>
      </c>
      <c r="H451" s="12">
        <f>ROUND(SUM(H452:H465)/COUNT(H452:H465), 2)</f>
        <v>8.65</v>
      </c>
      <c r="I451" s="2"/>
      <c r="J451" s="4" t="s">
        <v>2764</v>
      </c>
      <c r="K451" s="134">
        <v>8.5</v>
      </c>
      <c r="L451" s="2"/>
      <c r="M451" s="4" t="s">
        <v>2735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2754</v>
      </c>
      <c r="B452" s="136">
        <v>8.5</v>
      </c>
      <c r="C452" s="2"/>
      <c r="D452" s="4" t="s">
        <v>2711</v>
      </c>
      <c r="E452" s="136"/>
      <c r="F452" s="2"/>
      <c r="G452" s="11" t="s">
        <v>2787</v>
      </c>
      <c r="H452" s="190">
        <v>9.5</v>
      </c>
      <c r="I452" s="2"/>
      <c r="J452" s="4" t="s">
        <v>2765</v>
      </c>
      <c r="K452" s="134">
        <v>9</v>
      </c>
      <c r="L452" s="2"/>
      <c r="M452" s="4" t="s">
        <v>2736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2755</v>
      </c>
      <c r="B453" s="136"/>
      <c r="C453" s="2"/>
      <c r="D453" s="4" t="s">
        <v>2712</v>
      </c>
      <c r="E453" s="136"/>
      <c r="F453" s="2"/>
      <c r="G453" s="4" t="s">
        <v>2788</v>
      </c>
      <c r="H453" s="136">
        <v>10</v>
      </c>
      <c r="I453" s="2"/>
      <c r="J453" s="4" t="s">
        <v>2766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2756</v>
      </c>
      <c r="B454" s="136">
        <v>8</v>
      </c>
      <c r="C454" s="2"/>
      <c r="D454" s="4" t="s">
        <v>2713</v>
      </c>
      <c r="E454" s="136">
        <v>9</v>
      </c>
      <c r="F454" s="2"/>
      <c r="G454" s="4" t="s">
        <v>2789</v>
      </c>
      <c r="H454" s="136">
        <v>9</v>
      </c>
      <c r="I454" s="2"/>
      <c r="J454" s="4" t="s">
        <v>2767</v>
      </c>
      <c r="K454" s="134">
        <v>7.5</v>
      </c>
      <c r="L454" s="2"/>
      <c r="M454" s="4" t="s">
        <v>2737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2757</v>
      </c>
      <c r="B455" s="191">
        <v>8.5</v>
      </c>
      <c r="C455" s="2"/>
      <c r="D455" s="4" t="s">
        <v>2714</v>
      </c>
      <c r="E455" s="136">
        <v>8.5</v>
      </c>
      <c r="F455" s="2"/>
      <c r="G455" s="4" t="s">
        <v>2790</v>
      </c>
      <c r="H455" s="136">
        <v>8.5</v>
      </c>
      <c r="I455" s="2"/>
      <c r="J455" s="4" t="s">
        <v>2768</v>
      </c>
      <c r="K455" s="134">
        <v>10.5</v>
      </c>
      <c r="L455" s="2"/>
      <c r="M455" s="4" t="s">
        <v>2738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2715</v>
      </c>
      <c r="E456" s="136">
        <v>8.5</v>
      </c>
      <c r="F456" s="2"/>
      <c r="G456" s="4" t="s">
        <v>2791</v>
      </c>
      <c r="H456" s="136">
        <v>10</v>
      </c>
      <c r="I456" s="2"/>
      <c r="J456" s="4" t="s">
        <v>2769</v>
      </c>
      <c r="K456" s="134">
        <v>8</v>
      </c>
      <c r="L456" s="2"/>
      <c r="M456" s="4" t="s">
        <v>2739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7" t="s">
        <v>2805</v>
      </c>
      <c r="B457" s="12">
        <f>ROUND(SUM(B458:B471)/COUNT(B458:B471), 2)</f>
        <v>8.39</v>
      </c>
      <c r="C457" s="2"/>
      <c r="D457" s="7" t="s">
        <v>2716</v>
      </c>
      <c r="E457" s="191">
        <v>8</v>
      </c>
      <c r="F457" s="2"/>
      <c r="G457" s="4" t="s">
        <v>2792</v>
      </c>
      <c r="H457" s="136">
        <v>8</v>
      </c>
      <c r="I457" s="2"/>
      <c r="J457" s="4" t="s">
        <v>2770</v>
      </c>
      <c r="K457" s="134">
        <v>9</v>
      </c>
      <c r="L457" s="2"/>
      <c r="M457" s="4" t="s">
        <v>2740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2806</v>
      </c>
      <c r="B458" s="190">
        <v>8</v>
      </c>
      <c r="C458" s="2"/>
      <c r="D458" s="2"/>
      <c r="E458" s="2"/>
      <c r="F458" s="2"/>
      <c r="G458" s="4" t="s">
        <v>2793</v>
      </c>
      <c r="H458" s="136">
        <v>7.5</v>
      </c>
      <c r="I458" s="2"/>
      <c r="J458" s="4" t="s">
        <v>2771</v>
      </c>
      <c r="K458" s="134">
        <v>10.5</v>
      </c>
      <c r="L458" s="2"/>
      <c r="M458" s="4" t="s">
        <v>2741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2807</v>
      </c>
      <c r="B459" s="136">
        <v>10</v>
      </c>
      <c r="C459" s="2"/>
      <c r="D459" s="218" t="s">
        <v>2822</v>
      </c>
      <c r="E459" s="12">
        <f>ROUND(SUM(E460:E485)/COUNT(E460:E485), 2)</f>
        <v>8.8000000000000007</v>
      </c>
      <c r="F459" s="2"/>
      <c r="G459" s="4" t="s">
        <v>2794</v>
      </c>
      <c r="H459" s="136">
        <v>8.5</v>
      </c>
      <c r="I459" s="2"/>
      <c r="J459" s="4" t="s">
        <v>2772</v>
      </c>
      <c r="K459" s="134">
        <v>8.5</v>
      </c>
      <c r="L459" s="2"/>
      <c r="M459" s="4" t="s">
        <v>2742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2808</v>
      </c>
      <c r="B460" s="136">
        <v>8</v>
      </c>
      <c r="C460" s="2"/>
      <c r="D460" s="11" t="s">
        <v>2823</v>
      </c>
      <c r="E460" s="190">
        <v>9</v>
      </c>
      <c r="F460" s="2"/>
      <c r="G460" s="4" t="s">
        <v>2799</v>
      </c>
      <c r="H460" s="136">
        <v>8</v>
      </c>
      <c r="I460" s="2"/>
      <c r="J460" s="4" t="s">
        <v>2773</v>
      </c>
      <c r="K460" s="134">
        <v>8.5</v>
      </c>
      <c r="L460" s="2"/>
      <c r="M460" s="4" t="s">
        <v>2743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2809</v>
      </c>
      <c r="B461" s="136">
        <v>8</v>
      </c>
      <c r="C461" s="2"/>
      <c r="D461" s="4" t="s">
        <v>2824</v>
      </c>
      <c r="E461" s="136">
        <v>8.5</v>
      </c>
      <c r="F461" s="2"/>
      <c r="G461" s="4" t="s">
        <v>2795</v>
      </c>
      <c r="H461" s="136">
        <v>8</v>
      </c>
      <c r="I461" s="2"/>
      <c r="J461" s="4" t="s">
        <v>2774</v>
      </c>
      <c r="K461" s="134">
        <v>8.5</v>
      </c>
      <c r="L461" s="2"/>
      <c r="M461" s="4" t="s">
        <v>2744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2810</v>
      </c>
      <c r="B462" s="136">
        <v>8.5</v>
      </c>
      <c r="C462" s="2"/>
      <c r="D462" s="4" t="s">
        <v>2825</v>
      </c>
      <c r="E462" s="136">
        <v>9</v>
      </c>
      <c r="F462" s="2"/>
      <c r="G462" s="4" t="s">
        <v>2796</v>
      </c>
      <c r="H462" s="136">
        <v>8.5</v>
      </c>
      <c r="I462" s="2"/>
      <c r="J462" s="4" t="s">
        <v>2775</v>
      </c>
      <c r="K462" s="134"/>
      <c r="L462" s="2"/>
      <c r="M462" s="4" t="s">
        <v>2745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2811</v>
      </c>
      <c r="B463" s="136">
        <v>10.5</v>
      </c>
      <c r="C463" s="2"/>
      <c r="D463" s="4" t="s">
        <v>2826</v>
      </c>
      <c r="E463" s="136">
        <v>8.5</v>
      </c>
      <c r="F463" s="2"/>
      <c r="G463" s="4" t="s">
        <v>2797</v>
      </c>
      <c r="H463" s="136">
        <v>8</v>
      </c>
      <c r="I463" s="2"/>
      <c r="J463" s="7" t="s">
        <v>2776</v>
      </c>
      <c r="K463" s="135">
        <v>9</v>
      </c>
      <c r="L463" s="2"/>
      <c r="M463" s="4" t="s">
        <v>2746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2812</v>
      </c>
      <c r="B464" s="136">
        <v>8.5</v>
      </c>
      <c r="C464" s="2"/>
      <c r="D464" s="4" t="s">
        <v>2827</v>
      </c>
      <c r="E464" s="136">
        <v>10.5</v>
      </c>
      <c r="F464" s="2"/>
      <c r="G464" s="4" t="s">
        <v>2853</v>
      </c>
      <c r="H464" s="136"/>
      <c r="I464" s="2"/>
      <c r="J464" s="2"/>
      <c r="K464" s="2"/>
      <c r="L464" s="2"/>
      <c r="M464" s="4" t="s">
        <v>2747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2813</v>
      </c>
      <c r="B465" s="136">
        <v>8</v>
      </c>
      <c r="C465" s="2"/>
      <c r="D465" s="4" t="s">
        <v>2828</v>
      </c>
      <c r="E465" s="136">
        <v>9.5</v>
      </c>
      <c r="F465" s="2"/>
      <c r="G465" s="7" t="s">
        <v>2798</v>
      </c>
      <c r="H465" s="191">
        <v>9</v>
      </c>
      <c r="I465" s="2"/>
      <c r="J465" s="219" t="s">
        <v>2859</v>
      </c>
      <c r="K465" s="12">
        <f>ROUND(SUM(K466:K477)/COUNT(K466:K477), 2)</f>
        <v>8.25</v>
      </c>
      <c r="L465" s="2"/>
      <c r="M465" s="4" t="s">
        <v>2748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2814</v>
      </c>
      <c r="B466" s="136">
        <v>8.5</v>
      </c>
      <c r="C466" s="2"/>
      <c r="D466" s="4" t="s">
        <v>2829</v>
      </c>
      <c r="E466" s="136">
        <v>8.5</v>
      </c>
      <c r="F466" s="2"/>
      <c r="G466" s="2"/>
      <c r="H466" s="2"/>
      <c r="I466" s="2"/>
      <c r="J466" s="11" t="s">
        <v>2860</v>
      </c>
      <c r="K466" s="190">
        <v>8.5</v>
      </c>
      <c r="L466" s="2"/>
      <c r="M466" s="7" t="s">
        <v>2749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2815</v>
      </c>
      <c r="B467" s="136">
        <v>8.5</v>
      </c>
      <c r="C467" s="2"/>
      <c r="D467" s="4" t="s">
        <v>2830</v>
      </c>
      <c r="E467" s="136"/>
      <c r="F467" s="2"/>
      <c r="G467" s="220" t="s">
        <v>2874</v>
      </c>
      <c r="H467" s="12">
        <f>ROUND(SUM(H468:H472)/COUNT(H468:H472), 2)</f>
        <v>8.8000000000000007</v>
      </c>
      <c r="I467" s="2"/>
      <c r="J467" s="4" t="s">
        <v>2861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2816</v>
      </c>
      <c r="B468" s="136">
        <v>8</v>
      </c>
      <c r="C468" s="2"/>
      <c r="D468" s="4" t="s">
        <v>2831</v>
      </c>
      <c r="E468" s="136">
        <v>9</v>
      </c>
      <c r="F468" s="2"/>
      <c r="G468" s="11" t="s">
        <v>2875</v>
      </c>
      <c r="H468" s="190">
        <v>8</v>
      </c>
      <c r="I468" s="2"/>
      <c r="J468" s="4" t="s">
        <v>2862</v>
      </c>
      <c r="K468" s="136">
        <v>7.5</v>
      </c>
      <c r="L468" s="2"/>
      <c r="M468" s="221" t="s">
        <v>2882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2817</v>
      </c>
      <c r="B469" s="136">
        <v>7.5</v>
      </c>
      <c r="C469" s="2"/>
      <c r="D469" s="4" t="s">
        <v>2832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2863</v>
      </c>
      <c r="K469" s="136">
        <v>8</v>
      </c>
      <c r="L469" s="2"/>
      <c r="M469" s="11" t="s">
        <v>2883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2818</v>
      </c>
      <c r="B470" s="136">
        <v>8</v>
      </c>
      <c r="C470" s="2"/>
      <c r="D470" s="4" t="s">
        <v>2833</v>
      </c>
      <c r="E470" s="136">
        <v>8.5</v>
      </c>
      <c r="F470" s="2"/>
      <c r="G470" s="4" t="s">
        <v>2876</v>
      </c>
      <c r="H470" s="136">
        <v>8.5</v>
      </c>
      <c r="I470" s="2"/>
      <c r="J470" s="4" t="s">
        <v>2864</v>
      </c>
      <c r="K470" s="136">
        <v>8</v>
      </c>
      <c r="L470" s="2"/>
      <c r="M470" s="4" t="s">
        <v>2884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2819</v>
      </c>
      <c r="B471" s="191">
        <v>7.5</v>
      </c>
      <c r="C471" s="2"/>
      <c r="D471" s="4" t="s">
        <v>2834</v>
      </c>
      <c r="E471" s="136">
        <v>8</v>
      </c>
      <c r="F471" s="2"/>
      <c r="G471" s="4" t="s">
        <v>2877</v>
      </c>
      <c r="H471" s="136">
        <v>10</v>
      </c>
      <c r="I471" s="2"/>
      <c r="J471" s="4" t="s">
        <v>2865</v>
      </c>
      <c r="K471" s="136">
        <v>8</v>
      </c>
      <c r="L471" s="2"/>
      <c r="M471" s="4" t="s">
        <v>2885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2835</v>
      </c>
      <c r="E472" s="136"/>
      <c r="F472" s="2"/>
      <c r="G472" s="7" t="s">
        <v>2509</v>
      </c>
      <c r="H472" s="191">
        <v>8.5</v>
      </c>
      <c r="I472" s="2"/>
      <c r="J472" s="4" t="s">
        <v>2866</v>
      </c>
      <c r="K472" s="136">
        <v>9</v>
      </c>
      <c r="L472" s="2"/>
      <c r="M472" s="4" t="s">
        <v>2886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3" t="s">
        <v>2907</v>
      </c>
      <c r="B473" s="12">
        <f>ROUND(SUM(B474:B485)/COUNT(B474:B485), 2)</f>
        <v>8.41</v>
      </c>
      <c r="C473" s="2"/>
      <c r="D473" s="4" t="s">
        <v>2836</v>
      </c>
      <c r="E473" s="136">
        <v>10</v>
      </c>
      <c r="F473" s="2"/>
      <c r="G473" s="2"/>
      <c r="H473" s="2"/>
      <c r="I473" s="2"/>
      <c r="J473" s="4" t="s">
        <v>2867</v>
      </c>
      <c r="K473" s="136">
        <v>8.5</v>
      </c>
      <c r="L473" s="2"/>
      <c r="M473" s="4" t="s">
        <v>2887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2896</v>
      </c>
      <c r="B474" s="190">
        <v>10</v>
      </c>
      <c r="C474" s="2"/>
      <c r="D474" s="4" t="s">
        <v>2837</v>
      </c>
      <c r="E474" s="136">
        <v>8.5</v>
      </c>
      <c r="F474" s="2"/>
      <c r="G474" s="224" t="s">
        <v>2925</v>
      </c>
      <c r="H474" s="12">
        <f>ROUND(SUM(H475:H486)/COUNT(H475:H486), 2)</f>
        <v>8.9600000000000009</v>
      </c>
      <c r="I474" s="2"/>
      <c r="J474" s="4" t="s">
        <v>2868</v>
      </c>
      <c r="K474" s="136">
        <v>8</v>
      </c>
      <c r="L474" s="2"/>
      <c r="M474" s="4" t="s">
        <v>2888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3">
      <c r="A475" s="4" t="s">
        <v>2897</v>
      </c>
      <c r="B475" s="136">
        <v>8.5</v>
      </c>
      <c r="C475" s="2"/>
      <c r="D475" s="4" t="s">
        <v>2838</v>
      </c>
      <c r="E475" s="136">
        <v>9</v>
      </c>
      <c r="F475" s="2"/>
      <c r="G475" s="11" t="s">
        <v>2913</v>
      </c>
      <c r="H475" s="190">
        <v>9.5</v>
      </c>
      <c r="I475" s="2"/>
      <c r="J475" s="4" t="s">
        <v>2869</v>
      </c>
      <c r="K475" s="136">
        <v>9</v>
      </c>
      <c r="L475" s="2"/>
      <c r="M475" s="4" t="s">
        <v>2889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3">
      <c r="A476" s="4" t="s">
        <v>2898</v>
      </c>
      <c r="B476" s="136">
        <v>8.5</v>
      </c>
      <c r="C476" s="2"/>
      <c r="D476" s="4" t="s">
        <v>2839</v>
      </c>
      <c r="E476" s="136">
        <v>8.5</v>
      </c>
      <c r="F476" s="2"/>
      <c r="G476" s="4" t="s">
        <v>2914</v>
      </c>
      <c r="H476" s="136">
        <v>8</v>
      </c>
      <c r="I476" s="2"/>
      <c r="J476" s="4" t="s">
        <v>2870</v>
      </c>
      <c r="K476" s="136">
        <v>8.5</v>
      </c>
      <c r="L476" s="2"/>
      <c r="M476" s="4" t="s">
        <v>2890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 x14ac:dyDescent="0.35">
      <c r="A477" s="4" t="s">
        <v>2899</v>
      </c>
      <c r="B477" s="136">
        <v>8</v>
      </c>
      <c r="C477" s="2"/>
      <c r="D477" s="4" t="s">
        <v>2840</v>
      </c>
      <c r="E477" s="136"/>
      <c r="F477" s="2"/>
      <c r="G477" s="4" t="s">
        <v>2915</v>
      </c>
      <c r="H477" s="136">
        <v>10</v>
      </c>
      <c r="I477" s="2"/>
      <c r="J477" s="7" t="s">
        <v>2871</v>
      </c>
      <c r="K477" s="191">
        <v>7</v>
      </c>
      <c r="L477" s="2"/>
      <c r="M477" s="4" t="s">
        <v>2891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 x14ac:dyDescent="0.35">
      <c r="A478" s="4" t="s">
        <v>2900</v>
      </c>
      <c r="B478" s="136">
        <v>7.5</v>
      </c>
      <c r="C478" s="2"/>
      <c r="D478" s="4" t="s">
        <v>2841</v>
      </c>
      <c r="E478" s="136">
        <v>10.5</v>
      </c>
      <c r="F478" s="2"/>
      <c r="G478" s="4" t="s">
        <v>2916</v>
      </c>
      <c r="H478" s="136">
        <v>8.5</v>
      </c>
      <c r="I478" s="2"/>
      <c r="J478" s="2"/>
      <c r="K478" s="2"/>
      <c r="L478" s="2"/>
      <c r="M478" s="7" t="s">
        <v>2892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45" customHeight="1" thickBot="1" x14ac:dyDescent="0.35">
      <c r="A479" s="4" t="s">
        <v>2901</v>
      </c>
      <c r="B479" s="136">
        <v>7.5</v>
      </c>
      <c r="C479" s="2"/>
      <c r="D479" s="4" t="s">
        <v>2842</v>
      </c>
      <c r="E479" s="136">
        <v>8.5</v>
      </c>
      <c r="F479" s="2"/>
      <c r="G479" s="4" t="s">
        <v>2917</v>
      </c>
      <c r="H479" s="136">
        <v>9</v>
      </c>
      <c r="I479" s="2"/>
      <c r="J479" s="349" t="s">
        <v>2929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45" customHeight="1" thickBot="1" x14ac:dyDescent="0.35">
      <c r="A480" s="4" t="s">
        <v>2902</v>
      </c>
      <c r="B480" s="136">
        <v>9.5</v>
      </c>
      <c r="C480" s="2"/>
      <c r="D480" s="4" t="s">
        <v>2843</v>
      </c>
      <c r="E480" s="136">
        <v>8.5</v>
      </c>
      <c r="F480" s="2"/>
      <c r="G480" s="4" t="s">
        <v>2918</v>
      </c>
      <c r="H480" s="136">
        <v>8</v>
      </c>
      <c r="I480" s="2"/>
      <c r="J480" s="11" t="s">
        <v>2930</v>
      </c>
      <c r="K480" s="190">
        <v>8</v>
      </c>
      <c r="L480" s="2"/>
      <c r="M480" s="350" t="s">
        <v>2943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3">
      <c r="A481" s="4" t="s">
        <v>2903</v>
      </c>
      <c r="B481" s="136">
        <v>8</v>
      </c>
      <c r="C481" s="2"/>
      <c r="D481" s="4" t="s">
        <v>2844</v>
      </c>
      <c r="E481" s="136">
        <v>9</v>
      </c>
      <c r="F481" s="2"/>
      <c r="G481" s="4" t="s">
        <v>2919</v>
      </c>
      <c r="H481" s="136">
        <v>8</v>
      </c>
      <c r="I481" s="2"/>
      <c r="J481" s="4" t="s">
        <v>2931</v>
      </c>
      <c r="K481" s="136">
        <v>9</v>
      </c>
      <c r="L481" s="2"/>
      <c r="M481" s="11" t="s">
        <v>2944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3">
      <c r="A482" s="4" t="s">
        <v>2904</v>
      </c>
      <c r="B482" s="136">
        <v>7.5</v>
      </c>
      <c r="C482" s="2"/>
      <c r="D482" s="4" t="s">
        <v>2845</v>
      </c>
      <c r="E482" s="136">
        <v>8</v>
      </c>
      <c r="F482" s="2"/>
      <c r="G482" s="4" t="s">
        <v>2920</v>
      </c>
      <c r="H482" s="136">
        <v>9</v>
      </c>
      <c r="I482" s="2"/>
      <c r="J482" s="4" t="s">
        <v>2932</v>
      </c>
      <c r="K482" s="136">
        <v>9</v>
      </c>
      <c r="L482" s="2"/>
      <c r="M482" s="4" t="s">
        <v>2945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3">
      <c r="A483" s="4" t="s">
        <v>2905</v>
      </c>
      <c r="B483" s="136">
        <v>10</v>
      </c>
      <c r="C483" s="2"/>
      <c r="D483" s="4" t="s">
        <v>2846</v>
      </c>
      <c r="E483" s="136"/>
      <c r="F483" s="2"/>
      <c r="G483" s="4" t="s">
        <v>2921</v>
      </c>
      <c r="H483" s="136">
        <v>8.5</v>
      </c>
      <c r="I483" s="2"/>
      <c r="J483" s="4" t="s">
        <v>2933</v>
      </c>
      <c r="K483" s="136">
        <v>10</v>
      </c>
      <c r="L483" s="2"/>
      <c r="M483" s="4" t="s">
        <v>2946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3">
      <c r="A484" s="4" t="s">
        <v>364</v>
      </c>
      <c r="B484" s="136"/>
      <c r="C484" s="2"/>
      <c r="D484" s="4" t="s">
        <v>2847</v>
      </c>
      <c r="E484" s="136">
        <v>8</v>
      </c>
      <c r="F484" s="2"/>
      <c r="G484" s="4" t="s">
        <v>2922</v>
      </c>
      <c r="H484" s="136">
        <v>10</v>
      </c>
      <c r="I484" s="2"/>
      <c r="J484" s="4" t="s">
        <v>2934</v>
      </c>
      <c r="K484" s="136">
        <v>7.5</v>
      </c>
      <c r="L484" s="2"/>
      <c r="M484" s="4" t="s">
        <v>2947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 x14ac:dyDescent="0.35">
      <c r="A485" s="7" t="s">
        <v>2906</v>
      </c>
      <c r="B485" s="191">
        <v>7.5</v>
      </c>
      <c r="C485" s="2"/>
      <c r="D485" s="7" t="s">
        <v>2848</v>
      </c>
      <c r="E485" s="191">
        <v>8</v>
      </c>
      <c r="F485" s="2"/>
      <c r="G485" s="4" t="s">
        <v>2923</v>
      </c>
      <c r="H485" s="136">
        <v>10</v>
      </c>
      <c r="I485" s="2"/>
      <c r="J485" s="4" t="s">
        <v>2935</v>
      </c>
      <c r="K485" s="136">
        <v>10.5</v>
      </c>
      <c r="L485" s="2"/>
      <c r="M485" s="4" t="s">
        <v>2458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 x14ac:dyDescent="0.35">
      <c r="A486" s="2"/>
      <c r="B486" s="2"/>
      <c r="C486" s="2"/>
      <c r="D486" s="2"/>
      <c r="E486" s="2"/>
      <c r="F486" s="2"/>
      <c r="G486" s="7" t="s">
        <v>2924</v>
      </c>
      <c r="H486" s="191">
        <v>9</v>
      </c>
      <c r="I486" s="2"/>
      <c r="J486" s="4" t="s">
        <v>2936</v>
      </c>
      <c r="K486" s="136">
        <v>8</v>
      </c>
      <c r="L486" s="2"/>
      <c r="M486" s="7" t="s">
        <v>2948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45" customHeight="1" thickBot="1" x14ac:dyDescent="0.35">
      <c r="A487" s="352" t="s">
        <v>2982</v>
      </c>
      <c r="B487" s="12">
        <f>ROUND(SUM(B488:B501)/COUNT(B488:B501), 2)</f>
        <v>8.85</v>
      </c>
      <c r="C487" s="2"/>
      <c r="D487" s="351" t="s">
        <v>2967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2937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45" customHeight="1" thickBot="1" x14ac:dyDescent="0.35">
      <c r="A488" s="11" t="s">
        <v>1730</v>
      </c>
      <c r="B488" s="190">
        <v>8.5</v>
      </c>
      <c r="C488" s="2"/>
      <c r="D488" s="11" t="s">
        <v>2968</v>
      </c>
      <c r="E488" s="190">
        <v>9</v>
      </c>
      <c r="F488" s="2"/>
      <c r="G488" s="353" t="s">
        <v>2986</v>
      </c>
      <c r="H488" s="12">
        <f>ROUND(SUM(H489:H498)/COUNT(H489:H498), 2)</f>
        <v>8.4</v>
      </c>
      <c r="I488" s="2"/>
      <c r="J488" s="4" t="s">
        <v>2938</v>
      </c>
      <c r="K488" s="136">
        <v>8.5</v>
      </c>
      <c r="L488" s="2"/>
      <c r="M488" s="355" t="s">
        <v>3000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 x14ac:dyDescent="0.35">
      <c r="A489" s="4" t="s">
        <v>2954</v>
      </c>
      <c r="B489" s="136">
        <v>9</v>
      </c>
      <c r="C489" s="2"/>
      <c r="D489" s="4" t="s">
        <v>2969</v>
      </c>
      <c r="E489" s="136">
        <v>8.5</v>
      </c>
      <c r="F489" s="2"/>
      <c r="G489" s="11" t="s">
        <v>2987</v>
      </c>
      <c r="H489" s="190">
        <v>10</v>
      </c>
      <c r="I489" s="2"/>
      <c r="J489" s="7" t="s">
        <v>2939</v>
      </c>
      <c r="K489" s="191">
        <v>7.5</v>
      </c>
      <c r="L489" s="2"/>
      <c r="M489" s="11" t="s">
        <v>3001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 x14ac:dyDescent="0.35">
      <c r="A490" s="4" t="s">
        <v>2955</v>
      </c>
      <c r="B490" s="136">
        <v>8.5</v>
      </c>
      <c r="C490" s="2"/>
      <c r="D490" s="4" t="s">
        <v>2970</v>
      </c>
      <c r="E490" s="136">
        <v>9</v>
      </c>
      <c r="F490" s="2"/>
      <c r="G490" s="4" t="s">
        <v>2988</v>
      </c>
      <c r="H490" s="136">
        <v>8.5</v>
      </c>
      <c r="I490" s="2"/>
      <c r="J490" s="2"/>
      <c r="K490" s="2"/>
      <c r="L490" s="2"/>
      <c r="M490" s="4" t="s">
        <v>3002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45" customHeight="1" thickBot="1" x14ac:dyDescent="0.35">
      <c r="A491" s="4" t="s">
        <v>2956</v>
      </c>
      <c r="B491" s="136">
        <v>8</v>
      </c>
      <c r="C491" s="2"/>
      <c r="D491" s="4" t="s">
        <v>2971</v>
      </c>
      <c r="E491" s="136">
        <v>8</v>
      </c>
      <c r="F491" s="2"/>
      <c r="G491" s="4" t="s">
        <v>2989</v>
      </c>
      <c r="H491" s="136">
        <v>8</v>
      </c>
      <c r="I491" s="2"/>
      <c r="J491" s="360" t="s">
        <v>3020</v>
      </c>
      <c r="K491" s="12">
        <f>ROUND(SUM(K492:K497)/COUNT(K492:K497), 2)</f>
        <v>7.92</v>
      </c>
      <c r="L491" s="2"/>
      <c r="M491" s="4" t="s">
        <v>3003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3">
      <c r="A492" s="4" t="s">
        <v>2957</v>
      </c>
      <c r="B492" s="136">
        <v>8.5</v>
      </c>
      <c r="C492" s="2"/>
      <c r="D492" s="4" t="s">
        <v>2972</v>
      </c>
      <c r="E492" s="136">
        <v>8.5</v>
      </c>
      <c r="F492" s="2"/>
      <c r="G492" s="4" t="s">
        <v>2990</v>
      </c>
      <c r="H492" s="136">
        <v>9</v>
      </c>
      <c r="I492" s="2"/>
      <c r="J492" s="11" t="s">
        <v>3014</v>
      </c>
      <c r="K492" s="190">
        <v>8.5</v>
      </c>
      <c r="L492" s="2"/>
      <c r="M492" s="4" t="s">
        <v>3004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3">
      <c r="A493" s="4" t="s">
        <v>2958</v>
      </c>
      <c r="B493" s="136">
        <v>9.5</v>
      </c>
      <c r="C493" s="2"/>
      <c r="D493" s="4" t="s">
        <v>2973</v>
      </c>
      <c r="E493" s="136">
        <v>10</v>
      </c>
      <c r="F493" s="2"/>
      <c r="G493" s="4" t="s">
        <v>2991</v>
      </c>
      <c r="H493" s="136">
        <v>8</v>
      </c>
      <c r="I493" s="2"/>
      <c r="J493" s="4" t="s">
        <v>3015</v>
      </c>
      <c r="K493" s="136">
        <v>8</v>
      </c>
      <c r="L493" s="2"/>
      <c r="M493" s="4" t="s">
        <v>3005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3">
      <c r="A494" s="4" t="s">
        <v>2959</v>
      </c>
      <c r="B494" s="136"/>
      <c r="C494" s="2"/>
      <c r="D494" s="4" t="s">
        <v>2974</v>
      </c>
      <c r="E494" s="136">
        <v>9</v>
      </c>
      <c r="F494" s="2"/>
      <c r="G494" s="4" t="s">
        <v>2992</v>
      </c>
      <c r="H494" s="136">
        <v>9</v>
      </c>
      <c r="I494" s="2"/>
      <c r="J494" s="4" t="s">
        <v>3016</v>
      </c>
      <c r="K494" s="136">
        <v>7.5</v>
      </c>
      <c r="L494" s="2"/>
      <c r="M494" s="4" t="s">
        <v>3006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3">
      <c r="A495" s="4" t="s">
        <v>2960</v>
      </c>
      <c r="B495" s="136">
        <v>9.5</v>
      </c>
      <c r="C495" s="2"/>
      <c r="D495" s="4" t="s">
        <v>2975</v>
      </c>
      <c r="E495" s="136">
        <v>7.5</v>
      </c>
      <c r="F495" s="2"/>
      <c r="G495" s="4" t="s">
        <v>2993</v>
      </c>
      <c r="H495" s="136">
        <v>7.5</v>
      </c>
      <c r="I495" s="2"/>
      <c r="J495" s="4" t="s">
        <v>3017</v>
      </c>
      <c r="K495" s="136">
        <v>8</v>
      </c>
      <c r="L495" s="2"/>
      <c r="M495" s="4" t="s">
        <v>1723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3">
      <c r="A496" s="4" t="s">
        <v>2961</v>
      </c>
      <c r="B496" s="136">
        <v>8.5</v>
      </c>
      <c r="C496" s="2"/>
      <c r="D496" s="4" t="s">
        <v>2976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3018</v>
      </c>
      <c r="K496" s="136">
        <v>6.5</v>
      </c>
      <c r="L496" s="2"/>
      <c r="M496" s="4" t="s">
        <v>3007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2" thickBot="1" x14ac:dyDescent="0.35">
      <c r="A497" s="4" t="s">
        <v>2962</v>
      </c>
      <c r="B497" s="136">
        <v>10</v>
      </c>
      <c r="C497" s="2"/>
      <c r="D497" s="7" t="s">
        <v>2977</v>
      </c>
      <c r="E497" s="191">
        <v>8</v>
      </c>
      <c r="F497" s="2"/>
      <c r="G497" s="4" t="s">
        <v>2994</v>
      </c>
      <c r="H497" s="136">
        <v>8</v>
      </c>
      <c r="I497" s="2"/>
      <c r="J497" s="7" t="s">
        <v>3019</v>
      </c>
      <c r="K497" s="191">
        <v>9</v>
      </c>
      <c r="L497" s="2"/>
      <c r="M497" s="4" t="s">
        <v>3008</v>
      </c>
      <c r="N497" s="136">
        <v>8</v>
      </c>
      <c r="O497" s="16"/>
    </row>
    <row r="498" spans="1:15" s="3" customFormat="1" ht="16.2" thickBot="1" x14ac:dyDescent="0.35">
      <c r="A498" s="4" t="s">
        <v>2963</v>
      </c>
      <c r="B498" s="136">
        <v>8.5</v>
      </c>
      <c r="C498" s="2"/>
      <c r="D498" s="2"/>
      <c r="E498" s="2"/>
      <c r="F498" s="2"/>
      <c r="G498" s="7" t="s">
        <v>2995</v>
      </c>
      <c r="H498" s="191">
        <v>7.5</v>
      </c>
      <c r="I498" s="2"/>
      <c r="J498" s="2"/>
      <c r="K498" s="2"/>
      <c r="L498" s="2"/>
      <c r="M498" s="7" t="s">
        <v>3009</v>
      </c>
      <c r="N498" s="191">
        <v>10</v>
      </c>
      <c r="O498" s="16"/>
    </row>
    <row r="499" spans="1:15" s="3" customFormat="1" ht="15.45" customHeight="1" thickBot="1" x14ac:dyDescent="0.35">
      <c r="A499" s="4" t="s">
        <v>2964</v>
      </c>
      <c r="B499" s="136">
        <v>10</v>
      </c>
      <c r="C499" s="2"/>
      <c r="D499" s="368" t="s">
        <v>3266</v>
      </c>
      <c r="E499" s="12">
        <f>ROUND(SUM(E500:E512)/COUNT(E500:E512), 2)</f>
        <v>8.6300000000000008</v>
      </c>
      <c r="F499" s="2"/>
      <c r="G499" s="2"/>
      <c r="H499" s="2"/>
      <c r="I499" s="2"/>
      <c r="J499" s="359" t="s">
        <v>3037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2965</v>
      </c>
      <c r="B500" s="136">
        <v>8</v>
      </c>
      <c r="C500" s="2"/>
      <c r="D500" s="11" t="s">
        <v>3022</v>
      </c>
      <c r="E500" s="190">
        <v>8.5</v>
      </c>
      <c r="F500" s="2"/>
      <c r="G500" s="361" t="s">
        <v>3064</v>
      </c>
      <c r="H500" s="12">
        <f>ROUND(SUM(H501:H510)/COUNT(H501:H510), 2)</f>
        <v>8.6</v>
      </c>
      <c r="I500" s="2"/>
      <c r="J500" s="11" t="s">
        <v>3038</v>
      </c>
      <c r="K500" s="190"/>
      <c r="L500" s="2"/>
      <c r="M500" s="362" t="s">
        <v>3079</v>
      </c>
      <c r="N500" s="12">
        <f>ROUND(SUM(N501:N510)/COUNT(N501:N510), 2)</f>
        <v>8.6999999999999993</v>
      </c>
      <c r="O500" s="16"/>
    </row>
    <row r="501" spans="1:15" s="3" customFormat="1" ht="16.2" thickBot="1" x14ac:dyDescent="0.35">
      <c r="A501" s="7" t="s">
        <v>2966</v>
      </c>
      <c r="B501" s="191">
        <v>8.5</v>
      </c>
      <c r="C501" s="2"/>
      <c r="D501" s="4" t="s">
        <v>3023</v>
      </c>
      <c r="E501" s="136">
        <v>8.5</v>
      </c>
      <c r="F501" s="2"/>
      <c r="G501" s="11" t="s">
        <v>3065</v>
      </c>
      <c r="H501" s="190">
        <v>9</v>
      </c>
      <c r="I501" s="2"/>
      <c r="J501" s="4" t="s">
        <v>3039</v>
      </c>
      <c r="K501" s="136">
        <v>9</v>
      </c>
      <c r="L501" s="2"/>
      <c r="M501" s="11" t="s">
        <v>3080</v>
      </c>
      <c r="N501" s="190">
        <v>9</v>
      </c>
      <c r="O501" s="16"/>
    </row>
    <row r="502" spans="1:15" s="3" customFormat="1" ht="16.2" thickBot="1" x14ac:dyDescent="0.35">
      <c r="A502" s="2"/>
      <c r="B502" s="2"/>
      <c r="C502" s="2"/>
      <c r="D502" s="4" t="s">
        <v>3024</v>
      </c>
      <c r="E502" s="136">
        <v>8</v>
      </c>
      <c r="F502" s="2"/>
      <c r="G502" s="4" t="s">
        <v>3066</v>
      </c>
      <c r="H502" s="136">
        <v>9</v>
      </c>
      <c r="I502" s="2"/>
      <c r="J502" s="4" t="s">
        <v>3040</v>
      </c>
      <c r="K502" s="136">
        <v>8.5</v>
      </c>
      <c r="L502" s="2"/>
      <c r="M502" s="4" t="s">
        <v>3081</v>
      </c>
      <c r="N502" s="136">
        <v>10</v>
      </c>
      <c r="O502" s="16"/>
    </row>
    <row r="503" spans="1:15" s="3" customFormat="1" ht="15" customHeight="1" thickBot="1" x14ac:dyDescent="0.35">
      <c r="A503" s="363" t="s">
        <v>3094</v>
      </c>
      <c r="B503" s="12">
        <f>ROUND(SUM(B504:B513)/COUNT(B504:B513), 2)</f>
        <v>7.95</v>
      </c>
      <c r="C503" s="2"/>
      <c r="D503" s="4" t="s">
        <v>3025</v>
      </c>
      <c r="E503" s="136">
        <v>9.5</v>
      </c>
      <c r="F503" s="2"/>
      <c r="G503" s="4" t="s">
        <v>3067</v>
      </c>
      <c r="H503" s="136">
        <v>8.5</v>
      </c>
      <c r="I503" s="2"/>
      <c r="J503" s="4" t="s">
        <v>3041</v>
      </c>
      <c r="K503" s="136">
        <v>9</v>
      </c>
      <c r="L503" s="2"/>
      <c r="M503" s="4" t="s">
        <v>3082</v>
      </c>
      <c r="N503" s="136">
        <v>8.5</v>
      </c>
      <c r="O503" s="16"/>
    </row>
    <row r="504" spans="1:15" s="3" customFormat="1" x14ac:dyDescent="0.3">
      <c r="A504" s="11" t="s">
        <v>3095</v>
      </c>
      <c r="B504" s="190">
        <v>7.5</v>
      </c>
      <c r="C504" s="2"/>
      <c r="D504" s="4" t="s">
        <v>3026</v>
      </c>
      <c r="E504" s="136">
        <v>8</v>
      </c>
      <c r="F504" s="2"/>
      <c r="G504" s="4" t="s">
        <v>3068</v>
      </c>
      <c r="H504" s="136">
        <v>10</v>
      </c>
      <c r="I504" s="2"/>
      <c r="J504" s="4" t="s">
        <v>2573</v>
      </c>
      <c r="K504" s="136">
        <v>8.5</v>
      </c>
      <c r="L504" s="2"/>
      <c r="M504" s="4" t="s">
        <v>3083</v>
      </c>
      <c r="N504" s="136">
        <v>8</v>
      </c>
      <c r="O504" s="16"/>
    </row>
    <row r="505" spans="1:15" s="3" customFormat="1" x14ac:dyDescent="0.3">
      <c r="A505" s="4" t="s">
        <v>3096</v>
      </c>
      <c r="B505" s="136">
        <v>8.5</v>
      </c>
      <c r="C505" s="2"/>
      <c r="D505" s="4" t="s">
        <v>3027</v>
      </c>
      <c r="E505" s="136">
        <v>10</v>
      </c>
      <c r="F505" s="2"/>
      <c r="G505" s="4" t="s">
        <v>3069</v>
      </c>
      <c r="H505" s="136">
        <v>8.5</v>
      </c>
      <c r="I505" s="2"/>
      <c r="J505" s="4" t="s">
        <v>3042</v>
      </c>
      <c r="K505" s="136">
        <v>8.5</v>
      </c>
      <c r="L505" s="2"/>
      <c r="M505" s="4" t="s">
        <v>3084</v>
      </c>
      <c r="N505" s="136">
        <v>8.5</v>
      </c>
      <c r="O505" s="16"/>
    </row>
    <row r="506" spans="1:15" s="3" customFormat="1" x14ac:dyDescent="0.3">
      <c r="A506" s="4" t="s">
        <v>3097</v>
      </c>
      <c r="B506" s="136">
        <v>9</v>
      </c>
      <c r="C506" s="2"/>
      <c r="D506" s="4" t="s">
        <v>3028</v>
      </c>
      <c r="E506" s="136"/>
      <c r="F506" s="2"/>
      <c r="G506" s="4" t="s">
        <v>3070</v>
      </c>
      <c r="H506" s="136">
        <v>8</v>
      </c>
      <c r="I506" s="2"/>
      <c r="J506" s="4" t="s">
        <v>3043</v>
      </c>
      <c r="K506" s="136">
        <v>9</v>
      </c>
      <c r="L506" s="2"/>
      <c r="M506" s="4" t="s">
        <v>3085</v>
      </c>
      <c r="N506" s="136">
        <v>8</v>
      </c>
      <c r="O506" s="16"/>
    </row>
    <row r="507" spans="1:15" s="3" customFormat="1" x14ac:dyDescent="0.3">
      <c r="A507" s="4" t="s">
        <v>3098</v>
      </c>
      <c r="B507" s="136">
        <v>7</v>
      </c>
      <c r="C507" s="2"/>
      <c r="D507" s="4" t="s">
        <v>3029</v>
      </c>
      <c r="E507" s="136">
        <v>8</v>
      </c>
      <c r="F507" s="2"/>
      <c r="G507" s="4" t="s">
        <v>3071</v>
      </c>
      <c r="H507" s="136">
        <v>8</v>
      </c>
      <c r="I507" s="2"/>
      <c r="J507" s="4" t="s">
        <v>3044</v>
      </c>
      <c r="K507" s="136"/>
      <c r="L507" s="2"/>
      <c r="M507" s="4" t="s">
        <v>3086</v>
      </c>
      <c r="N507" s="136">
        <v>8.5</v>
      </c>
      <c r="O507" s="16"/>
    </row>
    <row r="508" spans="1:15" s="3" customFormat="1" x14ac:dyDescent="0.3">
      <c r="A508" s="4" t="s">
        <v>3099</v>
      </c>
      <c r="B508" s="136">
        <v>8</v>
      </c>
      <c r="C508" s="2"/>
      <c r="D508" s="4" t="s">
        <v>3030</v>
      </c>
      <c r="E508" s="136">
        <v>8</v>
      </c>
      <c r="F508" s="2"/>
      <c r="G508" s="4" t="s">
        <v>3072</v>
      </c>
      <c r="H508" s="136">
        <v>8.5</v>
      </c>
      <c r="I508" s="2"/>
      <c r="J508" s="4" t="s">
        <v>3045</v>
      </c>
      <c r="K508" s="136">
        <v>9</v>
      </c>
      <c r="L508" s="2"/>
      <c r="M508" s="4" t="s">
        <v>3087</v>
      </c>
      <c r="N508" s="136">
        <v>9</v>
      </c>
      <c r="O508" s="16"/>
    </row>
    <row r="509" spans="1:15" s="3" customFormat="1" x14ac:dyDescent="0.3">
      <c r="A509" s="4" t="s">
        <v>3100</v>
      </c>
      <c r="B509" s="136">
        <v>7.5</v>
      </c>
      <c r="C509" s="2"/>
      <c r="D509" s="4" t="s">
        <v>3031</v>
      </c>
      <c r="E509" s="136">
        <v>8.5</v>
      </c>
      <c r="F509" s="2"/>
      <c r="G509" s="4" t="s">
        <v>3073</v>
      </c>
      <c r="H509" s="136">
        <v>8.5</v>
      </c>
      <c r="I509" s="2"/>
      <c r="J509" s="4" t="s">
        <v>3046</v>
      </c>
      <c r="K509" s="136">
        <v>8.5</v>
      </c>
      <c r="L509" s="2"/>
      <c r="M509" s="4" t="s">
        <v>3088</v>
      </c>
      <c r="N509" s="136">
        <v>9</v>
      </c>
      <c r="O509" s="16"/>
    </row>
    <row r="510" spans="1:15" s="3" customFormat="1" ht="16.2" thickBot="1" x14ac:dyDescent="0.35">
      <c r="A510" s="4" t="s">
        <v>3101</v>
      </c>
      <c r="B510" s="136">
        <v>8</v>
      </c>
      <c r="C510" s="2"/>
      <c r="D510" s="4" t="s">
        <v>3032</v>
      </c>
      <c r="E510" s="136">
        <v>9</v>
      </c>
      <c r="F510" s="2"/>
      <c r="G510" s="7" t="s">
        <v>3074</v>
      </c>
      <c r="H510" s="191">
        <v>8</v>
      </c>
      <c r="I510" s="2"/>
      <c r="J510" s="4" t="s">
        <v>3047</v>
      </c>
      <c r="K510" s="136">
        <v>9</v>
      </c>
      <c r="L510" s="2"/>
      <c r="M510" s="7" t="s">
        <v>3089</v>
      </c>
      <c r="N510" s="191">
        <v>8.5</v>
      </c>
      <c r="O510" s="16"/>
    </row>
    <row r="511" spans="1:15" s="3" customFormat="1" ht="16.2" thickBot="1" x14ac:dyDescent="0.35">
      <c r="A511" s="4" t="s">
        <v>3102</v>
      </c>
      <c r="B511" s="136">
        <v>8</v>
      </c>
      <c r="C511" s="2"/>
      <c r="D511" s="4" t="s">
        <v>3033</v>
      </c>
      <c r="E511" s="136">
        <v>9.5</v>
      </c>
      <c r="F511" s="2"/>
      <c r="G511" s="2"/>
      <c r="H511" s="2"/>
      <c r="I511" s="2"/>
      <c r="J511" s="4" t="s">
        <v>3048</v>
      </c>
      <c r="K511" s="136">
        <v>8.5</v>
      </c>
      <c r="L511" s="2"/>
      <c r="M511" s="2"/>
      <c r="N511" s="2"/>
      <c r="O511" s="16"/>
    </row>
    <row r="512" spans="1:15" s="3" customFormat="1" ht="15.45" customHeight="1" thickBot="1" x14ac:dyDescent="0.35">
      <c r="A512" s="4" t="s">
        <v>3103</v>
      </c>
      <c r="B512" s="136">
        <v>7.5</v>
      </c>
      <c r="C512" s="2"/>
      <c r="D512" s="7" t="s">
        <v>3034</v>
      </c>
      <c r="E512" s="191">
        <v>8</v>
      </c>
      <c r="F512" s="2"/>
      <c r="G512" s="365" t="s">
        <v>3109</v>
      </c>
      <c r="H512" s="12">
        <f>ROUND(SUM(H513:H519)/COUNT(H513:H519), 2)</f>
        <v>9.14</v>
      </c>
      <c r="I512" s="2"/>
      <c r="J512" s="4" t="s">
        <v>3049</v>
      </c>
      <c r="K512" s="136">
        <v>10</v>
      </c>
      <c r="L512" s="2"/>
      <c r="M512" s="367" t="s">
        <v>3251</v>
      </c>
      <c r="N512" s="12">
        <f>ROUND(SUM(N513:N523)/COUNT(N513:N523), 2)</f>
        <v>8.73</v>
      </c>
      <c r="O512" s="16"/>
    </row>
    <row r="513" spans="1:15" s="3" customFormat="1" ht="16.2" thickBot="1" x14ac:dyDescent="0.35">
      <c r="A513" s="7" t="s">
        <v>3104</v>
      </c>
      <c r="B513" s="191">
        <v>8.5</v>
      </c>
      <c r="C513" s="2"/>
      <c r="D513" s="2"/>
      <c r="E513" s="2"/>
      <c r="F513" s="2"/>
      <c r="G513" s="11" t="s">
        <v>3110</v>
      </c>
      <c r="H513" s="190">
        <v>8.5</v>
      </c>
      <c r="I513" s="2"/>
      <c r="J513" s="4" t="s">
        <v>3050</v>
      </c>
      <c r="K513" s="136">
        <v>8</v>
      </c>
      <c r="L513" s="2"/>
      <c r="M513" s="11" t="s">
        <v>3240</v>
      </c>
      <c r="N513" s="190">
        <v>10</v>
      </c>
      <c r="O513" s="16"/>
    </row>
    <row r="514" spans="1:15" s="3" customFormat="1" ht="15.45" customHeight="1" thickBot="1" x14ac:dyDescent="0.35">
      <c r="A514" s="2"/>
      <c r="B514" s="2"/>
      <c r="C514" s="2"/>
      <c r="D514" s="369" t="s">
        <v>3267</v>
      </c>
      <c r="E514" s="12">
        <f>ROUND(SUM(E515:E526)/COUNT(E515:E526), 2)</f>
        <v>8.58</v>
      </c>
      <c r="F514" s="2"/>
      <c r="G514" s="4" t="s">
        <v>3111</v>
      </c>
      <c r="H514" s="136">
        <v>9</v>
      </c>
      <c r="I514" s="2"/>
      <c r="J514" s="4" t="s">
        <v>3051</v>
      </c>
      <c r="K514" s="136">
        <v>8.5</v>
      </c>
      <c r="L514" s="2"/>
      <c r="M514" s="4" t="s">
        <v>3241</v>
      </c>
      <c r="N514" s="136">
        <v>8.5</v>
      </c>
      <c r="O514" s="16"/>
    </row>
    <row r="515" spans="1:15" s="3" customFormat="1" ht="15.45" customHeight="1" thickBot="1" x14ac:dyDescent="0.35">
      <c r="A515" s="129" t="s">
        <v>3285</v>
      </c>
      <c r="B515" s="12">
        <f>ROUND(SUM(B516:B522)/COUNT(B516:B522), 2)</f>
        <v>8.7899999999999991</v>
      </c>
      <c r="C515" s="2"/>
      <c r="D515" s="11" t="s">
        <v>3254</v>
      </c>
      <c r="E515" s="190">
        <v>8.5</v>
      </c>
      <c r="F515" s="2"/>
      <c r="G515" s="4" t="s">
        <v>3112</v>
      </c>
      <c r="H515" s="136">
        <v>9</v>
      </c>
      <c r="I515" s="2"/>
      <c r="J515" s="4" t="s">
        <v>3052</v>
      </c>
      <c r="K515" s="136">
        <v>7.5</v>
      </c>
      <c r="L515" s="2"/>
      <c r="M515" s="4" t="s">
        <v>3242</v>
      </c>
      <c r="N515" s="136">
        <v>8</v>
      </c>
      <c r="O515" s="16"/>
    </row>
    <row r="516" spans="1:15" s="3" customFormat="1" x14ac:dyDescent="0.3">
      <c r="A516" s="372" t="s">
        <v>3279</v>
      </c>
      <c r="B516" s="190">
        <v>9</v>
      </c>
      <c r="C516" s="2"/>
      <c r="D516" s="4" t="s">
        <v>3255</v>
      </c>
      <c r="E516" s="136">
        <v>9</v>
      </c>
      <c r="F516" s="2"/>
      <c r="G516" s="4" t="s">
        <v>3113</v>
      </c>
      <c r="H516" s="136">
        <v>10.5</v>
      </c>
      <c r="I516" s="2"/>
      <c r="J516" s="4" t="s">
        <v>3053</v>
      </c>
      <c r="K516" s="136">
        <v>10</v>
      </c>
      <c r="L516" s="2"/>
      <c r="M516" s="4" t="s">
        <v>3243</v>
      </c>
      <c r="N516" s="136">
        <v>8</v>
      </c>
      <c r="O516" s="16"/>
    </row>
    <row r="517" spans="1:15" s="3" customFormat="1" ht="16.2" thickBot="1" x14ac:dyDescent="0.35">
      <c r="A517" s="373" t="s">
        <v>3280</v>
      </c>
      <c r="B517" s="136">
        <v>8.5</v>
      </c>
      <c r="C517" s="2"/>
      <c r="D517" s="4" t="s">
        <v>3256</v>
      </c>
      <c r="E517" s="136">
        <v>10</v>
      </c>
      <c r="F517" s="2"/>
      <c r="G517" s="4" t="s">
        <v>3114</v>
      </c>
      <c r="H517" s="136">
        <v>10</v>
      </c>
      <c r="I517" s="2"/>
      <c r="J517" s="7" t="s">
        <v>3054</v>
      </c>
      <c r="K517" s="191">
        <v>8.5</v>
      </c>
      <c r="L517" s="2"/>
      <c r="M517" s="4" t="s">
        <v>3244</v>
      </c>
      <c r="N517" s="136">
        <v>10</v>
      </c>
      <c r="O517" s="16"/>
    </row>
    <row r="518" spans="1:15" s="3" customFormat="1" ht="16.2" thickBot="1" x14ac:dyDescent="0.35">
      <c r="A518" s="4" t="s">
        <v>450</v>
      </c>
      <c r="B518" s="136">
        <v>10</v>
      </c>
      <c r="C518" s="2"/>
      <c r="D518" s="4" t="s">
        <v>3257</v>
      </c>
      <c r="E518" s="136">
        <v>10</v>
      </c>
      <c r="F518" s="2"/>
      <c r="G518" s="4" t="s">
        <v>3115</v>
      </c>
      <c r="H518" s="136">
        <v>8.5</v>
      </c>
      <c r="I518" s="2"/>
      <c r="J518" s="2"/>
      <c r="K518" s="2"/>
      <c r="L518" s="2"/>
      <c r="M518" s="4" t="s">
        <v>3245</v>
      </c>
      <c r="N518" s="136">
        <v>7.5</v>
      </c>
      <c r="O518" s="16"/>
    </row>
    <row r="519" spans="1:15" s="3" customFormat="1" ht="15.45" customHeight="1" thickBot="1" x14ac:dyDescent="0.35">
      <c r="A519" s="4" t="s">
        <v>3281</v>
      </c>
      <c r="B519" s="136">
        <v>8</v>
      </c>
      <c r="C519" s="2"/>
      <c r="D519" s="4" t="s">
        <v>3258</v>
      </c>
      <c r="E519" s="136">
        <v>8</v>
      </c>
      <c r="F519" s="2"/>
      <c r="G519" s="7" t="s">
        <v>3116</v>
      </c>
      <c r="H519" s="191">
        <v>8.5</v>
      </c>
      <c r="I519" s="2"/>
      <c r="J519" s="374" t="s">
        <v>3289</v>
      </c>
      <c r="K519" s="12">
        <f>ROUND(SUM(K520:K526)/COUNT(K520:K526), 2)</f>
        <v>8</v>
      </c>
      <c r="L519" s="2"/>
      <c r="M519" s="4" t="s">
        <v>3246</v>
      </c>
      <c r="N519" s="136">
        <v>9</v>
      </c>
      <c r="O519" s="16"/>
    </row>
    <row r="520" spans="1:15" s="3" customFormat="1" ht="16.2" thickBot="1" x14ac:dyDescent="0.35">
      <c r="A520" s="4" t="s">
        <v>3282</v>
      </c>
      <c r="B520" s="136">
        <v>8</v>
      </c>
      <c r="C520" s="2"/>
      <c r="D520" s="4" t="s">
        <v>3259</v>
      </c>
      <c r="E520" s="136">
        <v>7.5</v>
      </c>
      <c r="F520" s="2"/>
      <c r="G520" s="2"/>
      <c r="H520" s="2"/>
      <c r="I520" s="2"/>
      <c r="J520" s="11" t="s">
        <v>3290</v>
      </c>
      <c r="K520" s="190">
        <v>9</v>
      </c>
      <c r="L520" s="2"/>
      <c r="M520" s="4" t="s">
        <v>3247</v>
      </c>
      <c r="N520" s="136">
        <v>8</v>
      </c>
      <c r="O520" s="16"/>
    </row>
    <row r="521" spans="1:15" s="3" customFormat="1" ht="15.45" customHeight="1" thickBot="1" x14ac:dyDescent="0.35">
      <c r="A521" s="4" t="s">
        <v>3283</v>
      </c>
      <c r="B521" s="136">
        <v>9.5</v>
      </c>
      <c r="C521" s="2"/>
      <c r="D521" s="4" t="s">
        <v>3260</v>
      </c>
      <c r="E521" s="136">
        <v>8.5</v>
      </c>
      <c r="F521" s="2"/>
      <c r="G521" s="375" t="s">
        <v>3314</v>
      </c>
      <c r="H521" s="12">
        <f>ROUND(SUM(H522:H533)/COUNT(H522:H533), 2)</f>
        <v>8.89</v>
      </c>
      <c r="I521" s="2"/>
      <c r="J521" s="4" t="s">
        <v>3291</v>
      </c>
      <c r="K521" s="136">
        <v>8</v>
      </c>
      <c r="L521" s="2"/>
      <c r="M521" s="4" t="s">
        <v>3248</v>
      </c>
      <c r="N521" s="136">
        <v>10.5</v>
      </c>
      <c r="O521" s="16"/>
    </row>
    <row r="522" spans="1:15" s="3" customFormat="1" ht="16.2" thickBot="1" x14ac:dyDescent="0.35">
      <c r="A522" s="7" t="s">
        <v>3284</v>
      </c>
      <c r="B522" s="191">
        <v>8.5</v>
      </c>
      <c r="C522" s="2"/>
      <c r="D522" s="4" t="s">
        <v>3261</v>
      </c>
      <c r="E522" s="136">
        <v>8</v>
      </c>
      <c r="F522" s="2"/>
      <c r="G522" s="11" t="s">
        <v>3315</v>
      </c>
      <c r="H522" s="190">
        <v>9</v>
      </c>
      <c r="I522" s="2"/>
      <c r="J522" s="4" t="s">
        <v>3292</v>
      </c>
      <c r="K522" s="136">
        <v>8</v>
      </c>
      <c r="L522" s="2"/>
      <c r="M522" s="4" t="s">
        <v>3249</v>
      </c>
      <c r="N522" s="136">
        <v>8.5</v>
      </c>
      <c r="O522" s="16"/>
    </row>
    <row r="523" spans="1:15" s="3" customFormat="1" ht="16.2" thickBot="1" x14ac:dyDescent="0.35">
      <c r="A523" s="2"/>
      <c r="B523" s="2"/>
      <c r="C523" s="2"/>
      <c r="D523" s="4" t="s">
        <v>3262</v>
      </c>
      <c r="E523" s="136">
        <v>8</v>
      </c>
      <c r="F523" s="2"/>
      <c r="G523" s="4" t="s">
        <v>3316</v>
      </c>
      <c r="H523" s="136">
        <v>9</v>
      </c>
      <c r="I523" s="2"/>
      <c r="J523" s="4" t="s">
        <v>3293</v>
      </c>
      <c r="K523" s="136">
        <v>7.5</v>
      </c>
      <c r="L523" s="2"/>
      <c r="M523" s="7" t="s">
        <v>3250</v>
      </c>
      <c r="N523" s="191">
        <v>8</v>
      </c>
      <c r="O523" s="16"/>
    </row>
    <row r="524" spans="1:15" s="3" customFormat="1" ht="15.45" customHeight="1" thickBot="1" x14ac:dyDescent="0.35">
      <c r="A524" s="376" t="s">
        <v>3329</v>
      </c>
      <c r="B524" s="12">
        <f>ROUND(SUM(B525:B541)/COUNT(B525:B541), 2)</f>
        <v>4.79</v>
      </c>
      <c r="C524" s="2"/>
      <c r="D524" s="4" t="s">
        <v>3263</v>
      </c>
      <c r="E524" s="136">
        <v>9</v>
      </c>
      <c r="F524" s="2"/>
      <c r="G524" s="4" t="s">
        <v>3317</v>
      </c>
      <c r="H524" s="136">
        <v>9</v>
      </c>
      <c r="I524" s="2"/>
      <c r="J524" s="4" t="s">
        <v>3294</v>
      </c>
      <c r="K524" s="136">
        <v>8</v>
      </c>
      <c r="L524" s="2"/>
      <c r="M524" s="2"/>
      <c r="N524" s="2"/>
      <c r="O524" s="16"/>
    </row>
    <row r="525" spans="1:15" s="3" customFormat="1" ht="16.05" customHeight="1" thickBot="1" x14ac:dyDescent="0.35">
      <c r="A525" s="11" t="s">
        <v>3330</v>
      </c>
      <c r="B525" s="190">
        <v>5</v>
      </c>
      <c r="C525" s="2"/>
      <c r="D525" s="145" t="s">
        <v>3264</v>
      </c>
      <c r="E525" s="136">
        <v>8</v>
      </c>
      <c r="F525" s="2"/>
      <c r="G525" s="4" t="s">
        <v>3318</v>
      </c>
      <c r="H525" s="136">
        <v>8.5</v>
      </c>
      <c r="I525" s="2"/>
      <c r="J525" s="4" t="s">
        <v>3295</v>
      </c>
      <c r="K525" s="136"/>
      <c r="L525" s="2"/>
      <c r="M525" s="377" t="s">
        <v>3351</v>
      </c>
      <c r="N525" s="12">
        <f>ROUND(SUM(N526:N534)/COUNT(N526:N534), 2)</f>
        <v>8.56</v>
      </c>
      <c r="O525" s="16"/>
    </row>
    <row r="526" spans="1:15" s="3" customFormat="1" ht="16.2" thickBot="1" x14ac:dyDescent="0.35">
      <c r="A526" s="4" t="s">
        <v>3331</v>
      </c>
      <c r="B526" s="136">
        <v>4</v>
      </c>
      <c r="C526" s="2"/>
      <c r="D526" s="7" t="s">
        <v>3265</v>
      </c>
      <c r="E526" s="191">
        <v>8.5</v>
      </c>
      <c r="F526" s="2"/>
      <c r="G526" s="4" t="s">
        <v>3319</v>
      </c>
      <c r="H526" s="136">
        <v>8</v>
      </c>
      <c r="I526" s="2"/>
      <c r="J526" s="7" t="s">
        <v>3296</v>
      </c>
      <c r="K526" s="191">
        <v>7.5</v>
      </c>
      <c r="L526" s="2"/>
      <c r="M526" s="11" t="s">
        <v>3352</v>
      </c>
      <c r="N526" s="190">
        <v>10</v>
      </c>
      <c r="O526" s="16"/>
    </row>
    <row r="527" spans="1:15" s="3" customFormat="1" ht="16.2" thickBot="1" x14ac:dyDescent="0.35">
      <c r="A527" s="4" t="s">
        <v>3332</v>
      </c>
      <c r="B527" s="136">
        <v>7</v>
      </c>
      <c r="C527" s="2"/>
      <c r="D527" s="2"/>
      <c r="E527" s="2"/>
      <c r="F527" s="2"/>
      <c r="G527" s="4" t="s">
        <v>3320</v>
      </c>
      <c r="H527" s="136">
        <v>9</v>
      </c>
      <c r="I527" s="2"/>
      <c r="J527" s="2"/>
      <c r="K527" s="2"/>
      <c r="L527" s="2"/>
      <c r="M527" s="4" t="s">
        <v>3353</v>
      </c>
      <c r="N527" s="136">
        <v>7.5</v>
      </c>
      <c r="O527" s="16"/>
    </row>
    <row r="528" spans="1:15" s="3" customFormat="1" ht="16.05" customHeight="1" thickBot="1" x14ac:dyDescent="0.35">
      <c r="A528" s="4" t="s">
        <v>3333</v>
      </c>
      <c r="B528" s="136">
        <v>6</v>
      </c>
      <c r="C528" s="2"/>
      <c r="D528" s="382" t="s">
        <v>3377</v>
      </c>
      <c r="E528" s="12">
        <f>ROUND(SUM(E529:E540)/COUNT(E529:E540), 2)</f>
        <v>8.64</v>
      </c>
      <c r="F528" s="2"/>
      <c r="G528" s="7" t="s">
        <v>3321</v>
      </c>
      <c r="H528" s="191">
        <v>7.5</v>
      </c>
      <c r="I528" s="2"/>
      <c r="J528" s="385" t="s">
        <v>3390</v>
      </c>
      <c r="K528" s="12">
        <f>ROUND(SUM(K529:K543)/COUNT(K529:K543), 2)</f>
        <v>8.6300000000000008</v>
      </c>
      <c r="L528" s="2"/>
      <c r="M528" s="4" t="s">
        <v>3354</v>
      </c>
      <c r="N528" s="136">
        <v>8</v>
      </c>
      <c r="O528" s="16"/>
    </row>
    <row r="529" spans="1:15" s="3" customFormat="1" ht="16.2" thickBot="1" x14ac:dyDescent="0.35">
      <c r="A529" s="4" t="s">
        <v>3334</v>
      </c>
      <c r="B529" s="136">
        <v>6</v>
      </c>
      <c r="C529" s="2"/>
      <c r="D529" s="11" t="s">
        <v>3378</v>
      </c>
      <c r="E529" s="190">
        <v>9</v>
      </c>
      <c r="F529" s="2"/>
      <c r="G529" s="2"/>
      <c r="H529" s="2"/>
      <c r="I529" s="2"/>
      <c r="J529" s="383" t="s">
        <v>3402</v>
      </c>
      <c r="K529" s="190">
        <v>8.5</v>
      </c>
      <c r="L529" s="2"/>
      <c r="M529" s="4" t="s">
        <v>3355</v>
      </c>
      <c r="N529" s="136">
        <v>8</v>
      </c>
      <c r="O529" s="16"/>
    </row>
    <row r="530" spans="1:15" s="3" customFormat="1" ht="15.45" customHeight="1" thickBot="1" x14ac:dyDescent="0.35">
      <c r="A530" s="4" t="s">
        <v>3335</v>
      </c>
      <c r="B530" s="136">
        <v>3</v>
      </c>
      <c r="C530" s="2"/>
      <c r="D530" s="4" t="s">
        <v>3380</v>
      </c>
      <c r="E530" s="136">
        <v>10</v>
      </c>
      <c r="F530" s="2"/>
      <c r="G530" s="389" t="s">
        <v>3483</v>
      </c>
      <c r="H530" s="12">
        <f>ROUND(SUM(H531:H542)/COUNT(H531:H542), 2)</f>
        <v>8.82</v>
      </c>
      <c r="I530" s="2"/>
      <c r="J530" s="384" t="s">
        <v>2666</v>
      </c>
      <c r="K530" s="136">
        <v>9</v>
      </c>
      <c r="L530" s="2"/>
      <c r="M530" s="4" t="s">
        <v>3356</v>
      </c>
      <c r="N530" s="136"/>
      <c r="O530" s="16"/>
    </row>
    <row r="531" spans="1:15" s="3" customFormat="1" x14ac:dyDescent="0.3">
      <c r="A531" s="4" t="s">
        <v>3336</v>
      </c>
      <c r="B531" s="136">
        <v>5</v>
      </c>
      <c r="C531" s="2"/>
      <c r="D531" s="4" t="s">
        <v>3379</v>
      </c>
      <c r="E531" s="136">
        <v>8.5</v>
      </c>
      <c r="F531" s="2"/>
      <c r="G531" s="11" t="s">
        <v>3472</v>
      </c>
      <c r="H531" s="190">
        <v>10.5</v>
      </c>
      <c r="I531" s="2"/>
      <c r="J531" s="384" t="s">
        <v>3391</v>
      </c>
      <c r="K531" s="136">
        <v>8</v>
      </c>
      <c r="L531" s="2"/>
      <c r="M531" s="4" t="s">
        <v>3357</v>
      </c>
      <c r="N531" s="136">
        <v>8.5</v>
      </c>
      <c r="O531" s="16"/>
    </row>
    <row r="532" spans="1:15" s="3" customFormat="1" x14ac:dyDescent="0.3">
      <c r="A532" s="4" t="s">
        <v>3337</v>
      </c>
      <c r="B532" s="136">
        <v>4</v>
      </c>
      <c r="C532" s="2"/>
      <c r="D532" s="4" t="s">
        <v>3381</v>
      </c>
      <c r="E532" s="136">
        <v>8</v>
      </c>
      <c r="F532" s="2"/>
      <c r="G532" s="4" t="s">
        <v>3473</v>
      </c>
      <c r="H532" s="136">
        <v>9</v>
      </c>
      <c r="I532" s="2"/>
      <c r="J532" s="384" t="s">
        <v>3392</v>
      </c>
      <c r="K532" s="136">
        <v>10</v>
      </c>
      <c r="L532" s="2"/>
      <c r="M532" s="4" t="s">
        <v>3358</v>
      </c>
      <c r="N532" s="136">
        <v>8.5</v>
      </c>
      <c r="O532" s="16"/>
    </row>
    <row r="533" spans="1:15" s="3" customFormat="1" x14ac:dyDescent="0.3">
      <c r="A533" s="4" t="s">
        <v>3338</v>
      </c>
      <c r="B533" s="136">
        <v>3</v>
      </c>
      <c r="C533" s="2"/>
      <c r="D533" s="4" t="s">
        <v>3382</v>
      </c>
      <c r="E533" s="136"/>
      <c r="F533" s="2"/>
      <c r="G533" s="4" t="s">
        <v>3474</v>
      </c>
      <c r="H533" s="136">
        <v>9.5</v>
      </c>
      <c r="I533" s="2"/>
      <c r="J533" s="384" t="s">
        <v>3393</v>
      </c>
      <c r="K533" s="136">
        <v>9</v>
      </c>
      <c r="L533" s="2"/>
      <c r="M533" s="4" t="s">
        <v>3359</v>
      </c>
      <c r="N533" s="136">
        <v>9</v>
      </c>
      <c r="O533" s="16"/>
    </row>
    <row r="534" spans="1:15" s="3" customFormat="1" ht="16.2" thickBot="1" x14ac:dyDescent="0.35">
      <c r="A534" s="4" t="s">
        <v>3339</v>
      </c>
      <c r="B534" s="136">
        <v>6</v>
      </c>
      <c r="C534" s="2"/>
      <c r="D534" s="4" t="s">
        <v>3383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3394</v>
      </c>
      <c r="K534" s="136">
        <v>9</v>
      </c>
      <c r="L534" s="2"/>
      <c r="M534" s="7" t="s">
        <v>3360</v>
      </c>
      <c r="N534" s="191">
        <v>9</v>
      </c>
      <c r="O534" s="16"/>
    </row>
    <row r="535" spans="1:15" s="3" customFormat="1" ht="16.2" thickBot="1" x14ac:dyDescent="0.35">
      <c r="A535" s="4" t="s">
        <v>3340</v>
      </c>
      <c r="B535" s="136">
        <v>5</v>
      </c>
      <c r="C535" s="2"/>
      <c r="D535" s="4" t="s">
        <v>3384</v>
      </c>
      <c r="E535" s="136">
        <v>8</v>
      </c>
      <c r="F535" s="2"/>
      <c r="G535" s="4" t="s">
        <v>3475</v>
      </c>
      <c r="H535" s="136">
        <v>8</v>
      </c>
      <c r="I535" s="2"/>
      <c r="J535" s="4" t="s">
        <v>2673</v>
      </c>
      <c r="K535" s="136">
        <v>8</v>
      </c>
      <c r="L535" s="2"/>
      <c r="M535" s="2"/>
      <c r="N535" s="2"/>
      <c r="O535" s="16"/>
    </row>
    <row r="536" spans="1:15" s="3" customFormat="1" ht="15.45" customHeight="1" thickBot="1" x14ac:dyDescent="0.35">
      <c r="A536" s="4" t="s">
        <v>3341</v>
      </c>
      <c r="B536" s="136">
        <v>4</v>
      </c>
      <c r="C536" s="2"/>
      <c r="D536" s="4" t="s">
        <v>3385</v>
      </c>
      <c r="E536" s="136">
        <v>10.5</v>
      </c>
      <c r="F536" s="2"/>
      <c r="G536" s="4" t="s">
        <v>3476</v>
      </c>
      <c r="H536" s="136"/>
      <c r="I536" s="2"/>
      <c r="J536" s="4" t="s">
        <v>3395</v>
      </c>
      <c r="K536" s="136">
        <v>9.5</v>
      </c>
      <c r="L536" s="2"/>
      <c r="M536" s="390" t="s">
        <v>3484</v>
      </c>
      <c r="N536" s="12">
        <f>ROUND(SUM(N537:N544)/COUNT(N537:N544), 2)</f>
        <v>8.2899999999999991</v>
      </c>
      <c r="O536" s="16"/>
    </row>
    <row r="537" spans="1:15" s="3" customFormat="1" x14ac:dyDescent="0.3">
      <c r="A537" s="4" t="s">
        <v>3342</v>
      </c>
      <c r="B537" s="136">
        <v>4</v>
      </c>
      <c r="C537" s="2"/>
      <c r="D537" s="4" t="s">
        <v>3386</v>
      </c>
      <c r="E537" s="136">
        <v>9</v>
      </c>
      <c r="F537" s="2"/>
      <c r="G537" s="4" t="s">
        <v>3477</v>
      </c>
      <c r="H537" s="136">
        <v>8</v>
      </c>
      <c r="I537" s="2"/>
      <c r="J537" s="4" t="s">
        <v>3396</v>
      </c>
      <c r="K537" s="136">
        <v>8</v>
      </c>
      <c r="L537" s="2"/>
      <c r="M537" s="11" t="s">
        <v>3485</v>
      </c>
      <c r="N537" s="190"/>
      <c r="O537" s="16"/>
    </row>
    <row r="538" spans="1:15" s="3" customFormat="1" x14ac:dyDescent="0.3">
      <c r="A538" s="4" t="s">
        <v>3343</v>
      </c>
      <c r="B538" s="136">
        <v>6</v>
      </c>
      <c r="C538" s="2"/>
      <c r="D538" s="4" t="s">
        <v>3387</v>
      </c>
      <c r="E538" s="136">
        <v>8</v>
      </c>
      <c r="F538" s="2"/>
      <c r="G538" s="4" t="s">
        <v>3478</v>
      </c>
      <c r="H538" s="136">
        <v>10</v>
      </c>
      <c r="I538" s="2"/>
      <c r="J538" s="4" t="s">
        <v>3397</v>
      </c>
      <c r="K538" s="136">
        <v>8.5</v>
      </c>
      <c r="L538" s="2"/>
      <c r="M538" s="4" t="s">
        <v>3486</v>
      </c>
      <c r="N538" s="136">
        <v>8</v>
      </c>
      <c r="O538" s="16"/>
    </row>
    <row r="539" spans="1:15" s="3" customFormat="1" x14ac:dyDescent="0.3">
      <c r="A539" s="4" t="s">
        <v>3344</v>
      </c>
      <c r="B539" s="136">
        <v>6.5</v>
      </c>
      <c r="C539" s="2"/>
      <c r="D539" s="4" t="s">
        <v>3388</v>
      </c>
      <c r="E539" s="136">
        <v>8</v>
      </c>
      <c r="F539" s="2"/>
      <c r="G539" s="4" t="s">
        <v>3479</v>
      </c>
      <c r="H539" s="136">
        <v>7.5</v>
      </c>
      <c r="I539" s="2"/>
      <c r="J539" s="4" t="s">
        <v>3398</v>
      </c>
      <c r="K539" s="136">
        <v>8</v>
      </c>
      <c r="L539" s="2"/>
      <c r="M539" s="4" t="s">
        <v>3487</v>
      </c>
      <c r="N539" s="136">
        <v>8.5</v>
      </c>
      <c r="O539" s="16"/>
    </row>
    <row r="540" spans="1:15" s="3" customFormat="1" ht="16.2" thickBot="1" x14ac:dyDescent="0.35">
      <c r="A540" s="4" t="s">
        <v>3345</v>
      </c>
      <c r="B540" s="136">
        <v>0</v>
      </c>
      <c r="C540" s="2"/>
      <c r="D540" s="7" t="s">
        <v>3389</v>
      </c>
      <c r="E540" s="191">
        <v>8.5</v>
      </c>
      <c r="F540" s="2"/>
      <c r="G540" s="4" t="s">
        <v>3480</v>
      </c>
      <c r="H540" s="136">
        <v>8.5</v>
      </c>
      <c r="I540" s="2"/>
      <c r="J540" s="4" t="s">
        <v>3399</v>
      </c>
      <c r="K540" s="136">
        <v>7.5</v>
      </c>
      <c r="L540" s="2"/>
      <c r="M540" s="4" t="s">
        <v>3488</v>
      </c>
      <c r="N540" s="136">
        <v>8</v>
      </c>
      <c r="O540" s="16"/>
    </row>
    <row r="541" spans="1:15" s="3" customFormat="1" ht="16.2" thickBot="1" x14ac:dyDescent="0.35">
      <c r="A541" s="7" t="s">
        <v>3346</v>
      </c>
      <c r="B541" s="191">
        <v>7</v>
      </c>
      <c r="C541" s="2"/>
      <c r="D541" s="2"/>
      <c r="E541" s="2"/>
      <c r="F541" s="2"/>
      <c r="G541" s="4" t="s">
        <v>3481</v>
      </c>
      <c r="H541" s="136">
        <v>9</v>
      </c>
      <c r="I541" s="2"/>
      <c r="J541" s="4" t="s">
        <v>2846</v>
      </c>
      <c r="K541" s="136">
        <v>8</v>
      </c>
      <c r="L541" s="2"/>
      <c r="M541" s="4" t="s">
        <v>3501</v>
      </c>
      <c r="N541" s="136">
        <v>8</v>
      </c>
      <c r="O541" s="16"/>
    </row>
    <row r="542" spans="1:15" s="3" customFormat="1" ht="15" customHeight="1" thickBot="1" x14ac:dyDescent="0.35">
      <c r="A542" s="2"/>
      <c r="B542" s="2"/>
      <c r="C542" s="2"/>
      <c r="D542" s="391" t="s">
        <v>3509</v>
      </c>
      <c r="E542" s="12">
        <f>ROUND(SUM(E543:E552)/COUNT(E543:E552), 2)</f>
        <v>8.1999999999999993</v>
      </c>
      <c r="F542" s="2"/>
      <c r="G542" s="7" t="s">
        <v>3482</v>
      </c>
      <c r="H542" s="191">
        <v>8.5</v>
      </c>
      <c r="I542" s="2"/>
      <c r="J542" s="4" t="s">
        <v>3400</v>
      </c>
      <c r="K542" s="136">
        <v>9</v>
      </c>
      <c r="L542" s="2"/>
      <c r="M542" s="4" t="s">
        <v>3489</v>
      </c>
      <c r="N542" s="136">
        <v>8.5</v>
      </c>
      <c r="O542" s="16"/>
    </row>
    <row r="543" spans="1:15" s="3" customFormat="1" ht="15.45" customHeight="1" thickBot="1" x14ac:dyDescent="0.35">
      <c r="A543" s="392" t="s">
        <v>3520</v>
      </c>
      <c r="B543" s="12">
        <f>ROUND(SUM(B544:B555)/COUNT(B544:B555), 2)</f>
        <v>8.82</v>
      </c>
      <c r="C543" s="2"/>
      <c r="D543" s="11" t="s">
        <v>3510</v>
      </c>
      <c r="E543" s="190">
        <v>8.5</v>
      </c>
      <c r="F543" s="2"/>
      <c r="G543" s="2"/>
      <c r="H543" s="2"/>
      <c r="I543" s="2"/>
      <c r="J543" s="7" t="s">
        <v>3401</v>
      </c>
      <c r="K543" s="191">
        <v>9.5</v>
      </c>
      <c r="L543" s="2"/>
      <c r="M543" s="4" t="s">
        <v>3490</v>
      </c>
      <c r="N543" s="136">
        <v>8.5</v>
      </c>
      <c r="O543" s="16"/>
    </row>
    <row r="544" spans="1:15" s="3" customFormat="1" ht="15" customHeight="1" thickBot="1" x14ac:dyDescent="0.35">
      <c r="A544" s="141">
        <v>4</v>
      </c>
      <c r="B544" s="190">
        <v>10</v>
      </c>
      <c r="C544" s="2"/>
      <c r="D544" s="4" t="s">
        <v>3511</v>
      </c>
      <c r="E544" s="136">
        <v>10.5</v>
      </c>
      <c r="F544" s="2"/>
      <c r="G544" s="394" t="s">
        <v>3539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3491</v>
      </c>
      <c r="N544" s="191">
        <v>8.5</v>
      </c>
      <c r="O544" s="16"/>
    </row>
    <row r="545" spans="1:15" s="3" customFormat="1" ht="15.45" customHeight="1" thickBot="1" x14ac:dyDescent="0.35">
      <c r="A545" s="4" t="s">
        <v>3521</v>
      </c>
      <c r="B545" s="136">
        <v>8.5</v>
      </c>
      <c r="C545" s="2"/>
      <c r="D545" s="4" t="s">
        <v>3512</v>
      </c>
      <c r="E545" s="136">
        <v>9</v>
      </c>
      <c r="F545" s="2"/>
      <c r="G545" s="11" t="s">
        <v>3540</v>
      </c>
      <c r="H545" s="190">
        <v>8.5</v>
      </c>
      <c r="I545" s="2"/>
      <c r="J545" s="397" t="s">
        <v>3558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5.45" customHeight="1" thickBot="1" x14ac:dyDescent="0.35">
      <c r="A546" s="4" t="s">
        <v>3522</v>
      </c>
      <c r="B546" s="136">
        <v>8</v>
      </c>
      <c r="C546" s="2"/>
      <c r="D546" s="4" t="s">
        <v>3513</v>
      </c>
      <c r="E546" s="136">
        <v>8.5</v>
      </c>
      <c r="F546" s="2"/>
      <c r="G546" s="4" t="s">
        <v>3541</v>
      </c>
      <c r="H546" s="136">
        <v>10</v>
      </c>
      <c r="I546" s="2"/>
      <c r="J546" s="11" t="s">
        <v>3559</v>
      </c>
      <c r="K546" s="190">
        <v>10</v>
      </c>
      <c r="L546" s="2"/>
      <c r="M546" s="398" t="s">
        <v>3586</v>
      </c>
      <c r="N546" s="12">
        <f>ROUND(SUM(N547:N557)/COUNT(N547:N557), 2)</f>
        <v>8.65</v>
      </c>
      <c r="O546" s="16"/>
    </row>
    <row r="547" spans="1:15" s="3" customFormat="1" x14ac:dyDescent="0.3">
      <c r="A547" s="4" t="s">
        <v>3523</v>
      </c>
      <c r="B547" s="136">
        <v>10</v>
      </c>
      <c r="C547" s="2"/>
      <c r="D547" s="4" t="s">
        <v>3514</v>
      </c>
      <c r="E547" s="136">
        <v>8</v>
      </c>
      <c r="F547" s="2"/>
      <c r="G547" s="4" t="s">
        <v>3542</v>
      </c>
      <c r="H547" s="136">
        <v>9</v>
      </c>
      <c r="I547" s="2"/>
      <c r="J547" s="4" t="s">
        <v>3560</v>
      </c>
      <c r="K547" s="136">
        <v>7.5</v>
      </c>
      <c r="L547" s="2"/>
      <c r="M547" s="11" t="s">
        <v>3587</v>
      </c>
      <c r="N547" s="190">
        <v>8.5</v>
      </c>
      <c r="O547" s="16"/>
    </row>
    <row r="548" spans="1:15" s="3" customFormat="1" x14ac:dyDescent="0.3">
      <c r="A548" s="4" t="s">
        <v>3524</v>
      </c>
      <c r="B548" s="136">
        <v>8.5</v>
      </c>
      <c r="C548" s="2"/>
      <c r="D548" s="4" t="s">
        <v>3515</v>
      </c>
      <c r="E548" s="136">
        <v>7.5</v>
      </c>
      <c r="F548" s="2"/>
      <c r="G548" s="4" t="s">
        <v>3543</v>
      </c>
      <c r="H548" s="136">
        <v>8.5</v>
      </c>
      <c r="I548" s="2"/>
      <c r="J548" s="4" t="s">
        <v>3561</v>
      </c>
      <c r="K548" s="136">
        <v>10</v>
      </c>
      <c r="L548" s="2"/>
      <c r="M548" s="4" t="s">
        <v>3588</v>
      </c>
      <c r="N548" s="136">
        <v>9.5</v>
      </c>
      <c r="O548" s="16"/>
    </row>
    <row r="549" spans="1:15" s="3" customFormat="1" x14ac:dyDescent="0.3">
      <c r="A549" s="4" t="s">
        <v>2539</v>
      </c>
      <c r="B549" s="136">
        <v>9</v>
      </c>
      <c r="C549" s="2"/>
      <c r="D549" s="4" t="s">
        <v>3516</v>
      </c>
      <c r="E549" s="136">
        <v>8</v>
      </c>
      <c r="F549" s="2"/>
      <c r="G549" s="4" t="s">
        <v>3544</v>
      </c>
      <c r="H549" s="136">
        <v>9</v>
      </c>
      <c r="I549" s="2"/>
      <c r="J549" s="4" t="s">
        <v>3562</v>
      </c>
      <c r="K549" s="136">
        <v>8</v>
      </c>
      <c r="L549" s="2"/>
      <c r="M549" s="4" t="s">
        <v>3589</v>
      </c>
      <c r="N549" s="136">
        <v>9.5</v>
      </c>
      <c r="O549" s="16"/>
    </row>
    <row r="550" spans="1:15" s="3" customFormat="1" x14ac:dyDescent="0.3">
      <c r="A550" s="4" t="s">
        <v>3525</v>
      </c>
      <c r="B550" s="136">
        <v>8.5</v>
      </c>
      <c r="C550" s="2"/>
      <c r="D550" s="4" t="s">
        <v>3517</v>
      </c>
      <c r="E550" s="136">
        <v>7.5</v>
      </c>
      <c r="F550" s="2"/>
      <c r="G550" s="4" t="s">
        <v>3545</v>
      </c>
      <c r="H550" s="136">
        <v>8</v>
      </c>
      <c r="I550" s="2"/>
      <c r="J550" s="4" t="s">
        <v>3563</v>
      </c>
      <c r="K550" s="136">
        <v>8.5</v>
      </c>
      <c r="L550" s="2"/>
      <c r="M550" s="4" t="s">
        <v>3590</v>
      </c>
      <c r="N550" s="136">
        <v>8.5</v>
      </c>
      <c r="O550" s="16"/>
    </row>
    <row r="551" spans="1:15" s="3" customFormat="1" x14ac:dyDescent="0.3">
      <c r="A551" s="4" t="s">
        <v>3526</v>
      </c>
      <c r="B551" s="136">
        <v>8.5</v>
      </c>
      <c r="C551" s="2"/>
      <c r="D551" s="4" t="s">
        <v>3518</v>
      </c>
      <c r="E551" s="136">
        <v>7.5</v>
      </c>
      <c r="F551" s="2"/>
      <c r="G551" s="4" t="s">
        <v>3546</v>
      </c>
      <c r="H551" s="136">
        <v>9</v>
      </c>
      <c r="I551" s="2"/>
      <c r="J551" s="4" t="s">
        <v>3564</v>
      </c>
      <c r="K551" s="136">
        <v>8</v>
      </c>
      <c r="L551" s="2"/>
      <c r="M551" s="4" t="s">
        <v>3591</v>
      </c>
      <c r="N551" s="136">
        <v>8.5</v>
      </c>
      <c r="O551" s="16"/>
    </row>
    <row r="552" spans="1:15" s="3" customFormat="1" ht="16.2" thickBot="1" x14ac:dyDescent="0.35">
      <c r="A552" s="4" t="s">
        <v>3527</v>
      </c>
      <c r="B552" s="136">
        <v>9</v>
      </c>
      <c r="C552" s="2"/>
      <c r="D552" s="7" t="s">
        <v>3519</v>
      </c>
      <c r="E552" s="191">
        <v>7</v>
      </c>
      <c r="F552" s="2"/>
      <c r="G552" s="4" t="s">
        <v>3547</v>
      </c>
      <c r="H552" s="136">
        <v>8</v>
      </c>
      <c r="I552" s="2"/>
      <c r="J552" s="4" t="s">
        <v>3565</v>
      </c>
      <c r="K552" s="136">
        <v>9</v>
      </c>
      <c r="L552" s="2"/>
      <c r="M552" s="4" t="s">
        <v>3592</v>
      </c>
      <c r="N552" s="136">
        <v>9</v>
      </c>
      <c r="O552" s="16"/>
    </row>
    <row r="553" spans="1:15" s="3" customFormat="1" ht="16.2" thickBot="1" x14ac:dyDescent="0.35">
      <c r="A553" s="7" t="s">
        <v>3528</v>
      </c>
      <c r="B553" s="191">
        <v>8</v>
      </c>
      <c r="C553" s="2"/>
      <c r="D553" s="2"/>
      <c r="E553" s="2"/>
      <c r="F553" s="2"/>
      <c r="G553" s="4" t="s">
        <v>3548</v>
      </c>
      <c r="H553" s="136">
        <v>8</v>
      </c>
      <c r="I553" s="2"/>
      <c r="J553" s="4" t="s">
        <v>3566</v>
      </c>
      <c r="K553" s="136">
        <v>9</v>
      </c>
      <c r="L553" s="2"/>
      <c r="M553" s="4" t="s">
        <v>3593</v>
      </c>
      <c r="N553" s="136">
        <v>8.5</v>
      </c>
      <c r="O553" s="16"/>
    </row>
    <row r="554" spans="1:15" s="3" customFormat="1" ht="16.05" customHeight="1" thickBot="1" x14ac:dyDescent="0.35">
      <c r="A554" s="2"/>
      <c r="B554" s="2"/>
      <c r="C554" s="2"/>
      <c r="D554" s="399" t="s">
        <v>3625</v>
      </c>
      <c r="E554" s="12">
        <f>ROUND(SUM(E555:E569)/COUNT(E555:E569), 2)</f>
        <v>7.75</v>
      </c>
      <c r="F554" s="2"/>
      <c r="G554" s="4" t="s">
        <v>3549</v>
      </c>
      <c r="H554" s="136">
        <v>9</v>
      </c>
      <c r="I554" s="2"/>
      <c r="J554" s="4" t="s">
        <v>3567</v>
      </c>
      <c r="K554" s="136">
        <v>8.5</v>
      </c>
      <c r="L554" s="2"/>
      <c r="M554" s="4" t="s">
        <v>3594</v>
      </c>
      <c r="N554" s="136">
        <v>8</v>
      </c>
      <c r="O554" s="16"/>
    </row>
    <row r="555" spans="1:15" s="3" customFormat="1" ht="16.05" customHeight="1" thickBot="1" x14ac:dyDescent="0.35">
      <c r="A555" s="401" t="s">
        <v>3628</v>
      </c>
      <c r="B555" s="12">
        <f>ROUND(SUM(B556:B559)/COUNT(B556:B559), 2)</f>
        <v>9</v>
      </c>
      <c r="C555" s="2"/>
      <c r="D555" s="141" t="s">
        <v>3623</v>
      </c>
      <c r="E555" s="190"/>
      <c r="F555" s="2"/>
      <c r="G555" s="4" t="s">
        <v>3550</v>
      </c>
      <c r="H555" s="136">
        <v>8.5</v>
      </c>
      <c r="I555" s="2"/>
      <c r="J555" s="4" t="s">
        <v>3568</v>
      </c>
      <c r="K555" s="136">
        <v>8</v>
      </c>
      <c r="L555" s="2"/>
      <c r="M555" s="4" t="s">
        <v>3595</v>
      </c>
      <c r="N555" s="136">
        <v>8</v>
      </c>
      <c r="O555" s="16"/>
    </row>
    <row r="556" spans="1:15" s="3" customFormat="1" x14ac:dyDescent="0.3">
      <c r="A556" s="11" t="s">
        <v>3632</v>
      </c>
      <c r="B556" s="190">
        <v>10</v>
      </c>
      <c r="C556" s="2"/>
      <c r="D556" s="4" t="s">
        <v>3609</v>
      </c>
      <c r="E556" s="136">
        <v>8</v>
      </c>
      <c r="F556" s="2"/>
      <c r="G556" s="4" t="s">
        <v>3551</v>
      </c>
      <c r="H556" s="136">
        <v>8</v>
      </c>
      <c r="I556" s="2"/>
      <c r="J556" s="4" t="s">
        <v>3569</v>
      </c>
      <c r="K556" s="136">
        <v>8</v>
      </c>
      <c r="L556" s="2"/>
      <c r="M556" s="4" t="s">
        <v>3596</v>
      </c>
      <c r="N556" s="136"/>
      <c r="O556" s="16"/>
    </row>
    <row r="557" spans="1:15" s="3" customFormat="1" ht="16.2" thickBot="1" x14ac:dyDescent="0.35">
      <c r="A557" s="4" t="s">
        <v>3629</v>
      </c>
      <c r="B557" s="136">
        <v>8.5</v>
      </c>
      <c r="C557" s="2"/>
      <c r="D557" s="4" t="s">
        <v>3610</v>
      </c>
      <c r="E557" s="136">
        <v>9</v>
      </c>
      <c r="F557" s="2"/>
      <c r="G557" s="4" t="s">
        <v>3552</v>
      </c>
      <c r="H557" s="136">
        <v>7.5</v>
      </c>
      <c r="I557" s="2"/>
      <c r="J557" s="4" t="s">
        <v>3570</v>
      </c>
      <c r="K557" s="136">
        <v>8</v>
      </c>
      <c r="L557" s="2"/>
      <c r="M557" s="7" t="s">
        <v>3597</v>
      </c>
      <c r="N557" s="191">
        <v>8.5</v>
      </c>
      <c r="O557" s="16"/>
    </row>
    <row r="558" spans="1:15" s="3" customFormat="1" ht="16.2" thickBot="1" x14ac:dyDescent="0.35">
      <c r="A558" s="4" t="s">
        <v>3630</v>
      </c>
      <c r="B558" s="136">
        <v>9</v>
      </c>
      <c r="C558" s="2"/>
      <c r="D558" s="4" t="s">
        <v>3611</v>
      </c>
      <c r="E558" s="136">
        <v>9</v>
      </c>
      <c r="F558" s="2"/>
      <c r="G558" s="4" t="s">
        <v>3553</v>
      </c>
      <c r="H558" s="136">
        <v>8</v>
      </c>
      <c r="I558" s="2"/>
      <c r="J558" s="4" t="s">
        <v>3571</v>
      </c>
      <c r="K558" s="136">
        <v>9.5</v>
      </c>
      <c r="L558" s="2"/>
      <c r="M558" s="2"/>
      <c r="N558" s="2"/>
      <c r="O558" s="16"/>
    </row>
    <row r="559" spans="1:15" s="3" customFormat="1" ht="15.45" customHeight="1" thickBot="1" x14ac:dyDescent="0.35">
      <c r="A559" s="7" t="s">
        <v>3631</v>
      </c>
      <c r="B559" s="191">
        <v>8.5</v>
      </c>
      <c r="C559" s="2"/>
      <c r="D559" s="4" t="s">
        <v>3612</v>
      </c>
      <c r="E559" s="136">
        <v>8.5</v>
      </c>
      <c r="F559" s="2"/>
      <c r="G559" s="4" t="s">
        <v>3554</v>
      </c>
      <c r="H559" s="136">
        <v>7.5</v>
      </c>
      <c r="I559" s="2"/>
      <c r="J559" s="4" t="s">
        <v>3572</v>
      </c>
      <c r="K559" s="136">
        <v>9</v>
      </c>
      <c r="L559" s="2"/>
      <c r="M559" s="403" t="s">
        <v>3638</v>
      </c>
      <c r="N559" s="12">
        <f>ROUND(SUM(N560:N564)/COUNT(N560:N564), 2)</f>
        <v>9</v>
      </c>
      <c r="O559" s="16"/>
    </row>
    <row r="560" spans="1:15" s="3" customFormat="1" ht="16.2" thickBot="1" x14ac:dyDescent="0.35">
      <c r="A560" s="2"/>
      <c r="B560" s="2"/>
      <c r="C560" s="2"/>
      <c r="D560" s="4" t="s">
        <v>3613</v>
      </c>
      <c r="E560" s="136">
        <v>8</v>
      </c>
      <c r="F560" s="2"/>
      <c r="G560" s="7" t="s">
        <v>3555</v>
      </c>
      <c r="H560" s="191">
        <v>7.5</v>
      </c>
      <c r="I560" s="2"/>
      <c r="J560" s="4" t="s">
        <v>3573</v>
      </c>
      <c r="K560" s="136">
        <v>8</v>
      </c>
      <c r="L560" s="2"/>
      <c r="M560" s="11" t="s">
        <v>3639</v>
      </c>
      <c r="N560" s="190">
        <v>9</v>
      </c>
      <c r="O560" s="16"/>
    </row>
    <row r="561" spans="1:15" s="3" customFormat="1" ht="15.45" customHeight="1" thickBot="1" x14ac:dyDescent="0.35">
      <c r="A561" s="404" t="s">
        <v>3644</v>
      </c>
      <c r="B561" s="12">
        <f>ROUND(SUM(B562:B587)/COUNT(B562:B587), 2)</f>
        <v>8.61</v>
      </c>
      <c r="C561" s="2"/>
      <c r="D561" s="4" t="s">
        <v>3614</v>
      </c>
      <c r="E561" s="136">
        <v>7</v>
      </c>
      <c r="F561" s="2" t="s">
        <v>3624</v>
      </c>
      <c r="G561" s="2"/>
      <c r="H561" s="2"/>
      <c r="I561" s="2"/>
      <c r="J561" s="4" t="s">
        <v>3574</v>
      </c>
      <c r="K561" s="136">
        <v>7.5</v>
      </c>
      <c r="L561" s="2"/>
      <c r="M561" s="4" t="s">
        <v>3640</v>
      </c>
      <c r="N561" s="136">
        <v>8.5</v>
      </c>
      <c r="O561" s="16"/>
    </row>
    <row r="562" spans="1:15" s="3" customFormat="1" ht="15.45" customHeight="1" thickBot="1" x14ac:dyDescent="0.35">
      <c r="A562" s="11" t="s">
        <v>3645</v>
      </c>
      <c r="B562" s="190">
        <v>8.5</v>
      </c>
      <c r="C562" s="2"/>
      <c r="D562" s="4" t="s">
        <v>3615</v>
      </c>
      <c r="E562" s="136">
        <v>8</v>
      </c>
      <c r="F562" s="2"/>
      <c r="G562" s="405" t="s">
        <v>3683</v>
      </c>
      <c r="H562" s="12">
        <f>ROUND(SUM(H563:H570)/COUNT(H563:H570), 2)</f>
        <v>8.81</v>
      </c>
      <c r="I562" s="2"/>
      <c r="J562" s="4" t="s">
        <v>3575</v>
      </c>
      <c r="K562" s="136">
        <v>10</v>
      </c>
      <c r="L562" s="2"/>
      <c r="M562" s="4" t="s">
        <v>3641</v>
      </c>
      <c r="N562" s="136">
        <v>9</v>
      </c>
      <c r="O562" s="16"/>
    </row>
    <row r="563" spans="1:15" s="3" customFormat="1" x14ac:dyDescent="0.3">
      <c r="A563" s="4" t="s">
        <v>3646</v>
      </c>
      <c r="B563" s="136">
        <v>8</v>
      </c>
      <c r="C563" s="2"/>
      <c r="D563" s="4" t="s">
        <v>3616</v>
      </c>
      <c r="E563" s="136">
        <v>7.5</v>
      </c>
      <c r="F563" s="2"/>
      <c r="G563" s="11" t="s">
        <v>3675</v>
      </c>
      <c r="H563" s="190">
        <v>8.5</v>
      </c>
      <c r="I563" s="2"/>
      <c r="J563" s="4" t="s">
        <v>3576</v>
      </c>
      <c r="K563" s="136">
        <v>8.5</v>
      </c>
      <c r="L563" s="2"/>
      <c r="M563" s="4" t="s">
        <v>3642</v>
      </c>
      <c r="N563" s="136">
        <v>9.5</v>
      </c>
      <c r="O563" s="16"/>
    </row>
    <row r="564" spans="1:15" s="3" customFormat="1" ht="16.2" thickBot="1" x14ac:dyDescent="0.35">
      <c r="A564" s="4" t="s">
        <v>3647</v>
      </c>
      <c r="B564" s="136">
        <v>10</v>
      </c>
      <c r="C564" s="2"/>
      <c r="D564" s="4" t="s">
        <v>3617</v>
      </c>
      <c r="E564" s="136">
        <v>6.5</v>
      </c>
      <c r="F564" s="2"/>
      <c r="G564" s="4" t="s">
        <v>3676</v>
      </c>
      <c r="H564" s="136">
        <v>9.5</v>
      </c>
      <c r="I564" s="2"/>
      <c r="J564" s="4" t="s">
        <v>3577</v>
      </c>
      <c r="K564" s="136">
        <v>9</v>
      </c>
      <c r="L564" s="2"/>
      <c r="M564" s="7" t="s">
        <v>3643</v>
      </c>
      <c r="N564" s="191">
        <v>9</v>
      </c>
      <c r="O564" s="16"/>
    </row>
    <row r="565" spans="1:15" s="3" customFormat="1" ht="16.2" thickBot="1" x14ac:dyDescent="0.35">
      <c r="A565" s="4" t="s">
        <v>3648</v>
      </c>
      <c r="B565" s="136">
        <v>9</v>
      </c>
      <c r="C565" s="2"/>
      <c r="D565" s="4" t="s">
        <v>3618</v>
      </c>
      <c r="E565" s="136">
        <v>8</v>
      </c>
      <c r="F565" s="2"/>
      <c r="G565" s="4" t="s">
        <v>3677</v>
      </c>
      <c r="H565" s="136">
        <v>10.5</v>
      </c>
      <c r="I565" s="2"/>
      <c r="J565" s="4" t="s">
        <v>3578</v>
      </c>
      <c r="K565" s="136">
        <v>10.5</v>
      </c>
      <c r="L565" s="2"/>
      <c r="M565" s="2"/>
      <c r="N565" s="2"/>
      <c r="O565" s="16"/>
    </row>
    <row r="566" spans="1:15" s="3" customFormat="1" ht="15.45" customHeight="1" thickBot="1" x14ac:dyDescent="0.35">
      <c r="A566" s="4" t="s">
        <v>3649</v>
      </c>
      <c r="B566" s="136">
        <v>8.5</v>
      </c>
      <c r="C566" s="2"/>
      <c r="D566" s="4" t="s">
        <v>3619</v>
      </c>
      <c r="E566" s="136">
        <v>7.5</v>
      </c>
      <c r="F566" s="2"/>
      <c r="G566" s="4" t="s">
        <v>3678</v>
      </c>
      <c r="H566" s="136">
        <v>8.5</v>
      </c>
      <c r="I566" s="2"/>
      <c r="J566" s="4" t="s">
        <v>3579</v>
      </c>
      <c r="K566" s="136">
        <v>8</v>
      </c>
      <c r="L566" s="2"/>
      <c r="M566" s="406" t="s">
        <v>3693</v>
      </c>
      <c r="N566" s="12">
        <f>ROUND(SUM(N567:N578)/COUNT(N567:N578), 2)</f>
        <v>8.35</v>
      </c>
      <c r="O566" s="16"/>
    </row>
    <row r="567" spans="1:15" s="3" customFormat="1" x14ac:dyDescent="0.3">
      <c r="A567" s="4" t="s">
        <v>3650</v>
      </c>
      <c r="B567" s="136">
        <v>8.5</v>
      </c>
      <c r="C567" s="2"/>
      <c r="D567" s="4" t="s">
        <v>3620</v>
      </c>
      <c r="E567" s="136">
        <v>7</v>
      </c>
      <c r="F567" s="2"/>
      <c r="G567" s="4" t="s">
        <v>3679</v>
      </c>
      <c r="H567" s="136">
        <v>8.5</v>
      </c>
      <c r="I567" s="2"/>
      <c r="J567" s="4" t="s">
        <v>3580</v>
      </c>
      <c r="K567" s="136">
        <v>8</v>
      </c>
      <c r="L567" s="2"/>
      <c r="M567" s="11" t="s">
        <v>3694</v>
      </c>
      <c r="N567" s="190">
        <v>9</v>
      </c>
      <c r="O567" s="16"/>
    </row>
    <row r="568" spans="1:15" s="3" customFormat="1" x14ac:dyDescent="0.3">
      <c r="A568" s="4" t="s">
        <v>3651</v>
      </c>
      <c r="B568" s="136">
        <v>8.5</v>
      </c>
      <c r="C568" s="2"/>
      <c r="D568" s="4" t="s">
        <v>3621</v>
      </c>
      <c r="E568" s="136">
        <v>7.5</v>
      </c>
      <c r="F568" s="2"/>
      <c r="G568" s="4" t="s">
        <v>3680</v>
      </c>
      <c r="H568" s="136">
        <v>8</v>
      </c>
      <c r="I568" s="2"/>
      <c r="J568" s="4" t="s">
        <v>3581</v>
      </c>
      <c r="K568" s="136">
        <v>7</v>
      </c>
      <c r="L568" s="2"/>
      <c r="M568" s="4" t="s">
        <v>3695</v>
      </c>
      <c r="N568" s="136">
        <v>8.5</v>
      </c>
      <c r="O568" s="16"/>
    </row>
    <row r="569" spans="1:15" s="3" customFormat="1" ht="16.2" thickBot="1" x14ac:dyDescent="0.35">
      <c r="A569" s="4" t="s">
        <v>3652</v>
      </c>
      <c r="B569" s="136">
        <v>8</v>
      </c>
      <c r="C569" s="2"/>
      <c r="D569" s="7" t="s">
        <v>3622</v>
      </c>
      <c r="E569" s="191">
        <v>7</v>
      </c>
      <c r="F569" s="2"/>
      <c r="G569" s="4" t="s">
        <v>3681</v>
      </c>
      <c r="H569" s="136">
        <v>9</v>
      </c>
      <c r="I569" s="2"/>
      <c r="J569" s="7" t="s">
        <v>3582</v>
      </c>
      <c r="K569" s="191">
        <v>9</v>
      </c>
      <c r="L569" s="2"/>
      <c r="M569" s="4" t="s">
        <v>3696</v>
      </c>
      <c r="N569" s="136">
        <v>7</v>
      </c>
      <c r="O569" s="16"/>
    </row>
    <row r="570" spans="1:15" s="3" customFormat="1" ht="16.2" thickBot="1" x14ac:dyDescent="0.35">
      <c r="A570" s="4" t="s">
        <v>3653</v>
      </c>
      <c r="B570" s="136">
        <v>9</v>
      </c>
      <c r="C570" s="2"/>
      <c r="D570" s="2"/>
      <c r="E570" s="2"/>
      <c r="F570" s="2"/>
      <c r="G570" s="7" t="s">
        <v>3682</v>
      </c>
      <c r="H570" s="191">
        <v>8</v>
      </c>
      <c r="I570" s="2"/>
      <c r="J570" s="2"/>
      <c r="K570" s="2"/>
      <c r="L570" s="2"/>
      <c r="M570" s="4" t="s">
        <v>3697</v>
      </c>
      <c r="N570" s="136">
        <v>10</v>
      </c>
      <c r="O570" s="16"/>
    </row>
    <row r="571" spans="1:15" s="3" customFormat="1" ht="15.45" customHeight="1" thickBot="1" x14ac:dyDescent="0.35">
      <c r="A571" s="4" t="s">
        <v>3654</v>
      </c>
      <c r="B571" s="136"/>
      <c r="C571" s="2"/>
      <c r="D571" s="407" t="s">
        <v>3718</v>
      </c>
      <c r="E571" s="12">
        <f>ROUND(AVERAGE(E572:E581), 2)</f>
        <v>7.75</v>
      </c>
      <c r="F571" s="2"/>
      <c r="G571" s="2"/>
      <c r="H571" s="2"/>
      <c r="I571" s="2"/>
      <c r="J571" s="408" t="s">
        <v>3719</v>
      </c>
      <c r="K571" s="12">
        <f>ROUND(AVERAGE(K572:K583), 2)</f>
        <v>8.36</v>
      </c>
      <c r="L571" s="2"/>
      <c r="M571" s="4" t="s">
        <v>3698</v>
      </c>
      <c r="N571" s="136">
        <v>9</v>
      </c>
      <c r="O571" s="16"/>
    </row>
    <row r="572" spans="1:15" s="3" customFormat="1" ht="15.45" customHeight="1" thickBot="1" x14ac:dyDescent="0.35">
      <c r="A572" s="4" t="s">
        <v>3655</v>
      </c>
      <c r="B572" s="136">
        <v>8.5</v>
      </c>
      <c r="C572" s="2"/>
      <c r="D572" s="11" t="s">
        <v>3708</v>
      </c>
      <c r="E572" s="190">
        <v>8.5</v>
      </c>
      <c r="F572" s="2"/>
      <c r="G572" s="410" t="s">
        <v>3753</v>
      </c>
      <c r="H572" s="12">
        <f>ROUND(AVERAGE(H573:H585), 2)</f>
        <v>8.77</v>
      </c>
      <c r="I572" s="2"/>
      <c r="J572" s="11" t="s">
        <v>3720</v>
      </c>
      <c r="K572" s="190">
        <v>9.5</v>
      </c>
      <c r="L572" s="2"/>
      <c r="M572" s="4" t="s">
        <v>3699</v>
      </c>
      <c r="N572" s="136">
        <v>9</v>
      </c>
      <c r="O572" s="16"/>
    </row>
    <row r="573" spans="1:15" s="3" customFormat="1" x14ac:dyDescent="0.3">
      <c r="A573" s="4" t="s">
        <v>3656</v>
      </c>
      <c r="B573" s="136">
        <v>9</v>
      </c>
      <c r="C573" s="2"/>
      <c r="D573" s="4" t="s">
        <v>3709</v>
      </c>
      <c r="E573" s="136">
        <v>9</v>
      </c>
      <c r="F573" s="2"/>
      <c r="G573" s="11" t="s">
        <v>260</v>
      </c>
      <c r="H573" s="190"/>
      <c r="I573" s="2"/>
      <c r="J573" s="4" t="s">
        <v>3721</v>
      </c>
      <c r="K573" s="136">
        <v>10.5</v>
      </c>
      <c r="L573" s="2"/>
      <c r="M573" s="4" t="s">
        <v>3700</v>
      </c>
      <c r="N573" s="136">
        <v>8</v>
      </c>
      <c r="O573" s="16"/>
    </row>
    <row r="574" spans="1:15" s="3" customFormat="1" x14ac:dyDescent="0.3">
      <c r="A574" s="4" t="s">
        <v>3657</v>
      </c>
      <c r="B574" s="136"/>
      <c r="C574" s="2"/>
      <c r="D574" s="4" t="s">
        <v>3710</v>
      </c>
      <c r="E574" s="136">
        <v>8.5</v>
      </c>
      <c r="F574" s="2"/>
      <c r="G574" s="4" t="s">
        <v>3741</v>
      </c>
      <c r="H574" s="136">
        <v>9.5</v>
      </c>
      <c r="I574" s="2"/>
      <c r="J574" s="4" t="s">
        <v>3722</v>
      </c>
      <c r="K574" s="136">
        <v>9</v>
      </c>
      <c r="L574" s="2"/>
      <c r="M574" s="4" t="s">
        <v>3701</v>
      </c>
      <c r="N574" s="136">
        <v>7.5</v>
      </c>
      <c r="O574" s="16"/>
    </row>
    <row r="575" spans="1:15" s="3" customFormat="1" x14ac:dyDescent="0.3">
      <c r="A575" s="4" t="s">
        <v>3658</v>
      </c>
      <c r="B575" s="136">
        <v>10</v>
      </c>
      <c r="C575" s="2"/>
      <c r="D575" s="4" t="s">
        <v>3711</v>
      </c>
      <c r="E575" s="136">
        <v>8</v>
      </c>
      <c r="F575" s="2"/>
      <c r="G575" s="4" t="s">
        <v>3742</v>
      </c>
      <c r="H575" s="136">
        <v>9</v>
      </c>
      <c r="I575" s="2"/>
      <c r="J575" s="4" t="s">
        <v>3723</v>
      </c>
      <c r="K575" s="136">
        <v>8</v>
      </c>
      <c r="L575" s="2"/>
      <c r="M575" s="4" t="s">
        <v>3702</v>
      </c>
      <c r="N575" s="136"/>
      <c r="O575" s="16"/>
    </row>
    <row r="576" spans="1:15" s="3" customFormat="1" x14ac:dyDescent="0.3">
      <c r="A576" s="4" t="s">
        <v>3659</v>
      </c>
      <c r="B576" s="136">
        <v>7.5</v>
      </c>
      <c r="C576" s="2"/>
      <c r="D576" s="4" t="s">
        <v>3712</v>
      </c>
      <c r="E576" s="136">
        <v>7.5</v>
      </c>
      <c r="F576" s="2"/>
      <c r="G576" s="4" t="s">
        <v>3743</v>
      </c>
      <c r="H576" s="136">
        <v>8.5</v>
      </c>
      <c r="I576" s="2"/>
      <c r="J576" s="4" t="s">
        <v>3724</v>
      </c>
      <c r="K576" s="136">
        <v>8.5</v>
      </c>
      <c r="L576" s="2"/>
      <c r="M576" s="4" t="s">
        <v>3703</v>
      </c>
      <c r="N576" s="136">
        <v>7.5</v>
      </c>
      <c r="O576" s="16"/>
    </row>
    <row r="577" spans="1:15" s="3" customFormat="1" x14ac:dyDescent="0.3">
      <c r="A577" s="4" t="s">
        <v>3660</v>
      </c>
      <c r="B577" s="136">
        <v>8.5</v>
      </c>
      <c r="C577" s="2"/>
      <c r="D577" s="4" t="s">
        <v>3713</v>
      </c>
      <c r="E577" s="136">
        <v>8</v>
      </c>
      <c r="F577" s="2"/>
      <c r="G577" s="4" t="s">
        <v>3744</v>
      </c>
      <c r="H577" s="136">
        <v>8.5</v>
      </c>
      <c r="I577" s="2"/>
      <c r="J577" s="4" t="s">
        <v>3725</v>
      </c>
      <c r="K577" s="136">
        <v>7.5</v>
      </c>
      <c r="L577" s="2"/>
      <c r="M577" s="4" t="s">
        <v>3704</v>
      </c>
      <c r="N577" s="136">
        <v>8</v>
      </c>
      <c r="O577" s="16"/>
    </row>
    <row r="578" spans="1:15" s="3" customFormat="1" ht="16.2" thickBot="1" x14ac:dyDescent="0.35">
      <c r="A578" s="4" t="s">
        <v>3661</v>
      </c>
      <c r="B578" s="136">
        <v>9</v>
      </c>
      <c r="C578" s="2"/>
      <c r="D578" s="4" t="s">
        <v>3714</v>
      </c>
      <c r="E578" s="136">
        <v>6.5</v>
      </c>
      <c r="F578" s="2"/>
      <c r="G578" s="4" t="s">
        <v>3745</v>
      </c>
      <c r="H578" s="136">
        <v>8</v>
      </c>
      <c r="I578" s="2"/>
      <c r="J578" s="4" t="s">
        <v>3726</v>
      </c>
      <c r="K578" s="136">
        <v>8</v>
      </c>
      <c r="L578" s="2"/>
      <c r="M578" s="7" t="s">
        <v>3705</v>
      </c>
      <c r="N578" s="191"/>
      <c r="O578" s="16"/>
    </row>
    <row r="579" spans="1:15" s="3" customFormat="1" ht="16.2" thickBot="1" x14ac:dyDescent="0.35">
      <c r="A579" s="4" t="s">
        <v>3662</v>
      </c>
      <c r="B579" s="136">
        <v>8</v>
      </c>
      <c r="C579" s="2"/>
      <c r="D579" s="4" t="s">
        <v>3715</v>
      </c>
      <c r="E579" s="136">
        <v>7</v>
      </c>
      <c r="F579" s="2"/>
      <c r="G579" s="4" t="s">
        <v>3746</v>
      </c>
      <c r="H579" s="136">
        <v>8.5</v>
      </c>
      <c r="I579" s="2"/>
      <c r="J579" s="4" t="s">
        <v>3727</v>
      </c>
      <c r="K579" s="136">
        <v>7.5</v>
      </c>
      <c r="L579" s="2"/>
      <c r="M579" s="2"/>
      <c r="N579" s="2"/>
      <c r="O579" s="16"/>
    </row>
    <row r="580" spans="1:15" s="3" customFormat="1" ht="15.45" customHeight="1" thickBot="1" x14ac:dyDescent="0.35">
      <c r="A580" s="4" t="s">
        <v>3663</v>
      </c>
      <c r="B580" s="136">
        <v>9</v>
      </c>
      <c r="C580" s="2"/>
      <c r="D580" s="4" t="s">
        <v>3716</v>
      </c>
      <c r="E580" s="136">
        <v>7.5</v>
      </c>
      <c r="F580" s="2"/>
      <c r="G580" s="4" t="s">
        <v>3747</v>
      </c>
      <c r="H580" s="136">
        <v>9.5</v>
      </c>
      <c r="I580" s="2"/>
      <c r="J580" s="4" t="s">
        <v>3728</v>
      </c>
      <c r="K580" s="136">
        <v>8</v>
      </c>
      <c r="L580" s="2"/>
      <c r="M580" s="411" t="s">
        <v>3767</v>
      </c>
      <c r="N580" s="12">
        <f>ROUND(AVERAGE(N581:N589), 2)</f>
        <v>8.7200000000000006</v>
      </c>
      <c r="O580" s="16"/>
    </row>
    <row r="581" spans="1:15" s="3" customFormat="1" ht="16.2" thickBot="1" x14ac:dyDescent="0.35">
      <c r="A581" s="4" t="s">
        <v>3664</v>
      </c>
      <c r="B581" s="136">
        <v>8.5</v>
      </c>
      <c r="C581" s="2"/>
      <c r="D581" s="7" t="s">
        <v>3717</v>
      </c>
      <c r="E581" s="191">
        <v>7</v>
      </c>
      <c r="F581" s="2"/>
      <c r="G581" s="4" t="s">
        <v>3748</v>
      </c>
      <c r="H581" s="136">
        <v>8</v>
      </c>
      <c r="I581" s="2"/>
      <c r="J581" s="4" t="s">
        <v>3729</v>
      </c>
      <c r="K581" s="136">
        <v>8</v>
      </c>
      <c r="L581" s="2"/>
      <c r="M581" s="11" t="s">
        <v>3758</v>
      </c>
      <c r="N581" s="190">
        <v>9</v>
      </c>
      <c r="O581" s="16"/>
    </row>
    <row r="582" spans="1:15" s="3" customFormat="1" ht="16.2" thickBot="1" x14ac:dyDescent="0.35">
      <c r="A582" s="4" t="s">
        <v>3665</v>
      </c>
      <c r="B582" s="136">
        <v>8</v>
      </c>
      <c r="C582" s="2"/>
      <c r="D582" s="2"/>
      <c r="E582" s="2"/>
      <c r="F582" s="2"/>
      <c r="G582" s="4" t="s">
        <v>3749</v>
      </c>
      <c r="H582" s="136">
        <v>9</v>
      </c>
      <c r="I582" s="2"/>
      <c r="J582" s="4" t="s">
        <v>3730</v>
      </c>
      <c r="K582" s="136"/>
      <c r="L582" s="2"/>
      <c r="M582" s="4" t="s">
        <v>3759</v>
      </c>
      <c r="N582" s="136">
        <v>8.5</v>
      </c>
      <c r="O582" s="16"/>
    </row>
    <row r="583" spans="1:15" s="3" customFormat="1" ht="15.45" customHeight="1" thickBot="1" x14ac:dyDescent="0.35">
      <c r="A583" s="4" t="s">
        <v>3666</v>
      </c>
      <c r="B583" s="136"/>
      <c r="C583" s="2"/>
      <c r="D583" s="419" t="s">
        <v>3817</v>
      </c>
      <c r="E583" s="12">
        <f>ROUND(AVERAGE(E584:E597), 2)</f>
        <v>8.0399999999999991</v>
      </c>
      <c r="F583" s="2"/>
      <c r="G583" s="4" t="s">
        <v>3750</v>
      </c>
      <c r="H583" s="136">
        <v>8.5</v>
      </c>
      <c r="I583" s="2"/>
      <c r="J583" s="7" t="s">
        <v>3731</v>
      </c>
      <c r="K583" s="191">
        <v>7.5</v>
      </c>
      <c r="L583" s="2"/>
      <c r="M583" s="4" t="s">
        <v>3760</v>
      </c>
      <c r="N583" s="136">
        <v>9</v>
      </c>
      <c r="O583" s="16"/>
    </row>
    <row r="584" spans="1:15" s="3" customFormat="1" ht="16.2" thickBot="1" x14ac:dyDescent="0.35">
      <c r="A584" s="4" t="s">
        <v>3667</v>
      </c>
      <c r="B584" s="136">
        <v>8</v>
      </c>
      <c r="C584" s="2"/>
      <c r="D584" s="11" t="s">
        <v>3771</v>
      </c>
      <c r="E584" s="190">
        <v>8.5</v>
      </c>
      <c r="F584" s="2"/>
      <c r="G584" s="4" t="s">
        <v>3751</v>
      </c>
      <c r="H584" s="136"/>
      <c r="I584" s="2"/>
      <c r="J584" s="2"/>
      <c r="K584" s="2"/>
      <c r="L584" s="2"/>
      <c r="M584" s="4" t="s">
        <v>3761</v>
      </c>
      <c r="N584" s="136">
        <v>8.5</v>
      </c>
      <c r="O584" s="16"/>
    </row>
    <row r="585" spans="1:15" s="3" customFormat="1" ht="15.45" customHeight="1" thickBot="1" x14ac:dyDescent="0.35">
      <c r="A585" s="4" t="s">
        <v>3668</v>
      </c>
      <c r="B585" s="136">
        <v>9.5</v>
      </c>
      <c r="C585" s="2"/>
      <c r="D585" s="4" t="s">
        <v>3772</v>
      </c>
      <c r="E585" s="136">
        <v>8.5</v>
      </c>
      <c r="F585" s="2"/>
      <c r="G585" s="7" t="s">
        <v>3752</v>
      </c>
      <c r="H585" s="191">
        <v>9.5</v>
      </c>
      <c r="I585" s="2"/>
      <c r="J585" s="416" t="s">
        <v>3794</v>
      </c>
      <c r="K585" s="12">
        <f>ROUND(AVERAGE(K586:K595), 2)</f>
        <v>8.5</v>
      </c>
      <c r="L585" s="2"/>
      <c r="M585" s="4" t="s">
        <v>3762</v>
      </c>
      <c r="N585" s="136">
        <v>8.5</v>
      </c>
      <c r="O585" s="16"/>
    </row>
    <row r="586" spans="1:15" s="3" customFormat="1" ht="16.2" thickBot="1" x14ac:dyDescent="0.35">
      <c r="A586" s="4" t="s">
        <v>3670</v>
      </c>
      <c r="B586" s="136">
        <v>8.5</v>
      </c>
      <c r="C586" s="2"/>
      <c r="D586" s="4" t="s">
        <v>3773</v>
      </c>
      <c r="E586" s="136">
        <v>8</v>
      </c>
      <c r="F586" s="2"/>
      <c r="G586" s="2"/>
      <c r="H586" s="2"/>
      <c r="I586" s="2"/>
      <c r="J586" s="11" t="s">
        <v>3791</v>
      </c>
      <c r="K586" s="190">
        <v>9.5</v>
      </c>
      <c r="L586" s="2"/>
      <c r="M586" s="4" t="s">
        <v>3763</v>
      </c>
      <c r="N586" s="136">
        <v>9</v>
      </c>
      <c r="O586" s="16"/>
    </row>
    <row r="587" spans="1:15" s="3" customFormat="1" ht="16.05" customHeight="1" thickBot="1" x14ac:dyDescent="0.35">
      <c r="A587" s="7" t="s">
        <v>3669</v>
      </c>
      <c r="B587" s="191">
        <v>8</v>
      </c>
      <c r="C587" s="2"/>
      <c r="D587" s="4" t="s">
        <v>3774</v>
      </c>
      <c r="E587" s="136">
        <v>9</v>
      </c>
      <c r="F587" s="2"/>
      <c r="G587" s="418" t="s">
        <v>3809</v>
      </c>
      <c r="H587" s="12">
        <f>ROUND(AVERAGE(H588:H594), 2)</f>
        <v>8.7899999999999991</v>
      </c>
      <c r="I587" s="2"/>
      <c r="J587" s="4" t="s">
        <v>1104</v>
      </c>
      <c r="K587" s="136">
        <v>9</v>
      </c>
      <c r="L587" s="2"/>
      <c r="M587" s="4" t="s">
        <v>3764</v>
      </c>
      <c r="N587" s="136">
        <v>10</v>
      </c>
      <c r="O587" s="16"/>
    </row>
    <row r="588" spans="1:15" s="3" customFormat="1" ht="16.2" thickBot="1" x14ac:dyDescent="0.35">
      <c r="A588" s="2"/>
      <c r="B588" s="2"/>
      <c r="C588" s="2"/>
      <c r="D588" s="4" t="s">
        <v>3775</v>
      </c>
      <c r="E588" s="136">
        <v>7.5</v>
      </c>
      <c r="F588" s="2"/>
      <c r="G588" s="11" t="s">
        <v>3810</v>
      </c>
      <c r="H588" s="190">
        <v>10</v>
      </c>
      <c r="I588" s="2"/>
      <c r="J588" s="4" t="s">
        <v>3792</v>
      </c>
      <c r="K588" s="136">
        <v>8.5</v>
      </c>
      <c r="L588" s="2"/>
      <c r="M588" s="4" t="s">
        <v>3765</v>
      </c>
      <c r="N588" s="136">
        <v>8</v>
      </c>
      <c r="O588" s="16"/>
    </row>
    <row r="589" spans="1:15" s="3" customFormat="1" ht="16.05" customHeight="1" thickBot="1" x14ac:dyDescent="0.35">
      <c r="A589" s="421" t="s">
        <v>3828</v>
      </c>
      <c r="B589" s="12">
        <f>ROUND(AVERAGE(B590:B599), 2)</f>
        <v>8.35</v>
      </c>
      <c r="C589" s="2"/>
      <c r="D589" s="4" t="s">
        <v>3776</v>
      </c>
      <c r="E589" s="136">
        <v>8.5</v>
      </c>
      <c r="F589" s="2"/>
      <c r="G589" s="4" t="s">
        <v>3811</v>
      </c>
      <c r="H589" s="136">
        <v>8.5</v>
      </c>
      <c r="I589" s="2"/>
      <c r="J589" s="4" t="s">
        <v>3793</v>
      </c>
      <c r="K589" s="136">
        <v>9</v>
      </c>
      <c r="L589" s="2"/>
      <c r="M589" s="7" t="s">
        <v>3766</v>
      </c>
      <c r="N589" s="191">
        <v>8</v>
      </c>
      <c r="O589" s="16"/>
    </row>
    <row r="590" spans="1:15" s="3" customFormat="1" ht="16.2" thickBot="1" x14ac:dyDescent="0.35">
      <c r="A590" s="383" t="s">
        <v>3818</v>
      </c>
      <c r="B590" s="190">
        <v>8.5</v>
      </c>
      <c r="C590" s="2"/>
      <c r="D590" s="4" t="s">
        <v>3777</v>
      </c>
      <c r="E590" s="136">
        <v>8</v>
      </c>
      <c r="F590" s="2"/>
      <c r="G590" s="4" t="s">
        <v>3812</v>
      </c>
      <c r="H590" s="136">
        <v>9.5</v>
      </c>
      <c r="I590" s="2"/>
      <c r="J590" s="4" t="s">
        <v>3795</v>
      </c>
      <c r="K590" s="136">
        <v>8</v>
      </c>
      <c r="L590" s="2"/>
      <c r="M590" s="2"/>
      <c r="N590" s="2"/>
      <c r="O590" s="16"/>
    </row>
    <row r="591" spans="1:15" s="3" customFormat="1" ht="15.45" customHeight="1" thickBot="1" x14ac:dyDescent="0.35">
      <c r="A591" s="384" t="s">
        <v>3819</v>
      </c>
      <c r="B591" s="136">
        <v>8.5</v>
      </c>
      <c r="C591" s="2"/>
      <c r="D591" s="4" t="s">
        <v>3778</v>
      </c>
      <c r="E591" s="136">
        <v>7.5</v>
      </c>
      <c r="F591" s="2"/>
      <c r="G591" s="4" t="s">
        <v>3813</v>
      </c>
      <c r="H591" s="136">
        <v>9</v>
      </c>
      <c r="I591" s="2"/>
      <c r="J591" s="4" t="s">
        <v>3796</v>
      </c>
      <c r="K591" s="136">
        <v>8</v>
      </c>
      <c r="L591" s="2"/>
      <c r="M591" s="422" t="s">
        <v>3845</v>
      </c>
      <c r="N591" s="12">
        <f>ROUND(AVERAGE(N592:N601), 2)</f>
        <v>9</v>
      </c>
      <c r="O591" s="16"/>
    </row>
    <row r="592" spans="1:15" s="3" customFormat="1" x14ac:dyDescent="0.3">
      <c r="A592" s="384" t="s">
        <v>3820</v>
      </c>
      <c r="B592" s="136">
        <v>8</v>
      </c>
      <c r="C592" s="2"/>
      <c r="D592" s="4" t="s">
        <v>3779</v>
      </c>
      <c r="E592" s="136">
        <v>8</v>
      </c>
      <c r="F592" s="2"/>
      <c r="G592" s="4" t="s">
        <v>3814</v>
      </c>
      <c r="H592" s="136">
        <v>8</v>
      </c>
      <c r="I592" s="2"/>
      <c r="J592" s="4" t="s">
        <v>3797</v>
      </c>
      <c r="K592" s="136">
        <v>8</v>
      </c>
      <c r="L592" s="2"/>
      <c r="M592" s="11" t="s">
        <v>3846</v>
      </c>
      <c r="N592" s="190">
        <v>9</v>
      </c>
      <c r="O592" s="16"/>
    </row>
    <row r="593" spans="1:15" s="3" customFormat="1" x14ac:dyDescent="0.3">
      <c r="A593" s="384" t="s">
        <v>3821</v>
      </c>
      <c r="B593" s="136">
        <v>9</v>
      </c>
      <c r="C593" s="2"/>
      <c r="D593" s="4" t="s">
        <v>3780</v>
      </c>
      <c r="E593" s="136">
        <v>7.5</v>
      </c>
      <c r="F593" s="2"/>
      <c r="G593" s="4" t="s">
        <v>3815</v>
      </c>
      <c r="H593" s="136">
        <v>8</v>
      </c>
      <c r="I593" s="2"/>
      <c r="J593" s="4" t="s">
        <v>3798</v>
      </c>
      <c r="K593" s="136"/>
      <c r="L593" s="2"/>
      <c r="M593" s="4" t="s">
        <v>3847</v>
      </c>
      <c r="N593" s="136">
        <v>9</v>
      </c>
      <c r="O593" s="16"/>
    </row>
    <row r="594" spans="1:15" s="3" customFormat="1" ht="16.2" thickBot="1" x14ac:dyDescent="0.35">
      <c r="A594" s="384" t="s">
        <v>3822</v>
      </c>
      <c r="B594" s="136">
        <v>9</v>
      </c>
      <c r="C594" s="2"/>
      <c r="D594" s="4" t="s">
        <v>3781</v>
      </c>
      <c r="E594" s="136">
        <v>9</v>
      </c>
      <c r="F594" s="2"/>
      <c r="G594" s="7" t="s">
        <v>3816</v>
      </c>
      <c r="H594" s="191">
        <v>8.5</v>
      </c>
      <c r="I594" s="2"/>
      <c r="J594" s="4" t="s">
        <v>3799</v>
      </c>
      <c r="K594" s="136">
        <v>8</v>
      </c>
      <c r="L594" s="2"/>
      <c r="M594" s="4" t="s">
        <v>3848</v>
      </c>
      <c r="N594" s="136">
        <v>8.5</v>
      </c>
      <c r="O594" s="16"/>
    </row>
    <row r="595" spans="1:15" s="3" customFormat="1" ht="16.2" thickBot="1" x14ac:dyDescent="0.35">
      <c r="A595" s="384" t="s">
        <v>3823</v>
      </c>
      <c r="B595" s="136">
        <v>8</v>
      </c>
      <c r="C595" s="2"/>
      <c r="D595" s="4" t="s">
        <v>3782</v>
      </c>
      <c r="E595" s="136">
        <v>7.5</v>
      </c>
      <c r="F595" s="2"/>
      <c r="G595" s="2"/>
      <c r="H595" s="2"/>
      <c r="I595" s="2"/>
      <c r="J595" s="7" t="s">
        <v>3800</v>
      </c>
      <c r="K595" s="191">
        <v>8.5</v>
      </c>
      <c r="L595" s="2"/>
      <c r="M595" s="4" t="s">
        <v>3849</v>
      </c>
      <c r="N595" s="136">
        <v>8</v>
      </c>
      <c r="O595" s="16"/>
    </row>
    <row r="596" spans="1:15" s="3" customFormat="1" ht="15.45" customHeight="1" thickBot="1" x14ac:dyDescent="0.35">
      <c r="A596" s="384" t="s">
        <v>3824</v>
      </c>
      <c r="B596" s="136">
        <v>7.5</v>
      </c>
      <c r="C596" s="2"/>
      <c r="D596" s="4" t="s">
        <v>3783</v>
      </c>
      <c r="E596" s="136">
        <v>7</v>
      </c>
      <c r="F596" s="2"/>
      <c r="G596" s="423" t="s">
        <v>3867</v>
      </c>
      <c r="H596" s="12">
        <f>ROUND(AVERAGE(H597:H602), 2)</f>
        <v>8.75</v>
      </c>
      <c r="I596" s="2"/>
      <c r="J596" s="2"/>
      <c r="K596" s="2"/>
      <c r="L596" s="2"/>
      <c r="M596" s="4" t="s">
        <v>3850</v>
      </c>
      <c r="N596" s="136">
        <v>10</v>
      </c>
      <c r="O596" s="16"/>
    </row>
    <row r="597" spans="1:15" s="3" customFormat="1" ht="16.05" customHeight="1" thickBot="1" x14ac:dyDescent="0.35">
      <c r="A597" s="384" t="s">
        <v>3825</v>
      </c>
      <c r="B597" s="136">
        <v>9</v>
      </c>
      <c r="C597" s="2"/>
      <c r="D597" s="7" t="s">
        <v>3784</v>
      </c>
      <c r="E597" s="191">
        <v>8</v>
      </c>
      <c r="F597" s="2"/>
      <c r="G597" s="11" t="s">
        <v>3868</v>
      </c>
      <c r="H597" s="190">
        <v>10.5</v>
      </c>
      <c r="I597" s="2"/>
      <c r="J597" s="424" t="s">
        <v>3887</v>
      </c>
      <c r="K597" s="12">
        <f>ROUND(AVERAGE(K598:K610), 2)</f>
        <v>8.5399999999999991</v>
      </c>
      <c r="L597" s="2"/>
      <c r="M597" s="4" t="s">
        <v>3851</v>
      </c>
      <c r="N597" s="136">
        <v>9</v>
      </c>
      <c r="O597" s="16"/>
    </row>
    <row r="598" spans="1:15" s="3" customFormat="1" ht="16.2" thickBot="1" x14ac:dyDescent="0.35">
      <c r="A598" s="384" t="s">
        <v>3826</v>
      </c>
      <c r="B598" s="136">
        <v>8</v>
      </c>
      <c r="C598" s="2"/>
      <c r="D598" s="2"/>
      <c r="E598" s="2"/>
      <c r="F598" s="2"/>
      <c r="G598" s="4" t="s">
        <v>3869</v>
      </c>
      <c r="H598" s="136">
        <v>9</v>
      </c>
      <c r="I598" s="2"/>
      <c r="J598" s="11" t="s">
        <v>3874</v>
      </c>
      <c r="K598" s="190">
        <v>9.5</v>
      </c>
      <c r="L598" s="2"/>
      <c r="M598" s="4" t="s">
        <v>3852</v>
      </c>
      <c r="N598" s="136">
        <v>9.5</v>
      </c>
      <c r="O598" s="16"/>
    </row>
    <row r="599" spans="1:15" s="3" customFormat="1" ht="16.05" customHeight="1" thickBot="1" x14ac:dyDescent="0.35">
      <c r="A599" s="420" t="s">
        <v>3827</v>
      </c>
      <c r="B599" s="191">
        <v>8</v>
      </c>
      <c r="C599" s="2"/>
      <c r="D599" s="425" t="s">
        <v>3897</v>
      </c>
      <c r="E599" s="12">
        <f>ROUND(AVERAGE(E600:E608), 2)</f>
        <v>8.39</v>
      </c>
      <c r="F599" s="2"/>
      <c r="G599" s="4" t="s">
        <v>3870</v>
      </c>
      <c r="H599" s="136">
        <v>8.5</v>
      </c>
      <c r="I599" s="2"/>
      <c r="J599" s="4" t="s">
        <v>3875</v>
      </c>
      <c r="K599" s="136">
        <v>10.5</v>
      </c>
      <c r="L599" s="2"/>
      <c r="M599" s="4" t="s">
        <v>3853</v>
      </c>
      <c r="N599" s="136">
        <v>9</v>
      </c>
      <c r="O599" s="16"/>
    </row>
    <row r="600" spans="1:15" s="3" customFormat="1" ht="16.2" thickBot="1" x14ac:dyDescent="0.35">
      <c r="A600" s="2"/>
      <c r="B600" s="2"/>
      <c r="C600" s="2"/>
      <c r="D600" s="11" t="s">
        <v>3888</v>
      </c>
      <c r="E600" s="190">
        <v>9</v>
      </c>
      <c r="F600" s="2"/>
      <c r="G600" s="4" t="s">
        <v>3871</v>
      </c>
      <c r="H600" s="136">
        <v>8</v>
      </c>
      <c r="I600" s="2"/>
      <c r="J600" s="4" t="s">
        <v>3876</v>
      </c>
      <c r="K600" s="136">
        <v>8</v>
      </c>
      <c r="L600" s="2"/>
      <c r="M600" s="4" t="s">
        <v>3854</v>
      </c>
      <c r="N600" s="136">
        <v>8.5</v>
      </c>
      <c r="O600" s="16"/>
    </row>
    <row r="601" spans="1:15" s="3" customFormat="1" ht="15.6" customHeight="1" thickBot="1" x14ac:dyDescent="0.35">
      <c r="A601" s="429" t="s">
        <v>4099</v>
      </c>
      <c r="B601" s="12">
        <f>ROUND(AVERAGE(B602:B611), 2)</f>
        <v>8.11</v>
      </c>
      <c r="C601" s="2"/>
      <c r="D601" s="4" t="s">
        <v>3889</v>
      </c>
      <c r="E601" s="136">
        <v>8</v>
      </c>
      <c r="F601" s="2"/>
      <c r="G601" s="4" t="s">
        <v>3872</v>
      </c>
      <c r="H601" s="136">
        <v>8.5</v>
      </c>
      <c r="I601" s="2"/>
      <c r="J601" s="4" t="s">
        <v>3877</v>
      </c>
      <c r="K601" s="136">
        <v>8</v>
      </c>
      <c r="L601" s="2"/>
      <c r="M601" s="7" t="s">
        <v>3855</v>
      </c>
      <c r="N601" s="191">
        <v>9.5</v>
      </c>
      <c r="O601" s="16"/>
    </row>
    <row r="602" spans="1:15" s="3" customFormat="1" ht="16.2" thickBot="1" x14ac:dyDescent="0.35">
      <c r="A602" s="11" t="s">
        <v>4100</v>
      </c>
      <c r="B602" s="190">
        <v>8.5</v>
      </c>
      <c r="C602" s="2"/>
      <c r="D602" s="4" t="s">
        <v>3890</v>
      </c>
      <c r="E602" s="136">
        <v>9</v>
      </c>
      <c r="F602" s="2"/>
      <c r="G602" s="7" t="s">
        <v>3873</v>
      </c>
      <c r="H602" s="191">
        <v>8</v>
      </c>
      <c r="I602" s="2"/>
      <c r="J602" s="4" t="s">
        <v>3878</v>
      </c>
      <c r="K602" s="136">
        <v>8</v>
      </c>
      <c r="L602" s="2"/>
      <c r="M602" s="2"/>
      <c r="N602" s="2"/>
      <c r="O602" s="16"/>
    </row>
    <row r="603" spans="1:15" s="3" customFormat="1" ht="15.6" customHeight="1" thickBot="1" x14ac:dyDescent="0.35">
      <c r="A603" s="4" t="s">
        <v>4101</v>
      </c>
      <c r="B603" s="136">
        <v>8</v>
      </c>
      <c r="C603" s="2"/>
      <c r="D603" s="4" t="s">
        <v>3891</v>
      </c>
      <c r="E603" s="136">
        <v>8.5</v>
      </c>
      <c r="F603" s="2"/>
      <c r="G603" s="2"/>
      <c r="H603" s="2"/>
      <c r="I603" s="2"/>
      <c r="J603" s="4" t="s">
        <v>3879</v>
      </c>
      <c r="K603" s="136">
        <v>9.5</v>
      </c>
      <c r="L603" s="2"/>
      <c r="M603" s="427" t="s">
        <v>3909</v>
      </c>
      <c r="N603" s="12">
        <f>ROUND(AVERAGE(N604:N612), 2)</f>
        <v>8.67</v>
      </c>
      <c r="O603" s="16"/>
    </row>
    <row r="604" spans="1:15" s="3" customFormat="1" ht="15.6" customHeight="1" thickBot="1" x14ac:dyDescent="0.35">
      <c r="A604" s="4" t="s">
        <v>4102</v>
      </c>
      <c r="B604" s="136"/>
      <c r="C604" s="2"/>
      <c r="D604" s="4" t="s">
        <v>3892</v>
      </c>
      <c r="E604" s="136">
        <v>8</v>
      </c>
      <c r="F604" s="2"/>
      <c r="G604" s="431" t="s">
        <v>4132</v>
      </c>
      <c r="H604" s="12">
        <f>ROUND(AVERAGE(H605:H634), 2)</f>
        <v>8.65</v>
      </c>
      <c r="I604" s="2"/>
      <c r="J604" s="4" t="s">
        <v>3880</v>
      </c>
      <c r="K604" s="136">
        <v>8</v>
      </c>
      <c r="L604" s="2"/>
      <c r="M604" s="11" t="s">
        <v>3910</v>
      </c>
      <c r="N604" s="190">
        <v>9.5</v>
      </c>
      <c r="O604" s="16"/>
    </row>
    <row r="605" spans="1:15" s="3" customFormat="1" x14ac:dyDescent="0.3">
      <c r="A605" s="4" t="s">
        <v>4103</v>
      </c>
      <c r="B605" s="136">
        <v>10</v>
      </c>
      <c r="C605" s="2"/>
      <c r="D605" s="4" t="s">
        <v>3893</v>
      </c>
      <c r="E605" s="136">
        <v>8</v>
      </c>
      <c r="F605" s="2"/>
      <c r="G605" s="11" t="s">
        <v>4133</v>
      </c>
      <c r="H605" s="190">
        <v>8.5</v>
      </c>
      <c r="I605" s="2"/>
      <c r="J605" s="4" t="s">
        <v>3881</v>
      </c>
      <c r="K605" s="136">
        <v>8</v>
      </c>
      <c r="L605" s="2"/>
      <c r="M605" s="4" t="s">
        <v>3911</v>
      </c>
      <c r="N605" s="136">
        <v>10</v>
      </c>
      <c r="O605" s="16"/>
    </row>
    <row r="606" spans="1:15" s="3" customFormat="1" x14ac:dyDescent="0.3">
      <c r="A606" s="4" t="s">
        <v>4104</v>
      </c>
      <c r="B606" s="136">
        <v>7.5</v>
      </c>
      <c r="C606" s="2"/>
      <c r="D606" s="4" t="s">
        <v>3894</v>
      </c>
      <c r="E606" s="136">
        <v>8</v>
      </c>
      <c r="F606" s="2"/>
      <c r="G606" s="4" t="s">
        <v>4134</v>
      </c>
      <c r="H606" s="136">
        <v>9</v>
      </c>
      <c r="I606" s="2"/>
      <c r="J606" s="4" t="s">
        <v>3882</v>
      </c>
      <c r="K606" s="136">
        <v>9</v>
      </c>
      <c r="L606" s="2"/>
      <c r="M606" s="4" t="s">
        <v>3912</v>
      </c>
      <c r="N606" s="136">
        <v>8.5</v>
      </c>
      <c r="O606" s="16"/>
    </row>
    <row r="607" spans="1:15" s="3" customFormat="1" x14ac:dyDescent="0.3">
      <c r="A607" s="4" t="s">
        <v>4105</v>
      </c>
      <c r="B607" s="136">
        <v>8.5</v>
      </c>
      <c r="C607" s="2"/>
      <c r="D607" s="4" t="s">
        <v>3895</v>
      </c>
      <c r="E607" s="136">
        <v>8.5</v>
      </c>
      <c r="F607" s="2"/>
      <c r="G607" s="4" t="s">
        <v>4135</v>
      </c>
      <c r="H607" s="136">
        <v>8</v>
      </c>
      <c r="I607" s="2"/>
      <c r="J607" s="4" t="s">
        <v>3883</v>
      </c>
      <c r="K607" s="136">
        <v>8.5</v>
      </c>
      <c r="L607" s="2"/>
      <c r="M607" s="4" t="s">
        <v>3913</v>
      </c>
      <c r="N607" s="136">
        <v>8.5</v>
      </c>
      <c r="O607" s="16"/>
    </row>
    <row r="608" spans="1:15" s="3" customFormat="1" ht="16.2" thickBot="1" x14ac:dyDescent="0.35">
      <c r="A608" s="4" t="s">
        <v>4106</v>
      </c>
      <c r="B608" s="136">
        <v>8</v>
      </c>
      <c r="C608" s="2"/>
      <c r="D608" s="7" t="s">
        <v>3896</v>
      </c>
      <c r="E608" s="191">
        <v>8.5</v>
      </c>
      <c r="F608" s="2"/>
      <c r="G608" s="4" t="s">
        <v>4136</v>
      </c>
      <c r="H608" s="136">
        <v>8</v>
      </c>
      <c r="I608" s="2"/>
      <c r="J608" s="4" t="s">
        <v>3884</v>
      </c>
      <c r="K608" s="136">
        <v>7.5</v>
      </c>
      <c r="L608" s="2"/>
      <c r="M608" s="4" t="s">
        <v>3914</v>
      </c>
      <c r="N608" s="136">
        <v>8.5</v>
      </c>
      <c r="O608" s="16"/>
    </row>
    <row r="609" spans="1:15" s="3" customFormat="1" ht="16.2" thickBot="1" x14ac:dyDescent="0.35">
      <c r="A609" s="4" t="s">
        <v>4107</v>
      </c>
      <c r="B609" s="136">
        <v>7.5</v>
      </c>
      <c r="C609" s="2"/>
      <c r="D609" s="2"/>
      <c r="E609" s="2"/>
      <c r="F609" s="2"/>
      <c r="G609" s="4" t="s">
        <v>4137</v>
      </c>
      <c r="H609" s="136">
        <v>8.5</v>
      </c>
      <c r="I609" s="2"/>
      <c r="J609" s="4" t="s">
        <v>3885</v>
      </c>
      <c r="K609" s="136">
        <v>8</v>
      </c>
      <c r="L609" s="2"/>
      <c r="M609" s="4" t="s">
        <v>3915</v>
      </c>
      <c r="N609" s="136">
        <v>8</v>
      </c>
      <c r="O609" s="16"/>
    </row>
    <row r="610" spans="1:15" s="3" customFormat="1" ht="15.6" customHeight="1" thickBot="1" x14ac:dyDescent="0.35">
      <c r="A610" s="4" t="s">
        <v>4108</v>
      </c>
      <c r="B610" s="136">
        <v>8</v>
      </c>
      <c r="C610" s="2"/>
      <c r="D610" s="432" t="s">
        <v>4210</v>
      </c>
      <c r="E610" s="12">
        <f>ROUND(AVERAGE(E611:E621), 2)</f>
        <v>8.27</v>
      </c>
      <c r="F610" s="2"/>
      <c r="G610" s="4" t="s">
        <v>4138</v>
      </c>
      <c r="H610" s="136">
        <v>8</v>
      </c>
      <c r="I610" s="2"/>
      <c r="J610" s="7" t="s">
        <v>3886</v>
      </c>
      <c r="K610" s="191">
        <v>8.5</v>
      </c>
      <c r="L610" s="2"/>
      <c r="M610" s="4" t="s">
        <v>3916</v>
      </c>
      <c r="N610" s="136">
        <v>8</v>
      </c>
      <c r="O610" s="16"/>
    </row>
    <row r="611" spans="1:15" s="3" customFormat="1" ht="16.2" thickBot="1" x14ac:dyDescent="0.35">
      <c r="A611" s="7" t="s">
        <v>4109</v>
      </c>
      <c r="B611" s="191">
        <v>7</v>
      </c>
      <c r="C611" s="2"/>
      <c r="D611" s="11" t="s">
        <v>4211</v>
      </c>
      <c r="E611" s="190">
        <v>9</v>
      </c>
      <c r="F611" s="2"/>
      <c r="G611" s="4" t="s">
        <v>4139</v>
      </c>
      <c r="H611" s="136">
        <v>9.5</v>
      </c>
      <c r="I611" s="2"/>
      <c r="J611" s="2"/>
      <c r="K611" s="2"/>
      <c r="L611" s="2"/>
      <c r="M611" s="4" t="s">
        <v>3917</v>
      </c>
      <c r="N611" s="136">
        <v>9</v>
      </c>
      <c r="O611" s="16"/>
    </row>
    <row r="612" spans="1:15" s="3" customFormat="1" ht="15.6" customHeight="1" thickBot="1" x14ac:dyDescent="0.35">
      <c r="A612" s="2"/>
      <c r="B612" s="2"/>
      <c r="C612" s="2"/>
      <c r="D612" s="4" t="s">
        <v>4212</v>
      </c>
      <c r="E612" s="136">
        <v>8.5</v>
      </c>
      <c r="F612" s="2"/>
      <c r="G612" s="4" t="s">
        <v>4140</v>
      </c>
      <c r="H612" s="136">
        <v>9</v>
      </c>
      <c r="I612" s="2"/>
      <c r="J612" s="434" t="s">
        <v>4244</v>
      </c>
      <c r="K612" s="12">
        <f>ROUND(AVERAGE(K613:K642), 2)</f>
        <v>8.64</v>
      </c>
      <c r="L612" s="2"/>
      <c r="M612" s="7" t="s">
        <v>3918</v>
      </c>
      <c r="N612" s="191">
        <v>8</v>
      </c>
      <c r="O612" s="16"/>
    </row>
    <row r="613" spans="1:15" s="3" customFormat="1" x14ac:dyDescent="0.3">
      <c r="C613" s="2"/>
      <c r="D613" s="4" t="s">
        <v>4213</v>
      </c>
      <c r="E613" s="136">
        <v>8</v>
      </c>
      <c r="F613" s="2"/>
      <c r="G613" s="4" t="s">
        <v>4141</v>
      </c>
      <c r="H613" s="136">
        <v>10.5</v>
      </c>
      <c r="I613" s="2"/>
      <c r="J613" s="11" t="s">
        <v>4233</v>
      </c>
      <c r="K613" s="190">
        <v>9.5</v>
      </c>
      <c r="L613" s="2"/>
      <c r="M613" s="2"/>
      <c r="N613" s="2"/>
      <c r="O613" s="16"/>
    </row>
    <row r="614" spans="1:15" s="3" customFormat="1" x14ac:dyDescent="0.3">
      <c r="C614" s="2"/>
      <c r="D614" s="4" t="s">
        <v>4214</v>
      </c>
      <c r="E614" s="136">
        <v>8</v>
      </c>
      <c r="F614" s="2"/>
      <c r="G614" s="4" t="s">
        <v>4142</v>
      </c>
      <c r="H614" s="136">
        <v>8.5</v>
      </c>
      <c r="I614" s="2"/>
      <c r="J614" s="4" t="s">
        <v>4234</v>
      </c>
      <c r="K614" s="136">
        <v>9.5</v>
      </c>
      <c r="L614" s="2"/>
    </row>
    <row r="615" spans="1:15" s="3" customFormat="1" x14ac:dyDescent="0.3">
      <c r="C615" s="2"/>
      <c r="D615" s="4" t="s">
        <v>4215</v>
      </c>
      <c r="E615" s="136">
        <v>7.5</v>
      </c>
      <c r="F615" s="2"/>
      <c r="G615" s="4" t="s">
        <v>4143</v>
      </c>
      <c r="H615" s="136">
        <v>9</v>
      </c>
      <c r="I615" s="2"/>
      <c r="J615" s="4" t="s">
        <v>4235</v>
      </c>
      <c r="K615" s="136">
        <v>9.5</v>
      </c>
      <c r="L615" s="2"/>
    </row>
    <row r="616" spans="1:15" s="3" customFormat="1" x14ac:dyDescent="0.3">
      <c r="C616" s="2"/>
      <c r="D616" s="4" t="s">
        <v>4216</v>
      </c>
      <c r="E616" s="136">
        <v>8</v>
      </c>
      <c r="F616" s="2"/>
      <c r="G616" s="4" t="s">
        <v>4144</v>
      </c>
      <c r="H616" s="136">
        <v>9</v>
      </c>
      <c r="I616" s="2"/>
      <c r="J616" s="4" t="s">
        <v>4236</v>
      </c>
      <c r="K616" s="136">
        <v>8.5</v>
      </c>
      <c r="L616" s="2"/>
    </row>
    <row r="617" spans="1:15" s="3" customFormat="1" x14ac:dyDescent="0.3">
      <c r="C617" s="2"/>
      <c r="D617" s="4" t="s">
        <v>4217</v>
      </c>
      <c r="E617" s="136">
        <v>9.5</v>
      </c>
      <c r="F617" s="2"/>
      <c r="G617" s="4" t="s">
        <v>4145</v>
      </c>
      <c r="H617" s="136"/>
      <c r="I617" s="2"/>
      <c r="J617" s="4" t="s">
        <v>4237</v>
      </c>
      <c r="K617" s="136">
        <v>8.5</v>
      </c>
      <c r="L617" s="2"/>
    </row>
    <row r="618" spans="1:15" s="3" customFormat="1" x14ac:dyDescent="0.3">
      <c r="C618" s="2"/>
      <c r="D618" s="4" t="s">
        <v>4218</v>
      </c>
      <c r="E618" s="136">
        <v>8</v>
      </c>
      <c r="F618" s="2"/>
      <c r="G618" s="4" t="s">
        <v>4146</v>
      </c>
      <c r="H618" s="136">
        <v>8</v>
      </c>
      <c r="I618" s="2"/>
      <c r="J618" s="4" t="s">
        <v>4238</v>
      </c>
      <c r="K618" s="136">
        <v>8</v>
      </c>
      <c r="L618" s="2"/>
    </row>
    <row r="619" spans="1:15" s="3" customFormat="1" x14ac:dyDescent="0.3">
      <c r="C619" s="2"/>
      <c r="D619" s="4" t="s">
        <v>4219</v>
      </c>
      <c r="E619" s="136">
        <v>10</v>
      </c>
      <c r="F619" s="2"/>
      <c r="G619" s="4" t="s">
        <v>4147</v>
      </c>
      <c r="H619" s="136">
        <v>8.5</v>
      </c>
      <c r="I619" s="2"/>
      <c r="J619" s="4" t="s">
        <v>4239</v>
      </c>
      <c r="K619" s="136">
        <v>9</v>
      </c>
      <c r="L619" s="2"/>
    </row>
    <row r="620" spans="1:15" s="3" customFormat="1" x14ac:dyDescent="0.3">
      <c r="C620" s="2"/>
      <c r="D620" s="4" t="s">
        <v>4220</v>
      </c>
      <c r="E620" s="136">
        <v>7.5</v>
      </c>
      <c r="F620" s="2"/>
      <c r="G620" s="4" t="s">
        <v>4148</v>
      </c>
      <c r="H620" s="136">
        <v>9</v>
      </c>
      <c r="I620" s="2"/>
      <c r="J620" s="4" t="s">
        <v>4240</v>
      </c>
      <c r="K620" s="136">
        <v>8</v>
      </c>
      <c r="L620" s="2"/>
    </row>
    <row r="621" spans="1:15" s="3" customFormat="1" ht="16.2" thickBot="1" x14ac:dyDescent="0.35">
      <c r="C621" s="2"/>
      <c r="D621" s="7" t="s">
        <v>4221</v>
      </c>
      <c r="E621" s="191">
        <v>7</v>
      </c>
      <c r="F621" s="2"/>
      <c r="G621" s="4" t="s">
        <v>4149</v>
      </c>
      <c r="H621" s="136">
        <v>8</v>
      </c>
      <c r="I621" s="2"/>
      <c r="J621" s="4" t="s">
        <v>4241</v>
      </c>
      <c r="K621" s="136">
        <v>8.5</v>
      </c>
      <c r="L621" s="2"/>
    </row>
    <row r="622" spans="1:15" s="3" customFormat="1" x14ac:dyDescent="0.3">
      <c r="C622" s="2"/>
      <c r="D622" s="2"/>
      <c r="E622" s="2"/>
      <c r="F622" s="2"/>
      <c r="G622" s="4" t="s">
        <v>4150</v>
      </c>
      <c r="H622" s="136"/>
      <c r="I622" s="2"/>
      <c r="J622" s="4" t="s">
        <v>4242</v>
      </c>
      <c r="K622" s="136">
        <v>8</v>
      </c>
      <c r="L622" s="2"/>
    </row>
    <row r="623" spans="1:15" s="3" customFormat="1" ht="16.2" thickBot="1" x14ac:dyDescent="0.35">
      <c r="F623" s="2"/>
      <c r="G623" s="4" t="s">
        <v>4151</v>
      </c>
      <c r="H623" s="136">
        <v>10</v>
      </c>
      <c r="I623" s="2"/>
      <c r="J623" s="7" t="s">
        <v>4243</v>
      </c>
      <c r="K623" s="191">
        <v>8</v>
      </c>
      <c r="L623" s="2"/>
    </row>
    <row r="624" spans="1:15" s="3" customFormat="1" x14ac:dyDescent="0.3">
      <c r="F624" s="2"/>
      <c r="G624" s="4" t="s">
        <v>4152</v>
      </c>
      <c r="H624" s="136">
        <v>9</v>
      </c>
      <c r="I624" s="2"/>
      <c r="J624" s="2"/>
      <c r="K624" s="2"/>
      <c r="L624" s="2"/>
    </row>
    <row r="625" spans="6:9" s="3" customFormat="1" x14ac:dyDescent="0.3">
      <c r="F625" s="2"/>
      <c r="G625" s="4" t="s">
        <v>4153</v>
      </c>
      <c r="H625" s="136"/>
      <c r="I625" s="2"/>
    </row>
    <row r="626" spans="6:9" s="3" customFormat="1" x14ac:dyDescent="0.3">
      <c r="F626" s="2"/>
      <c r="G626" s="4" t="s">
        <v>4154</v>
      </c>
      <c r="H626" s="136">
        <v>8</v>
      </c>
      <c r="I626" s="2"/>
    </row>
    <row r="627" spans="6:9" s="3" customFormat="1" x14ac:dyDescent="0.3">
      <c r="F627" s="2"/>
      <c r="G627" s="4" t="s">
        <v>4155</v>
      </c>
      <c r="H627" s="136"/>
      <c r="I627" s="2"/>
    </row>
    <row r="628" spans="6:9" s="3" customFormat="1" x14ac:dyDescent="0.3">
      <c r="F628" s="2"/>
      <c r="G628" s="4" t="s">
        <v>4156</v>
      </c>
      <c r="H628" s="136">
        <v>9</v>
      </c>
      <c r="I628" s="2"/>
    </row>
    <row r="629" spans="6:9" s="3" customFormat="1" x14ac:dyDescent="0.3">
      <c r="F629" s="2"/>
      <c r="G629" s="4" t="s">
        <v>4157</v>
      </c>
      <c r="H629" s="136">
        <v>8.5</v>
      </c>
      <c r="I629" s="2"/>
    </row>
    <row r="630" spans="6:9" s="3" customFormat="1" x14ac:dyDescent="0.3">
      <c r="F630" s="2"/>
      <c r="G630" s="4" t="s">
        <v>4158</v>
      </c>
      <c r="H630" s="136">
        <v>8</v>
      </c>
      <c r="I630" s="2"/>
    </row>
    <row r="631" spans="6:9" s="3" customFormat="1" x14ac:dyDescent="0.3">
      <c r="F631" s="2"/>
      <c r="G631" s="4" t="s">
        <v>4159</v>
      </c>
      <c r="H631" s="136">
        <v>8</v>
      </c>
      <c r="I631" s="2"/>
    </row>
    <row r="632" spans="6:9" s="3" customFormat="1" x14ac:dyDescent="0.3">
      <c r="F632" s="2"/>
      <c r="G632" s="4" t="s">
        <v>4160</v>
      </c>
      <c r="H632" s="136">
        <v>8.5</v>
      </c>
      <c r="I632" s="2"/>
    </row>
    <row r="633" spans="6:9" s="3" customFormat="1" x14ac:dyDescent="0.3">
      <c r="F633" s="2"/>
      <c r="G633" s="4" t="s">
        <v>4161</v>
      </c>
      <c r="H633" s="136">
        <v>8</v>
      </c>
      <c r="I633" s="2"/>
    </row>
    <row r="634" spans="6:9" s="3" customFormat="1" ht="16.2" thickBot="1" x14ac:dyDescent="0.35">
      <c r="F634" s="2"/>
      <c r="G634" s="7" t="s">
        <v>4162</v>
      </c>
      <c r="H634" s="191">
        <v>9</v>
      </c>
      <c r="I634" s="2"/>
    </row>
    <row r="635" spans="6:9" s="3" customFormat="1" x14ac:dyDescent="0.3">
      <c r="F635" s="2"/>
      <c r="G635" s="2"/>
      <c r="H635" s="2"/>
      <c r="I635" s="2"/>
    </row>
    <row r="636" spans="6:9" s="3" customFormat="1" x14ac:dyDescent="0.3"/>
    <row r="637" spans="6:9" s="3" customFormat="1" x14ac:dyDescent="0.3"/>
    <row r="638" spans="6:9" s="3" customFormat="1" x14ac:dyDescent="0.3"/>
    <row r="639" spans="6:9" s="3" customFormat="1" x14ac:dyDescent="0.3"/>
    <row r="640" spans="6:9" s="3" customFormat="1" x14ac:dyDescent="0.3"/>
    <row r="641" s="3" customFormat="1" x14ac:dyDescent="0.3"/>
    <row r="642" s="3" customFormat="1" x14ac:dyDescent="0.3"/>
    <row r="643" s="3" customFormat="1" x14ac:dyDescent="0.3"/>
    <row r="644" s="3" customFormat="1" x14ac:dyDescent="0.3"/>
    <row r="645" s="3" customFormat="1" x14ac:dyDescent="0.3"/>
    <row r="646" s="3" customFormat="1" x14ac:dyDescent="0.3"/>
    <row r="647" s="3" customFormat="1" x14ac:dyDescent="0.3"/>
    <row r="648" s="3" customFormat="1" x14ac:dyDescent="0.3"/>
    <row r="649" s="3" customFormat="1" x14ac:dyDescent="0.3"/>
    <row r="650" s="3" customFormat="1" x14ac:dyDescent="0.3"/>
    <row r="651" s="3" customFormat="1" x14ac:dyDescent="0.3"/>
    <row r="652" s="3" customFormat="1" x14ac:dyDescent="0.3"/>
    <row r="653" s="3" customFormat="1" x14ac:dyDescent="0.3"/>
    <row r="654" s="3" customFormat="1" x14ac:dyDescent="0.3"/>
    <row r="655" s="3" customFormat="1" x14ac:dyDescent="0.3"/>
    <row r="656" s="3" customFormat="1" x14ac:dyDescent="0.3"/>
    <row r="657" s="3" customFormat="1" x14ac:dyDescent="0.3"/>
    <row r="658" s="3" customFormat="1" x14ac:dyDescent="0.3"/>
    <row r="659" s="3" customFormat="1" x14ac:dyDescent="0.3"/>
    <row r="660" s="3" customFormat="1" x14ac:dyDescent="0.3"/>
    <row r="661" s="3" customFormat="1" x14ac:dyDescent="0.3"/>
    <row r="662" s="3" customFormat="1" x14ac:dyDescent="0.3"/>
    <row r="663" s="3" customFormat="1" x14ac:dyDescent="0.3"/>
    <row r="664" s="3" customFormat="1" x14ac:dyDescent="0.3"/>
    <row r="665" s="3" customFormat="1" x14ac:dyDescent="0.3"/>
    <row r="666" s="3" customFormat="1" x14ac:dyDescent="0.3"/>
    <row r="667" s="3" customFormat="1" x14ac:dyDescent="0.3"/>
    <row r="668" s="3" customFormat="1" x14ac:dyDescent="0.3"/>
    <row r="669" s="3" customFormat="1" x14ac:dyDescent="0.3"/>
    <row r="670" s="3" customFormat="1" x14ac:dyDescent="0.3"/>
    <row r="671" s="3" customFormat="1" x14ac:dyDescent="0.3"/>
    <row r="672" s="3" customFormat="1" x14ac:dyDescent="0.3"/>
    <row r="673" s="3" customFormat="1" x14ac:dyDescent="0.3"/>
    <row r="674" s="3" customFormat="1" x14ac:dyDescent="0.3"/>
    <row r="675" s="3" customFormat="1" x14ac:dyDescent="0.3"/>
    <row r="676" s="3" customFormat="1" x14ac:dyDescent="0.3"/>
    <row r="677" s="3" customFormat="1" x14ac:dyDescent="0.3"/>
    <row r="678" s="3" customFormat="1" x14ac:dyDescent="0.3"/>
    <row r="679" s="3" customFormat="1" x14ac:dyDescent="0.3"/>
    <row r="680" s="3" customFormat="1" x14ac:dyDescent="0.3"/>
    <row r="681" s="3" customFormat="1" x14ac:dyDescent="0.3"/>
    <row r="682" s="3" customFormat="1" x14ac:dyDescent="0.3"/>
    <row r="683" s="3" customFormat="1" x14ac:dyDescent="0.3"/>
    <row r="684" s="3" customFormat="1" x14ac:dyDescent="0.3"/>
    <row r="685" s="3" customFormat="1" x14ac:dyDescent="0.3"/>
    <row r="686" s="3" customFormat="1" x14ac:dyDescent="0.3"/>
    <row r="687" s="3" customFormat="1" x14ac:dyDescent="0.3"/>
    <row r="688" s="3" customFormat="1" x14ac:dyDescent="0.3"/>
    <row r="689" s="3" customFormat="1" x14ac:dyDescent="0.3"/>
    <row r="690" s="3" customFormat="1" x14ac:dyDescent="0.3"/>
    <row r="691" s="3" customFormat="1" x14ac:dyDescent="0.3"/>
    <row r="692" s="3" customFormat="1" x14ac:dyDescent="0.3"/>
    <row r="693" s="3" customFormat="1" x14ac:dyDescent="0.3"/>
    <row r="694" s="3" customFormat="1" x14ac:dyDescent="0.3"/>
    <row r="695" s="3" customFormat="1" x14ac:dyDescent="0.3"/>
    <row r="696" s="3" customFormat="1" x14ac:dyDescent="0.3"/>
    <row r="697" s="3" customFormat="1" x14ac:dyDescent="0.3"/>
    <row r="698" s="3" customFormat="1" x14ac:dyDescent="0.3"/>
    <row r="699" s="3" customFormat="1" x14ac:dyDescent="0.3"/>
    <row r="700" s="3" customFormat="1" x14ac:dyDescent="0.3"/>
    <row r="701" s="3" customFormat="1" x14ac:dyDescent="0.3"/>
    <row r="702" s="3" customFormat="1" x14ac:dyDescent="0.3"/>
    <row r="703" s="3" customFormat="1" x14ac:dyDescent="0.3"/>
    <row r="704" s="3" customFormat="1" x14ac:dyDescent="0.3"/>
    <row r="705" s="3" customFormat="1" x14ac:dyDescent="0.3"/>
    <row r="706" s="3" customFormat="1" x14ac:dyDescent="0.3"/>
    <row r="707" s="3" customFormat="1" x14ac:dyDescent="0.3"/>
    <row r="708" s="3" customFormat="1" x14ac:dyDescent="0.3"/>
    <row r="709" s="3" customFormat="1" x14ac:dyDescent="0.3"/>
    <row r="710" s="3" customFormat="1" x14ac:dyDescent="0.3"/>
    <row r="711" s="3" customFormat="1" x14ac:dyDescent="0.3"/>
    <row r="712" s="3" customFormat="1" x14ac:dyDescent="0.3"/>
    <row r="713" s="3" customFormat="1" x14ac:dyDescent="0.3"/>
    <row r="714" s="3" customFormat="1" x14ac:dyDescent="0.3"/>
    <row r="715" s="3" customFormat="1" x14ac:dyDescent="0.3"/>
    <row r="716" s="3" customFormat="1" x14ac:dyDescent="0.3"/>
    <row r="717" s="3" customFormat="1" x14ac:dyDescent="0.3"/>
    <row r="718" s="3" customFormat="1" x14ac:dyDescent="0.3"/>
    <row r="719" s="3" customFormat="1" x14ac:dyDescent="0.3"/>
    <row r="720" s="3" customFormat="1" x14ac:dyDescent="0.3"/>
    <row r="721" s="3" customFormat="1" x14ac:dyDescent="0.3"/>
    <row r="722" s="3" customFormat="1" x14ac:dyDescent="0.3"/>
    <row r="723" s="3" customFormat="1" x14ac:dyDescent="0.3"/>
    <row r="724" s="3" customFormat="1" x14ac:dyDescent="0.3"/>
    <row r="725" s="3" customFormat="1" x14ac:dyDescent="0.3"/>
    <row r="726" s="3" customFormat="1" x14ac:dyDescent="0.3"/>
    <row r="727" s="3" customFormat="1" x14ac:dyDescent="0.3"/>
    <row r="728" s="3" customFormat="1" x14ac:dyDescent="0.3"/>
    <row r="729" s="3" customFormat="1" x14ac:dyDescent="0.3"/>
    <row r="730" s="3" customFormat="1" x14ac:dyDescent="0.3"/>
    <row r="731" s="3" customFormat="1" x14ac:dyDescent="0.3"/>
    <row r="732" s="3" customFormat="1" x14ac:dyDescent="0.3"/>
    <row r="733" s="3" customFormat="1" x14ac:dyDescent="0.3"/>
    <row r="734" s="3" customFormat="1" x14ac:dyDescent="0.3"/>
    <row r="735" s="3" customFormat="1" x14ac:dyDescent="0.3"/>
    <row r="736" s="3" customFormat="1" x14ac:dyDescent="0.3"/>
    <row r="737" s="3" customFormat="1" x14ac:dyDescent="0.3"/>
    <row r="738" s="3" customFormat="1" x14ac:dyDescent="0.3"/>
    <row r="739" s="3" customFormat="1" x14ac:dyDescent="0.3"/>
    <row r="740" s="3" customFormat="1" x14ac:dyDescent="0.3"/>
    <row r="741" s="3" customFormat="1" x14ac:dyDescent="0.3"/>
    <row r="742" s="3" customFormat="1" x14ac:dyDescent="0.3"/>
    <row r="743" s="3" customFormat="1" x14ac:dyDescent="0.3"/>
    <row r="744" s="3" customFormat="1" x14ac:dyDescent="0.3"/>
    <row r="745" s="3" customFormat="1" x14ac:dyDescent="0.3"/>
    <row r="746" s="3" customFormat="1" x14ac:dyDescent="0.3"/>
    <row r="747" s="3" customFormat="1" x14ac:dyDescent="0.3"/>
    <row r="748" s="3" customFormat="1" x14ac:dyDescent="0.3"/>
    <row r="749" s="3" customFormat="1" x14ac:dyDescent="0.3"/>
    <row r="750" s="3" customFormat="1" x14ac:dyDescent="0.3"/>
    <row r="751" s="3" customFormat="1" x14ac:dyDescent="0.3"/>
    <row r="752" s="3" customFormat="1" x14ac:dyDescent="0.3"/>
    <row r="753" s="3" customFormat="1" x14ac:dyDescent="0.3"/>
    <row r="754" s="3" customFormat="1" x14ac:dyDescent="0.3"/>
    <row r="755" s="3" customFormat="1" x14ac:dyDescent="0.3"/>
    <row r="756" s="3" customFormat="1" x14ac:dyDescent="0.3"/>
    <row r="757" s="3" customFormat="1" x14ac:dyDescent="0.3"/>
    <row r="758" s="3" customFormat="1" x14ac:dyDescent="0.3"/>
    <row r="759" s="3" customFormat="1" x14ac:dyDescent="0.3"/>
    <row r="760" s="3" customFormat="1" x14ac:dyDescent="0.3"/>
    <row r="761" s="3" customFormat="1" x14ac:dyDescent="0.3"/>
    <row r="762" s="3" customFormat="1" x14ac:dyDescent="0.3"/>
    <row r="763" s="3" customFormat="1" x14ac:dyDescent="0.3"/>
    <row r="764" s="3" customFormat="1" x14ac:dyDescent="0.3"/>
    <row r="765" s="3" customFormat="1" x14ac:dyDescent="0.3"/>
    <row r="766" s="3" customFormat="1" x14ac:dyDescent="0.3"/>
    <row r="767" s="3" customFormat="1" x14ac:dyDescent="0.3"/>
    <row r="768" s="3" customFormat="1" x14ac:dyDescent="0.3"/>
    <row r="769" s="3" customFormat="1" x14ac:dyDescent="0.3"/>
    <row r="770" s="3" customFormat="1" x14ac:dyDescent="0.3"/>
    <row r="771" s="3" customFormat="1" x14ac:dyDescent="0.3"/>
    <row r="772" s="3" customFormat="1" x14ac:dyDescent="0.3"/>
    <row r="773" s="3" customFormat="1" x14ac:dyDescent="0.3"/>
    <row r="774" s="3" customFormat="1" x14ac:dyDescent="0.3"/>
    <row r="775" s="3" customFormat="1" x14ac:dyDescent="0.3"/>
    <row r="776" s="3" customFormat="1" x14ac:dyDescent="0.3"/>
    <row r="777" s="3" customFormat="1" x14ac:dyDescent="0.3"/>
    <row r="778" s="3" customFormat="1" x14ac:dyDescent="0.3"/>
    <row r="779" s="3" customFormat="1" x14ac:dyDescent="0.3"/>
    <row r="780" s="3" customFormat="1" x14ac:dyDescent="0.3"/>
    <row r="781" s="3" customFormat="1" x14ac:dyDescent="0.3"/>
    <row r="782" s="3" customFormat="1" x14ac:dyDescent="0.3"/>
    <row r="783" s="3" customFormat="1" x14ac:dyDescent="0.3"/>
    <row r="784" s="3" customFormat="1" x14ac:dyDescent="0.3"/>
    <row r="785" s="3" customFormat="1" x14ac:dyDescent="0.3"/>
    <row r="786" s="3" customFormat="1" x14ac:dyDescent="0.3"/>
    <row r="787" s="3" customFormat="1" x14ac:dyDescent="0.3"/>
    <row r="788" s="3" customFormat="1" x14ac:dyDescent="0.3"/>
    <row r="789" s="3" customFormat="1" x14ac:dyDescent="0.3"/>
    <row r="790" s="3" customFormat="1" x14ac:dyDescent="0.3"/>
    <row r="791" s="3" customFormat="1" x14ac:dyDescent="0.3"/>
    <row r="792" s="3" customFormat="1" x14ac:dyDescent="0.3"/>
    <row r="793" s="3" customFormat="1" x14ac:dyDescent="0.3"/>
    <row r="794" s="3" customFormat="1" x14ac:dyDescent="0.3"/>
    <row r="795" s="3" customFormat="1" x14ac:dyDescent="0.3"/>
    <row r="796" s="3" customFormat="1" x14ac:dyDescent="0.3"/>
    <row r="797" s="3" customFormat="1" x14ac:dyDescent="0.3"/>
    <row r="798" s="3" customFormat="1" x14ac:dyDescent="0.3"/>
    <row r="799" s="3" customFormat="1" x14ac:dyDescent="0.3"/>
    <row r="800" s="3" customFormat="1" x14ac:dyDescent="0.3"/>
    <row r="801" s="3" customFormat="1" x14ac:dyDescent="0.3"/>
    <row r="802" s="3" customFormat="1" x14ac:dyDescent="0.3"/>
    <row r="803" s="3" customFormat="1" x14ac:dyDescent="0.3"/>
    <row r="804" s="3" customFormat="1" x14ac:dyDescent="0.3"/>
    <row r="805" s="3" customFormat="1" x14ac:dyDescent="0.3"/>
    <row r="806" s="3" customFormat="1" x14ac:dyDescent="0.3"/>
    <row r="807" s="3" customFormat="1" x14ac:dyDescent="0.3"/>
    <row r="808" s="3" customFormat="1" x14ac:dyDescent="0.3"/>
    <row r="809" s="3" customFormat="1" x14ac:dyDescent="0.3"/>
    <row r="810" s="3" customFormat="1" x14ac:dyDescent="0.3"/>
    <row r="811" s="3" customFormat="1" x14ac:dyDescent="0.3"/>
    <row r="812" s="3" customFormat="1" x14ac:dyDescent="0.3"/>
    <row r="813" s="3" customFormat="1" x14ac:dyDescent="0.3"/>
    <row r="814" s="3" customFormat="1" x14ac:dyDescent="0.3"/>
    <row r="815" s="3" customFormat="1" x14ac:dyDescent="0.3"/>
    <row r="816" s="3" customFormat="1" x14ac:dyDescent="0.3"/>
    <row r="817" s="3" customFormat="1" x14ac:dyDescent="0.3"/>
    <row r="818" s="3" customFormat="1" x14ac:dyDescent="0.3"/>
    <row r="819" s="3" customFormat="1" x14ac:dyDescent="0.3"/>
    <row r="820" s="3" customFormat="1" x14ac:dyDescent="0.3"/>
    <row r="821" s="3" customFormat="1" x14ac:dyDescent="0.3"/>
    <row r="822" s="3" customFormat="1" x14ac:dyDescent="0.3"/>
    <row r="823" s="3" customFormat="1" x14ac:dyDescent="0.3"/>
    <row r="824" s="3" customFormat="1" x14ac:dyDescent="0.3"/>
    <row r="825" s="3" customFormat="1" x14ac:dyDescent="0.3"/>
    <row r="826" s="3" customFormat="1" x14ac:dyDescent="0.3"/>
    <row r="827" s="3" customFormat="1" x14ac:dyDescent="0.3"/>
    <row r="828" s="3" customFormat="1" x14ac:dyDescent="0.3"/>
    <row r="829" s="3" customFormat="1" x14ac:dyDescent="0.3"/>
    <row r="830" s="3" customFormat="1" x14ac:dyDescent="0.3"/>
    <row r="831" s="3" customFormat="1" x14ac:dyDescent="0.3"/>
    <row r="832" s="3" customFormat="1" x14ac:dyDescent="0.3"/>
    <row r="833" s="3" customFormat="1" x14ac:dyDescent="0.3"/>
    <row r="834" s="3" customFormat="1" x14ac:dyDescent="0.3"/>
    <row r="835" s="3" customFormat="1" x14ac:dyDescent="0.3"/>
    <row r="836" s="3" customFormat="1" x14ac:dyDescent="0.3"/>
    <row r="837" s="3" customFormat="1" x14ac:dyDescent="0.3"/>
    <row r="838" s="3" customFormat="1" x14ac:dyDescent="0.3"/>
    <row r="839" s="3" customFormat="1" x14ac:dyDescent="0.3"/>
    <row r="840" s="3" customFormat="1" x14ac:dyDescent="0.3"/>
    <row r="841" s="3" customFormat="1" x14ac:dyDescent="0.3"/>
    <row r="842" s="3" customFormat="1" x14ac:dyDescent="0.3"/>
    <row r="843" s="3" customFormat="1" x14ac:dyDescent="0.3"/>
    <row r="844" s="3" customFormat="1" x14ac:dyDescent="0.3"/>
    <row r="845" s="3" customFormat="1" x14ac:dyDescent="0.3"/>
    <row r="846" s="3" customFormat="1" x14ac:dyDescent="0.3"/>
    <row r="847" s="3" customFormat="1" x14ac:dyDescent="0.3"/>
    <row r="848" s="3" customFormat="1" x14ac:dyDescent="0.3"/>
    <row r="849" s="3" customFormat="1" x14ac:dyDescent="0.3"/>
    <row r="850" s="3" customFormat="1" x14ac:dyDescent="0.3"/>
    <row r="851" s="3" customFormat="1" x14ac:dyDescent="0.3"/>
    <row r="852" s="3" customFormat="1" x14ac:dyDescent="0.3"/>
    <row r="853" s="3" customFormat="1" x14ac:dyDescent="0.3"/>
    <row r="854" s="3" customFormat="1" x14ac:dyDescent="0.3"/>
    <row r="855" s="3" customFormat="1" x14ac:dyDescent="0.3"/>
    <row r="856" s="3" customFormat="1" x14ac:dyDescent="0.3"/>
    <row r="857" s="3" customFormat="1" x14ac:dyDescent="0.3"/>
    <row r="858" s="3" customFormat="1" x14ac:dyDescent="0.3"/>
    <row r="859" s="3" customFormat="1" x14ac:dyDescent="0.3"/>
    <row r="860" s="3" customFormat="1" x14ac:dyDescent="0.3"/>
    <row r="861" s="3" customFormat="1" x14ac:dyDescent="0.3"/>
    <row r="862" s="3" customFormat="1" x14ac:dyDescent="0.3"/>
    <row r="863" s="3" customFormat="1" x14ac:dyDescent="0.3"/>
    <row r="864" s="3" customFormat="1" x14ac:dyDescent="0.3"/>
    <row r="865" s="3" customFormat="1" x14ac:dyDescent="0.3"/>
    <row r="866" s="3" customFormat="1" x14ac:dyDescent="0.3"/>
    <row r="867" s="3" customFormat="1" x14ac:dyDescent="0.3"/>
    <row r="868" s="3" customFormat="1" x14ac:dyDescent="0.3"/>
    <row r="869" s="3" customFormat="1" x14ac:dyDescent="0.3"/>
    <row r="870" s="3" customFormat="1" x14ac:dyDescent="0.3"/>
    <row r="871" s="3" customFormat="1" x14ac:dyDescent="0.3"/>
    <row r="872" s="3" customFormat="1" x14ac:dyDescent="0.3"/>
    <row r="873" s="3" customFormat="1" x14ac:dyDescent="0.3"/>
    <row r="874" s="3" customFormat="1" x14ac:dyDescent="0.3"/>
    <row r="875" s="3" customFormat="1" x14ac:dyDescent="0.3"/>
    <row r="876" s="3" customFormat="1" x14ac:dyDescent="0.3"/>
    <row r="877" s="3" customFormat="1" x14ac:dyDescent="0.3"/>
    <row r="878" s="3" customFormat="1" x14ac:dyDescent="0.3"/>
    <row r="879" s="3" customFormat="1" x14ac:dyDescent="0.3"/>
    <row r="880" s="3" customFormat="1" x14ac:dyDescent="0.3"/>
    <row r="881" s="3" customFormat="1" x14ac:dyDescent="0.3"/>
    <row r="882" s="3" customFormat="1" x14ac:dyDescent="0.3"/>
    <row r="883" s="3" customFormat="1" x14ac:dyDescent="0.3"/>
    <row r="884" s="3" customFormat="1" x14ac:dyDescent="0.3"/>
    <row r="885" s="3" customFormat="1" x14ac:dyDescent="0.3"/>
    <row r="886" s="3" customFormat="1" x14ac:dyDescent="0.3"/>
    <row r="887" s="3" customFormat="1" x14ac:dyDescent="0.3"/>
    <row r="888" s="3" customFormat="1" x14ac:dyDescent="0.3"/>
    <row r="889" s="3" customFormat="1" x14ac:dyDescent="0.3"/>
    <row r="890" s="3" customFormat="1" x14ac:dyDescent="0.3"/>
    <row r="891" s="3" customFormat="1" x14ac:dyDescent="0.3"/>
    <row r="892" s="3" customFormat="1" x14ac:dyDescent="0.3"/>
    <row r="893" s="3" customFormat="1" x14ac:dyDescent="0.3"/>
    <row r="894" s="3" customFormat="1" x14ac:dyDescent="0.3"/>
    <row r="895" s="3" customFormat="1" x14ac:dyDescent="0.3"/>
    <row r="896" s="3" customFormat="1" x14ac:dyDescent="0.3"/>
    <row r="897" s="3" customFormat="1" x14ac:dyDescent="0.3"/>
    <row r="898" s="3" customFormat="1" x14ac:dyDescent="0.3"/>
    <row r="899" s="3" customFormat="1" x14ac:dyDescent="0.3"/>
    <row r="900" s="3" customFormat="1" x14ac:dyDescent="0.3"/>
    <row r="901" s="3" customFormat="1" x14ac:dyDescent="0.3"/>
    <row r="902" s="3" customFormat="1" x14ac:dyDescent="0.3"/>
    <row r="903" s="3" customFormat="1" x14ac:dyDescent="0.3"/>
    <row r="904" s="3" customFormat="1" x14ac:dyDescent="0.3"/>
    <row r="905" s="3" customFormat="1" x14ac:dyDescent="0.3"/>
    <row r="906" s="3" customFormat="1" x14ac:dyDescent="0.3"/>
    <row r="907" s="3" customFormat="1" x14ac:dyDescent="0.3"/>
    <row r="908" s="3" customFormat="1" x14ac:dyDescent="0.3"/>
    <row r="909" s="3" customFormat="1" x14ac:dyDescent="0.3"/>
    <row r="910" s="3" customFormat="1" x14ac:dyDescent="0.3"/>
    <row r="911" s="3" customFormat="1" x14ac:dyDescent="0.3"/>
    <row r="912" s="3" customFormat="1" x14ac:dyDescent="0.3"/>
    <row r="913" s="3" customFormat="1" x14ac:dyDescent="0.3"/>
    <row r="914" s="3" customFormat="1" x14ac:dyDescent="0.3"/>
    <row r="915" s="3" customFormat="1" x14ac:dyDescent="0.3"/>
    <row r="916" s="3" customFormat="1" x14ac:dyDescent="0.3"/>
    <row r="917" s="3" customFormat="1" x14ac:dyDescent="0.3"/>
    <row r="918" s="3" customFormat="1" x14ac:dyDescent="0.3"/>
    <row r="919" s="3" customFormat="1" x14ac:dyDescent="0.3"/>
    <row r="920" s="3" customFormat="1" x14ac:dyDescent="0.3"/>
    <row r="921" s="3" customFormat="1" x14ac:dyDescent="0.3"/>
    <row r="922" s="3" customFormat="1" x14ac:dyDescent="0.3"/>
    <row r="923" s="3" customFormat="1" x14ac:dyDescent="0.3"/>
    <row r="924" s="3" customFormat="1" x14ac:dyDescent="0.3"/>
    <row r="925" s="3" customFormat="1" x14ac:dyDescent="0.3"/>
    <row r="926" s="3" customFormat="1" x14ac:dyDescent="0.3"/>
    <row r="927" s="3" customFormat="1" x14ac:dyDescent="0.3"/>
    <row r="928" s="3" customFormat="1" x14ac:dyDescent="0.3"/>
    <row r="929" s="3" customFormat="1" x14ac:dyDescent="0.3"/>
    <row r="930" s="3" customFormat="1" x14ac:dyDescent="0.3"/>
    <row r="931" s="3" customFormat="1" x14ac:dyDescent="0.3"/>
    <row r="932" s="3" customFormat="1" x14ac:dyDescent="0.3"/>
    <row r="933" s="3" customFormat="1" x14ac:dyDescent="0.3"/>
    <row r="934" s="3" customFormat="1" x14ac:dyDescent="0.3"/>
    <row r="935" s="3" customFormat="1" x14ac:dyDescent="0.3"/>
    <row r="936" s="3" customFormat="1" x14ac:dyDescent="0.3"/>
    <row r="937" s="3" customFormat="1" x14ac:dyDescent="0.3"/>
    <row r="938" s="3" customFormat="1" x14ac:dyDescent="0.3"/>
    <row r="939" s="3" customFormat="1" x14ac:dyDescent="0.3"/>
    <row r="940" s="3" customFormat="1" x14ac:dyDescent="0.3"/>
    <row r="941" s="3" customFormat="1" x14ac:dyDescent="0.3"/>
    <row r="942" s="3" customFormat="1" x14ac:dyDescent="0.3"/>
    <row r="943" s="3" customFormat="1" x14ac:dyDescent="0.3"/>
    <row r="944" s="3" customFormat="1" x14ac:dyDescent="0.3"/>
    <row r="945" s="3" customFormat="1" x14ac:dyDescent="0.3"/>
    <row r="946" s="3" customFormat="1" x14ac:dyDescent="0.3"/>
    <row r="947" s="3" customFormat="1" x14ac:dyDescent="0.3"/>
    <row r="948" s="3" customFormat="1" x14ac:dyDescent="0.3"/>
    <row r="949" s="3" customFormat="1" x14ac:dyDescent="0.3"/>
    <row r="950" s="3" customFormat="1" x14ac:dyDescent="0.3"/>
    <row r="951" s="3" customFormat="1" x14ac:dyDescent="0.3"/>
    <row r="952" s="3" customFormat="1" x14ac:dyDescent="0.3"/>
    <row r="953" s="3" customFormat="1" x14ac:dyDescent="0.3"/>
    <row r="954" s="3" customFormat="1" x14ac:dyDescent="0.3"/>
    <row r="955" s="3" customFormat="1" x14ac:dyDescent="0.3"/>
    <row r="956" s="3" customFormat="1" x14ac:dyDescent="0.3"/>
    <row r="957" s="3" customFormat="1" x14ac:dyDescent="0.3"/>
    <row r="958" s="3" customFormat="1" x14ac:dyDescent="0.3"/>
    <row r="959" s="3" customFormat="1" x14ac:dyDescent="0.3"/>
    <row r="960" s="3" customFormat="1" x14ac:dyDescent="0.3"/>
    <row r="961" s="3" customFormat="1" x14ac:dyDescent="0.3"/>
    <row r="962" s="3" customFormat="1" x14ac:dyDescent="0.3"/>
    <row r="963" s="3" customFormat="1" x14ac:dyDescent="0.3"/>
    <row r="964" s="3" customFormat="1" x14ac:dyDescent="0.3"/>
    <row r="965" s="3" customFormat="1" x14ac:dyDescent="0.3"/>
    <row r="966" s="3" customFormat="1" x14ac:dyDescent="0.3"/>
    <row r="967" s="3" customFormat="1" x14ac:dyDescent="0.3"/>
    <row r="968" s="3" customFormat="1" x14ac:dyDescent="0.3"/>
    <row r="969" s="3" customFormat="1" x14ac:dyDescent="0.3"/>
    <row r="970" s="3" customFormat="1" x14ac:dyDescent="0.3"/>
    <row r="971" s="3" customFormat="1" x14ac:dyDescent="0.3"/>
    <row r="972" s="3" customFormat="1" x14ac:dyDescent="0.3"/>
    <row r="973" s="3" customFormat="1" x14ac:dyDescent="0.3"/>
    <row r="974" s="3" customFormat="1" x14ac:dyDescent="0.3"/>
    <row r="975" s="3" customFormat="1" x14ac:dyDescent="0.3"/>
    <row r="976" s="3" customFormat="1" x14ac:dyDescent="0.3"/>
    <row r="977" s="3" customFormat="1" x14ac:dyDescent="0.3"/>
    <row r="978" s="3" customFormat="1" x14ac:dyDescent="0.3"/>
    <row r="979" s="3" customFormat="1" x14ac:dyDescent="0.3"/>
    <row r="980" s="3" customFormat="1" x14ac:dyDescent="0.3"/>
    <row r="981" s="3" customFormat="1" x14ac:dyDescent="0.3"/>
    <row r="982" s="3" customFormat="1" x14ac:dyDescent="0.3"/>
    <row r="983" s="3" customFormat="1" x14ac:dyDescent="0.3"/>
    <row r="984" s="3" customFormat="1" x14ac:dyDescent="0.3"/>
    <row r="985" s="3" customFormat="1" x14ac:dyDescent="0.3"/>
    <row r="986" s="3" customFormat="1" x14ac:dyDescent="0.3"/>
    <row r="987" s="3" customFormat="1" x14ac:dyDescent="0.3"/>
    <row r="988" s="3" customFormat="1" x14ac:dyDescent="0.3"/>
    <row r="989" s="3" customFormat="1" x14ac:dyDescent="0.3"/>
    <row r="990" s="3" customFormat="1" x14ac:dyDescent="0.3"/>
    <row r="991" s="3" customFormat="1" x14ac:dyDescent="0.3"/>
    <row r="992" s="3" customFormat="1" x14ac:dyDescent="0.3"/>
    <row r="993" s="3" customFormat="1" x14ac:dyDescent="0.3"/>
    <row r="994" s="3" customFormat="1" x14ac:dyDescent="0.3"/>
    <row r="995" s="3" customFormat="1" x14ac:dyDescent="0.3"/>
    <row r="996" s="3" customFormat="1" x14ac:dyDescent="0.3"/>
    <row r="997" s="3" customFormat="1" x14ac:dyDescent="0.3"/>
    <row r="998" s="3" customFormat="1" x14ac:dyDescent="0.3"/>
    <row r="999" s="3" customFormat="1" x14ac:dyDescent="0.3"/>
    <row r="1000" s="3" customForma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805">
      <colorScale>
        <cfvo type="num" val="5"/>
        <cfvo type="num" val="10"/>
        <color rgb="FFFF494D"/>
        <color rgb="FF00FF66"/>
      </colorScale>
    </cfRule>
    <cfRule type="colorScale" priority="28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1847" priority="2422" stopIfTrue="1" operator="between">
      <formula>8</formula>
      <formula>8.9</formula>
    </cfRule>
    <cfRule type="containsBlanks" dxfId="1846" priority="2425" stopIfTrue="1">
      <formula>LEN(TRIM(B3))=0</formula>
    </cfRule>
    <cfRule type="cellIs" dxfId="1845" priority="2424" stopIfTrue="1" operator="between">
      <formula>10</formula>
      <formula>10</formula>
    </cfRule>
    <cfRule type="cellIs" dxfId="1844" priority="2423" operator="between">
      <formula>9</formula>
      <formula>9.9</formula>
    </cfRule>
    <cfRule type="cellIs" dxfId="1843" priority="2383" operator="between">
      <formula>10.1</formula>
      <formula>10.6</formula>
    </cfRule>
    <cfRule type="cellIs" dxfId="1842" priority="2421" operator="between">
      <formula>7</formula>
      <formula>7.9</formula>
    </cfRule>
  </conditionalFormatting>
  <conditionalFormatting sqref="B17:B24">
    <cfRule type="cellIs" dxfId="1841" priority="2363" stopIfTrue="1" operator="between">
      <formula>10</formula>
      <formula>10</formula>
    </cfRule>
    <cfRule type="cellIs" dxfId="1840" priority="2362" operator="between">
      <formula>9</formula>
      <formula>9.9</formula>
    </cfRule>
    <cfRule type="cellIs" dxfId="1839" priority="2361" stopIfTrue="1" operator="between">
      <formula>8</formula>
      <formula>8.9</formula>
    </cfRule>
    <cfRule type="cellIs" dxfId="1838" priority="2360" operator="between">
      <formula>7</formula>
      <formula>7.9</formula>
    </cfRule>
    <cfRule type="cellIs" dxfId="1837" priority="2359" operator="between">
      <formula>10.1</formula>
      <formula>10.6</formula>
    </cfRule>
    <cfRule type="containsBlanks" dxfId="1836" priority="2364" stopIfTrue="1">
      <formula>LEN(TRIM(B17))=0</formula>
    </cfRule>
  </conditionalFormatting>
  <conditionalFormatting sqref="B27:B31">
    <cfRule type="cellIs" dxfId="1835" priority="2357" stopIfTrue="1" operator="between">
      <formula>10</formula>
      <formula>10</formula>
    </cfRule>
    <cfRule type="cellIs" dxfId="1834" priority="2354" operator="between">
      <formula>7</formula>
      <formula>7.9</formula>
    </cfRule>
    <cfRule type="cellIs" dxfId="1833" priority="2353" operator="between">
      <formula>10.1</formula>
      <formula>10.6</formula>
    </cfRule>
    <cfRule type="containsBlanks" dxfId="1832" priority="2358" stopIfTrue="1">
      <formula>LEN(TRIM(B27))=0</formula>
    </cfRule>
    <cfRule type="cellIs" dxfId="1831" priority="2356" operator="between">
      <formula>9</formula>
      <formula>9.9</formula>
    </cfRule>
    <cfRule type="cellIs" dxfId="1830" priority="2355" stopIfTrue="1" operator="between">
      <formula>8</formula>
      <formula>8.9</formula>
    </cfRule>
  </conditionalFormatting>
  <conditionalFormatting sqref="B33">
    <cfRule type="colorScale" priority="27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56">
      <colorScale>
        <cfvo type="num" val="5"/>
        <cfvo type="num" val="10"/>
        <color rgb="FFFF494D"/>
        <color rgb="FF00FF66"/>
      </colorScale>
    </cfRule>
  </conditionalFormatting>
  <conditionalFormatting sqref="B34:B45">
    <cfRule type="containsBlanks" dxfId="1829" priority="2352" stopIfTrue="1">
      <formula>LEN(TRIM(B34))=0</formula>
    </cfRule>
    <cfRule type="cellIs" dxfId="1828" priority="2351" stopIfTrue="1" operator="between">
      <formula>10</formula>
      <formula>10</formula>
    </cfRule>
    <cfRule type="cellIs" dxfId="1827" priority="2350" operator="between">
      <formula>9</formula>
      <formula>9.9</formula>
    </cfRule>
    <cfRule type="cellIs" dxfId="1826" priority="2349" stopIfTrue="1" operator="between">
      <formula>8</formula>
      <formula>8.9</formula>
    </cfRule>
    <cfRule type="cellIs" dxfId="1825" priority="2348" operator="between">
      <formula>7</formula>
      <formula>7.9</formula>
    </cfRule>
    <cfRule type="cellIs" dxfId="1824" priority="2347" operator="between">
      <formula>10.1</formula>
      <formula>10.6</formula>
    </cfRule>
  </conditionalFormatting>
  <conditionalFormatting sqref="B47">
    <cfRule type="colorScale" priority="2432">
      <colorScale>
        <cfvo type="num" val="5"/>
        <cfvo type="num" val="10"/>
        <color rgb="FFFF494D"/>
        <color rgb="FF00FF66"/>
      </colorScale>
    </cfRule>
    <cfRule type="colorScale" priority="24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1823" priority="2318" operator="between">
      <formula>7</formula>
      <formula>7.9</formula>
    </cfRule>
    <cfRule type="cellIs" dxfId="1822" priority="2319" stopIfTrue="1" operator="between">
      <formula>8</formula>
      <formula>8.9</formula>
    </cfRule>
    <cfRule type="cellIs" dxfId="1821" priority="2320" operator="between">
      <formula>9</formula>
      <formula>9.9</formula>
    </cfRule>
    <cfRule type="cellIs" dxfId="1820" priority="2321" stopIfTrue="1" operator="between">
      <formula>10</formula>
      <formula>10</formula>
    </cfRule>
    <cfRule type="containsBlanks" dxfId="1819" priority="2322" stopIfTrue="1">
      <formula>LEN(TRIM(B48))=0</formula>
    </cfRule>
    <cfRule type="cellIs" dxfId="1818" priority="2317" operator="between">
      <formula>10.1</formula>
      <formula>10.6</formula>
    </cfRule>
  </conditionalFormatting>
  <conditionalFormatting sqref="B59">
    <cfRule type="colorScale" priority="23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02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817" priority="2295" operator="between">
      <formula>10.1</formula>
      <formula>10.6</formula>
    </cfRule>
    <cfRule type="containsBlanks" dxfId="1816" priority="2300" stopIfTrue="1">
      <formula>LEN(TRIM(B60))=0</formula>
    </cfRule>
    <cfRule type="cellIs" dxfId="1815" priority="2298" operator="between">
      <formula>9</formula>
      <formula>9.9</formula>
    </cfRule>
    <cfRule type="cellIs" dxfId="1814" priority="2297" stopIfTrue="1" operator="between">
      <formula>8</formula>
      <formula>8.9</formula>
    </cfRule>
    <cfRule type="cellIs" dxfId="1813" priority="2296" operator="between">
      <formula>7</formula>
      <formula>7.9</formula>
    </cfRule>
    <cfRule type="cellIs" dxfId="1812" priority="2299" stopIfTrue="1" operator="between">
      <formula>10</formula>
      <formula>10</formula>
    </cfRule>
  </conditionalFormatting>
  <conditionalFormatting sqref="B70">
    <cfRule type="colorScale" priority="22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9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811" priority="2212" operator="between">
      <formula>9</formula>
      <formula>9.9</formula>
    </cfRule>
    <cfRule type="cellIs" dxfId="1810" priority="2213" stopIfTrue="1" operator="between">
      <formula>10</formula>
      <formula>10</formula>
    </cfRule>
    <cfRule type="containsBlanks" dxfId="1809" priority="2214" stopIfTrue="1">
      <formula>LEN(TRIM(B71))=0</formula>
    </cfRule>
    <cfRule type="cellIs" dxfId="1808" priority="2210" operator="between">
      <formula>7</formula>
      <formula>7.9</formula>
    </cfRule>
    <cfRule type="cellIs" dxfId="1807" priority="2209" operator="between">
      <formula>10.1</formula>
      <formula>10.6</formula>
    </cfRule>
    <cfRule type="cellIs" dxfId="1806" priority="2211" stopIfTrue="1" operator="between">
      <formula>8</formula>
      <formula>8.9</formula>
    </cfRule>
  </conditionalFormatting>
  <conditionalFormatting sqref="B73">
    <cfRule type="cellIs" dxfId="1805" priority="2208" operator="between">
      <formula>6</formula>
      <formula>6.9</formula>
    </cfRule>
  </conditionalFormatting>
  <conditionalFormatting sqref="B79">
    <cfRule type="colorScale" priority="2192">
      <colorScale>
        <cfvo type="num" val="5"/>
        <cfvo type="num" val="10"/>
        <color rgb="FFFF494D"/>
        <color rgb="FF00FF66"/>
      </colorScale>
    </cfRule>
    <cfRule type="colorScale" priority="21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1804" priority="2185" operator="between">
      <formula>10.1</formula>
      <formula>10.6</formula>
    </cfRule>
    <cfRule type="containsBlanks" dxfId="1803" priority="2190" stopIfTrue="1">
      <formula>LEN(TRIM(B80))=0</formula>
    </cfRule>
    <cfRule type="cellIs" dxfId="1802" priority="2189" stopIfTrue="1" operator="between">
      <formula>10</formula>
      <formula>10</formula>
    </cfRule>
    <cfRule type="cellIs" dxfId="1801" priority="2188" operator="between">
      <formula>9</formula>
      <formula>9.9</formula>
    </cfRule>
    <cfRule type="cellIs" dxfId="1800" priority="2187" stopIfTrue="1" operator="between">
      <formula>8</formula>
      <formula>8.9</formula>
    </cfRule>
    <cfRule type="cellIs" dxfId="1799" priority="2186" operator="between">
      <formula>7</formula>
      <formula>7.9</formula>
    </cfRule>
  </conditionalFormatting>
  <conditionalFormatting sqref="B93">
    <cfRule type="colorScale" priority="2145">
      <colorScale>
        <cfvo type="num" val="5"/>
        <cfvo type="num" val="10"/>
        <color rgb="FFFF494D"/>
        <color rgb="FF00FF66"/>
      </colorScale>
    </cfRule>
    <cfRule type="colorScale" priority="21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1798" priority="2138" operator="between">
      <formula>10.1</formula>
      <formula>10.6</formula>
    </cfRule>
    <cfRule type="cellIs" dxfId="1797" priority="2139" operator="between">
      <formula>7</formula>
      <formula>7.9</formula>
    </cfRule>
    <cfRule type="cellIs" dxfId="1796" priority="2141" operator="between">
      <formula>9</formula>
      <formula>9.9</formula>
    </cfRule>
    <cfRule type="cellIs" dxfId="1795" priority="2142" stopIfTrue="1" operator="between">
      <formula>10</formula>
      <formula>10</formula>
    </cfRule>
    <cfRule type="cellIs" dxfId="1794" priority="2140" stopIfTrue="1" operator="between">
      <formula>8</formula>
      <formula>8.9</formula>
    </cfRule>
    <cfRule type="containsBlanks" dxfId="1793" priority="2143" stopIfTrue="1">
      <formula>LEN(TRIM(B94))=0</formula>
    </cfRule>
  </conditionalFormatting>
  <conditionalFormatting sqref="B103">
    <cfRule type="colorScale" priority="20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6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792" priority="2092" operator="between">
      <formula>9</formula>
      <formula>9.9</formula>
    </cfRule>
    <cfRule type="cellIs" dxfId="1791" priority="2093" stopIfTrue="1" operator="between">
      <formula>10</formula>
      <formula>10</formula>
    </cfRule>
    <cfRule type="containsBlanks" dxfId="1790" priority="2094" stopIfTrue="1">
      <formula>LEN(TRIM(B104))=0</formula>
    </cfRule>
    <cfRule type="cellIs" dxfId="1789" priority="2089" operator="between">
      <formula>10.1</formula>
      <formula>10.6</formula>
    </cfRule>
    <cfRule type="cellIs" dxfId="1788" priority="2090" operator="between">
      <formula>7</formula>
      <formula>7.9</formula>
    </cfRule>
    <cfRule type="cellIs" dxfId="1787" priority="2091" stopIfTrue="1" operator="between">
      <formula>8</formula>
      <formula>8.9</formula>
    </cfRule>
  </conditionalFormatting>
  <conditionalFormatting sqref="B114">
    <cfRule type="colorScale" priority="20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57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786" priority="2047" operator="between">
      <formula>9</formula>
      <formula>9.9</formula>
    </cfRule>
    <cfRule type="cellIs" dxfId="1785" priority="2046" stopIfTrue="1" operator="between">
      <formula>8</formula>
      <formula>8.9</formula>
    </cfRule>
    <cfRule type="cellIs" dxfId="1784" priority="2045" operator="between">
      <formula>7</formula>
      <formula>7.9</formula>
    </cfRule>
    <cfRule type="cellIs" dxfId="1783" priority="2044" operator="between">
      <formula>10.1</formula>
      <formula>10.6</formula>
    </cfRule>
    <cfRule type="cellIs" dxfId="1782" priority="2043" operator="between">
      <formula>6</formula>
      <formula>6.9</formula>
    </cfRule>
    <cfRule type="containsBlanks" dxfId="1781" priority="2049" stopIfTrue="1">
      <formula>LEN(TRIM(B115))=0</formula>
    </cfRule>
    <cfRule type="cellIs" dxfId="1780" priority="2048" stopIfTrue="1" operator="between">
      <formula>10</formula>
      <formula>10</formula>
    </cfRule>
  </conditionalFormatting>
  <conditionalFormatting sqref="B134">
    <cfRule type="colorScale" priority="1974">
      <colorScale>
        <cfvo type="num" val="5"/>
        <cfvo type="num" val="10"/>
        <color rgb="FFFF494D"/>
        <color rgb="FF00FF66"/>
      </colorScale>
    </cfRule>
    <cfRule type="colorScale" priority="19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1779" priority="1970" operator="between">
      <formula>9</formula>
      <formula>9.9</formula>
    </cfRule>
    <cfRule type="containsBlanks" dxfId="1778" priority="1972" stopIfTrue="1">
      <formula>LEN(TRIM(B135))=0</formula>
    </cfRule>
    <cfRule type="cellIs" dxfId="1777" priority="1971" stopIfTrue="1" operator="between">
      <formula>10</formula>
      <formula>10</formula>
    </cfRule>
    <cfRule type="cellIs" dxfId="1776" priority="1969" stopIfTrue="1" operator="between">
      <formula>8</formula>
      <formula>8.9</formula>
    </cfRule>
    <cfRule type="cellIs" dxfId="1775" priority="1968" operator="between">
      <formula>7</formula>
      <formula>7.9</formula>
    </cfRule>
    <cfRule type="cellIs" dxfId="1774" priority="1967" operator="between">
      <formula>10.1</formula>
      <formula>10.6</formula>
    </cfRule>
    <cfRule type="cellIs" dxfId="1773" priority="1966" operator="between">
      <formula>6</formula>
      <formula>6.9</formula>
    </cfRule>
  </conditionalFormatting>
  <conditionalFormatting sqref="B145">
    <cfRule type="colorScale" priority="1929">
      <colorScale>
        <cfvo type="num" val="5"/>
        <cfvo type="num" val="10"/>
        <color rgb="FFFF494D"/>
        <color rgb="FF00FF66"/>
      </colorScale>
    </cfRule>
    <cfRule type="colorScale" priority="19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1772" priority="1926" stopIfTrue="1" operator="between">
      <formula>10</formula>
      <formula>10</formula>
    </cfRule>
    <cfRule type="cellIs" dxfId="1771" priority="1925" operator="between">
      <formula>9</formula>
      <formula>9.9</formula>
    </cfRule>
    <cfRule type="cellIs" dxfId="1770" priority="1921" operator="between">
      <formula>6</formula>
      <formula>6.9</formula>
    </cfRule>
    <cfRule type="cellIs" dxfId="1769" priority="1924" stopIfTrue="1" operator="between">
      <formula>8</formula>
      <formula>8.9</formula>
    </cfRule>
    <cfRule type="containsBlanks" dxfId="1768" priority="1927" stopIfTrue="1">
      <formula>LEN(TRIM(B146))=0</formula>
    </cfRule>
    <cfRule type="cellIs" dxfId="1767" priority="1923" operator="between">
      <formula>7</formula>
      <formula>7.9</formula>
    </cfRule>
    <cfRule type="cellIs" dxfId="1766" priority="1922" operator="between">
      <formula>10.1</formula>
      <formula>10.6</formula>
    </cfRule>
  </conditionalFormatting>
  <conditionalFormatting sqref="B162">
    <cfRule type="colorScale" priority="1859">
      <colorScale>
        <cfvo type="num" val="5"/>
        <cfvo type="num" val="10"/>
        <color rgb="FFFF494D"/>
        <color rgb="FF00FF66"/>
      </colorScale>
    </cfRule>
    <cfRule type="colorScale" priority="18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ontainsBlanks" dxfId="1765" priority="1866" stopIfTrue="1">
      <formula>LEN(TRIM(B163))=0</formula>
    </cfRule>
    <cfRule type="cellIs" dxfId="1764" priority="1865" stopIfTrue="1" operator="between">
      <formula>10</formula>
      <formula>10</formula>
    </cfRule>
    <cfRule type="cellIs" dxfId="1763" priority="1860" operator="between">
      <formula>6</formula>
      <formula>6.9</formula>
    </cfRule>
    <cfRule type="cellIs" dxfId="1762" priority="1861" operator="between">
      <formula>10.1</formula>
      <formula>10.6</formula>
    </cfRule>
    <cfRule type="cellIs" dxfId="1761" priority="1862" operator="between">
      <formula>7</formula>
      <formula>7.9</formula>
    </cfRule>
    <cfRule type="cellIs" dxfId="1760" priority="1864" operator="between">
      <formula>9</formula>
      <formula>9.9</formula>
    </cfRule>
    <cfRule type="cellIs" dxfId="1759" priority="1863" stopIfTrue="1" operator="between">
      <formula>8</formula>
      <formula>8.9</formula>
    </cfRule>
  </conditionalFormatting>
  <conditionalFormatting sqref="B172">
    <cfRule type="colorScale" priority="1830">
      <colorScale>
        <cfvo type="num" val="5"/>
        <cfvo type="num" val="10"/>
        <color rgb="FFFF494D"/>
        <color rgb="FF00FF66"/>
      </colorScale>
    </cfRule>
    <cfRule type="colorScale" priority="18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758" priority="1827" stopIfTrue="1" operator="between">
      <formula>10</formula>
      <formula>10</formula>
    </cfRule>
    <cfRule type="cellIs" dxfId="1757" priority="1824" operator="between">
      <formula>7</formula>
      <formula>7.9</formula>
    </cfRule>
    <cfRule type="containsBlanks" dxfId="1756" priority="1828" stopIfTrue="1">
      <formula>LEN(TRIM(B173))=0</formula>
    </cfRule>
    <cfRule type="cellIs" dxfId="1755" priority="1826" operator="between">
      <formula>9</formula>
      <formula>9.9</formula>
    </cfRule>
    <cfRule type="cellIs" dxfId="1754" priority="1825" stopIfTrue="1" operator="between">
      <formula>8</formula>
      <formula>8.9</formula>
    </cfRule>
    <cfRule type="cellIs" dxfId="1753" priority="1823" operator="between">
      <formula>10.1</formula>
      <formula>10.6</formula>
    </cfRule>
    <cfRule type="cellIs" dxfId="1752" priority="1822" operator="between">
      <formula>6</formula>
      <formula>6.9</formula>
    </cfRule>
  </conditionalFormatting>
  <conditionalFormatting sqref="B185">
    <cfRule type="colorScale" priority="1792">
      <colorScale>
        <cfvo type="num" val="5"/>
        <cfvo type="num" val="10"/>
        <color rgb="FFFF494D"/>
        <color rgb="FF00FF66"/>
      </colorScale>
    </cfRule>
    <cfRule type="colorScale" priority="17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1751" priority="1785" operator="between">
      <formula>10.1</formula>
      <formula>10.6</formula>
    </cfRule>
    <cfRule type="cellIs" dxfId="1750" priority="1786" operator="between">
      <formula>7</formula>
      <formula>7.9</formula>
    </cfRule>
    <cfRule type="cellIs" dxfId="1749" priority="1787" stopIfTrue="1" operator="between">
      <formula>8</formula>
      <formula>8.9</formula>
    </cfRule>
    <cfRule type="cellIs" dxfId="1748" priority="1788" operator="between">
      <formula>9</formula>
      <formula>9.9</formula>
    </cfRule>
    <cfRule type="cellIs" dxfId="1747" priority="1789" stopIfTrue="1" operator="between">
      <formula>10</formula>
      <formula>10</formula>
    </cfRule>
    <cfRule type="cellIs" dxfId="1746" priority="1784" operator="between">
      <formula>6</formula>
      <formula>6.9</formula>
    </cfRule>
    <cfRule type="containsBlanks" dxfId="1745" priority="1790" stopIfTrue="1">
      <formula>LEN(TRIM(B186))=0</formula>
    </cfRule>
  </conditionalFormatting>
  <conditionalFormatting sqref="B196">
    <cfRule type="colorScale" priority="1734">
      <colorScale>
        <cfvo type="num" val="5"/>
        <cfvo type="num" val="10"/>
        <color rgb="FFFF494D"/>
        <color rgb="FF00FF66"/>
      </colorScale>
    </cfRule>
    <cfRule type="colorScale" priority="17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1744" priority="1737" operator="between">
      <formula>7</formula>
      <formula>7.9</formula>
    </cfRule>
    <cfRule type="cellIs" dxfId="1743" priority="1736" operator="between">
      <formula>10.1</formula>
      <formula>10.6</formula>
    </cfRule>
    <cfRule type="cellIs" dxfId="1742" priority="1735" operator="between">
      <formula>6</formula>
      <formula>6.9</formula>
    </cfRule>
    <cfRule type="cellIs" dxfId="1741" priority="1739" operator="between">
      <formula>9</formula>
      <formula>9.9</formula>
    </cfRule>
    <cfRule type="cellIs" dxfId="1740" priority="1740" stopIfTrue="1" operator="between">
      <formula>10</formula>
      <formula>10</formula>
    </cfRule>
    <cfRule type="cellIs" dxfId="1739" priority="1738" stopIfTrue="1" operator="between">
      <formula>8</formula>
      <formula>8.9</formula>
    </cfRule>
    <cfRule type="containsBlanks" dxfId="1738" priority="1741" stopIfTrue="1">
      <formula>LEN(TRIM(B197))=0</formula>
    </cfRule>
  </conditionalFormatting>
  <conditionalFormatting sqref="B213">
    <cfRule type="colorScale" priority="1667">
      <colorScale>
        <cfvo type="num" val="5"/>
        <cfvo type="num" val="10"/>
        <color rgb="FFFF494D"/>
        <color rgb="FF00FF66"/>
      </colorScale>
    </cfRule>
    <cfRule type="colorScale" priority="16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ontainsBlanks" dxfId="1737" priority="1665" stopIfTrue="1">
      <formula>LEN(TRIM(B214))=0</formula>
    </cfRule>
    <cfRule type="cellIs" dxfId="1736" priority="1664" stopIfTrue="1" operator="between">
      <formula>10</formula>
      <formula>10</formula>
    </cfRule>
    <cfRule type="cellIs" dxfId="1735" priority="1663" operator="between">
      <formula>9</formula>
      <formula>9.9</formula>
    </cfRule>
    <cfRule type="cellIs" dxfId="1734" priority="1661" operator="between">
      <formula>7</formula>
      <formula>7.9</formula>
    </cfRule>
    <cfRule type="cellIs" dxfId="1733" priority="1660" operator="between">
      <formula>10.1</formula>
      <formula>10.6</formula>
    </cfRule>
    <cfRule type="cellIs" dxfId="1732" priority="1659" operator="between">
      <formula>6</formula>
      <formula>6.9</formula>
    </cfRule>
    <cfRule type="cellIs" dxfId="1731" priority="1662" stopIfTrue="1" operator="between">
      <formula>8</formula>
      <formula>8.9</formula>
    </cfRule>
  </conditionalFormatting>
  <conditionalFormatting sqref="B226">
    <cfRule type="colorScale" priority="1640">
      <colorScale>
        <cfvo type="num" val="5"/>
        <cfvo type="num" val="10"/>
        <color rgb="FFFF494D"/>
        <color rgb="FF00FF66"/>
      </colorScale>
    </cfRule>
    <cfRule type="colorScale" priority="16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16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1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730" priority="1598" operator="between">
      <formula>7</formula>
      <formula>7.9</formula>
    </cfRule>
    <cfRule type="cellIs" dxfId="1729" priority="1599" stopIfTrue="1" operator="between">
      <formula>8</formula>
      <formula>8.9</formula>
    </cfRule>
    <cfRule type="cellIs" dxfId="1728" priority="1600" operator="between">
      <formula>9</formula>
      <formula>9.9</formula>
    </cfRule>
    <cfRule type="cellIs" dxfId="1727" priority="1601" stopIfTrue="1" operator="between">
      <formula>10</formula>
      <formula>10</formula>
    </cfRule>
    <cfRule type="containsBlanks" dxfId="1726" priority="1602" stopIfTrue="1">
      <formula>LEN(TRIM(B236))=0</formula>
    </cfRule>
    <cfRule type="cellIs" dxfId="1725" priority="1596" operator="between">
      <formula>6</formula>
      <formula>6.9</formula>
    </cfRule>
    <cfRule type="cellIs" dxfId="1724" priority="1597" operator="between">
      <formula>10.1</formula>
      <formula>10.6</formula>
    </cfRule>
  </conditionalFormatting>
  <conditionalFormatting sqref="B246">
    <cfRule type="colorScale" priority="1559">
      <colorScale>
        <cfvo type="num" val="5"/>
        <cfvo type="num" val="10"/>
        <color rgb="FFFF494D"/>
        <color rgb="FF00FF66"/>
      </colorScale>
    </cfRule>
    <cfRule type="colorScale" priority="15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1723" priority="1555" operator="between">
      <formula>9</formula>
      <formula>9.9</formula>
    </cfRule>
    <cfRule type="cellIs" dxfId="1722" priority="1554" stopIfTrue="1" operator="between">
      <formula>8</formula>
      <formula>8.9</formula>
    </cfRule>
    <cfRule type="cellIs" dxfId="1721" priority="1553" operator="between">
      <formula>7</formula>
      <formula>7.9</formula>
    </cfRule>
    <cfRule type="cellIs" dxfId="1720" priority="1552" operator="between">
      <formula>10.1</formula>
      <formula>10.6</formula>
    </cfRule>
    <cfRule type="cellIs" dxfId="1719" priority="1551" operator="between">
      <formula>6</formula>
      <formula>6.9</formula>
    </cfRule>
    <cfRule type="containsBlanks" dxfId="1718" priority="1557" stopIfTrue="1">
      <formula>LEN(TRIM(B247))=0</formula>
    </cfRule>
    <cfRule type="cellIs" dxfId="1717" priority="1556" stopIfTrue="1" operator="between">
      <formula>10</formula>
      <formula>10</formula>
    </cfRule>
  </conditionalFormatting>
  <conditionalFormatting sqref="B260">
    <cfRule type="colorScale" priority="1512">
      <colorScale>
        <cfvo type="num" val="5"/>
        <cfvo type="num" val="10"/>
        <color rgb="FFFF494D"/>
        <color rgb="FF00FF66"/>
      </colorScale>
    </cfRule>
    <cfRule type="colorScale" priority="15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ellIs" dxfId="1716" priority="1515" operator="between">
      <formula>7</formula>
      <formula>7.9</formula>
    </cfRule>
    <cfRule type="cellIs" dxfId="1715" priority="1516" stopIfTrue="1" operator="between">
      <formula>8</formula>
      <formula>8.9</formula>
    </cfRule>
    <cfRule type="cellIs" dxfId="1714" priority="1514" operator="between">
      <formula>10.1</formula>
      <formula>10.6</formula>
    </cfRule>
    <cfRule type="cellIs" dxfId="1713" priority="1513" operator="between">
      <formula>6</formula>
      <formula>6.9</formula>
    </cfRule>
    <cfRule type="containsBlanks" dxfId="1712" priority="1519" stopIfTrue="1">
      <formula>LEN(TRIM(B261))=0</formula>
    </cfRule>
    <cfRule type="cellIs" dxfId="1711" priority="1518" stopIfTrue="1" operator="between">
      <formula>10</formula>
      <formula>10</formula>
    </cfRule>
    <cfRule type="cellIs" dxfId="1710" priority="1517" operator="between">
      <formula>9</formula>
      <formula>9.9</formula>
    </cfRule>
  </conditionalFormatting>
  <conditionalFormatting sqref="B272">
    <cfRule type="colorScale" priority="14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0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709" priority="1475" operator="between">
      <formula>9</formula>
      <formula>9.9</formula>
    </cfRule>
    <cfRule type="cellIs" dxfId="1708" priority="1474" stopIfTrue="1" operator="between">
      <formula>8</formula>
      <formula>8.9</formula>
    </cfRule>
    <cfRule type="cellIs" dxfId="1707" priority="1473" operator="between">
      <formula>7</formula>
      <formula>7.9</formula>
    </cfRule>
    <cfRule type="cellIs" dxfId="1706" priority="1472" operator="between">
      <formula>10.1</formula>
      <formula>10.6</formula>
    </cfRule>
    <cfRule type="cellIs" dxfId="1705" priority="1471" operator="between">
      <formula>6</formula>
      <formula>6.9</formula>
    </cfRule>
    <cfRule type="containsBlanks" dxfId="1704" priority="1477" stopIfTrue="1">
      <formula>LEN(TRIM(B273))=0</formula>
    </cfRule>
    <cfRule type="cellIs" dxfId="1703" priority="1476" stopIfTrue="1" operator="between">
      <formula>10</formula>
      <formula>10</formula>
    </cfRule>
  </conditionalFormatting>
  <conditionalFormatting sqref="B279">
    <cfRule type="colorScale" priority="1431">
      <colorScale>
        <cfvo type="num" val="5"/>
        <cfvo type="num" val="10"/>
        <color rgb="FFFF494D"/>
        <color rgb="FF00FF66"/>
      </colorScale>
    </cfRule>
    <cfRule type="colorScale" priority="14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ellIs" dxfId="1702" priority="1426" stopIfTrue="1" operator="between">
      <formula>8</formula>
      <formula>8.9</formula>
    </cfRule>
    <cfRule type="cellIs" dxfId="1701" priority="1425" operator="between">
      <formula>7</formula>
      <formula>7.9</formula>
    </cfRule>
    <cfRule type="cellIs" dxfId="1700" priority="1424" operator="between">
      <formula>10.1</formula>
      <formula>10.6</formula>
    </cfRule>
    <cfRule type="cellIs" dxfId="1699" priority="1423" operator="between">
      <formula>6</formula>
      <formula>6.9</formula>
    </cfRule>
    <cfRule type="cellIs" dxfId="1698" priority="1428" stopIfTrue="1" operator="between">
      <formula>10</formula>
      <formula>10</formula>
    </cfRule>
    <cfRule type="containsBlanks" dxfId="1697" priority="1429" stopIfTrue="1">
      <formula>LEN(TRIM(B280))=0</formula>
    </cfRule>
    <cfRule type="cellIs" dxfId="1696" priority="1427" operator="between">
      <formula>9</formula>
      <formula>9.9</formula>
    </cfRule>
  </conditionalFormatting>
  <conditionalFormatting sqref="B309">
    <cfRule type="colorScale" priority="13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0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695" priority="1317" stopIfTrue="1" operator="between">
      <formula>10</formula>
      <formula>10</formula>
    </cfRule>
    <cfRule type="cellIs" dxfId="1694" priority="1316" operator="between">
      <formula>9</formula>
      <formula>9.9</formula>
    </cfRule>
    <cfRule type="containsBlanks" dxfId="1693" priority="1318" stopIfTrue="1">
      <formula>LEN(TRIM(B310))=0</formula>
    </cfRule>
    <cfRule type="cellIs" dxfId="1692" priority="1312" operator="between">
      <formula>6</formula>
      <formula>6.9</formula>
    </cfRule>
    <cfRule type="cellIs" dxfId="1691" priority="1315" stopIfTrue="1" operator="between">
      <formula>8</formula>
      <formula>8.9</formula>
    </cfRule>
    <cfRule type="cellIs" dxfId="1690" priority="1314" operator="between">
      <formula>7</formula>
      <formula>7.9</formula>
    </cfRule>
    <cfRule type="cellIs" dxfId="1689" priority="1313" operator="between">
      <formula>10.1</formula>
      <formula>10.6</formula>
    </cfRule>
  </conditionalFormatting>
  <conditionalFormatting sqref="B322">
    <cfRule type="colorScale" priority="1256">
      <colorScale>
        <cfvo type="num" val="5"/>
        <cfvo type="num" val="10"/>
        <color rgb="FFFF494D"/>
        <color rgb="FF00FF66"/>
      </colorScale>
    </cfRule>
    <cfRule type="colorScale" priority="12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1688" priority="1248" operator="between">
      <formula>2</formula>
      <formula>4.9</formula>
    </cfRule>
    <cfRule type="cellIs" dxfId="1687" priority="1254" stopIfTrue="1" operator="between">
      <formula>10</formula>
      <formula>10</formula>
    </cfRule>
    <cfRule type="cellIs" dxfId="1686" priority="1253" operator="between">
      <formula>9</formula>
      <formula>9.9</formula>
    </cfRule>
    <cfRule type="cellIs" dxfId="1685" priority="1252" stopIfTrue="1" operator="between">
      <formula>8</formula>
      <formula>8.9</formula>
    </cfRule>
    <cfRule type="cellIs" dxfId="1684" priority="1251" operator="between">
      <formula>7</formula>
      <formula>7.9</formula>
    </cfRule>
    <cfRule type="cellIs" dxfId="1683" priority="1250" operator="between">
      <formula>10.1</formula>
      <formula>10.6</formula>
    </cfRule>
    <cfRule type="cellIs" dxfId="1682" priority="1249" operator="between">
      <formula>5</formula>
      <formula>6.9</formula>
    </cfRule>
    <cfRule type="cellIs" dxfId="1681" priority="1247" operator="lessThan">
      <formula>2</formula>
    </cfRule>
    <cfRule type="containsBlanks" dxfId="1680" priority="1246" stopIfTrue="1">
      <formula>LEN(TRIM(B323))=0</formula>
    </cfRule>
  </conditionalFormatting>
  <conditionalFormatting sqref="B343">
    <cfRule type="colorScale" priority="1159">
      <colorScale>
        <cfvo type="num" val="5"/>
        <cfvo type="num" val="10"/>
        <color rgb="FFFF494D"/>
        <color rgb="FF00FF66"/>
      </colorScale>
    </cfRule>
    <cfRule type="colorScale" priority="11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4:B358 B361:B377">
    <cfRule type="cellIs" dxfId="1679" priority="1164" operator="between">
      <formula>10.1</formula>
      <formula>10.6</formula>
    </cfRule>
    <cfRule type="cellIs" dxfId="1678" priority="1163" operator="between">
      <formula>5</formula>
      <formula>6.9</formula>
    </cfRule>
    <cfRule type="cellIs" dxfId="1677" priority="1162" operator="between">
      <formula>2</formula>
      <formula>4.9</formula>
    </cfRule>
    <cfRule type="cellIs" dxfId="1676" priority="1161" operator="lessThan">
      <formula>2</formula>
    </cfRule>
    <cfRule type="containsBlanks" dxfId="1675" priority="1160" stopIfTrue="1">
      <formula>LEN(TRIM(B344))=0</formula>
    </cfRule>
    <cfRule type="cellIs" dxfId="1674" priority="1168" stopIfTrue="1" operator="between">
      <formula>10</formula>
      <formula>10</formula>
    </cfRule>
    <cfRule type="cellIs" dxfId="1673" priority="1167" operator="between">
      <formula>9</formula>
      <formula>9.9</formula>
    </cfRule>
    <cfRule type="cellIs" dxfId="1672" priority="1166" stopIfTrue="1" operator="between">
      <formula>8</formula>
      <formula>8.9</formula>
    </cfRule>
    <cfRule type="cellIs" dxfId="1671" priority="1165" operator="between">
      <formula>7</formula>
      <formula>7.9</formula>
    </cfRule>
  </conditionalFormatting>
  <conditionalFormatting sqref="B360">
    <cfRule type="colorScale" priority="11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4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1033">
      <colorScale>
        <cfvo type="num" val="5"/>
        <cfvo type="num" val="10"/>
        <color rgb="FFFF494D"/>
        <color rgb="FF00FF66"/>
      </colorScale>
    </cfRule>
    <cfRule type="colorScale" priority="10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1670" priority="1029" stopIfTrue="1" operator="between">
      <formula>8</formula>
      <formula>8.9</formula>
    </cfRule>
    <cfRule type="cellIs" dxfId="1669" priority="1030" operator="between">
      <formula>9</formula>
      <formula>9.9</formula>
    </cfRule>
    <cfRule type="cellIs" dxfId="1668" priority="1031" stopIfTrue="1" operator="between">
      <formula>10</formula>
      <formula>10</formula>
    </cfRule>
    <cfRule type="cellIs" dxfId="1667" priority="1025" operator="between">
      <formula>2</formula>
      <formula>4.9</formula>
    </cfRule>
    <cfRule type="containsBlanks" dxfId="1666" priority="1023" stopIfTrue="1">
      <formula>LEN(TRIM(B380))=0</formula>
    </cfRule>
    <cfRule type="cellIs" dxfId="1665" priority="1024" operator="lessThan">
      <formula>2</formula>
    </cfRule>
    <cfRule type="cellIs" dxfId="1664" priority="1026" operator="between">
      <formula>5</formula>
      <formula>6.9</formula>
    </cfRule>
    <cfRule type="cellIs" dxfId="1663" priority="1027" operator="between">
      <formula>10.1</formula>
      <formula>10.6</formula>
    </cfRule>
    <cfRule type="cellIs" dxfId="1662" priority="1028" operator="between">
      <formula>7</formula>
      <formula>7.9</formula>
    </cfRule>
  </conditionalFormatting>
  <conditionalFormatting sqref="B389">
    <cfRule type="colorScale" priority="9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8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ellIs" dxfId="1661" priority="964" operator="between">
      <formula>7</formula>
      <formula>7.9</formula>
    </cfRule>
    <cfRule type="cellIs" dxfId="1660" priority="962" operator="between">
      <formula>5</formula>
      <formula>6.9</formula>
    </cfRule>
    <cfRule type="cellIs" dxfId="1659" priority="963" operator="between">
      <formula>10.1</formula>
      <formula>10.6</formula>
    </cfRule>
    <cfRule type="cellIs" dxfId="1658" priority="967" stopIfTrue="1" operator="between">
      <formula>10</formula>
      <formula>10</formula>
    </cfRule>
    <cfRule type="cellIs" dxfId="1657" priority="966" operator="between">
      <formula>9</formula>
      <formula>9.9</formula>
    </cfRule>
    <cfRule type="cellIs" dxfId="1656" priority="965" stopIfTrue="1" operator="between">
      <formula>8</formula>
      <formula>8.9</formula>
    </cfRule>
    <cfRule type="containsBlanks" dxfId="1655" priority="959" stopIfTrue="1">
      <formula>LEN(TRIM(B390))=0</formula>
    </cfRule>
    <cfRule type="cellIs" dxfId="1654" priority="960" operator="lessThan">
      <formula>2</formula>
    </cfRule>
    <cfRule type="cellIs" dxfId="1653" priority="961" operator="between">
      <formula>2</formula>
      <formula>4.9</formula>
    </cfRule>
  </conditionalFormatting>
  <conditionalFormatting sqref="B401">
    <cfRule type="colorScale" priority="9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3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ellIs" dxfId="1652" priority="921" stopIfTrue="1" operator="between">
      <formula>10</formula>
      <formula>10</formula>
    </cfRule>
    <cfRule type="cellIs" dxfId="1651" priority="919" stopIfTrue="1" operator="between">
      <formula>8</formula>
      <formula>8.9</formula>
    </cfRule>
    <cfRule type="containsBlanks" dxfId="1650" priority="913" stopIfTrue="1">
      <formula>LEN(TRIM(B402))=0</formula>
    </cfRule>
    <cfRule type="cellIs" dxfId="1649" priority="914" operator="lessThan">
      <formula>2</formula>
    </cfRule>
    <cfRule type="cellIs" dxfId="1648" priority="915" operator="between">
      <formula>2</formula>
      <formula>4.9</formula>
    </cfRule>
    <cfRule type="cellIs" dxfId="1647" priority="916" operator="between">
      <formula>5</formula>
      <formula>6.9</formula>
    </cfRule>
    <cfRule type="cellIs" dxfId="1646" priority="917" operator="between">
      <formula>10.1</formula>
      <formula>10.6</formula>
    </cfRule>
    <cfRule type="cellIs" dxfId="1645" priority="918" operator="between">
      <formula>7</formula>
      <formula>7.9</formula>
    </cfRule>
    <cfRule type="cellIs" dxfId="1644" priority="920" operator="between">
      <formula>9</formula>
      <formula>9.9</formula>
    </cfRule>
  </conditionalFormatting>
  <conditionalFormatting sqref="B409">
    <cfRule type="colorScale" priority="881">
      <colorScale>
        <cfvo type="num" val="5"/>
        <cfvo type="num" val="10"/>
        <color rgb="FFFF494D"/>
        <color rgb="FF00FF66"/>
      </colorScale>
    </cfRule>
    <cfRule type="colorScale" priority="8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10:B426">
    <cfRule type="cellIs" dxfId="1643" priority="888" stopIfTrue="1" operator="between">
      <formula>8</formula>
      <formula>8.9</formula>
    </cfRule>
    <cfRule type="containsBlanks" dxfId="1642" priority="882" stopIfTrue="1">
      <formula>LEN(TRIM(B410))=0</formula>
    </cfRule>
    <cfRule type="cellIs" dxfId="1641" priority="883" operator="lessThan">
      <formula>2</formula>
    </cfRule>
    <cfRule type="cellIs" dxfId="1640" priority="889" operator="between">
      <formula>9</formula>
      <formula>9.9</formula>
    </cfRule>
    <cfRule type="cellIs" dxfId="1639" priority="887" operator="between">
      <formula>7</formula>
      <formula>7.9</formula>
    </cfRule>
    <cfRule type="cellIs" dxfId="1638" priority="886" operator="between">
      <formula>10.1</formula>
      <formula>10.6</formula>
    </cfRule>
    <cfRule type="cellIs" dxfId="1637" priority="885" operator="between">
      <formula>5</formula>
      <formula>6.9</formula>
    </cfRule>
    <cfRule type="cellIs" dxfId="1636" priority="884" operator="between">
      <formula>2</formula>
      <formula>4.9</formula>
    </cfRule>
    <cfRule type="cellIs" dxfId="1635" priority="890" stopIfTrue="1" operator="between">
      <formula>10</formula>
      <formula>10</formula>
    </cfRule>
  </conditionalFormatting>
  <conditionalFormatting sqref="B428">
    <cfRule type="colorScale" priority="7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0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1634" priority="771" stopIfTrue="1">
      <formula>LEN(TRIM(B429))=0</formula>
    </cfRule>
    <cfRule type="cellIs" dxfId="1633" priority="772" operator="lessThan">
      <formula>2</formula>
    </cfRule>
    <cfRule type="cellIs" dxfId="1632" priority="773" operator="between">
      <formula>2</formula>
      <formula>4.9</formula>
    </cfRule>
    <cfRule type="cellIs" dxfId="1631" priority="774" operator="between">
      <formula>5</formula>
      <formula>6.9</formula>
    </cfRule>
    <cfRule type="cellIs" dxfId="1630" priority="775" operator="between">
      <formula>10.1</formula>
      <formula>10.6</formula>
    </cfRule>
    <cfRule type="cellIs" dxfId="1629" priority="776" operator="between">
      <formula>7</formula>
      <formula>7.9</formula>
    </cfRule>
    <cfRule type="cellIs" dxfId="1628" priority="777" stopIfTrue="1" operator="between">
      <formula>8</formula>
      <formula>8.9</formula>
    </cfRule>
    <cfRule type="cellIs" dxfId="1627" priority="778" operator="between">
      <formula>9</formula>
      <formula>9.9</formula>
    </cfRule>
    <cfRule type="cellIs" dxfId="1626" priority="779" stopIfTrue="1" operator="between">
      <formula>10</formula>
      <formula>10</formula>
    </cfRule>
  </conditionalFormatting>
  <conditionalFormatting sqref="B441">
    <cfRule type="colorScale" priority="715">
      <colorScale>
        <cfvo type="num" val="5"/>
        <cfvo type="num" val="10"/>
        <color rgb="FFFF494D"/>
        <color rgb="FF00FF66"/>
      </colorScale>
    </cfRule>
    <cfRule type="colorScale" priority="7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2:B446">
    <cfRule type="cellIs" dxfId="1625" priority="719" operator="between">
      <formula>5</formula>
      <formula>6.9</formula>
    </cfRule>
    <cfRule type="cellIs" dxfId="1624" priority="718" operator="between">
      <formula>2</formula>
      <formula>4.9</formula>
    </cfRule>
    <cfRule type="cellIs" dxfId="1623" priority="717" operator="lessThan">
      <formula>2</formula>
    </cfRule>
    <cfRule type="containsBlanks" dxfId="1622" priority="716" stopIfTrue="1">
      <formula>LEN(TRIM(B442))=0</formula>
    </cfRule>
    <cfRule type="cellIs" dxfId="1621" priority="724" stopIfTrue="1" operator="between">
      <formula>10</formula>
      <formula>10</formula>
    </cfRule>
    <cfRule type="cellIs" dxfId="1620" priority="723" operator="between">
      <formula>9</formula>
      <formula>9.9</formula>
    </cfRule>
    <cfRule type="cellIs" dxfId="1619" priority="722" stopIfTrue="1" operator="between">
      <formula>8</formula>
      <formula>8.9</formula>
    </cfRule>
    <cfRule type="cellIs" dxfId="1618" priority="721" operator="between">
      <formula>7</formula>
      <formula>7.9</formula>
    </cfRule>
    <cfRule type="cellIs" dxfId="1617" priority="720" operator="between">
      <formula>10.1</formula>
      <formula>10.6</formula>
    </cfRule>
  </conditionalFormatting>
  <conditionalFormatting sqref="B448">
    <cfRule type="colorScale" priority="693">
      <colorScale>
        <cfvo type="num" val="5"/>
        <cfvo type="num" val="10"/>
        <color rgb="FFFF494D"/>
        <color rgb="FF00FF66"/>
      </colorScale>
    </cfRule>
    <cfRule type="colorScale" priority="6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9:B455">
    <cfRule type="cellIs" dxfId="1616" priority="696" operator="between">
      <formula>2</formula>
      <formula>4.9</formula>
    </cfRule>
    <cfRule type="cellIs" dxfId="1615" priority="695" operator="lessThan">
      <formula>2</formula>
    </cfRule>
    <cfRule type="containsBlanks" dxfId="1614" priority="694" stopIfTrue="1">
      <formula>LEN(TRIM(B449))=0</formula>
    </cfRule>
    <cfRule type="cellIs" dxfId="1613" priority="702" stopIfTrue="1" operator="between">
      <formula>10</formula>
      <formula>10</formula>
    </cfRule>
    <cfRule type="cellIs" dxfId="1612" priority="701" operator="between">
      <formula>9</formula>
      <formula>9.9</formula>
    </cfRule>
    <cfRule type="cellIs" dxfId="1611" priority="700" stopIfTrue="1" operator="between">
      <formula>8</formula>
      <formula>8.9</formula>
    </cfRule>
    <cfRule type="cellIs" dxfId="1610" priority="699" operator="between">
      <formula>7</formula>
      <formula>7.9</formula>
    </cfRule>
    <cfRule type="cellIs" dxfId="1609" priority="698" operator="between">
      <formula>10.1</formula>
      <formula>10.6</formula>
    </cfRule>
    <cfRule type="cellIs" dxfId="1608" priority="697" operator="between">
      <formula>5</formula>
      <formula>6.9</formula>
    </cfRule>
  </conditionalFormatting>
  <conditionalFormatting sqref="B457">
    <cfRule type="colorScale" priority="6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0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ellIs" dxfId="1607" priority="648" operator="between">
      <formula>9</formula>
      <formula>9.9</formula>
    </cfRule>
    <cfRule type="cellIs" dxfId="1606" priority="649" stopIfTrue="1" operator="between">
      <formula>10</formula>
      <formula>10</formula>
    </cfRule>
    <cfRule type="cellIs" dxfId="1605" priority="647" stopIfTrue="1" operator="between">
      <formula>8</formula>
      <formula>8.9</formula>
    </cfRule>
    <cfRule type="cellIs" dxfId="1604" priority="646" operator="between">
      <formula>7</formula>
      <formula>7.9</formula>
    </cfRule>
    <cfRule type="cellIs" dxfId="1603" priority="645" operator="between">
      <formula>10.1</formula>
      <formula>10.6</formula>
    </cfRule>
    <cfRule type="cellIs" dxfId="1602" priority="643" operator="between">
      <formula>2</formula>
      <formula>4.9</formula>
    </cfRule>
    <cfRule type="cellIs" dxfId="1601" priority="642" operator="lessThan">
      <formula>2</formula>
    </cfRule>
    <cfRule type="containsBlanks" dxfId="1600" priority="641" stopIfTrue="1">
      <formula>LEN(TRIM(B458))=0</formula>
    </cfRule>
    <cfRule type="cellIs" dxfId="1599" priority="644" operator="between">
      <formula>5</formula>
      <formula>6.9</formula>
    </cfRule>
  </conditionalFormatting>
  <conditionalFormatting sqref="B473"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5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ellIs" dxfId="1598" priority="587" operator="lessThan">
      <formula>2</formula>
    </cfRule>
    <cfRule type="cellIs" dxfId="1597" priority="592" stopIfTrue="1" operator="between">
      <formula>8</formula>
      <formula>8.9</formula>
    </cfRule>
    <cfRule type="cellIs" dxfId="1596" priority="589" operator="between">
      <formula>5</formula>
      <formula>6.9</formula>
    </cfRule>
    <cfRule type="containsBlanks" dxfId="1595" priority="586" stopIfTrue="1">
      <formula>LEN(TRIM(B474))=0</formula>
    </cfRule>
    <cfRule type="cellIs" dxfId="1594" priority="591" operator="between">
      <formula>7</formula>
      <formula>7.9</formula>
    </cfRule>
    <cfRule type="cellIs" dxfId="1593" priority="590" operator="between">
      <formula>10.1</formula>
      <formula>10.6</formula>
    </cfRule>
    <cfRule type="cellIs" dxfId="1592" priority="594" stopIfTrue="1" operator="between">
      <formula>10</formula>
      <formula>10</formula>
    </cfRule>
    <cfRule type="cellIs" dxfId="1591" priority="593" operator="between">
      <formula>9</formula>
      <formula>9.9</formula>
    </cfRule>
    <cfRule type="cellIs" dxfId="1590" priority="588" operator="between">
      <formula>2</formula>
      <formula>4.9</formula>
    </cfRule>
  </conditionalFormatting>
  <conditionalFormatting sqref="B487"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1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ellIs" dxfId="1589" priority="548" stopIfTrue="1" operator="between">
      <formula>8</formula>
      <formula>8.9</formula>
    </cfRule>
    <cfRule type="cellIs" dxfId="1588" priority="549" operator="between">
      <formula>9</formula>
      <formula>9.9</formula>
    </cfRule>
    <cfRule type="cellIs" dxfId="1587" priority="550" stopIfTrue="1" operator="between">
      <formula>10</formula>
      <formula>10</formula>
    </cfRule>
    <cfRule type="cellIs" dxfId="1586" priority="543" operator="lessThan">
      <formula>2</formula>
    </cfRule>
    <cfRule type="cellIs" dxfId="1585" priority="544" operator="between">
      <formula>2</formula>
      <formula>4.9</formula>
    </cfRule>
    <cfRule type="cellIs" dxfId="1584" priority="547" operator="between">
      <formula>7</formula>
      <formula>7.9</formula>
    </cfRule>
    <cfRule type="cellIs" dxfId="1583" priority="545" operator="between">
      <formula>5</formula>
      <formula>6.9</formula>
    </cfRule>
    <cfRule type="cellIs" dxfId="1582" priority="546" operator="between">
      <formula>10.1</formula>
      <formula>10.6</formula>
    </cfRule>
    <cfRule type="containsBlanks" dxfId="1581" priority="542" stopIfTrue="1">
      <formula>LEN(TRIM(B488))=0</formula>
    </cfRule>
  </conditionalFormatting>
  <conditionalFormatting sqref="B503">
    <cfRule type="colorScale" priority="442">
      <colorScale>
        <cfvo type="num" val="5"/>
        <cfvo type="num" val="10"/>
        <color rgb="FFFF494D"/>
        <color rgb="FF00FF66"/>
      </colorScale>
    </cfRule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04:B513">
    <cfRule type="cellIs" dxfId="1580" priority="451" stopIfTrue="1" operator="between">
      <formula>10</formula>
      <formula>10</formula>
    </cfRule>
    <cfRule type="cellIs" dxfId="1579" priority="450" operator="between">
      <formula>9</formula>
      <formula>9.9</formula>
    </cfRule>
    <cfRule type="containsBlanks" dxfId="1578" priority="443" stopIfTrue="1">
      <formula>LEN(TRIM(B504))=0</formula>
    </cfRule>
    <cfRule type="cellIs" dxfId="1577" priority="449" stopIfTrue="1" operator="between">
      <formula>8</formula>
      <formula>8.9</formula>
    </cfRule>
    <cfRule type="cellIs" dxfId="1576" priority="448" operator="between">
      <formula>7</formula>
      <formula>7.9</formula>
    </cfRule>
    <cfRule type="cellIs" dxfId="1575" priority="447" operator="between">
      <formula>10.1</formula>
      <formula>10.6</formula>
    </cfRule>
    <cfRule type="cellIs" dxfId="1574" priority="446" operator="between">
      <formula>5</formula>
      <formula>6.9</formula>
    </cfRule>
    <cfRule type="cellIs" dxfId="1573" priority="445" operator="between">
      <formula>2</formula>
      <formula>4.9</formula>
    </cfRule>
    <cfRule type="cellIs" dxfId="1572" priority="444" operator="lessThan">
      <formula>2</formula>
    </cfRule>
  </conditionalFormatting>
  <conditionalFormatting sqref="B515">
    <cfRule type="colorScale" priority="4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7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ellIs" dxfId="1571" priority="400" operator="between">
      <formula>5</formula>
      <formula>6.9</formula>
    </cfRule>
    <cfRule type="cellIs" dxfId="1570" priority="401" operator="between">
      <formula>10.1</formula>
      <formula>10.6</formula>
    </cfRule>
    <cfRule type="cellIs" dxfId="1569" priority="402" operator="between">
      <formula>7</formula>
      <formula>7.9</formula>
    </cfRule>
    <cfRule type="cellIs" dxfId="1568" priority="403" stopIfTrue="1" operator="between">
      <formula>8</formula>
      <formula>8.9</formula>
    </cfRule>
    <cfRule type="cellIs" dxfId="1567" priority="404" operator="between">
      <formula>9</formula>
      <formula>9.9</formula>
    </cfRule>
    <cfRule type="cellIs" dxfId="1566" priority="405" stopIfTrue="1" operator="between">
      <formula>10</formula>
      <formula>10</formula>
    </cfRule>
    <cfRule type="containsBlanks" dxfId="1565" priority="397" stopIfTrue="1">
      <formula>LEN(TRIM(B516))=0</formula>
    </cfRule>
    <cfRule type="cellIs" dxfId="1564" priority="398" operator="lessThan">
      <formula>2</formula>
    </cfRule>
    <cfRule type="cellIs" dxfId="1563" priority="399" operator="between">
      <formula>2</formula>
      <formula>4.9</formula>
    </cfRule>
  </conditionalFormatting>
  <conditionalFormatting sqref="B524"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5">
      <colorScale>
        <cfvo type="num" val="5"/>
        <cfvo type="num" val="10"/>
        <color rgb="FFFF494D"/>
        <color rgb="FF00FF66"/>
      </colorScale>
    </cfRule>
  </conditionalFormatting>
  <conditionalFormatting sqref="B525:B541">
    <cfRule type="cellIs" dxfId="1562" priority="373" operator="between">
      <formula>9</formula>
      <formula>9.9</formula>
    </cfRule>
    <cfRule type="cellIs" dxfId="1561" priority="374" stopIfTrue="1" operator="between">
      <formula>10</formula>
      <formula>10</formula>
    </cfRule>
    <cfRule type="cellIs" dxfId="1560" priority="369" operator="between">
      <formula>5</formula>
      <formula>6.9</formula>
    </cfRule>
    <cfRule type="containsBlanks" dxfId="1559" priority="366" stopIfTrue="1">
      <formula>LEN(TRIM(B525))=0</formula>
    </cfRule>
    <cfRule type="cellIs" dxfId="1558" priority="367" operator="lessThan">
      <formula>2</formula>
    </cfRule>
    <cfRule type="cellIs" dxfId="1557" priority="368" operator="between">
      <formula>2</formula>
      <formula>4.9</formula>
    </cfRule>
    <cfRule type="cellIs" dxfId="1556" priority="370" operator="between">
      <formula>10.1</formula>
      <formula>10.6</formula>
    </cfRule>
    <cfRule type="cellIs" dxfId="1555" priority="371" operator="between">
      <formula>7</formula>
      <formula>7.9</formula>
    </cfRule>
    <cfRule type="cellIs" dxfId="1554" priority="372" stopIfTrue="1" operator="between">
      <formula>8</formula>
      <formula>8.9</formula>
    </cfRule>
  </conditionalFormatting>
  <conditionalFormatting sqref="B543">
    <cfRule type="colorScale" priority="288">
      <colorScale>
        <cfvo type="num" val="5"/>
        <cfvo type="num" val="10"/>
        <color rgb="FFFF494D"/>
        <color rgb="FF00FF66"/>
      </colorScale>
    </cfRule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44:B553">
    <cfRule type="cellIs" dxfId="1553" priority="291" operator="between">
      <formula>2</formula>
      <formula>4.9</formula>
    </cfRule>
    <cfRule type="cellIs" dxfId="1552" priority="292" operator="between">
      <formula>5</formula>
      <formula>6.9</formula>
    </cfRule>
    <cfRule type="cellIs" dxfId="1551" priority="294" operator="between">
      <formula>7</formula>
      <formula>7.9</formula>
    </cfRule>
    <cfRule type="cellIs" dxfId="1550" priority="295" stopIfTrue="1" operator="between">
      <formula>8</formula>
      <formula>8.9</formula>
    </cfRule>
    <cfRule type="cellIs" dxfId="1549" priority="290" operator="lessThan">
      <formula>2</formula>
    </cfRule>
    <cfRule type="cellIs" dxfId="1548" priority="296" operator="between">
      <formula>9</formula>
      <formula>9.9</formula>
    </cfRule>
    <cfRule type="cellIs" dxfId="1547" priority="297" stopIfTrue="1" operator="between">
      <formula>10</formula>
      <formula>10</formula>
    </cfRule>
    <cfRule type="containsBlanks" dxfId="1546" priority="289" stopIfTrue="1">
      <formula>LEN(TRIM(B544))=0</formula>
    </cfRule>
    <cfRule type="cellIs" dxfId="1545" priority="293" operator="between">
      <formula>10.1</formula>
      <formula>10.6</formula>
    </cfRule>
  </conditionalFormatting>
  <conditionalFormatting sqref="B555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B556:B559">
    <cfRule type="cellIs" dxfId="1544" priority="242" stopIfTrue="1" operator="between">
      <formula>10</formula>
      <formula>10</formula>
    </cfRule>
    <cfRule type="cellIs" dxfId="1543" priority="240" stopIfTrue="1" operator="between">
      <formula>8</formula>
      <formula>8.9</formula>
    </cfRule>
    <cfRule type="cellIs" dxfId="1542" priority="239" operator="between">
      <formula>7</formula>
      <formula>7.9</formula>
    </cfRule>
    <cfRule type="cellIs" dxfId="1541" priority="238" operator="between">
      <formula>10.1</formula>
      <formula>10.6</formula>
    </cfRule>
    <cfRule type="cellIs" dxfId="1540" priority="236" operator="between">
      <formula>2</formula>
      <formula>4.9</formula>
    </cfRule>
    <cfRule type="cellIs" dxfId="1539" priority="241" operator="between">
      <formula>9</formula>
      <formula>9.9</formula>
    </cfRule>
    <cfRule type="cellIs" dxfId="1538" priority="237" operator="between">
      <formula>5</formula>
      <formula>6.9</formula>
    </cfRule>
    <cfRule type="cellIs" dxfId="1537" priority="235" operator="lessThan">
      <formula>2</formula>
    </cfRule>
    <cfRule type="containsBlanks" dxfId="1536" priority="234" stopIfTrue="1">
      <formula>LEN(TRIM(B556))=0</formula>
    </cfRule>
  </conditionalFormatting>
  <conditionalFormatting sqref="B561">
    <cfRule type="colorScale" priority="2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">
      <colorScale>
        <cfvo type="num" val="5"/>
        <cfvo type="num" val="10"/>
        <color rgb="FFFF494D"/>
        <color rgb="FF00FF66"/>
      </colorScale>
    </cfRule>
  </conditionalFormatting>
  <conditionalFormatting sqref="B562:B587">
    <cfRule type="cellIs" dxfId="1535" priority="211" operator="lessThan">
      <formula>2</formula>
    </cfRule>
    <cfRule type="cellIs" dxfId="1534" priority="218" stopIfTrue="1" operator="between">
      <formula>10</formula>
      <formula>10</formula>
    </cfRule>
    <cfRule type="cellIs" dxfId="1533" priority="217" operator="between">
      <formula>9</formula>
      <formula>9.9</formula>
    </cfRule>
    <cfRule type="containsBlanks" dxfId="1532" priority="210" stopIfTrue="1">
      <formula>LEN(TRIM(B562))=0</formula>
    </cfRule>
    <cfRule type="cellIs" dxfId="1531" priority="212" operator="between">
      <formula>2</formula>
      <formula>4.9</formula>
    </cfRule>
    <cfRule type="cellIs" dxfId="1530" priority="213" operator="between">
      <formula>5</formula>
      <formula>6.9</formula>
    </cfRule>
    <cfRule type="cellIs" dxfId="1529" priority="214" operator="between">
      <formula>10.1</formula>
      <formula>10.6</formula>
    </cfRule>
    <cfRule type="cellIs" dxfId="1528" priority="215" operator="between">
      <formula>7</formula>
      <formula>7.9</formula>
    </cfRule>
    <cfRule type="cellIs" dxfId="1527" priority="216" stopIfTrue="1" operator="between">
      <formula>8</formula>
      <formula>8.9</formula>
    </cfRule>
  </conditionalFormatting>
  <conditionalFormatting sqref="B589">
    <cfRule type="colorScale" priority="101">
      <colorScale>
        <cfvo type="num" val="5"/>
        <cfvo type="num" val="10"/>
        <color rgb="FFFF494D"/>
        <color rgb="FF00FF66"/>
      </colorScale>
    </cfRule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90:B599">
    <cfRule type="cellIs" dxfId="1526" priority="103" operator="lessThan">
      <formula>2</formula>
    </cfRule>
    <cfRule type="cellIs" dxfId="1525" priority="105" operator="between">
      <formula>5</formula>
      <formula>6.9</formula>
    </cfRule>
    <cfRule type="cellIs" dxfId="1524" priority="109" operator="between">
      <formula>9</formula>
      <formula>9.9</formula>
    </cfRule>
    <cfRule type="cellIs" dxfId="1523" priority="107" operator="between">
      <formula>7</formula>
      <formula>7.9</formula>
    </cfRule>
    <cfRule type="containsBlanks" dxfId="1522" priority="102" stopIfTrue="1">
      <formula>LEN(TRIM(B590))=0</formula>
    </cfRule>
    <cfRule type="cellIs" dxfId="1521" priority="104" operator="between">
      <formula>2</formula>
      <formula>4.9</formula>
    </cfRule>
    <cfRule type="cellIs" dxfId="1520" priority="106" operator="between">
      <formula>10.1</formula>
      <formula>10.6</formula>
    </cfRule>
    <cfRule type="cellIs" dxfId="1519" priority="108" stopIfTrue="1" operator="between">
      <formula>8</formula>
      <formula>8.9</formula>
    </cfRule>
    <cfRule type="cellIs" dxfId="1518" priority="110" stopIfTrue="1" operator="between">
      <formula>10</formula>
      <formula>10</formula>
    </cfRule>
  </conditionalFormatting>
  <conditionalFormatting sqref="B601">
    <cfRule type="colorScale" priority="44">
      <colorScale>
        <cfvo type="num" val="5"/>
        <cfvo type="num" val="10"/>
        <color rgb="FFFF494D"/>
        <color rgb="FF00FF66"/>
      </colorScale>
    </cfRule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2:B611">
    <cfRule type="cellIs" dxfId="1517" priority="35" operator="lessThan">
      <formula>2</formula>
    </cfRule>
    <cfRule type="cellIs" dxfId="1516" priority="36" operator="between">
      <formula>2</formula>
      <formula>4.9</formula>
    </cfRule>
    <cfRule type="cellIs" dxfId="1515" priority="37" operator="between">
      <formula>5</formula>
      <formula>6.9</formula>
    </cfRule>
    <cfRule type="cellIs" dxfId="1514" priority="38" operator="between">
      <formula>10.1</formula>
      <formula>10.6</formula>
    </cfRule>
    <cfRule type="cellIs" dxfId="1513" priority="39" operator="between">
      <formula>7</formula>
      <formula>7.9</formula>
    </cfRule>
    <cfRule type="cellIs" dxfId="1512" priority="40" stopIfTrue="1" operator="between">
      <formula>8</formula>
      <formula>8.9</formula>
    </cfRule>
    <cfRule type="cellIs" dxfId="1511" priority="41" operator="between">
      <formula>9</formula>
      <formula>9.9</formula>
    </cfRule>
    <cfRule type="cellIs" dxfId="1510" priority="42" stopIfTrue="1" operator="between">
      <formula>10</formula>
      <formula>10</formula>
    </cfRule>
    <cfRule type="containsBlanks" dxfId="1509" priority="34" stopIfTrue="1">
      <formula>LEN(TRIM(B602))=0</formula>
    </cfRule>
  </conditionalFormatting>
  <conditionalFormatting sqref="E3:E12">
    <cfRule type="cellIs" dxfId="1508" priority="2380" operator="between">
      <formula>9</formula>
      <formula>9.9</formula>
    </cfRule>
    <cfRule type="cellIs" dxfId="1507" priority="2381" stopIfTrue="1" operator="between">
      <formula>10</formula>
      <formula>10</formula>
    </cfRule>
    <cfRule type="containsBlanks" dxfId="1506" priority="2382" stopIfTrue="1">
      <formula>LEN(TRIM(E3))=0</formula>
    </cfRule>
    <cfRule type="cellIs" dxfId="1505" priority="2377" operator="between">
      <formula>10.1</formula>
      <formula>10.6</formula>
    </cfRule>
    <cfRule type="cellIs" dxfId="1504" priority="2378" operator="between">
      <formula>7</formula>
      <formula>7.9</formula>
    </cfRule>
    <cfRule type="cellIs" dxfId="1503" priority="2379" stopIfTrue="1" operator="between">
      <formula>8</formula>
      <formula>8.9</formula>
    </cfRule>
  </conditionalFormatting>
  <conditionalFormatting sqref="E15:E28">
    <cfRule type="cellIs" dxfId="1502" priority="1690" stopIfTrue="1" operator="between">
      <formula>10</formula>
      <formula>10</formula>
    </cfRule>
    <cfRule type="containsBlanks" dxfId="1501" priority="1691" stopIfTrue="1">
      <formula>LEN(TRIM(E15))=0</formula>
    </cfRule>
    <cfRule type="cellIs" dxfId="1500" priority="1688" stopIfTrue="1" operator="between">
      <formula>8</formula>
      <formula>8.9</formula>
    </cfRule>
    <cfRule type="cellIs" dxfId="1499" priority="1689" operator="between">
      <formula>9</formula>
      <formula>9.9</formula>
    </cfRule>
    <cfRule type="cellIs" dxfId="1498" priority="1687" operator="between">
      <formula>7</formula>
      <formula>7.9</formula>
    </cfRule>
  </conditionalFormatting>
  <conditionalFormatting sqref="E16">
    <cfRule type="cellIs" dxfId="1497" priority="1686" operator="between">
      <formula>10.1</formula>
      <formula>10.6</formula>
    </cfRule>
  </conditionalFormatting>
  <conditionalFormatting sqref="E31:E37">
    <cfRule type="cellIs" dxfId="1496" priority="2342" operator="between">
      <formula>7</formula>
      <formula>7.9</formula>
    </cfRule>
    <cfRule type="cellIs" dxfId="1495" priority="2343" stopIfTrue="1" operator="between">
      <formula>8</formula>
      <formula>8.9</formula>
    </cfRule>
    <cfRule type="cellIs" dxfId="1494" priority="2345" stopIfTrue="1" operator="between">
      <formula>10</formula>
      <formula>10</formula>
    </cfRule>
    <cfRule type="containsBlanks" dxfId="1493" priority="2346" stopIfTrue="1">
      <formula>LEN(TRIM(E31))=0</formula>
    </cfRule>
    <cfRule type="cellIs" dxfId="1492" priority="2341" operator="between">
      <formula>10.1</formula>
      <formula>10.6</formula>
    </cfRule>
    <cfRule type="cellIs" dxfId="1491" priority="2344" operator="between">
      <formula>9</formula>
      <formula>9.9</formula>
    </cfRule>
  </conditionalFormatting>
  <conditionalFormatting sqref="E39">
    <cfRule type="colorScale" priority="27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42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490" priority="2455" operator="between">
      <formula>9</formula>
      <formula>9.9</formula>
    </cfRule>
    <cfRule type="cellIs" dxfId="1489" priority="2456" stopIfTrue="1" operator="between">
      <formula>10</formula>
      <formula>10</formula>
    </cfRule>
    <cfRule type="cellIs" dxfId="1488" priority="2453" operator="between">
      <formula>7</formula>
      <formula>7.9</formula>
    </cfRule>
    <cfRule type="cellIs" dxfId="1487" priority="2454" stopIfTrue="1" operator="between">
      <formula>8</formula>
      <formula>8.9</formula>
    </cfRule>
  </conditionalFormatting>
  <conditionalFormatting sqref="E54">
    <cfRule type="colorScale" priority="2385">
      <colorScale>
        <cfvo type="num" val="5"/>
        <cfvo type="num" val="10"/>
        <color rgb="FFFF494D"/>
        <color rgb="FF00FF66"/>
      </colorScale>
    </cfRule>
    <cfRule type="colorScale" priority="23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1486" priority="2324" operator="between">
      <formula>7</formula>
      <formula>7.9</formula>
    </cfRule>
    <cfRule type="cellIs" dxfId="1485" priority="2323" operator="between">
      <formula>10.1</formula>
      <formula>10.6</formula>
    </cfRule>
    <cfRule type="containsBlanks" dxfId="1484" priority="2328" stopIfTrue="1">
      <formula>LEN(TRIM(E55))=0</formula>
    </cfRule>
    <cfRule type="cellIs" dxfId="1483" priority="2327" stopIfTrue="1" operator="between">
      <formula>10</formula>
      <formula>10</formula>
    </cfRule>
    <cfRule type="cellIs" dxfId="1482" priority="2326" operator="between">
      <formula>9</formula>
      <formula>9.9</formula>
    </cfRule>
    <cfRule type="cellIs" dxfId="1481" priority="2325" stopIfTrue="1" operator="between">
      <formula>8</formula>
      <formula>8.9</formula>
    </cfRule>
  </conditionalFormatting>
  <conditionalFormatting sqref="E65">
    <cfRule type="colorScale" priority="2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5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480" priority="2259" operator="between">
      <formula>9</formula>
      <formula>9.9</formula>
    </cfRule>
    <cfRule type="containsBlanks" dxfId="1479" priority="2261" stopIfTrue="1">
      <formula>LEN(TRIM(E66))=0</formula>
    </cfRule>
    <cfRule type="cellIs" dxfId="1478" priority="2260" stopIfTrue="1" operator="between">
      <formula>10</formula>
      <formula>10</formula>
    </cfRule>
    <cfRule type="cellIs" dxfId="1477" priority="2256" operator="between">
      <formula>10.1</formula>
      <formula>10.6</formula>
    </cfRule>
    <cfRule type="cellIs" dxfId="1476" priority="2257" operator="between">
      <formula>7</formula>
      <formula>7.9</formula>
    </cfRule>
    <cfRule type="cellIs" dxfId="1475" priority="2258" stopIfTrue="1" operator="between">
      <formula>8</formula>
      <formula>8.9</formula>
    </cfRule>
  </conditionalFormatting>
  <conditionalFormatting sqref="E80">
    <cfRule type="colorScale" priority="21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84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474" priority="2177" operator="between">
      <formula>10.1</formula>
      <formula>10.6</formula>
    </cfRule>
    <cfRule type="cellIs" dxfId="1473" priority="2178" operator="between">
      <formula>7</formula>
      <formula>7.9</formula>
    </cfRule>
    <cfRule type="cellIs" dxfId="1472" priority="2179" stopIfTrue="1" operator="between">
      <formula>8</formula>
      <formula>8.9</formula>
    </cfRule>
    <cfRule type="cellIs" dxfId="1471" priority="2180" operator="between">
      <formula>9</formula>
      <formula>9.9</formula>
    </cfRule>
    <cfRule type="cellIs" dxfId="1470" priority="2181" stopIfTrue="1" operator="between">
      <formula>10</formula>
      <formula>10</formula>
    </cfRule>
    <cfRule type="containsBlanks" dxfId="1469" priority="2182" stopIfTrue="1">
      <formula>LEN(TRIM(E81))=0</formula>
    </cfRule>
  </conditionalFormatting>
  <conditionalFormatting sqref="E101">
    <cfRule type="colorScale" priority="2098">
      <colorScale>
        <cfvo type="num" val="5"/>
        <cfvo type="num" val="10"/>
        <color rgb="FFFF494D"/>
        <color rgb="FF00FF66"/>
      </colorScale>
    </cfRule>
    <cfRule type="colorScale" priority="20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ellIs" dxfId="1468" priority="2102" operator="between">
      <formula>9</formula>
      <formula>9.9</formula>
    </cfRule>
    <cfRule type="containsBlanks" dxfId="1467" priority="2104" stopIfTrue="1">
      <formula>LEN(TRIM(E102))=0</formula>
    </cfRule>
    <cfRule type="cellIs" dxfId="1466" priority="2103" stopIfTrue="1" operator="between">
      <formula>10</formula>
      <formula>10</formula>
    </cfRule>
    <cfRule type="cellIs" dxfId="1465" priority="2101" stopIfTrue="1" operator="between">
      <formula>8</formula>
      <formula>8.9</formula>
    </cfRule>
    <cfRule type="cellIs" dxfId="1464" priority="2100" operator="between">
      <formula>7</formula>
      <formula>7.9</formula>
    </cfRule>
    <cfRule type="cellIs" dxfId="1463" priority="2099" operator="between">
      <formula>10.1</formula>
      <formula>10.6</formula>
    </cfRule>
  </conditionalFormatting>
  <conditionalFormatting sqref="E117">
    <cfRule type="colorScale" priority="2040">
      <colorScale>
        <cfvo type="num" val="5"/>
        <cfvo type="num" val="10"/>
        <color rgb="FFFF494D"/>
        <color rgb="FF00FF66"/>
      </colorScale>
    </cfRule>
    <cfRule type="colorScale" priority="20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1462" priority="2035" stopIfTrue="1" operator="between">
      <formula>8</formula>
      <formula>8.9</formula>
    </cfRule>
    <cfRule type="cellIs" dxfId="1461" priority="2036" operator="between">
      <formula>9</formula>
      <formula>9.9</formula>
    </cfRule>
    <cfRule type="cellIs" dxfId="1460" priority="2037" stopIfTrue="1" operator="between">
      <formula>10</formula>
      <formula>10</formula>
    </cfRule>
    <cfRule type="cellIs" dxfId="1459" priority="2032" operator="between">
      <formula>6</formula>
      <formula>6.9</formula>
    </cfRule>
    <cfRule type="cellIs" dxfId="1458" priority="2033" operator="between">
      <formula>10.1</formula>
      <formula>10.6</formula>
    </cfRule>
    <cfRule type="containsBlanks" dxfId="1457" priority="2038" stopIfTrue="1">
      <formula>LEN(TRIM(E118))=0</formula>
    </cfRule>
    <cfRule type="cellIs" dxfId="1456" priority="2034" operator="between">
      <formula>7</formula>
      <formula>7.9</formula>
    </cfRule>
  </conditionalFormatting>
  <conditionalFormatting sqref="E128">
    <cfRule type="colorScale" priority="2007">
      <colorScale>
        <cfvo type="num" val="5"/>
        <cfvo type="num" val="10"/>
        <color rgb="FFFF494D"/>
        <color rgb="FF00FF66"/>
      </colorScale>
    </cfRule>
    <cfRule type="colorScale" priority="20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1455" priority="1999" operator="between">
      <formula>6</formula>
      <formula>6.9</formula>
    </cfRule>
    <cfRule type="cellIs" dxfId="1454" priority="2000" operator="between">
      <formula>10.1</formula>
      <formula>10.6</formula>
    </cfRule>
    <cfRule type="cellIs" dxfId="1453" priority="2001" operator="between">
      <formula>7</formula>
      <formula>7.9</formula>
    </cfRule>
    <cfRule type="cellIs" dxfId="1452" priority="2003" operator="between">
      <formula>9</formula>
      <formula>9.9</formula>
    </cfRule>
    <cfRule type="cellIs" dxfId="1451" priority="2004" stopIfTrue="1" operator="between">
      <formula>10</formula>
      <formula>10</formula>
    </cfRule>
    <cfRule type="containsBlanks" dxfId="1450" priority="2005" stopIfTrue="1">
      <formula>LEN(TRIM(E129))=0</formula>
    </cfRule>
    <cfRule type="cellIs" dxfId="1449" priority="2002" stopIfTrue="1" operator="between">
      <formula>8</formula>
      <formula>8.9</formula>
    </cfRule>
  </conditionalFormatting>
  <conditionalFormatting sqref="E146">
    <cfRule type="colorScale" priority="1920">
      <colorScale>
        <cfvo type="num" val="5"/>
        <cfvo type="num" val="10"/>
        <color rgb="FFFF494D"/>
        <color rgb="FF00FF66"/>
      </colorScale>
    </cfRule>
    <cfRule type="colorScale" priority="19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1448" priority="1917" stopIfTrue="1" operator="between">
      <formula>10</formula>
      <formula>10</formula>
    </cfRule>
    <cfRule type="containsBlanks" dxfId="1447" priority="1918" stopIfTrue="1">
      <formula>LEN(TRIM(E147))=0</formula>
    </cfRule>
    <cfRule type="cellIs" dxfId="1446" priority="1916" operator="between">
      <formula>9</formula>
      <formula>9.9</formula>
    </cfRule>
    <cfRule type="cellIs" dxfId="1445" priority="1915" stopIfTrue="1" operator="between">
      <formula>8</formula>
      <formula>8.9</formula>
    </cfRule>
    <cfRule type="cellIs" dxfId="1444" priority="1914" operator="between">
      <formula>7</formula>
      <formula>7.9</formula>
    </cfRule>
    <cfRule type="cellIs" dxfId="1443" priority="1913" operator="between">
      <formula>10.1</formula>
      <formula>10.6</formula>
    </cfRule>
    <cfRule type="cellIs" dxfId="1442" priority="1912" operator="between">
      <formula>6</formula>
      <formula>6.9</formula>
    </cfRule>
  </conditionalFormatting>
  <conditionalFormatting sqref="E161">
    <cfRule type="colorScale" priority="1884">
      <colorScale>
        <cfvo type="num" val="5"/>
        <cfvo type="num" val="10"/>
        <color rgb="FFFF494D"/>
        <color rgb="FF00FF66"/>
      </colorScale>
    </cfRule>
    <cfRule type="colorScale" priority="18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ontainsBlanks" dxfId="1441" priority="1882" stopIfTrue="1">
      <formula>LEN(TRIM(E162))=0</formula>
    </cfRule>
    <cfRule type="cellIs" dxfId="1440" priority="1881" stopIfTrue="1" operator="between">
      <formula>10</formula>
      <formula>10</formula>
    </cfRule>
    <cfRule type="cellIs" dxfId="1439" priority="1880" operator="between">
      <formula>9</formula>
      <formula>9.9</formula>
    </cfRule>
    <cfRule type="cellIs" dxfId="1438" priority="1879" stopIfTrue="1" operator="between">
      <formula>8</formula>
      <formula>8.9</formula>
    </cfRule>
    <cfRule type="cellIs" dxfId="1437" priority="1878" operator="between">
      <formula>7</formula>
      <formula>7.9</formula>
    </cfRule>
    <cfRule type="cellIs" dxfId="1436" priority="1877" operator="between">
      <formula>10.1</formula>
      <formula>10.6</formula>
    </cfRule>
    <cfRule type="cellIs" dxfId="1435" priority="1876" operator="between">
      <formula>6</formula>
      <formula>6.9</formula>
    </cfRule>
  </conditionalFormatting>
  <conditionalFormatting sqref="E172">
    <cfRule type="colorScale" priority="18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9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434" priority="1831" operator="between">
      <formula>6</formula>
      <formula>6.9</formula>
    </cfRule>
    <cfRule type="cellIs" dxfId="1433" priority="1832" operator="between">
      <formula>10.1</formula>
      <formula>10.6</formula>
    </cfRule>
    <cfRule type="cellIs" dxfId="1432" priority="1833" operator="between">
      <formula>7</formula>
      <formula>7.9</formula>
    </cfRule>
    <cfRule type="cellIs" dxfId="1431" priority="1834" stopIfTrue="1" operator="between">
      <formula>8</formula>
      <formula>8.9</formula>
    </cfRule>
    <cfRule type="cellIs" dxfId="1430" priority="1835" operator="between">
      <formula>9</formula>
      <formula>9.9</formula>
    </cfRule>
    <cfRule type="cellIs" dxfId="1429" priority="1836" stopIfTrue="1" operator="between">
      <formula>10</formula>
      <formula>10</formula>
    </cfRule>
    <cfRule type="containsBlanks" dxfId="1428" priority="1837" stopIfTrue="1">
      <formula>LEN(TRIM(E173))=0</formula>
    </cfRule>
  </conditionalFormatting>
  <conditionalFormatting sqref="E186">
    <cfRule type="colorScale" priority="1777">
      <colorScale>
        <cfvo type="num" val="5"/>
        <cfvo type="num" val="10"/>
        <color rgb="FFFF494D"/>
        <color rgb="FF00FF66"/>
      </colorScale>
    </cfRule>
    <cfRule type="colorScale" priority="17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1427" priority="1769" operator="between">
      <formula>6</formula>
      <formula>6.9</formula>
    </cfRule>
    <cfRule type="containsBlanks" dxfId="1426" priority="1775" stopIfTrue="1">
      <formula>LEN(TRIM(E187))=0</formula>
    </cfRule>
    <cfRule type="cellIs" dxfId="1425" priority="1770" operator="between">
      <formula>10.1</formula>
      <formula>10.6</formula>
    </cfRule>
    <cfRule type="cellIs" dxfId="1424" priority="1771" operator="between">
      <formula>7</formula>
      <formula>7.9</formula>
    </cfRule>
    <cfRule type="cellIs" dxfId="1423" priority="1772" stopIfTrue="1" operator="between">
      <formula>8</formula>
      <formula>8.9</formula>
    </cfRule>
    <cfRule type="cellIs" dxfId="1422" priority="1773" operator="between">
      <formula>9</formula>
      <formula>9.9</formula>
    </cfRule>
    <cfRule type="cellIs" dxfId="1421" priority="1774" stopIfTrue="1" operator="between">
      <formula>10</formula>
      <formula>10</formula>
    </cfRule>
  </conditionalFormatting>
  <conditionalFormatting sqref="E201">
    <cfRule type="colorScale" priority="17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3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420" priority="1718" stopIfTrue="1" operator="between">
      <formula>8</formula>
      <formula>8.9</formula>
    </cfRule>
    <cfRule type="cellIs" dxfId="1419" priority="1719" operator="between">
      <formula>9</formula>
      <formula>9.9</formula>
    </cfRule>
    <cfRule type="cellIs" dxfId="1418" priority="1720" stopIfTrue="1" operator="between">
      <formula>10</formula>
      <formula>10</formula>
    </cfRule>
    <cfRule type="containsBlanks" dxfId="1417" priority="1721" stopIfTrue="1">
      <formula>LEN(TRIM(E202))=0</formula>
    </cfRule>
    <cfRule type="cellIs" dxfId="1416" priority="1715" operator="between">
      <formula>6</formula>
      <formula>6.9</formula>
    </cfRule>
    <cfRule type="cellIs" dxfId="1415" priority="1716" operator="between">
      <formula>10.1</formula>
      <formula>11</formula>
    </cfRule>
    <cfRule type="cellIs" dxfId="1414" priority="1717" operator="between">
      <formula>7</formula>
      <formula>7.9</formula>
    </cfRule>
  </conditionalFormatting>
  <conditionalFormatting sqref="E213">
    <cfRule type="colorScale" priority="16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9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413" priority="1672" operator="between">
      <formula>7</formula>
      <formula>7.9</formula>
    </cfRule>
    <cfRule type="cellIs" dxfId="1412" priority="1671" operator="between">
      <formula>10.1</formula>
      <formula>10.6</formula>
    </cfRule>
    <cfRule type="cellIs" dxfId="1411" priority="1670" operator="between">
      <formula>6</formula>
      <formula>6.9</formula>
    </cfRule>
    <cfRule type="cellIs" dxfId="1410" priority="1673" stopIfTrue="1" operator="between">
      <formula>8</formula>
      <formula>8.9</formula>
    </cfRule>
    <cfRule type="containsBlanks" dxfId="1409" priority="1676" stopIfTrue="1">
      <formula>LEN(TRIM(E214))=0</formula>
    </cfRule>
    <cfRule type="cellIs" dxfId="1408" priority="1675" stopIfTrue="1" operator="between">
      <formula>10</formula>
      <formula>10</formula>
    </cfRule>
    <cfRule type="cellIs" dxfId="1407" priority="1674" operator="between">
      <formula>9</formula>
      <formula>9.9</formula>
    </cfRule>
  </conditionalFormatting>
  <conditionalFormatting sqref="E229">
    <cfRule type="colorScale" priority="1638">
      <colorScale>
        <cfvo type="num" val="5"/>
        <cfvo type="num" val="10"/>
        <color rgb="FFFF494D"/>
        <color rgb="FF00FF66"/>
      </colorScale>
    </cfRule>
    <cfRule type="colorScale" priority="16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1406" priority="1634" operator="between">
      <formula>9</formula>
      <formula>9.9</formula>
    </cfRule>
    <cfRule type="cellIs" dxfId="1405" priority="1633" stopIfTrue="1" operator="between">
      <formula>8</formula>
      <formula>8.9</formula>
    </cfRule>
    <cfRule type="cellIs" dxfId="1404" priority="1631" operator="between">
      <formula>10.1</formula>
      <formula>10.6</formula>
    </cfRule>
    <cfRule type="cellIs" dxfId="1403" priority="1630" operator="between">
      <formula>6</formula>
      <formula>6.9</formula>
    </cfRule>
    <cfRule type="cellIs" dxfId="1402" priority="1635" stopIfTrue="1" operator="between">
      <formula>10</formula>
      <formula>10</formula>
    </cfRule>
    <cfRule type="cellIs" dxfId="1401" priority="1632" operator="between">
      <formula>7</formula>
      <formula>7.9</formula>
    </cfRule>
    <cfRule type="containsBlanks" dxfId="1400" priority="1636" stopIfTrue="1">
      <formula>LEN(TRIM(E230))=0</formula>
    </cfRule>
  </conditionalFormatting>
  <conditionalFormatting sqref="E237">
    <cfRule type="colorScale" priority="1588">
      <colorScale>
        <cfvo type="num" val="5"/>
        <cfvo type="num" val="10"/>
        <color rgb="FFFF494D"/>
        <color rgb="FF00FF66"/>
      </colorScale>
    </cfRule>
    <cfRule type="colorScale" priority="15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1399" priority="1589" operator="between">
      <formula>6</formula>
      <formula>6.9</formula>
    </cfRule>
    <cfRule type="cellIs" dxfId="1398" priority="1594" stopIfTrue="1" operator="between">
      <formula>10</formula>
      <formula>10</formula>
    </cfRule>
    <cfRule type="cellIs" dxfId="1397" priority="1593" operator="between">
      <formula>9</formula>
      <formula>9.9</formula>
    </cfRule>
    <cfRule type="containsBlanks" dxfId="1396" priority="1595" stopIfTrue="1">
      <formula>LEN(TRIM(E238))=0</formula>
    </cfRule>
    <cfRule type="cellIs" dxfId="1395" priority="1590" operator="between">
      <formula>10.1</formula>
      <formula>10.6</formula>
    </cfRule>
    <cfRule type="cellIs" dxfId="1394" priority="1591" operator="between">
      <formula>7</formula>
      <formula>7.9</formula>
    </cfRule>
    <cfRule type="cellIs" dxfId="1393" priority="1592" stopIfTrue="1" operator="between">
      <formula>8</formula>
      <formula>8.9</formula>
    </cfRule>
  </conditionalFormatting>
  <conditionalFormatting sqref="E254">
    <cfRule type="colorScale" priority="15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2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494">
      <colorScale>
        <cfvo type="num" val="5"/>
        <cfvo type="num" val="10"/>
        <color rgb="FFFF494D"/>
        <color rgb="FF00FF66"/>
      </colorScale>
    </cfRule>
    <cfRule type="colorScale" priority="14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1392" priority="1499" operator="between">
      <formula>9</formula>
      <formula>9.9</formula>
    </cfRule>
    <cfRule type="cellIs" dxfId="1391" priority="1500" stopIfTrue="1" operator="between">
      <formula>10</formula>
      <formula>10</formula>
    </cfRule>
    <cfRule type="cellIs" dxfId="1390" priority="1498" stopIfTrue="1" operator="between">
      <formula>8</formula>
      <formula>8.9</formula>
    </cfRule>
    <cfRule type="containsBlanks" dxfId="1389" priority="1501" stopIfTrue="1">
      <formula>LEN(TRIM(E267))=0</formula>
    </cfRule>
    <cfRule type="cellIs" dxfId="1388" priority="1497" operator="between">
      <formula>7</formula>
      <formula>7.9</formula>
    </cfRule>
    <cfRule type="cellIs" dxfId="1387" priority="1496" operator="between">
      <formula>10.1</formula>
      <formula>10.6</formula>
    </cfRule>
    <cfRule type="cellIs" dxfId="1386" priority="1495" operator="between">
      <formula>6</formula>
      <formula>6.9</formula>
    </cfRule>
  </conditionalFormatting>
  <conditionalFormatting sqref="E278">
    <cfRule type="colorScale" priority="14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0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385" priority="1445" stopIfTrue="1" operator="between">
      <formula>8</formula>
      <formula>8.9</formula>
    </cfRule>
    <cfRule type="containsBlanks" dxfId="1384" priority="1448" stopIfTrue="1">
      <formula>LEN(TRIM(E279))=0</formula>
    </cfRule>
    <cfRule type="cellIs" dxfId="1383" priority="1447" stopIfTrue="1" operator="between">
      <formula>10</formula>
      <formula>10</formula>
    </cfRule>
    <cfRule type="cellIs" dxfId="1382" priority="1446" operator="between">
      <formula>9</formula>
      <formula>9.9</formula>
    </cfRule>
    <cfRule type="cellIs" dxfId="1381" priority="1442" operator="between">
      <formula>6</formula>
      <formula>6.9</formula>
    </cfRule>
    <cfRule type="cellIs" dxfId="1380" priority="1444" operator="between">
      <formula>7</formula>
      <formula>7.9</formula>
    </cfRule>
    <cfRule type="cellIs" dxfId="1379" priority="1443" operator="between">
      <formula>10.1</formula>
      <formula>10.6</formula>
    </cfRule>
  </conditionalFormatting>
  <conditionalFormatting sqref="E288">
    <cfRule type="colorScale" priority="1402">
      <colorScale>
        <cfvo type="num" val="5"/>
        <cfvo type="num" val="10"/>
        <color rgb="FFFF494D"/>
        <color rgb="FF00FF66"/>
      </colorScale>
    </cfRule>
    <cfRule type="colorScale" priority="14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ontainsBlanks" dxfId="1378" priority="1400" stopIfTrue="1">
      <formula>LEN(TRIM(E289))=0</formula>
    </cfRule>
    <cfRule type="cellIs" dxfId="1377" priority="1399" stopIfTrue="1" operator="between">
      <formula>10</formula>
      <formula>10</formula>
    </cfRule>
    <cfRule type="cellIs" dxfId="1376" priority="1394" operator="between">
      <formula>6</formula>
      <formula>6.9</formula>
    </cfRule>
    <cfRule type="cellIs" dxfId="1375" priority="1395" operator="between">
      <formula>10.1</formula>
      <formula>10.6</formula>
    </cfRule>
    <cfRule type="cellIs" dxfId="1374" priority="1398" operator="between">
      <formula>9</formula>
      <formula>9.9</formula>
    </cfRule>
    <cfRule type="cellIs" dxfId="1373" priority="1397" stopIfTrue="1" operator="between">
      <formula>8</formula>
      <formula>8.9</formula>
    </cfRule>
    <cfRule type="cellIs" dxfId="1372" priority="1396" operator="between">
      <formula>7</formula>
      <formula>7.9</formula>
    </cfRule>
  </conditionalFormatting>
  <conditionalFormatting sqref="E299">
    <cfRule type="colorScale" priority="13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1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ontainsBlanks" dxfId="1371" priority="1349" stopIfTrue="1">
      <formula>LEN(TRIM(E300))=0</formula>
    </cfRule>
    <cfRule type="cellIs" dxfId="1370" priority="1348" stopIfTrue="1" operator="between">
      <formula>10</formula>
      <formula>10</formula>
    </cfRule>
    <cfRule type="cellIs" dxfId="1369" priority="1347" operator="between">
      <formula>9</formula>
      <formula>9.9</formula>
    </cfRule>
    <cfRule type="cellIs" dxfId="1368" priority="1346" stopIfTrue="1" operator="between">
      <formula>8</formula>
      <formula>8.9</formula>
    </cfRule>
    <cfRule type="cellIs" dxfId="1367" priority="1343" operator="between">
      <formula>6</formula>
      <formula>6.9</formula>
    </cfRule>
    <cfRule type="cellIs" dxfId="1366" priority="1344" operator="between">
      <formula>10.1</formula>
      <formula>10.6</formula>
    </cfRule>
    <cfRule type="cellIs" dxfId="1365" priority="1345" operator="between">
      <formula>7</formula>
      <formula>7.9</formula>
    </cfRule>
  </conditionalFormatting>
  <conditionalFormatting sqref="E310">
    <cfRule type="colorScale" priority="1300">
      <colorScale>
        <cfvo type="num" val="5"/>
        <cfvo type="num" val="10"/>
        <color rgb="FFFF494D"/>
        <color rgb="FF00FF66"/>
      </colorScale>
    </cfRule>
    <cfRule type="colorScale" priority="12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1364" priority="1296" stopIfTrue="1" operator="between">
      <formula>8</formula>
      <formula>8.9</formula>
    </cfRule>
    <cfRule type="cellIs" dxfId="1363" priority="1295" operator="between">
      <formula>7</formula>
      <formula>7.9</formula>
    </cfRule>
    <cfRule type="cellIs" dxfId="1362" priority="1294" operator="between">
      <formula>10.1</formula>
      <formula>10.6</formula>
    </cfRule>
    <cfRule type="cellIs" dxfId="1361" priority="1293" operator="between">
      <formula>5</formula>
      <formula>6.9</formula>
    </cfRule>
    <cfRule type="cellIs" dxfId="1360" priority="1291" operator="lessThan">
      <formula>2</formula>
    </cfRule>
    <cfRule type="containsBlanks" dxfId="1359" priority="1290" stopIfTrue="1">
      <formula>LEN(TRIM(E311))=0</formula>
    </cfRule>
    <cfRule type="cellIs" dxfId="1358" priority="1292" operator="between">
      <formula>2</formula>
      <formula>4.9</formula>
    </cfRule>
    <cfRule type="cellIs" dxfId="1357" priority="1298" stopIfTrue="1" operator="between">
      <formula>10</formula>
      <formula>10</formula>
    </cfRule>
    <cfRule type="cellIs" dxfId="1356" priority="1297" operator="between">
      <formula>9</formula>
      <formula>9.9</formula>
    </cfRule>
  </conditionalFormatting>
  <conditionalFormatting sqref="E320">
    <cfRule type="colorScale" priority="1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0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1355" priority="1281" stopIfTrue="1">
      <formula>LEN(TRIM(E321))=0</formula>
    </cfRule>
    <cfRule type="cellIs" dxfId="1354" priority="1289" stopIfTrue="1" operator="between">
      <formula>10</formula>
      <formula>10</formula>
    </cfRule>
    <cfRule type="cellIs" dxfId="1353" priority="1288" operator="between">
      <formula>9</formula>
      <formula>9.9</formula>
    </cfRule>
    <cfRule type="cellIs" dxfId="1352" priority="1287" stopIfTrue="1" operator="between">
      <formula>8</formula>
      <formula>8.9</formula>
    </cfRule>
    <cfRule type="cellIs" dxfId="1351" priority="1286" operator="between">
      <formula>7</formula>
      <formula>7.9</formula>
    </cfRule>
    <cfRule type="cellIs" dxfId="1350" priority="1285" operator="between">
      <formula>10.1</formula>
      <formula>10.6</formula>
    </cfRule>
    <cfRule type="cellIs" dxfId="1349" priority="1284" operator="between">
      <formula>5</formula>
      <formula>6.9</formula>
    </cfRule>
    <cfRule type="cellIs" dxfId="1348" priority="1283" operator="between">
      <formula>2</formula>
      <formula>4.9</formula>
    </cfRule>
    <cfRule type="cellIs" dxfId="1347" priority="1282" operator="lessThan">
      <formula>2</formula>
    </cfRule>
  </conditionalFormatting>
  <conditionalFormatting sqref="E328">
    <cfRule type="colorScale" priority="1236">
      <colorScale>
        <cfvo type="num" val="5"/>
        <cfvo type="num" val="10"/>
        <color rgb="FFFF494D"/>
        <color rgb="FF00FF66"/>
      </colorScale>
    </cfRule>
    <cfRule type="colorScale" priority="12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1346" priority="1239" operator="between">
      <formula>2</formula>
      <formula>4.9</formula>
    </cfRule>
    <cfRule type="cellIs" dxfId="1345" priority="1240" operator="between">
      <formula>5</formula>
      <formula>6.9</formula>
    </cfRule>
    <cfRule type="cellIs" dxfId="1344" priority="1241" operator="between">
      <formula>10.1</formula>
      <formula>10.6</formula>
    </cfRule>
    <cfRule type="cellIs" dxfId="1343" priority="1242" operator="between">
      <formula>7</formula>
      <formula>7.9</formula>
    </cfRule>
    <cfRule type="cellIs" dxfId="1342" priority="1243" stopIfTrue="1" operator="between">
      <formula>8</formula>
      <formula>8.9</formula>
    </cfRule>
    <cfRule type="cellIs" dxfId="1341" priority="1244" operator="between">
      <formula>9</formula>
      <formula>9.9</formula>
    </cfRule>
    <cfRule type="cellIs" dxfId="1340" priority="1245" stopIfTrue="1" operator="between">
      <formula>10</formula>
      <formula>10</formula>
    </cfRule>
    <cfRule type="containsBlanks" dxfId="1339" priority="1237" stopIfTrue="1">
      <formula>LEN(TRIM(E329))=0</formula>
    </cfRule>
    <cfRule type="cellIs" dxfId="1338" priority="1238" operator="lessThan">
      <formula>2</formula>
    </cfRule>
  </conditionalFormatting>
  <conditionalFormatting sqref="E360">
    <cfRule type="colorScale" priority="1113">
      <colorScale>
        <cfvo type="num" val="5"/>
        <cfvo type="num" val="10"/>
        <color rgb="FFFF494D"/>
        <color rgb="FF00FF66"/>
      </colorScale>
    </cfRule>
    <cfRule type="colorScale" priority="11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61:E370">
    <cfRule type="cellIs" dxfId="1337" priority="1116" operator="between">
      <formula>2</formula>
      <formula>4.9</formula>
    </cfRule>
    <cfRule type="cellIs" dxfId="1336" priority="1117" operator="between">
      <formula>5</formula>
      <formula>6.9</formula>
    </cfRule>
    <cfRule type="cellIs" dxfId="1335" priority="1118" operator="between">
      <formula>10.1</formula>
      <formula>10.6</formula>
    </cfRule>
    <cfRule type="cellIs" dxfId="1334" priority="1119" operator="between">
      <formula>7</formula>
      <formula>7.9</formula>
    </cfRule>
    <cfRule type="cellIs" dxfId="1333" priority="1120" stopIfTrue="1" operator="between">
      <formula>8</formula>
      <formula>8.9</formula>
    </cfRule>
    <cfRule type="cellIs" dxfId="1332" priority="1121" operator="between">
      <formula>9</formula>
      <formula>9.9</formula>
    </cfRule>
    <cfRule type="cellIs" dxfId="1331" priority="1122" stopIfTrue="1" operator="between">
      <formula>10</formula>
      <formula>10</formula>
    </cfRule>
    <cfRule type="cellIs" dxfId="1330" priority="1115" operator="lessThan">
      <formula>2</formula>
    </cfRule>
    <cfRule type="containsBlanks" dxfId="1329" priority="1114" stopIfTrue="1">
      <formula>LEN(TRIM(E361))=0</formula>
    </cfRule>
  </conditionalFormatting>
  <conditionalFormatting sqref="E372">
    <cfRule type="colorScale" priority="10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7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ellIs" dxfId="1328" priority="1076" stopIfTrue="1" operator="between">
      <formula>10</formula>
      <formula>10</formula>
    </cfRule>
    <cfRule type="cellIs" dxfId="1327" priority="1075" operator="between">
      <formula>9</formula>
      <formula>9.9</formula>
    </cfRule>
    <cfRule type="cellIs" dxfId="1326" priority="1073" operator="between">
      <formula>7</formula>
      <formula>7.9</formula>
    </cfRule>
    <cfRule type="cellIs" dxfId="1325" priority="1071" operator="between">
      <formula>5</formula>
      <formula>6.9</formula>
    </cfRule>
    <cfRule type="cellIs" dxfId="1324" priority="1070" operator="between">
      <formula>2</formula>
      <formula>4.9</formula>
    </cfRule>
    <cfRule type="cellIs" dxfId="1323" priority="1069" operator="lessThan">
      <formula>2</formula>
    </cfRule>
    <cfRule type="containsBlanks" dxfId="1322" priority="1068" stopIfTrue="1">
      <formula>LEN(TRIM(E373))=0</formula>
    </cfRule>
    <cfRule type="cellIs" dxfId="1321" priority="1072" operator="between">
      <formula>10.1</formula>
      <formula>10.6</formula>
    </cfRule>
    <cfRule type="cellIs" dxfId="1320" priority="1074" stopIfTrue="1" operator="between">
      <formula>8</formula>
      <formula>8.9</formula>
    </cfRule>
  </conditionalFormatting>
  <conditionalFormatting sqref="E383">
    <cfRule type="colorScale" priority="10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1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1319" priority="1001" stopIfTrue="1">
      <formula>LEN(TRIM(E384))=0</formula>
    </cfRule>
    <cfRule type="cellIs" dxfId="1318" priority="1006" operator="between">
      <formula>7</formula>
      <formula>7.9</formula>
    </cfRule>
    <cfRule type="cellIs" dxfId="1317" priority="1007" stopIfTrue="1" operator="between">
      <formula>8</formula>
      <formula>8.9</formula>
    </cfRule>
    <cfRule type="cellIs" dxfId="1316" priority="1002" operator="lessThan">
      <formula>2</formula>
    </cfRule>
    <cfRule type="cellIs" dxfId="1315" priority="1003" operator="between">
      <formula>2</formula>
      <formula>4.9</formula>
    </cfRule>
    <cfRule type="cellIs" dxfId="1314" priority="1004" operator="between">
      <formula>5</formula>
      <formula>6.9</formula>
    </cfRule>
    <cfRule type="cellIs" dxfId="1313" priority="1005" operator="between">
      <formula>10.1</formula>
      <formula>10.6</formula>
    </cfRule>
    <cfRule type="cellIs" dxfId="1312" priority="1009" stopIfTrue="1" operator="between">
      <formula>10</formula>
      <formula>10</formula>
    </cfRule>
    <cfRule type="cellIs" dxfId="1311" priority="1008" operator="between">
      <formula>9</formula>
      <formula>9.9</formula>
    </cfRule>
  </conditionalFormatting>
  <conditionalFormatting sqref="E388">
    <cfRule type="colorScale" priority="969">
      <colorScale>
        <cfvo type="num" val="5"/>
        <cfvo type="num" val="10"/>
        <color rgb="FFFF494D"/>
        <color rgb="FF00FF66"/>
      </colorScale>
    </cfRule>
    <cfRule type="colorScale" priority="9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ellIs" dxfId="1310" priority="972" operator="between">
      <formula>2</formula>
      <formula>4.9</formula>
    </cfRule>
    <cfRule type="cellIs" dxfId="1309" priority="971" operator="lessThan">
      <formula>2</formula>
    </cfRule>
    <cfRule type="containsBlanks" dxfId="1308" priority="970" stopIfTrue="1">
      <formula>LEN(TRIM(E389))=0</formula>
    </cfRule>
    <cfRule type="cellIs" dxfId="1307" priority="978" stopIfTrue="1" operator="between">
      <formula>10</formula>
      <formula>10</formula>
    </cfRule>
    <cfRule type="cellIs" dxfId="1306" priority="977" operator="between">
      <formula>9</formula>
      <formula>9.9</formula>
    </cfRule>
    <cfRule type="cellIs" dxfId="1305" priority="976" stopIfTrue="1" operator="between">
      <formula>8</formula>
      <formula>8.9</formula>
    </cfRule>
    <cfRule type="cellIs" dxfId="1304" priority="975" operator="between">
      <formula>7</formula>
      <formula>7.9</formula>
    </cfRule>
    <cfRule type="cellIs" dxfId="1303" priority="974" operator="between">
      <formula>10.1</formula>
      <formula>10.6</formula>
    </cfRule>
    <cfRule type="cellIs" dxfId="1302" priority="973" operator="between">
      <formula>5</formula>
      <formula>6.9</formula>
    </cfRule>
  </conditionalFormatting>
  <conditionalFormatting sqref="E403">
    <cfRule type="colorScale" priority="8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2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ellIs" dxfId="1301" priority="898" operator="between">
      <formula>7</formula>
      <formula>7.9</formula>
    </cfRule>
    <cfRule type="cellIs" dxfId="1300" priority="897" operator="between">
      <formula>10.1</formula>
      <formula>10.6</formula>
    </cfRule>
    <cfRule type="cellIs" dxfId="1299" priority="896" operator="between">
      <formula>5</formula>
      <formula>6.9</formula>
    </cfRule>
    <cfRule type="cellIs" dxfId="1298" priority="894" operator="lessThan">
      <formula>2</formula>
    </cfRule>
    <cfRule type="containsBlanks" dxfId="1297" priority="893" stopIfTrue="1">
      <formula>LEN(TRIM(E404))=0</formula>
    </cfRule>
    <cfRule type="cellIs" dxfId="1296" priority="895" operator="between">
      <formula>2</formula>
      <formula>4.9</formula>
    </cfRule>
    <cfRule type="cellIs" dxfId="1295" priority="901" stopIfTrue="1" operator="between">
      <formula>10</formula>
      <formula>10</formula>
    </cfRule>
    <cfRule type="cellIs" dxfId="1294" priority="900" operator="between">
      <formula>9</formula>
      <formula>9.9</formula>
    </cfRule>
    <cfRule type="cellIs" dxfId="1293" priority="899" stopIfTrue="1" operator="between">
      <formula>8</formula>
      <formula>8.9</formula>
    </cfRule>
  </conditionalFormatting>
  <conditionalFormatting sqref="E415">
    <cfRule type="colorScale" priority="856">
      <colorScale>
        <cfvo type="num" val="5"/>
        <cfvo type="num" val="10"/>
        <color rgb="FFFF494D"/>
        <color rgb="FF00FF66"/>
      </colorScale>
    </cfRule>
    <cfRule type="colorScale" priority="8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16:E423">
    <cfRule type="cellIs" dxfId="1292" priority="852" stopIfTrue="1" operator="between">
      <formula>8</formula>
      <formula>8.9</formula>
    </cfRule>
    <cfRule type="cellIs" dxfId="1291" priority="849" operator="between">
      <formula>5</formula>
      <formula>6.9</formula>
    </cfRule>
    <cfRule type="cellIs" dxfId="1290" priority="848" operator="between">
      <formula>2</formula>
      <formula>4.9</formula>
    </cfRule>
    <cfRule type="cellIs" dxfId="1289" priority="847" operator="lessThan">
      <formula>2</formula>
    </cfRule>
    <cfRule type="containsBlanks" dxfId="1288" priority="846" stopIfTrue="1">
      <formula>LEN(TRIM(E416))=0</formula>
    </cfRule>
    <cfRule type="cellIs" dxfId="1287" priority="854" stopIfTrue="1" operator="between">
      <formula>10</formula>
      <formula>10</formula>
    </cfRule>
    <cfRule type="cellIs" dxfId="1286" priority="853" operator="between">
      <formula>9</formula>
      <formula>9.9</formula>
    </cfRule>
    <cfRule type="cellIs" dxfId="1285" priority="851" operator="between">
      <formula>7</formula>
      <formula>7.9</formula>
    </cfRule>
    <cfRule type="cellIs" dxfId="1284" priority="850" operator="between">
      <formula>10.1</formula>
      <formula>10.6</formula>
    </cfRule>
  </conditionalFormatting>
  <conditionalFormatting sqref="E425">
    <cfRule type="colorScale" priority="781">
      <colorScale>
        <cfvo type="num" val="5"/>
        <cfvo type="num" val="10"/>
        <color rgb="FFFF494D"/>
        <color rgb="FF00FF66"/>
      </colorScale>
    </cfRule>
    <cfRule type="colorScale" priority="7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26:E434">
    <cfRule type="containsBlanks" dxfId="1283" priority="782" stopIfTrue="1">
      <formula>LEN(TRIM(E426))=0</formula>
    </cfRule>
    <cfRule type="cellIs" dxfId="1282" priority="785" operator="between">
      <formula>5</formula>
      <formula>6.9</formula>
    </cfRule>
    <cfRule type="cellIs" dxfId="1281" priority="784" operator="between">
      <formula>2</formula>
      <formula>4.9</formula>
    </cfRule>
    <cfRule type="cellIs" dxfId="1280" priority="786" operator="between">
      <formula>10.1</formula>
      <formula>10.6</formula>
    </cfRule>
    <cfRule type="cellIs" dxfId="1279" priority="783" operator="lessThan">
      <formula>2</formula>
    </cfRule>
    <cfRule type="cellIs" dxfId="1278" priority="790" stopIfTrue="1" operator="between">
      <formula>10</formula>
      <formula>10</formula>
    </cfRule>
    <cfRule type="cellIs" dxfId="1277" priority="789" operator="between">
      <formula>9</formula>
      <formula>9.9</formula>
    </cfRule>
    <cfRule type="cellIs" dxfId="1276" priority="788" stopIfTrue="1" operator="between">
      <formula>8</formula>
      <formula>8.9</formula>
    </cfRule>
    <cfRule type="cellIs" dxfId="1275" priority="787" operator="between">
      <formula>7</formula>
      <formula>7.9</formula>
    </cfRule>
  </conditionalFormatting>
  <conditionalFormatting sqref="E436">
    <cfRule type="colorScale" priority="7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6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ellIs" dxfId="1274" priority="734" operator="between">
      <formula>9</formula>
      <formula>9.9</formula>
    </cfRule>
    <cfRule type="cellIs" dxfId="1273" priority="733" stopIfTrue="1" operator="between">
      <formula>8</formula>
      <formula>8.9</formula>
    </cfRule>
    <cfRule type="cellIs" dxfId="1272" priority="732" operator="between">
      <formula>7</formula>
      <formula>7.9</formula>
    </cfRule>
    <cfRule type="cellIs" dxfId="1271" priority="729" operator="between">
      <formula>2</formula>
      <formula>4.9</formula>
    </cfRule>
    <cfRule type="cellIs" dxfId="1270" priority="728" operator="lessThan">
      <formula>2</formula>
    </cfRule>
    <cfRule type="containsBlanks" dxfId="1269" priority="727" stopIfTrue="1">
      <formula>LEN(TRIM(E437))=0</formula>
    </cfRule>
    <cfRule type="cellIs" dxfId="1268" priority="731" operator="between">
      <formula>10.1</formula>
      <formula>10.6</formula>
    </cfRule>
    <cfRule type="cellIs" dxfId="1267" priority="735" stopIfTrue="1" operator="between">
      <formula>10</formula>
      <formula>10</formula>
    </cfRule>
    <cfRule type="cellIs" dxfId="1266" priority="730" operator="between">
      <formula>5</formula>
      <formula>6.9</formula>
    </cfRule>
  </conditionalFormatting>
  <conditionalFormatting sqref="E459"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9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ellIs" dxfId="1265" priority="636" stopIfTrue="1" operator="between">
      <formula>8</formula>
      <formula>8.9</formula>
    </cfRule>
    <cfRule type="cellIs" dxfId="1264" priority="637" operator="between">
      <formula>9</formula>
      <formula>9.9</formula>
    </cfRule>
    <cfRule type="cellIs" dxfId="1263" priority="638" stopIfTrue="1" operator="between">
      <formula>10</formula>
      <formula>10</formula>
    </cfRule>
    <cfRule type="cellIs" dxfId="1262" priority="635" operator="between">
      <formula>7</formula>
      <formula>7.9</formula>
    </cfRule>
    <cfRule type="cellIs" dxfId="1261" priority="634" operator="between">
      <formula>10.1</formula>
      <formula>10.6</formula>
    </cfRule>
    <cfRule type="containsBlanks" dxfId="1260" priority="630" stopIfTrue="1">
      <formula>LEN(TRIM(E460))=0</formula>
    </cfRule>
    <cfRule type="cellIs" dxfId="1259" priority="631" operator="lessThan">
      <formula>2</formula>
    </cfRule>
    <cfRule type="cellIs" dxfId="1258" priority="632" operator="between">
      <formula>2</formula>
      <formula>4.9</formula>
    </cfRule>
    <cfRule type="cellIs" dxfId="1257" priority="633" operator="between">
      <formula>5</formula>
      <formula>6.9</formula>
    </cfRule>
  </conditionalFormatting>
  <conditionalFormatting sqref="E487">
    <cfRule type="colorScale" priority="5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9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ellIs" dxfId="1256" priority="533" operator="between">
      <formula>10.1</formula>
      <formula>10.6</formula>
    </cfRule>
    <cfRule type="cellIs" dxfId="1255" priority="536" operator="between">
      <formula>9</formula>
      <formula>9.9</formula>
    </cfRule>
    <cfRule type="cellIs" dxfId="1254" priority="531" operator="between">
      <formula>2</formula>
      <formula>4.9</formula>
    </cfRule>
    <cfRule type="cellIs" dxfId="1253" priority="532" operator="between">
      <formula>5</formula>
      <formula>6.9</formula>
    </cfRule>
    <cfRule type="cellIs" dxfId="1252" priority="535" stopIfTrue="1" operator="between">
      <formula>8</formula>
      <formula>8.9</formula>
    </cfRule>
    <cfRule type="cellIs" dxfId="1251" priority="534" operator="between">
      <formula>7</formula>
      <formula>7.9</formula>
    </cfRule>
    <cfRule type="cellIs" dxfId="1250" priority="537" stopIfTrue="1" operator="between">
      <formula>10</formula>
      <formula>10</formula>
    </cfRule>
    <cfRule type="containsBlanks" dxfId="1249" priority="529" stopIfTrue="1">
      <formula>LEN(TRIM(E488))=0</formula>
    </cfRule>
    <cfRule type="cellIs" dxfId="1248" priority="530" operator="lessThan">
      <formula>2</formula>
    </cfRule>
  </conditionalFormatting>
  <conditionalFormatting sqref="E499">
    <cfRule type="colorScale" priority="486">
      <colorScale>
        <cfvo type="num" val="5"/>
        <cfvo type="num" val="10"/>
        <color rgb="FFFF494D"/>
        <color rgb="FF00FF66"/>
      </colorScale>
    </cfRule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00:E512">
    <cfRule type="cellIs" dxfId="1247" priority="492" operator="between">
      <formula>7</formula>
      <formula>7.9</formula>
    </cfRule>
    <cfRule type="cellIs" dxfId="1246" priority="491" operator="between">
      <formula>10.1</formula>
      <formula>10.6</formula>
    </cfRule>
    <cfRule type="cellIs" dxfId="1245" priority="490" operator="between">
      <formula>5</formula>
      <formula>6.9</formula>
    </cfRule>
    <cfRule type="cellIs" dxfId="1244" priority="489" operator="between">
      <formula>2</formula>
      <formula>4.9</formula>
    </cfRule>
    <cfRule type="cellIs" dxfId="1243" priority="488" operator="lessThan">
      <formula>2</formula>
    </cfRule>
    <cfRule type="containsBlanks" dxfId="1242" priority="487" stopIfTrue="1">
      <formula>LEN(TRIM(E500))=0</formula>
    </cfRule>
    <cfRule type="cellIs" dxfId="1241" priority="495" stopIfTrue="1" operator="between">
      <formula>10</formula>
      <formula>10</formula>
    </cfRule>
    <cfRule type="cellIs" dxfId="1240" priority="494" operator="between">
      <formula>9</formula>
      <formula>9.9</formula>
    </cfRule>
    <cfRule type="cellIs" dxfId="1239" priority="493" stopIfTrue="1" operator="between">
      <formula>8</formula>
      <formula>8.9</formula>
    </cfRule>
  </conditionalFormatting>
  <conditionalFormatting sqref="E514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ellIs" dxfId="1238" priority="418" stopIfTrue="1" operator="between">
      <formula>10</formula>
      <formula>10</formula>
    </cfRule>
    <cfRule type="cellIs" dxfId="1237" priority="417" operator="between">
      <formula>9</formula>
      <formula>9.9</formula>
    </cfRule>
    <cfRule type="cellIs" dxfId="1236" priority="412" operator="between">
      <formula>2</formula>
      <formula>4.9</formula>
    </cfRule>
    <cfRule type="cellIs" dxfId="1235" priority="413" operator="between">
      <formula>5</formula>
      <formula>6.9</formula>
    </cfRule>
    <cfRule type="cellIs" dxfId="1234" priority="414" operator="between">
      <formula>10.1</formula>
      <formula>10.6</formula>
    </cfRule>
    <cfRule type="cellIs" dxfId="1233" priority="415" operator="between">
      <formula>7</formula>
      <formula>7.9</formula>
    </cfRule>
    <cfRule type="cellIs" dxfId="1232" priority="411" operator="lessThan">
      <formula>2</formula>
    </cfRule>
    <cfRule type="containsBlanks" dxfId="1231" priority="410" stopIfTrue="1">
      <formula>LEN(TRIM(E515))=0</formula>
    </cfRule>
    <cfRule type="cellIs" dxfId="1230" priority="416" stopIfTrue="1" operator="between">
      <formula>8</formula>
      <formula>8.9</formula>
    </cfRule>
  </conditionalFormatting>
  <conditionalFormatting sqref="E528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E529:E540">
    <cfRule type="cellIs" dxfId="1229" priority="350" stopIfTrue="1" operator="between">
      <formula>8</formula>
      <formula>8.9</formula>
    </cfRule>
    <cfRule type="cellIs" dxfId="1228" priority="345" operator="lessThan">
      <formula>2</formula>
    </cfRule>
    <cfRule type="cellIs" dxfId="1227" priority="352" stopIfTrue="1" operator="between">
      <formula>10</formula>
      <formula>10</formula>
    </cfRule>
    <cfRule type="cellIs" dxfId="1226" priority="349" operator="between">
      <formula>7</formula>
      <formula>7.9</formula>
    </cfRule>
    <cfRule type="cellIs" dxfId="1225" priority="351" operator="between">
      <formula>9</formula>
      <formula>9.9</formula>
    </cfRule>
    <cfRule type="cellIs" dxfId="1224" priority="346" operator="between">
      <formula>2</formula>
      <formula>4.9</formula>
    </cfRule>
    <cfRule type="cellIs" dxfId="1223" priority="347" operator="between">
      <formula>5</formula>
      <formula>6.9</formula>
    </cfRule>
    <cfRule type="cellIs" dxfId="1222" priority="348" operator="between">
      <formula>10.1</formula>
      <formula>10.6</formula>
    </cfRule>
    <cfRule type="containsBlanks" dxfId="1221" priority="344" stopIfTrue="1">
      <formula>LEN(TRIM(E529))=0</formula>
    </cfRule>
  </conditionalFormatting>
  <conditionalFormatting sqref="E542">
    <cfRule type="colorScale" priority="299">
      <colorScale>
        <cfvo type="num" val="5"/>
        <cfvo type="num" val="10"/>
        <color rgb="FFFF494D"/>
        <color rgb="FF00FF66"/>
      </colorScale>
    </cfRule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43:E552">
    <cfRule type="cellIs" dxfId="1220" priority="305" operator="between">
      <formula>7</formula>
      <formula>7.9</formula>
    </cfRule>
    <cfRule type="cellIs" dxfId="1219" priority="308" stopIfTrue="1" operator="between">
      <formula>10</formula>
      <formula>10</formula>
    </cfRule>
    <cfRule type="cellIs" dxfId="1218" priority="307" operator="between">
      <formula>9</formula>
      <formula>9.9</formula>
    </cfRule>
    <cfRule type="cellIs" dxfId="1217" priority="306" stopIfTrue="1" operator="between">
      <formula>8</formula>
      <formula>8.9</formula>
    </cfRule>
    <cfRule type="containsBlanks" dxfId="1216" priority="300" stopIfTrue="1">
      <formula>LEN(TRIM(E543))=0</formula>
    </cfRule>
    <cfRule type="cellIs" dxfId="1215" priority="301" operator="lessThan">
      <formula>2</formula>
    </cfRule>
    <cfRule type="cellIs" dxfId="1214" priority="302" operator="between">
      <formula>2</formula>
      <formula>4.9</formula>
    </cfRule>
    <cfRule type="cellIs" dxfId="1213" priority="303" operator="between">
      <formula>5</formula>
      <formula>6.9</formula>
    </cfRule>
    <cfRule type="cellIs" dxfId="1212" priority="304" operator="between">
      <formula>10.1</formula>
      <formula>10.6</formula>
    </cfRule>
  </conditionalFormatting>
  <conditionalFormatting sqref="E554">
    <cfRule type="colorScale" priority="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">
      <colorScale>
        <cfvo type="num" val="5"/>
        <cfvo type="num" val="10"/>
        <color rgb="FFFF494D"/>
        <color rgb="FF00FF66"/>
      </colorScale>
    </cfRule>
  </conditionalFormatting>
  <conditionalFormatting sqref="E555:E569">
    <cfRule type="cellIs" dxfId="1211" priority="245" operator="between">
      <formula>2</formula>
      <formula>4.9</formula>
    </cfRule>
    <cfRule type="cellIs" dxfId="1210" priority="251" stopIfTrue="1" operator="between">
      <formula>10</formula>
      <formula>10</formula>
    </cfRule>
    <cfRule type="containsBlanks" dxfId="1209" priority="243" stopIfTrue="1">
      <formula>LEN(TRIM(E555))=0</formula>
    </cfRule>
    <cfRule type="cellIs" dxfId="1208" priority="244" operator="lessThan">
      <formula>2</formula>
    </cfRule>
    <cfRule type="cellIs" dxfId="1207" priority="247" operator="between">
      <formula>10.1</formula>
      <formula>10.6</formula>
    </cfRule>
    <cfRule type="cellIs" dxfId="1206" priority="250" operator="between">
      <formula>9</formula>
      <formula>9.9</formula>
    </cfRule>
    <cfRule type="cellIs" dxfId="1205" priority="249" stopIfTrue="1" operator="between">
      <formula>8</formula>
      <formula>8.9</formula>
    </cfRule>
    <cfRule type="cellIs" dxfId="1204" priority="248" operator="between">
      <formula>7</formula>
      <formula>7.9</formula>
    </cfRule>
    <cfRule type="cellIs" dxfId="1203" priority="246" operator="between">
      <formula>5</formula>
      <formula>6.9</formula>
    </cfRule>
  </conditionalFormatting>
  <conditionalFormatting sqref="E571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E572:E581">
    <cfRule type="cellIs" dxfId="1202" priority="181" operator="between">
      <formula>2</formula>
      <formula>4.9</formula>
    </cfRule>
    <cfRule type="cellIs" dxfId="1201" priority="187" stopIfTrue="1" operator="between">
      <formula>10</formula>
      <formula>10</formula>
    </cfRule>
    <cfRule type="cellIs" dxfId="1200" priority="186" operator="between">
      <formula>9</formula>
      <formula>9.9</formula>
    </cfRule>
    <cfRule type="containsBlanks" dxfId="1199" priority="179" stopIfTrue="1">
      <formula>LEN(TRIM(E572))=0</formula>
    </cfRule>
    <cfRule type="cellIs" dxfId="1198" priority="180" operator="lessThan">
      <formula>2</formula>
    </cfRule>
    <cfRule type="cellIs" dxfId="1197" priority="182" operator="between">
      <formula>5</formula>
      <formula>6.9</formula>
    </cfRule>
    <cfRule type="cellIs" dxfId="1196" priority="183" operator="between">
      <formula>10.1</formula>
      <formula>10.6</formula>
    </cfRule>
    <cfRule type="cellIs" dxfId="1195" priority="184" operator="between">
      <formula>7</formula>
      <formula>7.9</formula>
    </cfRule>
    <cfRule type="cellIs" dxfId="1194" priority="185" stopIfTrue="1" operator="between">
      <formula>8</formula>
      <formula>8.9</formula>
    </cfRule>
  </conditionalFormatting>
  <conditionalFormatting sqref="E583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E584:E597">
    <cfRule type="cellIs" dxfId="1193" priority="137" operator="between">
      <formula>2</formula>
      <formula>4.9</formula>
    </cfRule>
    <cfRule type="cellIs" dxfId="1192" priority="138" operator="between">
      <formula>5</formula>
      <formula>6.9</formula>
    </cfRule>
    <cfRule type="cellIs" dxfId="1191" priority="139" operator="between">
      <formula>10.1</formula>
      <formula>10.6</formula>
    </cfRule>
    <cfRule type="cellIs" dxfId="1190" priority="140" operator="between">
      <formula>7</formula>
      <formula>7.9</formula>
    </cfRule>
    <cfRule type="cellIs" dxfId="1189" priority="141" stopIfTrue="1" operator="between">
      <formula>8</formula>
      <formula>8.9</formula>
    </cfRule>
    <cfRule type="cellIs" dxfId="1188" priority="142" operator="between">
      <formula>9</formula>
      <formula>9.9</formula>
    </cfRule>
    <cfRule type="cellIs" dxfId="1187" priority="143" stopIfTrue="1" operator="between">
      <formula>10</formula>
      <formula>10</formula>
    </cfRule>
    <cfRule type="cellIs" dxfId="1186" priority="136" operator="lessThan">
      <formula>2</formula>
    </cfRule>
    <cfRule type="containsBlanks" dxfId="1185" priority="135" stopIfTrue="1">
      <formula>LEN(TRIM(E584))=0</formula>
    </cfRule>
  </conditionalFormatting>
  <conditionalFormatting sqref="E599">
    <cfRule type="colorScale" priority="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">
      <colorScale>
        <cfvo type="num" val="5"/>
        <cfvo type="num" val="10"/>
        <color rgb="FFFF494D"/>
        <color rgb="FF00FF66"/>
      </colorScale>
    </cfRule>
  </conditionalFormatting>
  <conditionalFormatting sqref="E600:E608">
    <cfRule type="cellIs" dxfId="1184" priority="62" stopIfTrue="1" operator="between">
      <formula>8</formula>
      <formula>8.9</formula>
    </cfRule>
    <cfRule type="cellIs" dxfId="1183" priority="58" operator="between">
      <formula>2</formula>
      <formula>4.9</formula>
    </cfRule>
    <cfRule type="cellIs" dxfId="1182" priority="57" operator="lessThan">
      <formula>2</formula>
    </cfRule>
    <cfRule type="containsBlanks" dxfId="1181" priority="56" stopIfTrue="1">
      <formula>LEN(TRIM(E600))=0</formula>
    </cfRule>
    <cfRule type="cellIs" dxfId="1180" priority="61" operator="between">
      <formula>7</formula>
      <formula>7.9</formula>
    </cfRule>
    <cfRule type="cellIs" dxfId="1179" priority="60" operator="between">
      <formula>10.1</formula>
      <formula>10.6</formula>
    </cfRule>
    <cfRule type="cellIs" dxfId="1178" priority="59" operator="between">
      <formula>5</formula>
      <formula>6.9</formula>
    </cfRule>
    <cfRule type="cellIs" dxfId="1177" priority="64" stopIfTrue="1" operator="between">
      <formula>10</formula>
      <formula>10</formula>
    </cfRule>
    <cfRule type="cellIs" dxfId="1176" priority="63" operator="between">
      <formula>9</formula>
      <formula>9.9</formula>
    </cfRule>
  </conditionalFormatting>
  <conditionalFormatting sqref="E610">
    <cfRule type="colorScale" priority="13">
      <colorScale>
        <cfvo type="num" val="5"/>
        <cfvo type="num" val="10"/>
        <color rgb="FFFF494D"/>
        <color rgb="FF00FF66"/>
      </colorScale>
    </cfRule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11:E621">
    <cfRule type="cellIs" dxfId="1175" priority="19" operator="between">
      <formula>7</formula>
      <formula>7.9</formula>
    </cfRule>
    <cfRule type="cellIs" dxfId="1174" priority="20" stopIfTrue="1" operator="between">
      <formula>8</formula>
      <formula>8.9</formula>
    </cfRule>
    <cfRule type="cellIs" dxfId="1173" priority="21" operator="between">
      <formula>9</formula>
      <formula>9.9</formula>
    </cfRule>
    <cfRule type="cellIs" dxfId="1172" priority="22" stopIfTrue="1" operator="between">
      <formula>10</formula>
      <formula>10</formula>
    </cfRule>
    <cfRule type="containsBlanks" dxfId="1171" priority="14" stopIfTrue="1">
      <formula>LEN(TRIM(E611))=0</formula>
    </cfRule>
    <cfRule type="cellIs" dxfId="1170" priority="15" operator="lessThan">
      <formula>2</formula>
    </cfRule>
    <cfRule type="cellIs" dxfId="1169" priority="16" operator="between">
      <formula>2</formula>
      <formula>4.9</formula>
    </cfRule>
    <cfRule type="cellIs" dxfId="1168" priority="17" operator="between">
      <formula>5</formula>
      <formula>6.9</formula>
    </cfRule>
    <cfRule type="cellIs" dxfId="1167" priority="18" operator="between">
      <formula>10.1</formula>
      <formula>10.6</formula>
    </cfRule>
  </conditionalFormatting>
  <conditionalFormatting sqref="H3:H15">
    <cfRule type="cellIs" dxfId="1166" priority="1481" operator="between">
      <formula>9</formula>
      <formula>9.9</formula>
    </cfRule>
    <cfRule type="cellIs" dxfId="1165" priority="1482" stopIfTrue="1" operator="between">
      <formula>10</formula>
      <formula>10</formula>
    </cfRule>
    <cfRule type="cellIs" dxfId="1164" priority="1480" stopIfTrue="1" operator="between">
      <formula>8</formula>
      <formula>8.9</formula>
    </cfRule>
    <cfRule type="cellIs" dxfId="1163" priority="1479" operator="between">
      <formula>7</formula>
      <formula>7.9</formula>
    </cfRule>
  </conditionalFormatting>
  <conditionalFormatting sqref="H7">
    <cfRule type="containsBlanks" dxfId="1162" priority="1483" stopIfTrue="1">
      <formula>LEN(TRIM(H7))=0</formula>
    </cfRule>
    <cfRule type="cellIs" dxfId="1161" priority="1478" operator="between">
      <formula>10.1</formula>
      <formula>10.6</formula>
    </cfRule>
  </conditionalFormatting>
  <conditionalFormatting sqref="H18:H28">
    <cfRule type="cellIs" dxfId="1160" priority="2474" stopIfTrue="1" operator="between">
      <formula>8</formula>
      <formula>8.9</formula>
    </cfRule>
    <cfRule type="cellIs" dxfId="1159" priority="2473" operator="between">
      <formula>7</formula>
      <formula>7.9</formula>
    </cfRule>
    <cfRule type="cellIs" dxfId="1158" priority="2475" operator="between">
      <formula>9</formula>
      <formula>9.9</formula>
    </cfRule>
    <cfRule type="cellIs" dxfId="1157" priority="2476" stopIfTrue="1" operator="between">
      <formula>10</formula>
      <formula>10</formula>
    </cfRule>
  </conditionalFormatting>
  <conditionalFormatting sqref="H30">
    <cfRule type="colorScale" priority="27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58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1156" priority="2338" operator="between">
      <formula>9</formula>
      <formula>9.9</formula>
    </cfRule>
    <cfRule type="cellIs" dxfId="1155" priority="2337" stopIfTrue="1" operator="between">
      <formula>8</formula>
      <formula>8.9</formula>
    </cfRule>
    <cfRule type="cellIs" dxfId="1154" priority="2336" operator="between">
      <formula>7</formula>
      <formula>7.9</formula>
    </cfRule>
    <cfRule type="cellIs" dxfId="1153" priority="2335" operator="between">
      <formula>10.1</formula>
      <formula>10.6</formula>
    </cfRule>
    <cfRule type="containsBlanks" dxfId="1152" priority="2340" stopIfTrue="1">
      <formula>LEN(TRIM(H31))=0</formula>
    </cfRule>
    <cfRule type="cellIs" dxfId="1151" priority="2339" stopIfTrue="1" operator="between">
      <formula>10</formula>
      <formula>10</formula>
    </cfRule>
  </conditionalFormatting>
  <conditionalFormatting sqref="H47">
    <cfRule type="colorScale" priority="2690">
      <colorScale>
        <cfvo type="num" val="5"/>
        <cfvo type="num" val="10"/>
        <color rgb="FFFF494D"/>
        <color rgb="FF00FF66"/>
      </colorScale>
    </cfRule>
    <cfRule type="colorScale" priority="26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1150" priority="2329" operator="between">
      <formula>10.1</formula>
      <formula>10.6</formula>
    </cfRule>
    <cfRule type="cellIs" dxfId="1149" priority="2330" operator="between">
      <formula>7</formula>
      <formula>7.9</formula>
    </cfRule>
    <cfRule type="cellIs" dxfId="1148" priority="2331" stopIfTrue="1" operator="between">
      <formula>8</formula>
      <formula>8.9</formula>
    </cfRule>
    <cfRule type="containsBlanks" dxfId="1147" priority="2334" stopIfTrue="1">
      <formula>LEN(TRIM(H48))=0</formula>
    </cfRule>
    <cfRule type="cellIs" dxfId="1146" priority="2333" stopIfTrue="1" operator="between">
      <formula>10</formula>
      <formula>10</formula>
    </cfRule>
    <cfRule type="cellIs" dxfId="1145" priority="2332" operator="between">
      <formula>9</formula>
      <formula>9.9</formula>
    </cfRule>
  </conditionalFormatting>
  <conditionalFormatting sqref="H57">
    <cfRule type="colorScale" priority="22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72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1144" priority="2206" stopIfTrue="1" operator="between">
      <formula>10</formula>
      <formula>10</formula>
    </cfRule>
    <cfRule type="cellIs" dxfId="1143" priority="2202" operator="between">
      <formula>10.1</formula>
      <formula>10.6</formula>
    </cfRule>
    <cfRule type="cellIs" dxfId="1142" priority="2205" operator="between">
      <formula>9</formula>
      <formula>9.9</formula>
    </cfRule>
    <cfRule type="cellIs" dxfId="1141" priority="2201" operator="between">
      <formula>6</formula>
      <formula>6.9</formula>
    </cfRule>
    <cfRule type="cellIs" dxfId="1140" priority="2203" operator="between">
      <formula>7</formula>
      <formula>7.9</formula>
    </cfRule>
    <cfRule type="cellIs" dxfId="1139" priority="2204" stopIfTrue="1" operator="between">
      <formula>8</formula>
      <formula>8.9</formula>
    </cfRule>
    <cfRule type="containsBlanks" dxfId="1138" priority="2207" stopIfTrue="1">
      <formula>LEN(TRIM(H58))=0</formula>
    </cfRule>
  </conditionalFormatting>
  <conditionalFormatting sqref="H69">
    <cfRule type="colorScale" priority="22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37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1137" priority="2231" operator="between">
      <formula>7</formula>
      <formula>7.9</formula>
    </cfRule>
    <cfRule type="cellIs" dxfId="1136" priority="2230" operator="between">
      <formula>10.1</formula>
      <formula>10.6</formula>
    </cfRule>
    <cfRule type="cellIs" dxfId="1135" priority="2233" operator="between">
      <formula>9</formula>
      <formula>9.9</formula>
    </cfRule>
    <cfRule type="cellIs" dxfId="1134" priority="2232" stopIfTrue="1" operator="between">
      <formula>8</formula>
      <formula>8.9</formula>
    </cfRule>
    <cfRule type="containsBlanks" dxfId="1133" priority="2235" stopIfTrue="1">
      <formula>LEN(TRIM(H70))=0</formula>
    </cfRule>
    <cfRule type="cellIs" dxfId="1132" priority="2234" stopIfTrue="1" operator="between">
      <formula>10</formula>
      <formula>10</formula>
    </cfRule>
  </conditionalFormatting>
  <conditionalFormatting sqref="H83">
    <cfRule type="colorScale" priority="2168">
      <colorScale>
        <cfvo type="num" val="5"/>
        <cfvo type="num" val="10"/>
        <color rgb="FFFF494D"/>
        <color rgb="FF00FF66"/>
      </colorScale>
    </cfRule>
    <cfRule type="colorScale" priority="21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1131" priority="2154" operator="between">
      <formula>6</formula>
      <formula>6.9</formula>
    </cfRule>
    <cfRule type="cellIs" dxfId="1130" priority="2156" operator="between">
      <formula>7</formula>
      <formula>7.9</formula>
    </cfRule>
    <cfRule type="cellIs" dxfId="1129" priority="2155" operator="between">
      <formula>10.1</formula>
      <formula>10.6</formula>
    </cfRule>
    <cfRule type="containsBlanks" dxfId="1128" priority="2160" stopIfTrue="1">
      <formula>LEN(TRIM(H84))=0</formula>
    </cfRule>
    <cfRule type="cellIs" dxfId="1127" priority="2159" stopIfTrue="1" operator="between">
      <formula>10</formula>
      <formula>10</formula>
    </cfRule>
    <cfRule type="cellIs" dxfId="1126" priority="2158" operator="between">
      <formula>9</formula>
      <formula>9.9</formula>
    </cfRule>
    <cfRule type="cellIs" dxfId="1125" priority="2157" stopIfTrue="1" operator="between">
      <formula>8</formula>
      <formula>8.9</formula>
    </cfRule>
  </conditionalFormatting>
  <conditionalFormatting sqref="H97">
    <cfRule type="colorScale" priority="21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2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1124" priority="2105" operator="between">
      <formula>6</formula>
      <formula>6.9</formula>
    </cfRule>
    <cfRule type="containsBlanks" dxfId="1123" priority="2111" stopIfTrue="1">
      <formula>LEN(TRIM(H98))=0</formula>
    </cfRule>
    <cfRule type="cellIs" dxfId="1122" priority="2107" operator="between">
      <formula>7</formula>
      <formula>7.9</formula>
    </cfRule>
    <cfRule type="cellIs" dxfId="1121" priority="2108" stopIfTrue="1" operator="between">
      <formula>8</formula>
      <formula>8.9</formula>
    </cfRule>
    <cfRule type="cellIs" dxfId="1120" priority="2109" operator="between">
      <formula>9</formula>
      <formula>9.9</formula>
    </cfRule>
    <cfRule type="cellIs" dxfId="1119" priority="2110" stopIfTrue="1" operator="between">
      <formula>10</formula>
      <formula>10</formula>
    </cfRule>
    <cfRule type="cellIs" dxfId="1118" priority="2106" operator="between">
      <formula>10.1</formula>
      <formula>10.6</formula>
    </cfRule>
  </conditionalFormatting>
  <conditionalFormatting sqref="H110">
    <cfRule type="colorScale" priority="20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88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1117" priority="2081" operator="between">
      <formula>10.1</formula>
      <formula>10.6</formula>
    </cfRule>
    <cfRule type="cellIs" dxfId="1116" priority="2084" operator="between">
      <formula>9</formula>
      <formula>9.9</formula>
    </cfRule>
    <cfRule type="cellIs" dxfId="1115" priority="2083" stopIfTrue="1" operator="between">
      <formula>8</formula>
      <formula>8.9</formula>
    </cfRule>
    <cfRule type="containsBlanks" dxfId="1114" priority="2086" stopIfTrue="1">
      <formula>LEN(TRIM(H111))=0</formula>
    </cfRule>
    <cfRule type="cellIs" dxfId="1113" priority="2085" stopIfTrue="1" operator="between">
      <formula>10</formula>
      <formula>10</formula>
    </cfRule>
    <cfRule type="cellIs" dxfId="1112" priority="2082" operator="between">
      <formula>7</formula>
      <formula>7.9</formula>
    </cfRule>
  </conditionalFormatting>
  <conditionalFormatting sqref="H125">
    <cfRule type="colorScale" priority="2016">
      <colorScale>
        <cfvo type="num" val="5"/>
        <cfvo type="num" val="10"/>
        <color rgb="FFFF494D"/>
        <color rgb="FF00FF66"/>
      </colorScale>
    </cfRule>
    <cfRule type="colorScale" priority="20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1111" priority="2008" operator="between">
      <formula>6</formula>
      <formula>6.9</formula>
    </cfRule>
    <cfRule type="cellIs" dxfId="1110" priority="2009" operator="between">
      <formula>10.1</formula>
      <formula>10.6</formula>
    </cfRule>
    <cfRule type="cellIs" dxfId="1109" priority="2010" operator="between">
      <formula>7</formula>
      <formula>7.9</formula>
    </cfRule>
    <cfRule type="cellIs" dxfId="1108" priority="2011" stopIfTrue="1" operator="between">
      <formula>8</formula>
      <formula>8.9</formula>
    </cfRule>
    <cfRule type="cellIs" dxfId="1107" priority="2012" operator="between">
      <formula>9</formula>
      <formula>9.9</formula>
    </cfRule>
    <cfRule type="cellIs" dxfId="1106" priority="2013" stopIfTrue="1" operator="between">
      <formula>10</formula>
      <formula>10</formula>
    </cfRule>
    <cfRule type="containsBlanks" dxfId="1105" priority="2014" stopIfTrue="1">
      <formula>LEN(TRIM(H126))=0</formula>
    </cfRule>
  </conditionalFormatting>
  <conditionalFormatting sqref="H131">
    <cfRule type="colorScale" priority="1983">
      <colorScale>
        <cfvo type="num" val="5"/>
        <cfvo type="num" val="10"/>
        <color rgb="FFFF494D"/>
        <color rgb="FF00FF66"/>
      </colorScale>
    </cfRule>
    <cfRule type="colorScale" priority="19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1104" priority="1976" operator="between">
      <formula>10.1</formula>
      <formula>10.6</formula>
    </cfRule>
    <cfRule type="cellIs" dxfId="1103" priority="1978" stopIfTrue="1" operator="between">
      <formula>8</formula>
      <formula>8.9</formula>
    </cfRule>
    <cfRule type="cellIs" dxfId="1102" priority="1979" operator="between">
      <formula>9</formula>
      <formula>9.9</formula>
    </cfRule>
    <cfRule type="cellIs" dxfId="1101" priority="1980" stopIfTrue="1" operator="between">
      <formula>10</formula>
      <formula>10</formula>
    </cfRule>
    <cfRule type="containsBlanks" dxfId="1100" priority="1981" stopIfTrue="1">
      <formula>LEN(TRIM(H132))=0</formula>
    </cfRule>
    <cfRule type="cellIs" dxfId="1099" priority="1975" operator="between">
      <formula>6</formula>
      <formula>6.9</formula>
    </cfRule>
    <cfRule type="cellIs" dxfId="1098" priority="1977" operator="between">
      <formula>7</formula>
      <formula>7.9</formula>
    </cfRule>
  </conditionalFormatting>
  <conditionalFormatting sqref="H149">
    <cfRule type="colorScale" priority="1911">
      <colorScale>
        <cfvo type="num" val="5"/>
        <cfvo type="num" val="10"/>
        <color rgb="FFFF494D"/>
        <color rgb="FF00FF66"/>
      </colorScale>
    </cfRule>
    <cfRule type="colorScale" priority="19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ellIs" dxfId="1097" priority="1906" stopIfTrue="1" operator="between">
      <formula>8</formula>
      <formula>8.9</formula>
    </cfRule>
    <cfRule type="cellIs" dxfId="1096" priority="1905" operator="between">
      <formula>7</formula>
      <formula>7.9</formula>
    </cfRule>
    <cfRule type="cellIs" dxfId="1095" priority="1903" operator="between">
      <formula>6</formula>
      <formula>6.9</formula>
    </cfRule>
    <cfRule type="containsBlanks" dxfId="1094" priority="1909" stopIfTrue="1">
      <formula>LEN(TRIM(H150))=0</formula>
    </cfRule>
    <cfRule type="cellIs" dxfId="1093" priority="1904" operator="between">
      <formula>10.1</formula>
      <formula>10.6</formula>
    </cfRule>
    <cfRule type="cellIs" dxfId="1092" priority="1908" stopIfTrue="1" operator="between">
      <formula>10</formula>
      <formula>10</formula>
    </cfRule>
    <cfRule type="cellIs" dxfId="1091" priority="1907" operator="between">
      <formula>9</formula>
      <formula>9.9</formula>
    </cfRule>
  </conditionalFormatting>
  <conditionalFormatting sqref="H165">
    <cfRule type="colorScale" priority="1850">
      <colorScale>
        <cfvo type="num" val="5"/>
        <cfvo type="num" val="10"/>
        <color rgb="FFFF494D"/>
        <color rgb="FF00FF66"/>
      </colorScale>
    </cfRule>
    <cfRule type="colorScale" priority="18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1090" priority="1851" operator="between">
      <formula>6</formula>
      <formula>6.9</formula>
    </cfRule>
    <cfRule type="cellIs" dxfId="1089" priority="1853" operator="between">
      <formula>7</formula>
      <formula>7.9</formula>
    </cfRule>
    <cfRule type="cellIs" dxfId="1088" priority="1856" stopIfTrue="1" operator="between">
      <formula>10</formula>
      <formula>10</formula>
    </cfRule>
    <cfRule type="cellIs" dxfId="1087" priority="1852" operator="between">
      <formula>10.1</formula>
      <formula>10.6</formula>
    </cfRule>
    <cfRule type="cellIs" dxfId="1086" priority="1855" operator="between">
      <formula>9</formula>
      <formula>9.9</formula>
    </cfRule>
    <cfRule type="containsBlanks" dxfId="1085" priority="1857" stopIfTrue="1">
      <formula>LEN(TRIM(H166))=0</formula>
    </cfRule>
    <cfRule type="cellIs" dxfId="1084" priority="1854" stopIfTrue="1" operator="between">
      <formula>8</formula>
      <formula>8.9</formula>
    </cfRule>
  </conditionalFormatting>
  <conditionalFormatting sqref="H177">
    <cfRule type="colorScale" priority="18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0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1083" priority="1803" operator="between">
      <formula>10.1</formula>
      <formula>10.6</formula>
    </cfRule>
    <cfRule type="cellIs" dxfId="1082" priority="1802" operator="between">
      <formula>6</formula>
      <formula>6.9</formula>
    </cfRule>
    <cfRule type="containsBlanks" dxfId="1081" priority="1808" stopIfTrue="1">
      <formula>LEN(TRIM(H178))=0</formula>
    </cfRule>
    <cfRule type="cellIs" dxfId="1080" priority="1807" stopIfTrue="1" operator="between">
      <formula>10</formula>
      <formula>10</formula>
    </cfRule>
    <cfRule type="cellIs" dxfId="1079" priority="1806" operator="between">
      <formula>9</formula>
      <formula>9.9</formula>
    </cfRule>
    <cfRule type="cellIs" dxfId="1078" priority="1805" stopIfTrue="1" operator="between">
      <formula>8</formula>
      <formula>8.9</formula>
    </cfRule>
    <cfRule type="cellIs" dxfId="1077" priority="1804" operator="between">
      <formula>7</formula>
      <formula>7.9</formula>
    </cfRule>
  </conditionalFormatting>
  <conditionalFormatting sqref="H191">
    <cfRule type="colorScale" priority="1750">
      <colorScale>
        <cfvo type="num" val="5"/>
        <cfvo type="num" val="10"/>
        <color rgb="FFFF494D"/>
        <color rgb="FF00FF66"/>
      </colorScale>
    </cfRule>
    <cfRule type="colorScale" priority="17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1076" priority="1743" operator="between">
      <formula>10.1</formula>
      <formula>10.6</formula>
    </cfRule>
    <cfRule type="cellIs" dxfId="1075" priority="1742" operator="between">
      <formula>6</formula>
      <formula>6.9</formula>
    </cfRule>
    <cfRule type="containsBlanks" dxfId="1074" priority="1748" stopIfTrue="1">
      <formula>LEN(TRIM(H192))=0</formula>
    </cfRule>
    <cfRule type="cellIs" dxfId="1073" priority="1747" stopIfTrue="1" operator="between">
      <formula>10</formula>
      <formula>10</formula>
    </cfRule>
    <cfRule type="cellIs" dxfId="1072" priority="1746" operator="between">
      <formula>9</formula>
      <formula>9.9</formula>
    </cfRule>
    <cfRule type="cellIs" dxfId="1071" priority="1745" stopIfTrue="1" operator="between">
      <formula>8</formula>
      <formula>8.9</formula>
    </cfRule>
    <cfRule type="cellIs" dxfId="1070" priority="1744" operator="between">
      <formula>7</formula>
      <formula>7.9</formula>
    </cfRule>
  </conditionalFormatting>
  <conditionalFormatting sqref="H202">
    <cfRule type="colorScale" priority="17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2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ontainsBlanks" dxfId="1069" priority="1709" stopIfTrue="1">
      <formula>LEN(TRIM(H203))=0</formula>
    </cfRule>
    <cfRule type="cellIs" dxfId="1068" priority="1708" stopIfTrue="1" operator="between">
      <formula>10</formula>
      <formula>10</formula>
    </cfRule>
    <cfRule type="cellIs" dxfId="1067" priority="1707" operator="between">
      <formula>9</formula>
      <formula>9.9</formula>
    </cfRule>
    <cfRule type="cellIs" dxfId="1066" priority="1706" stopIfTrue="1" operator="between">
      <formula>8</formula>
      <formula>8.9</formula>
    </cfRule>
    <cfRule type="cellIs" dxfId="1065" priority="1703" operator="between">
      <formula>6</formula>
      <formula>6.9</formula>
    </cfRule>
    <cfRule type="cellIs" dxfId="1064" priority="1704" operator="between">
      <formula>10.1</formula>
      <formula>11</formula>
    </cfRule>
    <cfRule type="cellIs" dxfId="1063" priority="1705" operator="between">
      <formula>7</formula>
      <formula>7.9</formula>
    </cfRule>
  </conditionalFormatting>
  <conditionalFormatting sqref="H215">
    <cfRule type="colorScale" priority="1651">
      <colorScale>
        <cfvo type="num" val="5"/>
        <cfvo type="num" val="10"/>
        <color rgb="FFFF494D"/>
        <color rgb="FF00FF66"/>
      </colorScale>
    </cfRule>
    <cfRule type="colorScale" priority="16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1062" priority="1652" operator="between">
      <formula>6</formula>
      <formula>6.9</formula>
    </cfRule>
    <cfRule type="containsBlanks" dxfId="1061" priority="1658" stopIfTrue="1">
      <formula>LEN(TRIM(H216))=0</formula>
    </cfRule>
    <cfRule type="cellIs" dxfId="1060" priority="1656" operator="between">
      <formula>9</formula>
      <formula>9.9</formula>
    </cfRule>
    <cfRule type="cellIs" dxfId="1059" priority="1655" stopIfTrue="1" operator="between">
      <formula>8</formula>
      <formula>8.9</formula>
    </cfRule>
    <cfRule type="cellIs" dxfId="1058" priority="1657" stopIfTrue="1" operator="between">
      <formula>10</formula>
      <formula>10</formula>
    </cfRule>
    <cfRule type="cellIs" dxfId="1057" priority="1653" operator="between">
      <formula>10.1</formula>
      <formula>10.6</formula>
    </cfRule>
    <cfRule type="cellIs" dxfId="1056" priority="1654" operator="between">
      <formula>7</formula>
      <formula>7.9</formula>
    </cfRule>
  </conditionalFormatting>
  <conditionalFormatting sqref="H229">
    <cfRule type="colorScale" priority="1620">
      <colorScale>
        <cfvo type="num" val="5"/>
        <cfvo type="num" val="10"/>
        <color rgb="FFFF494D"/>
        <color rgb="FF00FF66"/>
      </colorScale>
    </cfRule>
    <cfRule type="colorScale" priority="16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1055" priority="1614" operator="between">
      <formula>7</formula>
      <formula>7.9</formula>
    </cfRule>
    <cfRule type="cellIs" dxfId="1054" priority="1612" operator="between">
      <formula>6</formula>
      <formula>6.9</formula>
    </cfRule>
    <cfRule type="cellIs" dxfId="1053" priority="1613" operator="between">
      <formula>10.1</formula>
      <formula>10.6</formula>
    </cfRule>
    <cfRule type="containsBlanks" dxfId="1052" priority="1618" stopIfTrue="1">
      <formula>LEN(TRIM(H230))=0</formula>
    </cfRule>
    <cfRule type="cellIs" dxfId="1051" priority="1616" operator="between">
      <formula>9</formula>
      <formula>9.9</formula>
    </cfRule>
    <cfRule type="cellIs" dxfId="1050" priority="1615" stopIfTrue="1" operator="between">
      <formula>8</formula>
      <formula>8.9</formula>
    </cfRule>
    <cfRule type="cellIs" dxfId="1049" priority="1617" stopIfTrue="1" operator="between">
      <formula>10</formula>
      <formula>10</formula>
    </cfRule>
  </conditionalFormatting>
  <conditionalFormatting sqref="H246">
    <cfRule type="colorScale" priority="1561">
      <colorScale>
        <cfvo type="num" val="5"/>
        <cfvo type="num" val="10"/>
        <color rgb="FFFF494D"/>
        <color rgb="FF00FF66"/>
      </colorScale>
    </cfRule>
    <cfRule type="colorScale" priority="15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1048" priority="1565" stopIfTrue="1" operator="between">
      <formula>8</formula>
      <formula>8.9</formula>
    </cfRule>
    <cfRule type="cellIs" dxfId="1047" priority="1564" operator="between">
      <formula>7</formula>
      <formula>7.9</formula>
    </cfRule>
    <cfRule type="cellIs" dxfId="1046" priority="1563" operator="between">
      <formula>10.1</formula>
      <formula>10.6</formula>
    </cfRule>
    <cfRule type="cellIs" dxfId="1045" priority="1562" operator="between">
      <formula>6</formula>
      <formula>6.9</formula>
    </cfRule>
    <cfRule type="containsBlanks" dxfId="1044" priority="1568" stopIfTrue="1">
      <formula>LEN(TRIM(H247))=0</formula>
    </cfRule>
    <cfRule type="cellIs" dxfId="1043" priority="1567" stopIfTrue="1" operator="between">
      <formula>10</formula>
      <formula>10</formula>
    </cfRule>
    <cfRule type="cellIs" dxfId="1042" priority="1566" operator="between">
      <formula>9</formula>
      <formula>9.9</formula>
    </cfRule>
  </conditionalFormatting>
  <conditionalFormatting sqref="H258">
    <cfRule type="colorScale" priority="15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1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ontainsBlanks" dxfId="1041" priority="1528" stopIfTrue="1">
      <formula>LEN(TRIM(H259))=0</formula>
    </cfRule>
    <cfRule type="cellIs" dxfId="1040" priority="1527" stopIfTrue="1" operator="between">
      <formula>10</formula>
      <formula>10</formula>
    </cfRule>
    <cfRule type="cellIs" dxfId="1039" priority="1526" operator="between">
      <formula>9</formula>
      <formula>9.9</formula>
    </cfRule>
    <cfRule type="cellIs" dxfId="1038" priority="1525" stopIfTrue="1" operator="between">
      <formula>8</formula>
      <formula>8.9</formula>
    </cfRule>
    <cfRule type="cellIs" dxfId="1037" priority="1524" operator="between">
      <formula>7</formula>
      <formula>7.9</formula>
    </cfRule>
    <cfRule type="cellIs" dxfId="1036" priority="1523" operator="between">
      <formula>10.1</formula>
      <formula>10.6</formula>
    </cfRule>
    <cfRule type="cellIs" dxfId="1035" priority="1522" operator="between">
      <formula>6</formula>
      <formula>6.9</formula>
    </cfRule>
  </conditionalFormatting>
  <conditionalFormatting sqref="H265">
    <cfRule type="colorScale" priority="1492">
      <colorScale>
        <cfvo type="num" val="5"/>
        <cfvo type="num" val="10"/>
        <color rgb="FFFF494D"/>
        <color rgb="FF00FF66"/>
      </colorScale>
    </cfRule>
    <cfRule type="colorScale" priority="14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ellIs" dxfId="1034" priority="1486" operator="between">
      <formula>7</formula>
      <formula>7.9</formula>
    </cfRule>
    <cfRule type="cellIs" dxfId="1033" priority="1485" operator="between">
      <formula>10.1</formula>
      <formula>10.6</formula>
    </cfRule>
    <cfRule type="cellIs" dxfId="1032" priority="1484" operator="between">
      <formula>6</formula>
      <formula>6.9</formula>
    </cfRule>
    <cfRule type="cellIs" dxfId="1031" priority="1487" stopIfTrue="1" operator="between">
      <formula>8</formula>
      <formula>8.9</formula>
    </cfRule>
    <cfRule type="cellIs" dxfId="1030" priority="1488" operator="between">
      <formula>9</formula>
      <formula>9.9</formula>
    </cfRule>
    <cfRule type="cellIs" dxfId="1029" priority="1489" stopIfTrue="1" operator="between">
      <formula>10</formula>
      <formula>10</formula>
    </cfRule>
    <cfRule type="containsBlanks" dxfId="1028" priority="1490" stopIfTrue="1">
      <formula>LEN(TRIM(H266))=0</formula>
    </cfRule>
  </conditionalFormatting>
  <conditionalFormatting sqref="H276">
    <cfRule type="colorScale" priority="14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8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1027" priority="1460" operator="between">
      <formula>6</formula>
      <formula>6.9</formula>
    </cfRule>
    <cfRule type="cellIs" dxfId="1026" priority="1461" operator="between">
      <formula>10.1</formula>
      <formula>10.6</formula>
    </cfRule>
    <cfRule type="cellIs" dxfId="1025" priority="1462" operator="between">
      <formula>7</formula>
      <formula>7.9</formula>
    </cfRule>
    <cfRule type="cellIs" dxfId="1024" priority="1463" stopIfTrue="1" operator="between">
      <formula>8</formula>
      <formula>8.9</formula>
    </cfRule>
    <cfRule type="cellIs" dxfId="1023" priority="1464" operator="between">
      <formula>9</formula>
      <formula>9.9</formula>
    </cfRule>
    <cfRule type="cellIs" dxfId="1022" priority="1465" stopIfTrue="1" operator="between">
      <formula>10</formula>
      <formula>10</formula>
    </cfRule>
    <cfRule type="containsBlanks" dxfId="1021" priority="1466" stopIfTrue="1">
      <formula>LEN(TRIM(H277))=0</formula>
    </cfRule>
  </conditionalFormatting>
  <conditionalFormatting sqref="H288">
    <cfRule type="colorScale" priority="13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3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1020" priority="1385" operator="between">
      <formula>6</formula>
      <formula>6.9</formula>
    </cfRule>
    <cfRule type="cellIs" dxfId="1019" priority="1390" stopIfTrue="1" operator="between">
      <formula>10</formula>
      <formula>10</formula>
    </cfRule>
    <cfRule type="cellIs" dxfId="1018" priority="1386" operator="between">
      <formula>10.1</formula>
      <formula>10.6</formula>
    </cfRule>
    <cfRule type="cellIs" dxfId="1017" priority="1388" stopIfTrue="1" operator="between">
      <formula>8</formula>
      <formula>8.9</formula>
    </cfRule>
    <cfRule type="cellIs" dxfId="1016" priority="1389" operator="between">
      <formula>9</formula>
      <formula>9.9</formula>
    </cfRule>
    <cfRule type="containsBlanks" dxfId="1015" priority="1391" stopIfTrue="1">
      <formula>LEN(TRIM(H289))=0</formula>
    </cfRule>
    <cfRule type="cellIs" dxfId="1014" priority="1387" operator="between">
      <formula>7</formula>
      <formula>7.9</formula>
    </cfRule>
  </conditionalFormatting>
  <conditionalFormatting sqref="H296">
    <cfRule type="colorScale" priority="1384">
      <colorScale>
        <cfvo type="num" val="5"/>
        <cfvo type="num" val="10"/>
        <color rgb="FFFF494D"/>
        <color rgb="FF00FF66"/>
      </colorScale>
    </cfRule>
    <cfRule type="colorScale" priority="13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ontainsBlanks" dxfId="1013" priority="1374" stopIfTrue="1">
      <formula>LEN(TRIM(H297))=0</formula>
    </cfRule>
    <cfRule type="cellIs" dxfId="1012" priority="1375" operator="lessThan">
      <formula>2</formula>
    </cfRule>
    <cfRule type="cellIs" dxfId="1011" priority="1378" operator="between">
      <formula>10.1</formula>
      <formula>10.6</formula>
    </cfRule>
    <cfRule type="cellIs" dxfId="1010" priority="1376" operator="between">
      <formula>2</formula>
      <formula>4.9</formula>
    </cfRule>
    <cfRule type="cellIs" dxfId="1009" priority="1377" operator="between">
      <formula>5</formula>
      <formula>6.9</formula>
    </cfRule>
    <cfRule type="cellIs" dxfId="1008" priority="1379" operator="between">
      <formula>7</formula>
      <formula>7.9</formula>
    </cfRule>
    <cfRule type="cellIs" dxfId="1007" priority="1380" stopIfTrue="1" operator="between">
      <formula>8</formula>
      <formula>8.9</formula>
    </cfRule>
    <cfRule type="cellIs" dxfId="1006" priority="1382" stopIfTrue="1" operator="between">
      <formula>10</formula>
      <formula>10</formula>
    </cfRule>
    <cfRule type="cellIs" dxfId="1005" priority="1381" operator="between">
      <formula>9</formula>
      <formula>9.9</formula>
    </cfRule>
  </conditionalFormatting>
  <conditionalFormatting sqref="H309">
    <cfRule type="colorScale" priority="13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1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1004" priority="1305" operator="between">
      <formula>10.1</formula>
      <formula>10.6</formula>
    </cfRule>
    <cfRule type="cellIs" dxfId="1003" priority="1306" operator="between">
      <formula>7</formula>
      <formula>7.9</formula>
    </cfRule>
    <cfRule type="cellIs" dxfId="1002" priority="1307" stopIfTrue="1" operator="between">
      <formula>8</formula>
      <formula>8.9</formula>
    </cfRule>
    <cfRule type="cellIs" dxfId="1001" priority="1308" operator="between">
      <formula>9</formula>
      <formula>9.9</formula>
    </cfRule>
    <cfRule type="cellIs" dxfId="1000" priority="1309" stopIfTrue="1" operator="between">
      <formula>10</formula>
      <formula>10</formula>
    </cfRule>
    <cfRule type="cellIs" dxfId="999" priority="1304" operator="between">
      <formula>5</formula>
      <formula>6.9</formula>
    </cfRule>
    <cfRule type="cellIs" dxfId="998" priority="1303" operator="between">
      <formula>2</formula>
      <formula>4.9</formula>
    </cfRule>
    <cfRule type="cellIs" dxfId="997" priority="1302" operator="lessThan">
      <formula>2</formula>
    </cfRule>
    <cfRule type="containsBlanks" dxfId="996" priority="1301" stopIfTrue="1">
      <formula>LEN(TRIM(H310))=0</formula>
    </cfRule>
  </conditionalFormatting>
  <conditionalFormatting sqref="H329">
    <cfRule type="colorScale" priority="1212">
      <colorScale>
        <cfvo type="num" val="5"/>
        <cfvo type="num" val="10"/>
        <color rgb="FFFF494D"/>
        <color rgb="FF00FF66"/>
      </colorScale>
    </cfRule>
    <cfRule type="colorScale" priority="12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995" priority="1208" stopIfTrue="1" operator="between">
      <formula>8</formula>
      <formula>8.9</formula>
    </cfRule>
    <cfRule type="cellIs" dxfId="994" priority="1206" operator="between">
      <formula>10.1</formula>
      <formula>10.6</formula>
    </cfRule>
    <cfRule type="cellIs" dxfId="993" priority="1205" operator="between">
      <formula>5</formula>
      <formula>6.9</formula>
    </cfRule>
    <cfRule type="cellIs" dxfId="992" priority="1210" stopIfTrue="1" operator="between">
      <formula>10</formula>
      <formula>10</formula>
    </cfRule>
    <cfRule type="cellIs" dxfId="991" priority="1203" operator="lessThan">
      <formula>2</formula>
    </cfRule>
    <cfRule type="containsBlanks" dxfId="990" priority="1202" stopIfTrue="1">
      <formula>LEN(TRIM(H330))=0</formula>
    </cfRule>
    <cfRule type="cellIs" dxfId="989" priority="1204" operator="between">
      <formula>2</formula>
      <formula>4.9</formula>
    </cfRule>
    <cfRule type="cellIs" dxfId="988" priority="1207" operator="between">
      <formula>7</formula>
      <formula>7.9</formula>
    </cfRule>
    <cfRule type="cellIs" dxfId="987" priority="1209" operator="between">
      <formula>9</formula>
      <formula>9.9</formula>
    </cfRule>
  </conditionalFormatting>
  <conditionalFormatting sqref="H339">
    <cfRule type="colorScale" priority="1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1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ellIs" dxfId="986" priority="1186" operator="between">
      <formula>10.1</formula>
      <formula>10.6</formula>
    </cfRule>
    <cfRule type="cellIs" dxfId="985" priority="1189" operator="between">
      <formula>9</formula>
      <formula>9.9</formula>
    </cfRule>
    <cfRule type="cellIs" dxfId="984" priority="1187" operator="between">
      <formula>7</formula>
      <formula>7.9</formula>
    </cfRule>
    <cfRule type="cellIs" dxfId="983" priority="1188" stopIfTrue="1" operator="between">
      <formula>8</formula>
      <formula>8.9</formula>
    </cfRule>
    <cfRule type="containsBlanks" dxfId="982" priority="1182" stopIfTrue="1">
      <formula>LEN(TRIM(H340))=0</formula>
    </cfRule>
    <cfRule type="cellIs" dxfId="981" priority="1183" operator="lessThan">
      <formula>2</formula>
    </cfRule>
    <cfRule type="cellIs" dxfId="980" priority="1184" operator="between">
      <formula>2</formula>
      <formula>4.9</formula>
    </cfRule>
    <cfRule type="cellIs" dxfId="979" priority="1185" operator="between">
      <formula>5</formula>
      <formula>6.9</formula>
    </cfRule>
    <cfRule type="cellIs" dxfId="978" priority="1190" stopIfTrue="1" operator="between">
      <formula>10</formula>
      <formula>10</formula>
    </cfRule>
  </conditionalFormatting>
  <conditionalFormatting sqref="H353">
    <cfRule type="colorScale" priority="11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8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ellIs" dxfId="977" priority="1152" operator="between">
      <formula>5</formula>
      <formula>6.9</formula>
    </cfRule>
    <cfRule type="cellIs" dxfId="976" priority="1151" operator="between">
      <formula>2</formula>
      <formula>4.9</formula>
    </cfRule>
    <cfRule type="containsBlanks" dxfId="975" priority="1149" stopIfTrue="1">
      <formula>LEN(TRIM(H354))=0</formula>
    </cfRule>
    <cfRule type="cellIs" dxfId="974" priority="1150" operator="lessThan">
      <formula>2</formula>
    </cfRule>
    <cfRule type="cellIs" dxfId="973" priority="1154" operator="between">
      <formula>7</formula>
      <formula>7.9</formula>
    </cfRule>
    <cfRule type="cellIs" dxfId="972" priority="1157" stopIfTrue="1" operator="between">
      <formula>10</formula>
      <formula>10</formula>
    </cfRule>
    <cfRule type="cellIs" dxfId="971" priority="1156" operator="between">
      <formula>9</formula>
      <formula>9.9</formula>
    </cfRule>
    <cfRule type="cellIs" dxfId="970" priority="1155" stopIfTrue="1" operator="between">
      <formula>8</formula>
      <formula>8.9</formula>
    </cfRule>
    <cfRule type="cellIs" dxfId="969" priority="1153" operator="between">
      <formula>10.1</formula>
      <formula>10.6</formula>
    </cfRule>
  </conditionalFormatting>
  <conditionalFormatting sqref="H365">
    <cfRule type="colorScale" priority="1102">
      <colorScale>
        <cfvo type="num" val="5"/>
        <cfvo type="num" val="10"/>
        <color rgb="FFFF494D"/>
        <color rgb="FF00FF66"/>
      </colorScale>
    </cfRule>
    <cfRule type="colorScale" priority="11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968" priority="1110" operator="between">
      <formula>9</formula>
      <formula>9.9</formula>
    </cfRule>
    <cfRule type="cellIs" dxfId="967" priority="1109" stopIfTrue="1" operator="between">
      <formula>8</formula>
      <formula>8.9</formula>
    </cfRule>
    <cfRule type="cellIs" dxfId="966" priority="1108" operator="between">
      <formula>7</formula>
      <formula>7.9</formula>
    </cfRule>
    <cfRule type="containsBlanks" dxfId="965" priority="1103" stopIfTrue="1">
      <formula>LEN(TRIM(H366))=0</formula>
    </cfRule>
    <cfRule type="cellIs" dxfId="964" priority="1111" stopIfTrue="1" operator="between">
      <formula>10</formula>
      <formula>10</formula>
    </cfRule>
    <cfRule type="cellIs" dxfId="963" priority="1106" operator="between">
      <formula>5</formula>
      <formula>6.9</formula>
    </cfRule>
    <cfRule type="cellIs" dxfId="962" priority="1104" operator="lessThan">
      <formula>2</formula>
    </cfRule>
    <cfRule type="cellIs" dxfId="961" priority="1105" operator="between">
      <formula>2</formula>
      <formula>4.9</formula>
    </cfRule>
    <cfRule type="cellIs" dxfId="960" priority="1107" operator="between">
      <formula>10.1</formula>
      <formula>10.6</formula>
    </cfRule>
  </conditionalFormatting>
  <conditionalFormatting sqref="H374">
    <cfRule type="colorScale" priority="1065">
      <colorScale>
        <cfvo type="num" val="5"/>
        <cfvo type="num" val="10"/>
        <color rgb="FFFF494D"/>
        <color rgb="FF00FF66"/>
      </colorScale>
    </cfRule>
    <cfRule type="colorScale" priority="10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75:H385">
    <cfRule type="cellIs" dxfId="959" priority="1062" operator="between">
      <formula>9</formula>
      <formula>9.9</formula>
    </cfRule>
    <cfRule type="cellIs" dxfId="958" priority="1061" stopIfTrue="1" operator="between">
      <formula>8</formula>
      <formula>8.9</formula>
    </cfRule>
    <cfRule type="cellIs" dxfId="957" priority="1060" operator="between">
      <formula>7</formula>
      <formula>7.9</formula>
    </cfRule>
    <cfRule type="cellIs" dxfId="956" priority="1059" operator="between">
      <formula>10.1</formula>
      <formula>10.6</formula>
    </cfRule>
    <cfRule type="cellIs" dxfId="955" priority="1058" operator="between">
      <formula>5</formula>
      <formula>6.9</formula>
    </cfRule>
    <cfRule type="cellIs" dxfId="954" priority="1057" operator="between">
      <formula>2</formula>
      <formula>4.9</formula>
    </cfRule>
    <cfRule type="cellIs" dxfId="953" priority="1056" operator="lessThan">
      <formula>2</formula>
    </cfRule>
    <cfRule type="containsBlanks" dxfId="952" priority="1055" stopIfTrue="1">
      <formula>LEN(TRIM(H375))=0</formula>
    </cfRule>
    <cfRule type="cellIs" dxfId="951" priority="1063" stopIfTrue="1" operator="between">
      <formula>10</formula>
      <formula>10</formula>
    </cfRule>
  </conditionalFormatting>
  <conditionalFormatting sqref="H387">
    <cfRule type="colorScale" priority="9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9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ellIs" dxfId="950" priority="986" operator="between">
      <formula>9</formula>
      <formula>9.9</formula>
    </cfRule>
    <cfRule type="cellIs" dxfId="949" priority="980" operator="lessThan">
      <formula>2</formula>
    </cfRule>
    <cfRule type="cellIs" dxfId="948" priority="981" operator="between">
      <formula>2</formula>
      <formula>4.9</formula>
    </cfRule>
    <cfRule type="cellIs" dxfId="947" priority="982" operator="between">
      <formula>5</formula>
      <formula>6.9</formula>
    </cfRule>
    <cfRule type="cellIs" dxfId="946" priority="983" operator="between">
      <formula>10.1</formula>
      <formula>10.6</formula>
    </cfRule>
    <cfRule type="cellIs" dxfId="945" priority="985" stopIfTrue="1" operator="between">
      <formula>8</formula>
      <formula>8.9</formula>
    </cfRule>
    <cfRule type="cellIs" dxfId="944" priority="987" stopIfTrue="1" operator="between">
      <formula>10</formula>
      <formula>10</formula>
    </cfRule>
    <cfRule type="cellIs" dxfId="943" priority="984" operator="between">
      <formula>7</formula>
      <formula>7.9</formula>
    </cfRule>
    <cfRule type="containsBlanks" dxfId="942" priority="979" stopIfTrue="1">
      <formula>LEN(TRIM(H388))=0</formula>
    </cfRule>
  </conditionalFormatting>
  <conditionalFormatting sqref="H401">
    <cfRule type="colorScale" priority="903">
      <colorScale>
        <cfvo type="num" val="5"/>
        <cfvo type="num" val="10"/>
        <color rgb="FFFF494D"/>
        <color rgb="FF00FF66"/>
      </colorScale>
    </cfRule>
    <cfRule type="colorScale" priority="9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ellIs" dxfId="941" priority="905" operator="lessThan">
      <formula>2</formula>
    </cfRule>
    <cfRule type="cellIs" dxfId="940" priority="910" stopIfTrue="1" operator="between">
      <formula>8</formula>
      <formula>8.9</formula>
    </cfRule>
    <cfRule type="cellIs" dxfId="939" priority="909" operator="between">
      <formula>7</formula>
      <formula>7.9</formula>
    </cfRule>
    <cfRule type="cellIs" dxfId="938" priority="908" operator="between">
      <formula>10.1</formula>
      <formula>10.6</formula>
    </cfRule>
    <cfRule type="cellIs" dxfId="937" priority="907" operator="between">
      <formula>5</formula>
      <formula>6.9</formula>
    </cfRule>
    <cfRule type="containsBlanks" dxfId="936" priority="904" stopIfTrue="1">
      <formula>LEN(TRIM(H402))=0</formula>
    </cfRule>
    <cfRule type="cellIs" dxfId="935" priority="906" operator="between">
      <formula>2</formula>
      <formula>4.9</formula>
    </cfRule>
    <cfRule type="cellIs" dxfId="934" priority="911" operator="between">
      <formula>9</formula>
      <formula>9.9</formula>
    </cfRule>
    <cfRule type="cellIs" dxfId="933" priority="912" stopIfTrue="1" operator="between">
      <formula>10</formula>
      <formula>10</formula>
    </cfRule>
  </conditionalFormatting>
  <conditionalFormatting sqref="H415">
    <cfRule type="colorScale" priority="845">
      <colorScale>
        <cfvo type="num" val="5"/>
        <cfvo type="num" val="10"/>
        <color rgb="FFFF494D"/>
        <color rgb="FF00FF66"/>
      </colorScale>
    </cfRule>
    <cfRule type="colorScale" priority="8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ellIs" dxfId="932" priority="828" operator="between">
      <formula>2</formula>
      <formula>4.9</formula>
    </cfRule>
    <cfRule type="cellIs" dxfId="931" priority="830" operator="between">
      <formula>10.1</formula>
      <formula>10.6</formula>
    </cfRule>
    <cfRule type="cellIs" dxfId="930" priority="829" operator="between">
      <formula>5</formula>
      <formula>6.9</formula>
    </cfRule>
    <cfRule type="cellIs" dxfId="929" priority="831" operator="between">
      <formula>7</formula>
      <formula>7.9</formula>
    </cfRule>
    <cfRule type="cellIs" dxfId="928" priority="834" stopIfTrue="1" operator="between">
      <formula>10</formula>
      <formula>10</formula>
    </cfRule>
    <cfRule type="cellIs" dxfId="927" priority="833" operator="between">
      <formula>9</formula>
      <formula>9.9</formula>
    </cfRule>
    <cfRule type="cellIs" dxfId="926" priority="832" stopIfTrue="1" operator="between">
      <formula>8</formula>
      <formula>8.9</formula>
    </cfRule>
    <cfRule type="cellIs" dxfId="925" priority="827" operator="lessThan">
      <formula>2</formula>
    </cfRule>
    <cfRule type="containsBlanks" dxfId="924" priority="826" stopIfTrue="1">
      <formula>LEN(TRIM(H416))=0</formula>
    </cfRule>
  </conditionalFormatting>
  <conditionalFormatting sqref="H421">
    <cfRule type="colorScale" priority="8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4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ellIs" dxfId="923" priority="808" operator="between">
      <formula>10.1</formula>
      <formula>10.6</formula>
    </cfRule>
    <cfRule type="cellIs" dxfId="922" priority="807" operator="between">
      <formula>5</formula>
      <formula>6.9</formula>
    </cfRule>
    <cfRule type="cellIs" dxfId="921" priority="806" operator="between">
      <formula>2</formula>
      <formula>4.9</formula>
    </cfRule>
    <cfRule type="cellIs" dxfId="920" priority="805" operator="lessThan">
      <formula>2</formula>
    </cfRule>
    <cfRule type="cellIs" dxfId="919" priority="811" operator="between">
      <formula>9</formula>
      <formula>9.9</formula>
    </cfRule>
    <cfRule type="containsBlanks" dxfId="918" priority="804" stopIfTrue="1">
      <formula>LEN(TRIM(H422))=0</formula>
    </cfRule>
    <cfRule type="cellIs" dxfId="917" priority="810" stopIfTrue="1" operator="between">
      <formula>8</formula>
      <formula>8.9</formula>
    </cfRule>
    <cfRule type="cellIs" dxfId="916" priority="812" stopIfTrue="1" operator="between">
      <formula>10</formula>
      <formula>10</formula>
    </cfRule>
    <cfRule type="cellIs" dxfId="915" priority="809" operator="between">
      <formula>7</formula>
      <formula>7.9</formula>
    </cfRule>
  </conditionalFormatting>
  <conditionalFormatting sqref="H434">
    <cfRule type="colorScale" priority="737">
      <colorScale>
        <cfvo type="num" val="5"/>
        <cfvo type="num" val="10"/>
        <color rgb="FFFF494D"/>
        <color rgb="FF00FF66"/>
      </colorScale>
    </cfRule>
    <cfRule type="colorScale" priority="7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5:H449">
    <cfRule type="cellIs" dxfId="914" priority="739" operator="lessThan">
      <formula>2</formula>
    </cfRule>
    <cfRule type="cellIs" dxfId="913" priority="740" operator="between">
      <formula>2</formula>
      <formula>4.9</formula>
    </cfRule>
    <cfRule type="cellIs" dxfId="912" priority="741" operator="between">
      <formula>5</formula>
      <formula>6.9</formula>
    </cfRule>
    <cfRule type="containsBlanks" dxfId="911" priority="738" stopIfTrue="1">
      <formula>LEN(TRIM(H435))=0</formula>
    </cfRule>
    <cfRule type="cellIs" dxfId="910" priority="743" operator="between">
      <formula>7</formula>
      <formula>7.9</formula>
    </cfRule>
    <cfRule type="cellIs" dxfId="909" priority="744" stopIfTrue="1" operator="between">
      <formula>8</formula>
      <formula>8.9</formula>
    </cfRule>
    <cfRule type="cellIs" dxfId="908" priority="746" stopIfTrue="1" operator="between">
      <formula>10</formula>
      <formula>10</formula>
    </cfRule>
    <cfRule type="cellIs" dxfId="907" priority="745" operator="between">
      <formula>9</formula>
      <formula>9.9</formula>
    </cfRule>
    <cfRule type="cellIs" dxfId="906" priority="742" operator="between">
      <formula>10.1</formula>
      <formula>10.6</formula>
    </cfRule>
  </conditionalFormatting>
  <conditionalFormatting sqref="H451"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1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ellIs" dxfId="905" priority="654" operator="between">
      <formula>2</formula>
      <formula>4.9</formula>
    </cfRule>
    <cfRule type="cellIs" dxfId="904" priority="659" operator="between">
      <formula>9</formula>
      <formula>9.9</formula>
    </cfRule>
    <cfRule type="cellIs" dxfId="903" priority="656" operator="between">
      <formula>10.1</formula>
      <formula>10.6</formula>
    </cfRule>
    <cfRule type="cellIs" dxfId="902" priority="655" operator="between">
      <formula>5</formula>
      <formula>6.9</formula>
    </cfRule>
    <cfRule type="cellIs" dxfId="901" priority="658" stopIfTrue="1" operator="between">
      <formula>8</formula>
      <formula>8.9</formula>
    </cfRule>
    <cfRule type="cellIs" dxfId="900" priority="660" stopIfTrue="1" operator="between">
      <formula>10</formula>
      <formula>10</formula>
    </cfRule>
    <cfRule type="cellIs" dxfId="899" priority="653" operator="lessThan">
      <formula>2</formula>
    </cfRule>
    <cfRule type="containsBlanks" dxfId="898" priority="652" stopIfTrue="1">
      <formula>LEN(TRIM(H452))=0</formula>
    </cfRule>
    <cfRule type="cellIs" dxfId="897" priority="657" operator="between">
      <formula>7</formula>
      <formula>7.9</formula>
    </cfRule>
  </conditionalFormatting>
  <conditionalFormatting sqref="H467"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7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ellIs" dxfId="896" priority="616" stopIfTrue="1" operator="between">
      <formula>10</formula>
      <formula>10</formula>
    </cfRule>
    <cfRule type="containsBlanks" dxfId="895" priority="608" stopIfTrue="1">
      <formula>LEN(TRIM(H468))=0</formula>
    </cfRule>
    <cfRule type="cellIs" dxfId="894" priority="609" operator="lessThan">
      <formula>2</formula>
    </cfRule>
    <cfRule type="cellIs" dxfId="893" priority="612" operator="between">
      <formula>10.1</formula>
      <formula>10.6</formula>
    </cfRule>
    <cfRule type="cellIs" dxfId="892" priority="614" stopIfTrue="1" operator="between">
      <formula>8</formula>
      <formula>8.9</formula>
    </cfRule>
    <cfRule type="cellIs" dxfId="891" priority="611" operator="between">
      <formula>5</formula>
      <formula>6.9</formula>
    </cfRule>
    <cfRule type="cellIs" dxfId="890" priority="615" operator="between">
      <formula>9</formula>
      <formula>9.9</formula>
    </cfRule>
    <cfRule type="cellIs" dxfId="889" priority="613" operator="between">
      <formula>7</formula>
      <formula>7.9</formula>
    </cfRule>
    <cfRule type="cellIs" dxfId="888" priority="610" operator="between">
      <formula>2</formula>
      <formula>4.9</formula>
    </cfRule>
  </conditionalFormatting>
  <conditionalFormatting sqref="H474"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4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ontainsBlanks" dxfId="887" priority="575" stopIfTrue="1">
      <formula>LEN(TRIM(H475))=0</formula>
    </cfRule>
    <cfRule type="cellIs" dxfId="886" priority="576" operator="lessThan">
      <formula>2</formula>
    </cfRule>
    <cfRule type="cellIs" dxfId="885" priority="582" operator="between">
      <formula>9</formula>
      <formula>9.9</formula>
    </cfRule>
    <cfRule type="cellIs" dxfId="884" priority="581" stopIfTrue="1" operator="between">
      <formula>8</formula>
      <formula>8.9</formula>
    </cfRule>
    <cfRule type="cellIs" dxfId="883" priority="580" operator="between">
      <formula>7</formula>
      <formula>7.9</formula>
    </cfRule>
    <cfRule type="cellIs" dxfId="882" priority="583" stopIfTrue="1" operator="between">
      <formula>10</formula>
      <formula>10</formula>
    </cfRule>
    <cfRule type="cellIs" dxfId="881" priority="579" operator="between">
      <formula>10.1</formula>
      <formula>10.6</formula>
    </cfRule>
    <cfRule type="cellIs" dxfId="880" priority="578" operator="between">
      <formula>5</formula>
      <formula>6.9</formula>
    </cfRule>
    <cfRule type="cellIs" dxfId="879" priority="577" operator="between">
      <formula>2</formula>
      <formula>4.9</formula>
    </cfRule>
  </conditionalFormatting>
  <conditionalFormatting sqref="H488">
    <cfRule type="colorScale" priority="528">
      <colorScale>
        <cfvo type="num" val="5"/>
        <cfvo type="num" val="10"/>
        <color rgb="FFFF494D"/>
        <color rgb="FF00FF66"/>
      </colorScale>
    </cfRule>
    <cfRule type="colorScale" priority="5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9:H498">
    <cfRule type="cellIs" dxfId="878" priority="522" operator="between">
      <formula>10.1</formula>
      <formula>10.6</formula>
    </cfRule>
    <cfRule type="cellIs" dxfId="877" priority="521" operator="between">
      <formula>5</formula>
      <formula>6.9</formula>
    </cfRule>
    <cfRule type="cellIs" dxfId="876" priority="520" operator="between">
      <formula>2</formula>
      <formula>4.9</formula>
    </cfRule>
    <cfRule type="cellIs" dxfId="875" priority="519" operator="lessThan">
      <formula>2</formula>
    </cfRule>
    <cfRule type="cellIs" dxfId="874" priority="523" operator="between">
      <formula>7</formula>
      <formula>7.9</formula>
    </cfRule>
    <cfRule type="cellIs" dxfId="873" priority="526" stopIfTrue="1" operator="between">
      <formula>10</formula>
      <formula>10</formula>
    </cfRule>
    <cfRule type="cellIs" dxfId="872" priority="525" operator="between">
      <formula>9</formula>
      <formula>9.9</formula>
    </cfRule>
    <cfRule type="cellIs" dxfId="871" priority="524" stopIfTrue="1" operator="between">
      <formula>8</formula>
      <formula>8.9</formula>
    </cfRule>
    <cfRule type="containsBlanks" dxfId="870" priority="518" stopIfTrue="1">
      <formula>LEN(TRIM(H489))=0</formula>
    </cfRule>
  </conditionalFormatting>
  <conditionalFormatting sqref="H500">
    <cfRule type="colorScale" priority="464">
      <colorScale>
        <cfvo type="num" val="5"/>
        <cfvo type="num" val="10"/>
        <color rgb="FFFF494D"/>
        <color rgb="FF00FF66"/>
      </colorScale>
    </cfRule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01:H510">
    <cfRule type="cellIs" dxfId="869" priority="467" operator="between">
      <formula>2</formula>
      <formula>4.9</formula>
    </cfRule>
    <cfRule type="cellIs" dxfId="868" priority="466" operator="lessThan">
      <formula>2</formula>
    </cfRule>
    <cfRule type="containsBlanks" dxfId="867" priority="465" stopIfTrue="1">
      <formula>LEN(TRIM(H501))=0</formula>
    </cfRule>
    <cfRule type="cellIs" dxfId="866" priority="472" operator="between">
      <formula>9</formula>
      <formula>9.9</formula>
    </cfRule>
    <cfRule type="cellIs" dxfId="865" priority="473" stopIfTrue="1" operator="between">
      <formula>10</formula>
      <formula>10</formula>
    </cfRule>
    <cfRule type="cellIs" dxfId="864" priority="468" operator="between">
      <formula>5</formula>
      <formula>6.9</formula>
    </cfRule>
    <cfRule type="cellIs" dxfId="863" priority="471" stopIfTrue="1" operator="between">
      <formula>8</formula>
      <formula>8.9</formula>
    </cfRule>
    <cfRule type="cellIs" dxfId="862" priority="470" operator="between">
      <formula>7</formula>
      <formula>7.9</formula>
    </cfRule>
    <cfRule type="cellIs" dxfId="861" priority="469" operator="between">
      <formula>10.1</formula>
      <formula>10.6</formula>
    </cfRule>
  </conditionalFormatting>
  <conditionalFormatting sqref="H512"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1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ellIs" dxfId="860" priority="434" operator="between">
      <formula>2</formula>
      <formula>4.9</formula>
    </cfRule>
    <cfRule type="cellIs" dxfId="859" priority="436" operator="between">
      <formula>10.1</formula>
      <formula>10.6</formula>
    </cfRule>
    <cfRule type="containsBlanks" dxfId="858" priority="432" stopIfTrue="1">
      <formula>LEN(TRIM(H513))=0</formula>
    </cfRule>
    <cfRule type="cellIs" dxfId="857" priority="433" operator="lessThan">
      <formula>2</formula>
    </cfRule>
    <cfRule type="cellIs" dxfId="856" priority="435" operator="between">
      <formula>5</formula>
      <formula>6.9</formula>
    </cfRule>
    <cfRule type="cellIs" dxfId="855" priority="437" operator="between">
      <formula>7</formula>
      <formula>7.9</formula>
    </cfRule>
    <cfRule type="cellIs" dxfId="854" priority="438" stopIfTrue="1" operator="between">
      <formula>8</formula>
      <formula>8.9</formula>
    </cfRule>
    <cfRule type="cellIs" dxfId="853" priority="439" operator="between">
      <formula>9</formula>
      <formula>9.9</formula>
    </cfRule>
    <cfRule type="cellIs" dxfId="852" priority="440" stopIfTrue="1" operator="between">
      <formula>10</formula>
      <formula>10</formula>
    </cfRule>
  </conditionalFormatting>
  <conditionalFormatting sqref="H521">
    <cfRule type="colorScale" priority="385">
      <colorScale>
        <cfvo type="num" val="5"/>
        <cfvo type="num" val="10"/>
        <color rgb="FFFF494D"/>
        <color rgb="FF00FF66"/>
      </colorScale>
    </cfRule>
    <cfRule type="colorScale" priority="3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22:H528">
    <cfRule type="cellIs" dxfId="851" priority="379" operator="between">
      <formula>10.1</formula>
      <formula>10.6</formula>
    </cfRule>
    <cfRule type="containsBlanks" dxfId="850" priority="375" stopIfTrue="1">
      <formula>LEN(TRIM(H522))=0</formula>
    </cfRule>
    <cfRule type="cellIs" dxfId="849" priority="383" stopIfTrue="1" operator="between">
      <formula>10</formula>
      <formula>10</formula>
    </cfRule>
    <cfRule type="cellIs" dxfId="848" priority="380" operator="between">
      <formula>7</formula>
      <formula>7.9</formula>
    </cfRule>
    <cfRule type="cellIs" dxfId="847" priority="382" operator="between">
      <formula>9</formula>
      <formula>9.9</formula>
    </cfRule>
    <cfRule type="cellIs" dxfId="846" priority="378" operator="between">
      <formula>5</formula>
      <formula>6.9</formula>
    </cfRule>
    <cfRule type="cellIs" dxfId="845" priority="377" operator="between">
      <formula>2</formula>
      <formula>4.9</formula>
    </cfRule>
    <cfRule type="cellIs" dxfId="844" priority="376" operator="lessThan">
      <formula>2</formula>
    </cfRule>
    <cfRule type="cellIs" dxfId="843" priority="381" stopIfTrue="1" operator="between">
      <formula>8</formula>
      <formula>8.9</formula>
    </cfRule>
  </conditionalFormatting>
  <conditionalFormatting sqref="H530">
    <cfRule type="colorScale" priority="321">
      <colorScale>
        <cfvo type="num" val="5"/>
        <cfvo type="num" val="10"/>
        <color rgb="FFFF494D"/>
        <color rgb="FF00FF66"/>
      </colorScale>
    </cfRule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31:H542">
    <cfRule type="cellIs" dxfId="842" priority="330" stopIfTrue="1" operator="between">
      <formula>10</formula>
      <formula>10</formula>
    </cfRule>
    <cfRule type="containsBlanks" dxfId="841" priority="322" stopIfTrue="1">
      <formula>LEN(TRIM(H531))=0</formula>
    </cfRule>
    <cfRule type="cellIs" dxfId="840" priority="323" operator="lessThan">
      <formula>2</formula>
    </cfRule>
    <cfRule type="cellIs" dxfId="839" priority="324" operator="between">
      <formula>2</formula>
      <formula>4.9</formula>
    </cfRule>
    <cfRule type="cellIs" dxfId="838" priority="325" operator="between">
      <formula>5</formula>
      <formula>6.9</formula>
    </cfRule>
    <cfRule type="cellIs" dxfId="837" priority="326" operator="between">
      <formula>10.1</formula>
      <formula>10.6</formula>
    </cfRule>
    <cfRule type="cellIs" dxfId="836" priority="327" operator="between">
      <formula>7</formula>
      <formula>7.9</formula>
    </cfRule>
    <cfRule type="cellIs" dxfId="835" priority="328" stopIfTrue="1" operator="between">
      <formula>8</formula>
      <formula>8.9</formula>
    </cfRule>
    <cfRule type="cellIs" dxfId="834" priority="329" operator="between">
      <formula>9</formula>
      <formula>9.9</formula>
    </cfRule>
  </conditionalFormatting>
  <conditionalFormatting sqref="H544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H545:H560">
    <cfRule type="cellIs" dxfId="833" priority="285" operator="between">
      <formula>9</formula>
      <formula>9.9</formula>
    </cfRule>
    <cfRule type="cellIs" dxfId="832" priority="280" operator="between">
      <formula>2</formula>
      <formula>4.9</formula>
    </cfRule>
    <cfRule type="cellIs" dxfId="831" priority="281" operator="between">
      <formula>5</formula>
      <formula>6.9</formula>
    </cfRule>
    <cfRule type="cellIs" dxfId="830" priority="279" operator="lessThan">
      <formula>2</formula>
    </cfRule>
    <cfRule type="cellIs" dxfId="829" priority="286" stopIfTrue="1" operator="between">
      <formula>10</formula>
      <formula>10</formula>
    </cfRule>
    <cfRule type="cellIs" dxfId="828" priority="282" operator="between">
      <formula>10.1</formula>
      <formula>10.6</formula>
    </cfRule>
    <cfRule type="cellIs" dxfId="827" priority="283" operator="between">
      <formula>7</formula>
      <formula>7.9</formula>
    </cfRule>
    <cfRule type="cellIs" dxfId="826" priority="284" stopIfTrue="1" operator="between">
      <formula>8</formula>
      <formula>8.9</formula>
    </cfRule>
    <cfRule type="containsBlanks" dxfId="825" priority="278" stopIfTrue="1">
      <formula>LEN(TRIM(H545))=0</formula>
    </cfRule>
  </conditionalFormatting>
  <conditionalFormatting sqref="H562">
    <cfRule type="colorScale" priority="200">
      <colorScale>
        <cfvo type="num" val="5"/>
        <cfvo type="num" val="10"/>
        <color rgb="FFFF494D"/>
        <color rgb="FF00FF66"/>
      </colorScale>
    </cfRule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63:H570">
    <cfRule type="cellIs" dxfId="824" priority="202" operator="lessThan">
      <formula>2</formula>
    </cfRule>
    <cfRule type="cellIs" dxfId="823" priority="207" stopIfTrue="1" operator="between">
      <formula>8</formula>
      <formula>8.9</formula>
    </cfRule>
    <cfRule type="containsBlanks" dxfId="822" priority="201" stopIfTrue="1">
      <formula>LEN(TRIM(H563))=0</formula>
    </cfRule>
    <cfRule type="cellIs" dxfId="821" priority="209" stopIfTrue="1" operator="between">
      <formula>10</formula>
      <formula>10</formula>
    </cfRule>
    <cfRule type="cellIs" dxfId="820" priority="208" operator="between">
      <formula>9</formula>
      <formula>9.9</formula>
    </cfRule>
    <cfRule type="cellIs" dxfId="819" priority="203" operator="between">
      <formula>2</formula>
      <formula>4.9</formula>
    </cfRule>
    <cfRule type="cellIs" dxfId="818" priority="206" operator="between">
      <formula>7</formula>
      <formula>7.9</formula>
    </cfRule>
    <cfRule type="cellIs" dxfId="817" priority="205" operator="between">
      <formula>10.1</formula>
      <formula>10.6</formula>
    </cfRule>
    <cfRule type="cellIs" dxfId="816" priority="204" operator="between">
      <formula>5</formula>
      <formula>6.9</formula>
    </cfRule>
  </conditionalFormatting>
  <conditionalFormatting sqref="H572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H573:H585">
    <cfRule type="cellIs" dxfId="815" priority="161" operator="between">
      <formula>10.1</formula>
      <formula>10.6</formula>
    </cfRule>
    <cfRule type="cellIs" dxfId="814" priority="160" operator="between">
      <formula>5</formula>
      <formula>6.9</formula>
    </cfRule>
    <cfRule type="cellIs" dxfId="813" priority="159" operator="between">
      <formula>2</formula>
      <formula>4.9</formula>
    </cfRule>
    <cfRule type="cellIs" dxfId="812" priority="158" operator="lessThan">
      <formula>2</formula>
    </cfRule>
    <cfRule type="containsBlanks" dxfId="811" priority="157" stopIfTrue="1">
      <formula>LEN(TRIM(H573))=0</formula>
    </cfRule>
    <cfRule type="cellIs" dxfId="810" priority="164" operator="between">
      <formula>9</formula>
      <formula>9.9</formula>
    </cfRule>
    <cfRule type="cellIs" dxfId="809" priority="165" stopIfTrue="1" operator="between">
      <formula>10</formula>
      <formula>10</formula>
    </cfRule>
    <cfRule type="cellIs" dxfId="808" priority="162" operator="between">
      <formula>7</formula>
      <formula>7.9</formula>
    </cfRule>
    <cfRule type="cellIs" dxfId="807" priority="163" stopIfTrue="1" operator="between">
      <formula>8</formula>
      <formula>8.9</formula>
    </cfRule>
  </conditionalFormatting>
  <conditionalFormatting sqref="H587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H588:H594">
    <cfRule type="containsBlanks" dxfId="806" priority="113" stopIfTrue="1">
      <formula>LEN(TRIM(H588))=0</formula>
    </cfRule>
    <cfRule type="cellIs" dxfId="805" priority="114" operator="lessThan">
      <formula>2</formula>
    </cfRule>
    <cfRule type="cellIs" dxfId="804" priority="115" operator="between">
      <formula>2</formula>
      <formula>4.9</formula>
    </cfRule>
    <cfRule type="cellIs" dxfId="803" priority="116" operator="between">
      <formula>5</formula>
      <formula>6.9</formula>
    </cfRule>
    <cfRule type="cellIs" dxfId="802" priority="117" operator="between">
      <formula>10.1</formula>
      <formula>10.6</formula>
    </cfRule>
    <cfRule type="cellIs" dxfId="801" priority="118" operator="between">
      <formula>7</formula>
      <formula>7.9</formula>
    </cfRule>
    <cfRule type="cellIs" dxfId="800" priority="120" operator="between">
      <formula>9</formula>
      <formula>9.9</formula>
    </cfRule>
    <cfRule type="cellIs" dxfId="799" priority="121" stopIfTrue="1" operator="between">
      <formula>10</formula>
      <formula>10</formula>
    </cfRule>
    <cfRule type="cellIs" dxfId="798" priority="119" stopIfTrue="1" operator="between">
      <formula>8</formula>
      <formula>8.9</formula>
    </cfRule>
  </conditionalFormatting>
  <conditionalFormatting sqref="H596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H597:H602">
    <cfRule type="cellIs" dxfId="797" priority="83" operator="between">
      <formula>5</formula>
      <formula>6.9</formula>
    </cfRule>
    <cfRule type="cellIs" dxfId="796" priority="87" operator="between">
      <formula>9</formula>
      <formula>9.9</formula>
    </cfRule>
    <cfRule type="cellIs" dxfId="795" priority="86" stopIfTrue="1" operator="between">
      <formula>8</formula>
      <formula>8.9</formula>
    </cfRule>
    <cfRule type="cellIs" dxfId="794" priority="81" operator="lessThan">
      <formula>2</formula>
    </cfRule>
    <cfRule type="cellIs" dxfId="793" priority="82" operator="between">
      <formula>2</formula>
      <formula>4.9</formula>
    </cfRule>
    <cfRule type="cellIs" dxfId="792" priority="85" operator="between">
      <formula>7</formula>
      <formula>7.9</formula>
    </cfRule>
    <cfRule type="cellIs" dxfId="791" priority="84" operator="between">
      <formula>10.1</formula>
      <formula>10.6</formula>
    </cfRule>
    <cfRule type="cellIs" dxfId="790" priority="88" stopIfTrue="1" operator="between">
      <formula>10</formula>
      <formula>10</formula>
    </cfRule>
    <cfRule type="containsBlanks" dxfId="789" priority="80" stopIfTrue="1">
      <formula>LEN(TRIM(H597))=0</formula>
    </cfRule>
  </conditionalFormatting>
  <conditionalFormatting sqref="H604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H605:H634">
    <cfRule type="cellIs" dxfId="788" priority="26" operator="lessThan">
      <formula>2</formula>
    </cfRule>
    <cfRule type="cellIs" dxfId="787" priority="27" operator="between">
      <formula>2</formula>
      <formula>4.9</formula>
    </cfRule>
    <cfRule type="cellIs" dxfId="786" priority="28" operator="between">
      <formula>5</formula>
      <formula>6.9</formula>
    </cfRule>
    <cfRule type="cellIs" dxfId="785" priority="29" operator="between">
      <formula>10.1</formula>
      <formula>10.6</formula>
    </cfRule>
    <cfRule type="cellIs" dxfId="784" priority="30" operator="between">
      <formula>7</formula>
      <formula>7.9</formula>
    </cfRule>
    <cfRule type="cellIs" dxfId="783" priority="31" stopIfTrue="1" operator="between">
      <formula>8</formula>
      <formula>8.9</formula>
    </cfRule>
    <cfRule type="cellIs" dxfId="782" priority="33" stopIfTrue="1" operator="between">
      <formula>10</formula>
      <formula>10</formula>
    </cfRule>
    <cfRule type="cellIs" dxfId="781" priority="32" operator="between">
      <formula>9</formula>
      <formula>9.9</formula>
    </cfRule>
    <cfRule type="containsBlanks" dxfId="780" priority="25" stopIfTrue="1">
      <formula>LEN(TRIM(H605))=0</formula>
    </cfRule>
  </conditionalFormatting>
  <conditionalFormatting sqref="K3:K12">
    <cfRule type="cellIs" dxfId="779" priority="2372" operator="between">
      <formula>7</formula>
      <formula>7.9</formula>
    </cfRule>
    <cfRule type="cellIs" dxfId="778" priority="2373" stopIfTrue="1" operator="between">
      <formula>8</formula>
      <formula>8.9</formula>
    </cfRule>
    <cfRule type="cellIs" dxfId="777" priority="2374" operator="between">
      <formula>9</formula>
      <formula>9.9</formula>
    </cfRule>
    <cfRule type="cellIs" dxfId="776" priority="2375" stopIfTrue="1" operator="between">
      <formula>10</formula>
      <formula>10</formula>
    </cfRule>
    <cfRule type="containsBlanks" dxfId="775" priority="2376" stopIfTrue="1">
      <formula>LEN(TRIM(K3))=0</formula>
    </cfRule>
    <cfRule type="cellIs" dxfId="774" priority="2371" operator="between">
      <formula>10.1</formula>
      <formula>10.6</formula>
    </cfRule>
  </conditionalFormatting>
  <conditionalFormatting sqref="K15:K23">
    <cfRule type="cellIs" dxfId="773" priority="1782" stopIfTrue="1" operator="between">
      <formula>10</formula>
      <formula>10</formula>
    </cfRule>
    <cfRule type="cellIs" dxfId="772" priority="1779" operator="between">
      <formula>7</formula>
      <formula>7.9</formula>
    </cfRule>
    <cfRule type="cellIs" dxfId="771" priority="1780" stopIfTrue="1" operator="between">
      <formula>8</formula>
      <formula>8.9</formula>
    </cfRule>
    <cfRule type="cellIs" dxfId="770" priority="1781" operator="between">
      <formula>9</formula>
      <formula>9.9</formula>
    </cfRule>
  </conditionalFormatting>
  <conditionalFormatting sqref="K23">
    <cfRule type="containsBlanks" dxfId="769" priority="1783" stopIfTrue="1">
      <formula>LEN(TRIM(K23))=0</formula>
    </cfRule>
    <cfRule type="cellIs" dxfId="768" priority="1778" operator="between">
      <formula>10.1</formula>
      <formula>10.6</formula>
    </cfRule>
  </conditionalFormatting>
  <conditionalFormatting sqref="K26:K38">
    <cfRule type="cellIs" dxfId="767" priority="2406" operator="between">
      <formula>7</formula>
      <formula>7.9</formula>
    </cfRule>
    <cfRule type="cellIs" dxfId="766" priority="2407" stopIfTrue="1" operator="between">
      <formula>8</formula>
      <formula>8.9</formula>
    </cfRule>
    <cfRule type="cellIs" dxfId="765" priority="2408" operator="between">
      <formula>9</formula>
      <formula>9.9</formula>
    </cfRule>
    <cfRule type="cellIs" dxfId="764" priority="2409" stopIfTrue="1" operator="between">
      <formula>10</formula>
      <formula>10</formula>
    </cfRule>
    <cfRule type="containsBlanks" dxfId="763" priority="2410" stopIfTrue="1">
      <formula>LEN(TRIM(K26))=0</formula>
    </cfRule>
  </conditionalFormatting>
  <conditionalFormatting sqref="K40">
    <cfRule type="colorScale" priority="2729">
      <colorScale>
        <cfvo type="num" val="5"/>
        <cfvo type="num" val="10"/>
        <color rgb="FFFF494D"/>
        <color rgb="FF00FF66"/>
      </colorScale>
    </cfRule>
    <cfRule type="colorScale" priority="27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762" priority="2314" operator="between">
      <formula>9</formula>
      <formula>9.9</formula>
    </cfRule>
    <cfRule type="cellIs" dxfId="761" priority="2315" stopIfTrue="1" operator="between">
      <formula>10</formula>
      <formula>10</formula>
    </cfRule>
    <cfRule type="containsBlanks" dxfId="760" priority="2316" stopIfTrue="1">
      <formula>LEN(TRIM(K41))=0</formula>
    </cfRule>
    <cfRule type="cellIs" dxfId="759" priority="2312" operator="between">
      <formula>7</formula>
      <formula>7.9</formula>
    </cfRule>
    <cfRule type="cellIs" dxfId="758" priority="2311" operator="between">
      <formula>10.1</formula>
      <formula>10.6</formula>
    </cfRule>
    <cfRule type="cellIs" dxfId="757" priority="2313" stopIfTrue="1" operator="between">
      <formula>8</formula>
      <formula>8.9</formula>
    </cfRule>
  </conditionalFormatting>
  <conditionalFormatting sqref="K54">
    <cfRule type="colorScale" priority="2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80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756" priority="2274" operator="between">
      <formula>7</formula>
      <formula>7.9</formula>
    </cfRule>
    <cfRule type="cellIs" dxfId="755" priority="2275" stopIfTrue="1" operator="between">
      <formula>8</formula>
      <formula>8.9</formula>
    </cfRule>
    <cfRule type="cellIs" dxfId="754" priority="2276" operator="between">
      <formula>9</formula>
      <formula>9.9</formula>
    </cfRule>
    <cfRule type="containsBlanks" dxfId="753" priority="2278" stopIfTrue="1">
      <formula>LEN(TRIM(K55))=0</formula>
    </cfRule>
    <cfRule type="cellIs" dxfId="752" priority="2277" stopIfTrue="1" operator="between">
      <formula>10</formula>
      <formula>10</formula>
    </cfRule>
    <cfRule type="cellIs" dxfId="751" priority="2273" operator="between">
      <formula>10.1</formula>
      <formula>10.6</formula>
    </cfRule>
  </conditionalFormatting>
  <conditionalFormatting sqref="K66">
    <cfRule type="colorScale" priority="2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3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750" priority="2249" operator="between">
      <formula>9</formula>
      <formula>9.9</formula>
    </cfRule>
    <cfRule type="cellIs" dxfId="749" priority="2248" stopIfTrue="1" operator="between">
      <formula>8</formula>
      <formula>8.9</formula>
    </cfRule>
    <cfRule type="cellIs" dxfId="748" priority="2247" operator="between">
      <formula>7</formula>
      <formula>7.9</formula>
    </cfRule>
    <cfRule type="cellIs" dxfId="747" priority="2246" operator="between">
      <formula>10.1</formula>
      <formula>10.6</formula>
    </cfRule>
    <cfRule type="containsBlanks" dxfId="746" priority="2251" stopIfTrue="1">
      <formula>LEN(TRIM(K67))=0</formula>
    </cfRule>
    <cfRule type="cellIs" dxfId="745" priority="2250" stopIfTrue="1" operator="between">
      <formula>10</formula>
      <formula>10</formula>
    </cfRule>
  </conditionalFormatting>
  <conditionalFormatting sqref="K77">
    <cfRule type="colorScale" priority="2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0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744" priority="2197" stopIfTrue="1" operator="between">
      <formula>10</formula>
      <formula>10</formula>
    </cfRule>
    <cfRule type="cellIs" dxfId="743" priority="2193" operator="between">
      <formula>10.1</formula>
      <formula>10.6</formula>
    </cfRule>
    <cfRule type="containsBlanks" dxfId="742" priority="2198" stopIfTrue="1">
      <formula>LEN(TRIM(K78))=0</formula>
    </cfRule>
    <cfRule type="cellIs" dxfId="741" priority="2196" operator="between">
      <formula>9</formula>
      <formula>9.9</formula>
    </cfRule>
    <cfRule type="cellIs" dxfId="740" priority="2195" stopIfTrue="1" operator="between">
      <formula>8</formula>
      <formula>8.9</formula>
    </cfRule>
    <cfRule type="cellIs" dxfId="739" priority="2194" operator="between">
      <formula>7</formula>
      <formula>7.9</formula>
    </cfRule>
  </conditionalFormatting>
  <conditionalFormatting sqref="K90">
    <cfRule type="colorScale" priority="2147">
      <colorScale>
        <cfvo type="num" val="5"/>
        <cfvo type="num" val="10"/>
        <color rgb="FFFF494D"/>
        <color rgb="FF00FF66"/>
      </colorScale>
    </cfRule>
    <cfRule type="colorScale" priority="2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738" priority="2149" operator="between">
      <formula>7</formula>
      <formula>7.9</formula>
    </cfRule>
    <cfRule type="cellIs" dxfId="737" priority="2151" operator="between">
      <formula>9</formula>
      <formula>9.9</formula>
    </cfRule>
    <cfRule type="cellIs" dxfId="736" priority="2152" stopIfTrue="1" operator="between">
      <formula>10</formula>
      <formula>10</formula>
    </cfRule>
    <cfRule type="containsBlanks" dxfId="735" priority="2153" stopIfTrue="1">
      <formula>LEN(TRIM(K91))=0</formula>
    </cfRule>
    <cfRule type="cellIs" dxfId="734" priority="2150" stopIfTrue="1" operator="between">
      <formula>8</formula>
      <formula>8.9</formula>
    </cfRule>
    <cfRule type="cellIs" dxfId="733" priority="2148" operator="between">
      <formula>10.1</formula>
      <formula>10.6</formula>
    </cfRule>
  </conditionalFormatting>
  <conditionalFormatting sqref="K98">
    <cfRule type="colorScale" priority="21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3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732" priority="2114" operator="between">
      <formula>6</formula>
      <formula>6.9</formula>
    </cfRule>
    <cfRule type="cellIs" dxfId="731" priority="2115" operator="between">
      <formula>10.1</formula>
      <formula>10.6</formula>
    </cfRule>
    <cfRule type="cellIs" dxfId="730" priority="2116" operator="between">
      <formula>7</formula>
      <formula>7.9</formula>
    </cfRule>
    <cfRule type="cellIs" dxfId="729" priority="2117" stopIfTrue="1" operator="between">
      <formula>8</formula>
      <formula>8.9</formula>
    </cfRule>
    <cfRule type="cellIs" dxfId="728" priority="2119" stopIfTrue="1" operator="between">
      <formula>10</formula>
      <formula>10</formula>
    </cfRule>
    <cfRule type="cellIs" dxfId="727" priority="2118" operator="between">
      <formula>9</formula>
      <formula>9.9</formula>
    </cfRule>
    <cfRule type="containsBlanks" dxfId="726" priority="2120" stopIfTrue="1">
      <formula>LEN(TRIM(K99))=0</formula>
    </cfRule>
  </conditionalFormatting>
  <conditionalFormatting sqref="K111">
    <cfRule type="colorScale" priority="20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80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ontainsBlanks" dxfId="725" priority="2072" stopIfTrue="1">
      <formula>LEN(TRIM(K112))=0</formula>
    </cfRule>
    <cfRule type="cellIs" dxfId="724" priority="2067" operator="between">
      <formula>10.1</formula>
      <formula>10.6</formula>
    </cfRule>
    <cfRule type="cellIs" dxfId="723" priority="2069" stopIfTrue="1" operator="between">
      <formula>8</formula>
      <formula>8.9</formula>
    </cfRule>
    <cfRule type="cellIs" dxfId="722" priority="2071" stopIfTrue="1" operator="between">
      <formula>10</formula>
      <formula>10</formula>
    </cfRule>
    <cfRule type="cellIs" dxfId="721" priority="2070" operator="between">
      <formula>9</formula>
      <formula>9.9</formula>
    </cfRule>
    <cfRule type="cellIs" dxfId="720" priority="2068" operator="between">
      <formula>7</formula>
      <formula>7.9</formula>
    </cfRule>
  </conditionalFormatting>
  <conditionalFormatting sqref="K114">
    <cfRule type="cellIs" dxfId="719" priority="2066" operator="between">
      <formula>6</formula>
      <formula>6.9</formula>
    </cfRule>
  </conditionalFormatting>
  <conditionalFormatting sqref="K124">
    <cfRule type="colorScale" priority="20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1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ontainsBlanks" dxfId="718" priority="2029" stopIfTrue="1">
      <formula>LEN(TRIM(K125))=0</formula>
    </cfRule>
    <cfRule type="cellIs" dxfId="717" priority="2028" stopIfTrue="1" operator="between">
      <formula>10</formula>
      <formula>10</formula>
    </cfRule>
    <cfRule type="cellIs" dxfId="716" priority="2026" stopIfTrue="1" operator="between">
      <formula>8</formula>
      <formula>8.9</formula>
    </cfRule>
    <cfRule type="cellIs" dxfId="715" priority="2027" operator="between">
      <formula>9</formula>
      <formula>9.9</formula>
    </cfRule>
    <cfRule type="cellIs" dxfId="714" priority="2024" operator="between">
      <formula>10.1</formula>
      <formula>10.6</formula>
    </cfRule>
    <cfRule type="cellIs" dxfId="713" priority="2025" operator="between">
      <formula>7</formula>
      <formula>7.9</formula>
    </cfRule>
  </conditionalFormatting>
  <conditionalFormatting sqref="K125:K134">
    <cfRule type="cellIs" dxfId="712" priority="2022" stopIfTrue="1" operator="between">
      <formula>10</formula>
      <formula>10</formula>
    </cfRule>
    <cfRule type="cellIs" dxfId="711" priority="2018" operator="between">
      <formula>10.1</formula>
      <formula>10.6</formula>
    </cfRule>
    <cfRule type="cellIs" dxfId="710" priority="2021" operator="between">
      <formula>9</formula>
      <formula>9.9</formula>
    </cfRule>
    <cfRule type="cellIs" dxfId="709" priority="2019" operator="between">
      <formula>7</formula>
      <formula>7.9</formula>
    </cfRule>
    <cfRule type="cellIs" dxfId="708" priority="2020" stopIfTrue="1" operator="between">
      <formula>8</formula>
      <formula>8.9</formula>
    </cfRule>
    <cfRule type="cellIs" dxfId="707" priority="2017" operator="between">
      <formula>6</formula>
      <formula>6.9</formula>
    </cfRule>
    <cfRule type="containsBlanks" dxfId="706" priority="2023" stopIfTrue="1">
      <formula>LEN(TRIM(K125))=0</formula>
    </cfRule>
  </conditionalFormatting>
  <conditionalFormatting sqref="K136">
    <cfRule type="colorScale" priority="19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8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ontainsBlanks" dxfId="705" priority="1965" stopIfTrue="1">
      <formula>LEN(TRIM(K137))=0</formula>
    </cfRule>
    <cfRule type="cellIs" dxfId="704" priority="1964" stopIfTrue="1" operator="between">
      <formula>10</formula>
      <formula>10</formula>
    </cfRule>
    <cfRule type="cellIs" dxfId="703" priority="1963" operator="between">
      <formula>9</formula>
      <formula>9.9</formula>
    </cfRule>
    <cfRule type="cellIs" dxfId="702" priority="1962" stopIfTrue="1" operator="between">
      <formula>8</formula>
      <formula>8.9</formula>
    </cfRule>
    <cfRule type="cellIs" dxfId="701" priority="1961" operator="between">
      <formula>7</formula>
      <formula>7.9</formula>
    </cfRule>
    <cfRule type="cellIs" dxfId="700" priority="1960" operator="between">
      <formula>10.1</formula>
      <formula>10.6</formula>
    </cfRule>
    <cfRule type="cellIs" dxfId="699" priority="1959" operator="between">
      <formula>6</formula>
      <formula>6.9</formula>
    </cfRule>
  </conditionalFormatting>
  <conditionalFormatting sqref="K149">
    <cfRule type="colorScale" priority="18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5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698" priority="1897" operator="between">
      <formula>10.1</formula>
      <formula>10.6</formula>
    </cfRule>
    <cfRule type="cellIs" dxfId="697" priority="1896" operator="between">
      <formula>6</formula>
      <formula>6.9</formula>
    </cfRule>
    <cfRule type="cellIs" dxfId="696" priority="1899" stopIfTrue="1" operator="between">
      <formula>8</formula>
      <formula>8.9</formula>
    </cfRule>
    <cfRule type="cellIs" dxfId="695" priority="1898" operator="between">
      <formula>7</formula>
      <formula>7.9</formula>
    </cfRule>
    <cfRule type="containsBlanks" dxfId="694" priority="1902" stopIfTrue="1">
      <formula>LEN(TRIM(K150))=0</formula>
    </cfRule>
    <cfRule type="cellIs" dxfId="693" priority="1901" stopIfTrue="1" operator="between">
      <formula>10</formula>
      <formula>10</formula>
    </cfRule>
    <cfRule type="cellIs" dxfId="692" priority="1900" operator="between">
      <formula>9</formula>
      <formula>9.9</formula>
    </cfRule>
  </conditionalFormatting>
  <conditionalFormatting sqref="K165">
    <cfRule type="colorScale" priority="18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8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691" priority="1840" operator="between">
      <formula>6</formula>
      <formula>6.9</formula>
    </cfRule>
    <cfRule type="cellIs" dxfId="690" priority="1841" operator="between">
      <formula>10.1</formula>
      <formula>10.6</formula>
    </cfRule>
    <cfRule type="cellIs" dxfId="689" priority="1844" operator="between">
      <formula>9</formula>
      <formula>9.9</formula>
    </cfRule>
    <cfRule type="cellIs" dxfId="688" priority="1843" stopIfTrue="1" operator="between">
      <formula>8</formula>
      <formula>8.9</formula>
    </cfRule>
    <cfRule type="cellIs" dxfId="687" priority="1845" stopIfTrue="1" operator="between">
      <formula>10</formula>
      <formula>10</formula>
    </cfRule>
    <cfRule type="containsBlanks" dxfId="686" priority="1846" stopIfTrue="1">
      <formula>LEN(TRIM(K166))=0</formula>
    </cfRule>
    <cfRule type="cellIs" dxfId="685" priority="1842" operator="between">
      <formula>7</formula>
      <formula>7.9</formula>
    </cfRule>
  </conditionalFormatting>
  <conditionalFormatting sqref="K175">
    <cfRule type="colorScale" priority="18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2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684" priority="1815" operator="between">
      <formula>7</formula>
      <formula>7.9</formula>
    </cfRule>
    <cfRule type="containsBlanks" dxfId="683" priority="1819" stopIfTrue="1">
      <formula>LEN(TRIM(K176))=0</formula>
    </cfRule>
    <cfRule type="cellIs" dxfId="682" priority="1818" stopIfTrue="1" operator="between">
      <formula>10</formula>
      <formula>10</formula>
    </cfRule>
    <cfRule type="cellIs" dxfId="681" priority="1814" operator="between">
      <formula>10.1</formula>
      <formula>10.6</formula>
    </cfRule>
    <cfRule type="cellIs" dxfId="680" priority="1813" operator="between">
      <formula>6</formula>
      <formula>6.9</formula>
    </cfRule>
    <cfRule type="cellIs" dxfId="679" priority="1816" stopIfTrue="1" operator="between">
      <formula>8</formula>
      <formula>8.9</formula>
    </cfRule>
    <cfRule type="cellIs" dxfId="678" priority="1817" operator="between">
      <formula>9</formula>
      <formula>9.9</formula>
    </cfRule>
  </conditionalFormatting>
  <conditionalFormatting sqref="K182">
    <cfRule type="colorScale" priority="1801">
      <colorScale>
        <cfvo type="num" val="5"/>
        <cfvo type="num" val="10"/>
        <color rgb="FFFF494D"/>
        <color rgb="FF00FF66"/>
      </colorScale>
    </cfRule>
    <cfRule type="colorScale" priority="18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677" priority="1797" operator="between">
      <formula>9</formula>
      <formula>9.9</formula>
    </cfRule>
    <cfRule type="cellIs" dxfId="676" priority="1798" stopIfTrue="1" operator="between">
      <formula>10</formula>
      <formula>10</formula>
    </cfRule>
    <cfRule type="containsBlanks" dxfId="675" priority="1799" stopIfTrue="1">
      <formula>LEN(TRIM(K183))=0</formula>
    </cfRule>
    <cfRule type="cellIs" dxfId="674" priority="1795" operator="between">
      <formula>7</formula>
      <formula>7.9</formula>
    </cfRule>
    <cfRule type="cellIs" dxfId="673" priority="1793" operator="between">
      <formula>6</formula>
      <formula>6.9</formula>
    </cfRule>
    <cfRule type="cellIs" dxfId="672" priority="1794" operator="between">
      <formula>10.1</formula>
      <formula>10.6</formula>
    </cfRule>
    <cfRule type="cellIs" dxfId="671" priority="1796" stopIfTrue="1" operator="between">
      <formula>8</formula>
      <formula>8.9</formula>
    </cfRule>
  </conditionalFormatting>
  <conditionalFormatting sqref="K189">
    <cfRule type="colorScale" priority="1752">
      <colorScale>
        <cfvo type="num" val="5"/>
        <cfvo type="num" val="10"/>
        <color rgb="FFFF494D"/>
        <color rgb="FF00FF66"/>
      </colorScale>
    </cfRule>
    <cfRule type="colorScale" priority="17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670" priority="1758" stopIfTrue="1" operator="between">
      <formula>10</formula>
      <formula>10</formula>
    </cfRule>
    <cfRule type="cellIs" dxfId="669" priority="1757" operator="between">
      <formula>9</formula>
      <formula>9.9</formula>
    </cfRule>
    <cfRule type="cellIs" dxfId="668" priority="1756" stopIfTrue="1" operator="between">
      <formula>8</formula>
      <formula>8.9</formula>
    </cfRule>
    <cfRule type="cellIs" dxfId="667" priority="1755" operator="between">
      <formula>7</formula>
      <formula>7.9</formula>
    </cfRule>
    <cfRule type="cellIs" dxfId="666" priority="1754" operator="between">
      <formula>10.1</formula>
      <formula>10.6</formula>
    </cfRule>
    <cfRule type="cellIs" dxfId="665" priority="1753" operator="between">
      <formula>6</formula>
      <formula>6.9</formula>
    </cfRule>
    <cfRule type="containsBlanks" dxfId="664" priority="1759" stopIfTrue="1">
      <formula>LEN(TRIM(K190))=0</formula>
    </cfRule>
  </conditionalFormatting>
  <conditionalFormatting sqref="K199">
    <cfRule type="colorScale" priority="17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2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ontainsBlanks" dxfId="663" priority="1730" stopIfTrue="1">
      <formula>LEN(TRIM(K200))=0</formula>
    </cfRule>
    <cfRule type="cellIs" dxfId="662" priority="1724" operator="between">
      <formula>6</formula>
      <formula>6.9</formula>
    </cfRule>
    <cfRule type="cellIs" dxfId="661" priority="1725" operator="between">
      <formula>10.1</formula>
      <formula>10.6</formula>
    </cfRule>
    <cfRule type="cellIs" dxfId="660" priority="1726" operator="between">
      <formula>7</formula>
      <formula>7.9</formula>
    </cfRule>
    <cfRule type="cellIs" dxfId="659" priority="1727" stopIfTrue="1" operator="between">
      <formula>8</formula>
      <formula>8.9</formula>
    </cfRule>
    <cfRule type="cellIs" dxfId="658" priority="1728" operator="between">
      <formula>9</formula>
      <formula>9.9</formula>
    </cfRule>
    <cfRule type="cellIs" dxfId="657" priority="1729" stopIfTrue="1" operator="between">
      <formula>10</formula>
      <formula>10</formula>
    </cfRule>
  </conditionalFormatting>
  <conditionalFormatting sqref="K208">
    <cfRule type="colorScale" priority="16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3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656" priority="1697" stopIfTrue="1" operator="between">
      <formula>8</formula>
      <formula>8.9</formula>
    </cfRule>
    <cfRule type="cellIs" dxfId="655" priority="1696" operator="between">
      <formula>7</formula>
      <formula>7.9</formula>
    </cfRule>
    <cfRule type="cellIs" dxfId="654" priority="1694" operator="between">
      <formula>6</formula>
      <formula>6.9</formula>
    </cfRule>
    <cfRule type="containsBlanks" dxfId="653" priority="1700" stopIfTrue="1">
      <formula>LEN(TRIM(K209))=0</formula>
    </cfRule>
    <cfRule type="cellIs" dxfId="652" priority="1695" operator="between">
      <formula>10.1</formula>
      <formula>11</formula>
    </cfRule>
    <cfRule type="cellIs" dxfId="651" priority="1699" stopIfTrue="1" operator="between">
      <formula>10</formula>
      <formula>10</formula>
    </cfRule>
    <cfRule type="cellIs" dxfId="650" priority="1698" operator="between">
      <formula>9</formula>
      <formula>9.9</formula>
    </cfRule>
  </conditionalFormatting>
  <conditionalFormatting sqref="K219">
    <cfRule type="colorScale" priority="1649">
      <colorScale>
        <cfvo type="num" val="5"/>
        <cfvo type="num" val="10"/>
        <color rgb="FFFF494D"/>
        <color rgb="FF00FF66"/>
      </colorScale>
    </cfRule>
    <cfRule type="colorScale" priority="16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649" priority="1642" operator="between">
      <formula>10.1</formula>
      <formula>10.6</formula>
    </cfRule>
    <cfRule type="cellIs" dxfId="648" priority="1644" stopIfTrue="1" operator="between">
      <formula>8</formula>
      <formula>8.9</formula>
    </cfRule>
    <cfRule type="cellIs" dxfId="647" priority="1645" operator="between">
      <formula>9</formula>
      <formula>9.9</formula>
    </cfRule>
    <cfRule type="cellIs" dxfId="646" priority="1643" operator="between">
      <formula>7</formula>
      <formula>7.9</formula>
    </cfRule>
    <cfRule type="cellIs" dxfId="645" priority="1641" operator="between">
      <formula>6</formula>
      <formula>6.9</formula>
    </cfRule>
    <cfRule type="containsBlanks" dxfId="644" priority="1647" stopIfTrue="1">
      <formula>LEN(TRIM(K220))=0</formula>
    </cfRule>
    <cfRule type="cellIs" dxfId="643" priority="1646" stopIfTrue="1" operator="between">
      <formula>10</formula>
      <formula>10</formula>
    </cfRule>
  </conditionalFormatting>
  <conditionalFormatting sqref="K237">
    <cfRule type="colorScale" priority="1586">
      <colorScale>
        <cfvo type="num" val="5"/>
        <cfvo type="num" val="10"/>
        <color rgb="FFFF494D"/>
        <color rgb="FF00FF66"/>
      </colorScale>
    </cfRule>
    <cfRule type="colorScale" priority="15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642" priority="1578" operator="between">
      <formula>6</formula>
      <formula>6.9</formula>
    </cfRule>
    <cfRule type="cellIs" dxfId="641" priority="1579" operator="between">
      <formula>10.1</formula>
      <formula>10.6</formula>
    </cfRule>
    <cfRule type="cellIs" dxfId="640" priority="1580" operator="between">
      <formula>7</formula>
      <formula>7.9</formula>
    </cfRule>
    <cfRule type="cellIs" dxfId="639" priority="1581" stopIfTrue="1" operator="between">
      <formula>8</formula>
      <formula>8.9</formula>
    </cfRule>
    <cfRule type="cellIs" dxfId="638" priority="1583" stopIfTrue="1" operator="between">
      <formula>10</formula>
      <formula>10</formula>
    </cfRule>
    <cfRule type="cellIs" dxfId="637" priority="1582" operator="between">
      <formula>9</formula>
      <formula>9.9</formula>
    </cfRule>
    <cfRule type="containsBlanks" dxfId="636" priority="1584" stopIfTrue="1">
      <formula>LEN(TRIM(K238))=0</formula>
    </cfRule>
  </conditionalFormatting>
  <conditionalFormatting sqref="K252">
    <cfRule type="colorScale" priority="1541">
      <colorScale>
        <cfvo type="num" val="5"/>
        <cfvo type="num" val="10"/>
        <color rgb="FFFF494D"/>
        <color rgb="FF00FF66"/>
      </colorScale>
    </cfRule>
    <cfRule type="colorScale" priority="15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635" priority="1535" operator="between">
      <formula>7</formula>
      <formula>7.9</formula>
    </cfRule>
    <cfRule type="containsBlanks" dxfId="634" priority="1539" stopIfTrue="1">
      <formula>LEN(TRIM(K253))=0</formula>
    </cfRule>
    <cfRule type="cellIs" dxfId="633" priority="1537" operator="between">
      <formula>9</formula>
      <formula>9.9</formula>
    </cfRule>
    <cfRule type="cellIs" dxfId="632" priority="1538" stopIfTrue="1" operator="between">
      <formula>10</formula>
      <formula>10</formula>
    </cfRule>
    <cfRule type="cellIs" dxfId="631" priority="1534" operator="between">
      <formula>10.1</formula>
      <formula>10.6</formula>
    </cfRule>
    <cfRule type="cellIs" dxfId="630" priority="1533" operator="between">
      <formula>6</formula>
      <formula>6.9</formula>
    </cfRule>
    <cfRule type="cellIs" dxfId="629" priority="1536" stopIfTrue="1" operator="between">
      <formula>8</formula>
      <formula>8.9</formula>
    </cfRule>
  </conditionalFormatting>
  <conditionalFormatting sqref="K264">
    <cfRule type="colorScale" priority="15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3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628" priority="1504" operator="between">
      <formula>6</formula>
      <formula>6.9</formula>
    </cfRule>
    <cfRule type="cellIs" dxfId="627" priority="1505" operator="between">
      <formula>10.1</formula>
      <formula>10.6</formula>
    </cfRule>
    <cfRule type="cellIs" dxfId="626" priority="1506" operator="between">
      <formula>7</formula>
      <formula>7.9</formula>
    </cfRule>
    <cfRule type="cellIs" dxfId="625" priority="1507" stopIfTrue="1" operator="between">
      <formula>8</formula>
      <formula>8.9</formula>
    </cfRule>
    <cfRule type="cellIs" dxfId="624" priority="1508" operator="between">
      <formula>9</formula>
      <formula>9.9</formula>
    </cfRule>
    <cfRule type="cellIs" dxfId="623" priority="1509" stopIfTrue="1" operator="between">
      <formula>10</formula>
      <formula>10</formula>
    </cfRule>
    <cfRule type="containsBlanks" dxfId="622" priority="1510" stopIfTrue="1">
      <formula>LEN(TRIM(K265))=0</formula>
    </cfRule>
  </conditionalFormatting>
  <conditionalFormatting sqref="K276">
    <cfRule type="colorScale" priority="1459">
      <colorScale>
        <cfvo type="num" val="5"/>
        <cfvo type="num" val="10"/>
        <color rgb="FFFF494D"/>
        <color rgb="FF00FF66"/>
      </colorScale>
    </cfRule>
    <cfRule type="colorScale" priority="14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ellIs" dxfId="621" priority="1455" operator="between">
      <formula>9</formula>
      <formula>9.9</formula>
    </cfRule>
    <cfRule type="cellIs" dxfId="620" priority="1456" stopIfTrue="1" operator="between">
      <formula>10</formula>
      <formula>10</formula>
    </cfRule>
    <cfRule type="containsBlanks" dxfId="619" priority="1457" stopIfTrue="1">
      <formula>LEN(TRIM(K277))=0</formula>
    </cfRule>
    <cfRule type="cellIs" dxfId="618" priority="1453" operator="between">
      <formula>7</formula>
      <formula>7.9</formula>
    </cfRule>
    <cfRule type="cellIs" dxfId="617" priority="1454" stopIfTrue="1" operator="between">
      <formula>8</formula>
      <formula>8.9</formula>
    </cfRule>
    <cfRule type="cellIs" dxfId="616" priority="1451" operator="between">
      <formula>6</formula>
      <formula>6.9</formula>
    </cfRule>
    <cfRule type="cellIs" dxfId="615" priority="1452" operator="between">
      <formula>10.1</formula>
      <formula>10.6</formula>
    </cfRule>
  </conditionalFormatting>
  <conditionalFormatting sqref="K286">
    <cfRule type="colorScale" priority="1411">
      <colorScale>
        <cfvo type="num" val="5"/>
        <cfvo type="num" val="10"/>
        <color rgb="FFFF494D"/>
        <color rgb="FF00FF66"/>
      </colorScale>
    </cfRule>
    <cfRule type="colorScale" priority="14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614" priority="1404" operator="between">
      <formula>10.1</formula>
      <formula>10.6</formula>
    </cfRule>
    <cfRule type="containsBlanks" dxfId="613" priority="1409" stopIfTrue="1">
      <formula>LEN(TRIM(K287))=0</formula>
    </cfRule>
    <cfRule type="cellIs" dxfId="612" priority="1408" stopIfTrue="1" operator="between">
      <formula>10</formula>
      <formula>10</formula>
    </cfRule>
    <cfRule type="cellIs" dxfId="611" priority="1407" operator="between">
      <formula>9</formula>
      <formula>9.9</formula>
    </cfRule>
    <cfRule type="cellIs" dxfId="610" priority="1406" stopIfTrue="1" operator="between">
      <formula>8</formula>
      <formula>8.9</formula>
    </cfRule>
    <cfRule type="cellIs" dxfId="609" priority="1405" operator="between">
      <formula>7</formula>
      <formula>7.9</formula>
    </cfRule>
    <cfRule type="cellIs" dxfId="608" priority="1403" operator="between">
      <formula>6</formula>
      <formula>6.9</formula>
    </cfRule>
  </conditionalFormatting>
  <conditionalFormatting sqref="K296">
    <cfRule type="colorScale" priority="13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3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607" priority="1368" operator="between">
      <formula>7</formula>
      <formula>7.9</formula>
    </cfRule>
    <cfRule type="cellIs" dxfId="606" priority="1366" operator="between">
      <formula>5</formula>
      <formula>6.9</formula>
    </cfRule>
    <cfRule type="cellIs" dxfId="605" priority="1365" operator="between">
      <formula>2</formula>
      <formula>4.9</formula>
    </cfRule>
    <cfRule type="cellIs" dxfId="604" priority="1367" operator="between">
      <formula>10.1</formula>
      <formula>10.6</formula>
    </cfRule>
    <cfRule type="containsBlanks" dxfId="603" priority="1363" stopIfTrue="1">
      <formula>LEN(TRIM(K297))=0</formula>
    </cfRule>
    <cfRule type="cellIs" dxfId="602" priority="1371" stopIfTrue="1" operator="between">
      <formula>10</formula>
      <formula>10</formula>
    </cfRule>
    <cfRule type="cellIs" dxfId="601" priority="1364" operator="lessThan">
      <formula>2</formula>
    </cfRule>
    <cfRule type="cellIs" dxfId="600" priority="1370" operator="between">
      <formula>9</formula>
      <formula>9.9</formula>
    </cfRule>
    <cfRule type="cellIs" dxfId="599" priority="1369" stopIfTrue="1" operator="between">
      <formula>8</formula>
      <formula>8.9</formula>
    </cfRule>
  </conditionalFormatting>
  <conditionalFormatting sqref="K304">
    <cfRule type="colorScale" priority="1342">
      <colorScale>
        <cfvo type="num" val="5"/>
        <cfvo type="num" val="10"/>
        <color rgb="FFFF494D"/>
        <color rgb="FF00FF66"/>
      </colorScale>
    </cfRule>
    <cfRule type="colorScale" priority="13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ontainsBlanks" dxfId="598" priority="1332" stopIfTrue="1">
      <formula>LEN(TRIM(K305))=0</formula>
    </cfRule>
    <cfRule type="cellIs" dxfId="597" priority="1333" operator="lessThan">
      <formula>2</formula>
    </cfRule>
    <cfRule type="cellIs" dxfId="596" priority="1337" operator="between">
      <formula>7</formula>
      <formula>7.9</formula>
    </cfRule>
    <cfRule type="cellIs" dxfId="595" priority="1336" operator="between">
      <formula>10.1</formula>
      <formula>10.6</formula>
    </cfRule>
    <cfRule type="cellIs" dxfId="594" priority="1340" stopIfTrue="1" operator="between">
      <formula>10</formula>
      <formula>10</formula>
    </cfRule>
    <cfRule type="cellIs" dxfId="593" priority="1339" operator="between">
      <formula>9</formula>
      <formula>9.9</formula>
    </cfRule>
    <cfRule type="cellIs" dxfId="592" priority="1338" stopIfTrue="1" operator="between">
      <formula>8</formula>
      <formula>8.9</formula>
    </cfRule>
    <cfRule type="cellIs" dxfId="591" priority="1335" operator="between">
      <formula>5</formula>
      <formula>6.9</formula>
    </cfRule>
    <cfRule type="cellIs" dxfId="590" priority="1334" operator="between">
      <formula>2</formula>
      <formula>4.9</formula>
    </cfRule>
  </conditionalFormatting>
  <conditionalFormatting sqref="K318">
    <cfRule type="colorScale" priority="1269">
      <colorScale>
        <cfvo type="num" val="5"/>
        <cfvo type="num" val="10"/>
        <color rgb="FFFF494D"/>
        <color rgb="FF00FF66"/>
      </colorScale>
    </cfRule>
    <cfRule type="colorScale" priority="12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589" priority="1271" operator="lessThan">
      <formula>2</formula>
    </cfRule>
    <cfRule type="cellIs" dxfId="588" priority="1278" stopIfTrue="1" operator="between">
      <formula>10</formula>
      <formula>10</formula>
    </cfRule>
    <cfRule type="cellIs" dxfId="587" priority="1276" stopIfTrue="1" operator="between">
      <formula>8</formula>
      <formula>8.9</formula>
    </cfRule>
    <cfRule type="cellIs" dxfId="586" priority="1275" operator="between">
      <formula>7</formula>
      <formula>7.9</formula>
    </cfRule>
    <cfRule type="cellIs" dxfId="585" priority="1274" operator="between">
      <formula>10.1</formula>
      <formula>10.6</formula>
    </cfRule>
    <cfRule type="cellIs" dxfId="584" priority="1273" operator="between">
      <formula>5</formula>
      <formula>6.9</formula>
    </cfRule>
    <cfRule type="cellIs" dxfId="583" priority="1277" operator="between">
      <formula>9</formula>
      <formula>9.9</formula>
    </cfRule>
    <cfRule type="containsBlanks" dxfId="582" priority="1270" stopIfTrue="1">
      <formula>LEN(TRIM(K319))=0</formula>
    </cfRule>
    <cfRule type="cellIs" dxfId="581" priority="1272" operator="between">
      <formula>2</formula>
      <formula>4.9</formula>
    </cfRule>
  </conditionalFormatting>
  <conditionalFormatting sqref="K328">
    <cfRule type="colorScale" priority="1225">
      <colorScale>
        <cfvo type="num" val="5"/>
        <cfvo type="num" val="10"/>
        <color rgb="FFFF494D"/>
        <color rgb="FF00FF66"/>
      </colorScale>
    </cfRule>
    <cfRule type="colorScale" priority="12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580" priority="1230" operator="between">
      <formula>10.1</formula>
      <formula>10.6</formula>
    </cfRule>
    <cfRule type="cellIs" dxfId="579" priority="1229" operator="between">
      <formula>5</formula>
      <formula>6.9</formula>
    </cfRule>
    <cfRule type="cellIs" dxfId="578" priority="1233" operator="between">
      <formula>9</formula>
      <formula>9.9</formula>
    </cfRule>
    <cfRule type="cellIs" dxfId="577" priority="1227" operator="lessThan">
      <formula>2</formula>
    </cfRule>
    <cfRule type="containsBlanks" dxfId="576" priority="1226" stopIfTrue="1">
      <formula>LEN(TRIM(K329))=0</formula>
    </cfRule>
    <cfRule type="cellIs" dxfId="575" priority="1234" stopIfTrue="1" operator="between">
      <formula>10</formula>
      <formula>10</formula>
    </cfRule>
    <cfRule type="cellIs" dxfId="574" priority="1232" stopIfTrue="1" operator="between">
      <formula>8</formula>
      <formula>8.9</formula>
    </cfRule>
    <cfRule type="cellIs" dxfId="573" priority="1231" operator="between">
      <formula>7</formula>
      <formula>7.9</formula>
    </cfRule>
    <cfRule type="cellIs" dxfId="572" priority="1228" operator="between">
      <formula>2</formula>
      <formula>4.9</formula>
    </cfRule>
  </conditionalFormatting>
  <conditionalFormatting sqref="K340">
    <cfRule type="colorScale" priority="1170">
      <colorScale>
        <cfvo type="num" val="5"/>
        <cfvo type="num" val="10"/>
        <color rgb="FFFF494D"/>
        <color rgb="FF00FF66"/>
      </colorScale>
    </cfRule>
    <cfRule type="colorScale" priority="11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ellIs" dxfId="571" priority="1173" operator="between">
      <formula>2</formula>
      <formula>4.9</formula>
    </cfRule>
    <cfRule type="containsBlanks" dxfId="570" priority="1171" stopIfTrue="1">
      <formula>LEN(TRIM(K341))=0</formula>
    </cfRule>
    <cfRule type="cellIs" dxfId="569" priority="1174" operator="between">
      <formula>5</formula>
      <formula>6.9</formula>
    </cfRule>
    <cfRule type="cellIs" dxfId="568" priority="1178" operator="between">
      <formula>9</formula>
      <formula>9.9</formula>
    </cfRule>
    <cfRule type="cellIs" dxfId="567" priority="1177" stopIfTrue="1" operator="between">
      <formula>8</formula>
      <formula>8.9</formula>
    </cfRule>
    <cfRule type="cellIs" dxfId="566" priority="1176" operator="between">
      <formula>7</formula>
      <formula>7.9</formula>
    </cfRule>
    <cfRule type="cellIs" dxfId="565" priority="1175" operator="between">
      <formula>10.1</formula>
      <formula>10.6</formula>
    </cfRule>
    <cfRule type="cellIs" dxfId="564" priority="1179" stopIfTrue="1" operator="between">
      <formula>10</formula>
      <formula>10</formula>
    </cfRule>
    <cfRule type="cellIs" dxfId="563" priority="1172" operator="lessThan">
      <formula>2</formula>
    </cfRule>
  </conditionalFormatting>
  <conditionalFormatting sqref="K356">
    <cfRule type="colorScale" priority="11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6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ellIs" dxfId="562" priority="1130" operator="between">
      <formula>5</formula>
      <formula>6.9</formula>
    </cfRule>
    <cfRule type="cellIs" dxfId="561" priority="1131" operator="between">
      <formula>10.1</formula>
      <formula>10.6</formula>
    </cfRule>
    <cfRule type="containsBlanks" dxfId="560" priority="1127" stopIfTrue="1">
      <formula>LEN(TRIM(K357))=0</formula>
    </cfRule>
    <cfRule type="cellIs" dxfId="559" priority="1128" operator="lessThan">
      <formula>2</formula>
    </cfRule>
    <cfRule type="cellIs" dxfId="558" priority="1129" operator="between">
      <formula>2</formula>
      <formula>4.9</formula>
    </cfRule>
    <cfRule type="cellIs" dxfId="557" priority="1132" operator="between">
      <formula>7</formula>
      <formula>7.9</formula>
    </cfRule>
    <cfRule type="cellIs" dxfId="556" priority="1133" stopIfTrue="1" operator="between">
      <formula>8</formula>
      <formula>8.9</formula>
    </cfRule>
    <cfRule type="cellIs" dxfId="555" priority="1134" operator="between">
      <formula>9</formula>
      <formula>9.9</formula>
    </cfRule>
    <cfRule type="cellIs" dxfId="554" priority="1135" stopIfTrue="1" operator="between">
      <formula>10</formula>
      <formula>10</formula>
    </cfRule>
  </conditionalFormatting>
  <conditionalFormatting sqref="K365">
    <cfRule type="colorScale" priority="10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0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ellIs" dxfId="553" priority="1098" stopIfTrue="1" operator="between">
      <formula>10</formula>
      <formula>10</formula>
    </cfRule>
    <cfRule type="cellIs" dxfId="552" priority="1096" stopIfTrue="1" operator="between">
      <formula>8</formula>
      <formula>8.9</formula>
    </cfRule>
    <cfRule type="cellIs" dxfId="551" priority="1095" operator="between">
      <formula>7</formula>
      <formula>7.9</formula>
    </cfRule>
    <cfRule type="cellIs" dxfId="550" priority="1094" operator="between">
      <formula>10.1</formula>
      <formula>10.6</formula>
    </cfRule>
    <cfRule type="cellIs" dxfId="549" priority="1093" operator="between">
      <formula>5</formula>
      <formula>6.9</formula>
    </cfRule>
    <cfRule type="cellIs" dxfId="548" priority="1092" operator="between">
      <formula>2</formula>
      <formula>4.9</formula>
    </cfRule>
    <cfRule type="cellIs" dxfId="547" priority="1097" operator="between">
      <formula>9</formula>
      <formula>9.9</formula>
    </cfRule>
    <cfRule type="cellIs" dxfId="546" priority="1091" operator="lessThan">
      <formula>2</formula>
    </cfRule>
    <cfRule type="containsBlanks" dxfId="545" priority="1090" stopIfTrue="1">
      <formula>LEN(TRIM(K366))=0</formula>
    </cfRule>
  </conditionalFormatting>
  <conditionalFormatting sqref="K380">
    <cfRule type="colorScale" priority="1022">
      <colorScale>
        <cfvo type="num" val="5"/>
        <cfvo type="num" val="10"/>
        <color rgb="FFFF494D"/>
        <color rgb="FF00FF66"/>
      </colorScale>
    </cfRule>
    <cfRule type="colorScale" priority="10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ellIs" dxfId="544" priority="1013" operator="lessThan">
      <formula>2</formula>
    </cfRule>
    <cfRule type="cellIs" dxfId="543" priority="1018" stopIfTrue="1" operator="between">
      <formula>8</formula>
      <formula>8.9</formula>
    </cfRule>
    <cfRule type="containsBlanks" dxfId="542" priority="1012" stopIfTrue="1">
      <formula>LEN(TRIM(K381))=0</formula>
    </cfRule>
    <cfRule type="cellIs" dxfId="541" priority="1020" stopIfTrue="1" operator="between">
      <formula>10</formula>
      <formula>10</formula>
    </cfRule>
    <cfRule type="cellIs" dxfId="540" priority="1016" operator="between">
      <formula>10.1</formula>
      <formula>10.6</formula>
    </cfRule>
    <cfRule type="cellIs" dxfId="539" priority="1015" operator="between">
      <formula>5</formula>
      <formula>6.9</formula>
    </cfRule>
    <cfRule type="cellIs" dxfId="538" priority="1014" operator="between">
      <formula>2</formula>
      <formula>4.9</formula>
    </cfRule>
    <cfRule type="cellIs" dxfId="537" priority="1019" operator="between">
      <formula>9</formula>
      <formula>9.9</formula>
    </cfRule>
    <cfRule type="cellIs" dxfId="536" priority="1017" operator="between">
      <formula>7</formula>
      <formula>7.9</formula>
    </cfRule>
  </conditionalFormatting>
  <conditionalFormatting sqref="K391">
    <cfRule type="colorScale" priority="9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6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ellIs" dxfId="535" priority="953" operator="between">
      <formula>9</formula>
      <formula>9.9</formula>
    </cfRule>
    <cfRule type="cellIs" dxfId="534" priority="947" operator="lessThan">
      <formula>2</formula>
    </cfRule>
    <cfRule type="cellIs" dxfId="533" priority="948" operator="between">
      <formula>2</formula>
      <formula>4.9</formula>
    </cfRule>
    <cfRule type="cellIs" dxfId="532" priority="949" operator="between">
      <formula>5</formula>
      <formula>6.9</formula>
    </cfRule>
    <cfRule type="cellIs" dxfId="531" priority="950" operator="between">
      <formula>10.1</formula>
      <formula>10.6</formula>
    </cfRule>
    <cfRule type="cellIs" dxfId="530" priority="952" stopIfTrue="1" operator="between">
      <formula>8</formula>
      <formula>8.9</formula>
    </cfRule>
    <cfRule type="cellIs" dxfId="529" priority="951" operator="between">
      <formula>7</formula>
      <formula>7.9</formula>
    </cfRule>
    <cfRule type="containsBlanks" dxfId="528" priority="946" stopIfTrue="1">
      <formula>LEN(TRIM(K392))=0</formula>
    </cfRule>
    <cfRule type="cellIs" dxfId="527" priority="954" stopIfTrue="1" operator="between">
      <formula>10</formula>
      <formula>10</formula>
    </cfRule>
  </conditionalFormatting>
  <conditionalFormatting sqref="K399">
    <cfRule type="colorScale" priority="9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4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ellIs" dxfId="526" priority="930" stopIfTrue="1" operator="between">
      <formula>8</formula>
      <formula>8.9</formula>
    </cfRule>
    <cfRule type="cellIs" dxfId="525" priority="926" operator="between">
      <formula>2</formula>
      <formula>4.9</formula>
    </cfRule>
    <cfRule type="cellIs" dxfId="524" priority="932" stopIfTrue="1" operator="between">
      <formula>10</formula>
      <formula>10</formula>
    </cfRule>
    <cfRule type="cellIs" dxfId="523" priority="925" operator="lessThan">
      <formula>2</formula>
    </cfRule>
    <cfRule type="containsBlanks" dxfId="522" priority="924" stopIfTrue="1">
      <formula>LEN(TRIM(K400))=0</formula>
    </cfRule>
    <cfRule type="cellIs" dxfId="521" priority="927" operator="between">
      <formula>5</formula>
      <formula>6.9</formula>
    </cfRule>
    <cfRule type="cellIs" dxfId="520" priority="928" operator="between">
      <formula>10.1</formula>
      <formula>10.6</formula>
    </cfRule>
    <cfRule type="cellIs" dxfId="519" priority="929" operator="between">
      <formula>7</formula>
      <formula>7.9</formula>
    </cfRule>
    <cfRule type="cellIs" dxfId="518" priority="931" operator="between">
      <formula>9</formula>
      <formula>9.9</formula>
    </cfRule>
  </conditionalFormatting>
  <conditionalFormatting sqref="K412">
    <cfRule type="colorScale" priority="870">
      <colorScale>
        <cfvo type="num" val="5"/>
        <cfvo type="num" val="10"/>
        <color rgb="FFFF494D"/>
        <color rgb="FF00FF66"/>
      </colorScale>
    </cfRule>
    <cfRule type="colorScale" priority="8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3:K419">
    <cfRule type="cellIs" dxfId="517" priority="874" operator="between">
      <formula>5</formula>
      <formula>6.9</formula>
    </cfRule>
    <cfRule type="containsBlanks" dxfId="516" priority="871" stopIfTrue="1">
      <formula>LEN(TRIM(K413))=0</formula>
    </cfRule>
    <cfRule type="cellIs" dxfId="515" priority="878" operator="between">
      <formula>9</formula>
      <formula>9.9</formula>
    </cfRule>
    <cfRule type="cellIs" dxfId="514" priority="877" stopIfTrue="1" operator="between">
      <formula>8</formula>
      <formula>8.9</formula>
    </cfRule>
    <cfRule type="cellIs" dxfId="513" priority="876" operator="between">
      <formula>7</formula>
      <formula>7.9</formula>
    </cfRule>
    <cfRule type="cellIs" dxfId="512" priority="875" operator="between">
      <formula>10.1</formula>
      <formula>10.6</formula>
    </cfRule>
    <cfRule type="cellIs" dxfId="511" priority="873" operator="between">
      <formula>2</formula>
      <formula>4.9</formula>
    </cfRule>
    <cfRule type="cellIs" dxfId="510" priority="872" operator="lessThan">
      <formula>2</formula>
    </cfRule>
    <cfRule type="cellIs" dxfId="509" priority="879" stopIfTrue="1" operator="between">
      <formula>10</formula>
      <formula>10</formula>
    </cfRule>
  </conditionalFormatting>
  <conditionalFormatting sqref="K421">
    <cfRule type="colorScale" priority="7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2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ellIs" dxfId="508" priority="800" operator="between">
      <formula>7</formula>
      <formula>7.9</formula>
    </cfRule>
    <cfRule type="cellIs" dxfId="507" priority="797" operator="between">
      <formula>2</formula>
      <formula>4.9</formula>
    </cfRule>
    <cfRule type="cellIs" dxfId="506" priority="798" operator="between">
      <formula>5</formula>
      <formula>6.9</formula>
    </cfRule>
    <cfRule type="cellIs" dxfId="505" priority="796" operator="lessThan">
      <formula>2</formula>
    </cfRule>
    <cfRule type="containsBlanks" dxfId="504" priority="795" stopIfTrue="1">
      <formula>LEN(TRIM(K422))=0</formula>
    </cfRule>
    <cfRule type="cellIs" dxfId="503" priority="799" operator="between">
      <formula>10.1</formula>
      <formula>10.6</formula>
    </cfRule>
    <cfRule type="cellIs" dxfId="502" priority="803" stopIfTrue="1" operator="between">
      <formula>10</formula>
      <formula>10</formula>
    </cfRule>
    <cfRule type="cellIs" dxfId="501" priority="802" operator="between">
      <formula>9</formula>
      <formula>9.9</formula>
    </cfRule>
    <cfRule type="cellIs" dxfId="500" priority="801" stopIfTrue="1" operator="between">
      <formula>8</formula>
      <formula>8.9</formula>
    </cfRule>
  </conditionalFormatting>
  <conditionalFormatting sqref="K431">
    <cfRule type="colorScale" priority="7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7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ellIs" dxfId="499" priority="686" operator="between">
      <formula>5</formula>
      <formula>6.9</formula>
    </cfRule>
    <cfRule type="cellIs" dxfId="498" priority="685" operator="between">
      <formula>2</formula>
      <formula>4.9</formula>
    </cfRule>
    <cfRule type="cellIs" dxfId="497" priority="684" operator="lessThan">
      <formula>2</formula>
    </cfRule>
    <cfRule type="containsBlanks" dxfId="496" priority="683" stopIfTrue="1">
      <formula>LEN(TRIM(K432))=0</formula>
    </cfRule>
    <cfRule type="cellIs" dxfId="495" priority="691" stopIfTrue="1" operator="between">
      <formula>10</formula>
      <formula>10</formula>
    </cfRule>
    <cfRule type="cellIs" dxfId="494" priority="690" operator="between">
      <formula>9</formula>
      <formula>9.9</formula>
    </cfRule>
    <cfRule type="cellIs" dxfId="493" priority="689" stopIfTrue="1" operator="between">
      <formula>8</formula>
      <formula>8.9</formula>
    </cfRule>
    <cfRule type="cellIs" dxfId="492" priority="688" operator="between">
      <formula>7</formula>
      <formula>7.9</formula>
    </cfRule>
    <cfRule type="cellIs" dxfId="491" priority="687" operator="between">
      <formula>10.1</formula>
      <formula>10.6</formula>
    </cfRule>
  </conditionalFormatting>
  <conditionalFormatting sqref="K445">
    <cfRule type="colorScale" priority="6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2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ellIs" dxfId="490" priority="664" operator="lessThan">
      <formula>2</formula>
    </cfRule>
    <cfRule type="cellIs" dxfId="489" priority="667" operator="between">
      <formula>10.1</formula>
      <formula>10.6</formula>
    </cfRule>
    <cfRule type="cellIs" dxfId="488" priority="666" operator="between">
      <formula>5</formula>
      <formula>6.9</formula>
    </cfRule>
    <cfRule type="cellIs" dxfId="487" priority="669" stopIfTrue="1" operator="between">
      <formula>8</formula>
      <formula>8.9</formula>
    </cfRule>
    <cfRule type="cellIs" dxfId="486" priority="671" stopIfTrue="1" operator="between">
      <formula>10</formula>
      <formula>10</formula>
    </cfRule>
    <cfRule type="cellIs" dxfId="485" priority="665" operator="between">
      <formula>2</formula>
      <formula>4.9</formula>
    </cfRule>
    <cfRule type="cellIs" dxfId="484" priority="670" operator="between">
      <formula>9</formula>
      <formula>9.9</formula>
    </cfRule>
    <cfRule type="cellIs" dxfId="483" priority="668" operator="between">
      <formula>7</formula>
      <formula>7.9</formula>
    </cfRule>
    <cfRule type="containsBlanks" dxfId="482" priority="663" stopIfTrue="1">
      <formula>LEN(TRIM(K446))=0</formula>
    </cfRule>
  </conditionalFormatting>
  <conditionalFormatting sqref="K465">
    <cfRule type="colorScale" priority="618">
      <colorScale>
        <cfvo type="num" val="5"/>
        <cfvo type="num" val="10"/>
        <color rgb="FFFF494D"/>
        <color rgb="FF00FF66"/>
      </colorScale>
    </cfRule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6:K477">
    <cfRule type="cellIs" dxfId="481" priority="622" operator="between">
      <formula>5</formula>
      <formula>6.9</formula>
    </cfRule>
    <cfRule type="cellIs" dxfId="480" priority="626" operator="between">
      <formula>9</formula>
      <formula>9.9</formula>
    </cfRule>
    <cfRule type="cellIs" dxfId="479" priority="620" operator="lessThan">
      <formula>2</formula>
    </cfRule>
    <cfRule type="cellIs" dxfId="478" priority="627" stopIfTrue="1" operator="between">
      <formula>10</formula>
      <formula>10</formula>
    </cfRule>
    <cfRule type="cellIs" dxfId="477" priority="623" operator="between">
      <formula>10.1</formula>
      <formula>10.6</formula>
    </cfRule>
    <cfRule type="containsBlanks" dxfId="476" priority="619" stopIfTrue="1">
      <formula>LEN(TRIM(K466))=0</formula>
    </cfRule>
    <cfRule type="cellIs" dxfId="475" priority="624" operator="between">
      <formula>7</formula>
      <formula>7.9</formula>
    </cfRule>
    <cfRule type="cellIs" dxfId="474" priority="625" stopIfTrue="1" operator="between">
      <formula>8</formula>
      <formula>8.9</formula>
    </cfRule>
    <cfRule type="cellIs" dxfId="473" priority="621" operator="between">
      <formula>2</formula>
      <formula>4.9</formula>
    </cfRule>
  </conditionalFormatting>
  <conditionalFormatting sqref="K479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ellIs" dxfId="472" priority="567" operator="between">
      <formula>5</formula>
      <formula>6.9</formula>
    </cfRule>
    <cfRule type="cellIs" dxfId="471" priority="568" operator="between">
      <formula>10.1</formula>
      <formula>10.6</formula>
    </cfRule>
    <cfRule type="cellIs" dxfId="470" priority="569" operator="between">
      <formula>7</formula>
      <formula>7.9</formula>
    </cfRule>
    <cfRule type="cellIs" dxfId="469" priority="571" operator="between">
      <formula>9</formula>
      <formula>9.9</formula>
    </cfRule>
    <cfRule type="cellIs" dxfId="468" priority="565" operator="lessThan">
      <formula>2</formula>
    </cfRule>
    <cfRule type="cellIs" dxfId="467" priority="566" operator="between">
      <formula>2</formula>
      <formula>4.9</formula>
    </cfRule>
    <cfRule type="containsBlanks" dxfId="466" priority="564" stopIfTrue="1">
      <formula>LEN(TRIM(K480))=0</formula>
    </cfRule>
    <cfRule type="cellIs" dxfId="465" priority="570" stopIfTrue="1" operator="between">
      <formula>8</formula>
      <formula>8.9</formula>
    </cfRule>
    <cfRule type="cellIs" dxfId="464" priority="572" stopIfTrue="1" operator="between">
      <formula>10</formula>
      <formula>10</formula>
    </cfRule>
  </conditionalFormatting>
  <conditionalFormatting sqref="K491"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7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ellIs" dxfId="463" priority="504" stopIfTrue="1" operator="between">
      <formula>8</formula>
      <formula>8.9</formula>
    </cfRule>
    <cfRule type="cellIs" dxfId="462" priority="506" stopIfTrue="1" operator="between">
      <formula>10</formula>
      <formula>10</formula>
    </cfRule>
    <cfRule type="cellIs" dxfId="461" priority="505" operator="between">
      <formula>9</formula>
      <formula>9.9</formula>
    </cfRule>
    <cfRule type="cellIs" dxfId="460" priority="503" operator="between">
      <formula>7</formula>
      <formula>7.9</formula>
    </cfRule>
    <cfRule type="cellIs" dxfId="459" priority="502" operator="between">
      <formula>10.1</formula>
      <formula>10.6</formula>
    </cfRule>
    <cfRule type="cellIs" dxfId="458" priority="501" operator="between">
      <formula>5</formula>
      <formula>6.9</formula>
    </cfRule>
    <cfRule type="cellIs" dxfId="457" priority="500" operator="between">
      <formula>2</formula>
      <formula>4.9</formula>
    </cfRule>
    <cfRule type="cellIs" dxfId="456" priority="499" operator="lessThan">
      <formula>2</formula>
    </cfRule>
    <cfRule type="containsBlanks" dxfId="455" priority="498" stopIfTrue="1">
      <formula>LEN(TRIM(K492))=0</formula>
    </cfRule>
  </conditionalFormatting>
  <conditionalFormatting sqref="K499">
    <cfRule type="colorScale" priority="475">
      <colorScale>
        <cfvo type="num" val="5"/>
        <cfvo type="num" val="10"/>
        <color rgb="FFFF494D"/>
        <color rgb="FF00FF66"/>
      </colorScale>
    </cfRule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00:K517">
    <cfRule type="cellIs" dxfId="454" priority="481" operator="between">
      <formula>7</formula>
      <formula>7.9</formula>
    </cfRule>
    <cfRule type="cellIs" dxfId="453" priority="482" stopIfTrue="1" operator="between">
      <formula>8</formula>
      <formula>8.9</formula>
    </cfRule>
    <cfRule type="cellIs" dxfId="452" priority="483" operator="between">
      <formula>9</formula>
      <formula>9.9</formula>
    </cfRule>
    <cfRule type="cellIs" dxfId="451" priority="477" operator="lessThan">
      <formula>2</formula>
    </cfRule>
    <cfRule type="cellIs" dxfId="450" priority="478" operator="between">
      <formula>2</formula>
      <formula>4.9</formula>
    </cfRule>
    <cfRule type="containsBlanks" dxfId="449" priority="476" stopIfTrue="1">
      <formula>LEN(TRIM(K500))=0</formula>
    </cfRule>
    <cfRule type="cellIs" dxfId="448" priority="479" operator="between">
      <formula>5</formula>
      <formula>6.9</formula>
    </cfRule>
    <cfRule type="cellIs" dxfId="447" priority="480" operator="between">
      <formula>10.1</formula>
      <formula>10.6</formula>
    </cfRule>
    <cfRule type="cellIs" dxfId="446" priority="484" stopIfTrue="1" operator="between">
      <formula>10</formula>
      <formula>10</formula>
    </cfRule>
  </conditionalFormatting>
  <conditionalFormatting sqref="K519">
    <cfRule type="colorScale" priority="387">
      <colorScale>
        <cfvo type="num" val="5"/>
        <cfvo type="num" val="10"/>
        <color rgb="FFFF494D"/>
        <color rgb="FF00FF66"/>
      </colorScale>
    </cfRule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0:K526">
    <cfRule type="cellIs" dxfId="445" priority="393" operator="between">
      <formula>7</formula>
      <formula>7.9</formula>
    </cfRule>
    <cfRule type="cellIs" dxfId="444" priority="394" stopIfTrue="1" operator="between">
      <formula>8</formula>
      <formula>8.9</formula>
    </cfRule>
    <cfRule type="cellIs" dxfId="443" priority="391" operator="between">
      <formula>5</formula>
      <formula>6.9</formula>
    </cfRule>
    <cfRule type="cellIs" dxfId="442" priority="395" operator="between">
      <formula>9</formula>
      <formula>9.9</formula>
    </cfRule>
    <cfRule type="cellIs" dxfId="441" priority="396" stopIfTrue="1" operator="between">
      <formula>10</formula>
      <formula>10</formula>
    </cfRule>
    <cfRule type="containsBlanks" dxfId="440" priority="388" stopIfTrue="1">
      <formula>LEN(TRIM(K520))=0</formula>
    </cfRule>
    <cfRule type="cellIs" dxfId="439" priority="389" operator="lessThan">
      <formula>2</formula>
    </cfRule>
    <cfRule type="cellIs" dxfId="438" priority="390" operator="between">
      <formula>2</formula>
      <formula>4.9</formula>
    </cfRule>
    <cfRule type="cellIs" dxfId="437" priority="392" operator="between">
      <formula>10.1</formula>
      <formula>10.6</formula>
    </cfRule>
  </conditionalFormatting>
  <conditionalFormatting sqref="K528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K529:K543">
    <cfRule type="cellIs" dxfId="436" priority="341" stopIfTrue="1" operator="between">
      <formula>10</formula>
      <formula>10</formula>
    </cfRule>
    <cfRule type="cellIs" dxfId="435" priority="340" operator="between">
      <formula>9</formula>
      <formula>9.9</formula>
    </cfRule>
    <cfRule type="cellIs" dxfId="434" priority="337" operator="between">
      <formula>10.1</formula>
      <formula>10.6</formula>
    </cfRule>
    <cfRule type="cellIs" dxfId="433" priority="336" operator="between">
      <formula>5</formula>
      <formula>6.9</formula>
    </cfRule>
    <cfRule type="cellIs" dxfId="432" priority="335" operator="between">
      <formula>2</formula>
      <formula>4.9</formula>
    </cfRule>
    <cfRule type="cellIs" dxfId="431" priority="334" operator="lessThan">
      <formula>2</formula>
    </cfRule>
    <cfRule type="containsBlanks" dxfId="430" priority="333" stopIfTrue="1">
      <formula>LEN(TRIM(K529))=0</formula>
    </cfRule>
    <cfRule type="cellIs" dxfId="429" priority="339" stopIfTrue="1" operator="between">
      <formula>8</formula>
      <formula>8.9</formula>
    </cfRule>
    <cfRule type="cellIs" dxfId="428" priority="338" operator="between">
      <formula>7</formula>
      <formula>7.9</formula>
    </cfRule>
  </conditionalFormatting>
  <conditionalFormatting sqref="K545">
    <cfRule type="colorScale" priority="266">
      <colorScale>
        <cfvo type="num" val="5"/>
        <cfvo type="num" val="10"/>
        <color rgb="FFFF494D"/>
        <color rgb="FF00FF66"/>
      </colorScale>
    </cfRule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46:K569">
    <cfRule type="cellIs" dxfId="427" priority="274" operator="between">
      <formula>9</formula>
      <formula>9.9</formula>
    </cfRule>
    <cfRule type="cellIs" dxfId="426" priority="275" stopIfTrue="1" operator="between">
      <formula>10</formula>
      <formula>10</formula>
    </cfRule>
    <cfRule type="cellIs" dxfId="425" priority="273" stopIfTrue="1" operator="between">
      <formula>8</formula>
      <formula>8.9</formula>
    </cfRule>
    <cfRule type="cellIs" dxfId="424" priority="272" operator="between">
      <formula>7</formula>
      <formula>7.9</formula>
    </cfRule>
    <cfRule type="cellIs" dxfId="423" priority="271" operator="between">
      <formula>10.1</formula>
      <formula>10.6</formula>
    </cfRule>
    <cfRule type="cellIs" dxfId="422" priority="270" operator="between">
      <formula>5</formula>
      <formula>6.9</formula>
    </cfRule>
    <cfRule type="cellIs" dxfId="421" priority="268" operator="lessThan">
      <formula>2</formula>
    </cfRule>
    <cfRule type="containsBlanks" dxfId="420" priority="267" stopIfTrue="1">
      <formula>LEN(TRIM(K546))=0</formula>
    </cfRule>
    <cfRule type="cellIs" dxfId="419" priority="269" operator="between">
      <formula>2</formula>
      <formula>4.9</formula>
    </cfRule>
  </conditionalFormatting>
  <conditionalFormatting sqref="K571">
    <cfRule type="colorScale" priority="167">
      <colorScale>
        <cfvo type="num" val="5"/>
        <cfvo type="num" val="10"/>
        <color rgb="FFFF494D"/>
        <color rgb="FF00FF66"/>
      </colorScale>
    </cfRule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72:K583">
    <cfRule type="cellIs" dxfId="418" priority="169" operator="lessThan">
      <formula>2</formula>
    </cfRule>
    <cfRule type="cellIs" dxfId="417" priority="172" operator="between">
      <formula>10.1</formula>
      <formula>10.6</formula>
    </cfRule>
    <cfRule type="cellIs" dxfId="416" priority="174" stopIfTrue="1" operator="between">
      <formula>8</formula>
      <formula>8.9</formula>
    </cfRule>
    <cfRule type="cellIs" dxfId="415" priority="175" operator="between">
      <formula>9</formula>
      <formula>9.9</formula>
    </cfRule>
    <cfRule type="cellIs" dxfId="414" priority="176" stopIfTrue="1" operator="between">
      <formula>10</formula>
      <formula>10</formula>
    </cfRule>
    <cfRule type="cellIs" dxfId="413" priority="170" operator="between">
      <formula>2</formula>
      <formula>4.9</formula>
    </cfRule>
    <cfRule type="cellIs" dxfId="412" priority="171" operator="between">
      <formula>5</formula>
      <formula>6.9</formula>
    </cfRule>
    <cfRule type="cellIs" dxfId="411" priority="173" operator="between">
      <formula>7</formula>
      <formula>7.9</formula>
    </cfRule>
    <cfRule type="containsBlanks" dxfId="410" priority="168" stopIfTrue="1">
      <formula>LEN(TRIM(K572))=0</formula>
    </cfRule>
  </conditionalFormatting>
  <conditionalFormatting sqref="K585">
    <cfRule type="colorScale" priority="123">
      <colorScale>
        <cfvo type="num" val="5"/>
        <cfvo type="num" val="10"/>
        <color rgb="FFFF494D"/>
        <color rgb="FF00FF66"/>
      </colorScale>
    </cfRule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86:K595">
    <cfRule type="cellIs" dxfId="409" priority="131" operator="between">
      <formula>9</formula>
      <formula>9.9</formula>
    </cfRule>
    <cfRule type="cellIs" dxfId="408" priority="132" stopIfTrue="1" operator="between">
      <formula>10</formula>
      <formula>10</formula>
    </cfRule>
    <cfRule type="cellIs" dxfId="407" priority="126" operator="between">
      <formula>2</formula>
      <formula>4.9</formula>
    </cfRule>
    <cfRule type="containsBlanks" dxfId="406" priority="124" stopIfTrue="1">
      <formula>LEN(TRIM(K586))=0</formula>
    </cfRule>
    <cfRule type="cellIs" dxfId="405" priority="125" operator="lessThan">
      <formula>2</formula>
    </cfRule>
    <cfRule type="cellIs" dxfId="404" priority="127" operator="between">
      <formula>5</formula>
      <formula>6.9</formula>
    </cfRule>
    <cfRule type="cellIs" dxfId="403" priority="128" operator="between">
      <formula>10.1</formula>
      <formula>10.6</formula>
    </cfRule>
    <cfRule type="cellIs" dxfId="402" priority="129" operator="between">
      <formula>7</formula>
      <formula>7.9</formula>
    </cfRule>
    <cfRule type="cellIs" dxfId="401" priority="130" stopIfTrue="1" operator="between">
      <formula>8</formula>
      <formula>8.9</formula>
    </cfRule>
  </conditionalFormatting>
  <conditionalFormatting sqref="K597">
    <cfRule type="colorScale" priority="68">
      <colorScale>
        <cfvo type="num" val="5"/>
        <cfvo type="num" val="10"/>
        <color rgb="FFFF494D"/>
        <color rgb="FF00FF66"/>
      </colorScale>
    </cfRule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98:K610">
    <cfRule type="cellIs" dxfId="400" priority="74" operator="between">
      <formula>7</formula>
      <formula>7.9</formula>
    </cfRule>
    <cfRule type="cellIs" dxfId="399" priority="75" stopIfTrue="1" operator="between">
      <formula>8</formula>
      <formula>8.9</formula>
    </cfRule>
    <cfRule type="cellIs" dxfId="398" priority="76" operator="between">
      <formula>9</formula>
      <formula>9.9</formula>
    </cfRule>
    <cfRule type="cellIs" dxfId="397" priority="73" operator="between">
      <formula>10.1</formula>
      <formula>10.6</formula>
    </cfRule>
    <cfRule type="cellIs" dxfId="396" priority="72" operator="between">
      <formula>5</formula>
      <formula>6.9</formula>
    </cfRule>
    <cfRule type="cellIs" dxfId="395" priority="71" operator="between">
      <formula>2</formula>
      <formula>4.9</formula>
    </cfRule>
    <cfRule type="containsBlanks" dxfId="394" priority="69" stopIfTrue="1">
      <formula>LEN(TRIM(K598))=0</formula>
    </cfRule>
    <cfRule type="cellIs" dxfId="393" priority="77" stopIfTrue="1" operator="between">
      <formula>10</formula>
      <formula>10</formula>
    </cfRule>
    <cfRule type="cellIs" dxfId="392" priority="70" operator="lessThan">
      <formula>2</formula>
    </cfRule>
  </conditionalFormatting>
  <conditionalFormatting sqref="M28">
    <cfRule type="colorScale" priority="2769">
      <colorScale>
        <cfvo type="num" val="5"/>
        <cfvo type="num" val="10"/>
        <color rgb="FFFF494D"/>
        <color rgb="FF00FF66"/>
      </colorScale>
    </cfRule>
    <cfRule type="colorScale" priority="27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2740">
      <colorScale>
        <cfvo type="num" val="5"/>
        <cfvo type="num" val="10"/>
        <color rgb="FFFF494D"/>
        <color rgb="FF00FF66"/>
      </colorScale>
    </cfRule>
    <cfRule type="colorScale" priority="27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391" priority="2366" operator="between">
      <formula>7</formula>
      <formula>7.9</formula>
    </cfRule>
    <cfRule type="cellIs" dxfId="390" priority="2367" stopIfTrue="1" operator="between">
      <formula>8</formula>
      <formula>8.9</formula>
    </cfRule>
    <cfRule type="cellIs" dxfId="389" priority="2368" operator="between">
      <formula>9</formula>
      <formula>9.9</formula>
    </cfRule>
    <cfRule type="cellIs" dxfId="388" priority="2369" stopIfTrue="1" operator="between">
      <formula>10</formula>
      <formula>10</formula>
    </cfRule>
    <cfRule type="containsBlanks" dxfId="387" priority="2370" stopIfTrue="1">
      <formula>LEN(TRIM(N3))=0</formula>
    </cfRule>
    <cfRule type="cellIs" dxfId="386" priority="2365" operator="between">
      <formula>10.1</formula>
      <formula>10.6</formula>
    </cfRule>
  </conditionalFormatting>
  <conditionalFormatting sqref="N15:N26">
    <cfRule type="cellIs" dxfId="385" priority="2499" operator="between">
      <formula>9</formula>
      <formula>9.9</formula>
    </cfRule>
    <cfRule type="cellIs" dxfId="384" priority="2497" operator="between">
      <formula>7</formula>
      <formula>7.9</formula>
    </cfRule>
    <cfRule type="cellIs" dxfId="383" priority="2498" stopIfTrue="1" operator="between">
      <formula>8</formula>
      <formula>8.9</formula>
    </cfRule>
    <cfRule type="cellIs" dxfId="382" priority="2500" stopIfTrue="1" operator="between">
      <formula>10</formula>
      <formula>10</formula>
    </cfRule>
  </conditionalFormatting>
  <conditionalFormatting sqref="N28">
    <cfRule type="colorScale" priority="2263">
      <colorScale>
        <cfvo type="num" val="5"/>
        <cfvo type="num" val="10"/>
        <color rgb="FFFF494D"/>
        <color rgb="FF00FF66"/>
      </colorScale>
    </cfRule>
    <cfRule type="colorScale" priority="22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381" priority="2504" stopIfTrue="1" operator="between">
      <formula>10</formula>
      <formula>10</formula>
    </cfRule>
    <cfRule type="cellIs" dxfId="380" priority="2503" operator="between">
      <formula>9</formula>
      <formula>9.9</formula>
    </cfRule>
    <cfRule type="cellIs" dxfId="379" priority="2502" stopIfTrue="1" operator="between">
      <formula>8</formula>
      <formula>8.9</formula>
    </cfRule>
    <cfRule type="cellIs" dxfId="378" priority="2501" operator="between">
      <formula>7</formula>
      <formula>7.9</formula>
    </cfRule>
  </conditionalFormatting>
  <conditionalFormatting sqref="N39">
    <cfRule type="colorScale" priority="27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36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377" priority="2307" stopIfTrue="1" operator="between">
      <formula>8</formula>
      <formula>8.9</formula>
    </cfRule>
    <cfRule type="cellIs" dxfId="376" priority="2308" operator="between">
      <formula>9</formula>
      <formula>9.9</formula>
    </cfRule>
    <cfRule type="containsBlanks" dxfId="375" priority="2310" stopIfTrue="1">
      <formula>LEN(TRIM(N40))=0</formula>
    </cfRule>
    <cfRule type="cellIs" dxfId="374" priority="2306" operator="between">
      <formula>7</formula>
      <formula>7.9</formula>
    </cfRule>
    <cfRule type="cellIs" dxfId="373" priority="2305" operator="between">
      <formula>10.1</formula>
      <formula>10.6</formula>
    </cfRule>
    <cfRule type="cellIs" dxfId="372" priority="2309" stopIfTrue="1" operator="between">
      <formula>10</formula>
      <formula>10</formula>
    </cfRule>
  </conditionalFormatting>
  <conditionalFormatting sqref="N54">
    <cfRule type="colorScale" priority="2294">
      <colorScale>
        <cfvo type="num" val="5"/>
        <cfvo type="num" val="10"/>
        <color rgb="FFFF494D"/>
        <color rgb="FF00FF66"/>
      </colorScale>
    </cfRule>
    <cfRule type="colorScale" priority="22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371" priority="2291" stopIfTrue="1" operator="between">
      <formula>10</formula>
      <formula>10</formula>
    </cfRule>
    <cfRule type="cellIs" dxfId="370" priority="2288" operator="between">
      <formula>7</formula>
      <formula>7.9</formula>
    </cfRule>
    <cfRule type="containsBlanks" dxfId="369" priority="2292" stopIfTrue="1">
      <formula>LEN(TRIM(N55))=0</formula>
    </cfRule>
    <cfRule type="cellIs" dxfId="368" priority="2289" stopIfTrue="1" operator="between">
      <formula>8</formula>
      <formula>8.9</formula>
    </cfRule>
    <cfRule type="cellIs" dxfId="367" priority="2290" operator="between">
      <formula>9</formula>
      <formula>9.9</formula>
    </cfRule>
    <cfRule type="cellIs" dxfId="366" priority="2287" operator="between">
      <formula>10.1</formula>
      <formula>10.6</formula>
    </cfRule>
  </conditionalFormatting>
  <conditionalFormatting sqref="N67">
    <cfRule type="colorScale" priority="22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45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365" priority="2242" stopIfTrue="1" operator="between">
      <formula>10</formula>
      <formula>10</formula>
    </cfRule>
    <cfRule type="containsBlanks" dxfId="364" priority="2243" stopIfTrue="1">
      <formula>LEN(TRIM(N68))=0</formula>
    </cfRule>
    <cfRule type="cellIs" dxfId="363" priority="2241" operator="between">
      <formula>9</formula>
      <formula>9.9</formula>
    </cfRule>
    <cfRule type="cellIs" dxfId="362" priority="2240" stopIfTrue="1" operator="between">
      <formula>8</formula>
      <formula>8.9</formula>
    </cfRule>
    <cfRule type="cellIs" dxfId="361" priority="2239" operator="between">
      <formula>7</formula>
      <formula>7.9</formula>
    </cfRule>
    <cfRule type="cellIs" dxfId="360" priority="2238" operator="between">
      <formula>10.1</formula>
      <formula>10.6</formula>
    </cfRule>
  </conditionalFormatting>
  <conditionalFormatting sqref="N79">
    <cfRule type="colorScale" priority="2176">
      <colorScale>
        <cfvo type="num" val="5"/>
        <cfvo type="num" val="10"/>
        <color rgb="FFFF494D"/>
        <color rgb="FF00FF66"/>
      </colorScale>
    </cfRule>
    <cfRule type="colorScale" priority="21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ontainsBlanks" dxfId="359" priority="2174" stopIfTrue="1">
      <formula>LEN(TRIM(N80))=0</formula>
    </cfRule>
    <cfRule type="cellIs" dxfId="358" priority="2173" stopIfTrue="1" operator="between">
      <formula>10</formula>
      <formula>10</formula>
    </cfRule>
    <cfRule type="cellIs" dxfId="357" priority="2172" operator="between">
      <formula>9</formula>
      <formula>9.9</formula>
    </cfRule>
    <cfRule type="cellIs" dxfId="356" priority="2171" stopIfTrue="1" operator="between">
      <formula>8</formula>
      <formula>8.9</formula>
    </cfRule>
    <cfRule type="cellIs" dxfId="355" priority="2170" operator="between">
      <formula>7</formula>
      <formula>7.9</formula>
    </cfRule>
    <cfRule type="cellIs" dxfId="354" priority="2169" operator="between">
      <formula>10.1</formula>
      <formula>10.6</formula>
    </cfRule>
  </conditionalFormatting>
  <conditionalFormatting sqref="N93">
    <cfRule type="colorScale" priority="2131">
      <colorScale>
        <cfvo type="num" val="5"/>
        <cfvo type="num" val="10"/>
        <color rgb="FFFF494D"/>
        <color rgb="FF00FF66"/>
      </colorScale>
    </cfRule>
    <cfRule type="colorScale" priority="21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ellIs" dxfId="353" priority="2132" operator="between">
      <formula>10.1</formula>
      <formula>10.6</formula>
    </cfRule>
    <cfRule type="cellIs" dxfId="352" priority="2134" stopIfTrue="1" operator="between">
      <formula>8</formula>
      <formula>8.9</formula>
    </cfRule>
    <cfRule type="containsBlanks" dxfId="351" priority="2137" stopIfTrue="1">
      <formula>LEN(TRIM(N94))=0</formula>
    </cfRule>
    <cfRule type="cellIs" dxfId="350" priority="2136" stopIfTrue="1" operator="between">
      <formula>10</formula>
      <formula>10</formula>
    </cfRule>
    <cfRule type="cellIs" dxfId="349" priority="2135" operator="between">
      <formula>9</formula>
      <formula>9.9</formula>
    </cfRule>
    <cfRule type="cellIs" dxfId="348" priority="2133" operator="between">
      <formula>7</formula>
      <formula>7.9</formula>
    </cfRule>
  </conditionalFormatting>
  <conditionalFormatting sqref="N112">
    <cfRule type="colorScale" priority="20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65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347" priority="2058" operator="between">
      <formula>10.1</formula>
      <formula>10.6</formula>
    </cfRule>
    <cfRule type="cellIs" dxfId="346" priority="2061" operator="between">
      <formula>9</formula>
      <formula>9.9</formula>
    </cfRule>
    <cfRule type="cellIs" dxfId="345" priority="2062" stopIfTrue="1" operator="between">
      <formula>10</formula>
      <formula>10</formula>
    </cfRule>
    <cfRule type="containsBlanks" dxfId="344" priority="2063" stopIfTrue="1">
      <formula>LEN(TRIM(N113))=0</formula>
    </cfRule>
    <cfRule type="cellIs" dxfId="343" priority="2059" operator="between">
      <formula>7</formula>
      <formula>7.9</formula>
    </cfRule>
    <cfRule type="cellIs" dxfId="342" priority="2060" stopIfTrue="1" operator="between">
      <formula>8</formula>
      <formula>8.9</formula>
    </cfRule>
  </conditionalFormatting>
  <conditionalFormatting sqref="N127">
    <cfRule type="colorScale" priority="19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8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341" priority="1992" operator="between">
      <formula>7</formula>
      <formula>7.9</formula>
    </cfRule>
    <cfRule type="cellIs" dxfId="340" priority="1993" stopIfTrue="1" operator="between">
      <formula>8</formula>
      <formula>8.9</formula>
    </cfRule>
    <cfRule type="cellIs" dxfId="339" priority="1994" operator="between">
      <formula>9</formula>
      <formula>9.9</formula>
    </cfRule>
    <cfRule type="cellIs" dxfId="338" priority="1995" stopIfTrue="1" operator="between">
      <formula>10</formula>
      <formula>10</formula>
    </cfRule>
    <cfRule type="cellIs" dxfId="337" priority="1985" operator="between">
      <formula>10.1</formula>
      <formula>10.6</formula>
    </cfRule>
    <cfRule type="cellIs" dxfId="336" priority="1986" operator="between">
      <formula>7</formula>
      <formula>7.9</formula>
    </cfRule>
    <cfRule type="cellIs" dxfId="335" priority="1989" stopIfTrue="1" operator="between">
      <formula>10</formula>
      <formula>10</formula>
    </cfRule>
    <cfRule type="containsBlanks" dxfId="334" priority="1996" stopIfTrue="1">
      <formula>LEN(TRIM(N128))=0</formula>
    </cfRule>
    <cfRule type="cellIs" dxfId="333" priority="1991" operator="between">
      <formula>10.1</formula>
      <formula>10.6</formula>
    </cfRule>
    <cfRule type="cellIs" dxfId="332" priority="1987" stopIfTrue="1" operator="between">
      <formula>8</formula>
      <formula>8.9</formula>
    </cfRule>
    <cfRule type="cellIs" dxfId="331" priority="1988" operator="between">
      <formula>9</formula>
      <formula>9.9</formula>
    </cfRule>
    <cfRule type="cellIs" dxfId="330" priority="1984" operator="between">
      <formula>6</formula>
      <formula>6.9</formula>
    </cfRule>
    <cfRule type="containsBlanks" dxfId="329" priority="1990" stopIfTrue="1">
      <formula>LEN(TRIM(N128))=0</formula>
    </cfRule>
  </conditionalFormatting>
  <conditionalFormatting sqref="N137">
    <cfRule type="colorScale" priority="1956">
      <colorScale>
        <cfvo type="num" val="5"/>
        <cfvo type="num" val="10"/>
        <color rgb="FFFF494D"/>
        <color rgb="FF00FF66"/>
      </colorScale>
    </cfRule>
    <cfRule type="colorScale" priority="19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328" priority="1950" operator="between">
      <formula>7</formula>
      <formula>7.9</formula>
    </cfRule>
    <cfRule type="cellIs" dxfId="327" priority="1949" operator="between">
      <formula>10.1</formula>
      <formula>10.6</formula>
    </cfRule>
    <cfRule type="containsBlanks" dxfId="326" priority="1954" stopIfTrue="1">
      <formula>LEN(TRIM(N138))=0</formula>
    </cfRule>
    <cfRule type="cellIs" dxfId="325" priority="1948" operator="between">
      <formula>6</formula>
      <formula>6.9</formula>
    </cfRule>
    <cfRule type="cellIs" dxfId="324" priority="1953" stopIfTrue="1" operator="between">
      <formula>10</formula>
      <formula>10</formula>
    </cfRule>
    <cfRule type="cellIs" dxfId="323" priority="1951" stopIfTrue="1" operator="between">
      <formula>8</formula>
      <formula>8.9</formula>
    </cfRule>
    <cfRule type="cellIs" dxfId="322" priority="1952" operator="between">
      <formula>9</formula>
      <formula>9.9</formula>
    </cfRule>
  </conditionalFormatting>
  <conditionalFormatting sqref="N144">
    <cfRule type="colorScale" priority="19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7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321" priority="1940" operator="between">
      <formula>10.1</formula>
      <formula>10.6</formula>
    </cfRule>
    <cfRule type="containsBlanks" dxfId="320" priority="1945" stopIfTrue="1">
      <formula>LEN(TRIM(N145))=0</formula>
    </cfRule>
    <cfRule type="cellIs" dxfId="319" priority="1939" operator="between">
      <formula>6</formula>
      <formula>6.9</formula>
    </cfRule>
    <cfRule type="cellIs" dxfId="318" priority="1944" stopIfTrue="1" operator="between">
      <formula>10</formula>
      <formula>10</formula>
    </cfRule>
    <cfRule type="cellIs" dxfId="317" priority="1943" operator="between">
      <formula>9</formula>
      <formula>9.9</formula>
    </cfRule>
    <cfRule type="cellIs" dxfId="316" priority="1942" stopIfTrue="1" operator="between">
      <formula>8</formula>
      <formula>8.9</formula>
    </cfRule>
    <cfRule type="cellIs" dxfId="315" priority="1941" operator="between">
      <formula>7</formula>
      <formula>7.9</formula>
    </cfRule>
  </conditionalFormatting>
  <conditionalFormatting sqref="N152">
    <cfRule type="colorScale" priority="18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3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314" priority="1885" operator="between">
      <formula>6</formula>
      <formula>6.9</formula>
    </cfRule>
    <cfRule type="cellIs" dxfId="313" priority="1886" operator="between">
      <formula>10.1</formula>
      <formula>10.6</formula>
    </cfRule>
    <cfRule type="cellIs" dxfId="312" priority="1887" operator="between">
      <formula>7</formula>
      <formula>7.9</formula>
    </cfRule>
    <cfRule type="cellIs" dxfId="311" priority="1888" stopIfTrue="1" operator="between">
      <formula>8</formula>
      <formula>8.9</formula>
    </cfRule>
    <cfRule type="cellIs" dxfId="310" priority="1889" operator="between">
      <formula>9</formula>
      <formula>9.9</formula>
    </cfRule>
    <cfRule type="cellIs" dxfId="309" priority="1890" stopIfTrue="1" operator="between">
      <formula>10</formula>
      <formula>10</formula>
    </cfRule>
    <cfRule type="containsBlanks" dxfId="308" priority="1891" stopIfTrue="1">
      <formula>LEN(TRIM(N153))=0</formula>
    </cfRule>
  </conditionalFormatting>
  <conditionalFormatting sqref="N161">
    <cfRule type="colorScale" priority="18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8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ontainsBlanks" dxfId="307" priority="1875" stopIfTrue="1">
      <formula>LEN(TRIM(N162))=0</formula>
    </cfRule>
    <cfRule type="cellIs" dxfId="306" priority="1874" stopIfTrue="1" operator="between">
      <formula>10</formula>
      <formula>10</formula>
    </cfRule>
    <cfRule type="cellIs" dxfId="305" priority="1873" operator="between">
      <formula>9</formula>
      <formula>9.9</formula>
    </cfRule>
    <cfRule type="cellIs" dxfId="304" priority="1871" operator="between">
      <formula>7</formula>
      <formula>7.9</formula>
    </cfRule>
    <cfRule type="cellIs" dxfId="303" priority="1869" operator="between">
      <formula>6</formula>
      <formula>6.9</formula>
    </cfRule>
    <cfRule type="cellIs" dxfId="302" priority="1870" operator="between">
      <formula>10.1</formula>
      <formula>10.6</formula>
    </cfRule>
    <cfRule type="cellIs" dxfId="301" priority="1872" stopIfTrue="1" operator="between">
      <formula>8</formula>
      <formula>8.9</formula>
    </cfRule>
  </conditionalFormatting>
  <conditionalFormatting sqref="N182">
    <cfRule type="colorScale" priority="18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1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768">
      <colorScale>
        <cfvo type="num" val="5"/>
        <cfvo type="num" val="10"/>
        <color rgb="FFFF494D"/>
        <color rgb="FF00FF66"/>
      </colorScale>
    </cfRule>
    <cfRule type="colorScale" priority="17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300" priority="1764" operator="between">
      <formula>9</formula>
      <formula>9.9</formula>
    </cfRule>
    <cfRule type="cellIs" dxfId="299" priority="1760" operator="between">
      <formula>6</formula>
      <formula>6.9</formula>
    </cfRule>
    <cfRule type="cellIs" dxfId="298" priority="1761" operator="between">
      <formula>10.1</formula>
      <formula>10.6</formula>
    </cfRule>
    <cfRule type="cellIs" dxfId="297" priority="1762" operator="between">
      <formula>7</formula>
      <formula>7.9</formula>
    </cfRule>
    <cfRule type="cellIs" dxfId="296" priority="1763" stopIfTrue="1" operator="between">
      <formula>8</formula>
      <formula>8.9</formula>
    </cfRule>
    <cfRule type="containsBlanks" dxfId="295" priority="1766" stopIfTrue="1">
      <formula>LEN(TRIM(N186))=0</formula>
    </cfRule>
    <cfRule type="cellIs" dxfId="294" priority="1765" stopIfTrue="1" operator="between">
      <formula>10</formula>
      <formula>10</formula>
    </cfRule>
  </conditionalFormatting>
  <conditionalFormatting sqref="N211">
    <cfRule type="colorScale" priority="16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5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293" priority="1679" operator="between">
      <formula>7</formula>
      <formula>7.9</formula>
    </cfRule>
    <cfRule type="cellIs" dxfId="292" priority="1678" operator="between">
      <formula>10.1</formula>
      <formula>11</formula>
    </cfRule>
    <cfRule type="cellIs" dxfId="291" priority="1680" stopIfTrue="1" operator="between">
      <formula>8</formula>
      <formula>8.9</formula>
    </cfRule>
    <cfRule type="cellIs" dxfId="290" priority="1681" operator="between">
      <formula>9</formula>
      <formula>9.9</formula>
    </cfRule>
    <cfRule type="cellIs" dxfId="289" priority="1682" stopIfTrue="1" operator="between">
      <formula>10</formula>
      <formula>10</formula>
    </cfRule>
    <cfRule type="containsBlanks" dxfId="288" priority="1683" stopIfTrue="1">
      <formula>LEN(TRIM(N212))=0</formula>
    </cfRule>
    <cfRule type="cellIs" dxfId="287" priority="1677" operator="between">
      <formula>6</formula>
      <formula>6.9</formula>
    </cfRule>
  </conditionalFormatting>
  <conditionalFormatting sqref="N228">
    <cfRule type="colorScale" priority="16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2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286" priority="1624" operator="between">
      <formula>10.1</formula>
      <formula>11</formula>
    </cfRule>
    <cfRule type="cellIs" dxfId="285" priority="1625" operator="between">
      <formula>7</formula>
      <formula>7.9</formula>
    </cfRule>
    <cfRule type="containsBlanks" dxfId="284" priority="1629" stopIfTrue="1">
      <formula>LEN(TRIM(N229))=0</formula>
    </cfRule>
    <cfRule type="cellIs" dxfId="283" priority="1626" stopIfTrue="1" operator="between">
      <formula>8</formula>
      <formula>8.9</formula>
    </cfRule>
    <cfRule type="cellIs" dxfId="282" priority="1628" stopIfTrue="1" operator="between">
      <formula>10</formula>
      <formula>10</formula>
    </cfRule>
    <cfRule type="cellIs" dxfId="281" priority="1623" operator="between">
      <formula>6</formula>
      <formula>6.9</formula>
    </cfRule>
    <cfRule type="cellIs" dxfId="280" priority="1627" operator="between">
      <formula>9</formula>
      <formula>9.9</formula>
    </cfRule>
  </conditionalFormatting>
  <conditionalFormatting sqref="N240">
    <cfRule type="colorScale" priority="15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7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279" priority="1572" stopIfTrue="1" operator="between">
      <formula>8</formula>
      <formula>8.9</formula>
    </cfRule>
    <cfRule type="cellIs" dxfId="278" priority="1569" operator="between">
      <formula>6</formula>
      <formula>6.9</formula>
    </cfRule>
    <cfRule type="cellIs" dxfId="277" priority="1570" operator="between">
      <formula>10.1</formula>
      <formula>10.6</formula>
    </cfRule>
    <cfRule type="cellIs" dxfId="276" priority="1573" operator="between">
      <formula>9</formula>
      <formula>9.9</formula>
    </cfRule>
    <cfRule type="cellIs" dxfId="275" priority="1571" operator="between">
      <formula>7</formula>
      <formula>7.9</formula>
    </cfRule>
    <cfRule type="containsBlanks" dxfId="274" priority="1575" stopIfTrue="1">
      <formula>LEN(TRIM(N241))=0</formula>
    </cfRule>
    <cfRule type="cellIs" dxfId="273" priority="1574" stopIfTrue="1" operator="between">
      <formula>10</formula>
      <formula>10</formula>
    </cfRule>
  </conditionalFormatting>
  <conditionalFormatting sqref="N249">
    <cfRule type="colorScale" priority="1550">
      <colorScale>
        <cfvo type="num" val="5"/>
        <cfvo type="num" val="10"/>
        <color rgb="FFFF494D"/>
        <color rgb="FF00FF66"/>
      </colorScale>
    </cfRule>
    <cfRule type="colorScale" priority="15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ontainsBlanks" dxfId="272" priority="1548" stopIfTrue="1">
      <formula>LEN(TRIM(N250))=0</formula>
    </cfRule>
    <cfRule type="cellIs" dxfId="271" priority="1547" stopIfTrue="1" operator="between">
      <formula>10</formula>
      <formula>10</formula>
    </cfRule>
    <cfRule type="cellIs" dxfId="270" priority="1543" operator="between">
      <formula>10.1</formula>
      <formula>10.6</formula>
    </cfRule>
    <cfRule type="cellIs" dxfId="269" priority="1546" operator="between">
      <formula>9</formula>
      <formula>9.9</formula>
    </cfRule>
    <cfRule type="cellIs" dxfId="268" priority="1545" stopIfTrue="1" operator="between">
      <formula>8</formula>
      <formula>8.9</formula>
    </cfRule>
    <cfRule type="cellIs" dxfId="267" priority="1544" operator="between">
      <formula>7</formula>
      <formula>7.9</formula>
    </cfRule>
    <cfRule type="cellIs" dxfId="266" priority="1542" operator="between">
      <formula>6</formula>
      <formula>6.9</formula>
    </cfRule>
  </conditionalFormatting>
  <conditionalFormatting sqref="N277">
    <cfRule type="colorScale" priority="1440">
      <colorScale>
        <cfvo type="num" val="5"/>
        <cfvo type="num" val="10"/>
        <color rgb="FFFF494D"/>
        <color rgb="FF00FF66"/>
      </colorScale>
    </cfRule>
    <cfRule type="colorScale" priority="14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265" priority="1433" operator="between">
      <formula>10.1</formula>
      <formula>10.6</formula>
    </cfRule>
    <cfRule type="cellIs" dxfId="264" priority="1432" operator="between">
      <formula>6</formula>
      <formula>6.9</formula>
    </cfRule>
    <cfRule type="containsBlanks" dxfId="263" priority="1438" stopIfTrue="1">
      <formula>LEN(TRIM(N278))=0</formula>
    </cfRule>
    <cfRule type="cellIs" dxfId="262" priority="1437" stopIfTrue="1" operator="between">
      <formula>10</formula>
      <formula>10</formula>
    </cfRule>
    <cfRule type="cellIs" dxfId="261" priority="1435" stopIfTrue="1" operator="between">
      <formula>8</formula>
      <formula>8.9</formula>
    </cfRule>
    <cfRule type="cellIs" dxfId="260" priority="1434" operator="between">
      <formula>7</formula>
      <formula>7.9</formula>
    </cfRule>
    <cfRule type="cellIs" dxfId="259" priority="1436" operator="between">
      <formula>9</formula>
      <formula>9.9</formula>
    </cfRule>
  </conditionalFormatting>
  <conditionalFormatting sqref="N284">
    <cfRule type="colorScale" priority="14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3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258" priority="1418" operator="between">
      <formula>9</formula>
      <formula>9.9</formula>
    </cfRule>
    <cfRule type="containsBlanks" dxfId="257" priority="1420" stopIfTrue="1">
      <formula>LEN(TRIM(N285))=0</formula>
    </cfRule>
    <cfRule type="cellIs" dxfId="256" priority="1414" operator="between">
      <formula>6</formula>
      <formula>6.9</formula>
    </cfRule>
    <cfRule type="cellIs" dxfId="255" priority="1415" operator="between">
      <formula>10.1</formula>
      <formula>10.6</formula>
    </cfRule>
    <cfRule type="cellIs" dxfId="254" priority="1419" stopIfTrue="1" operator="between">
      <formula>10</formula>
      <formula>10</formula>
    </cfRule>
    <cfRule type="cellIs" dxfId="253" priority="1416" operator="between">
      <formula>7</formula>
      <formula>7.9</formula>
    </cfRule>
    <cfRule type="cellIs" dxfId="252" priority="1417" stopIfTrue="1" operator="between">
      <formula>8</formula>
      <formula>8.9</formula>
    </cfRule>
  </conditionalFormatting>
  <conditionalFormatting sqref="N297">
    <cfRule type="colorScale" priority="1362">
      <colorScale>
        <cfvo type="num" val="5"/>
        <cfvo type="num" val="10"/>
        <color rgb="FFFF494D"/>
        <color rgb="FF00FF66"/>
      </colorScale>
    </cfRule>
    <cfRule type="colorScale" priority="13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251" priority="1360" stopIfTrue="1" operator="between">
      <formula>10</formula>
      <formula>10</formula>
    </cfRule>
    <cfRule type="cellIs" dxfId="250" priority="1359" operator="between">
      <formula>9</formula>
      <formula>9.9</formula>
    </cfRule>
    <cfRule type="cellIs" dxfId="249" priority="1358" stopIfTrue="1" operator="between">
      <formula>8</formula>
      <formula>8.9</formula>
    </cfRule>
    <cfRule type="cellIs" dxfId="248" priority="1357" operator="between">
      <formula>7</formula>
      <formula>7.9</formula>
    </cfRule>
    <cfRule type="cellIs" dxfId="247" priority="1356" operator="between">
      <formula>10.1</formula>
      <formula>10.6</formula>
    </cfRule>
    <cfRule type="cellIs" dxfId="246" priority="1354" operator="between">
      <formula>2</formula>
      <formula>4.9</formula>
    </cfRule>
    <cfRule type="cellIs" dxfId="245" priority="1355" operator="between">
      <formula>5</formula>
      <formula>6.9</formula>
    </cfRule>
    <cfRule type="cellIs" dxfId="244" priority="1353" operator="lessThan">
      <formula>2</formula>
    </cfRule>
    <cfRule type="containsBlanks" dxfId="243" priority="1352" stopIfTrue="1">
      <formula>LEN(TRIM(N298))=0</formula>
    </cfRule>
  </conditionalFormatting>
  <conditionalFormatting sqref="N306">
    <cfRule type="colorScale" priority="13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1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242" priority="1329" stopIfTrue="1" operator="between">
      <formula>10</formula>
      <formula>10</formula>
    </cfRule>
    <cfRule type="cellIs" dxfId="241" priority="1328" operator="between">
      <formula>9</formula>
      <formula>9.9</formula>
    </cfRule>
    <cfRule type="cellIs" dxfId="240" priority="1327" stopIfTrue="1" operator="between">
      <formula>8</formula>
      <formula>8.9</formula>
    </cfRule>
    <cfRule type="cellIs" dxfId="239" priority="1326" operator="between">
      <formula>7</formula>
      <formula>7.9</formula>
    </cfRule>
    <cfRule type="cellIs" dxfId="238" priority="1324" operator="between">
      <formula>5</formula>
      <formula>6.9</formula>
    </cfRule>
    <cfRule type="cellIs" dxfId="237" priority="1323" operator="between">
      <formula>2</formula>
      <formula>4.9</formula>
    </cfRule>
    <cfRule type="cellIs" dxfId="236" priority="1322" operator="lessThan">
      <formula>2</formula>
    </cfRule>
    <cfRule type="containsBlanks" dxfId="235" priority="1321" stopIfTrue="1">
      <formula>LEN(TRIM(N307))=0</formula>
    </cfRule>
    <cfRule type="cellIs" dxfId="234" priority="1325" operator="between">
      <formula>10.1</formula>
      <formula>10.6</formula>
    </cfRule>
  </conditionalFormatting>
  <conditionalFormatting sqref="N318">
    <cfRule type="colorScale" priority="12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7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ellIs" dxfId="233" priority="1261" operator="between">
      <formula>10.1</formula>
      <formula>10.6</formula>
    </cfRule>
    <cfRule type="cellIs" dxfId="232" priority="1260" operator="between">
      <formula>5</formula>
      <formula>6.9</formula>
    </cfRule>
    <cfRule type="cellIs" dxfId="231" priority="1259" operator="between">
      <formula>2</formula>
      <formula>4.9</formula>
    </cfRule>
    <cfRule type="containsBlanks" dxfId="230" priority="1257" stopIfTrue="1">
      <formula>LEN(TRIM(N319))=0</formula>
    </cfRule>
    <cfRule type="cellIs" dxfId="229" priority="1262" operator="between">
      <formula>7</formula>
      <formula>7.9</formula>
    </cfRule>
    <cfRule type="cellIs" dxfId="228" priority="1263" stopIfTrue="1" operator="between">
      <formula>8</formula>
      <formula>8.9</formula>
    </cfRule>
    <cfRule type="cellIs" dxfId="227" priority="1264" operator="between">
      <formula>9</formula>
      <formula>9.9</formula>
    </cfRule>
    <cfRule type="cellIs" dxfId="226" priority="1258" operator="lessThan">
      <formula>2</formula>
    </cfRule>
    <cfRule type="cellIs" dxfId="225" priority="1265" stopIfTrue="1" operator="between">
      <formula>10</formula>
      <formula>10</formula>
    </cfRule>
  </conditionalFormatting>
  <conditionalFormatting sqref="N328">
    <cfRule type="colorScale" priority="1223">
      <colorScale>
        <cfvo type="num" val="5"/>
        <cfvo type="num" val="10"/>
        <color rgb="FFFF494D"/>
        <color rgb="FF00FF66"/>
      </colorScale>
    </cfRule>
    <cfRule type="colorScale" priority="12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ontainsBlanks" dxfId="224" priority="1213" stopIfTrue="1">
      <formula>LEN(TRIM(N329))=0</formula>
    </cfRule>
    <cfRule type="cellIs" dxfId="223" priority="1220" operator="between">
      <formula>9</formula>
      <formula>9.9</formula>
    </cfRule>
    <cfRule type="cellIs" dxfId="222" priority="1218" operator="between">
      <formula>7</formula>
      <formula>7.9</formula>
    </cfRule>
    <cfRule type="cellIs" dxfId="221" priority="1216" operator="between">
      <formula>5</formula>
      <formula>6.9</formula>
    </cfRule>
    <cfRule type="cellIs" dxfId="220" priority="1221" stopIfTrue="1" operator="between">
      <formula>10</formula>
      <formula>10</formula>
    </cfRule>
    <cfRule type="cellIs" dxfId="219" priority="1219" stopIfTrue="1" operator="between">
      <formula>8</formula>
      <formula>8.9</formula>
    </cfRule>
    <cfRule type="cellIs" dxfId="218" priority="1217" operator="between">
      <formula>10.1</formula>
      <formula>10.6</formula>
    </cfRule>
    <cfRule type="cellIs" dxfId="217" priority="1215" operator="between">
      <formula>2</formula>
      <formula>4.9</formula>
    </cfRule>
    <cfRule type="cellIs" dxfId="216" priority="1214" operator="lessThan">
      <formula>2</formula>
    </cfRule>
  </conditionalFormatting>
  <conditionalFormatting sqref="N338">
    <cfRule type="colorScale" priority="1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1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ellIs" dxfId="215" priority="1197" stopIfTrue="1" operator="between">
      <formula>8</formula>
      <formula>8.9</formula>
    </cfRule>
    <cfRule type="cellIs" dxfId="214" priority="1198" operator="between">
      <formula>9</formula>
      <formula>9.9</formula>
    </cfRule>
    <cfRule type="cellIs" dxfId="213" priority="1199" stopIfTrue="1" operator="between">
      <formula>10</formula>
      <formula>10</formula>
    </cfRule>
    <cfRule type="cellIs" dxfId="212" priority="1192" operator="lessThan">
      <formula>2</formula>
    </cfRule>
    <cfRule type="containsBlanks" dxfId="211" priority="1191" stopIfTrue="1">
      <formula>LEN(TRIM(N339))=0</formula>
    </cfRule>
    <cfRule type="cellIs" dxfId="210" priority="1193" operator="between">
      <formula>2</formula>
      <formula>4.9</formula>
    </cfRule>
    <cfRule type="cellIs" dxfId="209" priority="1194" operator="between">
      <formula>5</formula>
      <formula>6.9</formula>
    </cfRule>
    <cfRule type="cellIs" dxfId="208" priority="1195" operator="between">
      <formula>10.1</formula>
      <formula>10.6</formula>
    </cfRule>
    <cfRule type="cellIs" dxfId="207" priority="1196" operator="between">
      <formula>7</formula>
      <formula>7.9</formula>
    </cfRule>
  </conditionalFormatting>
  <conditionalFormatting sqref="N355">
    <cfRule type="colorScale" priority="1137">
      <colorScale>
        <cfvo type="num" val="5"/>
        <cfvo type="num" val="10"/>
        <color rgb="FFFF494D"/>
        <color rgb="FF00FF66"/>
      </colorScale>
    </cfRule>
    <cfRule type="colorScale" priority="1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ellIs" dxfId="206" priority="1146" stopIfTrue="1" operator="between">
      <formula>10</formula>
      <formula>10</formula>
    </cfRule>
    <cfRule type="cellIs" dxfId="205" priority="1139" operator="lessThan">
      <formula>2</formula>
    </cfRule>
    <cfRule type="cellIs" dxfId="204" priority="1140" operator="between">
      <formula>2</formula>
      <formula>4.9</formula>
    </cfRule>
    <cfRule type="cellIs" dxfId="203" priority="1143" operator="between">
      <formula>7</formula>
      <formula>7.9</formula>
    </cfRule>
    <cfRule type="containsBlanks" dxfId="202" priority="1138" stopIfTrue="1">
      <formula>LEN(TRIM(N356))=0</formula>
    </cfRule>
    <cfRule type="cellIs" dxfId="201" priority="1144" stopIfTrue="1" operator="between">
      <formula>8</formula>
      <formula>8.9</formula>
    </cfRule>
    <cfRule type="cellIs" dxfId="200" priority="1145" operator="between">
      <formula>9</formula>
      <formula>9.9</formula>
    </cfRule>
    <cfRule type="cellIs" dxfId="199" priority="1142" operator="between">
      <formula>10.1</formula>
      <formula>10.6</formula>
    </cfRule>
    <cfRule type="cellIs" dxfId="198" priority="1141" operator="between">
      <formula>5</formula>
      <formula>6.9</formula>
    </cfRule>
  </conditionalFormatting>
  <conditionalFormatting sqref="N367">
    <cfRule type="colorScale" priority="1080">
      <colorScale>
        <cfvo type="num" val="5"/>
        <cfvo type="num" val="10"/>
        <color rgb="FFFF494D"/>
        <color rgb="FF00FF66"/>
      </colorScale>
    </cfRule>
    <cfRule type="colorScale" priority="10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ellIs" dxfId="197" priority="1088" operator="between">
      <formula>9</formula>
      <formula>9.9</formula>
    </cfRule>
    <cfRule type="cellIs" dxfId="196" priority="1089" stopIfTrue="1" operator="between">
      <formula>10</formula>
      <formula>10</formula>
    </cfRule>
    <cfRule type="cellIs" dxfId="195" priority="1085" operator="between">
      <formula>10.1</formula>
      <formula>10.6</formula>
    </cfRule>
    <cfRule type="cellIs" dxfId="194" priority="1084" operator="between">
      <formula>5</formula>
      <formula>6.9</formula>
    </cfRule>
    <cfRule type="cellIs" dxfId="193" priority="1086" operator="between">
      <formula>7</formula>
      <formula>7.9</formula>
    </cfRule>
    <cfRule type="cellIs" dxfId="192" priority="1083" operator="between">
      <formula>2</formula>
      <formula>4.9</formula>
    </cfRule>
    <cfRule type="cellIs" dxfId="191" priority="1082" operator="lessThan">
      <formula>2</formula>
    </cfRule>
    <cfRule type="containsBlanks" dxfId="190" priority="1081" stopIfTrue="1">
      <formula>LEN(TRIM(N368))=0</formula>
    </cfRule>
    <cfRule type="cellIs" dxfId="189" priority="1087" stopIfTrue="1" operator="between">
      <formula>8</formula>
      <formula>8.9</formula>
    </cfRule>
  </conditionalFormatting>
  <conditionalFormatting sqref="N374">
    <cfRule type="colorScale" priority="1054">
      <colorScale>
        <cfvo type="num" val="5"/>
        <cfvo type="num" val="10"/>
        <color rgb="FFFF494D"/>
        <color rgb="FF00FF66"/>
      </colorScale>
    </cfRule>
    <cfRule type="colorScale" priority="10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ellIs" dxfId="188" priority="1052" stopIfTrue="1" operator="between">
      <formula>10</formula>
      <formula>10</formula>
    </cfRule>
    <cfRule type="cellIs" dxfId="187" priority="1046" operator="between">
      <formula>2</formula>
      <formula>4.9</formula>
    </cfRule>
    <cfRule type="cellIs" dxfId="186" priority="1047" operator="between">
      <formula>5</formula>
      <formula>6.9</formula>
    </cfRule>
    <cfRule type="cellIs" dxfId="185" priority="1050" stopIfTrue="1" operator="between">
      <formula>8</formula>
      <formula>8.9</formula>
    </cfRule>
    <cfRule type="cellIs" dxfId="184" priority="1049" operator="between">
      <formula>7</formula>
      <formula>7.9</formula>
    </cfRule>
    <cfRule type="cellIs" dxfId="183" priority="1045" operator="lessThan">
      <formula>2</formula>
    </cfRule>
    <cfRule type="containsBlanks" dxfId="182" priority="1044" stopIfTrue="1">
      <formula>LEN(TRIM(N375))=0</formula>
    </cfRule>
    <cfRule type="cellIs" dxfId="181" priority="1051" operator="between">
      <formula>9</formula>
      <formula>9.9</formula>
    </cfRule>
    <cfRule type="cellIs" dxfId="180" priority="1048" operator="between">
      <formula>10.1</formula>
      <formula>10.6</formula>
    </cfRule>
  </conditionalFormatting>
  <conditionalFormatting sqref="N384">
    <cfRule type="colorScale" priority="9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0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ellIs" dxfId="179" priority="993" operator="between">
      <formula>5</formula>
      <formula>6.9</formula>
    </cfRule>
    <cfRule type="cellIs" dxfId="178" priority="991" operator="lessThan">
      <formula>2</formula>
    </cfRule>
    <cfRule type="cellIs" dxfId="177" priority="997" operator="between">
      <formula>9</formula>
      <formula>9.9</formula>
    </cfRule>
    <cfRule type="cellIs" dxfId="176" priority="998" stopIfTrue="1" operator="between">
      <formula>10</formula>
      <formula>10</formula>
    </cfRule>
    <cfRule type="cellIs" dxfId="175" priority="994" operator="between">
      <formula>10.1</formula>
      <formula>10.6</formula>
    </cfRule>
    <cfRule type="cellIs" dxfId="174" priority="992" operator="between">
      <formula>2</formula>
      <formula>4.9</formula>
    </cfRule>
    <cfRule type="containsBlanks" dxfId="173" priority="990" stopIfTrue="1">
      <formula>LEN(TRIM(N385))=0</formula>
    </cfRule>
    <cfRule type="cellIs" dxfId="172" priority="996" stopIfTrue="1" operator="between">
      <formula>8</formula>
      <formula>8.9</formula>
    </cfRule>
    <cfRule type="cellIs" dxfId="171" priority="995" operator="between">
      <formula>7</formula>
      <formula>7.9</formula>
    </cfRule>
  </conditionalFormatting>
  <conditionalFormatting sqref="N397">
    <cfRule type="colorScale" priority="9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5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ellIs" dxfId="170" priority="937" operator="between">
      <formula>2</formula>
      <formula>4.9</formula>
    </cfRule>
    <cfRule type="cellIs" dxfId="169" priority="943" stopIfTrue="1" operator="between">
      <formula>10</formula>
      <formula>10</formula>
    </cfRule>
    <cfRule type="cellIs" dxfId="168" priority="942" operator="between">
      <formula>9</formula>
      <formula>9.9</formula>
    </cfRule>
    <cfRule type="cellIs" dxfId="167" priority="941" stopIfTrue="1" operator="between">
      <formula>8</formula>
      <formula>8.9</formula>
    </cfRule>
    <cfRule type="cellIs" dxfId="166" priority="938" operator="between">
      <formula>5</formula>
      <formula>6.9</formula>
    </cfRule>
    <cfRule type="cellIs" dxfId="165" priority="939" operator="between">
      <formula>10.1</formula>
      <formula>10.6</formula>
    </cfRule>
    <cfRule type="cellIs" dxfId="164" priority="940" operator="between">
      <formula>7</formula>
      <formula>7.9</formula>
    </cfRule>
    <cfRule type="containsBlanks" dxfId="163" priority="935" stopIfTrue="1">
      <formula>LEN(TRIM(N398))=0</formula>
    </cfRule>
    <cfRule type="cellIs" dxfId="162" priority="936" operator="lessThan">
      <formula>2</formula>
    </cfRule>
  </conditionalFormatting>
  <conditionalFormatting sqref="N412">
    <cfRule type="colorScale" priority="8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8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ellIs" dxfId="161" priority="866" operator="between">
      <formula>9</formula>
      <formula>9.9</formula>
    </cfRule>
    <cfRule type="cellIs" dxfId="160" priority="865" stopIfTrue="1" operator="between">
      <formula>8</formula>
      <formula>8.9</formula>
    </cfRule>
    <cfRule type="cellIs" dxfId="159" priority="864" operator="between">
      <formula>7</formula>
      <formula>7.9</formula>
    </cfRule>
    <cfRule type="cellIs" dxfId="158" priority="863" operator="between">
      <formula>10.1</formula>
      <formula>10.6</formula>
    </cfRule>
    <cfRule type="cellIs" dxfId="157" priority="862" operator="between">
      <formula>5</formula>
      <formula>6.9</formula>
    </cfRule>
    <cfRule type="containsBlanks" dxfId="156" priority="859" stopIfTrue="1">
      <formula>LEN(TRIM(N413))=0</formula>
    </cfRule>
    <cfRule type="cellIs" dxfId="155" priority="860" operator="lessThan">
      <formula>2</formula>
    </cfRule>
    <cfRule type="cellIs" dxfId="154" priority="861" operator="between">
      <formula>2</formula>
      <formula>4.9</formula>
    </cfRule>
    <cfRule type="cellIs" dxfId="153" priority="867" stopIfTrue="1" operator="between">
      <formula>10</formula>
      <formula>10</formula>
    </cfRule>
  </conditionalFormatting>
  <conditionalFormatting sqref="N417">
    <cfRule type="colorScale" priority="8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6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ellIs" dxfId="152" priority="820" operator="between">
      <formula>5</formula>
      <formula>6.9</formula>
    </cfRule>
    <cfRule type="cellIs" dxfId="151" priority="819" operator="between">
      <formula>2</formula>
      <formula>4.9</formula>
    </cfRule>
    <cfRule type="cellIs" dxfId="150" priority="824" operator="between">
      <formula>9</formula>
      <formula>9.9</formula>
    </cfRule>
    <cfRule type="cellIs" dxfId="149" priority="823" stopIfTrue="1" operator="between">
      <formula>8</formula>
      <formula>8.9</formula>
    </cfRule>
    <cfRule type="cellIs" dxfId="148" priority="822" operator="between">
      <formula>7</formula>
      <formula>7.9</formula>
    </cfRule>
    <cfRule type="cellIs" dxfId="147" priority="818" operator="lessThan">
      <formula>2</formula>
    </cfRule>
    <cfRule type="containsBlanks" dxfId="146" priority="817" stopIfTrue="1">
      <formula>LEN(TRIM(N418))=0</formula>
    </cfRule>
    <cfRule type="cellIs" dxfId="145" priority="821" operator="between">
      <formula>10.1</formula>
      <formula>10.6</formula>
    </cfRule>
    <cfRule type="cellIs" dxfId="144" priority="825" stopIfTrue="1" operator="between">
      <formula>10</formula>
      <formula>10</formula>
    </cfRule>
  </conditionalFormatting>
  <conditionalFormatting sqref="N430">
    <cfRule type="colorScale" priority="768">
      <colorScale>
        <cfvo type="num" val="5"/>
        <cfvo type="num" val="10"/>
        <color rgb="FFFF494D"/>
        <color rgb="FF00FF66"/>
      </colorScale>
    </cfRule>
    <cfRule type="colorScale" priority="7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31:N441">
    <cfRule type="cellIs" dxfId="143" priority="765" operator="between">
      <formula>9</formula>
      <formula>9.9</formula>
    </cfRule>
    <cfRule type="cellIs" dxfId="142" priority="766" stopIfTrue="1" operator="between">
      <formula>10</formula>
      <formula>10</formula>
    </cfRule>
    <cfRule type="cellIs" dxfId="141" priority="762" operator="between">
      <formula>10.1</formula>
      <formula>10.6</formula>
    </cfRule>
    <cfRule type="cellIs" dxfId="140" priority="761" operator="between">
      <formula>5</formula>
      <formula>6.9</formula>
    </cfRule>
    <cfRule type="cellIs" dxfId="139" priority="759" operator="lessThan">
      <formula>2</formula>
    </cfRule>
    <cfRule type="containsBlanks" dxfId="138" priority="758" stopIfTrue="1">
      <formula>LEN(TRIM(N431))=0</formula>
    </cfRule>
    <cfRule type="cellIs" dxfId="137" priority="760" operator="between">
      <formula>2</formula>
      <formula>4.9</formula>
    </cfRule>
    <cfRule type="cellIs" dxfId="136" priority="763" operator="between">
      <formula>7</formula>
      <formula>7.9</formula>
    </cfRule>
    <cfRule type="cellIs" dxfId="135" priority="764" stopIfTrue="1" operator="between">
      <formula>8</formula>
      <formula>8.9</formula>
    </cfRule>
  </conditionalFormatting>
  <conditionalFormatting sqref="N443">
    <cfRule type="colorScale" priority="6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3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ellIs" dxfId="134" priority="682" stopIfTrue="1" operator="between">
      <formula>10</formula>
      <formula>10</formula>
    </cfRule>
    <cfRule type="cellIs" dxfId="133" priority="676" operator="between">
      <formula>2</formula>
      <formula>4.9</formula>
    </cfRule>
    <cfRule type="cellIs" dxfId="132" priority="675" operator="lessThan">
      <formula>2</formula>
    </cfRule>
    <cfRule type="containsBlanks" dxfId="131" priority="674" stopIfTrue="1">
      <formula>LEN(TRIM(N444))=0</formula>
    </cfRule>
    <cfRule type="cellIs" dxfId="130" priority="678" operator="between">
      <formula>10.1</formula>
      <formula>10.6</formula>
    </cfRule>
    <cfRule type="cellIs" dxfId="129" priority="677" operator="between">
      <formula>5</formula>
      <formula>6.9</formula>
    </cfRule>
    <cfRule type="cellIs" dxfId="128" priority="679" operator="between">
      <formula>7</formula>
      <formula>7.9</formula>
    </cfRule>
    <cfRule type="cellIs" dxfId="127" priority="680" stopIfTrue="1" operator="between">
      <formula>8</formula>
      <formula>8.9</formula>
    </cfRule>
    <cfRule type="cellIs" dxfId="126" priority="681" operator="between">
      <formula>9</formula>
      <formula>9.9</formula>
    </cfRule>
  </conditionalFormatting>
  <conditionalFormatting sqref="N468"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6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ellIs" dxfId="125" priority="604" operator="between">
      <formula>9</formula>
      <formula>9.9</formula>
    </cfRule>
    <cfRule type="cellIs" dxfId="124" priority="605" stopIfTrue="1" operator="between">
      <formula>10</formula>
      <formula>10</formula>
    </cfRule>
    <cfRule type="cellIs" dxfId="123" priority="598" operator="lessThan">
      <formula>2</formula>
    </cfRule>
    <cfRule type="cellIs" dxfId="122" priority="599" operator="between">
      <formula>2</formula>
      <formula>4.9</formula>
    </cfRule>
    <cfRule type="cellIs" dxfId="121" priority="600" operator="between">
      <formula>5</formula>
      <formula>6.9</formula>
    </cfRule>
    <cfRule type="cellIs" dxfId="120" priority="601" operator="between">
      <formula>10.1</formula>
      <formula>10.6</formula>
    </cfRule>
    <cfRule type="cellIs" dxfId="119" priority="602" operator="between">
      <formula>7</formula>
      <formula>7.9</formula>
    </cfRule>
    <cfRule type="cellIs" dxfId="118" priority="603" stopIfTrue="1" operator="between">
      <formula>8</formula>
      <formula>8.9</formula>
    </cfRule>
    <cfRule type="containsBlanks" dxfId="117" priority="597" stopIfTrue="1">
      <formula>LEN(TRIM(N469))=0</formula>
    </cfRule>
  </conditionalFormatting>
  <conditionalFormatting sqref="N480">
    <cfRule type="colorScale" priority="552">
      <colorScale>
        <cfvo type="num" val="5"/>
        <cfvo type="num" val="10"/>
        <color rgb="FFFF494D"/>
        <color rgb="FF00FF66"/>
      </colorScale>
    </cfRule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1:N486">
    <cfRule type="cellIs" dxfId="116" priority="561" stopIfTrue="1" operator="between">
      <formula>10</formula>
      <formula>10</formula>
    </cfRule>
    <cfRule type="cellIs" dxfId="115" priority="560" operator="between">
      <formula>9</formula>
      <formula>9.9</formula>
    </cfRule>
    <cfRule type="cellIs" dxfId="114" priority="559" stopIfTrue="1" operator="between">
      <formula>8</formula>
      <formula>8.9</formula>
    </cfRule>
    <cfRule type="cellIs" dxfId="113" priority="558" operator="between">
      <formula>7</formula>
      <formula>7.9</formula>
    </cfRule>
    <cfRule type="cellIs" dxfId="112" priority="557" operator="between">
      <formula>10.1</formula>
      <formula>10.6</formula>
    </cfRule>
    <cfRule type="cellIs" dxfId="111" priority="555" operator="between">
      <formula>2</formula>
      <formula>4.9</formula>
    </cfRule>
    <cfRule type="cellIs" dxfId="110" priority="554" operator="lessThan">
      <formula>2</formula>
    </cfRule>
    <cfRule type="containsBlanks" dxfId="109" priority="553" stopIfTrue="1">
      <formula>LEN(TRIM(N481))=0</formula>
    </cfRule>
    <cfRule type="cellIs" dxfId="108" priority="556" operator="between">
      <formula>5</formula>
      <formula>6.9</formula>
    </cfRule>
  </conditionalFormatting>
  <conditionalFormatting sqref="N488">
    <cfRule type="colorScale" priority="508">
      <colorScale>
        <cfvo type="num" val="5"/>
        <cfvo type="num" val="10"/>
        <color rgb="FFFF494D"/>
        <color rgb="FF00FF66"/>
      </colorScale>
    </cfRule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9:N498">
    <cfRule type="cellIs" dxfId="107" priority="517" stopIfTrue="1" operator="between">
      <formula>10</formula>
      <formula>10</formula>
    </cfRule>
    <cfRule type="cellIs" dxfId="106" priority="510" operator="lessThan">
      <formula>2</formula>
    </cfRule>
    <cfRule type="containsBlanks" dxfId="105" priority="509" stopIfTrue="1">
      <formula>LEN(TRIM(N489))=0</formula>
    </cfRule>
    <cfRule type="cellIs" dxfId="104" priority="516" operator="between">
      <formula>9</formula>
      <formula>9.9</formula>
    </cfRule>
    <cfRule type="cellIs" dxfId="103" priority="515" stopIfTrue="1" operator="between">
      <formula>8</formula>
      <formula>8.9</formula>
    </cfRule>
    <cfRule type="cellIs" dxfId="102" priority="514" operator="between">
      <formula>7</formula>
      <formula>7.9</formula>
    </cfRule>
    <cfRule type="cellIs" dxfId="101" priority="511" operator="between">
      <formula>2</formula>
      <formula>4.9</formula>
    </cfRule>
    <cfRule type="cellIs" dxfId="100" priority="513" operator="between">
      <formula>10.1</formula>
      <formula>10.6</formula>
    </cfRule>
    <cfRule type="cellIs" dxfId="99" priority="512" operator="between">
      <formula>5</formula>
      <formula>6.9</formula>
    </cfRule>
  </conditionalFormatting>
  <conditionalFormatting sqref="N500">
    <cfRule type="colorScale" priority="453">
      <colorScale>
        <cfvo type="num" val="5"/>
        <cfvo type="num" val="10"/>
        <color rgb="FFFF494D"/>
        <color rgb="FF00FF66"/>
      </colorScale>
    </cfRule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01:N510">
    <cfRule type="cellIs" dxfId="98" priority="455" operator="lessThan">
      <formula>2</formula>
    </cfRule>
    <cfRule type="cellIs" dxfId="97" priority="462" stopIfTrue="1" operator="between">
      <formula>10</formula>
      <formula>10</formula>
    </cfRule>
    <cfRule type="containsBlanks" dxfId="96" priority="454" stopIfTrue="1">
      <formula>LEN(TRIM(N501))=0</formula>
    </cfRule>
    <cfRule type="cellIs" dxfId="95" priority="461" operator="between">
      <formula>9</formula>
      <formula>9.9</formula>
    </cfRule>
    <cfRule type="cellIs" dxfId="94" priority="460" stopIfTrue="1" operator="between">
      <formula>8</formula>
      <formula>8.9</formula>
    </cfRule>
    <cfRule type="cellIs" dxfId="93" priority="459" operator="between">
      <formula>7</formula>
      <formula>7.9</formula>
    </cfRule>
    <cfRule type="cellIs" dxfId="92" priority="458" operator="between">
      <formula>10.1</formula>
      <formula>10.6</formula>
    </cfRule>
    <cfRule type="cellIs" dxfId="91" priority="457" operator="between">
      <formula>5</formula>
      <formula>6.9</formula>
    </cfRule>
    <cfRule type="cellIs" dxfId="90" priority="456" operator="between">
      <formula>2</formula>
      <formula>4.9</formula>
    </cfRule>
  </conditionalFormatting>
  <conditionalFormatting sqref="N512"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0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ellIs" dxfId="89" priority="425" operator="between">
      <formula>10.1</formula>
      <formula>10.6</formula>
    </cfRule>
    <cfRule type="cellIs" dxfId="88" priority="424" operator="between">
      <formula>5</formula>
      <formula>6.9</formula>
    </cfRule>
    <cfRule type="cellIs" dxfId="87" priority="429" stopIfTrue="1" operator="between">
      <formula>10</formula>
      <formula>10</formula>
    </cfRule>
    <cfRule type="cellIs" dxfId="86" priority="427" stopIfTrue="1" operator="between">
      <formula>8</formula>
      <formula>8.9</formula>
    </cfRule>
    <cfRule type="cellIs" dxfId="85" priority="423" operator="between">
      <formula>2</formula>
      <formula>4.9</formula>
    </cfRule>
    <cfRule type="containsBlanks" dxfId="84" priority="421" stopIfTrue="1">
      <formula>LEN(TRIM(N513))=0</formula>
    </cfRule>
    <cfRule type="cellIs" dxfId="83" priority="428" operator="between">
      <formula>9</formula>
      <formula>9.9</formula>
    </cfRule>
    <cfRule type="cellIs" dxfId="82" priority="426" operator="between">
      <formula>7</formula>
      <formula>7.9</formula>
    </cfRule>
    <cfRule type="cellIs" dxfId="81" priority="422" operator="lessThan">
      <formula>2</formula>
    </cfRule>
  </conditionalFormatting>
  <conditionalFormatting sqref="N525"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4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ellIs" dxfId="80" priority="357" operator="between">
      <formula>2</formula>
      <formula>4.9</formula>
    </cfRule>
    <cfRule type="cellIs" dxfId="79" priority="356" operator="lessThan">
      <formula>2</formula>
    </cfRule>
    <cfRule type="cellIs" dxfId="78" priority="360" operator="between">
      <formula>7</formula>
      <formula>7.9</formula>
    </cfRule>
    <cfRule type="containsBlanks" dxfId="77" priority="355" stopIfTrue="1">
      <formula>LEN(TRIM(N526))=0</formula>
    </cfRule>
    <cfRule type="cellIs" dxfId="76" priority="363" stopIfTrue="1" operator="between">
      <formula>10</formula>
      <formula>10</formula>
    </cfRule>
    <cfRule type="cellIs" dxfId="75" priority="362" operator="between">
      <formula>9</formula>
      <formula>9.9</formula>
    </cfRule>
    <cfRule type="cellIs" dxfId="74" priority="361" stopIfTrue="1" operator="between">
      <formula>8</formula>
      <formula>8.9</formula>
    </cfRule>
    <cfRule type="cellIs" dxfId="73" priority="359" operator="between">
      <formula>10.1</formula>
      <formula>10.6</formula>
    </cfRule>
    <cfRule type="cellIs" dxfId="72" priority="358" operator="between">
      <formula>5</formula>
      <formula>6.9</formula>
    </cfRule>
  </conditionalFormatting>
  <conditionalFormatting sqref="N536">
    <cfRule type="colorScale" priority="310">
      <colorScale>
        <cfvo type="num" val="5"/>
        <cfvo type="num" val="10"/>
        <color rgb="FFFF494D"/>
        <color rgb="FF00FF66"/>
      </colorScale>
    </cfRule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37:N544">
    <cfRule type="cellIs" dxfId="71" priority="316" operator="between">
      <formula>7</formula>
      <formula>7.9</formula>
    </cfRule>
    <cfRule type="cellIs" dxfId="70" priority="317" stopIfTrue="1" operator="between">
      <formula>8</formula>
      <formula>8.9</formula>
    </cfRule>
    <cfRule type="cellIs" dxfId="69" priority="315" operator="between">
      <formula>10.1</formula>
      <formula>10.6</formula>
    </cfRule>
    <cfRule type="cellIs" dxfId="68" priority="318" operator="between">
      <formula>9</formula>
      <formula>9.9</formula>
    </cfRule>
    <cfRule type="cellIs" dxfId="67" priority="312" operator="lessThan">
      <formula>2</formula>
    </cfRule>
    <cfRule type="containsBlanks" dxfId="66" priority="311" stopIfTrue="1">
      <formula>LEN(TRIM(N537))=0</formula>
    </cfRule>
    <cfRule type="cellIs" dxfId="65" priority="314" operator="between">
      <formula>5</formula>
      <formula>6.9</formula>
    </cfRule>
    <cfRule type="cellIs" dxfId="64" priority="319" stopIfTrue="1" operator="between">
      <formula>10</formula>
      <formula>10</formula>
    </cfRule>
    <cfRule type="cellIs" dxfId="63" priority="313" operator="between">
      <formula>2</formula>
      <formula>4.9</formula>
    </cfRule>
  </conditionalFormatting>
  <conditionalFormatting sqref="N546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N547:N557">
    <cfRule type="cellIs" dxfId="62" priority="263" operator="between">
      <formula>9</formula>
      <formula>9.9</formula>
    </cfRule>
    <cfRule type="containsBlanks" dxfId="61" priority="256" stopIfTrue="1">
      <formula>LEN(TRIM(N547))=0</formula>
    </cfRule>
    <cfRule type="cellIs" dxfId="60" priority="264" stopIfTrue="1" operator="between">
      <formula>10</formula>
      <formula>10</formula>
    </cfRule>
    <cfRule type="cellIs" dxfId="59" priority="262" stopIfTrue="1" operator="between">
      <formula>8</formula>
      <formula>8.9</formula>
    </cfRule>
    <cfRule type="cellIs" dxfId="58" priority="261" operator="between">
      <formula>7</formula>
      <formula>7.9</formula>
    </cfRule>
    <cfRule type="cellIs" dxfId="57" priority="260" operator="between">
      <formula>10.1</formula>
      <formula>10.6</formula>
    </cfRule>
    <cfRule type="cellIs" dxfId="56" priority="259" operator="between">
      <formula>5</formula>
      <formula>6.9</formula>
    </cfRule>
    <cfRule type="cellIs" dxfId="55" priority="258" operator="between">
      <formula>2</formula>
      <formula>4.9</formula>
    </cfRule>
    <cfRule type="cellIs" dxfId="54" priority="257" operator="lessThan">
      <formula>2</formula>
    </cfRule>
  </conditionalFormatting>
  <conditionalFormatting sqref="N559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N560:N564">
    <cfRule type="cellIs" dxfId="53" priority="228" operator="between">
      <formula>7</formula>
      <formula>7.9</formula>
    </cfRule>
    <cfRule type="cellIs" dxfId="52" priority="229" stopIfTrue="1" operator="between">
      <formula>8</formula>
      <formula>8.9</formula>
    </cfRule>
    <cfRule type="cellIs" dxfId="51" priority="226" operator="between">
      <formula>5</formula>
      <formula>6.9</formula>
    </cfRule>
    <cfRule type="cellIs" dxfId="50" priority="230" operator="between">
      <formula>9</formula>
      <formula>9.9</formula>
    </cfRule>
    <cfRule type="cellIs" dxfId="49" priority="231" stopIfTrue="1" operator="between">
      <formula>10</formula>
      <formula>10</formula>
    </cfRule>
    <cfRule type="cellIs" dxfId="48" priority="224" operator="lessThan">
      <formula>2</formula>
    </cfRule>
    <cfRule type="cellIs" dxfId="47" priority="225" operator="between">
      <formula>2</formula>
      <formula>4.9</formula>
    </cfRule>
    <cfRule type="containsBlanks" dxfId="46" priority="223" stopIfTrue="1">
      <formula>LEN(TRIM(N560))=0</formula>
    </cfRule>
    <cfRule type="cellIs" dxfId="45" priority="227" operator="between">
      <formula>10.1</formula>
      <formula>10.6</formula>
    </cfRule>
  </conditionalFormatting>
  <conditionalFormatting sqref="N566">
    <cfRule type="colorScale" priority="198">
      <colorScale>
        <cfvo type="num" val="5"/>
        <cfvo type="num" val="10"/>
        <color rgb="FFFF494D"/>
        <color rgb="FF00FF66"/>
      </colorScale>
    </cfRule>
    <cfRule type="colorScale" priority="1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67:N578">
    <cfRule type="cellIs" dxfId="44" priority="189" operator="lessThan">
      <formula>2</formula>
    </cfRule>
    <cfRule type="containsBlanks" dxfId="43" priority="188" stopIfTrue="1">
      <formula>LEN(TRIM(N567))=0</formula>
    </cfRule>
    <cfRule type="cellIs" dxfId="42" priority="196" stopIfTrue="1" operator="between">
      <formula>10</formula>
      <formula>10</formula>
    </cfRule>
    <cfRule type="cellIs" dxfId="41" priority="190" operator="between">
      <formula>2</formula>
      <formula>4.9</formula>
    </cfRule>
    <cfRule type="cellIs" dxfId="40" priority="194" stopIfTrue="1" operator="between">
      <formula>8</formula>
      <formula>8.9</formula>
    </cfRule>
    <cfRule type="cellIs" dxfId="39" priority="193" operator="between">
      <formula>7</formula>
      <formula>7.9</formula>
    </cfRule>
    <cfRule type="cellIs" dxfId="38" priority="192" operator="between">
      <formula>10.1</formula>
      <formula>10.6</formula>
    </cfRule>
    <cfRule type="cellIs" dxfId="37" priority="191" operator="between">
      <formula>5</formula>
      <formula>6.9</formula>
    </cfRule>
    <cfRule type="cellIs" dxfId="36" priority="195" operator="between">
      <formula>9</formula>
      <formula>9.9</formula>
    </cfRule>
  </conditionalFormatting>
  <conditionalFormatting sqref="N580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N581:N589">
    <cfRule type="cellIs" dxfId="35" priority="154" stopIfTrue="1" operator="between">
      <formula>10</formula>
      <formula>10</formula>
    </cfRule>
    <cfRule type="cellIs" dxfId="34" priority="153" operator="between">
      <formula>9</formula>
      <formula>9.9</formula>
    </cfRule>
    <cfRule type="cellIs" dxfId="33" priority="152" stopIfTrue="1" operator="between">
      <formula>8</formula>
      <formula>8.9</formula>
    </cfRule>
    <cfRule type="cellIs" dxfId="32" priority="147" operator="lessThan">
      <formula>2</formula>
    </cfRule>
    <cfRule type="cellIs" dxfId="31" priority="148" operator="between">
      <formula>2</formula>
      <formula>4.9</formula>
    </cfRule>
    <cfRule type="cellIs" dxfId="30" priority="149" operator="between">
      <formula>5</formula>
      <formula>6.9</formula>
    </cfRule>
    <cfRule type="cellIs" dxfId="29" priority="151" operator="between">
      <formula>7</formula>
      <formula>7.9</formula>
    </cfRule>
    <cfRule type="containsBlanks" dxfId="28" priority="146" stopIfTrue="1">
      <formula>LEN(TRIM(N581))=0</formula>
    </cfRule>
    <cfRule type="cellIs" dxfId="27" priority="150" operator="between">
      <formula>10.1</formula>
      <formula>10.6</formula>
    </cfRule>
  </conditionalFormatting>
  <conditionalFormatting sqref="N591">
    <cfRule type="colorScale" priority="90">
      <colorScale>
        <cfvo type="num" val="5"/>
        <cfvo type="num" val="10"/>
        <color rgb="FFFF494D"/>
        <color rgb="FF00FF66"/>
      </colorScale>
    </cfRule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92:N601">
    <cfRule type="containsBlanks" dxfId="26" priority="91" stopIfTrue="1">
      <formula>LEN(TRIM(N592))=0</formula>
    </cfRule>
    <cfRule type="cellIs" dxfId="25" priority="93" operator="between">
      <formula>2</formula>
      <formula>4.9</formula>
    </cfRule>
    <cfRule type="cellIs" dxfId="24" priority="95" operator="between">
      <formula>10.1</formula>
      <formula>10.6</formula>
    </cfRule>
    <cfRule type="cellIs" dxfId="23" priority="96" operator="between">
      <formula>7</formula>
      <formula>7.9</formula>
    </cfRule>
    <cfRule type="cellIs" dxfId="22" priority="97" stopIfTrue="1" operator="between">
      <formula>8</formula>
      <formula>8.9</formula>
    </cfRule>
    <cfRule type="cellIs" dxfId="21" priority="98" operator="between">
      <formula>9</formula>
      <formula>9.9</formula>
    </cfRule>
    <cfRule type="cellIs" dxfId="20" priority="99" stopIfTrue="1" operator="between">
      <formula>10</formula>
      <formula>10</formula>
    </cfRule>
    <cfRule type="cellIs" dxfId="19" priority="94" operator="between">
      <formula>5</formula>
      <formula>6.9</formula>
    </cfRule>
    <cfRule type="cellIs" dxfId="18" priority="92" operator="lessThan">
      <formula>2</formula>
    </cfRule>
  </conditionalFormatting>
  <conditionalFormatting sqref="N603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N604:N612">
    <cfRule type="cellIs" dxfId="17" priority="48" operator="lessThan">
      <formula>2</formula>
    </cfRule>
    <cfRule type="cellIs" dxfId="16" priority="49" operator="between">
      <formula>2</formula>
      <formula>4.9</formula>
    </cfRule>
    <cfRule type="cellIs" dxfId="15" priority="50" operator="between">
      <formula>5</formula>
      <formula>6.9</formula>
    </cfRule>
    <cfRule type="cellIs" dxfId="14" priority="54" operator="between">
      <formula>9</formula>
      <formula>9.9</formula>
    </cfRule>
    <cfRule type="cellIs" dxfId="13" priority="53" stopIfTrue="1" operator="between">
      <formula>8</formula>
      <formula>8.9</formula>
    </cfRule>
    <cfRule type="cellIs" dxfId="12" priority="52" operator="between">
      <formula>7</formula>
      <formula>7.9</formula>
    </cfRule>
    <cfRule type="cellIs" dxfId="11" priority="51" operator="between">
      <formula>10.1</formula>
      <formula>10.6</formula>
    </cfRule>
    <cfRule type="containsBlanks" dxfId="10" priority="47" stopIfTrue="1">
      <formula>LEN(TRIM(N604))=0</formula>
    </cfRule>
    <cfRule type="cellIs" dxfId="9" priority="55" stopIfTrue="1" operator="between">
      <formula>10</formula>
      <formula>10</formula>
    </cfRule>
  </conditionalFormatting>
  <conditionalFormatting sqref="K613:K623">
    <cfRule type="containsBlanks" dxfId="0" priority="3" stopIfTrue="1">
      <formula>LEN(TRIM(K613))=0</formula>
    </cfRule>
    <cfRule type="cellIs" dxfId="8" priority="4" operator="lessThan">
      <formula>2</formula>
    </cfRule>
    <cfRule type="cellIs" dxfId="7" priority="5" operator="between">
      <formula>2</formula>
      <formula>4.9</formula>
    </cfRule>
    <cfRule type="cellIs" dxfId="6" priority="6" operator="between">
      <formula>5</formula>
      <formula>6.9</formula>
    </cfRule>
    <cfRule type="cellIs" dxfId="5" priority="7" operator="between">
      <formula>10.1</formula>
      <formula>10.6</formula>
    </cfRule>
    <cfRule type="cellIs" dxfId="4" priority="8" operator="between">
      <formula>7</formula>
      <formula>7.9</formula>
    </cfRule>
    <cfRule type="cellIs" dxfId="3" priority="9" stopIfTrue="1" operator="between">
      <formula>8</formula>
      <formula>8.9</formula>
    </cfRule>
    <cfRule type="cellIs" dxfId="1" priority="10" operator="between">
      <formula>9</formula>
      <formula>9.9</formula>
    </cfRule>
    <cfRule type="cellIs" dxfId="2" priority="11" stopIfTrue="1" operator="between">
      <formula>10</formula>
      <formula>10</formula>
    </cfRule>
  </conditionalFormatting>
  <conditionalFormatting sqref="K612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41"/>
  <sheetViews>
    <sheetView tabSelected="1" topLeftCell="C1" zoomScale="80" zoomScaleNormal="80" workbookViewId="0">
      <selection activeCell="N19" sqref="N19"/>
    </sheetView>
  </sheetViews>
  <sheetFormatPr defaultColWidth="8.796875" defaultRowHeight="15.6" x14ac:dyDescent="0.3"/>
  <cols>
    <col min="1" max="1" width="4.3984375" bestFit="1" customWidth="1"/>
    <col min="2" max="2" width="26.09765625" bestFit="1" customWidth="1"/>
    <col min="3" max="3" width="43" bestFit="1" customWidth="1"/>
    <col min="4" max="4" width="6.5" bestFit="1" customWidth="1"/>
    <col min="5" max="5" width="13.69921875" bestFit="1" customWidth="1"/>
    <col min="6" max="6" width="8.19921875" bestFit="1" customWidth="1"/>
    <col min="7" max="7" width="10.8984375" bestFit="1" customWidth="1"/>
    <col min="8" max="8" width="9.5" bestFit="1" customWidth="1"/>
    <col min="9" max="9" width="14.59765625" bestFit="1" customWidth="1"/>
    <col min="10" max="10" width="10.5" bestFit="1" customWidth="1"/>
    <col min="11" max="11" width="35.3984375" bestFit="1" customWidth="1"/>
    <col min="12" max="12" width="5.5" bestFit="1" customWidth="1"/>
    <col min="13" max="13" width="8.59765625" bestFit="1" customWidth="1"/>
    <col min="14" max="14" width="14.59765625" bestFit="1" customWidth="1"/>
  </cols>
  <sheetData>
    <row r="1" spans="1:14" ht="17.399999999999999" x14ac:dyDescent="0.35">
      <c r="A1" s="433" t="s">
        <v>1262</v>
      </c>
      <c r="B1" s="433"/>
      <c r="C1" s="433"/>
      <c r="D1" s="433"/>
      <c r="E1" s="433"/>
      <c r="F1" s="433"/>
      <c r="G1" s="433"/>
      <c r="H1" s="433"/>
      <c r="I1" s="433"/>
      <c r="J1" s="433"/>
      <c r="K1" s="433"/>
      <c r="L1" s="433"/>
      <c r="M1" s="433"/>
      <c r="N1" s="433"/>
    </row>
    <row r="2" spans="1:14" x14ac:dyDescent="0.3">
      <c r="A2" s="226" t="s">
        <v>318</v>
      </c>
      <c r="B2" s="226" t="s">
        <v>4163</v>
      </c>
      <c r="C2" s="226" t="s">
        <v>286</v>
      </c>
      <c r="D2" s="226" t="s">
        <v>287</v>
      </c>
      <c r="E2" s="226" t="s">
        <v>958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3132</v>
      </c>
      <c r="L2" s="226" t="s">
        <v>1851</v>
      </c>
      <c r="M2" s="226" t="s">
        <v>1852</v>
      </c>
      <c r="N2" s="226" t="s">
        <v>2015</v>
      </c>
    </row>
    <row r="3" spans="1:14" x14ac:dyDescent="0.3">
      <c r="A3" s="233">
        <v>1</v>
      </c>
      <c r="B3" s="227" t="s">
        <v>2908</v>
      </c>
      <c r="C3" s="228" t="s">
        <v>2909</v>
      </c>
      <c r="D3" s="228">
        <v>8.41</v>
      </c>
      <c r="E3" s="310">
        <v>8.24</v>
      </c>
      <c r="F3" s="228">
        <v>8</v>
      </c>
      <c r="G3" s="228">
        <v>0.95</v>
      </c>
      <c r="H3" s="228">
        <v>2</v>
      </c>
      <c r="I3" s="228">
        <v>12</v>
      </c>
      <c r="J3" s="228">
        <v>1</v>
      </c>
      <c r="K3" s="227" t="s">
        <v>2911</v>
      </c>
      <c r="L3" s="228">
        <v>2003</v>
      </c>
      <c r="M3" s="228" t="s">
        <v>1850</v>
      </c>
      <c r="N3" s="229" t="s">
        <v>2912</v>
      </c>
    </row>
    <row r="4" spans="1:14" x14ac:dyDescent="0.3">
      <c r="A4" s="235">
        <v>2</v>
      </c>
      <c r="B4" s="230" t="s">
        <v>2908</v>
      </c>
      <c r="C4" s="231" t="s">
        <v>3706</v>
      </c>
      <c r="D4" s="231">
        <v>8.35</v>
      </c>
      <c r="E4" s="310">
        <v>8.24</v>
      </c>
      <c r="F4" s="231">
        <v>8.25</v>
      </c>
      <c r="G4" s="231">
        <v>0.87</v>
      </c>
      <c r="H4" s="231">
        <v>1</v>
      </c>
      <c r="I4" s="231">
        <v>12</v>
      </c>
      <c r="J4" s="231">
        <v>2</v>
      </c>
      <c r="K4" s="230" t="s">
        <v>2911</v>
      </c>
      <c r="L4" s="231">
        <v>2000</v>
      </c>
      <c r="M4" s="231" t="s">
        <v>1805</v>
      </c>
      <c r="N4" s="232" t="s">
        <v>3707</v>
      </c>
    </row>
    <row r="5" spans="1:14" x14ac:dyDescent="0.3">
      <c r="A5" s="236">
        <v>3</v>
      </c>
      <c r="B5" s="227" t="s">
        <v>2152</v>
      </c>
      <c r="C5" s="228" t="s">
        <v>2153</v>
      </c>
      <c r="D5" s="228">
        <v>8.5399999999999991</v>
      </c>
      <c r="E5" s="302">
        <v>8.41</v>
      </c>
      <c r="F5" s="228">
        <v>8.25</v>
      </c>
      <c r="G5" s="228">
        <v>0.81</v>
      </c>
      <c r="H5" s="228">
        <v>2</v>
      </c>
      <c r="I5" s="228">
        <v>14</v>
      </c>
      <c r="J5" s="228">
        <v>0</v>
      </c>
      <c r="K5" s="227" t="s">
        <v>2155</v>
      </c>
      <c r="L5" s="228">
        <v>1991</v>
      </c>
      <c r="M5" s="228" t="s">
        <v>1823</v>
      </c>
      <c r="N5" s="229" t="s">
        <v>2173</v>
      </c>
    </row>
    <row r="6" spans="1:14" x14ac:dyDescent="0.3">
      <c r="A6" s="237">
        <v>4</v>
      </c>
      <c r="B6" s="230" t="s">
        <v>1367</v>
      </c>
      <c r="C6" s="231" t="s">
        <v>1368</v>
      </c>
      <c r="D6" s="231">
        <v>8.83</v>
      </c>
      <c r="E6" s="277">
        <v>8.7200000000000006</v>
      </c>
      <c r="F6" s="231">
        <v>8.5</v>
      </c>
      <c r="G6" s="231">
        <v>0.57999999999999996</v>
      </c>
      <c r="H6" s="231">
        <v>1</v>
      </c>
      <c r="I6" s="231">
        <v>9</v>
      </c>
      <c r="J6" s="231">
        <v>0</v>
      </c>
      <c r="K6" s="230" t="s">
        <v>1369</v>
      </c>
      <c r="L6" s="231">
        <v>2002</v>
      </c>
      <c r="M6" s="231" t="s">
        <v>1832</v>
      </c>
      <c r="N6" s="232" t="s">
        <v>2042</v>
      </c>
    </row>
    <row r="7" spans="1:14" x14ac:dyDescent="0.3">
      <c r="A7" s="237">
        <v>5</v>
      </c>
      <c r="B7" s="227" t="s">
        <v>1367</v>
      </c>
      <c r="C7" s="228" t="s">
        <v>1603</v>
      </c>
      <c r="D7" s="228">
        <v>8.7100000000000009</v>
      </c>
      <c r="E7" s="286">
        <v>8.6199999999999992</v>
      </c>
      <c r="F7" s="228">
        <v>8.5</v>
      </c>
      <c r="G7" s="228">
        <v>0.65</v>
      </c>
      <c r="H7" s="228">
        <v>1</v>
      </c>
      <c r="I7" s="228">
        <v>8</v>
      </c>
      <c r="J7" s="228">
        <v>1</v>
      </c>
      <c r="K7" s="227" t="s">
        <v>1604</v>
      </c>
      <c r="L7" s="228">
        <v>2006</v>
      </c>
      <c r="M7" s="228" t="s">
        <v>1843</v>
      </c>
      <c r="N7" s="229" t="s">
        <v>2031</v>
      </c>
    </row>
    <row r="8" spans="1:14" x14ac:dyDescent="0.3">
      <c r="A8" s="237">
        <v>6</v>
      </c>
      <c r="B8" s="230" t="s">
        <v>1431</v>
      </c>
      <c r="C8" s="231" t="s">
        <v>1432</v>
      </c>
      <c r="D8" s="231">
        <v>8.75</v>
      </c>
      <c r="E8" s="279">
        <v>8.6999999999999993</v>
      </c>
      <c r="F8" s="231">
        <v>8.75</v>
      </c>
      <c r="G8" s="231">
        <v>0.75</v>
      </c>
      <c r="H8" s="231">
        <v>2</v>
      </c>
      <c r="I8" s="231">
        <v>10</v>
      </c>
      <c r="J8" s="231">
        <v>0</v>
      </c>
      <c r="K8" s="230" t="s">
        <v>1433</v>
      </c>
      <c r="L8" s="231">
        <v>1998</v>
      </c>
      <c r="M8" s="231" t="s">
        <v>1842</v>
      </c>
      <c r="N8" s="232" t="s">
        <v>2038</v>
      </c>
    </row>
    <row r="9" spans="1:14" x14ac:dyDescent="0.3">
      <c r="A9" s="237">
        <v>7</v>
      </c>
      <c r="B9" s="227" t="s">
        <v>313</v>
      </c>
      <c r="C9" s="228" t="s">
        <v>160</v>
      </c>
      <c r="D9" s="228">
        <v>8.3800000000000008</v>
      </c>
      <c r="E9" s="309">
        <v>8.25</v>
      </c>
      <c r="F9" s="228">
        <v>8.25</v>
      </c>
      <c r="G9" s="228">
        <v>1.06</v>
      </c>
      <c r="H9" s="228">
        <v>2</v>
      </c>
      <c r="I9" s="228">
        <v>12</v>
      </c>
      <c r="J9" s="228">
        <v>0</v>
      </c>
      <c r="K9" s="227" t="s">
        <v>779</v>
      </c>
      <c r="L9" s="228">
        <v>1992</v>
      </c>
      <c r="M9" s="228" t="s">
        <v>1836</v>
      </c>
      <c r="N9" s="229" t="s">
        <v>2017</v>
      </c>
    </row>
    <row r="10" spans="1:14" x14ac:dyDescent="0.3">
      <c r="A10" s="237">
        <v>8</v>
      </c>
      <c r="B10" s="230" t="s">
        <v>3902</v>
      </c>
      <c r="C10" s="231" t="s">
        <v>3902</v>
      </c>
      <c r="D10" s="231">
        <v>8.39</v>
      </c>
      <c r="E10" s="426">
        <v>8.36</v>
      </c>
      <c r="F10" s="231">
        <v>8.5</v>
      </c>
      <c r="G10" s="231">
        <v>0.39</v>
      </c>
      <c r="H10" s="231">
        <v>0</v>
      </c>
      <c r="I10" s="231">
        <v>9</v>
      </c>
      <c r="J10" s="231">
        <v>0</v>
      </c>
      <c r="K10" s="230" t="s">
        <v>3906</v>
      </c>
      <c r="L10" s="231">
        <v>1999</v>
      </c>
      <c r="M10" s="231" t="s">
        <v>1819</v>
      </c>
      <c r="N10" s="232" t="s">
        <v>3907</v>
      </c>
    </row>
    <row r="11" spans="1:14" x14ac:dyDescent="0.3">
      <c r="A11" s="237">
        <v>9</v>
      </c>
      <c r="B11" s="227" t="s">
        <v>1405</v>
      </c>
      <c r="C11" s="228" t="s">
        <v>3529</v>
      </c>
      <c r="D11" s="228">
        <v>8.8000000000000007</v>
      </c>
      <c r="E11" s="279">
        <v>8.6999999999999993</v>
      </c>
      <c r="F11" s="228">
        <v>8.5</v>
      </c>
      <c r="G11" s="228">
        <v>0.68</v>
      </c>
      <c r="H11" s="228">
        <v>2</v>
      </c>
      <c r="I11" s="228">
        <v>10</v>
      </c>
      <c r="J11" s="228">
        <v>0</v>
      </c>
      <c r="K11" s="227" t="s">
        <v>3533</v>
      </c>
      <c r="L11" s="228">
        <v>1996</v>
      </c>
      <c r="M11" s="228" t="s">
        <v>3534</v>
      </c>
      <c r="N11" s="229" t="s">
        <v>3532</v>
      </c>
    </row>
    <row r="12" spans="1:14" x14ac:dyDescent="0.3">
      <c r="A12" s="237">
        <v>10</v>
      </c>
      <c r="B12" s="230" t="s">
        <v>1405</v>
      </c>
      <c r="C12" s="231" t="s">
        <v>1406</v>
      </c>
      <c r="D12" s="231">
        <v>8.73</v>
      </c>
      <c r="E12" s="274">
        <v>8.76</v>
      </c>
      <c r="F12" s="231">
        <v>8.5</v>
      </c>
      <c r="G12" s="231">
        <v>0.75</v>
      </c>
      <c r="H12" s="231">
        <v>1</v>
      </c>
      <c r="I12" s="231">
        <v>13</v>
      </c>
      <c r="J12" s="231">
        <v>0</v>
      </c>
      <c r="K12" s="230" t="s">
        <v>1407</v>
      </c>
      <c r="L12" s="231">
        <v>1992</v>
      </c>
      <c r="M12" s="231" t="s">
        <v>1831</v>
      </c>
      <c r="N12" s="232" t="s">
        <v>2040</v>
      </c>
    </row>
    <row r="13" spans="1:14" x14ac:dyDescent="0.3">
      <c r="A13" s="237">
        <v>11</v>
      </c>
      <c r="B13" s="227" t="s">
        <v>1405</v>
      </c>
      <c r="C13" s="228" t="s">
        <v>2535</v>
      </c>
      <c r="D13" s="228">
        <v>8.69</v>
      </c>
      <c r="E13" s="293">
        <v>8.5399999999999991</v>
      </c>
      <c r="F13" s="228">
        <v>8.25</v>
      </c>
      <c r="G13" s="228">
        <v>1.06</v>
      </c>
      <c r="H13" s="228">
        <v>3</v>
      </c>
      <c r="I13" s="228">
        <v>8</v>
      </c>
      <c r="J13" s="228">
        <v>0</v>
      </c>
      <c r="K13" s="227" t="s">
        <v>4196</v>
      </c>
      <c r="L13" s="228">
        <v>1997</v>
      </c>
      <c r="M13" s="228" t="s">
        <v>2489</v>
      </c>
      <c r="N13" s="229" t="s">
        <v>2543</v>
      </c>
    </row>
    <row r="14" spans="1:14" x14ac:dyDescent="0.3">
      <c r="A14" s="237">
        <v>12</v>
      </c>
      <c r="B14" s="230" t="s">
        <v>1405</v>
      </c>
      <c r="C14" s="231" t="s">
        <v>4164</v>
      </c>
      <c r="D14" s="231">
        <v>8.65</v>
      </c>
      <c r="E14" s="278">
        <v>8.7100000000000009</v>
      </c>
      <c r="F14" s="231">
        <v>8.5</v>
      </c>
      <c r="G14" s="231">
        <v>0.65</v>
      </c>
      <c r="H14" s="231">
        <v>2</v>
      </c>
      <c r="I14" s="231">
        <v>30</v>
      </c>
      <c r="J14" s="231">
        <v>4</v>
      </c>
      <c r="K14" s="230" t="s">
        <v>4196</v>
      </c>
      <c r="L14" s="231">
        <v>2001</v>
      </c>
      <c r="M14" s="231" t="s">
        <v>4197</v>
      </c>
      <c r="N14" s="232" t="s">
        <v>4198</v>
      </c>
    </row>
    <row r="15" spans="1:14" x14ac:dyDescent="0.3">
      <c r="A15" s="237">
        <v>13</v>
      </c>
      <c r="B15" s="227" t="s">
        <v>1405</v>
      </c>
      <c r="C15" s="228" t="s">
        <v>2483</v>
      </c>
      <c r="D15" s="228">
        <v>8.6300000000000008</v>
      </c>
      <c r="E15" s="281">
        <v>8.67</v>
      </c>
      <c r="F15" s="228">
        <v>8.5</v>
      </c>
      <c r="G15" s="228">
        <v>0.89</v>
      </c>
      <c r="H15" s="228">
        <v>2</v>
      </c>
      <c r="I15" s="228">
        <v>12</v>
      </c>
      <c r="J15" s="228">
        <v>0</v>
      </c>
      <c r="K15" s="227" t="s">
        <v>1755</v>
      </c>
      <c r="L15" s="228">
        <v>1995</v>
      </c>
      <c r="M15" s="228" t="s">
        <v>1837</v>
      </c>
      <c r="N15" s="229" t="s">
        <v>2491</v>
      </c>
    </row>
    <row r="16" spans="1:14" x14ac:dyDescent="0.3">
      <c r="A16" s="237">
        <v>14</v>
      </c>
      <c r="B16" s="230" t="s">
        <v>1405</v>
      </c>
      <c r="C16" s="231" t="s">
        <v>3583</v>
      </c>
      <c r="D16" s="231">
        <v>8.6</v>
      </c>
      <c r="E16" s="282">
        <v>8.66</v>
      </c>
      <c r="F16" s="231">
        <v>8.5</v>
      </c>
      <c r="G16" s="231">
        <v>0.89</v>
      </c>
      <c r="H16" s="231">
        <v>4</v>
      </c>
      <c r="I16" s="231">
        <v>24</v>
      </c>
      <c r="J16" s="231">
        <v>0</v>
      </c>
      <c r="K16" s="230" t="s">
        <v>3598</v>
      </c>
      <c r="L16" s="231">
        <v>1994</v>
      </c>
      <c r="M16" s="231" t="s">
        <v>3599</v>
      </c>
      <c r="N16" s="232" t="s">
        <v>3600</v>
      </c>
    </row>
    <row r="17" spans="1:14" x14ac:dyDescent="0.3">
      <c r="A17" s="237">
        <v>15</v>
      </c>
      <c r="B17" s="227" t="s">
        <v>2372</v>
      </c>
      <c r="C17" s="228" t="s">
        <v>2373</v>
      </c>
      <c r="D17" s="228">
        <v>7.17</v>
      </c>
      <c r="E17" s="333">
        <v>7.04</v>
      </c>
      <c r="F17" s="228">
        <v>7</v>
      </c>
      <c r="G17" s="228">
        <v>0.72</v>
      </c>
      <c r="H17" s="228">
        <v>0</v>
      </c>
      <c r="I17" s="228">
        <v>12</v>
      </c>
      <c r="J17" s="228">
        <v>0</v>
      </c>
      <c r="K17" s="227" t="s">
        <v>2377</v>
      </c>
      <c r="L17" s="228">
        <v>2013</v>
      </c>
      <c r="M17" s="228" t="s">
        <v>1811</v>
      </c>
      <c r="N17" s="229" t="s">
        <v>2376</v>
      </c>
    </row>
    <row r="18" spans="1:14" x14ac:dyDescent="0.3">
      <c r="A18" s="237">
        <v>16</v>
      </c>
      <c r="B18" s="230" t="s">
        <v>4245</v>
      </c>
      <c r="C18" s="231" t="s">
        <v>4246</v>
      </c>
      <c r="D18" s="231">
        <v>8.64</v>
      </c>
      <c r="E18" s="294">
        <v>8.5299999999999994</v>
      </c>
      <c r="F18" s="231">
        <v>8.5</v>
      </c>
      <c r="G18" s="231">
        <v>0.61</v>
      </c>
      <c r="H18" s="231">
        <v>0</v>
      </c>
      <c r="I18" s="231">
        <v>11</v>
      </c>
      <c r="J18" s="231">
        <v>0</v>
      </c>
      <c r="K18" s="230" t="s">
        <v>4289</v>
      </c>
      <c r="L18" s="231">
        <v>1995</v>
      </c>
      <c r="M18" s="231" t="s">
        <v>1845</v>
      </c>
      <c r="N18" s="232" t="s">
        <v>4198</v>
      </c>
    </row>
    <row r="19" spans="1:14" x14ac:dyDescent="0.3">
      <c r="A19" s="237">
        <v>17</v>
      </c>
      <c r="B19" s="227" t="s">
        <v>3347</v>
      </c>
      <c r="C19" s="228" t="s">
        <v>3348</v>
      </c>
      <c r="D19" s="228">
        <v>4.79</v>
      </c>
      <c r="E19" s="335">
        <v>4.62</v>
      </c>
      <c r="F19" s="228">
        <v>5</v>
      </c>
      <c r="G19" s="228">
        <v>1.72</v>
      </c>
      <c r="H19" s="228">
        <v>0</v>
      </c>
      <c r="I19" s="228">
        <v>17</v>
      </c>
      <c r="J19" s="228">
        <v>0</v>
      </c>
      <c r="K19" s="227" t="s">
        <v>3350</v>
      </c>
      <c r="L19" s="228">
        <v>2025</v>
      </c>
      <c r="M19" s="228" t="s">
        <v>1839</v>
      </c>
      <c r="N19" s="229" t="s">
        <v>3325</v>
      </c>
    </row>
    <row r="20" spans="1:14" x14ac:dyDescent="0.3">
      <c r="A20" s="237">
        <v>18</v>
      </c>
      <c r="B20" s="230" t="s">
        <v>2872</v>
      </c>
      <c r="C20" s="231" t="s">
        <v>2873</v>
      </c>
      <c r="D20" s="231">
        <v>8.25</v>
      </c>
      <c r="E20" s="314">
        <v>8.18</v>
      </c>
      <c r="F20" s="231">
        <v>8.25</v>
      </c>
      <c r="G20" s="231">
        <v>0.6</v>
      </c>
      <c r="H20" s="231">
        <v>0</v>
      </c>
      <c r="I20" s="231">
        <v>12</v>
      </c>
      <c r="J20" s="231">
        <v>0</v>
      </c>
      <c r="K20" s="230" t="s">
        <v>1769</v>
      </c>
      <c r="L20" s="231">
        <v>2024</v>
      </c>
      <c r="M20" s="231" t="s">
        <v>1845</v>
      </c>
      <c r="N20" s="232" t="s">
        <v>2878</v>
      </c>
    </row>
    <row r="21" spans="1:14" x14ac:dyDescent="0.3">
      <c r="A21" s="237">
        <v>19</v>
      </c>
      <c r="B21" s="227" t="s">
        <v>2486</v>
      </c>
      <c r="C21" s="228" t="s">
        <v>2487</v>
      </c>
      <c r="D21" s="228">
        <v>2.5</v>
      </c>
      <c r="E21" s="335">
        <v>2.39</v>
      </c>
      <c r="F21" s="228">
        <v>2.75</v>
      </c>
      <c r="G21" s="228">
        <v>1.3</v>
      </c>
      <c r="H21" s="228">
        <v>0</v>
      </c>
      <c r="I21" s="228">
        <v>10</v>
      </c>
      <c r="J21" s="228">
        <v>0</v>
      </c>
      <c r="K21" s="227" t="s">
        <v>1044</v>
      </c>
      <c r="L21" s="228">
        <v>2025</v>
      </c>
      <c r="M21" s="228" t="s">
        <v>2492</v>
      </c>
      <c r="N21" s="229" t="s">
        <v>2491</v>
      </c>
    </row>
    <row r="22" spans="1:14" x14ac:dyDescent="0.3">
      <c r="A22" s="237">
        <v>20</v>
      </c>
      <c r="B22" s="230" t="s">
        <v>1200</v>
      </c>
      <c r="C22" s="231" t="s">
        <v>1190</v>
      </c>
      <c r="D22" s="231">
        <v>8.4499999999999993</v>
      </c>
      <c r="E22" s="304">
        <v>8.3800000000000008</v>
      </c>
      <c r="F22" s="231">
        <v>8.5</v>
      </c>
      <c r="G22" s="231">
        <v>0.78</v>
      </c>
      <c r="H22" s="231">
        <v>1</v>
      </c>
      <c r="I22" s="231">
        <v>11</v>
      </c>
      <c r="J22" s="231">
        <v>0</v>
      </c>
      <c r="K22" s="230" t="s">
        <v>1201</v>
      </c>
      <c r="L22" s="231">
        <v>2024</v>
      </c>
      <c r="M22" s="231" t="s">
        <v>1845</v>
      </c>
      <c r="N22" s="232" t="s">
        <v>2049</v>
      </c>
    </row>
    <row r="23" spans="1:14" x14ac:dyDescent="0.3">
      <c r="A23" s="237">
        <v>21</v>
      </c>
      <c r="B23" s="227" t="s">
        <v>1767</v>
      </c>
      <c r="C23" s="228" t="s">
        <v>1768</v>
      </c>
      <c r="D23" s="228">
        <v>8.6</v>
      </c>
      <c r="E23" s="295">
        <v>8.52</v>
      </c>
      <c r="F23" s="228">
        <v>8.5</v>
      </c>
      <c r="G23" s="228">
        <v>0.66</v>
      </c>
      <c r="H23" s="228">
        <v>1</v>
      </c>
      <c r="I23" s="228">
        <v>10</v>
      </c>
      <c r="J23" s="228">
        <v>0</v>
      </c>
      <c r="K23" s="227" t="s">
        <v>1769</v>
      </c>
      <c r="L23" s="228">
        <v>2024</v>
      </c>
      <c r="M23" s="228" t="s">
        <v>1842</v>
      </c>
      <c r="N23" s="229" t="s">
        <v>2024</v>
      </c>
    </row>
    <row r="24" spans="1:14" x14ac:dyDescent="0.3">
      <c r="A24" s="237">
        <v>22</v>
      </c>
      <c r="B24" s="230" t="s">
        <v>2893</v>
      </c>
      <c r="C24" s="231" t="s">
        <v>2883</v>
      </c>
      <c r="D24" s="231">
        <v>8.44</v>
      </c>
      <c r="E24" s="303">
        <v>8.39</v>
      </c>
      <c r="F24" s="231">
        <v>8.5</v>
      </c>
      <c r="G24" s="231">
        <v>0.55000000000000004</v>
      </c>
      <c r="H24" s="231">
        <v>0</v>
      </c>
      <c r="I24" s="231">
        <v>10</v>
      </c>
      <c r="J24" s="231">
        <v>1</v>
      </c>
      <c r="K24" s="230" t="s">
        <v>2895</v>
      </c>
      <c r="L24" s="231">
        <v>2022</v>
      </c>
      <c r="M24" s="231" t="s">
        <v>1815</v>
      </c>
      <c r="N24" s="232" t="s">
        <v>2878</v>
      </c>
    </row>
    <row r="25" spans="1:14" x14ac:dyDescent="0.3">
      <c r="A25" s="237">
        <v>23</v>
      </c>
      <c r="B25" s="227" t="s">
        <v>1932</v>
      </c>
      <c r="C25" s="228" t="s">
        <v>1925</v>
      </c>
      <c r="D25" s="228">
        <v>9.31</v>
      </c>
      <c r="E25" s="243">
        <v>9.43</v>
      </c>
      <c r="F25" s="228">
        <v>9.25</v>
      </c>
      <c r="G25" s="228">
        <v>0.75</v>
      </c>
      <c r="H25" s="228">
        <v>3</v>
      </c>
      <c r="I25" s="228">
        <v>8</v>
      </c>
      <c r="J25" s="228">
        <v>0</v>
      </c>
      <c r="K25" s="227" t="s">
        <v>1933</v>
      </c>
      <c r="L25" s="228">
        <v>1970</v>
      </c>
      <c r="M25" s="228" t="s">
        <v>1811</v>
      </c>
      <c r="N25" s="229" t="s">
        <v>2021</v>
      </c>
    </row>
    <row r="26" spans="1:14" x14ac:dyDescent="0.3">
      <c r="A26" s="237">
        <v>24</v>
      </c>
      <c r="B26" s="230" t="s">
        <v>728</v>
      </c>
      <c r="C26" s="231" t="s">
        <v>729</v>
      </c>
      <c r="D26" s="231">
        <v>8.67</v>
      </c>
      <c r="E26" s="290">
        <v>8.57</v>
      </c>
      <c r="F26" s="231">
        <v>8.5</v>
      </c>
      <c r="G26" s="231">
        <v>0.75</v>
      </c>
      <c r="H26" s="231">
        <v>1</v>
      </c>
      <c r="I26" s="231">
        <v>6</v>
      </c>
      <c r="J26" s="231">
        <v>0</v>
      </c>
      <c r="K26" s="230" t="s">
        <v>730</v>
      </c>
      <c r="L26" s="231">
        <v>2024</v>
      </c>
      <c r="M26" s="231" t="s">
        <v>1842</v>
      </c>
      <c r="N26" s="232" t="s">
        <v>2064</v>
      </c>
    </row>
    <row r="27" spans="1:14" x14ac:dyDescent="0.3">
      <c r="A27" s="237">
        <v>25</v>
      </c>
      <c r="B27" s="227" t="s">
        <v>3935</v>
      </c>
      <c r="C27" s="228" t="s">
        <v>3910</v>
      </c>
      <c r="D27" s="228">
        <v>8.67</v>
      </c>
      <c r="E27" s="290">
        <v>8.57</v>
      </c>
      <c r="F27" s="228">
        <v>8.5</v>
      </c>
      <c r="G27" s="228">
        <v>0.67</v>
      </c>
      <c r="H27" s="228">
        <v>1</v>
      </c>
      <c r="I27" s="228">
        <v>9</v>
      </c>
      <c r="J27" s="228">
        <v>0</v>
      </c>
      <c r="K27" s="227" t="s">
        <v>3937</v>
      </c>
      <c r="L27" s="228">
        <v>1981</v>
      </c>
      <c r="M27" s="228" t="s">
        <v>1835</v>
      </c>
      <c r="N27" s="229" t="s">
        <v>3938</v>
      </c>
    </row>
    <row r="28" spans="1:14" x14ac:dyDescent="0.3">
      <c r="A28" s="237">
        <v>26</v>
      </c>
      <c r="B28" s="230" t="s">
        <v>2777</v>
      </c>
      <c r="C28" s="231" t="s">
        <v>2779</v>
      </c>
      <c r="D28" s="231">
        <v>8.8800000000000008</v>
      </c>
      <c r="E28" s="268">
        <v>8.84</v>
      </c>
      <c r="F28" s="231">
        <v>9</v>
      </c>
      <c r="G28" s="231">
        <v>0.79</v>
      </c>
      <c r="H28" s="231">
        <v>3</v>
      </c>
      <c r="I28" s="231">
        <v>23</v>
      </c>
      <c r="J28" s="231">
        <v>10</v>
      </c>
      <c r="K28" s="230" t="s">
        <v>2783</v>
      </c>
      <c r="L28" s="231">
        <v>2002</v>
      </c>
      <c r="M28" s="231" t="s">
        <v>1822</v>
      </c>
      <c r="N28" s="232" t="s">
        <v>2678</v>
      </c>
    </row>
    <row r="29" spans="1:14" x14ac:dyDescent="0.3">
      <c r="A29" s="237">
        <v>27</v>
      </c>
      <c r="B29" s="227" t="s">
        <v>2777</v>
      </c>
      <c r="C29" s="228" t="s">
        <v>2778</v>
      </c>
      <c r="D29" s="228">
        <v>8.8800000000000008</v>
      </c>
      <c r="E29" s="253">
        <v>9.0399999999999991</v>
      </c>
      <c r="F29" s="228">
        <v>8.5</v>
      </c>
      <c r="G29" s="228">
        <v>0.87</v>
      </c>
      <c r="H29" s="228">
        <v>4</v>
      </c>
      <c r="I29" s="228">
        <v>18</v>
      </c>
      <c r="J29" s="228">
        <v>1</v>
      </c>
      <c r="K29" s="227" t="s">
        <v>2783</v>
      </c>
      <c r="L29" s="228">
        <v>1998</v>
      </c>
      <c r="M29" s="228" t="s">
        <v>1837</v>
      </c>
      <c r="N29" s="229" t="s">
        <v>2784</v>
      </c>
    </row>
    <row r="30" spans="1:14" x14ac:dyDescent="0.3">
      <c r="A30" s="237">
        <v>28</v>
      </c>
      <c r="B30" s="230" t="s">
        <v>2777</v>
      </c>
      <c r="C30" s="231" t="s">
        <v>3055</v>
      </c>
      <c r="D30" s="231">
        <v>8.75</v>
      </c>
      <c r="E30" s="283">
        <v>8.65</v>
      </c>
      <c r="F30" s="231">
        <v>8.5</v>
      </c>
      <c r="G30" s="231">
        <v>0.61</v>
      </c>
      <c r="H30" s="231">
        <v>2</v>
      </c>
      <c r="I30" s="231">
        <v>18</v>
      </c>
      <c r="J30" s="231">
        <v>2</v>
      </c>
      <c r="K30" s="230" t="s">
        <v>2783</v>
      </c>
      <c r="L30" s="231">
        <v>2026</v>
      </c>
      <c r="M30" s="231" t="s">
        <v>3056</v>
      </c>
      <c r="N30" s="232" t="s">
        <v>3057</v>
      </c>
    </row>
    <row r="31" spans="1:14" x14ac:dyDescent="0.3">
      <c r="A31" s="237">
        <v>29</v>
      </c>
      <c r="B31" s="227" t="s">
        <v>2546</v>
      </c>
      <c r="C31" s="228" t="s">
        <v>2545</v>
      </c>
      <c r="D31" s="228">
        <v>8.8800000000000008</v>
      </c>
      <c r="E31" s="270">
        <v>8.81</v>
      </c>
      <c r="F31" s="228">
        <v>8.75</v>
      </c>
      <c r="G31" s="228">
        <v>0.74</v>
      </c>
      <c r="H31" s="228">
        <v>1</v>
      </c>
      <c r="I31" s="228">
        <v>4</v>
      </c>
      <c r="J31" s="228">
        <v>0</v>
      </c>
      <c r="K31" s="227" t="s">
        <v>2582</v>
      </c>
      <c r="L31" s="228">
        <v>2000</v>
      </c>
      <c r="M31" s="228" t="s">
        <v>2583</v>
      </c>
      <c r="N31" s="229" t="s">
        <v>2584</v>
      </c>
    </row>
    <row r="32" spans="1:14" x14ac:dyDescent="0.3">
      <c r="A32" s="237">
        <v>30</v>
      </c>
      <c r="B32" s="230" t="s">
        <v>2546</v>
      </c>
      <c r="C32" s="231" t="s">
        <v>3588</v>
      </c>
      <c r="D32" s="231">
        <v>8.65</v>
      </c>
      <c r="E32" s="291">
        <v>8.56</v>
      </c>
      <c r="F32" s="231">
        <v>8.5</v>
      </c>
      <c r="G32" s="231">
        <v>0.5</v>
      </c>
      <c r="H32" s="231">
        <v>0</v>
      </c>
      <c r="I32" s="231">
        <v>11</v>
      </c>
      <c r="J32" s="231">
        <v>1</v>
      </c>
      <c r="K32" s="230" t="s">
        <v>3601</v>
      </c>
      <c r="L32" s="231">
        <v>2005</v>
      </c>
      <c r="M32" s="231" t="s">
        <v>1814</v>
      </c>
      <c r="N32" s="232" t="s">
        <v>3600</v>
      </c>
    </row>
    <row r="33" spans="1:14" x14ac:dyDescent="0.3">
      <c r="A33" s="237">
        <v>31</v>
      </c>
      <c r="B33" s="227" t="s">
        <v>3754</v>
      </c>
      <c r="C33" s="228" t="s">
        <v>3747</v>
      </c>
      <c r="D33" s="228">
        <v>8.77</v>
      </c>
      <c r="E33" s="283">
        <v>8.65</v>
      </c>
      <c r="F33" s="228">
        <v>8.5</v>
      </c>
      <c r="G33" s="228">
        <v>0.54</v>
      </c>
      <c r="H33" s="228">
        <v>0</v>
      </c>
      <c r="I33" s="228">
        <v>13</v>
      </c>
      <c r="J33" s="228">
        <v>2</v>
      </c>
      <c r="K33" s="227" t="s">
        <v>3755</v>
      </c>
      <c r="L33" s="228">
        <v>2007</v>
      </c>
      <c r="M33" s="228" t="s">
        <v>1850</v>
      </c>
      <c r="N33" s="229" t="s">
        <v>3733</v>
      </c>
    </row>
    <row r="34" spans="1:14" x14ac:dyDescent="0.3">
      <c r="A34" s="237">
        <v>32</v>
      </c>
      <c r="B34" s="230" t="s">
        <v>1112</v>
      </c>
      <c r="C34" s="231" t="s">
        <v>1477</v>
      </c>
      <c r="D34" s="231">
        <v>8.7200000000000006</v>
      </c>
      <c r="E34" s="263">
        <v>8.89</v>
      </c>
      <c r="F34" s="231">
        <v>8.5</v>
      </c>
      <c r="G34" s="231">
        <v>1.03</v>
      </c>
      <c r="H34" s="231">
        <v>5</v>
      </c>
      <c r="I34" s="231">
        <v>24</v>
      </c>
      <c r="J34" s="231">
        <v>1</v>
      </c>
      <c r="K34" s="230" t="s">
        <v>1480</v>
      </c>
      <c r="L34" s="231">
        <v>2011</v>
      </c>
      <c r="M34" s="231" t="s">
        <v>1826</v>
      </c>
      <c r="N34" s="232" t="s">
        <v>2051</v>
      </c>
    </row>
    <row r="35" spans="1:14" x14ac:dyDescent="0.3">
      <c r="A35" s="237">
        <v>33</v>
      </c>
      <c r="B35" s="227" t="s">
        <v>1112</v>
      </c>
      <c r="C35" s="228" t="s">
        <v>1987</v>
      </c>
      <c r="D35" s="228">
        <v>8.7200000000000006</v>
      </c>
      <c r="E35" s="262">
        <v>8.91</v>
      </c>
      <c r="F35" s="228">
        <v>8.5</v>
      </c>
      <c r="G35" s="228">
        <v>0.85</v>
      </c>
      <c r="H35" s="228">
        <v>5</v>
      </c>
      <c r="I35" s="228">
        <v>30</v>
      </c>
      <c r="J35" s="228">
        <v>1</v>
      </c>
      <c r="K35" s="227" t="s">
        <v>1480</v>
      </c>
      <c r="L35" s="228">
        <v>2013</v>
      </c>
      <c r="M35" s="228" t="s">
        <v>1989</v>
      </c>
      <c r="N35" s="229" t="s">
        <v>2019</v>
      </c>
    </row>
    <row r="36" spans="1:14" x14ac:dyDescent="0.3">
      <c r="A36" s="237">
        <v>34</v>
      </c>
      <c r="B36" s="230" t="s">
        <v>2201</v>
      </c>
      <c r="C36" s="231" t="s">
        <v>2202</v>
      </c>
      <c r="D36" s="231">
        <v>8</v>
      </c>
      <c r="E36" s="323">
        <v>7.94</v>
      </c>
      <c r="F36" s="231">
        <v>8</v>
      </c>
      <c r="G36" s="231">
        <v>0.45</v>
      </c>
      <c r="H36" s="231">
        <v>0</v>
      </c>
      <c r="I36" s="231">
        <v>10</v>
      </c>
      <c r="J36" s="231">
        <v>0</v>
      </c>
      <c r="K36" s="230" t="s">
        <v>1033</v>
      </c>
      <c r="L36" s="231">
        <v>2025</v>
      </c>
      <c r="M36" s="231" t="s">
        <v>1840</v>
      </c>
      <c r="N36" s="232" t="s">
        <v>2175</v>
      </c>
    </row>
    <row r="37" spans="1:14" x14ac:dyDescent="0.3">
      <c r="A37" s="237">
        <v>35</v>
      </c>
      <c r="B37" s="227" t="s">
        <v>1515</v>
      </c>
      <c r="C37" s="228" t="s">
        <v>1516</v>
      </c>
      <c r="D37" s="228">
        <v>8.9</v>
      </c>
      <c r="E37" s="264">
        <v>8.8800000000000008</v>
      </c>
      <c r="F37" s="228">
        <v>9</v>
      </c>
      <c r="G37" s="228">
        <v>0.66</v>
      </c>
      <c r="H37" s="228">
        <v>1</v>
      </c>
      <c r="I37" s="228">
        <v>5</v>
      </c>
      <c r="J37" s="228">
        <v>0</v>
      </c>
      <c r="K37" s="227" t="s">
        <v>1517</v>
      </c>
      <c r="L37" s="228">
        <v>1974</v>
      </c>
      <c r="M37" s="228" t="s">
        <v>1812</v>
      </c>
      <c r="N37" s="229" t="s">
        <v>2036</v>
      </c>
    </row>
    <row r="38" spans="1:14" x14ac:dyDescent="0.3">
      <c r="A38" s="237">
        <v>36</v>
      </c>
      <c r="B38" s="230" t="s">
        <v>4110</v>
      </c>
      <c r="C38" s="231" t="s">
        <v>4111</v>
      </c>
      <c r="D38" s="231">
        <v>8.11</v>
      </c>
      <c r="E38" s="430">
        <v>8.01</v>
      </c>
      <c r="F38" s="231">
        <v>8</v>
      </c>
      <c r="G38" s="231">
        <v>0.81</v>
      </c>
      <c r="H38" s="231">
        <v>1</v>
      </c>
      <c r="I38" s="231">
        <v>10</v>
      </c>
      <c r="J38" s="231">
        <v>1</v>
      </c>
      <c r="K38" s="230" t="s">
        <v>1033</v>
      </c>
      <c r="L38" s="231">
        <v>2018</v>
      </c>
      <c r="M38" s="231" t="s">
        <v>1844</v>
      </c>
      <c r="N38" s="232" t="s">
        <v>4116</v>
      </c>
    </row>
    <row r="39" spans="1:14" x14ac:dyDescent="0.3">
      <c r="A39" s="237">
        <v>37</v>
      </c>
      <c r="B39" s="227" t="s">
        <v>2243</v>
      </c>
      <c r="C39" s="228" t="s">
        <v>2242</v>
      </c>
      <c r="D39" s="228">
        <v>8.67</v>
      </c>
      <c r="E39" s="290">
        <v>8.57</v>
      </c>
      <c r="F39" s="228">
        <v>8.5</v>
      </c>
      <c r="G39" s="228">
        <v>0.82</v>
      </c>
      <c r="H39" s="228">
        <v>2</v>
      </c>
      <c r="I39" s="228">
        <v>10</v>
      </c>
      <c r="J39" s="228">
        <v>1</v>
      </c>
      <c r="K39" s="227" t="s">
        <v>2244</v>
      </c>
      <c r="L39" s="228">
        <v>2015</v>
      </c>
      <c r="M39" s="228" t="s">
        <v>1838</v>
      </c>
      <c r="N39" s="229" t="s">
        <v>2245</v>
      </c>
    </row>
    <row r="40" spans="1:14" x14ac:dyDescent="0.3">
      <c r="A40" s="237">
        <v>38</v>
      </c>
      <c r="B40" s="230" t="s">
        <v>2578</v>
      </c>
      <c r="C40" s="231" t="s">
        <v>2574</v>
      </c>
      <c r="D40" s="231">
        <v>8.5500000000000007</v>
      </c>
      <c r="E40" s="298">
        <v>8.4700000000000006</v>
      </c>
      <c r="F40" s="231">
        <v>8.5</v>
      </c>
      <c r="G40" s="231">
        <v>0.78</v>
      </c>
      <c r="H40" s="231">
        <v>2</v>
      </c>
      <c r="I40" s="231">
        <v>11</v>
      </c>
      <c r="J40" s="231">
        <v>0</v>
      </c>
      <c r="K40" s="230" t="s">
        <v>2579</v>
      </c>
      <c r="L40" s="231">
        <v>1970</v>
      </c>
      <c r="M40" s="231" t="s">
        <v>1830</v>
      </c>
      <c r="N40" s="232" t="s">
        <v>2580</v>
      </c>
    </row>
    <row r="41" spans="1:14" x14ac:dyDescent="0.3">
      <c r="A41" s="237">
        <v>39</v>
      </c>
      <c r="B41" s="227" t="s">
        <v>1158</v>
      </c>
      <c r="C41" s="228" t="s">
        <v>1159</v>
      </c>
      <c r="D41" s="228">
        <v>8.5299999999999994</v>
      </c>
      <c r="E41" s="300">
        <v>8.4499999999999993</v>
      </c>
      <c r="F41" s="228">
        <v>8.5</v>
      </c>
      <c r="G41" s="228">
        <v>0.96</v>
      </c>
      <c r="H41" s="228">
        <v>3</v>
      </c>
      <c r="I41" s="228">
        <v>15</v>
      </c>
      <c r="J41" s="228">
        <v>0</v>
      </c>
      <c r="K41" s="227" t="s">
        <v>1162</v>
      </c>
      <c r="L41" s="228">
        <v>2024</v>
      </c>
      <c r="M41" s="228" t="s">
        <v>1811</v>
      </c>
      <c r="N41" s="229" t="s">
        <v>2050</v>
      </c>
    </row>
    <row r="42" spans="1:14" x14ac:dyDescent="0.3">
      <c r="A42" s="237">
        <v>40</v>
      </c>
      <c r="B42" s="230" t="s">
        <v>1478</v>
      </c>
      <c r="C42" s="231" t="s">
        <v>1479</v>
      </c>
      <c r="D42" s="231">
        <v>8.67</v>
      </c>
      <c r="E42" s="256">
        <v>9</v>
      </c>
      <c r="F42" s="231">
        <v>8.5</v>
      </c>
      <c r="G42" s="231">
        <v>0.98</v>
      </c>
      <c r="H42" s="231">
        <v>5</v>
      </c>
      <c r="I42" s="231">
        <v>26</v>
      </c>
      <c r="J42" s="231">
        <v>0</v>
      </c>
      <c r="K42" s="230" t="s">
        <v>1480</v>
      </c>
      <c r="L42" s="231">
        <v>2017</v>
      </c>
      <c r="M42" s="231" t="s">
        <v>1812</v>
      </c>
      <c r="N42" s="232" t="s">
        <v>2037</v>
      </c>
    </row>
    <row r="43" spans="1:14" x14ac:dyDescent="0.3">
      <c r="A43" s="237">
        <v>41</v>
      </c>
      <c r="B43" s="227" t="s">
        <v>357</v>
      </c>
      <c r="C43" s="228" t="s">
        <v>351</v>
      </c>
      <c r="D43" s="228">
        <v>8.8000000000000007</v>
      </c>
      <c r="E43" s="270">
        <v>8.81</v>
      </c>
      <c r="F43" s="228">
        <v>8.5</v>
      </c>
      <c r="G43" s="228">
        <v>0.98</v>
      </c>
      <c r="H43" s="228">
        <v>2</v>
      </c>
      <c r="I43" s="228">
        <v>10</v>
      </c>
      <c r="J43" s="228">
        <v>0</v>
      </c>
      <c r="K43" s="227" t="s">
        <v>722</v>
      </c>
      <c r="L43" s="228">
        <v>1990</v>
      </c>
      <c r="M43" s="228" t="s">
        <v>1840</v>
      </c>
      <c r="N43" s="229" t="s">
        <v>2080</v>
      </c>
    </row>
    <row r="44" spans="1:14" x14ac:dyDescent="0.3">
      <c r="A44" s="237">
        <v>42</v>
      </c>
      <c r="B44" s="230" t="s">
        <v>311</v>
      </c>
      <c r="C44" s="231" t="s">
        <v>1540</v>
      </c>
      <c r="D44" s="231">
        <v>8.94</v>
      </c>
      <c r="E44" s="259">
        <v>8.9499999999999993</v>
      </c>
      <c r="F44" s="231">
        <v>8.5</v>
      </c>
      <c r="G44" s="231">
        <v>0.76</v>
      </c>
      <c r="H44" s="231">
        <v>2</v>
      </c>
      <c r="I44" s="231">
        <v>10</v>
      </c>
      <c r="J44" s="231">
        <v>1</v>
      </c>
      <c r="K44" s="230" t="s">
        <v>1557</v>
      </c>
      <c r="L44" s="231">
        <v>2000</v>
      </c>
      <c r="M44" s="231" t="s">
        <v>1811</v>
      </c>
      <c r="N44" s="232" t="s">
        <v>2035</v>
      </c>
    </row>
    <row r="45" spans="1:14" x14ac:dyDescent="0.3">
      <c r="A45" s="237">
        <v>43</v>
      </c>
      <c r="B45" s="227" t="s">
        <v>311</v>
      </c>
      <c r="C45" s="228" t="s">
        <v>948</v>
      </c>
      <c r="D45" s="228">
        <v>8.73</v>
      </c>
      <c r="E45" s="267">
        <v>8.85</v>
      </c>
      <c r="F45" s="228">
        <v>9</v>
      </c>
      <c r="G45" s="228">
        <v>0.96</v>
      </c>
      <c r="H45" s="228">
        <v>2</v>
      </c>
      <c r="I45" s="228">
        <v>11</v>
      </c>
      <c r="J45" s="228">
        <v>0</v>
      </c>
      <c r="K45" s="227" t="s">
        <v>954</v>
      </c>
      <c r="L45" s="228">
        <v>2002</v>
      </c>
      <c r="M45" s="228" t="s">
        <v>1813</v>
      </c>
      <c r="N45" s="229" t="s">
        <v>2055</v>
      </c>
    </row>
    <row r="46" spans="1:14" x14ac:dyDescent="0.3">
      <c r="A46" s="237">
        <v>44</v>
      </c>
      <c r="B46" s="230" t="s">
        <v>311</v>
      </c>
      <c r="C46" s="231" t="s">
        <v>158</v>
      </c>
      <c r="D46" s="231">
        <v>8.65</v>
      </c>
      <c r="E46" s="291">
        <v>8.56</v>
      </c>
      <c r="F46" s="231">
        <v>8.5</v>
      </c>
      <c r="G46" s="231">
        <v>0.72</v>
      </c>
      <c r="H46" s="231">
        <v>2</v>
      </c>
      <c r="I46" s="231">
        <v>13</v>
      </c>
      <c r="J46" s="231">
        <v>0</v>
      </c>
      <c r="K46" s="230" t="s">
        <v>741</v>
      </c>
      <c r="L46" s="231">
        <v>2005</v>
      </c>
      <c r="M46" s="231" t="s">
        <v>1839</v>
      </c>
      <c r="N46" s="232" t="s">
        <v>2079</v>
      </c>
    </row>
    <row r="47" spans="1:14" x14ac:dyDescent="0.3">
      <c r="A47" s="237">
        <v>45</v>
      </c>
      <c r="B47" s="227" t="s">
        <v>303</v>
      </c>
      <c r="C47" s="228" t="s">
        <v>2432</v>
      </c>
      <c r="D47" s="228">
        <v>9.08</v>
      </c>
      <c r="E47" s="249">
        <v>9.17</v>
      </c>
      <c r="F47" s="228">
        <v>9</v>
      </c>
      <c r="G47" s="228">
        <v>0.73</v>
      </c>
      <c r="H47" s="228">
        <v>3</v>
      </c>
      <c r="I47" s="228">
        <v>13</v>
      </c>
      <c r="J47" s="228">
        <v>0</v>
      </c>
      <c r="K47" s="227" t="s">
        <v>2446</v>
      </c>
      <c r="L47" s="228">
        <v>2007</v>
      </c>
      <c r="M47" s="228" t="s">
        <v>1816</v>
      </c>
      <c r="N47" s="229" t="s">
        <v>2416</v>
      </c>
    </row>
    <row r="48" spans="1:14" x14ac:dyDescent="0.3">
      <c r="A48" s="237">
        <v>46</v>
      </c>
      <c r="B48" s="230" t="s">
        <v>303</v>
      </c>
      <c r="C48" s="231" t="s">
        <v>157</v>
      </c>
      <c r="D48" s="231">
        <v>9</v>
      </c>
      <c r="E48" s="251">
        <v>9.09</v>
      </c>
      <c r="F48" s="231">
        <v>9</v>
      </c>
      <c r="G48" s="231">
        <v>0.85</v>
      </c>
      <c r="H48" s="231">
        <v>3</v>
      </c>
      <c r="I48" s="231">
        <v>14</v>
      </c>
      <c r="J48" s="231">
        <v>1</v>
      </c>
      <c r="K48" s="230" t="s">
        <v>718</v>
      </c>
      <c r="L48" s="231">
        <v>2001</v>
      </c>
      <c r="M48" s="231" t="s">
        <v>1818</v>
      </c>
      <c r="N48" s="232" t="s">
        <v>2084</v>
      </c>
    </row>
    <row r="49" spans="1:14" x14ac:dyDescent="0.3">
      <c r="A49" s="237">
        <v>47</v>
      </c>
      <c r="B49" s="227" t="s">
        <v>303</v>
      </c>
      <c r="C49" s="228" t="s">
        <v>588</v>
      </c>
      <c r="D49" s="228">
        <v>8.77</v>
      </c>
      <c r="E49" s="271">
        <v>8.7899999999999991</v>
      </c>
      <c r="F49" s="228">
        <v>8.5</v>
      </c>
      <c r="G49" s="228">
        <v>0.99</v>
      </c>
      <c r="H49" s="228">
        <v>3</v>
      </c>
      <c r="I49" s="228">
        <v>13</v>
      </c>
      <c r="J49" s="228">
        <v>0</v>
      </c>
      <c r="K49" s="227" t="s">
        <v>718</v>
      </c>
      <c r="L49" s="228">
        <v>2013</v>
      </c>
      <c r="M49" s="228" t="s">
        <v>1831</v>
      </c>
      <c r="N49" s="229" t="s">
        <v>2072</v>
      </c>
    </row>
    <row r="50" spans="1:14" x14ac:dyDescent="0.3">
      <c r="A50" s="237">
        <v>48</v>
      </c>
      <c r="B50" s="230" t="s">
        <v>303</v>
      </c>
      <c r="C50" s="231" t="s">
        <v>651</v>
      </c>
      <c r="D50" s="231">
        <v>8.07</v>
      </c>
      <c r="E50" s="322">
        <v>7.95</v>
      </c>
      <c r="F50" s="231">
        <v>8</v>
      </c>
      <c r="G50" s="231">
        <v>1.07</v>
      </c>
      <c r="H50" s="231">
        <v>2</v>
      </c>
      <c r="I50" s="231">
        <v>16</v>
      </c>
      <c r="J50" s="231">
        <v>2</v>
      </c>
      <c r="K50" s="230" t="s">
        <v>718</v>
      </c>
      <c r="L50" s="231">
        <v>1997</v>
      </c>
      <c r="M50" s="231" t="s">
        <v>1831</v>
      </c>
      <c r="N50" s="232" t="s">
        <v>2069</v>
      </c>
    </row>
    <row r="51" spans="1:14" x14ac:dyDescent="0.3">
      <c r="A51" s="237">
        <v>49</v>
      </c>
      <c r="B51" s="227" t="s">
        <v>303</v>
      </c>
      <c r="C51" s="228" t="s">
        <v>1482</v>
      </c>
      <c r="D51" s="228">
        <v>8</v>
      </c>
      <c r="E51" s="324">
        <v>7.79</v>
      </c>
      <c r="F51" s="228">
        <v>7.5</v>
      </c>
      <c r="G51" s="228">
        <v>0.88</v>
      </c>
      <c r="H51" s="228">
        <v>0</v>
      </c>
      <c r="I51" s="228">
        <v>10</v>
      </c>
      <c r="J51" s="228">
        <v>1</v>
      </c>
      <c r="K51" s="227" t="s">
        <v>1493</v>
      </c>
      <c r="L51" s="228">
        <v>2005</v>
      </c>
      <c r="M51" s="228" t="s">
        <v>1829</v>
      </c>
      <c r="N51" s="229" t="s">
        <v>2037</v>
      </c>
    </row>
    <row r="52" spans="1:14" x14ac:dyDescent="0.3">
      <c r="A52" s="237">
        <v>50</v>
      </c>
      <c r="B52" s="230" t="s">
        <v>456</v>
      </c>
      <c r="C52" s="231" t="s">
        <v>457</v>
      </c>
      <c r="D52" s="231">
        <v>7.67</v>
      </c>
      <c r="E52" s="327">
        <v>7.66</v>
      </c>
      <c r="F52" s="231">
        <v>8</v>
      </c>
      <c r="G52" s="231">
        <v>0.59</v>
      </c>
      <c r="H52" s="231">
        <v>0</v>
      </c>
      <c r="I52" s="231">
        <v>12</v>
      </c>
      <c r="J52" s="231">
        <v>0</v>
      </c>
      <c r="K52" s="230" t="s">
        <v>726</v>
      </c>
      <c r="L52" s="231">
        <v>2021</v>
      </c>
      <c r="M52" s="231" t="s">
        <v>1843</v>
      </c>
      <c r="N52" s="232" t="s">
        <v>2076</v>
      </c>
    </row>
    <row r="53" spans="1:14" x14ac:dyDescent="0.3">
      <c r="A53" s="237">
        <v>51</v>
      </c>
      <c r="B53" s="227" t="s">
        <v>2624</v>
      </c>
      <c r="C53" s="228" t="s">
        <v>168</v>
      </c>
      <c r="D53" s="228">
        <v>9</v>
      </c>
      <c r="E53" s="400">
        <v>8.94</v>
      </c>
      <c r="F53" s="228">
        <v>9</v>
      </c>
      <c r="G53" s="228">
        <v>0.74</v>
      </c>
      <c r="H53" s="228">
        <v>2</v>
      </c>
      <c r="I53" s="228">
        <v>11</v>
      </c>
      <c r="J53" s="228">
        <v>0</v>
      </c>
      <c r="K53" s="227" t="s">
        <v>2628</v>
      </c>
      <c r="L53" s="228">
        <v>1977</v>
      </c>
      <c r="M53" s="228" t="s">
        <v>1835</v>
      </c>
      <c r="N53" s="229" t="s">
        <v>2629</v>
      </c>
    </row>
    <row r="54" spans="1:14" x14ac:dyDescent="0.3">
      <c r="A54" s="237">
        <v>52</v>
      </c>
      <c r="B54" s="230" t="s">
        <v>2624</v>
      </c>
      <c r="C54" s="231" t="s">
        <v>3286</v>
      </c>
      <c r="D54" s="231">
        <v>8.7899999999999991</v>
      </c>
      <c r="E54" s="281">
        <v>8.67</v>
      </c>
      <c r="F54" s="231">
        <v>8.5</v>
      </c>
      <c r="G54" s="231">
        <v>0.7</v>
      </c>
      <c r="H54" s="231">
        <v>1</v>
      </c>
      <c r="I54" s="231">
        <v>7</v>
      </c>
      <c r="J54" s="231">
        <v>0</v>
      </c>
      <c r="K54" s="230" t="s">
        <v>1025</v>
      </c>
      <c r="L54" s="231">
        <v>2016</v>
      </c>
      <c r="M54" s="231" t="s">
        <v>1811</v>
      </c>
      <c r="N54" s="232" t="s">
        <v>3287</v>
      </c>
    </row>
    <row r="55" spans="1:14" x14ac:dyDescent="0.3">
      <c r="A55" s="237">
        <v>53</v>
      </c>
      <c r="B55" s="227" t="s">
        <v>1171</v>
      </c>
      <c r="C55" s="228" t="s">
        <v>1166</v>
      </c>
      <c r="D55" s="228">
        <v>8.75</v>
      </c>
      <c r="E55" s="285">
        <v>8.6300000000000008</v>
      </c>
      <c r="F55" s="228">
        <v>8.5</v>
      </c>
      <c r="G55" s="228">
        <v>0.8</v>
      </c>
      <c r="H55" s="228">
        <v>1</v>
      </c>
      <c r="I55" s="228">
        <v>7</v>
      </c>
      <c r="J55" s="228">
        <v>1</v>
      </c>
      <c r="K55" s="227" t="s">
        <v>1172</v>
      </c>
      <c r="L55" s="228">
        <v>2013</v>
      </c>
      <c r="M55" s="228" t="s">
        <v>1821</v>
      </c>
      <c r="N55" s="229" t="s">
        <v>2050</v>
      </c>
    </row>
    <row r="56" spans="1:14" x14ac:dyDescent="0.3">
      <c r="A56" s="237">
        <v>54</v>
      </c>
      <c r="B56" s="230" t="s">
        <v>1091</v>
      </c>
      <c r="C56" s="231" t="s">
        <v>3758</v>
      </c>
      <c r="D56" s="231">
        <v>8.7200000000000006</v>
      </c>
      <c r="E56" s="285">
        <v>8.6300000000000008</v>
      </c>
      <c r="F56" s="231">
        <v>8.5</v>
      </c>
      <c r="G56" s="231">
        <v>0.57999999999999996</v>
      </c>
      <c r="H56" s="231">
        <v>1</v>
      </c>
      <c r="I56" s="231">
        <v>9</v>
      </c>
      <c r="J56" s="231">
        <v>0</v>
      </c>
      <c r="K56" s="230" t="s">
        <v>2098</v>
      </c>
      <c r="L56" s="231">
        <v>1995</v>
      </c>
      <c r="M56" s="231" t="s">
        <v>1850</v>
      </c>
      <c r="N56" s="232" t="s">
        <v>3770</v>
      </c>
    </row>
    <row r="57" spans="1:14" x14ac:dyDescent="0.3">
      <c r="A57" s="237">
        <v>55</v>
      </c>
      <c r="B57" s="227" t="s">
        <v>1091</v>
      </c>
      <c r="C57" s="228" t="s">
        <v>2357</v>
      </c>
      <c r="D57" s="228">
        <v>8.61</v>
      </c>
      <c r="E57" s="294">
        <v>8.5299999999999994</v>
      </c>
      <c r="F57" s="228">
        <v>8.5</v>
      </c>
      <c r="G57" s="228">
        <v>0.66</v>
      </c>
      <c r="H57" s="228">
        <v>1</v>
      </c>
      <c r="I57" s="228">
        <v>9</v>
      </c>
      <c r="J57" s="228">
        <v>0</v>
      </c>
      <c r="K57" s="227" t="s">
        <v>735</v>
      </c>
      <c r="L57" s="228">
        <v>1998</v>
      </c>
      <c r="M57" s="228" t="s">
        <v>1838</v>
      </c>
      <c r="N57" s="229" t="s">
        <v>2375</v>
      </c>
    </row>
    <row r="58" spans="1:14" x14ac:dyDescent="0.3">
      <c r="A58" s="237">
        <v>56</v>
      </c>
      <c r="B58" s="230" t="s">
        <v>2926</v>
      </c>
      <c r="C58" s="231" t="s">
        <v>2927</v>
      </c>
      <c r="D58" s="231">
        <v>8.9600000000000009</v>
      </c>
      <c r="E58" s="261">
        <v>8.92</v>
      </c>
      <c r="F58" s="231">
        <v>9</v>
      </c>
      <c r="G58" s="231">
        <v>0.75</v>
      </c>
      <c r="H58" s="231">
        <v>3</v>
      </c>
      <c r="I58" s="231">
        <v>12</v>
      </c>
      <c r="J58" s="231">
        <v>0</v>
      </c>
      <c r="K58" s="230" t="s">
        <v>731</v>
      </c>
      <c r="L58" s="231">
        <v>2000</v>
      </c>
      <c r="M58" s="231" t="s">
        <v>1833</v>
      </c>
      <c r="N58" s="232" t="s">
        <v>2912</v>
      </c>
    </row>
    <row r="59" spans="1:14" x14ac:dyDescent="0.3">
      <c r="A59" s="237">
        <v>57</v>
      </c>
      <c r="B59" s="227" t="s">
        <v>2926</v>
      </c>
      <c r="C59" s="228" t="s">
        <v>3252</v>
      </c>
      <c r="D59" s="228">
        <v>8.73</v>
      </c>
      <c r="E59" s="273">
        <v>8.77</v>
      </c>
      <c r="F59" s="228">
        <v>8.5</v>
      </c>
      <c r="G59" s="228">
        <v>0.96</v>
      </c>
      <c r="H59" s="228">
        <v>3</v>
      </c>
      <c r="I59" s="228">
        <v>11</v>
      </c>
      <c r="J59" s="228">
        <v>0</v>
      </c>
      <c r="K59" s="227" t="s">
        <v>731</v>
      </c>
      <c r="L59" s="228">
        <v>2012</v>
      </c>
      <c r="M59" s="228" t="s">
        <v>1817</v>
      </c>
      <c r="N59" s="229" t="s">
        <v>3253</v>
      </c>
    </row>
    <row r="60" spans="1:14" x14ac:dyDescent="0.3">
      <c r="A60" s="237">
        <v>58</v>
      </c>
      <c r="B60" s="230" t="s">
        <v>2926</v>
      </c>
      <c r="C60" s="231" t="s">
        <v>4222</v>
      </c>
      <c r="D60" s="231">
        <v>8.27</v>
      </c>
      <c r="E60" s="316">
        <v>8.1300000000000008</v>
      </c>
      <c r="F60" s="231">
        <v>8</v>
      </c>
      <c r="G60" s="231">
        <v>0.86</v>
      </c>
      <c r="H60" s="231">
        <v>1</v>
      </c>
      <c r="I60" s="231">
        <v>11</v>
      </c>
      <c r="J60" s="231">
        <v>0</v>
      </c>
      <c r="K60" s="230" t="s">
        <v>4232</v>
      </c>
      <c r="L60" s="231">
        <v>1995</v>
      </c>
      <c r="M60" s="231" t="s">
        <v>1814</v>
      </c>
      <c r="N60" s="232" t="s">
        <v>4198</v>
      </c>
    </row>
    <row r="61" spans="1:14" x14ac:dyDescent="0.3">
      <c r="A61" s="237">
        <v>59</v>
      </c>
      <c r="B61" s="227" t="s">
        <v>1129</v>
      </c>
      <c r="C61" s="228" t="s">
        <v>1130</v>
      </c>
      <c r="D61" s="228">
        <v>7.71</v>
      </c>
      <c r="E61" s="329">
        <v>7.61</v>
      </c>
      <c r="F61" s="228">
        <v>7.5</v>
      </c>
      <c r="G61" s="228">
        <v>0.45</v>
      </c>
      <c r="H61" s="228">
        <v>0</v>
      </c>
      <c r="I61" s="228">
        <v>8</v>
      </c>
      <c r="J61" s="228">
        <v>1</v>
      </c>
      <c r="K61" s="227" t="s">
        <v>1132</v>
      </c>
      <c r="L61" s="228">
        <v>2020</v>
      </c>
      <c r="M61" s="228" t="s">
        <v>1848</v>
      </c>
      <c r="N61" s="229" t="s">
        <v>2050</v>
      </c>
    </row>
    <row r="62" spans="1:14" x14ac:dyDescent="0.3">
      <c r="A62" s="237">
        <v>60</v>
      </c>
      <c r="B62" s="230" t="s">
        <v>2286</v>
      </c>
      <c r="C62" s="231" t="s">
        <v>2287</v>
      </c>
      <c r="D62" s="231">
        <v>8.61</v>
      </c>
      <c r="E62" s="292">
        <v>8.5500000000000007</v>
      </c>
      <c r="F62" s="231">
        <v>8</v>
      </c>
      <c r="G62" s="231">
        <v>1.24</v>
      </c>
      <c r="H62" s="231">
        <v>3</v>
      </c>
      <c r="I62" s="231">
        <v>9</v>
      </c>
      <c r="J62" s="231">
        <v>0</v>
      </c>
      <c r="K62" s="230" t="s">
        <v>2135</v>
      </c>
      <c r="L62" s="231">
        <v>1990</v>
      </c>
      <c r="M62" s="231" t="s">
        <v>1814</v>
      </c>
      <c r="N62" s="232" t="s">
        <v>2290</v>
      </c>
    </row>
    <row r="63" spans="1:14" x14ac:dyDescent="0.3">
      <c r="A63" s="237">
        <v>61</v>
      </c>
      <c r="B63" s="227" t="s">
        <v>307</v>
      </c>
      <c r="C63" s="228" t="s">
        <v>95</v>
      </c>
      <c r="D63" s="228">
        <v>8.94</v>
      </c>
      <c r="E63" s="254">
        <v>9.0299999999999994</v>
      </c>
      <c r="F63" s="228">
        <v>9</v>
      </c>
      <c r="G63" s="228">
        <v>0.96</v>
      </c>
      <c r="H63" s="228">
        <v>2</v>
      </c>
      <c r="I63" s="228">
        <v>9</v>
      </c>
      <c r="J63" s="228">
        <v>0</v>
      </c>
      <c r="K63" s="227" t="s">
        <v>720</v>
      </c>
      <c r="L63" s="228">
        <v>1985</v>
      </c>
      <c r="M63" s="228" t="s">
        <v>1813</v>
      </c>
      <c r="N63" s="229" t="s">
        <v>2084</v>
      </c>
    </row>
    <row r="64" spans="1:14" x14ac:dyDescent="0.3">
      <c r="A64" s="237">
        <v>62</v>
      </c>
      <c r="B64" s="230" t="s">
        <v>307</v>
      </c>
      <c r="C64" s="231" t="s">
        <v>307</v>
      </c>
      <c r="D64" s="231">
        <v>8.83</v>
      </c>
      <c r="E64" s="266">
        <v>8.86</v>
      </c>
      <c r="F64" s="231">
        <v>8.5</v>
      </c>
      <c r="G64" s="231">
        <v>0.82</v>
      </c>
      <c r="H64" s="231">
        <v>2</v>
      </c>
      <c r="I64" s="231">
        <v>9</v>
      </c>
      <c r="J64" s="231">
        <v>0</v>
      </c>
      <c r="K64" s="230" t="s">
        <v>1143</v>
      </c>
      <c r="L64" s="231">
        <v>1978</v>
      </c>
      <c r="M64" s="231" t="s">
        <v>1811</v>
      </c>
      <c r="N64" s="232" t="s">
        <v>2050</v>
      </c>
    </row>
    <row r="65" spans="1:14" x14ac:dyDescent="0.3">
      <c r="A65" s="237">
        <v>63</v>
      </c>
      <c r="B65" s="227" t="s">
        <v>307</v>
      </c>
      <c r="C65" s="228" t="s">
        <v>2722</v>
      </c>
      <c r="D65" s="228">
        <v>8.8000000000000007</v>
      </c>
      <c r="E65" s="270">
        <v>8.81</v>
      </c>
      <c r="F65" s="228">
        <v>8.5</v>
      </c>
      <c r="G65" s="228">
        <v>0.93</v>
      </c>
      <c r="H65" s="228">
        <v>1</v>
      </c>
      <c r="I65" s="228">
        <v>5</v>
      </c>
      <c r="J65" s="228">
        <v>0</v>
      </c>
      <c r="K65" s="227" t="s">
        <v>1025</v>
      </c>
      <c r="L65" s="228">
        <v>1982</v>
      </c>
      <c r="M65" s="228" t="s">
        <v>1811</v>
      </c>
      <c r="N65" s="229" t="s">
        <v>2726</v>
      </c>
    </row>
    <row r="66" spans="1:14" x14ac:dyDescent="0.3">
      <c r="A66" s="237">
        <v>64</v>
      </c>
      <c r="B66" s="230" t="s">
        <v>3502</v>
      </c>
      <c r="C66" s="231" t="s">
        <v>3503</v>
      </c>
      <c r="D66" s="231">
        <v>8.2899999999999991</v>
      </c>
      <c r="E66" s="354">
        <v>8.3000000000000007</v>
      </c>
      <c r="F66" s="231">
        <v>8.5</v>
      </c>
      <c r="G66" s="231">
        <v>0.25</v>
      </c>
      <c r="H66" s="231">
        <v>0</v>
      </c>
      <c r="I66" s="231">
        <v>8</v>
      </c>
      <c r="J66" s="231">
        <v>1</v>
      </c>
      <c r="K66" s="230" t="s">
        <v>3506</v>
      </c>
      <c r="L66" s="231">
        <v>1995</v>
      </c>
      <c r="M66" s="231" t="s">
        <v>1842</v>
      </c>
      <c r="N66" s="232" t="s">
        <v>3494</v>
      </c>
    </row>
    <row r="67" spans="1:14" x14ac:dyDescent="0.3">
      <c r="A67" s="237">
        <v>65</v>
      </c>
      <c r="B67" s="227" t="s">
        <v>607</v>
      </c>
      <c r="C67" s="228" t="s">
        <v>3556</v>
      </c>
      <c r="D67" s="228">
        <v>8.3800000000000008</v>
      </c>
      <c r="E67" s="395">
        <v>8.2799999999999994</v>
      </c>
      <c r="F67" s="228">
        <v>8.25</v>
      </c>
      <c r="G67" s="228">
        <v>0.67</v>
      </c>
      <c r="H67" s="228">
        <v>1</v>
      </c>
      <c r="I67" s="228">
        <v>16</v>
      </c>
      <c r="J67" s="228">
        <v>0</v>
      </c>
      <c r="K67" s="227" t="s">
        <v>739</v>
      </c>
      <c r="L67" s="228">
        <v>2024</v>
      </c>
      <c r="M67" s="228" t="s">
        <v>1817</v>
      </c>
      <c r="N67" s="229" t="s">
        <v>3557</v>
      </c>
    </row>
    <row r="68" spans="1:14" x14ac:dyDescent="0.3">
      <c r="A68" s="237">
        <v>66</v>
      </c>
      <c r="B68" s="230" t="s">
        <v>607</v>
      </c>
      <c r="C68" s="231" t="s">
        <v>608</v>
      </c>
      <c r="D68" s="231">
        <v>7.72</v>
      </c>
      <c r="E68" s="326">
        <v>7.7</v>
      </c>
      <c r="F68" s="231">
        <v>8</v>
      </c>
      <c r="G68" s="231">
        <v>0.57999999999999996</v>
      </c>
      <c r="H68" s="231">
        <v>0</v>
      </c>
      <c r="I68" s="231">
        <v>18</v>
      </c>
      <c r="J68" s="231">
        <v>0</v>
      </c>
      <c r="K68" s="230" t="s">
        <v>739</v>
      </c>
      <c r="L68" s="231">
        <v>2026</v>
      </c>
      <c r="M68" s="231" t="s">
        <v>1828</v>
      </c>
      <c r="N68" s="232" t="s">
        <v>2071</v>
      </c>
    </row>
    <row r="69" spans="1:14" x14ac:dyDescent="0.3">
      <c r="A69" s="237">
        <v>67</v>
      </c>
      <c r="B69" s="227" t="s">
        <v>3322</v>
      </c>
      <c r="C69" s="228" t="s">
        <v>3323</v>
      </c>
      <c r="D69" s="228">
        <v>8.57</v>
      </c>
      <c r="E69" s="338">
        <v>8.59</v>
      </c>
      <c r="F69" s="228">
        <v>9</v>
      </c>
      <c r="G69" s="228">
        <v>0.56000000000000005</v>
      </c>
      <c r="H69" s="228">
        <v>0</v>
      </c>
      <c r="I69" s="228">
        <v>7</v>
      </c>
      <c r="J69" s="228">
        <v>0</v>
      </c>
      <c r="K69" s="227" t="s">
        <v>3324</v>
      </c>
      <c r="L69" s="228">
        <v>2009</v>
      </c>
      <c r="M69" s="228" t="s">
        <v>1850</v>
      </c>
      <c r="N69" s="229" t="s">
        <v>3325</v>
      </c>
    </row>
    <row r="70" spans="1:14" x14ac:dyDescent="0.3">
      <c r="A70" s="237">
        <v>68</v>
      </c>
      <c r="B70" s="230" t="s">
        <v>977</v>
      </c>
      <c r="C70" s="231" t="s">
        <v>978</v>
      </c>
      <c r="D70" s="231">
        <v>8.5500000000000007</v>
      </c>
      <c r="E70" s="298">
        <v>8.4700000000000006</v>
      </c>
      <c r="F70" s="231">
        <v>8.5</v>
      </c>
      <c r="G70" s="231">
        <v>0.69</v>
      </c>
      <c r="H70" s="231">
        <v>1</v>
      </c>
      <c r="I70" s="231">
        <v>12</v>
      </c>
      <c r="J70" s="231">
        <v>1</v>
      </c>
      <c r="K70" s="230" t="s">
        <v>733</v>
      </c>
      <c r="L70" s="231">
        <v>1999</v>
      </c>
      <c r="M70" s="231" t="s">
        <v>1808</v>
      </c>
      <c r="N70" s="232" t="s">
        <v>2053</v>
      </c>
    </row>
    <row r="71" spans="1:14" x14ac:dyDescent="0.3">
      <c r="A71" s="237">
        <v>69</v>
      </c>
      <c r="B71" s="227" t="s">
        <v>2096</v>
      </c>
      <c r="C71" s="228" t="s">
        <v>2097</v>
      </c>
      <c r="D71" s="228">
        <v>8.75</v>
      </c>
      <c r="E71" s="284">
        <v>8.64</v>
      </c>
      <c r="F71" s="228">
        <v>8.5</v>
      </c>
      <c r="G71" s="228">
        <v>0.66</v>
      </c>
      <c r="H71" s="228">
        <v>1</v>
      </c>
      <c r="I71" s="228">
        <v>8</v>
      </c>
      <c r="J71" s="228">
        <v>0</v>
      </c>
      <c r="K71" s="227" t="s">
        <v>2098</v>
      </c>
      <c r="L71" s="228">
        <v>1996</v>
      </c>
      <c r="M71" s="228" t="s">
        <v>1819</v>
      </c>
      <c r="N71" s="229" t="s">
        <v>2017</v>
      </c>
    </row>
    <row r="72" spans="1:14" x14ac:dyDescent="0.3">
      <c r="A72" s="237">
        <v>70</v>
      </c>
      <c r="B72" s="230" t="s">
        <v>1568</v>
      </c>
      <c r="C72" s="231" t="s">
        <v>1564</v>
      </c>
      <c r="D72" s="231">
        <v>8.75</v>
      </c>
      <c r="E72" s="283">
        <v>8.65</v>
      </c>
      <c r="F72" s="231">
        <v>8.5</v>
      </c>
      <c r="G72" s="231">
        <v>0.56000000000000005</v>
      </c>
      <c r="H72" s="231">
        <v>1</v>
      </c>
      <c r="I72" s="231">
        <v>9</v>
      </c>
      <c r="J72" s="231">
        <v>1</v>
      </c>
      <c r="K72" s="230" t="s">
        <v>1569</v>
      </c>
      <c r="L72" s="231">
        <v>2000</v>
      </c>
      <c r="M72" s="231" t="s">
        <v>1807</v>
      </c>
      <c r="N72" s="232" t="s">
        <v>2034</v>
      </c>
    </row>
    <row r="73" spans="1:14" x14ac:dyDescent="0.3">
      <c r="A73" s="237">
        <v>71</v>
      </c>
      <c r="B73" s="227" t="s">
        <v>3269</v>
      </c>
      <c r="C73" s="228" t="s">
        <v>3270</v>
      </c>
      <c r="D73" s="228">
        <v>8.58</v>
      </c>
      <c r="E73" s="371">
        <v>8.51</v>
      </c>
      <c r="F73" s="228">
        <v>8.5</v>
      </c>
      <c r="G73" s="228">
        <v>0.76</v>
      </c>
      <c r="H73" s="228">
        <v>2</v>
      </c>
      <c r="I73" s="228">
        <v>12</v>
      </c>
      <c r="J73" s="228">
        <v>0</v>
      </c>
      <c r="K73" s="227" t="s">
        <v>3272</v>
      </c>
      <c r="L73" s="228">
        <v>1997</v>
      </c>
      <c r="M73" s="228" t="s">
        <v>1840</v>
      </c>
      <c r="N73" s="229" t="s">
        <v>3253</v>
      </c>
    </row>
    <row r="74" spans="1:14" x14ac:dyDescent="0.3">
      <c r="A74" s="237">
        <v>72</v>
      </c>
      <c r="B74" s="230" t="s">
        <v>2780</v>
      </c>
      <c r="C74" s="231" t="s">
        <v>2781</v>
      </c>
      <c r="D74" s="231">
        <v>8.4</v>
      </c>
      <c r="E74" s="305">
        <v>8.3699999999999992</v>
      </c>
      <c r="F74" s="231">
        <v>8.5</v>
      </c>
      <c r="G74" s="231">
        <v>0.37</v>
      </c>
      <c r="H74" s="231">
        <v>0</v>
      </c>
      <c r="I74" s="231">
        <v>7</v>
      </c>
      <c r="J74" s="231">
        <v>2</v>
      </c>
      <c r="K74" s="230" t="s">
        <v>2782</v>
      </c>
      <c r="L74" s="231">
        <v>1990</v>
      </c>
      <c r="M74" s="231" t="s">
        <v>1819</v>
      </c>
      <c r="N74" s="232" t="s">
        <v>2629</v>
      </c>
    </row>
    <row r="75" spans="1:14" x14ac:dyDescent="0.3">
      <c r="A75" s="237">
        <v>73</v>
      </c>
      <c r="B75" s="227" t="s">
        <v>3856</v>
      </c>
      <c r="C75" s="228" t="s">
        <v>3857</v>
      </c>
      <c r="D75" s="228">
        <v>9</v>
      </c>
      <c r="E75" s="259">
        <v>8.9499999999999993</v>
      </c>
      <c r="F75" s="228">
        <v>9</v>
      </c>
      <c r="G75" s="228">
        <v>0.55000000000000004</v>
      </c>
      <c r="H75" s="228">
        <v>1</v>
      </c>
      <c r="I75" s="228">
        <v>10</v>
      </c>
      <c r="J75" s="228">
        <v>0</v>
      </c>
      <c r="K75" s="227" t="s">
        <v>3860</v>
      </c>
      <c r="L75" s="228">
        <v>1999</v>
      </c>
      <c r="M75" s="228" t="s">
        <v>1819</v>
      </c>
      <c r="N75" s="229" t="s">
        <v>3861</v>
      </c>
    </row>
    <row r="76" spans="1:14" x14ac:dyDescent="0.3">
      <c r="A76" s="237">
        <v>74</v>
      </c>
      <c r="B76" s="230" t="s">
        <v>952</v>
      </c>
      <c r="C76" s="231" t="s">
        <v>950</v>
      </c>
      <c r="D76" s="231">
        <v>10.5</v>
      </c>
      <c r="E76" s="234">
        <v>10.85</v>
      </c>
      <c r="F76" s="231">
        <v>10.5</v>
      </c>
      <c r="G76" s="231">
        <v>0</v>
      </c>
      <c r="H76" s="231">
        <v>1</v>
      </c>
      <c r="I76" s="231">
        <v>1</v>
      </c>
      <c r="J76" s="231">
        <v>0</v>
      </c>
      <c r="K76" s="230" t="s">
        <v>953</v>
      </c>
      <c r="L76" s="231">
        <v>1996</v>
      </c>
      <c r="M76" s="231" t="s">
        <v>1803</v>
      </c>
      <c r="N76" s="232" t="s">
        <v>2074</v>
      </c>
    </row>
    <row r="77" spans="1:14" x14ac:dyDescent="0.3">
      <c r="A77" s="237">
        <v>75</v>
      </c>
      <c r="B77" s="227" t="s">
        <v>310</v>
      </c>
      <c r="C77" s="228" t="s">
        <v>159</v>
      </c>
      <c r="D77" s="228">
        <v>8.7100000000000009</v>
      </c>
      <c r="E77" s="283">
        <v>8.65</v>
      </c>
      <c r="F77" s="228">
        <v>8.75</v>
      </c>
      <c r="G77" s="228">
        <v>0.78</v>
      </c>
      <c r="H77" s="228">
        <v>2</v>
      </c>
      <c r="I77" s="228">
        <v>12</v>
      </c>
      <c r="J77" s="228">
        <v>0</v>
      </c>
      <c r="K77" s="227" t="s">
        <v>2649</v>
      </c>
      <c r="L77" s="228">
        <v>1977</v>
      </c>
      <c r="M77" s="228" t="s">
        <v>1835</v>
      </c>
      <c r="N77" s="229" t="s">
        <v>2017</v>
      </c>
    </row>
    <row r="78" spans="1:14" x14ac:dyDescent="0.3">
      <c r="A78" s="237">
        <v>76</v>
      </c>
      <c r="B78" s="230" t="s">
        <v>2940</v>
      </c>
      <c r="C78" s="231">
        <v>4</v>
      </c>
      <c r="D78" s="231">
        <v>8.6</v>
      </c>
      <c r="E78" s="288">
        <v>8.6</v>
      </c>
      <c r="F78" s="231">
        <v>8.25</v>
      </c>
      <c r="G78" s="231">
        <v>0.97</v>
      </c>
      <c r="H78" s="231">
        <v>2</v>
      </c>
      <c r="I78" s="231">
        <v>10</v>
      </c>
      <c r="J78" s="231">
        <v>0</v>
      </c>
      <c r="K78" s="230" t="s">
        <v>2941</v>
      </c>
      <c r="L78" s="231">
        <v>1981</v>
      </c>
      <c r="M78" s="231" t="s">
        <v>1811</v>
      </c>
      <c r="N78" s="232" t="s">
        <v>2942</v>
      </c>
    </row>
    <row r="79" spans="1:14" x14ac:dyDescent="0.3">
      <c r="A79" s="237">
        <v>77</v>
      </c>
      <c r="B79" s="227" t="s">
        <v>493</v>
      </c>
      <c r="C79" s="228" t="s">
        <v>494</v>
      </c>
      <c r="D79" s="228">
        <v>8.5</v>
      </c>
      <c r="E79" s="301">
        <v>8.43</v>
      </c>
      <c r="F79" s="228">
        <v>8.5</v>
      </c>
      <c r="G79" s="228">
        <v>0.59</v>
      </c>
      <c r="H79" s="228">
        <v>0</v>
      </c>
      <c r="I79" s="228">
        <v>17</v>
      </c>
      <c r="J79" s="228">
        <v>4</v>
      </c>
      <c r="K79" s="227" t="s">
        <v>742</v>
      </c>
      <c r="L79" s="228">
        <v>2016</v>
      </c>
      <c r="M79" s="228" t="s">
        <v>1843</v>
      </c>
      <c r="N79" s="229" t="s">
        <v>2075</v>
      </c>
    </row>
    <row r="80" spans="1:14" x14ac:dyDescent="0.3">
      <c r="A80" s="237">
        <v>78</v>
      </c>
      <c r="B80" s="230" t="s">
        <v>3898</v>
      </c>
      <c r="C80" s="231" t="s">
        <v>3899</v>
      </c>
      <c r="D80" s="231">
        <v>8.75</v>
      </c>
      <c r="E80" s="272">
        <v>8.7799999999999994</v>
      </c>
      <c r="F80" s="231">
        <v>8.5</v>
      </c>
      <c r="G80" s="231">
        <v>0.85</v>
      </c>
      <c r="H80" s="231">
        <v>1</v>
      </c>
      <c r="I80" s="231">
        <v>6</v>
      </c>
      <c r="J80" s="231">
        <v>0</v>
      </c>
      <c r="K80" s="230" t="s">
        <v>3905</v>
      </c>
      <c r="L80" s="231">
        <v>1969</v>
      </c>
      <c r="M80" s="231" t="s">
        <v>1842</v>
      </c>
      <c r="N80" s="232" t="s">
        <v>3861</v>
      </c>
    </row>
    <row r="81" spans="1:14" x14ac:dyDescent="0.3">
      <c r="A81" s="237">
        <v>79</v>
      </c>
      <c r="B81" s="227" t="s">
        <v>1313</v>
      </c>
      <c r="C81" s="228" t="s">
        <v>1306</v>
      </c>
      <c r="D81" s="228">
        <v>8.86</v>
      </c>
      <c r="E81" s="268">
        <v>8.83</v>
      </c>
      <c r="F81" s="228">
        <v>9</v>
      </c>
      <c r="G81" s="228">
        <v>0.69</v>
      </c>
      <c r="H81" s="228">
        <v>1</v>
      </c>
      <c r="I81" s="228">
        <v>7</v>
      </c>
      <c r="J81" s="228">
        <v>0</v>
      </c>
      <c r="K81" s="227" t="s">
        <v>1315</v>
      </c>
      <c r="L81" s="228">
        <v>1971</v>
      </c>
      <c r="M81" s="228" t="s">
        <v>1830</v>
      </c>
      <c r="N81" s="229" t="s">
        <v>2044</v>
      </c>
    </row>
    <row r="82" spans="1:14" x14ac:dyDescent="0.3">
      <c r="A82" s="237">
        <v>80</v>
      </c>
      <c r="B82" s="230" t="s">
        <v>1263</v>
      </c>
      <c r="C82" s="231" t="s">
        <v>1254</v>
      </c>
      <c r="D82" s="231">
        <v>9</v>
      </c>
      <c r="E82" s="258">
        <v>8.9600000000000009</v>
      </c>
      <c r="F82" s="231">
        <v>9</v>
      </c>
      <c r="G82" s="231">
        <v>0.6</v>
      </c>
      <c r="H82" s="231">
        <v>2</v>
      </c>
      <c r="I82" s="231">
        <v>11</v>
      </c>
      <c r="J82" s="231">
        <v>0</v>
      </c>
      <c r="K82" s="230" t="s">
        <v>1267</v>
      </c>
      <c r="L82" s="231">
        <v>2025</v>
      </c>
      <c r="M82" s="231" t="s">
        <v>1829</v>
      </c>
      <c r="N82" s="232" t="s">
        <v>2047</v>
      </c>
    </row>
    <row r="83" spans="1:14" x14ac:dyDescent="0.3">
      <c r="A83" s="237">
        <v>81</v>
      </c>
      <c r="B83" s="227" t="s">
        <v>2664</v>
      </c>
      <c r="C83" s="228" t="s">
        <v>3684</v>
      </c>
      <c r="D83" s="228">
        <v>8.81</v>
      </c>
      <c r="E83" s="268">
        <v>8.83</v>
      </c>
      <c r="F83" s="228">
        <v>8.5</v>
      </c>
      <c r="G83" s="228">
        <v>0.79</v>
      </c>
      <c r="H83" s="228">
        <v>1</v>
      </c>
      <c r="I83" s="228">
        <v>8</v>
      </c>
      <c r="J83" s="228">
        <v>0</v>
      </c>
      <c r="K83" s="227" t="s">
        <v>3688</v>
      </c>
      <c r="L83" s="228">
        <v>1973</v>
      </c>
      <c r="M83" s="228" t="s">
        <v>1809</v>
      </c>
      <c r="N83" s="229" t="s">
        <v>3689</v>
      </c>
    </row>
    <row r="84" spans="1:14" x14ac:dyDescent="0.3">
      <c r="A84" s="237">
        <v>82</v>
      </c>
      <c r="B84" s="230" t="s">
        <v>2528</v>
      </c>
      <c r="C84" s="231" t="s">
        <v>634</v>
      </c>
      <c r="D84" s="231">
        <v>9.8800000000000008</v>
      </c>
      <c r="E84" s="234">
        <v>10.220000000000001</v>
      </c>
      <c r="F84" s="231">
        <v>10</v>
      </c>
      <c r="G84" s="231">
        <v>0.65</v>
      </c>
      <c r="H84" s="231">
        <v>2</v>
      </c>
      <c r="I84" s="231">
        <v>4</v>
      </c>
      <c r="J84" s="231">
        <v>0</v>
      </c>
      <c r="K84" s="230" t="s">
        <v>1042</v>
      </c>
      <c r="L84" s="231">
        <v>2000</v>
      </c>
      <c r="M84" s="231" t="s">
        <v>2533</v>
      </c>
      <c r="N84" s="232" t="s">
        <v>2070</v>
      </c>
    </row>
    <row r="85" spans="1:14" x14ac:dyDescent="0.3">
      <c r="A85" s="237">
        <v>83</v>
      </c>
      <c r="B85" s="227" t="s">
        <v>2528</v>
      </c>
      <c r="C85" s="228" t="s">
        <v>3671</v>
      </c>
      <c r="D85" s="228">
        <v>9</v>
      </c>
      <c r="E85" s="258">
        <v>8.9600000000000009</v>
      </c>
      <c r="F85" s="228">
        <v>9</v>
      </c>
      <c r="G85" s="228">
        <v>0.32</v>
      </c>
      <c r="H85" s="228">
        <v>0</v>
      </c>
      <c r="I85" s="228">
        <v>5</v>
      </c>
      <c r="J85" s="228">
        <v>0</v>
      </c>
      <c r="K85" s="227" t="s">
        <v>1042</v>
      </c>
      <c r="L85" s="228">
        <v>2002</v>
      </c>
      <c r="M85" s="228" t="s">
        <v>1831</v>
      </c>
      <c r="N85" s="229" t="s">
        <v>3674</v>
      </c>
    </row>
    <row r="86" spans="1:14" x14ac:dyDescent="0.3">
      <c r="A86" s="237">
        <v>84</v>
      </c>
      <c r="B86" s="230" t="s">
        <v>2528</v>
      </c>
      <c r="C86" s="231" t="s">
        <v>2529</v>
      </c>
      <c r="D86" s="231">
        <v>8.83</v>
      </c>
      <c r="E86" s="268">
        <v>8.84</v>
      </c>
      <c r="F86" s="231">
        <v>9</v>
      </c>
      <c r="G86" s="231">
        <v>0.24</v>
      </c>
      <c r="H86" s="231">
        <v>0</v>
      </c>
      <c r="I86" s="231">
        <v>3</v>
      </c>
      <c r="J86" s="231">
        <v>0</v>
      </c>
      <c r="K86" s="230" t="s">
        <v>1042</v>
      </c>
      <c r="L86" s="231">
        <v>1997</v>
      </c>
      <c r="M86" s="231" t="s">
        <v>1837</v>
      </c>
      <c r="N86" s="232" t="s">
        <v>2531</v>
      </c>
    </row>
    <row r="87" spans="1:14" x14ac:dyDescent="0.3">
      <c r="A87" s="237">
        <v>85</v>
      </c>
      <c r="B87" s="227" t="s">
        <v>1448</v>
      </c>
      <c r="C87" s="228" t="s">
        <v>1449</v>
      </c>
      <c r="D87" s="228">
        <v>8.82</v>
      </c>
      <c r="E87" s="268">
        <v>8.84</v>
      </c>
      <c r="F87" s="228">
        <v>8.5</v>
      </c>
      <c r="G87" s="228">
        <v>0.81</v>
      </c>
      <c r="H87" s="228">
        <v>2</v>
      </c>
      <c r="I87" s="228">
        <v>12</v>
      </c>
      <c r="J87" s="228">
        <v>1</v>
      </c>
      <c r="K87" s="227" t="s">
        <v>735</v>
      </c>
      <c r="L87" s="228">
        <v>2005</v>
      </c>
      <c r="M87" s="228" t="s">
        <v>1822</v>
      </c>
      <c r="N87" s="229" t="s">
        <v>2038</v>
      </c>
    </row>
    <row r="88" spans="1:14" x14ac:dyDescent="0.3">
      <c r="A88" s="237">
        <v>86</v>
      </c>
      <c r="B88" s="230" t="s">
        <v>1448</v>
      </c>
      <c r="C88" s="231" t="s">
        <v>3389</v>
      </c>
      <c r="D88" s="231">
        <v>8.64</v>
      </c>
      <c r="E88" s="280">
        <v>8.68</v>
      </c>
      <c r="F88" s="231">
        <v>8.5</v>
      </c>
      <c r="G88" s="231">
        <v>0.88</v>
      </c>
      <c r="H88" s="231">
        <v>2</v>
      </c>
      <c r="I88" s="231">
        <v>12</v>
      </c>
      <c r="J88" s="231">
        <v>1</v>
      </c>
      <c r="K88" s="230" t="s">
        <v>735</v>
      </c>
      <c r="L88" s="231">
        <v>2008</v>
      </c>
      <c r="M88" s="231" t="s">
        <v>1807</v>
      </c>
      <c r="N88" s="232" t="s">
        <v>3466</v>
      </c>
    </row>
    <row r="89" spans="1:14" x14ac:dyDescent="0.3">
      <c r="A89" s="237">
        <v>87</v>
      </c>
      <c r="B89" s="227" t="s">
        <v>1448</v>
      </c>
      <c r="C89" s="228" t="s">
        <v>1502</v>
      </c>
      <c r="D89" s="228">
        <v>8.44</v>
      </c>
      <c r="E89" s="306">
        <v>8.34</v>
      </c>
      <c r="F89" s="228">
        <v>8.5</v>
      </c>
      <c r="G89" s="228">
        <v>1.28</v>
      </c>
      <c r="H89" s="228">
        <v>2</v>
      </c>
      <c r="I89" s="228">
        <v>10</v>
      </c>
      <c r="J89" s="228">
        <v>1</v>
      </c>
      <c r="K89" s="227" t="s">
        <v>1507</v>
      </c>
      <c r="L89" s="228">
        <v>2016</v>
      </c>
      <c r="M89" s="228" t="s">
        <v>1842</v>
      </c>
      <c r="N89" s="229" t="s">
        <v>2036</v>
      </c>
    </row>
    <row r="90" spans="1:14" x14ac:dyDescent="0.3">
      <c r="A90" s="237">
        <v>88</v>
      </c>
      <c r="B90" s="230" t="s">
        <v>677</v>
      </c>
      <c r="C90" s="231" t="s">
        <v>1355</v>
      </c>
      <c r="D90" s="231">
        <v>8.8800000000000008</v>
      </c>
      <c r="E90" s="263">
        <v>8.89</v>
      </c>
      <c r="F90" s="231">
        <v>8.5</v>
      </c>
      <c r="G90" s="231">
        <v>0.74</v>
      </c>
      <c r="H90" s="231">
        <v>2</v>
      </c>
      <c r="I90" s="231">
        <v>15</v>
      </c>
      <c r="J90" s="231">
        <v>2</v>
      </c>
      <c r="K90" s="230" t="s">
        <v>1356</v>
      </c>
      <c r="L90" s="231">
        <v>2005</v>
      </c>
      <c r="M90" s="231" t="s">
        <v>1817</v>
      </c>
      <c r="N90" s="232" t="s">
        <v>2043</v>
      </c>
    </row>
    <row r="91" spans="1:14" x14ac:dyDescent="0.3">
      <c r="A91" s="237">
        <v>89</v>
      </c>
      <c r="B91" s="227" t="s">
        <v>677</v>
      </c>
      <c r="C91" s="228" t="s">
        <v>673</v>
      </c>
      <c r="D91" s="228">
        <v>8.67</v>
      </c>
      <c r="E91" s="275">
        <v>8.75</v>
      </c>
      <c r="F91" s="228">
        <v>8</v>
      </c>
      <c r="G91" s="228">
        <v>1.04</v>
      </c>
      <c r="H91" s="228">
        <v>4</v>
      </c>
      <c r="I91" s="228">
        <v>16</v>
      </c>
      <c r="J91" s="228">
        <v>1</v>
      </c>
      <c r="K91" s="227" t="s">
        <v>736</v>
      </c>
      <c r="L91" s="228">
        <v>2010</v>
      </c>
      <c r="M91" s="228" t="s">
        <v>1838</v>
      </c>
      <c r="N91" s="229" t="s">
        <v>2068</v>
      </c>
    </row>
    <row r="92" spans="1:14" x14ac:dyDescent="0.3">
      <c r="A92" s="237">
        <v>90</v>
      </c>
      <c r="B92" s="230" t="s">
        <v>677</v>
      </c>
      <c r="C92" s="231" t="s">
        <v>677</v>
      </c>
      <c r="D92" s="231">
        <v>8.24</v>
      </c>
      <c r="E92" s="311">
        <v>8.23</v>
      </c>
      <c r="F92" s="231">
        <v>8</v>
      </c>
      <c r="G92" s="231">
        <v>1.1299999999999999</v>
      </c>
      <c r="H92" s="231">
        <v>3</v>
      </c>
      <c r="I92" s="231">
        <v>17</v>
      </c>
      <c r="J92" s="231">
        <v>0</v>
      </c>
      <c r="K92" s="230" t="s">
        <v>2514</v>
      </c>
      <c r="L92" s="231">
        <v>2001</v>
      </c>
      <c r="M92" s="231" t="s">
        <v>1857</v>
      </c>
      <c r="N92" s="232" t="s">
        <v>2515</v>
      </c>
    </row>
    <row r="93" spans="1:14" x14ac:dyDescent="0.3">
      <c r="A93" s="237">
        <v>91</v>
      </c>
      <c r="B93" s="227" t="s">
        <v>677</v>
      </c>
      <c r="C93" s="228" t="s">
        <v>1217</v>
      </c>
      <c r="D93" s="228">
        <v>8.11</v>
      </c>
      <c r="E93" s="320">
        <v>8</v>
      </c>
      <c r="F93" s="228">
        <v>8</v>
      </c>
      <c r="G93" s="228">
        <v>0.71</v>
      </c>
      <c r="H93" s="228">
        <v>0</v>
      </c>
      <c r="I93" s="228">
        <v>15</v>
      </c>
      <c r="J93" s="228">
        <v>1</v>
      </c>
      <c r="K93" s="227" t="s">
        <v>1233</v>
      </c>
      <c r="L93" s="228">
        <v>2026</v>
      </c>
      <c r="M93" s="228" t="s">
        <v>1822</v>
      </c>
      <c r="N93" s="229" t="s">
        <v>2048</v>
      </c>
    </row>
    <row r="94" spans="1:14" x14ac:dyDescent="0.3">
      <c r="A94" s="237">
        <v>92</v>
      </c>
      <c r="B94" s="230" t="s">
        <v>302</v>
      </c>
      <c r="C94" s="231" t="s">
        <v>186</v>
      </c>
      <c r="D94" s="231">
        <v>9.2100000000000009</v>
      </c>
      <c r="E94" s="246">
        <v>9.34</v>
      </c>
      <c r="F94" s="231">
        <v>9.25</v>
      </c>
      <c r="G94" s="231">
        <v>0.85</v>
      </c>
      <c r="H94" s="231">
        <v>5</v>
      </c>
      <c r="I94" s="231">
        <v>13</v>
      </c>
      <c r="J94" s="231">
        <v>1</v>
      </c>
      <c r="K94" s="230" t="s">
        <v>717</v>
      </c>
      <c r="L94" s="231">
        <v>2008</v>
      </c>
      <c r="M94" s="231" t="s">
        <v>1816</v>
      </c>
      <c r="N94" s="232" t="s">
        <v>2083</v>
      </c>
    </row>
    <row r="95" spans="1:14" x14ac:dyDescent="0.3">
      <c r="A95" s="237">
        <v>93</v>
      </c>
      <c r="B95" s="227" t="s">
        <v>3075</v>
      </c>
      <c r="C95" s="228" t="s">
        <v>3076</v>
      </c>
      <c r="D95" s="228">
        <v>8.6</v>
      </c>
      <c r="E95" s="294">
        <v>8.5299999999999994</v>
      </c>
      <c r="F95" s="228">
        <v>8.5</v>
      </c>
      <c r="G95" s="228">
        <v>0.57999999999999996</v>
      </c>
      <c r="H95" s="228">
        <v>1</v>
      </c>
      <c r="I95" s="228">
        <v>10</v>
      </c>
      <c r="J95" s="228">
        <v>0</v>
      </c>
      <c r="K95" s="227" t="s">
        <v>3077</v>
      </c>
      <c r="L95" s="228">
        <v>1992</v>
      </c>
      <c r="M95" s="228" t="s">
        <v>1830</v>
      </c>
      <c r="N95" s="229" t="s">
        <v>3078</v>
      </c>
    </row>
    <row r="96" spans="1:14" x14ac:dyDescent="0.3">
      <c r="A96" s="237">
        <v>94</v>
      </c>
      <c r="B96" s="230" t="s">
        <v>378</v>
      </c>
      <c r="C96" s="231" t="s">
        <v>379</v>
      </c>
      <c r="D96" s="231">
        <v>7.29</v>
      </c>
      <c r="E96" s="332">
        <v>7.16</v>
      </c>
      <c r="F96" s="231">
        <v>7</v>
      </c>
      <c r="G96" s="231">
        <v>0.52</v>
      </c>
      <c r="H96" s="231">
        <v>0</v>
      </c>
      <c r="I96" s="231">
        <v>7</v>
      </c>
      <c r="J96" s="231">
        <v>0</v>
      </c>
      <c r="K96" s="230" t="s">
        <v>740</v>
      </c>
      <c r="L96" s="231">
        <v>2021</v>
      </c>
      <c r="M96" s="231" t="s">
        <v>1849</v>
      </c>
      <c r="N96" s="232" t="s">
        <v>2079</v>
      </c>
    </row>
    <row r="97" spans="1:14" x14ac:dyDescent="0.3">
      <c r="A97" s="237">
        <v>95</v>
      </c>
      <c r="B97" s="227" t="s">
        <v>2484</v>
      </c>
      <c r="C97" s="228" t="s">
        <v>2485</v>
      </c>
      <c r="D97" s="228">
        <v>8.8800000000000008</v>
      </c>
      <c r="E97" s="273">
        <v>8.77</v>
      </c>
      <c r="F97" s="228">
        <v>8.75</v>
      </c>
      <c r="G97" s="228">
        <v>0.89</v>
      </c>
      <c r="H97" s="228">
        <v>1</v>
      </c>
      <c r="I97" s="228">
        <v>6</v>
      </c>
      <c r="J97" s="228">
        <v>2</v>
      </c>
      <c r="K97" s="227" t="s">
        <v>2488</v>
      </c>
      <c r="L97" s="228">
        <v>2000</v>
      </c>
      <c r="M97" s="228" t="s">
        <v>2489</v>
      </c>
      <c r="N97" s="229" t="s">
        <v>2490</v>
      </c>
    </row>
    <row r="98" spans="1:14" x14ac:dyDescent="0.3">
      <c r="A98" s="237">
        <v>96</v>
      </c>
      <c r="B98" s="230" t="s">
        <v>2978</v>
      </c>
      <c r="C98" s="231" t="s">
        <v>2979</v>
      </c>
      <c r="D98" s="231">
        <v>8.85</v>
      </c>
      <c r="E98" s="277">
        <v>8.7200000000000006</v>
      </c>
      <c r="F98" s="231">
        <v>8.5</v>
      </c>
      <c r="G98" s="231">
        <v>0.66</v>
      </c>
      <c r="H98" s="231">
        <v>2</v>
      </c>
      <c r="I98" s="231">
        <v>14</v>
      </c>
      <c r="J98" s="231">
        <v>1</v>
      </c>
      <c r="K98" s="230" t="s">
        <v>2980</v>
      </c>
      <c r="L98" s="231">
        <v>2020</v>
      </c>
      <c r="M98" s="231" t="s">
        <v>1850</v>
      </c>
      <c r="N98" s="232" t="s">
        <v>2981</v>
      </c>
    </row>
    <row r="99" spans="1:14" x14ac:dyDescent="0.3">
      <c r="A99" s="237">
        <v>97</v>
      </c>
      <c r="B99" s="227" t="s">
        <v>699</v>
      </c>
      <c r="C99" s="228" t="s">
        <v>700</v>
      </c>
      <c r="D99" s="228">
        <v>8.91</v>
      </c>
      <c r="E99" s="260">
        <v>8.93</v>
      </c>
      <c r="F99" s="228">
        <v>8.5</v>
      </c>
      <c r="G99" s="228">
        <v>0.85</v>
      </c>
      <c r="H99" s="228">
        <v>3</v>
      </c>
      <c r="I99" s="228">
        <v>11</v>
      </c>
      <c r="J99" s="228">
        <v>0</v>
      </c>
      <c r="K99" s="227" t="s">
        <v>797</v>
      </c>
      <c r="L99" s="228">
        <v>2002</v>
      </c>
      <c r="M99" s="228" t="s">
        <v>1828</v>
      </c>
      <c r="N99" s="229" t="s">
        <v>2065</v>
      </c>
    </row>
    <row r="100" spans="1:14" x14ac:dyDescent="0.3">
      <c r="A100" s="237">
        <v>98</v>
      </c>
      <c r="B100" s="230" t="s">
        <v>1615</v>
      </c>
      <c r="C100" s="231" t="s">
        <v>1611</v>
      </c>
      <c r="D100" s="231">
        <v>8.81</v>
      </c>
      <c r="E100" s="279">
        <v>8.6999999999999993</v>
      </c>
      <c r="F100" s="231">
        <v>8.5</v>
      </c>
      <c r="G100" s="231">
        <v>0.83</v>
      </c>
      <c r="H100" s="231">
        <v>2</v>
      </c>
      <c r="I100" s="231">
        <v>8</v>
      </c>
      <c r="J100" s="231">
        <v>0</v>
      </c>
      <c r="K100" s="230" t="s">
        <v>1284</v>
      </c>
      <c r="L100" s="231">
        <v>1982</v>
      </c>
      <c r="M100" s="231" t="s">
        <v>1819</v>
      </c>
      <c r="N100" s="232" t="s">
        <v>2031</v>
      </c>
    </row>
    <row r="101" spans="1:14" x14ac:dyDescent="0.3">
      <c r="A101" s="237">
        <v>99</v>
      </c>
      <c r="B101" s="227" t="s">
        <v>1615</v>
      </c>
      <c r="C101" s="228" t="s">
        <v>2010</v>
      </c>
      <c r="D101" s="228">
        <v>8.81</v>
      </c>
      <c r="E101" s="268">
        <v>8.83</v>
      </c>
      <c r="F101" s="228">
        <v>8.5</v>
      </c>
      <c r="G101" s="228">
        <v>0.79</v>
      </c>
      <c r="H101" s="228">
        <v>1</v>
      </c>
      <c r="I101" s="228">
        <v>8</v>
      </c>
      <c r="J101" s="228">
        <v>0</v>
      </c>
      <c r="K101" s="227" t="s">
        <v>1284</v>
      </c>
      <c r="L101" s="228">
        <v>1988</v>
      </c>
      <c r="M101" s="228" t="s">
        <v>1805</v>
      </c>
      <c r="N101" s="229" t="s">
        <v>2018</v>
      </c>
    </row>
    <row r="102" spans="1:14" x14ac:dyDescent="0.3">
      <c r="A102" s="237">
        <v>100</v>
      </c>
      <c r="B102" s="230" t="s">
        <v>628</v>
      </c>
      <c r="C102" s="231" t="s">
        <v>629</v>
      </c>
      <c r="D102" s="231">
        <v>7.06</v>
      </c>
      <c r="E102" s="334">
        <v>6.99</v>
      </c>
      <c r="F102" s="231">
        <v>7</v>
      </c>
      <c r="G102" s="231">
        <v>0.44</v>
      </c>
      <c r="H102" s="231">
        <v>0</v>
      </c>
      <c r="I102" s="231">
        <v>10</v>
      </c>
      <c r="J102" s="231">
        <v>1</v>
      </c>
      <c r="K102" s="230" t="s">
        <v>733</v>
      </c>
      <c r="L102" s="231">
        <v>2026</v>
      </c>
      <c r="M102" s="231" t="s">
        <v>1850</v>
      </c>
      <c r="N102" s="232" t="s">
        <v>2070</v>
      </c>
    </row>
    <row r="103" spans="1:14" x14ac:dyDescent="0.3">
      <c r="A103" s="237">
        <v>101</v>
      </c>
      <c r="B103" s="227" t="s">
        <v>2303</v>
      </c>
      <c r="C103" s="228" t="s">
        <v>2293</v>
      </c>
      <c r="D103" s="228">
        <v>8.86</v>
      </c>
      <c r="E103" s="276">
        <v>8.74</v>
      </c>
      <c r="F103" s="228">
        <v>8.5</v>
      </c>
      <c r="G103" s="228">
        <v>0.86</v>
      </c>
      <c r="H103" s="228">
        <v>3</v>
      </c>
      <c r="I103" s="228">
        <v>11</v>
      </c>
      <c r="J103" s="228">
        <v>0</v>
      </c>
      <c r="K103" s="227" t="s">
        <v>2304</v>
      </c>
      <c r="L103" s="228">
        <v>1994</v>
      </c>
      <c r="M103" s="228" t="s">
        <v>1817</v>
      </c>
      <c r="N103" s="229" t="s">
        <v>2305</v>
      </c>
    </row>
    <row r="104" spans="1:14" x14ac:dyDescent="0.3">
      <c r="A104" s="237">
        <v>102</v>
      </c>
      <c r="B104" s="230" t="s">
        <v>1385</v>
      </c>
      <c r="C104" s="231" t="s">
        <v>1390</v>
      </c>
      <c r="D104" s="231">
        <v>8.8000000000000007</v>
      </c>
      <c r="E104" s="280">
        <v>8.68</v>
      </c>
      <c r="F104" s="231">
        <v>8.5</v>
      </c>
      <c r="G104" s="231">
        <v>0.7</v>
      </c>
      <c r="H104" s="231">
        <v>2</v>
      </c>
      <c r="I104" s="231">
        <v>15</v>
      </c>
      <c r="J104" s="231">
        <v>0</v>
      </c>
      <c r="K104" s="230" t="s">
        <v>1387</v>
      </c>
      <c r="L104" s="231">
        <v>2012</v>
      </c>
      <c r="M104" s="231" t="s">
        <v>1818</v>
      </c>
      <c r="N104" s="232" t="s">
        <v>2041</v>
      </c>
    </row>
    <row r="105" spans="1:14" x14ac:dyDescent="0.3">
      <c r="A105" s="237">
        <v>103</v>
      </c>
      <c r="B105" s="227" t="s">
        <v>314</v>
      </c>
      <c r="C105" s="228" t="s">
        <v>271</v>
      </c>
      <c r="D105" s="228">
        <v>8.35</v>
      </c>
      <c r="E105" s="313">
        <v>8.1999999999999993</v>
      </c>
      <c r="F105" s="228">
        <v>8</v>
      </c>
      <c r="G105" s="228">
        <v>0.78</v>
      </c>
      <c r="H105" s="228">
        <v>1</v>
      </c>
      <c r="I105" s="228">
        <v>10</v>
      </c>
      <c r="J105" s="228">
        <v>0</v>
      </c>
      <c r="K105" s="227" t="s">
        <v>781</v>
      </c>
      <c r="L105" s="228">
        <v>1979</v>
      </c>
      <c r="M105" s="228" t="s">
        <v>1835</v>
      </c>
      <c r="N105" s="229" t="s">
        <v>2081</v>
      </c>
    </row>
    <row r="106" spans="1:14" x14ac:dyDescent="0.3">
      <c r="A106" s="237">
        <v>104</v>
      </c>
      <c r="B106" s="230" t="s">
        <v>2675</v>
      </c>
      <c r="C106" s="231" t="s">
        <v>2675</v>
      </c>
      <c r="D106" s="231">
        <v>8.6300000000000008</v>
      </c>
      <c r="E106" s="293">
        <v>8.5399999999999991</v>
      </c>
      <c r="F106" s="231">
        <v>8.5</v>
      </c>
      <c r="G106" s="231">
        <v>0.71</v>
      </c>
      <c r="H106" s="231">
        <v>2</v>
      </c>
      <c r="I106" s="231">
        <v>12</v>
      </c>
      <c r="J106" s="231">
        <v>0</v>
      </c>
      <c r="K106" s="230" t="s">
        <v>2677</v>
      </c>
      <c r="L106" s="231">
        <v>2007</v>
      </c>
      <c r="M106" s="231" t="s">
        <v>1823</v>
      </c>
      <c r="N106" s="232" t="s">
        <v>2678</v>
      </c>
    </row>
    <row r="107" spans="1:14" x14ac:dyDescent="0.3">
      <c r="A107" s="237">
        <v>105</v>
      </c>
      <c r="B107" s="227" t="s">
        <v>2675</v>
      </c>
      <c r="C107" s="228" t="s">
        <v>3462</v>
      </c>
      <c r="D107" s="228">
        <v>8.6300000000000008</v>
      </c>
      <c r="E107" s="294">
        <v>8.5299999999999994</v>
      </c>
      <c r="F107" s="228">
        <v>8.5</v>
      </c>
      <c r="G107" s="228">
        <v>0.69</v>
      </c>
      <c r="H107" s="228">
        <v>1</v>
      </c>
      <c r="I107" s="228">
        <v>15</v>
      </c>
      <c r="J107" s="228">
        <v>0</v>
      </c>
      <c r="K107" s="227" t="s">
        <v>3463</v>
      </c>
      <c r="L107" s="228">
        <v>2018</v>
      </c>
      <c r="M107" s="228" t="s">
        <v>1816</v>
      </c>
      <c r="N107" s="229" t="s">
        <v>3464</v>
      </c>
    </row>
    <row r="108" spans="1:14" x14ac:dyDescent="0.3">
      <c r="A108" s="237">
        <v>106</v>
      </c>
      <c r="B108" s="230" t="s">
        <v>774</v>
      </c>
      <c r="C108" s="231" t="s">
        <v>775</v>
      </c>
      <c r="D108" s="231">
        <v>8.82</v>
      </c>
      <c r="E108" s="271">
        <v>8.7899999999999991</v>
      </c>
      <c r="F108" s="231">
        <v>9</v>
      </c>
      <c r="G108" s="231">
        <v>0.86</v>
      </c>
      <c r="H108" s="231">
        <v>3</v>
      </c>
      <c r="I108" s="231">
        <v>13</v>
      </c>
      <c r="J108" s="231">
        <v>2</v>
      </c>
      <c r="K108" s="230" t="s">
        <v>776</v>
      </c>
      <c r="L108" s="231">
        <v>2010</v>
      </c>
      <c r="M108" s="231" t="s">
        <v>1832</v>
      </c>
      <c r="N108" s="232" t="s">
        <v>2062</v>
      </c>
    </row>
    <row r="109" spans="1:14" x14ac:dyDescent="0.3">
      <c r="A109" s="237">
        <v>107</v>
      </c>
      <c r="B109" s="227" t="s">
        <v>774</v>
      </c>
      <c r="C109" s="228" t="s">
        <v>2717</v>
      </c>
      <c r="D109" s="228">
        <v>8.73</v>
      </c>
      <c r="E109" s="286">
        <v>8.6199999999999992</v>
      </c>
      <c r="F109" s="228">
        <v>8.5</v>
      </c>
      <c r="G109" s="228">
        <v>0.56999999999999995</v>
      </c>
      <c r="H109" s="228">
        <v>1</v>
      </c>
      <c r="I109" s="228">
        <v>21</v>
      </c>
      <c r="J109" s="228">
        <v>6</v>
      </c>
      <c r="K109" s="227" t="s">
        <v>2718</v>
      </c>
      <c r="L109" s="228">
        <v>2004</v>
      </c>
      <c r="M109" s="228" t="s">
        <v>1804</v>
      </c>
      <c r="N109" s="229" t="s">
        <v>2678</v>
      </c>
    </row>
    <row r="110" spans="1:14" x14ac:dyDescent="0.3">
      <c r="A110" s="237">
        <v>108</v>
      </c>
      <c r="B110" s="230" t="s">
        <v>774</v>
      </c>
      <c r="C110" s="231" t="s">
        <v>1791</v>
      </c>
      <c r="D110" s="231">
        <v>7.31</v>
      </c>
      <c r="E110" s="331">
        <v>7.2</v>
      </c>
      <c r="F110" s="231">
        <v>7.25</v>
      </c>
      <c r="G110" s="231">
        <v>0.73</v>
      </c>
      <c r="H110" s="231">
        <v>0</v>
      </c>
      <c r="I110" s="231">
        <v>18</v>
      </c>
      <c r="J110" s="231">
        <v>0</v>
      </c>
      <c r="K110" s="230" t="s">
        <v>1057</v>
      </c>
      <c r="L110" s="231">
        <v>2026</v>
      </c>
      <c r="M110" s="231" t="s">
        <v>1806</v>
      </c>
      <c r="N110" s="232" t="s">
        <v>2023</v>
      </c>
    </row>
    <row r="111" spans="1:14" x14ac:dyDescent="0.3">
      <c r="A111" s="237">
        <v>109</v>
      </c>
      <c r="B111" s="227" t="s">
        <v>1337</v>
      </c>
      <c r="C111" s="228" t="s">
        <v>3721</v>
      </c>
      <c r="D111" s="228">
        <v>8.36</v>
      </c>
      <c r="E111" s="306">
        <v>8.34</v>
      </c>
      <c r="F111" s="228">
        <v>8</v>
      </c>
      <c r="G111" s="228">
        <v>0.91</v>
      </c>
      <c r="H111" s="228">
        <v>1</v>
      </c>
      <c r="I111" s="228">
        <v>12</v>
      </c>
      <c r="J111" s="228">
        <v>1</v>
      </c>
      <c r="K111" s="227" t="s">
        <v>2434</v>
      </c>
      <c r="L111" s="228">
        <v>2005</v>
      </c>
      <c r="M111" s="228" t="s">
        <v>1823</v>
      </c>
      <c r="N111" s="229" t="s">
        <v>3733</v>
      </c>
    </row>
    <row r="112" spans="1:14" x14ac:dyDescent="0.3">
      <c r="A112" s="237">
        <v>110</v>
      </c>
      <c r="B112" s="230" t="s">
        <v>1337</v>
      </c>
      <c r="C112" s="231" t="s">
        <v>1338</v>
      </c>
      <c r="D112" s="231">
        <v>8.0500000000000007</v>
      </c>
      <c r="E112" s="322">
        <v>7.95</v>
      </c>
      <c r="F112" s="231">
        <v>8</v>
      </c>
      <c r="G112" s="231">
        <v>0.72</v>
      </c>
      <c r="H112" s="231">
        <v>0</v>
      </c>
      <c r="I112" s="231">
        <v>10</v>
      </c>
      <c r="J112" s="231">
        <v>0</v>
      </c>
      <c r="K112" s="230" t="s">
        <v>712</v>
      </c>
      <c r="L112" s="231">
        <v>2026</v>
      </c>
      <c r="M112" s="231" t="s">
        <v>1837</v>
      </c>
      <c r="N112" s="232" t="s">
        <v>2043</v>
      </c>
    </row>
    <row r="113" spans="1:14" x14ac:dyDescent="0.3">
      <c r="A113" s="237">
        <v>111</v>
      </c>
      <c r="B113" s="227" t="s">
        <v>1302</v>
      </c>
      <c r="C113" s="228" t="s">
        <v>1303</v>
      </c>
      <c r="D113" s="228">
        <v>8.82</v>
      </c>
      <c r="E113" s="264">
        <v>8.8800000000000008</v>
      </c>
      <c r="F113" s="228">
        <v>8.75</v>
      </c>
      <c r="G113" s="228">
        <v>0.92</v>
      </c>
      <c r="H113" s="228">
        <v>3</v>
      </c>
      <c r="I113" s="228">
        <v>16</v>
      </c>
      <c r="J113" s="228">
        <v>2</v>
      </c>
      <c r="K113" s="227" t="s">
        <v>1304</v>
      </c>
      <c r="L113" s="228">
        <v>2015</v>
      </c>
      <c r="M113" s="228" t="s">
        <v>1827</v>
      </c>
      <c r="N113" s="229" t="s">
        <v>2045</v>
      </c>
    </row>
    <row r="114" spans="1:14" x14ac:dyDescent="0.3">
      <c r="A114" s="237">
        <v>112</v>
      </c>
      <c r="B114" s="230" t="s">
        <v>1727</v>
      </c>
      <c r="C114" s="231" t="s">
        <v>1727</v>
      </c>
      <c r="D114" s="231">
        <v>8.2899999999999991</v>
      </c>
      <c r="E114" s="315">
        <v>8.16</v>
      </c>
      <c r="F114" s="231">
        <v>8</v>
      </c>
      <c r="G114" s="231">
        <v>0.52</v>
      </c>
      <c r="H114" s="231">
        <v>0</v>
      </c>
      <c r="I114" s="231">
        <v>7</v>
      </c>
      <c r="J114" s="231">
        <v>0</v>
      </c>
      <c r="K114" s="230" t="s">
        <v>1728</v>
      </c>
      <c r="L114" s="231">
        <v>2018</v>
      </c>
      <c r="M114" s="231" t="s">
        <v>1847</v>
      </c>
      <c r="N114" s="232" t="s">
        <v>2026</v>
      </c>
    </row>
    <row r="115" spans="1:14" x14ac:dyDescent="0.3">
      <c r="A115" s="237">
        <v>113</v>
      </c>
      <c r="B115" s="227" t="s">
        <v>297</v>
      </c>
      <c r="C115" s="228" t="s">
        <v>1116</v>
      </c>
      <c r="D115" s="228">
        <v>9.4</v>
      </c>
      <c r="E115" s="242">
        <v>9.4600000000000009</v>
      </c>
      <c r="F115" s="228">
        <v>9</v>
      </c>
      <c r="G115" s="228">
        <v>0.73</v>
      </c>
      <c r="H115" s="228">
        <v>2</v>
      </c>
      <c r="I115" s="228">
        <v>5</v>
      </c>
      <c r="J115" s="228">
        <v>0</v>
      </c>
      <c r="K115" s="227" t="s">
        <v>714</v>
      </c>
      <c r="L115" s="228">
        <v>1969</v>
      </c>
      <c r="M115" s="228" t="s">
        <v>1812</v>
      </c>
      <c r="N115" s="229" t="s">
        <v>2083</v>
      </c>
    </row>
    <row r="116" spans="1:14" x14ac:dyDescent="0.3">
      <c r="A116" s="237">
        <v>114</v>
      </c>
      <c r="B116" s="230" t="s">
        <v>297</v>
      </c>
      <c r="C116" s="231" t="s">
        <v>960</v>
      </c>
      <c r="D116" s="231">
        <v>9.3000000000000007</v>
      </c>
      <c r="E116" s="245">
        <v>9.36</v>
      </c>
      <c r="F116" s="231">
        <v>9</v>
      </c>
      <c r="G116" s="231">
        <v>0.87</v>
      </c>
      <c r="H116" s="231">
        <v>2</v>
      </c>
      <c r="I116" s="231">
        <v>5</v>
      </c>
      <c r="J116" s="231">
        <v>0</v>
      </c>
      <c r="K116" s="230" t="s">
        <v>714</v>
      </c>
      <c r="L116" s="231">
        <v>2024</v>
      </c>
      <c r="M116" s="231" t="s">
        <v>1815</v>
      </c>
      <c r="N116" s="232" t="s">
        <v>2054</v>
      </c>
    </row>
    <row r="117" spans="1:14" x14ac:dyDescent="0.3">
      <c r="A117" s="237">
        <v>115</v>
      </c>
      <c r="B117" s="227" t="s">
        <v>297</v>
      </c>
      <c r="C117" s="228" t="s">
        <v>2523</v>
      </c>
      <c r="D117" s="228">
        <v>8.86</v>
      </c>
      <c r="E117" s="269">
        <v>8.82</v>
      </c>
      <c r="F117" s="228">
        <v>9</v>
      </c>
      <c r="G117" s="228">
        <v>0.52</v>
      </c>
      <c r="H117" s="228">
        <v>0</v>
      </c>
      <c r="I117" s="228">
        <v>7</v>
      </c>
      <c r="J117" s="228">
        <v>0</v>
      </c>
      <c r="K117" s="227" t="s">
        <v>714</v>
      </c>
      <c r="L117" s="228">
        <v>1981</v>
      </c>
      <c r="M117" s="228" t="s">
        <v>1840</v>
      </c>
      <c r="N117" s="229" t="s">
        <v>2530</v>
      </c>
    </row>
    <row r="118" spans="1:14" x14ac:dyDescent="0.3">
      <c r="A118" s="237">
        <v>116</v>
      </c>
      <c r="B118" s="230" t="s">
        <v>297</v>
      </c>
      <c r="C118" s="231" t="s">
        <v>1323</v>
      </c>
      <c r="D118" s="231">
        <v>8.83</v>
      </c>
      <c r="E118" s="273">
        <v>8.77</v>
      </c>
      <c r="F118" s="231">
        <v>8.75</v>
      </c>
      <c r="G118" s="231">
        <v>0.62</v>
      </c>
      <c r="H118" s="231">
        <v>1</v>
      </c>
      <c r="I118" s="231">
        <v>6</v>
      </c>
      <c r="J118" s="231">
        <v>0</v>
      </c>
      <c r="K118" s="230" t="s">
        <v>1325</v>
      </c>
      <c r="L118" s="231">
        <v>2023</v>
      </c>
      <c r="M118" s="231" t="s">
        <v>1835</v>
      </c>
      <c r="N118" s="232" t="s">
        <v>2044</v>
      </c>
    </row>
    <row r="119" spans="1:14" x14ac:dyDescent="0.3">
      <c r="A119" s="237">
        <v>117</v>
      </c>
      <c r="B119" s="227" t="s">
        <v>2288</v>
      </c>
      <c r="C119" s="228" t="s">
        <v>2289</v>
      </c>
      <c r="D119" s="228">
        <v>8.1999999999999993</v>
      </c>
      <c r="E119" s="316">
        <v>8.1300000000000008</v>
      </c>
      <c r="F119" s="228">
        <v>8</v>
      </c>
      <c r="G119" s="228">
        <v>0.24</v>
      </c>
      <c r="H119" s="228">
        <v>0</v>
      </c>
      <c r="I119" s="228">
        <v>5</v>
      </c>
      <c r="J119" s="228">
        <v>0</v>
      </c>
      <c r="K119" s="227" t="s">
        <v>1033</v>
      </c>
      <c r="L119" s="228">
        <v>2026</v>
      </c>
      <c r="M119" s="228" t="s">
        <v>1848</v>
      </c>
      <c r="N119" s="229" t="s">
        <v>2290</v>
      </c>
    </row>
    <row r="120" spans="1:14" x14ac:dyDescent="0.3">
      <c r="A120" s="237">
        <v>118</v>
      </c>
      <c r="B120" s="230" t="s">
        <v>296</v>
      </c>
      <c r="C120" s="231" t="s">
        <v>239</v>
      </c>
      <c r="D120" s="231">
        <v>9.3800000000000008</v>
      </c>
      <c r="E120" s="241">
        <v>9.5299999999999994</v>
      </c>
      <c r="F120" s="231">
        <v>9.5</v>
      </c>
      <c r="G120" s="231">
        <v>0.78</v>
      </c>
      <c r="H120" s="231">
        <v>3</v>
      </c>
      <c r="I120" s="231">
        <v>8</v>
      </c>
      <c r="J120" s="231">
        <v>0</v>
      </c>
      <c r="K120" s="230" t="s">
        <v>720</v>
      </c>
      <c r="L120" s="231">
        <v>1971</v>
      </c>
      <c r="M120" s="231" t="s">
        <v>1806</v>
      </c>
      <c r="N120" s="232" t="s">
        <v>2082</v>
      </c>
    </row>
    <row r="121" spans="1:14" x14ac:dyDescent="0.3">
      <c r="A121" s="237">
        <v>119</v>
      </c>
      <c r="B121" s="227" t="s">
        <v>296</v>
      </c>
      <c r="C121" s="228" t="s">
        <v>2000</v>
      </c>
      <c r="D121" s="228">
        <v>8.6</v>
      </c>
      <c r="E121" s="293">
        <v>8.5399999999999991</v>
      </c>
      <c r="F121" s="228">
        <v>8</v>
      </c>
      <c r="G121" s="228">
        <v>1.02</v>
      </c>
      <c r="H121" s="228">
        <v>2</v>
      </c>
      <c r="I121" s="228">
        <v>10</v>
      </c>
      <c r="J121" s="228">
        <v>0</v>
      </c>
      <c r="K121" s="227" t="s">
        <v>2003</v>
      </c>
      <c r="L121" s="228">
        <v>1970</v>
      </c>
      <c r="M121" s="228" t="s">
        <v>1842</v>
      </c>
      <c r="N121" s="229" t="s">
        <v>2019</v>
      </c>
    </row>
    <row r="122" spans="1:14" x14ac:dyDescent="0.3">
      <c r="A122" s="237">
        <v>120</v>
      </c>
      <c r="B122" s="230" t="s">
        <v>315</v>
      </c>
      <c r="C122" s="231" t="s">
        <v>2270</v>
      </c>
      <c r="D122" s="231">
        <v>8.92</v>
      </c>
      <c r="E122" s="256">
        <v>9</v>
      </c>
      <c r="F122" s="231">
        <v>9</v>
      </c>
      <c r="G122" s="231">
        <v>1.02</v>
      </c>
      <c r="H122" s="231">
        <v>3</v>
      </c>
      <c r="I122" s="231">
        <v>13</v>
      </c>
      <c r="J122" s="231">
        <v>1</v>
      </c>
      <c r="K122" s="230" t="s">
        <v>725</v>
      </c>
      <c r="L122" s="231">
        <v>2003</v>
      </c>
      <c r="M122" s="231" t="s">
        <v>1830</v>
      </c>
      <c r="N122" s="232" t="s">
        <v>2290</v>
      </c>
    </row>
    <row r="123" spans="1:14" x14ac:dyDescent="0.3">
      <c r="A123" s="237">
        <v>121</v>
      </c>
      <c r="B123" s="227" t="s">
        <v>315</v>
      </c>
      <c r="C123" s="228" t="s">
        <v>316</v>
      </c>
      <c r="D123" s="228">
        <v>8.42</v>
      </c>
      <c r="E123" s="306">
        <v>8.34</v>
      </c>
      <c r="F123" s="228">
        <v>8.5</v>
      </c>
      <c r="G123" s="228">
        <v>0.91</v>
      </c>
      <c r="H123" s="228">
        <v>1</v>
      </c>
      <c r="I123" s="228">
        <v>13</v>
      </c>
      <c r="J123" s="228">
        <v>1</v>
      </c>
      <c r="K123" s="227" t="s">
        <v>725</v>
      </c>
      <c r="L123" s="228">
        <v>2000</v>
      </c>
      <c r="M123" s="228" t="s">
        <v>1840</v>
      </c>
      <c r="N123" s="229" t="s">
        <v>2084</v>
      </c>
    </row>
    <row r="124" spans="1:14" x14ac:dyDescent="0.3">
      <c r="A124" s="237">
        <v>122</v>
      </c>
      <c r="B124" s="230" t="s">
        <v>2879</v>
      </c>
      <c r="C124" s="231" t="s">
        <v>2879</v>
      </c>
      <c r="D124" s="231">
        <v>8.8000000000000007</v>
      </c>
      <c r="E124" s="279">
        <v>8.6999999999999993</v>
      </c>
      <c r="F124" s="231">
        <v>8.5</v>
      </c>
      <c r="G124" s="231">
        <v>0.68</v>
      </c>
      <c r="H124" s="231">
        <v>1</v>
      </c>
      <c r="I124" s="231">
        <v>5</v>
      </c>
      <c r="J124" s="231">
        <v>0</v>
      </c>
      <c r="K124" s="230" t="s">
        <v>2880</v>
      </c>
      <c r="L124" s="231">
        <v>2007</v>
      </c>
      <c r="M124" s="231" t="s">
        <v>2881</v>
      </c>
      <c r="N124" s="232" t="s">
        <v>2878</v>
      </c>
    </row>
    <row r="125" spans="1:14" x14ac:dyDescent="0.3">
      <c r="A125" s="237">
        <v>123</v>
      </c>
      <c r="B125" s="227" t="s">
        <v>3035</v>
      </c>
      <c r="C125" s="228" t="s">
        <v>3023</v>
      </c>
      <c r="D125" s="228">
        <v>8.6300000000000008</v>
      </c>
      <c r="E125" s="294">
        <v>8.5299999999999994</v>
      </c>
      <c r="F125" s="228">
        <v>8.5</v>
      </c>
      <c r="G125" s="228">
        <v>0.68</v>
      </c>
      <c r="H125" s="228">
        <v>1</v>
      </c>
      <c r="I125" s="228">
        <v>13</v>
      </c>
      <c r="J125" s="228">
        <v>1</v>
      </c>
      <c r="K125" s="227" t="s">
        <v>3036</v>
      </c>
      <c r="L125" s="228">
        <v>2017</v>
      </c>
      <c r="M125" s="228" t="s">
        <v>1806</v>
      </c>
      <c r="N125" s="229" t="s">
        <v>3013</v>
      </c>
    </row>
    <row r="126" spans="1:14" x14ac:dyDescent="0.3">
      <c r="A126" s="237">
        <v>124</v>
      </c>
      <c r="B126" s="230" t="s">
        <v>334</v>
      </c>
      <c r="C126" s="231" t="s">
        <v>335</v>
      </c>
      <c r="D126" s="231">
        <v>8.4600000000000009</v>
      </c>
      <c r="E126" s="303">
        <v>8.39</v>
      </c>
      <c r="F126" s="231">
        <v>8.5</v>
      </c>
      <c r="G126" s="231">
        <v>0.84</v>
      </c>
      <c r="H126" s="231">
        <v>2</v>
      </c>
      <c r="I126" s="231">
        <v>13</v>
      </c>
      <c r="J126" s="231">
        <v>0</v>
      </c>
      <c r="K126" s="230" t="s">
        <v>739</v>
      </c>
      <c r="L126" s="231">
        <v>2018</v>
      </c>
      <c r="M126" s="231" t="s">
        <v>1826</v>
      </c>
      <c r="N126" s="232" t="s">
        <v>2081</v>
      </c>
    </row>
    <row r="127" spans="1:14" x14ac:dyDescent="0.3">
      <c r="A127" s="237">
        <v>125</v>
      </c>
      <c r="B127" s="227" t="s">
        <v>2115</v>
      </c>
      <c r="C127" s="228" t="s">
        <v>2116</v>
      </c>
      <c r="D127" s="228">
        <v>8.73</v>
      </c>
      <c r="E127" s="285">
        <v>8.6300000000000008</v>
      </c>
      <c r="F127" s="228">
        <v>8.5</v>
      </c>
      <c r="G127" s="228">
        <v>0.67</v>
      </c>
      <c r="H127" s="228">
        <v>2</v>
      </c>
      <c r="I127" s="228">
        <v>15</v>
      </c>
      <c r="J127" s="228">
        <v>2</v>
      </c>
      <c r="K127" s="227" t="s">
        <v>2117</v>
      </c>
      <c r="L127" s="228">
        <v>2024</v>
      </c>
      <c r="M127" s="228" t="s">
        <v>1809</v>
      </c>
      <c r="N127" s="229" t="s">
        <v>2118</v>
      </c>
    </row>
    <row r="128" spans="1:14" x14ac:dyDescent="0.3">
      <c r="A128" s="237">
        <v>126</v>
      </c>
      <c r="B128" s="230" t="s">
        <v>866</v>
      </c>
      <c r="C128" s="231" t="s">
        <v>857</v>
      </c>
      <c r="D128" s="231">
        <v>9.06</v>
      </c>
      <c r="E128" s="251">
        <v>9.1</v>
      </c>
      <c r="F128" s="231">
        <v>8.75</v>
      </c>
      <c r="G128" s="231">
        <v>0.92</v>
      </c>
      <c r="H128" s="231">
        <v>3</v>
      </c>
      <c r="I128" s="231">
        <v>9</v>
      </c>
      <c r="J128" s="231">
        <v>1</v>
      </c>
      <c r="K128" s="230" t="s">
        <v>867</v>
      </c>
      <c r="L128" s="231">
        <v>1979</v>
      </c>
      <c r="M128" s="231" t="s">
        <v>1803</v>
      </c>
      <c r="N128" s="232" t="s">
        <v>2060</v>
      </c>
    </row>
    <row r="129" spans="1:14" x14ac:dyDescent="0.3">
      <c r="A129" s="237">
        <v>127</v>
      </c>
      <c r="B129" s="227" t="s">
        <v>2317</v>
      </c>
      <c r="C129" s="228" t="s">
        <v>2318</v>
      </c>
      <c r="D129" s="228">
        <v>8.69</v>
      </c>
      <c r="E129" s="294">
        <v>8.5299999999999994</v>
      </c>
      <c r="F129" s="228">
        <v>8.25</v>
      </c>
      <c r="G129" s="228">
        <v>0.79</v>
      </c>
      <c r="H129" s="228">
        <v>1</v>
      </c>
      <c r="I129" s="228">
        <v>8</v>
      </c>
      <c r="J129" s="228">
        <v>0</v>
      </c>
      <c r="K129" s="227" t="s">
        <v>2320</v>
      </c>
      <c r="L129" s="228">
        <v>1976</v>
      </c>
      <c r="M129" s="228" t="s">
        <v>1819</v>
      </c>
      <c r="N129" s="229" t="s">
        <v>2321</v>
      </c>
    </row>
    <row r="130" spans="1:14" x14ac:dyDescent="0.3">
      <c r="A130" s="237">
        <v>128</v>
      </c>
      <c r="B130" s="230" t="s">
        <v>309</v>
      </c>
      <c r="C130" s="231" t="s">
        <v>218</v>
      </c>
      <c r="D130" s="231">
        <v>8.77</v>
      </c>
      <c r="E130" s="282">
        <v>8.66</v>
      </c>
      <c r="F130" s="231">
        <v>8.5</v>
      </c>
      <c r="G130" s="231">
        <v>0.86</v>
      </c>
      <c r="H130" s="231">
        <v>3</v>
      </c>
      <c r="I130" s="231">
        <v>11</v>
      </c>
      <c r="J130" s="231">
        <v>0</v>
      </c>
      <c r="K130" s="230" t="s">
        <v>723</v>
      </c>
      <c r="L130" s="231">
        <v>1998</v>
      </c>
      <c r="M130" s="231" t="s">
        <v>1837</v>
      </c>
      <c r="N130" s="232" t="s">
        <v>2084</v>
      </c>
    </row>
    <row r="131" spans="1:14" x14ac:dyDescent="0.3">
      <c r="A131" s="237">
        <v>129</v>
      </c>
      <c r="B131" s="227" t="s">
        <v>304</v>
      </c>
      <c r="C131" s="228" t="s">
        <v>229</v>
      </c>
      <c r="D131" s="228">
        <v>9</v>
      </c>
      <c r="E131" s="251">
        <v>9.09</v>
      </c>
      <c r="F131" s="228">
        <v>9</v>
      </c>
      <c r="G131" s="228">
        <v>0.82</v>
      </c>
      <c r="H131" s="228">
        <v>2</v>
      </c>
      <c r="I131" s="228">
        <v>9</v>
      </c>
      <c r="J131" s="228">
        <v>0</v>
      </c>
      <c r="K131" s="227" t="s">
        <v>734</v>
      </c>
      <c r="L131" s="228">
        <v>1990</v>
      </c>
      <c r="M131" s="228" t="s">
        <v>1819</v>
      </c>
      <c r="N131" s="229" t="s">
        <v>2082</v>
      </c>
    </row>
    <row r="132" spans="1:14" x14ac:dyDescent="0.3">
      <c r="A132" s="237">
        <v>130</v>
      </c>
      <c r="B132" s="230" t="s">
        <v>304</v>
      </c>
      <c r="C132" s="231" t="s">
        <v>304</v>
      </c>
      <c r="D132" s="231">
        <v>7.77</v>
      </c>
      <c r="E132" s="328">
        <v>7.64</v>
      </c>
      <c r="F132" s="231">
        <v>7.5</v>
      </c>
      <c r="G132" s="231">
        <v>0.62</v>
      </c>
      <c r="H132" s="231">
        <v>0</v>
      </c>
      <c r="I132" s="231">
        <v>11</v>
      </c>
      <c r="J132" s="231">
        <v>0</v>
      </c>
      <c r="K132" s="230" t="s">
        <v>734</v>
      </c>
      <c r="L132" s="231">
        <v>2026</v>
      </c>
      <c r="M132" s="231" t="s">
        <v>1814</v>
      </c>
      <c r="N132" s="232" t="s">
        <v>2078</v>
      </c>
    </row>
    <row r="133" spans="1:14" x14ac:dyDescent="0.3">
      <c r="A133" s="237">
        <v>131</v>
      </c>
      <c r="B133" s="227" t="s">
        <v>1211</v>
      </c>
      <c r="C133" s="228" t="s">
        <v>1212</v>
      </c>
      <c r="D133" s="228">
        <v>8.67</v>
      </c>
      <c r="E133" s="271">
        <v>8.7899999999999991</v>
      </c>
      <c r="F133" s="228">
        <v>9</v>
      </c>
      <c r="G133" s="228">
        <v>1.08</v>
      </c>
      <c r="H133" s="228">
        <v>2</v>
      </c>
      <c r="I133" s="228">
        <v>9</v>
      </c>
      <c r="J133" s="228">
        <v>0</v>
      </c>
      <c r="K133" s="227" t="s">
        <v>1215</v>
      </c>
      <c r="L133" s="228">
        <v>2008</v>
      </c>
      <c r="M133" s="228" t="s">
        <v>1833</v>
      </c>
      <c r="N133" s="229" t="s">
        <v>2049</v>
      </c>
    </row>
    <row r="134" spans="1:14" x14ac:dyDescent="0.3">
      <c r="A134" s="237">
        <v>132</v>
      </c>
      <c r="B134" s="230" t="s">
        <v>1211</v>
      </c>
      <c r="C134" s="231" t="s">
        <v>3530</v>
      </c>
      <c r="D134" s="231">
        <v>8.1999999999999993</v>
      </c>
      <c r="E134" s="393">
        <v>8.2100000000000009</v>
      </c>
      <c r="F134" s="231">
        <v>8</v>
      </c>
      <c r="G134" s="231">
        <v>0.95</v>
      </c>
      <c r="H134" s="231">
        <v>1</v>
      </c>
      <c r="I134" s="231">
        <v>10</v>
      </c>
      <c r="J134" s="231">
        <v>0</v>
      </c>
      <c r="K134" s="230" t="s">
        <v>3531</v>
      </c>
      <c r="L134" s="231">
        <v>2002</v>
      </c>
      <c r="M134" s="231" t="s">
        <v>1809</v>
      </c>
      <c r="N134" s="232" t="s">
        <v>3532</v>
      </c>
    </row>
    <row r="135" spans="1:14" x14ac:dyDescent="0.3">
      <c r="A135" s="237">
        <v>133</v>
      </c>
      <c r="B135" s="227" t="s">
        <v>301</v>
      </c>
      <c r="C135" s="228" t="s">
        <v>56</v>
      </c>
      <c r="D135" s="228">
        <v>9.25</v>
      </c>
      <c r="E135" s="244">
        <v>9.3699999999999992</v>
      </c>
      <c r="F135" s="228">
        <v>9.25</v>
      </c>
      <c r="G135" s="228">
        <v>0.83</v>
      </c>
      <c r="H135" s="228">
        <v>3</v>
      </c>
      <c r="I135" s="228">
        <v>8</v>
      </c>
      <c r="J135" s="228">
        <v>0</v>
      </c>
      <c r="K135" s="227" t="s">
        <v>734</v>
      </c>
      <c r="L135" s="228">
        <v>1986</v>
      </c>
      <c r="M135" s="228" t="s">
        <v>1813</v>
      </c>
      <c r="N135" s="229" t="s">
        <v>2083</v>
      </c>
    </row>
    <row r="136" spans="1:14" x14ac:dyDescent="0.3">
      <c r="A136" s="237">
        <v>134</v>
      </c>
      <c r="B136" s="230" t="s">
        <v>301</v>
      </c>
      <c r="C136" s="231" t="s">
        <v>653</v>
      </c>
      <c r="D136" s="231">
        <v>9.1300000000000008</v>
      </c>
      <c r="E136" s="248">
        <v>9.2100000000000009</v>
      </c>
      <c r="F136" s="231">
        <v>9</v>
      </c>
      <c r="G136" s="231">
        <v>0.93</v>
      </c>
      <c r="H136" s="231">
        <v>3</v>
      </c>
      <c r="I136" s="231">
        <v>8</v>
      </c>
      <c r="J136" s="231">
        <v>0</v>
      </c>
      <c r="K136" s="230" t="s">
        <v>734</v>
      </c>
      <c r="L136" s="231">
        <v>1984</v>
      </c>
      <c r="M136" s="231" t="s">
        <v>1814</v>
      </c>
      <c r="N136" s="232" t="s">
        <v>2068</v>
      </c>
    </row>
    <row r="137" spans="1:14" x14ac:dyDescent="0.3">
      <c r="A137" s="237">
        <v>135</v>
      </c>
      <c r="B137" s="227" t="s">
        <v>301</v>
      </c>
      <c r="C137" s="228" t="s">
        <v>1063</v>
      </c>
      <c r="D137" s="228">
        <v>9</v>
      </c>
      <c r="E137" s="252">
        <v>9.08</v>
      </c>
      <c r="F137" s="228">
        <v>9</v>
      </c>
      <c r="G137" s="228">
        <v>0.88</v>
      </c>
      <c r="H137" s="228">
        <v>2</v>
      </c>
      <c r="I137" s="228">
        <v>9</v>
      </c>
      <c r="J137" s="228">
        <v>0</v>
      </c>
      <c r="K137" s="227" t="s">
        <v>734</v>
      </c>
      <c r="L137" s="228">
        <v>1988</v>
      </c>
      <c r="M137" s="228" t="s">
        <v>1820</v>
      </c>
      <c r="N137" s="229" t="s">
        <v>2052</v>
      </c>
    </row>
    <row r="138" spans="1:14" x14ac:dyDescent="0.3">
      <c r="A138" s="237">
        <v>136</v>
      </c>
      <c r="B138" s="230" t="s">
        <v>301</v>
      </c>
      <c r="C138" s="231" t="s">
        <v>2187</v>
      </c>
      <c r="D138" s="231">
        <v>8.6999999999999993</v>
      </c>
      <c r="E138" s="287">
        <v>8.61</v>
      </c>
      <c r="F138" s="231">
        <v>8.5</v>
      </c>
      <c r="G138" s="231">
        <v>0.75</v>
      </c>
      <c r="H138" s="231">
        <v>2</v>
      </c>
      <c r="I138" s="231">
        <v>10</v>
      </c>
      <c r="J138" s="231">
        <v>0</v>
      </c>
      <c r="K138" s="230" t="s">
        <v>734</v>
      </c>
      <c r="L138" s="231">
        <v>1983</v>
      </c>
      <c r="M138" s="231" t="s">
        <v>1817</v>
      </c>
      <c r="N138" s="232" t="s">
        <v>2175</v>
      </c>
    </row>
    <row r="139" spans="1:14" x14ac:dyDescent="0.3">
      <c r="A139" s="237">
        <v>137</v>
      </c>
      <c r="B139" s="227" t="s">
        <v>301</v>
      </c>
      <c r="C139" s="228" t="s">
        <v>301</v>
      </c>
      <c r="D139" s="228">
        <v>8.4600000000000009</v>
      </c>
      <c r="E139" s="283">
        <v>8.65</v>
      </c>
      <c r="F139" s="228">
        <v>8.5</v>
      </c>
      <c r="G139" s="228">
        <v>1.33</v>
      </c>
      <c r="H139" s="228">
        <v>3</v>
      </c>
      <c r="I139" s="228">
        <v>12</v>
      </c>
      <c r="J139" s="228">
        <v>0</v>
      </c>
      <c r="K139" s="227" t="s">
        <v>1284</v>
      </c>
      <c r="L139" s="228">
        <v>2021</v>
      </c>
      <c r="M139" s="228" t="s">
        <v>1839</v>
      </c>
      <c r="N139" s="229" t="s">
        <v>2046</v>
      </c>
    </row>
    <row r="140" spans="1:14" x14ac:dyDescent="0.3">
      <c r="A140" s="237">
        <v>138</v>
      </c>
      <c r="B140" s="230" t="s">
        <v>301</v>
      </c>
      <c r="C140" s="231" t="s">
        <v>3785</v>
      </c>
      <c r="D140" s="231">
        <v>8.0399999999999991</v>
      </c>
      <c r="E140" s="414">
        <v>7.96</v>
      </c>
      <c r="F140" s="231">
        <v>8</v>
      </c>
      <c r="G140" s="231">
        <v>0.57999999999999996</v>
      </c>
      <c r="H140" s="231">
        <v>0</v>
      </c>
      <c r="I140" s="231">
        <v>14</v>
      </c>
      <c r="J140" s="231">
        <v>0</v>
      </c>
      <c r="K140" s="230" t="s">
        <v>2952</v>
      </c>
      <c r="L140" s="231">
        <v>1996</v>
      </c>
      <c r="M140" s="231" t="s">
        <v>3789</v>
      </c>
      <c r="N140" s="232" t="s">
        <v>3790</v>
      </c>
    </row>
    <row r="141" spans="1:14" x14ac:dyDescent="0.3">
      <c r="A141" s="237">
        <v>139</v>
      </c>
      <c r="B141" s="227" t="s">
        <v>301</v>
      </c>
      <c r="C141" s="228" t="s">
        <v>1700</v>
      </c>
      <c r="D141" s="228">
        <v>3.68</v>
      </c>
      <c r="E141" s="335">
        <v>3.37</v>
      </c>
      <c r="F141" s="228">
        <v>3</v>
      </c>
      <c r="G141" s="228">
        <v>1.37</v>
      </c>
      <c r="H141" s="228">
        <v>0</v>
      </c>
      <c r="I141" s="228">
        <v>11</v>
      </c>
      <c r="J141" s="228">
        <v>0</v>
      </c>
      <c r="K141" s="227" t="s">
        <v>731</v>
      </c>
      <c r="L141" s="228">
        <v>2003</v>
      </c>
      <c r="M141" s="228" t="s">
        <v>1807</v>
      </c>
      <c r="N141" s="229" t="s">
        <v>2027</v>
      </c>
    </row>
    <row r="142" spans="1:14" x14ac:dyDescent="0.3">
      <c r="A142" s="237">
        <v>140</v>
      </c>
      <c r="B142" s="230" t="s">
        <v>3900</v>
      </c>
      <c r="C142" s="231" t="s">
        <v>3901</v>
      </c>
      <c r="D142" s="231">
        <v>8.5399999999999991</v>
      </c>
      <c r="E142" s="297">
        <v>8.49</v>
      </c>
      <c r="F142" s="231">
        <v>8</v>
      </c>
      <c r="G142" s="231">
        <v>0.82</v>
      </c>
      <c r="H142" s="231">
        <v>1</v>
      </c>
      <c r="I142" s="231">
        <v>13</v>
      </c>
      <c r="J142" s="231">
        <v>0</v>
      </c>
      <c r="K142" s="230" t="s">
        <v>3908</v>
      </c>
      <c r="L142" s="231">
        <v>2023</v>
      </c>
      <c r="M142" s="231" t="s">
        <v>1814</v>
      </c>
      <c r="N142" s="232" t="s">
        <v>3907</v>
      </c>
    </row>
    <row r="143" spans="1:14" x14ac:dyDescent="0.3">
      <c r="A143" s="237">
        <v>141</v>
      </c>
      <c r="B143" s="227" t="s">
        <v>2608</v>
      </c>
      <c r="C143" s="228" t="s">
        <v>2601</v>
      </c>
      <c r="D143" s="228">
        <v>9.06</v>
      </c>
      <c r="E143" s="255">
        <v>9.02</v>
      </c>
      <c r="F143" s="228">
        <v>9</v>
      </c>
      <c r="G143" s="228">
        <v>0.72</v>
      </c>
      <c r="H143" s="228">
        <v>3</v>
      </c>
      <c r="I143" s="228">
        <v>9</v>
      </c>
      <c r="J143" s="228">
        <v>0</v>
      </c>
      <c r="K143" s="227" t="s">
        <v>2610</v>
      </c>
      <c r="L143" s="228">
        <v>1982</v>
      </c>
      <c r="M143" s="228" t="s">
        <v>1806</v>
      </c>
      <c r="N143" s="229" t="s">
        <v>2611</v>
      </c>
    </row>
    <row r="144" spans="1:14" x14ac:dyDescent="0.3">
      <c r="A144" s="237">
        <v>142</v>
      </c>
      <c r="B144" s="230" t="s">
        <v>1578</v>
      </c>
      <c r="C144" s="231" t="s">
        <v>1579</v>
      </c>
      <c r="D144" s="231">
        <v>8.4</v>
      </c>
      <c r="E144" s="305">
        <v>8.3699999999999992</v>
      </c>
      <c r="F144" s="231">
        <v>8.5</v>
      </c>
      <c r="G144" s="231">
        <v>0.37</v>
      </c>
      <c r="H144" s="231">
        <v>0</v>
      </c>
      <c r="I144" s="231">
        <v>5</v>
      </c>
      <c r="J144" s="231">
        <v>0</v>
      </c>
      <c r="K144" s="230" t="s">
        <v>1580</v>
      </c>
      <c r="L144" s="231">
        <v>2026</v>
      </c>
      <c r="M144" s="231" t="s">
        <v>1817</v>
      </c>
      <c r="N144" s="232" t="s">
        <v>2033</v>
      </c>
    </row>
    <row r="145" spans="1:14" x14ac:dyDescent="0.3">
      <c r="A145" s="237">
        <v>143</v>
      </c>
      <c r="B145" s="227" t="s">
        <v>2996</v>
      </c>
      <c r="C145" s="228" t="s">
        <v>2997</v>
      </c>
      <c r="D145" s="228">
        <v>8.4</v>
      </c>
      <c r="E145" s="354">
        <v>8.3000000000000007</v>
      </c>
      <c r="F145" s="228">
        <v>8.25</v>
      </c>
      <c r="G145" s="228">
        <v>0.73</v>
      </c>
      <c r="H145" s="228">
        <v>1</v>
      </c>
      <c r="I145" s="228">
        <v>10</v>
      </c>
      <c r="J145" s="228">
        <v>0</v>
      </c>
      <c r="K145" s="227" t="s">
        <v>1034</v>
      </c>
      <c r="L145" s="228">
        <v>1989</v>
      </c>
      <c r="M145" s="228" t="s">
        <v>1824</v>
      </c>
      <c r="N145" s="229" t="s">
        <v>2981</v>
      </c>
    </row>
    <row r="146" spans="1:14" x14ac:dyDescent="0.3">
      <c r="A146" s="237">
        <v>144</v>
      </c>
      <c r="B146" s="230" t="s">
        <v>2576</v>
      </c>
      <c r="C146" s="231" t="s">
        <v>2577</v>
      </c>
      <c r="D146" s="231">
        <v>8.75</v>
      </c>
      <c r="E146" s="281">
        <v>8.67</v>
      </c>
      <c r="F146" s="231">
        <v>8.75</v>
      </c>
      <c r="G146" s="231">
        <v>0.75</v>
      </c>
      <c r="H146" s="231">
        <v>1</v>
      </c>
      <c r="I146" s="231">
        <v>11</v>
      </c>
      <c r="J146" s="231">
        <v>1</v>
      </c>
      <c r="K146" s="230" t="s">
        <v>2609</v>
      </c>
      <c r="L146" s="231">
        <v>1991</v>
      </c>
      <c r="M146" s="231" t="s">
        <v>1823</v>
      </c>
      <c r="N146" s="232" t="s">
        <v>2580</v>
      </c>
    </row>
    <row r="147" spans="1:14" x14ac:dyDescent="0.3">
      <c r="A147" s="237">
        <v>145</v>
      </c>
      <c r="B147" s="227" t="s">
        <v>308</v>
      </c>
      <c r="C147" s="228" t="s">
        <v>240</v>
      </c>
      <c r="D147" s="228">
        <v>8.7799999999999994</v>
      </c>
      <c r="E147" s="274">
        <v>8.76</v>
      </c>
      <c r="F147" s="228">
        <v>9</v>
      </c>
      <c r="G147" s="228">
        <v>0.79</v>
      </c>
      <c r="H147" s="228">
        <v>2</v>
      </c>
      <c r="I147" s="228">
        <v>10</v>
      </c>
      <c r="J147" s="228">
        <v>1</v>
      </c>
      <c r="K147" s="227" t="s">
        <v>721</v>
      </c>
      <c r="L147" s="228">
        <v>1994</v>
      </c>
      <c r="M147" s="228" t="s">
        <v>1835</v>
      </c>
      <c r="N147" s="229" t="s">
        <v>2082</v>
      </c>
    </row>
    <row r="148" spans="1:14" x14ac:dyDescent="0.3">
      <c r="A148" s="237">
        <v>146</v>
      </c>
      <c r="B148" s="230" t="s">
        <v>3117</v>
      </c>
      <c r="C148" s="231" t="s">
        <v>3118</v>
      </c>
      <c r="D148" s="231">
        <v>9.14</v>
      </c>
      <c r="E148" s="247">
        <v>9.23</v>
      </c>
      <c r="F148" s="231">
        <v>9</v>
      </c>
      <c r="G148" s="231">
        <v>0.74</v>
      </c>
      <c r="H148" s="231">
        <v>2</v>
      </c>
      <c r="I148" s="231">
        <v>7</v>
      </c>
      <c r="J148" s="231">
        <v>0</v>
      </c>
      <c r="K148" s="230" t="s">
        <v>733</v>
      </c>
      <c r="L148" s="231">
        <v>2012</v>
      </c>
      <c r="M148" s="231" t="s">
        <v>1844</v>
      </c>
      <c r="N148" s="232" t="s">
        <v>3108</v>
      </c>
    </row>
    <row r="149" spans="1:14" x14ac:dyDescent="0.3">
      <c r="A149" s="237">
        <v>147</v>
      </c>
      <c r="B149" s="227" t="s">
        <v>1920</v>
      </c>
      <c r="C149" s="228" t="s">
        <v>1921</v>
      </c>
      <c r="D149" s="228">
        <v>8.43</v>
      </c>
      <c r="E149" s="304">
        <v>8.3800000000000008</v>
      </c>
      <c r="F149" s="228">
        <v>8.5</v>
      </c>
      <c r="G149" s="228">
        <v>0.49</v>
      </c>
      <c r="H149" s="228">
        <v>0</v>
      </c>
      <c r="I149" s="228">
        <v>8</v>
      </c>
      <c r="J149" s="228">
        <v>1</v>
      </c>
      <c r="K149" s="227" t="s">
        <v>1922</v>
      </c>
      <c r="L149" s="228">
        <v>2026</v>
      </c>
      <c r="M149" s="228" t="s">
        <v>1837</v>
      </c>
      <c r="N149" s="229" t="s">
        <v>2021</v>
      </c>
    </row>
    <row r="150" spans="1:14" x14ac:dyDescent="0.3">
      <c r="A150" s="237">
        <v>148</v>
      </c>
      <c r="B150" s="230" t="s">
        <v>795</v>
      </c>
      <c r="C150" s="231" t="s">
        <v>790</v>
      </c>
      <c r="D150" s="231">
        <v>8.7100000000000009</v>
      </c>
      <c r="E150" s="274">
        <v>8.76</v>
      </c>
      <c r="F150" s="231">
        <v>8.5</v>
      </c>
      <c r="G150" s="231">
        <v>0.75</v>
      </c>
      <c r="H150" s="231">
        <v>2</v>
      </c>
      <c r="I150" s="231">
        <v>14</v>
      </c>
      <c r="J150" s="231">
        <v>0</v>
      </c>
      <c r="K150" s="230" t="s">
        <v>796</v>
      </c>
      <c r="L150" s="231">
        <v>2005</v>
      </c>
      <c r="M150" s="231" t="s">
        <v>1837</v>
      </c>
      <c r="N150" s="232" t="s">
        <v>2061</v>
      </c>
    </row>
    <row r="151" spans="1:14" x14ac:dyDescent="0.3">
      <c r="A151" s="237">
        <v>149</v>
      </c>
      <c r="B151" s="227" t="s">
        <v>795</v>
      </c>
      <c r="C151" s="228" t="s">
        <v>2174</v>
      </c>
      <c r="D151" s="228">
        <v>8.57</v>
      </c>
      <c r="E151" s="297">
        <v>8.49</v>
      </c>
      <c r="F151" s="228">
        <v>8.5</v>
      </c>
      <c r="G151" s="228">
        <v>0.6</v>
      </c>
      <c r="H151" s="228">
        <v>1</v>
      </c>
      <c r="I151" s="228">
        <v>15</v>
      </c>
      <c r="J151" s="228">
        <v>0</v>
      </c>
      <c r="K151" s="227" t="s">
        <v>796</v>
      </c>
      <c r="L151" s="228">
        <v>2003</v>
      </c>
      <c r="M151" s="228" t="s">
        <v>1839</v>
      </c>
      <c r="N151" s="229" t="s">
        <v>2175</v>
      </c>
    </row>
    <row r="152" spans="1:14" x14ac:dyDescent="0.3">
      <c r="A152" s="237">
        <v>150</v>
      </c>
      <c r="B152" s="230" t="s">
        <v>3829</v>
      </c>
      <c r="C152" s="231" t="s">
        <v>3830</v>
      </c>
      <c r="D152" s="231">
        <v>8.35</v>
      </c>
      <c r="E152" s="308">
        <v>8.27</v>
      </c>
      <c r="F152" s="231">
        <v>8.25</v>
      </c>
      <c r="G152" s="231">
        <v>0.5</v>
      </c>
      <c r="H152" s="231">
        <v>0</v>
      </c>
      <c r="I152" s="231">
        <v>10</v>
      </c>
      <c r="J152" s="231">
        <v>0</v>
      </c>
      <c r="K152" s="230" t="s">
        <v>3834</v>
      </c>
      <c r="L152" s="231">
        <v>2025</v>
      </c>
      <c r="M152" s="231" t="s">
        <v>1826</v>
      </c>
      <c r="N152" s="232" t="s">
        <v>3835</v>
      </c>
    </row>
    <row r="153" spans="1:14" x14ac:dyDescent="0.3">
      <c r="A153" s="237">
        <v>151</v>
      </c>
      <c r="B153" s="227" t="s">
        <v>300</v>
      </c>
      <c r="C153" s="228" t="s">
        <v>131</v>
      </c>
      <c r="D153" s="228">
        <v>9.2899999999999991</v>
      </c>
      <c r="E153" s="412">
        <v>9.44</v>
      </c>
      <c r="F153" s="228">
        <v>9.5</v>
      </c>
      <c r="G153" s="228">
        <v>0.8</v>
      </c>
      <c r="H153" s="228">
        <v>2</v>
      </c>
      <c r="I153" s="228">
        <v>7</v>
      </c>
      <c r="J153" s="228">
        <v>0</v>
      </c>
      <c r="K153" s="227" t="s">
        <v>735</v>
      </c>
      <c r="L153" s="228">
        <v>2001</v>
      </c>
      <c r="M153" s="228" t="s">
        <v>1804</v>
      </c>
      <c r="N153" s="229" t="s">
        <v>2084</v>
      </c>
    </row>
    <row r="154" spans="1:14" x14ac:dyDescent="0.3">
      <c r="A154" s="237">
        <v>152</v>
      </c>
      <c r="B154" s="230" t="s">
        <v>300</v>
      </c>
      <c r="C154" s="231" t="s">
        <v>923</v>
      </c>
      <c r="D154" s="231">
        <v>9.06</v>
      </c>
      <c r="E154" s="250">
        <v>9.14</v>
      </c>
      <c r="F154" s="231">
        <v>9</v>
      </c>
      <c r="G154" s="231">
        <v>0.85</v>
      </c>
      <c r="H154" s="231">
        <v>2</v>
      </c>
      <c r="I154" s="231">
        <v>8</v>
      </c>
      <c r="J154" s="231">
        <v>0</v>
      </c>
      <c r="K154" s="230" t="s">
        <v>735</v>
      </c>
      <c r="L154" s="231">
        <v>2005</v>
      </c>
      <c r="M154" s="231" t="s">
        <v>1822</v>
      </c>
      <c r="N154" s="232" t="s">
        <v>2056</v>
      </c>
    </row>
    <row r="155" spans="1:14" x14ac:dyDescent="0.3">
      <c r="A155" s="237">
        <v>153</v>
      </c>
      <c r="B155" s="227" t="s">
        <v>300</v>
      </c>
      <c r="C155" s="228" t="s">
        <v>2411</v>
      </c>
      <c r="D155" s="228">
        <v>8.9</v>
      </c>
      <c r="E155" s="262">
        <v>8.9</v>
      </c>
      <c r="F155" s="228">
        <v>8.5</v>
      </c>
      <c r="G155" s="228">
        <v>0.86</v>
      </c>
      <c r="H155" s="228">
        <v>1</v>
      </c>
      <c r="I155" s="228">
        <v>6</v>
      </c>
      <c r="J155" s="228">
        <v>1</v>
      </c>
      <c r="K155" s="227" t="s">
        <v>735</v>
      </c>
      <c r="L155" s="228">
        <v>2002</v>
      </c>
      <c r="M155" s="228" t="s">
        <v>1818</v>
      </c>
      <c r="N155" s="229" t="s">
        <v>2416</v>
      </c>
    </row>
    <row r="156" spans="1:14" x14ac:dyDescent="0.3">
      <c r="A156" s="237">
        <v>154</v>
      </c>
      <c r="B156" s="230" t="s">
        <v>300</v>
      </c>
      <c r="C156" s="231" t="s">
        <v>855</v>
      </c>
      <c r="D156" s="231">
        <v>8.86</v>
      </c>
      <c r="E156" s="267">
        <v>8.85</v>
      </c>
      <c r="F156" s="231">
        <v>8.5</v>
      </c>
      <c r="G156" s="231">
        <v>0.95</v>
      </c>
      <c r="H156" s="231">
        <v>1</v>
      </c>
      <c r="I156" s="231">
        <v>7</v>
      </c>
      <c r="J156" s="231">
        <v>0</v>
      </c>
      <c r="K156" s="230" t="s">
        <v>735</v>
      </c>
      <c r="L156" s="231">
        <v>1999</v>
      </c>
      <c r="M156" s="231" t="s">
        <v>1839</v>
      </c>
      <c r="N156" s="232" t="s">
        <v>2059</v>
      </c>
    </row>
    <row r="157" spans="1:14" x14ac:dyDescent="0.3">
      <c r="A157" s="237">
        <v>155</v>
      </c>
      <c r="B157" s="227" t="s">
        <v>300</v>
      </c>
      <c r="C157" s="228" t="s">
        <v>473</v>
      </c>
      <c r="D157" s="228">
        <v>8.81</v>
      </c>
      <c r="E157" s="381">
        <v>8.73</v>
      </c>
      <c r="F157" s="228">
        <v>8.75</v>
      </c>
      <c r="G157" s="228">
        <v>0.79</v>
      </c>
      <c r="H157" s="228">
        <v>1</v>
      </c>
      <c r="I157" s="228">
        <v>8</v>
      </c>
      <c r="J157" s="228">
        <v>0</v>
      </c>
      <c r="K157" s="227" t="s">
        <v>735</v>
      </c>
      <c r="L157" s="228">
        <v>2003</v>
      </c>
      <c r="M157" s="228" t="s">
        <v>1842</v>
      </c>
      <c r="N157" s="229" t="s">
        <v>2076</v>
      </c>
    </row>
    <row r="158" spans="1:14" x14ac:dyDescent="0.3">
      <c r="A158" s="237">
        <v>156</v>
      </c>
      <c r="B158" s="230" t="s">
        <v>300</v>
      </c>
      <c r="C158" s="231" t="s">
        <v>2211</v>
      </c>
      <c r="D158" s="231">
        <v>8.64</v>
      </c>
      <c r="E158" s="292">
        <v>8.5500000000000007</v>
      </c>
      <c r="F158" s="231">
        <v>8.5</v>
      </c>
      <c r="G158" s="231">
        <v>0.74</v>
      </c>
      <c r="H158" s="231">
        <v>1</v>
      </c>
      <c r="I158" s="231">
        <v>7</v>
      </c>
      <c r="J158" s="231">
        <v>0</v>
      </c>
      <c r="K158" s="230" t="s">
        <v>733</v>
      </c>
      <c r="L158" s="231">
        <v>2008</v>
      </c>
      <c r="M158" s="231" t="s">
        <v>1846</v>
      </c>
      <c r="N158" s="232" t="s">
        <v>2231</v>
      </c>
    </row>
    <row r="159" spans="1:14" x14ac:dyDescent="0.3">
      <c r="A159" s="237">
        <v>157</v>
      </c>
      <c r="B159" s="227" t="s">
        <v>300</v>
      </c>
      <c r="C159" s="228" t="s">
        <v>1900</v>
      </c>
      <c r="D159" s="228">
        <v>8.5</v>
      </c>
      <c r="E159" s="299">
        <v>8.4600000000000009</v>
      </c>
      <c r="F159" s="228">
        <v>8.5</v>
      </c>
      <c r="G159" s="228">
        <v>0.35</v>
      </c>
      <c r="H159" s="228">
        <v>0</v>
      </c>
      <c r="I159" s="228">
        <v>8</v>
      </c>
      <c r="J159" s="228">
        <v>0</v>
      </c>
      <c r="K159" s="227" t="s">
        <v>733</v>
      </c>
      <c r="L159" s="228">
        <v>2024</v>
      </c>
      <c r="M159" s="228" t="s">
        <v>1850</v>
      </c>
      <c r="N159" s="229" t="s">
        <v>2022</v>
      </c>
    </row>
    <row r="160" spans="1:14" x14ac:dyDescent="0.3">
      <c r="A160" s="237">
        <v>158</v>
      </c>
      <c r="B160" s="230" t="s">
        <v>300</v>
      </c>
      <c r="C160" s="231" t="s">
        <v>1622</v>
      </c>
      <c r="D160" s="231">
        <v>8.4</v>
      </c>
      <c r="E160" s="309">
        <v>8.25</v>
      </c>
      <c r="F160" s="231">
        <v>8</v>
      </c>
      <c r="G160" s="231">
        <v>0.86</v>
      </c>
      <c r="H160" s="231">
        <v>1</v>
      </c>
      <c r="I160" s="231">
        <v>5</v>
      </c>
      <c r="J160" s="231">
        <v>0</v>
      </c>
      <c r="K160" s="230" t="s">
        <v>733</v>
      </c>
      <c r="L160" s="231">
        <v>1996</v>
      </c>
      <c r="M160" s="231" t="s">
        <v>1831</v>
      </c>
      <c r="N160" s="232" t="s">
        <v>2030</v>
      </c>
    </row>
    <row r="161" spans="1:14" x14ac:dyDescent="0.3">
      <c r="A161" s="237">
        <v>159</v>
      </c>
      <c r="B161" s="227" t="s">
        <v>300</v>
      </c>
      <c r="C161" s="228" t="s">
        <v>1739</v>
      </c>
      <c r="D161" s="228">
        <v>8.2899999999999991</v>
      </c>
      <c r="E161" s="308">
        <v>8.27</v>
      </c>
      <c r="F161" s="228">
        <v>8.5</v>
      </c>
      <c r="G161" s="228">
        <v>0.45</v>
      </c>
      <c r="H161" s="228">
        <v>0</v>
      </c>
      <c r="I161" s="228">
        <v>9</v>
      </c>
      <c r="J161" s="228">
        <v>2</v>
      </c>
      <c r="K161" s="227" t="s">
        <v>735</v>
      </c>
      <c r="L161" s="228">
        <v>1998</v>
      </c>
      <c r="M161" s="228" t="s">
        <v>1839</v>
      </c>
      <c r="N161" s="229" t="s">
        <v>2025</v>
      </c>
    </row>
    <row r="162" spans="1:14" x14ac:dyDescent="0.3">
      <c r="A162" s="237">
        <v>160</v>
      </c>
      <c r="B162" s="230" t="s">
        <v>300</v>
      </c>
      <c r="C162" s="231" t="s">
        <v>1675</v>
      </c>
      <c r="D162" s="231">
        <v>8.25</v>
      </c>
      <c r="E162" s="316">
        <v>8.1300000000000008</v>
      </c>
      <c r="F162" s="231">
        <v>8.25</v>
      </c>
      <c r="G162" s="231">
        <v>0.97</v>
      </c>
      <c r="H162" s="231">
        <v>0</v>
      </c>
      <c r="I162" s="231">
        <v>8</v>
      </c>
      <c r="J162" s="231">
        <v>0</v>
      </c>
      <c r="K162" s="230" t="s">
        <v>1024</v>
      </c>
      <c r="L162" s="231">
        <v>2014</v>
      </c>
      <c r="M162" s="231" t="s">
        <v>1846</v>
      </c>
      <c r="N162" s="232" t="s">
        <v>2028</v>
      </c>
    </row>
    <row r="163" spans="1:14" x14ac:dyDescent="0.3">
      <c r="A163" s="237">
        <v>161</v>
      </c>
      <c r="B163" s="227" t="s">
        <v>300</v>
      </c>
      <c r="C163" s="228" t="s">
        <v>2347</v>
      </c>
      <c r="D163" s="228">
        <v>8.11</v>
      </c>
      <c r="E163" s="319">
        <v>8.0299999999999994</v>
      </c>
      <c r="F163" s="228">
        <v>8</v>
      </c>
      <c r="G163" s="228">
        <v>0.46</v>
      </c>
      <c r="H163" s="228">
        <v>0</v>
      </c>
      <c r="I163" s="228">
        <v>11</v>
      </c>
      <c r="J163" s="228">
        <v>2</v>
      </c>
      <c r="K163" s="227" t="s">
        <v>1024</v>
      </c>
      <c r="L163" s="228">
        <v>2016</v>
      </c>
      <c r="M163" s="228" t="s">
        <v>1838</v>
      </c>
      <c r="N163" s="229" t="s">
        <v>2376</v>
      </c>
    </row>
    <row r="164" spans="1:14" x14ac:dyDescent="0.3">
      <c r="A164" s="237">
        <v>162</v>
      </c>
      <c r="B164" s="230" t="s">
        <v>300</v>
      </c>
      <c r="C164" s="231" t="s">
        <v>3297</v>
      </c>
      <c r="D164" s="231">
        <v>8</v>
      </c>
      <c r="E164" s="323">
        <v>7.94</v>
      </c>
      <c r="F164" s="231">
        <v>8</v>
      </c>
      <c r="G164" s="231">
        <v>0.5</v>
      </c>
      <c r="H164" s="231">
        <v>0</v>
      </c>
      <c r="I164" s="231">
        <v>7</v>
      </c>
      <c r="J164" s="231">
        <v>1</v>
      </c>
      <c r="K164" s="230" t="s">
        <v>3299</v>
      </c>
      <c r="L164" s="231">
        <v>1995</v>
      </c>
      <c r="M164" s="231" t="s">
        <v>1844</v>
      </c>
      <c r="N164" s="232" t="s">
        <v>3300</v>
      </c>
    </row>
    <row r="165" spans="1:14" x14ac:dyDescent="0.3">
      <c r="A165" s="237">
        <v>163</v>
      </c>
      <c r="B165" s="227" t="s">
        <v>300</v>
      </c>
      <c r="C165" s="228" t="s">
        <v>3106</v>
      </c>
      <c r="D165" s="228">
        <v>7.95</v>
      </c>
      <c r="E165" s="364">
        <v>7.89</v>
      </c>
      <c r="F165" s="228">
        <v>8</v>
      </c>
      <c r="G165" s="228">
        <v>0.56999999999999995</v>
      </c>
      <c r="H165" s="228">
        <v>0</v>
      </c>
      <c r="I165" s="228">
        <v>10</v>
      </c>
      <c r="J165" s="228">
        <v>0</v>
      </c>
      <c r="K165" s="227" t="s">
        <v>1024</v>
      </c>
      <c r="L165" s="228">
        <v>2019</v>
      </c>
      <c r="M165" s="228" t="s">
        <v>1832</v>
      </c>
      <c r="N165" s="229" t="s">
        <v>3108</v>
      </c>
    </row>
    <row r="166" spans="1:14" x14ac:dyDescent="0.3">
      <c r="A166" s="237">
        <v>164</v>
      </c>
      <c r="B166" s="230" t="s">
        <v>300</v>
      </c>
      <c r="C166" s="231" t="s">
        <v>3708</v>
      </c>
      <c r="D166" s="231">
        <v>7.75</v>
      </c>
      <c r="E166" s="327">
        <v>7.66</v>
      </c>
      <c r="F166" s="231">
        <v>7.75</v>
      </c>
      <c r="G166" s="231">
        <v>0.75</v>
      </c>
      <c r="H166" s="231">
        <v>0</v>
      </c>
      <c r="I166" s="231">
        <v>10</v>
      </c>
      <c r="J166" s="231">
        <v>0</v>
      </c>
      <c r="K166" s="230" t="s">
        <v>1024</v>
      </c>
      <c r="L166" s="231">
        <v>2011</v>
      </c>
      <c r="M166" s="231" t="s">
        <v>1836</v>
      </c>
      <c r="N166" s="232" t="s">
        <v>3707</v>
      </c>
    </row>
    <row r="167" spans="1:14" x14ac:dyDescent="0.3">
      <c r="A167" s="237">
        <v>165</v>
      </c>
      <c r="B167" s="227" t="s">
        <v>1416</v>
      </c>
      <c r="C167" s="228" t="s">
        <v>1417</v>
      </c>
      <c r="D167" s="228">
        <v>8.93</v>
      </c>
      <c r="E167" s="264">
        <v>8.8800000000000008</v>
      </c>
      <c r="F167" s="228">
        <v>9</v>
      </c>
      <c r="G167" s="228">
        <v>0.73</v>
      </c>
      <c r="H167" s="228">
        <v>1</v>
      </c>
      <c r="I167" s="228">
        <v>7</v>
      </c>
      <c r="J167" s="228">
        <v>0</v>
      </c>
      <c r="K167" s="227" t="s">
        <v>1420</v>
      </c>
      <c r="L167" s="228">
        <v>2000</v>
      </c>
      <c r="M167" s="228" t="s">
        <v>1823</v>
      </c>
      <c r="N167" s="229" t="s">
        <v>2039</v>
      </c>
    </row>
    <row r="168" spans="1:14" x14ac:dyDescent="0.3">
      <c r="A168" s="237">
        <v>166</v>
      </c>
      <c r="B168" s="230" t="s">
        <v>3801</v>
      </c>
      <c r="C168" s="231" t="s">
        <v>3795</v>
      </c>
      <c r="D168" s="231">
        <v>8.5</v>
      </c>
      <c r="E168" s="301">
        <v>8.43</v>
      </c>
      <c r="F168" s="231">
        <v>8.5</v>
      </c>
      <c r="G168" s="231">
        <v>0.53</v>
      </c>
      <c r="H168" s="231">
        <v>0</v>
      </c>
      <c r="I168" s="231">
        <v>10</v>
      </c>
      <c r="J168" s="231">
        <v>1</v>
      </c>
      <c r="K168" s="230" t="s">
        <v>3805</v>
      </c>
      <c r="L168" s="231">
        <v>2021</v>
      </c>
      <c r="M168" s="231" t="s">
        <v>1818</v>
      </c>
      <c r="N168" s="232" t="s">
        <v>3790</v>
      </c>
    </row>
    <row r="169" spans="1:14" x14ac:dyDescent="0.3">
      <c r="A169" s="237">
        <v>167</v>
      </c>
      <c r="B169" s="227" t="s">
        <v>2447</v>
      </c>
      <c r="C169" s="228" t="s">
        <v>2448</v>
      </c>
      <c r="D169" s="228">
        <v>8.86</v>
      </c>
      <c r="E169" s="264">
        <v>8.8800000000000008</v>
      </c>
      <c r="F169" s="228">
        <v>8.5</v>
      </c>
      <c r="G169" s="228">
        <v>0.93</v>
      </c>
      <c r="H169" s="228">
        <v>3</v>
      </c>
      <c r="I169" s="228">
        <v>11</v>
      </c>
      <c r="J169" s="228">
        <v>0</v>
      </c>
      <c r="K169" s="227" t="s">
        <v>2450</v>
      </c>
      <c r="L169" s="228">
        <v>1991</v>
      </c>
      <c r="M169" s="228" t="s">
        <v>1813</v>
      </c>
      <c r="N169" s="229" t="s">
        <v>2451</v>
      </c>
    </row>
    <row r="170" spans="1:14" x14ac:dyDescent="0.3">
      <c r="A170" s="237">
        <v>168</v>
      </c>
      <c r="B170" s="230" t="s">
        <v>298</v>
      </c>
      <c r="C170" s="231" t="s">
        <v>982</v>
      </c>
      <c r="D170" s="231">
        <v>10</v>
      </c>
      <c r="E170" s="234">
        <v>10.39</v>
      </c>
      <c r="F170" s="231">
        <v>10</v>
      </c>
      <c r="G170" s="231">
        <v>0.55000000000000004</v>
      </c>
      <c r="H170" s="231">
        <v>4</v>
      </c>
      <c r="I170" s="231">
        <v>5</v>
      </c>
      <c r="J170" s="231">
        <v>0</v>
      </c>
      <c r="K170" s="230" t="s">
        <v>714</v>
      </c>
      <c r="L170" s="231">
        <v>1975</v>
      </c>
      <c r="M170" s="231" t="s">
        <v>1805</v>
      </c>
      <c r="N170" s="232" t="s">
        <v>2053</v>
      </c>
    </row>
    <row r="171" spans="1:14" x14ac:dyDescent="0.3">
      <c r="A171" s="237">
        <v>169</v>
      </c>
      <c r="B171" s="227" t="s">
        <v>298</v>
      </c>
      <c r="C171" s="228" t="s">
        <v>299</v>
      </c>
      <c r="D171" s="228">
        <v>9.61</v>
      </c>
      <c r="E171" s="234">
        <v>10</v>
      </c>
      <c r="F171" s="228">
        <v>10</v>
      </c>
      <c r="G171" s="228">
        <v>0.91</v>
      </c>
      <c r="H171" s="228">
        <v>6</v>
      </c>
      <c r="I171" s="228">
        <v>10</v>
      </c>
      <c r="J171" s="228">
        <v>1</v>
      </c>
      <c r="K171" s="227" t="s">
        <v>715</v>
      </c>
      <c r="L171" s="228">
        <v>1973</v>
      </c>
      <c r="M171" s="228" t="s">
        <v>1806</v>
      </c>
      <c r="N171" s="229" t="s">
        <v>2083</v>
      </c>
    </row>
    <row r="172" spans="1:14" x14ac:dyDescent="0.3">
      <c r="A172" s="237">
        <v>170</v>
      </c>
      <c r="B172" s="230" t="s">
        <v>298</v>
      </c>
      <c r="C172" s="231" t="s">
        <v>727</v>
      </c>
      <c r="D172" s="231">
        <v>9.4</v>
      </c>
      <c r="E172" s="240">
        <v>9.5500000000000007</v>
      </c>
      <c r="F172" s="231">
        <v>9.5</v>
      </c>
      <c r="G172" s="231">
        <v>0.8</v>
      </c>
      <c r="H172" s="231">
        <v>2</v>
      </c>
      <c r="I172" s="231">
        <v>5</v>
      </c>
      <c r="J172" s="231">
        <v>0</v>
      </c>
      <c r="K172" s="230" t="s">
        <v>715</v>
      </c>
      <c r="L172" s="231">
        <v>1977</v>
      </c>
      <c r="M172" s="231" t="s">
        <v>1811</v>
      </c>
      <c r="N172" s="232" t="s">
        <v>2064</v>
      </c>
    </row>
    <row r="173" spans="1:14" x14ac:dyDescent="0.3">
      <c r="A173" s="237">
        <v>171</v>
      </c>
      <c r="B173" s="227" t="s">
        <v>298</v>
      </c>
      <c r="C173" s="228" t="s">
        <v>1718</v>
      </c>
      <c r="D173" s="228">
        <v>8.92</v>
      </c>
      <c r="E173" s="257">
        <v>8.9700000000000006</v>
      </c>
      <c r="F173" s="228">
        <v>8.75</v>
      </c>
      <c r="G173" s="228">
        <v>0.79</v>
      </c>
      <c r="H173" s="228">
        <v>1</v>
      </c>
      <c r="I173" s="228">
        <v>6</v>
      </c>
      <c r="J173" s="228">
        <v>0</v>
      </c>
      <c r="K173" s="227" t="s">
        <v>1024</v>
      </c>
      <c r="L173" s="228">
        <v>1971</v>
      </c>
      <c r="M173" s="228" t="s">
        <v>1824</v>
      </c>
      <c r="N173" s="229" t="s">
        <v>2026</v>
      </c>
    </row>
    <row r="174" spans="1:14" x14ac:dyDescent="0.3">
      <c r="A174" s="237">
        <v>172</v>
      </c>
      <c r="B174" s="230" t="s">
        <v>298</v>
      </c>
      <c r="C174" s="231" t="s">
        <v>2849</v>
      </c>
      <c r="D174" s="231">
        <v>8.8000000000000007</v>
      </c>
      <c r="E174" s="257">
        <v>8.9700000000000006</v>
      </c>
      <c r="F174" s="231">
        <v>8.5</v>
      </c>
      <c r="G174" s="231">
        <v>0.73</v>
      </c>
      <c r="H174" s="231">
        <v>3</v>
      </c>
      <c r="I174" s="231">
        <v>26</v>
      </c>
      <c r="J174" s="231">
        <v>4</v>
      </c>
      <c r="K174" s="230" t="s">
        <v>2854</v>
      </c>
      <c r="L174" s="231">
        <v>1979</v>
      </c>
      <c r="M174" s="231" t="s">
        <v>2855</v>
      </c>
      <c r="N174" s="232" t="s">
        <v>2821</v>
      </c>
    </row>
    <row r="175" spans="1:14" x14ac:dyDescent="0.3">
      <c r="A175" s="237">
        <v>173</v>
      </c>
      <c r="B175" s="227" t="s">
        <v>441</v>
      </c>
      <c r="C175" s="228" t="s">
        <v>459</v>
      </c>
      <c r="D175" s="228">
        <v>9.17</v>
      </c>
      <c r="E175" s="247">
        <v>9.23</v>
      </c>
      <c r="F175" s="228">
        <v>9</v>
      </c>
      <c r="G175" s="228">
        <v>0.69</v>
      </c>
      <c r="H175" s="228">
        <v>1</v>
      </c>
      <c r="I175" s="228">
        <v>6</v>
      </c>
      <c r="J175" s="228">
        <v>0</v>
      </c>
      <c r="K175" s="227" t="s">
        <v>716</v>
      </c>
      <c r="L175" s="228">
        <v>2007</v>
      </c>
      <c r="M175" s="228" t="s">
        <v>1817</v>
      </c>
      <c r="N175" s="229" t="s">
        <v>2076</v>
      </c>
    </row>
    <row r="176" spans="1:14" x14ac:dyDescent="0.3">
      <c r="A176" s="237">
        <v>174</v>
      </c>
      <c r="B176" s="230" t="s">
        <v>441</v>
      </c>
      <c r="C176" s="231" t="s">
        <v>609</v>
      </c>
      <c r="D176" s="231">
        <v>8.94</v>
      </c>
      <c r="E176" s="253">
        <v>9.0399999999999991</v>
      </c>
      <c r="F176" s="231">
        <v>9</v>
      </c>
      <c r="G176" s="231">
        <v>0.86</v>
      </c>
      <c r="H176" s="231">
        <v>2</v>
      </c>
      <c r="I176" s="231">
        <v>9</v>
      </c>
      <c r="J176" s="231">
        <v>0</v>
      </c>
      <c r="K176" s="230" t="s">
        <v>716</v>
      </c>
      <c r="L176" s="231">
        <v>2005</v>
      </c>
      <c r="M176" s="231" t="s">
        <v>1821</v>
      </c>
      <c r="N176" s="232" t="s">
        <v>2071</v>
      </c>
    </row>
    <row r="177" spans="1:14" x14ac:dyDescent="0.3">
      <c r="A177" s="237">
        <v>175</v>
      </c>
      <c r="B177" s="227" t="s">
        <v>441</v>
      </c>
      <c r="C177" s="228" t="s">
        <v>442</v>
      </c>
      <c r="D177" s="228">
        <v>8.7899999999999991</v>
      </c>
      <c r="E177" s="270">
        <v>8.81</v>
      </c>
      <c r="F177" s="228">
        <v>8.5</v>
      </c>
      <c r="G177" s="228">
        <v>0.99</v>
      </c>
      <c r="H177" s="228">
        <v>3</v>
      </c>
      <c r="I177" s="228">
        <v>12</v>
      </c>
      <c r="J177" s="228">
        <v>0</v>
      </c>
      <c r="K177" s="227" t="s">
        <v>716</v>
      </c>
      <c r="L177" s="228">
        <v>2002</v>
      </c>
      <c r="M177" s="228" t="s">
        <v>1832</v>
      </c>
      <c r="N177" s="229" t="s">
        <v>2077</v>
      </c>
    </row>
    <row r="178" spans="1:14" x14ac:dyDescent="0.3">
      <c r="A178" s="237">
        <v>176</v>
      </c>
      <c r="B178" s="230" t="s">
        <v>441</v>
      </c>
      <c r="C178" s="231" t="s">
        <v>2395</v>
      </c>
      <c r="D178" s="231">
        <v>8.75</v>
      </c>
      <c r="E178" s="272">
        <v>8.7799999999999994</v>
      </c>
      <c r="F178" s="231">
        <v>8.5</v>
      </c>
      <c r="G178" s="231">
        <v>0.68</v>
      </c>
      <c r="H178" s="231">
        <v>1</v>
      </c>
      <c r="I178" s="231">
        <v>10</v>
      </c>
      <c r="J178" s="231">
        <v>0</v>
      </c>
      <c r="K178" s="230" t="s">
        <v>2406</v>
      </c>
      <c r="L178" s="231">
        <v>2000</v>
      </c>
      <c r="M178" s="231" t="s">
        <v>1838</v>
      </c>
      <c r="N178" s="232" t="s">
        <v>2393</v>
      </c>
    </row>
    <row r="179" spans="1:14" x14ac:dyDescent="0.3">
      <c r="A179" s="237">
        <v>177</v>
      </c>
      <c r="B179" s="227" t="s">
        <v>1663</v>
      </c>
      <c r="C179" s="228" t="s">
        <v>1664</v>
      </c>
      <c r="D179" s="228">
        <v>8.91</v>
      </c>
      <c r="E179" s="264">
        <v>8.8800000000000008</v>
      </c>
      <c r="F179" s="228">
        <v>9</v>
      </c>
      <c r="G179" s="228">
        <v>0.67</v>
      </c>
      <c r="H179" s="228">
        <v>2</v>
      </c>
      <c r="I179" s="228">
        <v>11</v>
      </c>
      <c r="J179" s="228">
        <v>0</v>
      </c>
      <c r="K179" s="227" t="s">
        <v>1039</v>
      </c>
      <c r="L179" s="228">
        <v>1994</v>
      </c>
      <c r="M179" s="228" t="s">
        <v>1828</v>
      </c>
      <c r="N179" s="229" t="s">
        <v>2028</v>
      </c>
    </row>
    <row r="180" spans="1:14" x14ac:dyDescent="0.3">
      <c r="A180" s="237">
        <v>178</v>
      </c>
      <c r="B180" s="230" t="s">
        <v>1663</v>
      </c>
      <c r="C180" s="231" t="s">
        <v>2660</v>
      </c>
      <c r="D180" s="231">
        <v>8.5</v>
      </c>
      <c r="E180" s="298">
        <v>8.4700000000000006</v>
      </c>
      <c r="F180" s="231">
        <v>8</v>
      </c>
      <c r="G180" s="231">
        <v>0.8</v>
      </c>
      <c r="H180" s="231">
        <v>1</v>
      </c>
      <c r="I180" s="231">
        <v>11</v>
      </c>
      <c r="J180" s="231">
        <v>0</v>
      </c>
      <c r="K180" s="230" t="s">
        <v>900</v>
      </c>
      <c r="L180" s="231">
        <v>2008</v>
      </c>
      <c r="M180" s="231" t="s">
        <v>1828</v>
      </c>
      <c r="N180" s="232" t="s">
        <v>2662</v>
      </c>
    </row>
    <row r="181" spans="1:14" x14ac:dyDescent="0.3">
      <c r="A181" s="237">
        <v>179</v>
      </c>
      <c r="B181" s="227" t="s">
        <v>1264</v>
      </c>
      <c r="C181" s="228" t="s">
        <v>1265</v>
      </c>
      <c r="D181" s="228">
        <v>8.77</v>
      </c>
      <c r="E181" s="283">
        <v>8.65</v>
      </c>
      <c r="F181" s="228">
        <v>8.5</v>
      </c>
      <c r="G181" s="228">
        <v>0.75</v>
      </c>
      <c r="H181" s="228">
        <v>2</v>
      </c>
      <c r="I181" s="228">
        <v>14</v>
      </c>
      <c r="J181" s="228">
        <v>1</v>
      </c>
      <c r="K181" s="227" t="s">
        <v>1268</v>
      </c>
      <c r="L181" s="228">
        <v>2002</v>
      </c>
      <c r="M181" s="228" t="s">
        <v>1820</v>
      </c>
      <c r="N181" s="229" t="s">
        <v>2047</v>
      </c>
    </row>
    <row r="182" spans="1:14" x14ac:dyDescent="0.3">
      <c r="A182" s="237">
        <v>180</v>
      </c>
      <c r="B182" s="230" t="s">
        <v>293</v>
      </c>
      <c r="C182" s="231" t="s">
        <v>294</v>
      </c>
      <c r="D182" s="231">
        <v>9.6999999999999993</v>
      </c>
      <c r="E182" s="234">
        <v>10.37</v>
      </c>
      <c r="F182" s="231">
        <v>10</v>
      </c>
      <c r="G182" s="231">
        <v>0.87</v>
      </c>
      <c r="H182" s="231">
        <v>6</v>
      </c>
      <c r="I182" s="231">
        <v>10</v>
      </c>
      <c r="J182" s="231">
        <v>0</v>
      </c>
      <c r="K182" s="230" t="s">
        <v>713</v>
      </c>
      <c r="L182" s="231">
        <v>2007</v>
      </c>
      <c r="M182" s="231" t="s">
        <v>1806</v>
      </c>
      <c r="N182" s="232" t="s">
        <v>2036</v>
      </c>
    </row>
    <row r="183" spans="1:14" x14ac:dyDescent="0.3">
      <c r="A183" s="237">
        <v>181</v>
      </c>
      <c r="B183" s="227" t="s">
        <v>293</v>
      </c>
      <c r="C183" s="228" t="s">
        <v>295</v>
      </c>
      <c r="D183" s="228">
        <v>9.68</v>
      </c>
      <c r="E183" s="234">
        <v>10.07</v>
      </c>
      <c r="F183" s="228">
        <v>10</v>
      </c>
      <c r="G183" s="228">
        <v>0.61</v>
      </c>
      <c r="H183" s="228">
        <v>6</v>
      </c>
      <c r="I183" s="228">
        <v>12</v>
      </c>
      <c r="J183" s="228">
        <v>1</v>
      </c>
      <c r="K183" s="227" t="s">
        <v>713</v>
      </c>
      <c r="L183" s="228">
        <v>1997</v>
      </c>
      <c r="M183" s="228" t="s">
        <v>1809</v>
      </c>
      <c r="N183" s="229" t="s">
        <v>2067</v>
      </c>
    </row>
    <row r="184" spans="1:14" x14ac:dyDescent="0.3">
      <c r="A184" s="237">
        <v>182</v>
      </c>
      <c r="B184" s="230" t="s">
        <v>293</v>
      </c>
      <c r="C184" s="231" t="s">
        <v>251</v>
      </c>
      <c r="D184" s="231">
        <v>9.15</v>
      </c>
      <c r="E184" s="244">
        <v>9.3699999999999992</v>
      </c>
      <c r="F184" s="231">
        <v>9</v>
      </c>
      <c r="G184" s="231">
        <v>1</v>
      </c>
      <c r="H184" s="231">
        <v>4</v>
      </c>
      <c r="I184" s="231">
        <v>11</v>
      </c>
      <c r="J184" s="231">
        <v>1</v>
      </c>
      <c r="K184" s="230" t="s">
        <v>814</v>
      </c>
      <c r="L184" s="231">
        <v>2000</v>
      </c>
      <c r="M184" s="231" t="s">
        <v>1814</v>
      </c>
      <c r="N184" s="232" t="s">
        <v>2078</v>
      </c>
    </row>
    <row r="185" spans="1:14" x14ac:dyDescent="0.3">
      <c r="A185" s="237">
        <v>183</v>
      </c>
      <c r="B185" s="227" t="s">
        <v>293</v>
      </c>
      <c r="C185" s="228" t="s">
        <v>393</v>
      </c>
      <c r="D185" s="228">
        <v>9.0399999999999991</v>
      </c>
      <c r="E185" s="250">
        <v>9.14</v>
      </c>
      <c r="F185" s="228">
        <v>9</v>
      </c>
      <c r="G185" s="228">
        <v>0.78</v>
      </c>
      <c r="H185" s="228">
        <v>3</v>
      </c>
      <c r="I185" s="228">
        <v>12</v>
      </c>
      <c r="J185" s="228">
        <v>0</v>
      </c>
      <c r="K185" s="227" t="s">
        <v>732</v>
      </c>
      <c r="L185" s="228">
        <v>1995</v>
      </c>
      <c r="M185" s="228" t="s">
        <v>1823</v>
      </c>
      <c r="N185" s="229" t="s">
        <v>2077</v>
      </c>
    </row>
    <row r="186" spans="1:14" x14ac:dyDescent="0.3">
      <c r="A186" s="237">
        <v>184</v>
      </c>
      <c r="B186" s="230" t="s">
        <v>293</v>
      </c>
      <c r="C186" s="231" t="s">
        <v>518</v>
      </c>
      <c r="D186" s="231">
        <v>8.77</v>
      </c>
      <c r="E186" s="275">
        <v>8.75</v>
      </c>
      <c r="F186" s="231">
        <v>9</v>
      </c>
      <c r="G186" s="231">
        <v>0.72</v>
      </c>
      <c r="H186" s="231">
        <v>1</v>
      </c>
      <c r="I186" s="231">
        <v>11</v>
      </c>
      <c r="J186" s="231">
        <v>0</v>
      </c>
      <c r="K186" s="230" t="s">
        <v>713</v>
      </c>
      <c r="L186" s="231">
        <v>2016</v>
      </c>
      <c r="M186" s="231" t="s">
        <v>1833</v>
      </c>
      <c r="N186" s="232" t="s">
        <v>2075</v>
      </c>
    </row>
    <row r="187" spans="1:14" x14ac:dyDescent="0.3">
      <c r="A187" s="237">
        <v>185</v>
      </c>
      <c r="B187" s="227" t="s">
        <v>293</v>
      </c>
      <c r="C187" s="228" t="s">
        <v>813</v>
      </c>
      <c r="D187" s="228">
        <v>8.5</v>
      </c>
      <c r="E187" s="291">
        <v>8.56</v>
      </c>
      <c r="F187" s="228">
        <v>8.5</v>
      </c>
      <c r="G187" s="228">
        <v>0.96</v>
      </c>
      <c r="H187" s="228">
        <v>2</v>
      </c>
      <c r="I187" s="228">
        <v>14</v>
      </c>
      <c r="J187" s="228">
        <v>1</v>
      </c>
      <c r="K187" s="227" t="s">
        <v>713</v>
      </c>
      <c r="L187" s="228">
        <v>2003</v>
      </c>
      <c r="M187" s="228" t="s">
        <v>1838</v>
      </c>
      <c r="N187" s="229" t="s">
        <v>2061</v>
      </c>
    </row>
    <row r="188" spans="1:14" x14ac:dyDescent="0.3">
      <c r="A188" s="237">
        <v>186</v>
      </c>
      <c r="B188" s="230" t="s">
        <v>293</v>
      </c>
      <c r="C188" s="231" t="s">
        <v>573</v>
      </c>
      <c r="D188" s="231">
        <v>8.0500000000000007</v>
      </c>
      <c r="E188" s="317">
        <v>8.11</v>
      </c>
      <c r="F188" s="231">
        <v>8.25</v>
      </c>
      <c r="G188" s="231">
        <v>1.19</v>
      </c>
      <c r="H188" s="231">
        <v>1</v>
      </c>
      <c r="I188" s="231">
        <v>11</v>
      </c>
      <c r="J188" s="231">
        <v>1</v>
      </c>
      <c r="K188" s="230" t="s">
        <v>713</v>
      </c>
      <c r="L188" s="231">
        <v>2001</v>
      </c>
      <c r="M188" s="231" t="s">
        <v>1842</v>
      </c>
      <c r="N188" s="232" t="s">
        <v>2073</v>
      </c>
    </row>
    <row r="189" spans="1:14" x14ac:dyDescent="0.3">
      <c r="A189" s="237">
        <v>187</v>
      </c>
      <c r="B189" s="227" t="s">
        <v>293</v>
      </c>
      <c r="C189" s="228" t="s">
        <v>899</v>
      </c>
      <c r="D189" s="228">
        <v>7.88</v>
      </c>
      <c r="E189" s="325">
        <v>7.74</v>
      </c>
      <c r="F189" s="228">
        <v>7.75</v>
      </c>
      <c r="G189" s="228">
        <v>0.86</v>
      </c>
      <c r="H189" s="228">
        <v>0</v>
      </c>
      <c r="I189" s="228">
        <v>8</v>
      </c>
      <c r="J189" s="228">
        <v>0</v>
      </c>
      <c r="K189" s="227" t="s">
        <v>900</v>
      </c>
      <c r="L189" s="228">
        <v>2011</v>
      </c>
      <c r="M189" s="228" t="s">
        <v>1840</v>
      </c>
      <c r="N189" s="229" t="s">
        <v>2058</v>
      </c>
    </row>
    <row r="190" spans="1:14" x14ac:dyDescent="0.3">
      <c r="A190" s="237">
        <v>188</v>
      </c>
      <c r="B190" s="230" t="s">
        <v>293</v>
      </c>
      <c r="C190" s="231" t="s">
        <v>937</v>
      </c>
      <c r="D190" s="231">
        <v>7.5</v>
      </c>
      <c r="E190" s="330">
        <v>7.4</v>
      </c>
      <c r="F190" s="231">
        <v>7.5</v>
      </c>
      <c r="G190" s="231">
        <v>0.76</v>
      </c>
      <c r="H190" s="231">
        <v>0</v>
      </c>
      <c r="I190" s="231">
        <v>12</v>
      </c>
      <c r="J190" s="231">
        <v>0</v>
      </c>
      <c r="K190" s="230" t="s">
        <v>732</v>
      </c>
      <c r="L190" s="231">
        <v>1993</v>
      </c>
      <c r="M190" s="231" t="s">
        <v>1806</v>
      </c>
      <c r="N190" s="232" t="s">
        <v>2056</v>
      </c>
    </row>
    <row r="191" spans="1:14" x14ac:dyDescent="0.3">
      <c r="A191" s="237">
        <v>189</v>
      </c>
      <c r="B191" s="227" t="s">
        <v>2949</v>
      </c>
      <c r="C191" s="228" t="s">
        <v>2950</v>
      </c>
      <c r="D191" s="228">
        <v>8.58</v>
      </c>
      <c r="E191" s="296">
        <v>8.5</v>
      </c>
      <c r="F191" s="228">
        <v>8.5</v>
      </c>
      <c r="G191" s="228">
        <v>0.79</v>
      </c>
      <c r="H191" s="228">
        <v>1</v>
      </c>
      <c r="I191" s="228">
        <v>6</v>
      </c>
      <c r="J191" s="228">
        <v>0</v>
      </c>
      <c r="K191" s="227" t="s">
        <v>2952</v>
      </c>
      <c r="L191" s="228">
        <v>1976</v>
      </c>
      <c r="M191" s="228" t="s">
        <v>2489</v>
      </c>
      <c r="N191" s="229" t="s">
        <v>2942</v>
      </c>
    </row>
    <row r="192" spans="1:14" x14ac:dyDescent="0.3">
      <c r="A192" s="237">
        <v>190</v>
      </c>
      <c r="B192" s="230" t="s">
        <v>346</v>
      </c>
      <c r="C192" s="231" t="s">
        <v>339</v>
      </c>
      <c r="D192" s="231">
        <v>8</v>
      </c>
      <c r="E192" s="321">
        <v>7.98</v>
      </c>
      <c r="F192" s="231">
        <v>8.25</v>
      </c>
      <c r="G192" s="231">
        <v>0.56000000000000005</v>
      </c>
      <c r="H192" s="231">
        <v>0</v>
      </c>
      <c r="I192" s="231">
        <v>9</v>
      </c>
      <c r="J192" s="231">
        <v>1</v>
      </c>
      <c r="K192" s="230" t="s">
        <v>716</v>
      </c>
      <c r="L192" s="231">
        <v>2005</v>
      </c>
      <c r="M192" s="231" t="s">
        <v>1837</v>
      </c>
      <c r="N192" s="232" t="s">
        <v>2081</v>
      </c>
    </row>
    <row r="193" spans="1:14" x14ac:dyDescent="0.3">
      <c r="A193" s="237">
        <v>191</v>
      </c>
      <c r="B193" s="227" t="s">
        <v>3831</v>
      </c>
      <c r="C193" s="228" t="s">
        <v>3832</v>
      </c>
      <c r="D193" s="228">
        <v>8.7899999999999991</v>
      </c>
      <c r="E193" s="281">
        <v>8.67</v>
      </c>
      <c r="F193" s="228">
        <v>8.5</v>
      </c>
      <c r="G193" s="228">
        <v>0.7</v>
      </c>
      <c r="H193" s="228">
        <v>1</v>
      </c>
      <c r="I193" s="228">
        <v>7</v>
      </c>
      <c r="J193" s="228">
        <v>0</v>
      </c>
      <c r="K193" s="227" t="s">
        <v>3833</v>
      </c>
      <c r="L193" s="228">
        <v>1981</v>
      </c>
      <c r="M193" s="228" t="s">
        <v>1819</v>
      </c>
      <c r="N193" s="229" t="s">
        <v>3790</v>
      </c>
    </row>
    <row r="194" spans="1:14" x14ac:dyDescent="0.3">
      <c r="A194" s="237">
        <v>192</v>
      </c>
      <c r="B194" s="230" t="s">
        <v>687</v>
      </c>
      <c r="C194" s="231" t="s">
        <v>688</v>
      </c>
      <c r="D194" s="231">
        <v>8.67</v>
      </c>
      <c r="E194" s="289">
        <v>8.58</v>
      </c>
      <c r="F194" s="231">
        <v>8.5</v>
      </c>
      <c r="G194" s="231">
        <v>0.62</v>
      </c>
      <c r="H194" s="231">
        <v>1</v>
      </c>
      <c r="I194" s="231">
        <v>9</v>
      </c>
      <c r="J194" s="231">
        <v>0</v>
      </c>
      <c r="K194" s="230" t="s">
        <v>737</v>
      </c>
      <c r="L194" s="231">
        <v>1992</v>
      </c>
      <c r="M194" s="231" t="s">
        <v>1829</v>
      </c>
      <c r="N194" s="232" t="s">
        <v>2066</v>
      </c>
    </row>
    <row r="195" spans="1:14" x14ac:dyDescent="0.3">
      <c r="A195" s="237">
        <v>193</v>
      </c>
      <c r="B195" s="227" t="s">
        <v>913</v>
      </c>
      <c r="C195" s="228" t="s">
        <v>911</v>
      </c>
      <c r="D195" s="228">
        <v>8.67</v>
      </c>
      <c r="E195" s="291">
        <v>8.56</v>
      </c>
      <c r="F195" s="228">
        <v>8.5</v>
      </c>
      <c r="G195" s="228">
        <v>0.71</v>
      </c>
      <c r="H195" s="228">
        <v>1</v>
      </c>
      <c r="I195" s="228">
        <v>10</v>
      </c>
      <c r="J195" s="228">
        <v>1</v>
      </c>
      <c r="K195" s="227" t="s">
        <v>914</v>
      </c>
      <c r="L195" s="228">
        <v>1999</v>
      </c>
      <c r="M195" s="228" t="s">
        <v>1844</v>
      </c>
      <c r="N195" s="229" t="s">
        <v>2057</v>
      </c>
    </row>
    <row r="196" spans="1:14" x14ac:dyDescent="0.3">
      <c r="A196" s="237">
        <v>194</v>
      </c>
      <c r="B196" s="230" t="s">
        <v>3010</v>
      </c>
      <c r="C196" s="231" t="s">
        <v>3011</v>
      </c>
      <c r="D196" s="231">
        <v>8.4499999999999993</v>
      </c>
      <c r="E196" s="306">
        <v>8.34</v>
      </c>
      <c r="F196" s="231">
        <v>8.25</v>
      </c>
      <c r="G196" s="231">
        <v>0.69</v>
      </c>
      <c r="H196" s="231">
        <v>1</v>
      </c>
      <c r="I196" s="231">
        <v>10</v>
      </c>
      <c r="J196" s="231">
        <v>0</v>
      </c>
      <c r="K196" s="230" t="s">
        <v>734</v>
      </c>
      <c r="L196" s="231">
        <v>1986</v>
      </c>
      <c r="M196" s="231" t="s">
        <v>3012</v>
      </c>
      <c r="N196" s="232" t="s">
        <v>3013</v>
      </c>
    </row>
    <row r="197" spans="1:14" x14ac:dyDescent="0.3">
      <c r="A197" s="237">
        <v>195</v>
      </c>
      <c r="B197" s="227" t="s">
        <v>2800</v>
      </c>
      <c r="C197" s="228" t="s">
        <v>2801</v>
      </c>
      <c r="D197" s="228">
        <v>8.65</v>
      </c>
      <c r="E197" s="291">
        <v>8.56</v>
      </c>
      <c r="F197" s="228">
        <v>8.5</v>
      </c>
      <c r="G197" s="228">
        <v>0.77</v>
      </c>
      <c r="H197" s="228">
        <v>2</v>
      </c>
      <c r="I197" s="228">
        <v>14</v>
      </c>
      <c r="J197" s="228">
        <v>1</v>
      </c>
      <c r="K197" s="227" t="s">
        <v>2802</v>
      </c>
      <c r="L197" s="228">
        <v>2026</v>
      </c>
      <c r="M197" s="228" t="s">
        <v>1806</v>
      </c>
      <c r="N197" s="229" t="s">
        <v>2803</v>
      </c>
    </row>
    <row r="198" spans="1:14" x14ac:dyDescent="0.3">
      <c r="A198" s="237">
        <v>196</v>
      </c>
      <c r="B198" s="230" t="s">
        <v>1694</v>
      </c>
      <c r="C198" s="231" t="s">
        <v>1695</v>
      </c>
      <c r="D198" s="231">
        <v>8.92</v>
      </c>
      <c r="E198" s="268">
        <v>8.83</v>
      </c>
      <c r="F198" s="231">
        <v>8.75</v>
      </c>
      <c r="G198" s="231">
        <v>0.67</v>
      </c>
      <c r="H198" s="231">
        <v>1</v>
      </c>
      <c r="I198" s="231">
        <v>6</v>
      </c>
      <c r="J198" s="231">
        <v>0</v>
      </c>
      <c r="K198" s="230" t="s">
        <v>1696</v>
      </c>
      <c r="L198" s="231">
        <v>1991</v>
      </c>
      <c r="M198" s="231" t="s">
        <v>1835</v>
      </c>
      <c r="N198" s="232" t="s">
        <v>2027</v>
      </c>
    </row>
    <row r="199" spans="1:14" x14ac:dyDescent="0.3">
      <c r="A199" s="237">
        <v>197</v>
      </c>
      <c r="B199" s="227" t="s">
        <v>3626</v>
      </c>
      <c r="C199" s="228" t="s">
        <v>3626</v>
      </c>
      <c r="D199" s="228">
        <v>7.75</v>
      </c>
      <c r="E199" s="327">
        <v>7.66</v>
      </c>
      <c r="F199" s="228">
        <v>7.75</v>
      </c>
      <c r="G199" s="228">
        <v>0.73</v>
      </c>
      <c r="H199" s="228">
        <v>0</v>
      </c>
      <c r="I199" s="228">
        <v>15</v>
      </c>
      <c r="J199" s="228">
        <v>1</v>
      </c>
      <c r="K199" s="227" t="s">
        <v>1055</v>
      </c>
      <c r="L199" s="228">
        <v>1999</v>
      </c>
      <c r="M199" s="228" t="s">
        <v>1850</v>
      </c>
      <c r="N199" s="229" t="s">
        <v>3627</v>
      </c>
    </row>
    <row r="200" spans="1:14" x14ac:dyDescent="0.3">
      <c r="A200" s="237">
        <v>198</v>
      </c>
      <c r="B200" s="230" t="s">
        <v>1555</v>
      </c>
      <c r="C200" s="231" t="s">
        <v>1556</v>
      </c>
      <c r="D200" s="231">
        <v>8.6</v>
      </c>
      <c r="E200" s="296">
        <v>8.5</v>
      </c>
      <c r="F200" s="231">
        <v>8.5</v>
      </c>
      <c r="G200" s="231">
        <v>0.83</v>
      </c>
      <c r="H200" s="231">
        <v>1</v>
      </c>
      <c r="I200" s="231">
        <v>10</v>
      </c>
      <c r="J200" s="231">
        <v>0</v>
      </c>
      <c r="K200" s="230" t="s">
        <v>722</v>
      </c>
      <c r="L200" s="231">
        <v>1993</v>
      </c>
      <c r="M200" s="231" t="s">
        <v>1819</v>
      </c>
      <c r="N200" s="232" t="s">
        <v>2035</v>
      </c>
    </row>
    <row r="201" spans="1:14" x14ac:dyDescent="0.3">
      <c r="A201" s="237">
        <v>199</v>
      </c>
      <c r="B201" s="227" t="s">
        <v>2132</v>
      </c>
      <c r="C201" s="228" t="s">
        <v>2133</v>
      </c>
      <c r="D201" s="228">
        <v>8.58</v>
      </c>
      <c r="E201" s="296">
        <v>8.5</v>
      </c>
      <c r="F201" s="228">
        <v>8.5</v>
      </c>
      <c r="G201" s="228">
        <v>0.67</v>
      </c>
      <c r="H201" s="228">
        <v>1</v>
      </c>
      <c r="I201" s="228">
        <v>12</v>
      </c>
      <c r="J201" s="228">
        <v>0</v>
      </c>
      <c r="K201" s="227" t="s">
        <v>2136</v>
      </c>
      <c r="L201" s="228">
        <v>1992</v>
      </c>
      <c r="M201" s="228" t="s">
        <v>1838</v>
      </c>
      <c r="N201" s="229" t="s">
        <v>2118</v>
      </c>
    </row>
    <row r="202" spans="1:14" x14ac:dyDescent="0.3">
      <c r="A202" s="237">
        <v>200</v>
      </c>
      <c r="B202" s="230" t="s">
        <v>1908</v>
      </c>
      <c r="C202" s="231" t="s">
        <v>1909</v>
      </c>
      <c r="D202" s="231">
        <v>8.67</v>
      </c>
      <c r="E202" s="287">
        <v>8.61</v>
      </c>
      <c r="F202" s="231">
        <v>8.75</v>
      </c>
      <c r="G202" s="231">
        <v>0.62</v>
      </c>
      <c r="H202" s="231">
        <v>0</v>
      </c>
      <c r="I202" s="231">
        <v>6</v>
      </c>
      <c r="J202" s="231">
        <v>0</v>
      </c>
      <c r="K202" s="230" t="s">
        <v>1024</v>
      </c>
      <c r="L202" s="231">
        <v>2013</v>
      </c>
      <c r="M202" s="231" t="s">
        <v>1813</v>
      </c>
      <c r="N202" s="232" t="s">
        <v>2021</v>
      </c>
    </row>
    <row r="203" spans="1:14" x14ac:dyDescent="0.3">
      <c r="A203" s="237">
        <v>201</v>
      </c>
      <c r="B203" s="227" t="s">
        <v>1529</v>
      </c>
      <c r="C203" s="228" t="s">
        <v>2254</v>
      </c>
      <c r="D203" s="228">
        <v>9.07</v>
      </c>
      <c r="E203" s="255">
        <v>9.02</v>
      </c>
      <c r="F203" s="228">
        <v>9</v>
      </c>
      <c r="G203" s="228">
        <v>0.73</v>
      </c>
      <c r="H203" s="228">
        <v>2</v>
      </c>
      <c r="I203" s="228">
        <v>7</v>
      </c>
      <c r="J203" s="228">
        <v>0</v>
      </c>
      <c r="K203" s="227" t="s">
        <v>1531</v>
      </c>
      <c r="L203" s="228">
        <v>1977</v>
      </c>
      <c r="M203" s="228" t="s">
        <v>1842</v>
      </c>
      <c r="N203" s="229" t="s">
        <v>2255</v>
      </c>
    </row>
    <row r="204" spans="1:14" x14ac:dyDescent="0.3">
      <c r="A204" s="237">
        <v>202</v>
      </c>
      <c r="B204" s="230" t="s">
        <v>1529</v>
      </c>
      <c r="C204" s="231" t="s">
        <v>1522</v>
      </c>
      <c r="D204" s="231">
        <v>8.75</v>
      </c>
      <c r="E204" s="285">
        <v>8.6300000000000008</v>
      </c>
      <c r="F204" s="231">
        <v>8.5</v>
      </c>
      <c r="G204" s="231">
        <v>0.87</v>
      </c>
      <c r="H204" s="231">
        <v>2</v>
      </c>
      <c r="I204" s="231">
        <v>10</v>
      </c>
      <c r="J204" s="231">
        <v>0</v>
      </c>
      <c r="K204" s="230" t="s">
        <v>1531</v>
      </c>
      <c r="L204" s="231">
        <v>1979</v>
      </c>
      <c r="M204" s="231" t="s">
        <v>1824</v>
      </c>
      <c r="N204" s="232" t="s">
        <v>2036</v>
      </c>
    </row>
    <row r="205" spans="1:14" x14ac:dyDescent="0.3">
      <c r="A205" s="237">
        <v>203</v>
      </c>
      <c r="B205" s="227" t="s">
        <v>1593</v>
      </c>
      <c r="C205" s="228" t="s">
        <v>1592</v>
      </c>
      <c r="D205" s="228">
        <v>8.85</v>
      </c>
      <c r="E205" s="272">
        <v>8.7799999999999994</v>
      </c>
      <c r="F205" s="228">
        <v>8.75</v>
      </c>
      <c r="G205" s="228">
        <v>0.55000000000000004</v>
      </c>
      <c r="H205" s="228">
        <v>1</v>
      </c>
      <c r="I205" s="228">
        <v>10</v>
      </c>
      <c r="J205" s="228">
        <v>0</v>
      </c>
      <c r="K205" s="227" t="s">
        <v>1594</v>
      </c>
      <c r="L205" s="228">
        <v>2014</v>
      </c>
      <c r="M205" s="228" t="s">
        <v>1834</v>
      </c>
      <c r="N205" s="229" t="s">
        <v>2032</v>
      </c>
    </row>
    <row r="206" spans="1:14" x14ac:dyDescent="0.3">
      <c r="A206" s="237">
        <v>204</v>
      </c>
      <c r="B206" s="230" t="s">
        <v>1593</v>
      </c>
      <c r="C206" s="231" t="s">
        <v>3685</v>
      </c>
      <c r="D206" s="231">
        <v>8.61</v>
      </c>
      <c r="E206" s="295">
        <v>8.52</v>
      </c>
      <c r="F206" s="231">
        <v>8.5</v>
      </c>
      <c r="G206" s="231">
        <v>0.62</v>
      </c>
      <c r="H206" s="231">
        <v>2</v>
      </c>
      <c r="I206" s="231">
        <v>26</v>
      </c>
      <c r="J206" s="231">
        <v>3</v>
      </c>
      <c r="K206" s="230" t="s">
        <v>1594</v>
      </c>
      <c r="L206" s="231">
        <v>1996</v>
      </c>
      <c r="M206" s="231" t="s">
        <v>3732</v>
      </c>
      <c r="N206" s="232" t="s">
        <v>3636</v>
      </c>
    </row>
    <row r="207" spans="1:14" x14ac:dyDescent="0.3">
      <c r="A207" s="237">
        <v>205</v>
      </c>
      <c r="B207" s="227" t="s">
        <v>312</v>
      </c>
      <c r="C207" s="228" t="s">
        <v>1754</v>
      </c>
      <c r="D207" s="228">
        <v>9</v>
      </c>
      <c r="E207" s="258">
        <v>8.9600000000000009</v>
      </c>
      <c r="F207" s="228">
        <v>9</v>
      </c>
      <c r="G207" s="228">
        <v>0.61</v>
      </c>
      <c r="H207" s="228">
        <v>2</v>
      </c>
      <c r="I207" s="228">
        <v>12</v>
      </c>
      <c r="J207" s="228">
        <v>0</v>
      </c>
      <c r="K207" s="227" t="s">
        <v>4124</v>
      </c>
      <c r="L207" s="228">
        <v>2003</v>
      </c>
      <c r="M207" s="228" t="s">
        <v>1825</v>
      </c>
      <c r="N207" s="229" t="s">
        <v>2024</v>
      </c>
    </row>
    <row r="208" spans="1:14" x14ac:dyDescent="0.3">
      <c r="A208" s="237">
        <v>206</v>
      </c>
      <c r="B208" s="230" t="s">
        <v>312</v>
      </c>
      <c r="C208" s="231" t="s">
        <v>1117</v>
      </c>
      <c r="D208" s="231">
        <v>8.77</v>
      </c>
      <c r="E208" s="263">
        <v>8.89</v>
      </c>
      <c r="F208" s="231">
        <v>9</v>
      </c>
      <c r="G208" s="231">
        <v>0.87</v>
      </c>
      <c r="H208" s="231">
        <v>2</v>
      </c>
      <c r="I208" s="231">
        <v>13</v>
      </c>
      <c r="J208" s="231">
        <v>0</v>
      </c>
      <c r="K208" s="230" t="s">
        <v>1119</v>
      </c>
      <c r="L208" s="231">
        <v>2009</v>
      </c>
      <c r="M208" s="231" t="s">
        <v>1836</v>
      </c>
      <c r="N208" s="232" t="s">
        <v>2084</v>
      </c>
    </row>
    <row r="209" spans="1:14" x14ac:dyDescent="0.3">
      <c r="A209" s="237">
        <v>207</v>
      </c>
      <c r="B209" s="227" t="s">
        <v>2695</v>
      </c>
      <c r="C209" s="228" t="s">
        <v>2691</v>
      </c>
      <c r="D209" s="228">
        <v>8.83</v>
      </c>
      <c r="E209" s="256">
        <v>9</v>
      </c>
      <c r="F209" s="228">
        <v>8.5</v>
      </c>
      <c r="G209" s="228">
        <v>0.87</v>
      </c>
      <c r="H209" s="228">
        <v>3</v>
      </c>
      <c r="I209" s="228">
        <v>15</v>
      </c>
      <c r="J209" s="228">
        <v>0</v>
      </c>
      <c r="K209" s="227" t="s">
        <v>731</v>
      </c>
      <c r="L209" s="228">
        <v>2001</v>
      </c>
      <c r="M209" s="228" t="s">
        <v>1805</v>
      </c>
      <c r="N209" s="229" t="s">
        <v>2678</v>
      </c>
    </row>
    <row r="210" spans="1:14" x14ac:dyDescent="0.3">
      <c r="A210" s="237">
        <v>208</v>
      </c>
      <c r="B210" s="230" t="s">
        <v>3633</v>
      </c>
      <c r="C210" s="231" t="s">
        <v>3634</v>
      </c>
      <c r="D210" s="231">
        <v>9</v>
      </c>
      <c r="E210" s="261">
        <v>8.92</v>
      </c>
      <c r="F210" s="231">
        <v>8.75</v>
      </c>
      <c r="G210" s="231">
        <v>0.61</v>
      </c>
      <c r="H210" s="231">
        <v>1</v>
      </c>
      <c r="I210" s="231">
        <v>4</v>
      </c>
      <c r="J210" s="231">
        <v>0</v>
      </c>
      <c r="K210" s="230" t="s">
        <v>3635</v>
      </c>
      <c r="L210" s="231">
        <v>1988</v>
      </c>
      <c r="M210" s="231" t="s">
        <v>1819</v>
      </c>
      <c r="N210" s="232" t="s">
        <v>3636</v>
      </c>
    </row>
    <row r="211" spans="1:14" x14ac:dyDescent="0.3">
      <c r="A211" s="237">
        <v>209</v>
      </c>
      <c r="B211" s="227" t="s">
        <v>545</v>
      </c>
      <c r="C211" s="228" t="s">
        <v>546</v>
      </c>
      <c r="D211" s="228">
        <v>8.7799999999999994</v>
      </c>
      <c r="E211" s="271">
        <v>8.7899999999999991</v>
      </c>
      <c r="F211" s="228">
        <v>8.5</v>
      </c>
      <c r="G211" s="228">
        <v>0.97</v>
      </c>
      <c r="H211" s="228">
        <v>2</v>
      </c>
      <c r="I211" s="228">
        <v>9</v>
      </c>
      <c r="J211" s="228">
        <v>0</v>
      </c>
      <c r="K211" s="227" t="s">
        <v>777</v>
      </c>
      <c r="L211" s="228">
        <v>1983</v>
      </c>
      <c r="M211" s="228" t="s">
        <v>1814</v>
      </c>
      <c r="N211" s="229" t="s">
        <v>2074</v>
      </c>
    </row>
    <row r="212" spans="1:14" x14ac:dyDescent="0.3">
      <c r="A212" s="237">
        <v>210</v>
      </c>
      <c r="B212" s="230" t="s">
        <v>560</v>
      </c>
      <c r="C212" s="231" t="s">
        <v>561</v>
      </c>
      <c r="D212" s="231">
        <v>8.73</v>
      </c>
      <c r="E212" s="286">
        <v>8.6199999999999992</v>
      </c>
      <c r="F212" s="231">
        <v>8.5</v>
      </c>
      <c r="G212" s="231">
        <v>0.89</v>
      </c>
      <c r="H212" s="231">
        <v>3</v>
      </c>
      <c r="I212" s="231">
        <v>13</v>
      </c>
      <c r="J212" s="231">
        <v>2</v>
      </c>
      <c r="K212" s="230" t="s">
        <v>778</v>
      </c>
      <c r="L212" s="231">
        <v>2015</v>
      </c>
      <c r="M212" s="231" t="s">
        <v>1817</v>
      </c>
      <c r="N212" s="232" t="s">
        <v>2073</v>
      </c>
    </row>
    <row r="213" spans="1:14" x14ac:dyDescent="0.3">
      <c r="A213" s="237">
        <v>211</v>
      </c>
      <c r="B213" s="227" t="s">
        <v>405</v>
      </c>
      <c r="C213" s="228" t="s">
        <v>36</v>
      </c>
      <c r="D213" s="228">
        <v>9.15</v>
      </c>
      <c r="E213" s="247">
        <v>9.23</v>
      </c>
      <c r="F213" s="228">
        <v>9</v>
      </c>
      <c r="G213" s="228">
        <v>0.78</v>
      </c>
      <c r="H213" s="228">
        <v>3</v>
      </c>
      <c r="I213" s="228">
        <v>10</v>
      </c>
      <c r="J213" s="228">
        <v>0</v>
      </c>
      <c r="K213" s="227" t="s">
        <v>714</v>
      </c>
      <c r="L213" s="228">
        <v>1982</v>
      </c>
      <c r="M213" s="228" t="s">
        <v>1806</v>
      </c>
      <c r="N213" s="229" t="s">
        <v>2084</v>
      </c>
    </row>
    <row r="214" spans="1:14" x14ac:dyDescent="0.3">
      <c r="A214" s="237">
        <v>212</v>
      </c>
      <c r="B214" s="230" t="s">
        <v>2229</v>
      </c>
      <c r="C214" s="231" t="s">
        <v>2230</v>
      </c>
      <c r="D214" s="231">
        <v>8.81</v>
      </c>
      <c r="E214" s="268">
        <v>8.83</v>
      </c>
      <c r="F214" s="231">
        <v>8.5</v>
      </c>
      <c r="G214" s="231">
        <v>0.73</v>
      </c>
      <c r="H214" s="231">
        <v>2</v>
      </c>
      <c r="I214" s="231">
        <v>17</v>
      </c>
      <c r="J214" s="231">
        <v>1</v>
      </c>
      <c r="K214" s="230" t="s">
        <v>1044</v>
      </c>
      <c r="L214" s="231">
        <v>1969</v>
      </c>
      <c r="M214" s="231" t="s">
        <v>1814</v>
      </c>
      <c r="N214" s="232" t="s">
        <v>2231</v>
      </c>
    </row>
    <row r="215" spans="1:14" x14ac:dyDescent="0.3">
      <c r="A215" s="237">
        <v>213</v>
      </c>
      <c r="B215" s="227" t="s">
        <v>2229</v>
      </c>
      <c r="C215" s="228" t="s">
        <v>2379</v>
      </c>
      <c r="D215" s="228">
        <v>8.7899999999999991</v>
      </c>
      <c r="E215" s="266">
        <v>8.86</v>
      </c>
      <c r="F215" s="228">
        <v>8.75</v>
      </c>
      <c r="G215" s="228">
        <v>0.75</v>
      </c>
      <c r="H215" s="228">
        <v>1</v>
      </c>
      <c r="I215" s="228">
        <v>13</v>
      </c>
      <c r="J215" s="228">
        <v>1</v>
      </c>
      <c r="K215" s="227" t="s">
        <v>2392</v>
      </c>
      <c r="L215" s="228">
        <v>1967</v>
      </c>
      <c r="M215" s="228" t="s">
        <v>1835</v>
      </c>
      <c r="N215" s="229" t="s">
        <v>2393</v>
      </c>
    </row>
    <row r="216" spans="1:14" x14ac:dyDescent="0.3">
      <c r="A216" s="237">
        <v>214</v>
      </c>
      <c r="B216" s="230" t="s">
        <v>2229</v>
      </c>
      <c r="C216" s="231" t="s">
        <v>2820</v>
      </c>
      <c r="D216" s="231">
        <v>8.39</v>
      </c>
      <c r="E216" s="303">
        <v>8.39</v>
      </c>
      <c r="F216" s="231">
        <v>8</v>
      </c>
      <c r="G216" s="231">
        <v>0.83</v>
      </c>
      <c r="H216" s="231">
        <v>2</v>
      </c>
      <c r="I216" s="231">
        <v>14</v>
      </c>
      <c r="J216" s="231">
        <v>0</v>
      </c>
      <c r="K216" s="230" t="s">
        <v>2804</v>
      </c>
      <c r="L216" s="231">
        <v>1966</v>
      </c>
      <c r="M216" s="231" t="s">
        <v>1845</v>
      </c>
      <c r="N216" s="232" t="s">
        <v>2821</v>
      </c>
    </row>
    <row r="217" spans="1:14" x14ac:dyDescent="0.3">
      <c r="A217" s="237">
        <v>215</v>
      </c>
      <c r="B217" s="227" t="s">
        <v>888</v>
      </c>
      <c r="C217" s="228" t="s">
        <v>869</v>
      </c>
      <c r="D217" s="228">
        <v>8.5500000000000007</v>
      </c>
      <c r="E217" s="288">
        <v>8.6</v>
      </c>
      <c r="F217" s="228">
        <v>8.5</v>
      </c>
      <c r="G217" s="228">
        <v>0.96</v>
      </c>
      <c r="H217" s="228">
        <v>3</v>
      </c>
      <c r="I217" s="228">
        <v>19</v>
      </c>
      <c r="J217" s="228">
        <v>0</v>
      </c>
      <c r="K217" s="227" t="s">
        <v>889</v>
      </c>
      <c r="L217" s="228">
        <v>1979</v>
      </c>
      <c r="M217" s="228" t="s">
        <v>1820</v>
      </c>
      <c r="N217" s="229" t="s">
        <v>2058</v>
      </c>
    </row>
    <row r="218" spans="1:14" x14ac:dyDescent="0.3">
      <c r="A218" s="237">
        <v>216</v>
      </c>
      <c r="B218" s="230" t="s">
        <v>370</v>
      </c>
      <c r="C218" s="231" t="s">
        <v>368</v>
      </c>
      <c r="D218" s="231">
        <v>8.67</v>
      </c>
      <c r="E218" s="278">
        <v>8.7100000000000009</v>
      </c>
      <c r="F218" s="231">
        <v>8.5</v>
      </c>
      <c r="G218" s="231">
        <v>0.85</v>
      </c>
      <c r="H218" s="231">
        <v>2</v>
      </c>
      <c r="I218" s="231">
        <v>12</v>
      </c>
      <c r="J218" s="231">
        <v>0</v>
      </c>
      <c r="K218" s="230" t="s">
        <v>777</v>
      </c>
      <c r="L218" s="231">
        <v>1989</v>
      </c>
      <c r="M218" s="231" t="s">
        <v>1841</v>
      </c>
      <c r="N218" s="232" t="s">
        <v>2080</v>
      </c>
    </row>
    <row r="219" spans="1:14" x14ac:dyDescent="0.3">
      <c r="A219" s="237">
        <v>217</v>
      </c>
      <c r="B219" s="227" t="s">
        <v>1953</v>
      </c>
      <c r="C219" s="228" t="s">
        <v>1939</v>
      </c>
      <c r="D219" s="228">
        <v>8.3800000000000008</v>
      </c>
      <c r="E219" s="307">
        <v>8.33</v>
      </c>
      <c r="F219" s="228">
        <v>8.5</v>
      </c>
      <c r="G219" s="228">
        <v>0.78</v>
      </c>
      <c r="H219" s="228">
        <v>2</v>
      </c>
      <c r="I219" s="228">
        <v>19</v>
      </c>
      <c r="J219" s="228">
        <v>2</v>
      </c>
      <c r="K219" s="227" t="s">
        <v>1955</v>
      </c>
      <c r="L219" s="228">
        <v>1994</v>
      </c>
      <c r="M219" s="228" t="s">
        <v>1804</v>
      </c>
      <c r="N219" s="229" t="s">
        <v>2020</v>
      </c>
    </row>
    <row r="220" spans="1:14" x14ac:dyDescent="0.3">
      <c r="A220" s="237">
        <v>218</v>
      </c>
      <c r="B220" s="230" t="s">
        <v>2595</v>
      </c>
      <c r="C220" s="231" t="s">
        <v>2596</v>
      </c>
      <c r="D220" s="231">
        <v>8.31</v>
      </c>
      <c r="E220" s="315">
        <v>8.16</v>
      </c>
      <c r="F220" s="231">
        <v>8</v>
      </c>
      <c r="G220" s="231">
        <v>0.93</v>
      </c>
      <c r="H220" s="231">
        <v>1</v>
      </c>
      <c r="I220" s="231">
        <v>8</v>
      </c>
      <c r="J220" s="231">
        <v>0</v>
      </c>
      <c r="K220" s="230" t="s">
        <v>1024</v>
      </c>
      <c r="L220" s="231">
        <v>2016</v>
      </c>
      <c r="M220" s="231" t="s">
        <v>1811</v>
      </c>
      <c r="N220" s="232" t="s">
        <v>2597</v>
      </c>
    </row>
    <row r="221" spans="1:14" x14ac:dyDescent="0.3">
      <c r="A221" s="237">
        <v>219</v>
      </c>
      <c r="B221" s="227" t="s">
        <v>3090</v>
      </c>
      <c r="C221" s="228" t="s">
        <v>3091</v>
      </c>
      <c r="D221" s="228">
        <v>8.6999999999999993</v>
      </c>
      <c r="E221" s="287">
        <v>8.61</v>
      </c>
      <c r="F221" s="228">
        <v>8.5</v>
      </c>
      <c r="G221" s="228">
        <v>0.56000000000000005</v>
      </c>
      <c r="H221" s="228">
        <v>1</v>
      </c>
      <c r="I221" s="228">
        <v>10</v>
      </c>
      <c r="J221" s="228">
        <v>0</v>
      </c>
      <c r="K221" s="227" t="s">
        <v>3092</v>
      </c>
      <c r="L221" s="228">
        <v>1997</v>
      </c>
      <c r="M221" s="228" t="s">
        <v>1838</v>
      </c>
      <c r="N221" s="229" t="s">
        <v>3093</v>
      </c>
    </row>
    <row r="222" spans="1:14" x14ac:dyDescent="0.3">
      <c r="A222" s="237">
        <v>220</v>
      </c>
      <c r="B222" s="230" t="s">
        <v>1085</v>
      </c>
      <c r="C222" s="231" t="s">
        <v>1624</v>
      </c>
      <c r="D222" s="231">
        <v>8.57</v>
      </c>
      <c r="E222" s="285">
        <v>8.6300000000000008</v>
      </c>
      <c r="F222" s="231">
        <v>8.5</v>
      </c>
      <c r="G222" s="231">
        <v>0.78</v>
      </c>
      <c r="H222" s="231">
        <v>3</v>
      </c>
      <c r="I222" s="231">
        <v>28</v>
      </c>
      <c r="J222" s="231">
        <v>1</v>
      </c>
      <c r="K222" s="230" t="s">
        <v>1651</v>
      </c>
      <c r="L222" s="231">
        <v>1995</v>
      </c>
      <c r="M222" s="231" t="s">
        <v>1834</v>
      </c>
      <c r="N222" s="232" t="s">
        <v>2029</v>
      </c>
    </row>
    <row r="223" spans="1:14" x14ac:dyDescent="0.3">
      <c r="A223" s="237">
        <v>221</v>
      </c>
      <c r="B223" s="227" t="s">
        <v>1085</v>
      </c>
      <c r="C223" s="228" t="s">
        <v>1086</v>
      </c>
      <c r="D223" s="228">
        <v>8.4600000000000009</v>
      </c>
      <c r="E223" s="308">
        <v>8.27</v>
      </c>
      <c r="F223" s="228">
        <v>8</v>
      </c>
      <c r="G223" s="228">
        <v>1.1299999999999999</v>
      </c>
      <c r="H223" s="228">
        <v>3</v>
      </c>
      <c r="I223" s="228">
        <v>13</v>
      </c>
      <c r="J223" s="228">
        <v>1</v>
      </c>
      <c r="K223" s="227" t="s">
        <v>1087</v>
      </c>
      <c r="L223" s="228">
        <v>1993</v>
      </c>
      <c r="M223" s="228" t="s">
        <v>1839</v>
      </c>
      <c r="N223" s="229" t="s">
        <v>2051</v>
      </c>
    </row>
    <row r="224" spans="1:14" x14ac:dyDescent="0.3">
      <c r="A224" s="237">
        <v>222</v>
      </c>
      <c r="B224" s="230" t="s">
        <v>2983</v>
      </c>
      <c r="C224" s="231" t="s">
        <v>2968</v>
      </c>
      <c r="D224" s="231">
        <v>8.8000000000000007</v>
      </c>
      <c r="E224" s="265">
        <v>8.8699999999999992</v>
      </c>
      <c r="F224" s="231">
        <v>8.75</v>
      </c>
      <c r="G224" s="231">
        <v>0.87</v>
      </c>
      <c r="H224" s="231">
        <v>2</v>
      </c>
      <c r="I224" s="231">
        <v>10</v>
      </c>
      <c r="J224" s="231">
        <v>0</v>
      </c>
      <c r="K224" s="230" t="s">
        <v>2985</v>
      </c>
      <c r="L224" s="231">
        <v>1986</v>
      </c>
      <c r="M224" s="231" t="s">
        <v>1840</v>
      </c>
      <c r="N224" s="232" t="s">
        <v>2981</v>
      </c>
    </row>
    <row r="225" spans="1:14" x14ac:dyDescent="0.3">
      <c r="A225" s="237">
        <v>223</v>
      </c>
      <c r="B225" s="227" t="s">
        <v>3492</v>
      </c>
      <c r="C225" s="228" t="s">
        <v>3492</v>
      </c>
      <c r="D225" s="228">
        <v>8.82</v>
      </c>
      <c r="E225" s="268">
        <v>8.83</v>
      </c>
      <c r="F225" s="228">
        <v>8.5</v>
      </c>
      <c r="G225" s="228">
        <v>0.86</v>
      </c>
      <c r="H225" s="228">
        <v>2</v>
      </c>
      <c r="I225" s="228">
        <v>12</v>
      </c>
      <c r="J225" s="228">
        <v>1</v>
      </c>
      <c r="K225" s="227" t="s">
        <v>3493</v>
      </c>
      <c r="L225" s="228">
        <v>1989</v>
      </c>
      <c r="M225" s="228" t="s">
        <v>1826</v>
      </c>
      <c r="N225" s="229" t="s">
        <v>3494</v>
      </c>
    </row>
    <row r="226" spans="1:14" x14ac:dyDescent="0.3">
      <c r="A226" s="237">
        <v>224</v>
      </c>
      <c r="B226" s="230" t="s">
        <v>305</v>
      </c>
      <c r="C226" s="231" t="s">
        <v>306</v>
      </c>
      <c r="D226" s="231">
        <v>8.89</v>
      </c>
      <c r="E226" s="265">
        <v>8.8699999999999992</v>
      </c>
      <c r="F226" s="231">
        <v>9</v>
      </c>
      <c r="G226" s="231">
        <v>0.7</v>
      </c>
      <c r="H226" s="231">
        <v>2</v>
      </c>
      <c r="I226" s="231">
        <v>9</v>
      </c>
      <c r="J226" s="231">
        <v>0</v>
      </c>
      <c r="K226" s="230" t="s">
        <v>719</v>
      </c>
      <c r="L226" s="231">
        <v>2020</v>
      </c>
      <c r="M226" s="231" t="s">
        <v>1829</v>
      </c>
      <c r="N226" s="232" t="s">
        <v>2084</v>
      </c>
    </row>
    <row r="227" spans="1:14" x14ac:dyDescent="0.3">
      <c r="A227" s="237">
        <v>225</v>
      </c>
      <c r="B227" s="227" t="s">
        <v>305</v>
      </c>
      <c r="C227" s="228" t="s">
        <v>1772</v>
      </c>
      <c r="D227" s="228">
        <v>8.18</v>
      </c>
      <c r="E227" s="318">
        <v>8.06</v>
      </c>
      <c r="F227" s="228">
        <v>8</v>
      </c>
      <c r="G227" s="228">
        <v>0.86</v>
      </c>
      <c r="H227" s="228">
        <v>1</v>
      </c>
      <c r="I227" s="228">
        <v>11</v>
      </c>
      <c r="J227" s="228">
        <v>0</v>
      </c>
      <c r="K227" s="227" t="s">
        <v>1782</v>
      </c>
      <c r="L227" s="228">
        <v>2001</v>
      </c>
      <c r="M227" s="228" t="s">
        <v>1803</v>
      </c>
      <c r="N227" s="229" t="s">
        <v>2023</v>
      </c>
    </row>
    <row r="228" spans="1:14" x14ac:dyDescent="0.3">
      <c r="A228" s="237">
        <v>226</v>
      </c>
      <c r="B228" s="230" t="s">
        <v>292</v>
      </c>
      <c r="C228" s="231" t="s">
        <v>7</v>
      </c>
      <c r="D228" s="231">
        <v>10.11</v>
      </c>
      <c r="E228" s="234">
        <v>10.99</v>
      </c>
      <c r="F228" s="231">
        <v>10.5</v>
      </c>
      <c r="G228" s="231">
        <v>0.52</v>
      </c>
      <c r="H228" s="231">
        <v>7</v>
      </c>
      <c r="I228" s="231">
        <v>12</v>
      </c>
      <c r="J228" s="231">
        <v>3</v>
      </c>
      <c r="K228" s="230" t="s">
        <v>712</v>
      </c>
      <c r="L228" s="231">
        <v>2001</v>
      </c>
      <c r="M228" s="231" t="s">
        <v>1804</v>
      </c>
      <c r="N228" s="232" t="s">
        <v>2999</v>
      </c>
    </row>
    <row r="229" spans="1:14" x14ac:dyDescent="0.3">
      <c r="A229" s="237">
        <v>227</v>
      </c>
      <c r="B229" s="227" t="s">
        <v>292</v>
      </c>
      <c r="C229" s="228" t="s">
        <v>156</v>
      </c>
      <c r="D229" s="228">
        <v>9.61</v>
      </c>
      <c r="E229" s="239">
        <v>9.9600000000000009</v>
      </c>
      <c r="F229" s="228">
        <v>10</v>
      </c>
      <c r="G229" s="228">
        <v>0.74</v>
      </c>
      <c r="H229" s="228">
        <v>5</v>
      </c>
      <c r="I229" s="228">
        <v>15</v>
      </c>
      <c r="J229" s="228">
        <v>6</v>
      </c>
      <c r="K229" s="227" t="s">
        <v>712</v>
      </c>
      <c r="L229" s="228">
        <v>1996</v>
      </c>
      <c r="M229" s="228" t="s">
        <v>1808</v>
      </c>
      <c r="N229" s="229" t="s">
        <v>2067</v>
      </c>
    </row>
    <row r="230" spans="1:14" x14ac:dyDescent="0.3">
      <c r="A230" s="237">
        <v>228</v>
      </c>
      <c r="B230" s="230" t="s">
        <v>292</v>
      </c>
      <c r="C230" s="231" t="s">
        <v>517</v>
      </c>
      <c r="D230" s="231">
        <v>9.61</v>
      </c>
      <c r="E230" s="238">
        <v>9.99</v>
      </c>
      <c r="F230" s="231">
        <v>10</v>
      </c>
      <c r="G230" s="231">
        <v>0.74</v>
      </c>
      <c r="H230" s="231">
        <v>5</v>
      </c>
      <c r="I230" s="231">
        <v>11</v>
      </c>
      <c r="J230" s="231">
        <v>2</v>
      </c>
      <c r="K230" s="230" t="s">
        <v>712</v>
      </c>
      <c r="L230" s="231">
        <v>2006</v>
      </c>
      <c r="M230" s="231" t="s">
        <v>1807</v>
      </c>
      <c r="N230" s="232" t="s">
        <v>2050</v>
      </c>
    </row>
    <row r="231" spans="1:14" x14ac:dyDescent="0.3">
      <c r="A231" s="237">
        <v>229</v>
      </c>
      <c r="B231" s="227" t="s">
        <v>292</v>
      </c>
      <c r="C231" s="228" t="s">
        <v>1175</v>
      </c>
      <c r="D231" s="228">
        <v>9.2899999999999991</v>
      </c>
      <c r="E231" s="379">
        <v>9.42</v>
      </c>
      <c r="F231" s="228">
        <v>9.5</v>
      </c>
      <c r="G231" s="228">
        <v>0.92</v>
      </c>
      <c r="H231" s="228">
        <v>3</v>
      </c>
      <c r="I231" s="228">
        <v>10</v>
      </c>
      <c r="J231" s="228">
        <v>3</v>
      </c>
      <c r="K231" s="227" t="s">
        <v>1187</v>
      </c>
      <c r="L231" s="228">
        <v>2019</v>
      </c>
      <c r="M231" s="228" t="s">
        <v>1810</v>
      </c>
      <c r="N231" s="229" t="s">
        <v>2049</v>
      </c>
    </row>
    <row r="232" spans="1:14" x14ac:dyDescent="0.3">
      <c r="A232" s="237">
        <v>230</v>
      </c>
      <c r="B232" s="230" t="s">
        <v>292</v>
      </c>
      <c r="C232" s="231" t="s">
        <v>2433</v>
      </c>
      <c r="D232" s="231">
        <v>9.25</v>
      </c>
      <c r="E232" s="241">
        <v>9.5299999999999994</v>
      </c>
      <c r="F232" s="231">
        <v>9.5</v>
      </c>
      <c r="G232" s="231">
        <v>1.18</v>
      </c>
      <c r="H232" s="231">
        <v>3</v>
      </c>
      <c r="I232" s="231">
        <v>8</v>
      </c>
      <c r="J232" s="231">
        <v>2</v>
      </c>
      <c r="K232" s="230" t="s">
        <v>2434</v>
      </c>
      <c r="L232" s="231">
        <v>2000</v>
      </c>
      <c r="M232" s="231" t="s">
        <v>1825</v>
      </c>
      <c r="N232" s="232" t="s">
        <v>2321</v>
      </c>
    </row>
    <row r="233" spans="1:14" x14ac:dyDescent="0.3">
      <c r="A233" s="237">
        <v>231</v>
      </c>
      <c r="B233" s="227" t="s">
        <v>292</v>
      </c>
      <c r="C233" s="228" t="s">
        <v>278</v>
      </c>
      <c r="D233" s="228">
        <v>8.35</v>
      </c>
      <c r="E233" s="312">
        <v>8.2200000000000006</v>
      </c>
      <c r="F233" s="228">
        <v>8.25</v>
      </c>
      <c r="G233" s="228">
        <v>1.32</v>
      </c>
      <c r="H233" s="228">
        <v>3</v>
      </c>
      <c r="I233" s="228">
        <v>10</v>
      </c>
      <c r="J233" s="228">
        <v>0</v>
      </c>
      <c r="K233" s="227" t="s">
        <v>731</v>
      </c>
      <c r="L233" s="228">
        <v>1993</v>
      </c>
      <c r="M233" s="228" t="s">
        <v>1832</v>
      </c>
      <c r="N233" s="229" t="s">
        <v>2081</v>
      </c>
    </row>
    <row r="234" spans="1:14" x14ac:dyDescent="0.3">
      <c r="A234" s="237">
        <v>232</v>
      </c>
      <c r="B234" s="230" t="s">
        <v>292</v>
      </c>
      <c r="C234" s="231" t="s">
        <v>3019</v>
      </c>
      <c r="D234" s="231">
        <v>7.92</v>
      </c>
      <c r="E234" s="356">
        <v>7.84</v>
      </c>
      <c r="F234" s="231">
        <v>8</v>
      </c>
      <c r="G234" s="231">
        <v>0.79</v>
      </c>
      <c r="H234" s="231">
        <v>0</v>
      </c>
      <c r="I234" s="231">
        <v>6</v>
      </c>
      <c r="J234" s="231">
        <v>0</v>
      </c>
      <c r="K234" s="230" t="s">
        <v>731</v>
      </c>
      <c r="L234" s="231">
        <v>1992</v>
      </c>
      <c r="M234" s="231" t="s">
        <v>3105</v>
      </c>
      <c r="N234" s="232" t="s">
        <v>3013</v>
      </c>
    </row>
    <row r="235" spans="1:14" x14ac:dyDescent="0.3">
      <c r="A235" s="237">
        <v>233</v>
      </c>
      <c r="B235" s="227" t="s">
        <v>426</v>
      </c>
      <c r="C235" s="228" t="s">
        <v>427</v>
      </c>
      <c r="D235" s="228">
        <v>8.18</v>
      </c>
      <c r="E235" s="318">
        <v>8.06</v>
      </c>
      <c r="F235" s="228">
        <v>8</v>
      </c>
      <c r="G235" s="228">
        <v>0.89</v>
      </c>
      <c r="H235" s="228">
        <v>2</v>
      </c>
      <c r="I235" s="228">
        <v>19</v>
      </c>
      <c r="J235" s="228">
        <v>0</v>
      </c>
      <c r="K235" s="227" t="s">
        <v>738</v>
      </c>
      <c r="L235" s="228">
        <v>2023</v>
      </c>
      <c r="M235" s="228" t="s">
        <v>1825</v>
      </c>
      <c r="N235" s="229" t="s">
        <v>2077</v>
      </c>
    </row>
    <row r="236" spans="1:14" x14ac:dyDescent="0.3">
      <c r="A236" s="237">
        <v>234</v>
      </c>
      <c r="B236" s="230" t="s">
        <v>1686</v>
      </c>
      <c r="C236" s="231" t="s">
        <v>1687</v>
      </c>
      <c r="D236" s="231">
        <v>8.5</v>
      </c>
      <c r="E236" s="300">
        <v>8.4499999999999993</v>
      </c>
      <c r="F236" s="231">
        <v>8.5</v>
      </c>
      <c r="G236" s="231">
        <v>0.41</v>
      </c>
      <c r="H236" s="231">
        <v>0</v>
      </c>
      <c r="I236" s="231">
        <v>9</v>
      </c>
      <c r="J236" s="231">
        <v>0</v>
      </c>
      <c r="K236" s="230" t="s">
        <v>1162</v>
      </c>
      <c r="L236" s="231">
        <v>2026</v>
      </c>
      <c r="M236" s="231" t="s">
        <v>1845</v>
      </c>
      <c r="N236" s="232" t="s">
        <v>2028</v>
      </c>
    </row>
    <row r="237" spans="1:14" x14ac:dyDescent="0.3">
      <c r="A237" s="237">
        <v>235</v>
      </c>
      <c r="B237" s="227" t="s">
        <v>759</v>
      </c>
      <c r="C237" s="228" t="s">
        <v>760</v>
      </c>
      <c r="D237" s="228">
        <v>8.33</v>
      </c>
      <c r="E237" s="315">
        <v>8.16</v>
      </c>
      <c r="F237" s="228">
        <v>8</v>
      </c>
      <c r="G237" s="228">
        <v>1.1599999999999999</v>
      </c>
      <c r="H237" s="228">
        <v>3</v>
      </c>
      <c r="I237" s="228">
        <v>15</v>
      </c>
      <c r="J237" s="228">
        <v>0</v>
      </c>
      <c r="K237" s="227" t="s">
        <v>780</v>
      </c>
      <c r="L237" s="228">
        <v>2003</v>
      </c>
      <c r="M237" s="228" t="s">
        <v>1846</v>
      </c>
      <c r="N237" s="229" t="s">
        <v>2063</v>
      </c>
    </row>
    <row r="238" spans="1:14" x14ac:dyDescent="0.3">
      <c r="A238" s="237">
        <v>236</v>
      </c>
      <c r="B238" s="230" t="s">
        <v>319</v>
      </c>
      <c r="C238" s="231" t="s">
        <v>320</v>
      </c>
      <c r="D238" s="231">
        <v>8.33</v>
      </c>
      <c r="E238" s="315">
        <v>8.17</v>
      </c>
      <c r="F238" s="231">
        <v>8</v>
      </c>
      <c r="G238" s="231">
        <v>0.94</v>
      </c>
      <c r="H238" s="231">
        <v>1</v>
      </c>
      <c r="I238" s="231">
        <v>9</v>
      </c>
      <c r="J238" s="231">
        <v>0</v>
      </c>
      <c r="K238" s="230" t="s">
        <v>721</v>
      </c>
      <c r="L238" s="231">
        <v>1993</v>
      </c>
      <c r="M238" s="231" t="s">
        <v>1830</v>
      </c>
      <c r="N238" s="232" t="s">
        <v>2082</v>
      </c>
    </row>
    <row r="239" spans="1:14" x14ac:dyDescent="0.3">
      <c r="A239" s="237">
        <v>237</v>
      </c>
      <c r="B239" s="227" t="s">
        <v>2358</v>
      </c>
      <c r="C239" s="228" t="s">
        <v>2343</v>
      </c>
      <c r="D239" s="228">
        <v>10</v>
      </c>
      <c r="E239" s="234">
        <v>10.44</v>
      </c>
      <c r="F239" s="228">
        <v>10.5</v>
      </c>
      <c r="G239" s="228">
        <v>0.71</v>
      </c>
      <c r="H239" s="228">
        <v>2</v>
      </c>
      <c r="I239" s="228">
        <v>3</v>
      </c>
      <c r="J239" s="228">
        <v>0</v>
      </c>
      <c r="K239" s="227" t="s">
        <v>1024</v>
      </c>
      <c r="L239" s="228">
        <v>1972</v>
      </c>
      <c r="M239" s="228" t="s">
        <v>1815</v>
      </c>
      <c r="N239" s="229" t="s">
        <v>2374</v>
      </c>
    </row>
    <row r="240" spans="1:14" x14ac:dyDescent="0.3">
      <c r="A240" s="237">
        <v>238</v>
      </c>
      <c r="B240" s="230" t="s">
        <v>2358</v>
      </c>
      <c r="C240" s="231" t="s">
        <v>3361</v>
      </c>
      <c r="D240" s="231">
        <v>8.56</v>
      </c>
      <c r="E240" s="378">
        <v>8.48</v>
      </c>
      <c r="F240" s="231">
        <v>8.5</v>
      </c>
      <c r="G240" s="231">
        <v>0.73</v>
      </c>
      <c r="H240" s="231">
        <v>1</v>
      </c>
      <c r="I240" s="231">
        <v>9</v>
      </c>
      <c r="J240" s="231">
        <v>1</v>
      </c>
      <c r="K240" s="230" t="s">
        <v>1024</v>
      </c>
      <c r="L240" s="231">
        <v>1971</v>
      </c>
      <c r="M240" s="231" t="s">
        <v>1811</v>
      </c>
      <c r="N240" s="232" t="s">
        <v>3364</v>
      </c>
    </row>
    <row r="241" spans="1:14" x14ac:dyDescent="0.3">
      <c r="A241" s="237">
        <v>239</v>
      </c>
      <c r="B241" s="227" t="s">
        <v>533</v>
      </c>
      <c r="C241" s="228" t="s">
        <v>534</v>
      </c>
      <c r="D241" s="228">
        <v>8.31</v>
      </c>
      <c r="E241" s="315">
        <v>8.16</v>
      </c>
      <c r="F241" s="228">
        <v>8</v>
      </c>
      <c r="G241" s="228">
        <v>0.89</v>
      </c>
      <c r="H241" s="228">
        <v>2</v>
      </c>
      <c r="I241" s="228">
        <v>14</v>
      </c>
      <c r="J241" s="228">
        <v>1</v>
      </c>
      <c r="K241" s="227" t="s">
        <v>724</v>
      </c>
      <c r="L241" s="228">
        <v>2016</v>
      </c>
      <c r="M241" s="228" t="s">
        <v>1826</v>
      </c>
      <c r="N241" s="229" t="s">
        <v>2074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76"/>
  <sheetViews>
    <sheetView topLeftCell="A49" zoomScale="80" zoomScaleNormal="80" workbookViewId="0">
      <selection activeCell="M622" sqref="M622"/>
    </sheetView>
  </sheetViews>
  <sheetFormatPr defaultColWidth="8.796875" defaultRowHeight="15.6" x14ac:dyDescent="0.3"/>
  <cols>
    <col min="1" max="1" width="3.19921875" bestFit="1" customWidth="1"/>
    <col min="2" max="2" width="26.09765625" bestFit="1" customWidth="1"/>
    <col min="3" max="3" width="62.59765625" bestFit="1" customWidth="1"/>
    <col min="4" max="4" width="6.5" bestFit="1" customWidth="1"/>
    <col min="5" max="5" width="15.09765625" bestFit="1" customWidth="1"/>
    <col min="6" max="6" width="8.19921875" bestFit="1" customWidth="1"/>
    <col min="7" max="7" width="10.8984375" bestFit="1" customWidth="1"/>
    <col min="8" max="8" width="9.5" bestFit="1" customWidth="1"/>
    <col min="9" max="9" width="14.59765625" bestFit="1" customWidth="1"/>
    <col min="10" max="10" width="10.5" bestFit="1" customWidth="1"/>
    <col min="11" max="11" width="58.3984375" bestFit="1" customWidth="1"/>
    <col min="12" max="12" width="11.09765625" bestFit="1" customWidth="1"/>
    <col min="13" max="13" width="8.59765625" bestFit="1" customWidth="1"/>
    <col min="14" max="14" width="14.59765625" bestFit="1" customWidth="1"/>
  </cols>
  <sheetData>
    <row r="1" spans="1:14" ht="17.399999999999999" x14ac:dyDescent="0.35">
      <c r="A1" s="433" t="s">
        <v>1266</v>
      </c>
      <c r="B1" s="433"/>
      <c r="C1" s="433"/>
      <c r="D1" s="433"/>
      <c r="E1" s="433"/>
      <c r="F1" s="433"/>
      <c r="G1" s="433"/>
      <c r="H1" s="433"/>
      <c r="I1" s="433"/>
      <c r="J1" s="433"/>
      <c r="K1" s="433"/>
      <c r="L1" s="433"/>
      <c r="M1" s="433"/>
      <c r="N1" s="433"/>
    </row>
    <row r="2" spans="1:14" x14ac:dyDescent="0.3">
      <c r="A2" s="226" t="s">
        <v>318</v>
      </c>
      <c r="B2" s="226" t="s">
        <v>285</v>
      </c>
      <c r="C2" s="226" t="s">
        <v>475</v>
      </c>
      <c r="D2" s="226" t="s">
        <v>287</v>
      </c>
      <c r="E2" s="226" t="s">
        <v>1910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3132</v>
      </c>
      <c r="L2" s="226" t="s">
        <v>1851</v>
      </c>
      <c r="M2" s="226" t="s">
        <v>1852</v>
      </c>
      <c r="N2" s="226" t="s">
        <v>2015</v>
      </c>
    </row>
    <row r="3" spans="1:14" x14ac:dyDescent="0.3">
      <c r="A3" s="233">
        <v>1</v>
      </c>
      <c r="B3" s="227" t="s">
        <v>298</v>
      </c>
      <c r="C3" s="228">
        <v>5</v>
      </c>
      <c r="D3" s="228">
        <v>9.35</v>
      </c>
      <c r="E3" s="336">
        <v>9.58</v>
      </c>
      <c r="F3" s="228">
        <v>9.35</v>
      </c>
      <c r="G3" s="228">
        <v>0.76</v>
      </c>
      <c r="H3" s="228">
        <v>16</v>
      </c>
      <c r="I3" s="228">
        <v>52</v>
      </c>
      <c r="J3" s="228">
        <v>5</v>
      </c>
      <c r="K3" s="227" t="s">
        <v>4165</v>
      </c>
      <c r="L3" s="228" t="s">
        <v>2856</v>
      </c>
      <c r="M3" s="228" t="s">
        <v>1817</v>
      </c>
      <c r="N3" s="229" t="s">
        <v>2085</v>
      </c>
    </row>
    <row r="4" spans="1:14" x14ac:dyDescent="0.3">
      <c r="A4" s="235">
        <v>2</v>
      </c>
      <c r="B4" s="230" t="s">
        <v>2358</v>
      </c>
      <c r="C4" s="231">
        <v>2</v>
      </c>
      <c r="D4" s="231">
        <v>9.2799999999999994</v>
      </c>
      <c r="E4" s="242">
        <v>9.4600000000000009</v>
      </c>
      <c r="F4" s="231">
        <v>9.5</v>
      </c>
      <c r="G4" s="231">
        <v>0.72</v>
      </c>
      <c r="H4" s="231">
        <v>3</v>
      </c>
      <c r="I4" s="231">
        <v>12</v>
      </c>
      <c r="J4" s="231">
        <v>1</v>
      </c>
      <c r="K4" s="230" t="s">
        <v>1024</v>
      </c>
      <c r="L4" s="231" t="s">
        <v>3365</v>
      </c>
      <c r="M4" s="231" t="s">
        <v>1819</v>
      </c>
      <c r="N4" s="232" t="s">
        <v>2085</v>
      </c>
    </row>
    <row r="5" spans="1:14" x14ac:dyDescent="0.3">
      <c r="A5" s="236">
        <v>3</v>
      </c>
      <c r="B5" s="227" t="s">
        <v>292</v>
      </c>
      <c r="C5" s="228">
        <v>7</v>
      </c>
      <c r="D5" s="228">
        <v>9.16</v>
      </c>
      <c r="E5" s="379">
        <v>9.42</v>
      </c>
      <c r="F5" s="228">
        <v>9.39</v>
      </c>
      <c r="G5" s="228">
        <v>0.89</v>
      </c>
      <c r="H5" s="228">
        <v>26</v>
      </c>
      <c r="I5" s="228">
        <v>72</v>
      </c>
      <c r="J5" s="228">
        <v>16</v>
      </c>
      <c r="K5" s="227" t="s">
        <v>4166</v>
      </c>
      <c r="L5" s="228" t="s">
        <v>3107</v>
      </c>
      <c r="M5" s="228" t="s">
        <v>3056</v>
      </c>
      <c r="N5" s="229" t="s">
        <v>2085</v>
      </c>
    </row>
    <row r="6" spans="1:14" x14ac:dyDescent="0.3">
      <c r="A6" s="237">
        <v>4</v>
      </c>
      <c r="B6" s="230" t="s">
        <v>2528</v>
      </c>
      <c r="C6" s="231">
        <v>3</v>
      </c>
      <c r="D6" s="231">
        <v>9.24</v>
      </c>
      <c r="E6" s="246">
        <v>9.34</v>
      </c>
      <c r="F6" s="231">
        <v>9.33</v>
      </c>
      <c r="G6" s="231">
        <v>0.4</v>
      </c>
      <c r="H6" s="231">
        <v>2</v>
      </c>
      <c r="I6" s="231">
        <v>12</v>
      </c>
      <c r="J6" s="231">
        <v>0</v>
      </c>
      <c r="K6" s="230" t="s">
        <v>1042</v>
      </c>
      <c r="L6" s="231" t="s">
        <v>3686</v>
      </c>
      <c r="M6" s="231" t="s">
        <v>1807</v>
      </c>
      <c r="N6" s="232" t="s">
        <v>2085</v>
      </c>
    </row>
    <row r="7" spans="1:14" x14ac:dyDescent="0.3">
      <c r="A7" s="237">
        <v>5</v>
      </c>
      <c r="B7" s="227" t="s">
        <v>297</v>
      </c>
      <c r="C7" s="228">
        <v>4</v>
      </c>
      <c r="D7" s="228">
        <v>9.1</v>
      </c>
      <c r="E7" s="251">
        <v>9.1</v>
      </c>
      <c r="F7" s="228">
        <v>8.94</v>
      </c>
      <c r="G7" s="228">
        <v>0.69</v>
      </c>
      <c r="H7" s="228">
        <v>5</v>
      </c>
      <c r="I7" s="228">
        <v>23</v>
      </c>
      <c r="J7" s="228">
        <v>0</v>
      </c>
      <c r="K7" s="227" t="s">
        <v>2319</v>
      </c>
      <c r="L7" s="228" t="s">
        <v>1853</v>
      </c>
      <c r="M7" s="228" t="s">
        <v>1829</v>
      </c>
      <c r="N7" s="229" t="s">
        <v>2085</v>
      </c>
    </row>
    <row r="8" spans="1:14" x14ac:dyDescent="0.3">
      <c r="A8" s="237">
        <v>6</v>
      </c>
      <c r="B8" s="230" t="s">
        <v>296</v>
      </c>
      <c r="C8" s="231">
        <v>2</v>
      </c>
      <c r="D8" s="231">
        <v>8.99</v>
      </c>
      <c r="E8" s="253">
        <v>9.0399999999999991</v>
      </c>
      <c r="F8" s="231">
        <v>8.75</v>
      </c>
      <c r="G8" s="231">
        <v>0.9</v>
      </c>
      <c r="H8" s="231">
        <v>5</v>
      </c>
      <c r="I8" s="231">
        <v>18</v>
      </c>
      <c r="J8" s="231">
        <v>0</v>
      </c>
      <c r="K8" s="230" t="s">
        <v>4117</v>
      </c>
      <c r="L8" s="231" t="s">
        <v>2004</v>
      </c>
      <c r="M8" s="231" t="s">
        <v>1842</v>
      </c>
      <c r="N8" s="232" t="s">
        <v>2085</v>
      </c>
    </row>
    <row r="9" spans="1:14" x14ac:dyDescent="0.3">
      <c r="A9" s="237">
        <v>7</v>
      </c>
      <c r="B9" s="227" t="s">
        <v>441</v>
      </c>
      <c r="C9" s="228">
        <v>4</v>
      </c>
      <c r="D9" s="228">
        <v>8.91</v>
      </c>
      <c r="E9" s="257">
        <v>8.9700000000000006</v>
      </c>
      <c r="F9" s="228">
        <v>8.75</v>
      </c>
      <c r="G9" s="228">
        <v>0.81</v>
      </c>
      <c r="H9" s="228">
        <v>7</v>
      </c>
      <c r="I9" s="228">
        <v>37</v>
      </c>
      <c r="J9" s="228">
        <v>0</v>
      </c>
      <c r="K9" s="227" t="s">
        <v>4118</v>
      </c>
      <c r="L9" s="228" t="s">
        <v>2407</v>
      </c>
      <c r="M9" s="228" t="s">
        <v>1821</v>
      </c>
      <c r="N9" s="229" t="s">
        <v>2085</v>
      </c>
    </row>
    <row r="10" spans="1:14" x14ac:dyDescent="0.3">
      <c r="A10" s="237">
        <v>8</v>
      </c>
      <c r="B10" s="230" t="s">
        <v>312</v>
      </c>
      <c r="C10" s="231">
        <v>2</v>
      </c>
      <c r="D10" s="231">
        <v>8.89</v>
      </c>
      <c r="E10" s="260">
        <v>8.93</v>
      </c>
      <c r="F10" s="231">
        <v>9</v>
      </c>
      <c r="G10" s="231">
        <v>0.74</v>
      </c>
      <c r="H10" s="231">
        <v>4</v>
      </c>
      <c r="I10" s="231">
        <v>25</v>
      </c>
      <c r="J10" s="231">
        <v>0</v>
      </c>
      <c r="K10" s="230" t="s">
        <v>4167</v>
      </c>
      <c r="L10" s="231" t="s">
        <v>1854</v>
      </c>
      <c r="M10" s="231" t="s">
        <v>1820</v>
      </c>
      <c r="N10" s="232" t="s">
        <v>2085</v>
      </c>
    </row>
    <row r="11" spans="1:14" x14ac:dyDescent="0.3">
      <c r="A11" s="237">
        <v>9</v>
      </c>
      <c r="B11" s="227" t="s">
        <v>1112</v>
      </c>
      <c r="C11" s="228">
        <v>2</v>
      </c>
      <c r="D11" s="228">
        <v>8.7200000000000006</v>
      </c>
      <c r="E11" s="262">
        <v>8.9</v>
      </c>
      <c r="F11" s="228">
        <v>8.5</v>
      </c>
      <c r="G11" s="228">
        <v>0.94</v>
      </c>
      <c r="H11" s="228">
        <v>10</v>
      </c>
      <c r="I11" s="228">
        <v>54</v>
      </c>
      <c r="J11" s="228">
        <v>2</v>
      </c>
      <c r="K11" s="227" t="s">
        <v>1480</v>
      </c>
      <c r="L11" s="228" t="s">
        <v>2001</v>
      </c>
      <c r="M11" s="228" t="s">
        <v>2002</v>
      </c>
      <c r="N11" s="229" t="s">
        <v>2085</v>
      </c>
    </row>
    <row r="12" spans="1:14" x14ac:dyDescent="0.3">
      <c r="A12" s="237">
        <v>10</v>
      </c>
      <c r="B12" s="230" t="s">
        <v>307</v>
      </c>
      <c r="C12" s="231">
        <v>3</v>
      </c>
      <c r="D12" s="231">
        <v>8.86</v>
      </c>
      <c r="E12" s="262">
        <v>8.9</v>
      </c>
      <c r="F12" s="231">
        <v>8.67</v>
      </c>
      <c r="G12" s="231">
        <v>0.9</v>
      </c>
      <c r="H12" s="231">
        <v>5</v>
      </c>
      <c r="I12" s="231">
        <v>23</v>
      </c>
      <c r="J12" s="231">
        <v>0</v>
      </c>
      <c r="K12" s="230" t="s">
        <v>4168</v>
      </c>
      <c r="L12" s="231" t="s">
        <v>1855</v>
      </c>
      <c r="M12" s="231" t="s">
        <v>1829</v>
      </c>
      <c r="N12" s="232" t="s">
        <v>2085</v>
      </c>
    </row>
    <row r="13" spans="1:14" x14ac:dyDescent="0.3">
      <c r="A13" s="237">
        <v>11</v>
      </c>
      <c r="B13" s="227" t="s">
        <v>2777</v>
      </c>
      <c r="C13" s="228">
        <v>3</v>
      </c>
      <c r="D13" s="228">
        <v>8.84</v>
      </c>
      <c r="E13" s="268">
        <v>8.84</v>
      </c>
      <c r="F13" s="228">
        <v>8.67</v>
      </c>
      <c r="G13" s="228">
        <v>0.76</v>
      </c>
      <c r="H13" s="228">
        <v>9</v>
      </c>
      <c r="I13" s="228">
        <v>59</v>
      </c>
      <c r="J13" s="228">
        <v>13</v>
      </c>
      <c r="K13" s="227" t="s">
        <v>2783</v>
      </c>
      <c r="L13" s="228" t="s">
        <v>3058</v>
      </c>
      <c r="M13" s="228" t="s">
        <v>1822</v>
      </c>
      <c r="N13" s="229" t="s">
        <v>2085</v>
      </c>
    </row>
    <row r="14" spans="1:14" x14ac:dyDescent="0.3">
      <c r="A14" s="237">
        <v>12</v>
      </c>
      <c r="B14" s="230" t="s">
        <v>293</v>
      </c>
      <c r="C14" s="231">
        <v>9</v>
      </c>
      <c r="D14" s="231">
        <v>8.6999999999999993</v>
      </c>
      <c r="E14" s="268">
        <v>8.83</v>
      </c>
      <c r="F14" s="231">
        <v>8.7799999999999994</v>
      </c>
      <c r="G14" s="231">
        <v>0.86</v>
      </c>
      <c r="H14" s="231">
        <v>23</v>
      </c>
      <c r="I14" s="231">
        <v>101</v>
      </c>
      <c r="J14" s="231">
        <v>4</v>
      </c>
      <c r="K14" s="230" t="s">
        <v>901</v>
      </c>
      <c r="L14" s="231" t="s">
        <v>1858</v>
      </c>
      <c r="M14" s="231" t="s">
        <v>1814</v>
      </c>
      <c r="N14" s="232" t="s">
        <v>2085</v>
      </c>
    </row>
    <row r="15" spans="1:14" x14ac:dyDescent="0.3">
      <c r="A15" s="237">
        <v>13</v>
      </c>
      <c r="B15" s="227" t="s">
        <v>1529</v>
      </c>
      <c r="C15" s="228">
        <v>2</v>
      </c>
      <c r="D15" s="228">
        <v>8.91</v>
      </c>
      <c r="E15" s="269">
        <v>8.82</v>
      </c>
      <c r="F15" s="228">
        <v>8.75</v>
      </c>
      <c r="G15" s="228">
        <v>0.8</v>
      </c>
      <c r="H15" s="228">
        <v>4</v>
      </c>
      <c r="I15" s="228">
        <v>17</v>
      </c>
      <c r="J15" s="228">
        <v>0</v>
      </c>
      <c r="K15" s="227" t="s">
        <v>1531</v>
      </c>
      <c r="L15" s="228" t="s">
        <v>2256</v>
      </c>
      <c r="M15" s="228" t="s">
        <v>1829</v>
      </c>
      <c r="N15" s="229" t="s">
        <v>2085</v>
      </c>
    </row>
    <row r="16" spans="1:14" x14ac:dyDescent="0.3">
      <c r="A16" s="237">
        <v>14</v>
      </c>
      <c r="B16" s="230" t="s">
        <v>2624</v>
      </c>
      <c r="C16" s="231">
        <v>2</v>
      </c>
      <c r="D16" s="231">
        <v>8.9</v>
      </c>
      <c r="E16" s="270">
        <v>8.81</v>
      </c>
      <c r="F16" s="231">
        <v>8.75</v>
      </c>
      <c r="G16" s="231">
        <v>0.72</v>
      </c>
      <c r="H16" s="231">
        <v>3</v>
      </c>
      <c r="I16" s="231">
        <v>18</v>
      </c>
      <c r="J16" s="231">
        <v>0</v>
      </c>
      <c r="K16" s="230" t="s">
        <v>2628</v>
      </c>
      <c r="L16" s="231" t="s">
        <v>3288</v>
      </c>
      <c r="M16" s="231" t="s">
        <v>1819</v>
      </c>
      <c r="N16" s="232" t="s">
        <v>2085</v>
      </c>
    </row>
    <row r="17" spans="1:14" x14ac:dyDescent="0.3">
      <c r="A17" s="237">
        <v>15</v>
      </c>
      <c r="B17" s="227" t="s">
        <v>311</v>
      </c>
      <c r="C17" s="228">
        <v>3</v>
      </c>
      <c r="D17" s="228">
        <v>8.77</v>
      </c>
      <c r="E17" s="271">
        <v>8.7899999999999991</v>
      </c>
      <c r="F17" s="228">
        <v>8.67</v>
      </c>
      <c r="G17" s="228">
        <v>0.81</v>
      </c>
      <c r="H17" s="228">
        <v>6</v>
      </c>
      <c r="I17" s="228">
        <v>34</v>
      </c>
      <c r="J17" s="228">
        <v>1</v>
      </c>
      <c r="K17" s="227" t="s">
        <v>4169</v>
      </c>
      <c r="L17" s="228" t="s">
        <v>1856</v>
      </c>
      <c r="M17" s="228" t="s">
        <v>1833</v>
      </c>
      <c r="N17" s="229" t="s">
        <v>2085</v>
      </c>
    </row>
    <row r="18" spans="1:14" x14ac:dyDescent="0.3">
      <c r="A18" s="237">
        <v>16</v>
      </c>
      <c r="B18" s="230" t="s">
        <v>1615</v>
      </c>
      <c r="C18" s="231">
        <v>2</v>
      </c>
      <c r="D18" s="231">
        <v>8.81</v>
      </c>
      <c r="E18" s="273">
        <v>8.77</v>
      </c>
      <c r="F18" s="231">
        <v>8.5</v>
      </c>
      <c r="G18" s="231">
        <v>0.81</v>
      </c>
      <c r="H18" s="231">
        <v>3</v>
      </c>
      <c r="I18" s="231">
        <v>16</v>
      </c>
      <c r="J18" s="231">
        <v>0</v>
      </c>
      <c r="K18" s="230" t="s">
        <v>1284</v>
      </c>
      <c r="L18" s="231" t="s">
        <v>2016</v>
      </c>
      <c r="M18" s="231" t="s">
        <v>1806</v>
      </c>
      <c r="N18" s="232" t="s">
        <v>2085</v>
      </c>
    </row>
    <row r="19" spans="1:14" x14ac:dyDescent="0.3">
      <c r="A19" s="237">
        <v>17</v>
      </c>
      <c r="B19" s="227" t="s">
        <v>2546</v>
      </c>
      <c r="C19" s="228">
        <v>2</v>
      </c>
      <c r="D19" s="228">
        <v>8.77</v>
      </c>
      <c r="E19" s="337">
        <v>8.69</v>
      </c>
      <c r="F19" s="228">
        <v>8.6300000000000008</v>
      </c>
      <c r="G19" s="228">
        <v>0.62</v>
      </c>
      <c r="H19" s="228">
        <v>1</v>
      </c>
      <c r="I19" s="228">
        <v>15</v>
      </c>
      <c r="J19" s="228">
        <v>1</v>
      </c>
      <c r="K19" s="227" t="s">
        <v>4170</v>
      </c>
      <c r="L19" s="228" t="s">
        <v>1856</v>
      </c>
      <c r="M19" s="228" t="s">
        <v>1821</v>
      </c>
      <c r="N19" s="229" t="s">
        <v>2085</v>
      </c>
    </row>
    <row r="20" spans="1:14" x14ac:dyDescent="0.3">
      <c r="A20" s="237">
        <v>18</v>
      </c>
      <c r="B20" s="230" t="s">
        <v>2229</v>
      </c>
      <c r="C20" s="231">
        <v>3</v>
      </c>
      <c r="D20" s="231">
        <v>8.66</v>
      </c>
      <c r="E20" s="337">
        <v>8.69</v>
      </c>
      <c r="F20" s="231">
        <v>8.42</v>
      </c>
      <c r="G20" s="231">
        <v>0.77</v>
      </c>
      <c r="H20" s="231">
        <v>5</v>
      </c>
      <c r="I20" s="231">
        <v>44</v>
      </c>
      <c r="J20" s="231">
        <v>2</v>
      </c>
      <c r="K20" s="230" t="s">
        <v>2804</v>
      </c>
      <c r="L20" s="231" t="s">
        <v>2850</v>
      </c>
      <c r="M20" s="231" t="s">
        <v>1819</v>
      </c>
      <c r="N20" s="232" t="s">
        <v>2085</v>
      </c>
    </row>
    <row r="21" spans="1:14" x14ac:dyDescent="0.3">
      <c r="A21" s="237">
        <v>19</v>
      </c>
      <c r="B21" s="227" t="s">
        <v>1663</v>
      </c>
      <c r="C21" s="228">
        <v>2</v>
      </c>
      <c r="D21" s="228">
        <v>8.7100000000000009</v>
      </c>
      <c r="E21" s="280">
        <v>8.68</v>
      </c>
      <c r="F21" s="228">
        <v>8.5</v>
      </c>
      <c r="G21" s="228">
        <v>0.74</v>
      </c>
      <c r="H21" s="228">
        <v>3</v>
      </c>
      <c r="I21" s="228">
        <v>22</v>
      </c>
      <c r="J21" s="228">
        <v>0</v>
      </c>
      <c r="K21" s="227" t="s">
        <v>4171</v>
      </c>
      <c r="L21" s="228" t="s">
        <v>2676</v>
      </c>
      <c r="M21" s="228" t="s">
        <v>1828</v>
      </c>
      <c r="N21" s="229" t="s">
        <v>2085</v>
      </c>
    </row>
    <row r="22" spans="1:14" x14ac:dyDescent="0.3">
      <c r="A22" s="237">
        <v>20</v>
      </c>
      <c r="B22" s="230" t="s">
        <v>1367</v>
      </c>
      <c r="C22" s="231">
        <v>2</v>
      </c>
      <c r="D22" s="231">
        <v>8.77</v>
      </c>
      <c r="E22" s="281">
        <v>8.67</v>
      </c>
      <c r="F22" s="231">
        <v>8.5</v>
      </c>
      <c r="G22" s="231">
        <v>0.62</v>
      </c>
      <c r="H22" s="231">
        <v>2</v>
      </c>
      <c r="I22" s="231">
        <v>17</v>
      </c>
      <c r="J22" s="231">
        <v>1</v>
      </c>
      <c r="K22" s="230" t="s">
        <v>4172</v>
      </c>
      <c r="L22" s="231" t="s">
        <v>2154</v>
      </c>
      <c r="M22" s="231" t="s">
        <v>1857</v>
      </c>
      <c r="N22" s="232" t="s">
        <v>2085</v>
      </c>
    </row>
    <row r="23" spans="1:14" x14ac:dyDescent="0.3">
      <c r="A23" s="237">
        <v>21</v>
      </c>
      <c r="B23" s="227" t="s">
        <v>1405</v>
      </c>
      <c r="C23" s="228">
        <v>6</v>
      </c>
      <c r="D23" s="228">
        <v>8.68</v>
      </c>
      <c r="E23" s="281">
        <v>8.67</v>
      </c>
      <c r="F23" s="228">
        <v>8.4600000000000009</v>
      </c>
      <c r="G23" s="228">
        <v>0.82</v>
      </c>
      <c r="H23" s="228">
        <v>14</v>
      </c>
      <c r="I23" s="228">
        <v>97</v>
      </c>
      <c r="J23" s="228">
        <v>4</v>
      </c>
      <c r="K23" s="227" t="s">
        <v>4199</v>
      </c>
      <c r="L23" s="228" t="s">
        <v>4200</v>
      </c>
      <c r="M23" s="228" t="s">
        <v>1804</v>
      </c>
      <c r="N23" s="229" t="s">
        <v>2085</v>
      </c>
    </row>
    <row r="24" spans="1:14" x14ac:dyDescent="0.3">
      <c r="A24" s="237">
        <v>22</v>
      </c>
      <c r="B24" s="230" t="s">
        <v>315</v>
      </c>
      <c r="C24" s="231">
        <v>2</v>
      </c>
      <c r="D24" s="231">
        <v>8.67</v>
      </c>
      <c r="E24" s="281">
        <v>8.67</v>
      </c>
      <c r="F24" s="231">
        <v>8.75</v>
      </c>
      <c r="G24" s="231">
        <v>0.97</v>
      </c>
      <c r="H24" s="231">
        <v>4</v>
      </c>
      <c r="I24" s="231">
        <v>26</v>
      </c>
      <c r="J24" s="231">
        <v>2</v>
      </c>
      <c r="K24" s="230" t="s">
        <v>725</v>
      </c>
      <c r="L24" s="231" t="s">
        <v>2306</v>
      </c>
      <c r="M24" s="231" t="s">
        <v>1840</v>
      </c>
      <c r="N24" s="232" t="s">
        <v>2085</v>
      </c>
    </row>
    <row r="25" spans="1:14" x14ac:dyDescent="0.3">
      <c r="A25" s="237">
        <v>23</v>
      </c>
      <c r="B25" s="227" t="s">
        <v>1593</v>
      </c>
      <c r="C25" s="228">
        <v>2</v>
      </c>
      <c r="D25" s="228">
        <v>8.73</v>
      </c>
      <c r="E25" s="283">
        <v>8.65</v>
      </c>
      <c r="F25" s="228">
        <v>8.6300000000000008</v>
      </c>
      <c r="G25" s="228">
        <v>0.59</v>
      </c>
      <c r="H25" s="228">
        <v>3</v>
      </c>
      <c r="I25" s="228">
        <v>36</v>
      </c>
      <c r="J25" s="228">
        <v>3</v>
      </c>
      <c r="K25" s="227" t="s">
        <v>1594</v>
      </c>
      <c r="L25" s="228" t="s">
        <v>3734</v>
      </c>
      <c r="M25" s="228" t="s">
        <v>3735</v>
      </c>
      <c r="N25" s="229" t="s">
        <v>2085</v>
      </c>
    </row>
    <row r="26" spans="1:14" x14ac:dyDescent="0.3">
      <c r="A26" s="237">
        <v>24</v>
      </c>
      <c r="B26" s="230" t="s">
        <v>795</v>
      </c>
      <c r="C26" s="231">
        <v>2</v>
      </c>
      <c r="D26" s="231">
        <v>8.64</v>
      </c>
      <c r="E26" s="285">
        <v>8.6300000000000008</v>
      </c>
      <c r="F26" s="231">
        <v>8.5</v>
      </c>
      <c r="G26" s="231">
        <v>0.68</v>
      </c>
      <c r="H26" s="231">
        <v>3</v>
      </c>
      <c r="I26" s="231">
        <v>29</v>
      </c>
      <c r="J26" s="231">
        <v>0</v>
      </c>
      <c r="K26" s="230" t="s">
        <v>796</v>
      </c>
      <c r="L26" s="231" t="s">
        <v>2188</v>
      </c>
      <c r="M26" s="231" t="s">
        <v>1837</v>
      </c>
      <c r="N26" s="232" t="s">
        <v>2085</v>
      </c>
    </row>
    <row r="27" spans="1:14" x14ac:dyDescent="0.3">
      <c r="A27" s="237">
        <v>25</v>
      </c>
      <c r="B27" s="227" t="s">
        <v>1448</v>
      </c>
      <c r="C27" s="228">
        <v>3</v>
      </c>
      <c r="D27" s="228">
        <v>8.6300000000000008</v>
      </c>
      <c r="E27" s="286">
        <v>8.6199999999999992</v>
      </c>
      <c r="F27" s="228">
        <v>8.5</v>
      </c>
      <c r="G27" s="228">
        <v>0.99</v>
      </c>
      <c r="H27" s="228">
        <v>6</v>
      </c>
      <c r="I27" s="228">
        <v>34</v>
      </c>
      <c r="J27" s="228">
        <v>3</v>
      </c>
      <c r="K27" s="227" t="s">
        <v>4173</v>
      </c>
      <c r="L27" s="228" t="s">
        <v>1859</v>
      </c>
      <c r="M27" s="228" t="s">
        <v>1818</v>
      </c>
      <c r="N27" s="229" t="s">
        <v>2085</v>
      </c>
    </row>
    <row r="28" spans="1:14" x14ac:dyDescent="0.3">
      <c r="A28" s="237">
        <v>26</v>
      </c>
      <c r="B28" s="230" t="s">
        <v>2926</v>
      </c>
      <c r="C28" s="231">
        <v>3</v>
      </c>
      <c r="D28" s="231">
        <v>8.65</v>
      </c>
      <c r="E28" s="287">
        <v>8.61</v>
      </c>
      <c r="F28" s="231">
        <v>8.5</v>
      </c>
      <c r="G28" s="231">
        <v>0.86</v>
      </c>
      <c r="H28" s="231">
        <v>7</v>
      </c>
      <c r="I28" s="231">
        <v>34</v>
      </c>
      <c r="J28" s="231">
        <v>0</v>
      </c>
      <c r="K28" s="230" t="s">
        <v>4247</v>
      </c>
      <c r="L28" s="231" t="s">
        <v>4248</v>
      </c>
      <c r="M28" s="231" t="s">
        <v>1850</v>
      </c>
      <c r="N28" s="232" t="s">
        <v>2085</v>
      </c>
    </row>
    <row r="29" spans="1:14" x14ac:dyDescent="0.3">
      <c r="A29" s="237">
        <v>27</v>
      </c>
      <c r="B29" s="227" t="s">
        <v>1091</v>
      </c>
      <c r="C29" s="228">
        <v>2</v>
      </c>
      <c r="D29" s="228">
        <v>8.66</v>
      </c>
      <c r="E29" s="289">
        <v>8.58</v>
      </c>
      <c r="F29" s="228">
        <v>8.5</v>
      </c>
      <c r="G29" s="228">
        <v>0.62</v>
      </c>
      <c r="H29" s="228">
        <v>2</v>
      </c>
      <c r="I29" s="228">
        <v>18</v>
      </c>
      <c r="J29" s="228">
        <v>0</v>
      </c>
      <c r="K29" s="227" t="s">
        <v>4174</v>
      </c>
      <c r="L29" s="228" t="s">
        <v>3786</v>
      </c>
      <c r="M29" s="228" t="s">
        <v>1809</v>
      </c>
      <c r="N29" s="229" t="s">
        <v>2085</v>
      </c>
    </row>
    <row r="30" spans="1:14" x14ac:dyDescent="0.3">
      <c r="A30" s="237">
        <v>28</v>
      </c>
      <c r="B30" s="230" t="s">
        <v>303</v>
      </c>
      <c r="C30" s="231">
        <v>5</v>
      </c>
      <c r="D30" s="231">
        <v>8.58</v>
      </c>
      <c r="E30" s="291">
        <v>8.56</v>
      </c>
      <c r="F30" s="231">
        <v>8.4</v>
      </c>
      <c r="G30" s="231">
        <v>0.9</v>
      </c>
      <c r="H30" s="231">
        <v>11</v>
      </c>
      <c r="I30" s="231">
        <v>66</v>
      </c>
      <c r="J30" s="231">
        <v>4</v>
      </c>
      <c r="K30" s="230" t="s">
        <v>4175</v>
      </c>
      <c r="L30" s="231" t="s">
        <v>1863</v>
      </c>
      <c r="M30" s="231" t="s">
        <v>1832</v>
      </c>
      <c r="N30" s="232" t="s">
        <v>2085</v>
      </c>
    </row>
    <row r="31" spans="1:14" x14ac:dyDescent="0.3">
      <c r="A31" s="237">
        <v>29</v>
      </c>
      <c r="B31" s="227" t="s">
        <v>2675</v>
      </c>
      <c r="C31" s="228">
        <v>2</v>
      </c>
      <c r="D31" s="228">
        <v>8.6300000000000008</v>
      </c>
      <c r="E31" s="293">
        <v>8.5399999999999991</v>
      </c>
      <c r="F31" s="228">
        <v>8.5</v>
      </c>
      <c r="G31" s="228">
        <v>0.7</v>
      </c>
      <c r="H31" s="228">
        <v>3</v>
      </c>
      <c r="I31" s="228">
        <v>27</v>
      </c>
      <c r="J31" s="228">
        <v>0</v>
      </c>
      <c r="K31" s="227" t="s">
        <v>3463</v>
      </c>
      <c r="L31" s="228" t="s">
        <v>3467</v>
      </c>
      <c r="M31" s="228" t="s">
        <v>1822</v>
      </c>
      <c r="N31" s="229" t="s">
        <v>2085</v>
      </c>
    </row>
    <row r="32" spans="1:14" x14ac:dyDescent="0.3">
      <c r="A32" s="237">
        <v>30</v>
      </c>
      <c r="B32" s="230" t="s">
        <v>1211</v>
      </c>
      <c r="C32" s="231">
        <v>2</v>
      </c>
      <c r="D32" s="231">
        <v>8.43</v>
      </c>
      <c r="E32" s="296">
        <v>8.5</v>
      </c>
      <c r="F32" s="231">
        <v>8.5</v>
      </c>
      <c r="G32" s="231">
        <v>1.02</v>
      </c>
      <c r="H32" s="231">
        <v>3</v>
      </c>
      <c r="I32" s="231">
        <v>19</v>
      </c>
      <c r="J32" s="231">
        <v>0</v>
      </c>
      <c r="K32" s="230" t="s">
        <v>4119</v>
      </c>
      <c r="L32" s="231" t="s">
        <v>3535</v>
      </c>
      <c r="M32" s="231" t="s">
        <v>1809</v>
      </c>
      <c r="N32" s="232" t="s">
        <v>2085</v>
      </c>
    </row>
    <row r="33" spans="1:14" x14ac:dyDescent="0.3">
      <c r="A33" s="237">
        <v>31</v>
      </c>
      <c r="B33" s="227" t="s">
        <v>677</v>
      </c>
      <c r="C33" s="228">
        <v>4</v>
      </c>
      <c r="D33" s="228">
        <v>8.48</v>
      </c>
      <c r="E33" s="298">
        <v>8.4700000000000006</v>
      </c>
      <c r="F33" s="228">
        <v>8.1300000000000008</v>
      </c>
      <c r="G33" s="228">
        <v>0.91</v>
      </c>
      <c r="H33" s="228">
        <v>9</v>
      </c>
      <c r="I33" s="228">
        <v>63</v>
      </c>
      <c r="J33" s="228">
        <v>4</v>
      </c>
      <c r="K33" s="227" t="s">
        <v>4176</v>
      </c>
      <c r="L33" s="228" t="s">
        <v>2524</v>
      </c>
      <c r="M33" s="228" t="s">
        <v>1821</v>
      </c>
      <c r="N33" s="229" t="s">
        <v>2085</v>
      </c>
    </row>
    <row r="34" spans="1:14" x14ac:dyDescent="0.3">
      <c r="A34" s="237">
        <v>32</v>
      </c>
      <c r="B34" s="230" t="s">
        <v>305</v>
      </c>
      <c r="C34" s="231">
        <v>2</v>
      </c>
      <c r="D34" s="231">
        <v>8.5399999999999991</v>
      </c>
      <c r="E34" s="298">
        <v>8.4700000000000006</v>
      </c>
      <c r="F34" s="231">
        <v>8.5</v>
      </c>
      <c r="G34" s="231">
        <v>0.78</v>
      </c>
      <c r="H34" s="231">
        <v>3</v>
      </c>
      <c r="I34" s="231">
        <v>20</v>
      </c>
      <c r="J34" s="231">
        <v>0</v>
      </c>
      <c r="K34" s="230" t="s">
        <v>4120</v>
      </c>
      <c r="L34" s="231" t="s">
        <v>1860</v>
      </c>
      <c r="M34" s="231" t="s">
        <v>1819</v>
      </c>
      <c r="N34" s="232" t="s">
        <v>2085</v>
      </c>
    </row>
    <row r="35" spans="1:14" x14ac:dyDescent="0.3">
      <c r="A35" s="237">
        <v>33</v>
      </c>
      <c r="B35" s="227" t="s">
        <v>300</v>
      </c>
      <c r="C35" s="228">
        <v>14</v>
      </c>
      <c r="D35" s="228">
        <v>8.49</v>
      </c>
      <c r="E35" s="300">
        <v>8.4499999999999993</v>
      </c>
      <c r="F35" s="228">
        <v>8.41</v>
      </c>
      <c r="G35" s="228">
        <v>0.71</v>
      </c>
      <c r="H35" s="228">
        <v>9</v>
      </c>
      <c r="I35" s="228">
        <v>111</v>
      </c>
      <c r="J35" s="228">
        <v>6</v>
      </c>
      <c r="K35" s="227" t="s">
        <v>4177</v>
      </c>
      <c r="L35" s="228" t="s">
        <v>3301</v>
      </c>
      <c r="M35" s="228" t="s">
        <v>1818</v>
      </c>
      <c r="N35" s="229" t="s">
        <v>2085</v>
      </c>
    </row>
    <row r="36" spans="1:14" x14ac:dyDescent="0.3">
      <c r="A36" s="237">
        <v>34</v>
      </c>
      <c r="B36" s="230" t="s">
        <v>1085</v>
      </c>
      <c r="C36" s="231">
        <v>2</v>
      </c>
      <c r="D36" s="231">
        <v>8.52</v>
      </c>
      <c r="E36" s="300">
        <v>8.4499999999999993</v>
      </c>
      <c r="F36" s="231">
        <v>8.25</v>
      </c>
      <c r="G36" s="231">
        <v>0.96</v>
      </c>
      <c r="H36" s="231">
        <v>6</v>
      </c>
      <c r="I36" s="231">
        <v>41</v>
      </c>
      <c r="J36" s="231">
        <v>2</v>
      </c>
      <c r="K36" s="230" t="s">
        <v>1665</v>
      </c>
      <c r="L36" s="231" t="s">
        <v>1861</v>
      </c>
      <c r="M36" s="231" t="s">
        <v>1862</v>
      </c>
      <c r="N36" s="232" t="s">
        <v>2085</v>
      </c>
    </row>
    <row r="37" spans="1:14" x14ac:dyDescent="0.3">
      <c r="A37" s="237">
        <v>35</v>
      </c>
      <c r="B37" s="227" t="s">
        <v>304</v>
      </c>
      <c r="C37" s="228">
        <v>2</v>
      </c>
      <c r="D37" s="228">
        <v>8.39</v>
      </c>
      <c r="E37" s="305">
        <v>8.3699999999999992</v>
      </c>
      <c r="F37" s="228">
        <v>8.25</v>
      </c>
      <c r="G37" s="228">
        <v>0.72</v>
      </c>
      <c r="H37" s="228">
        <v>2</v>
      </c>
      <c r="I37" s="228">
        <v>20</v>
      </c>
      <c r="J37" s="228">
        <v>0</v>
      </c>
      <c r="K37" s="227" t="s">
        <v>734</v>
      </c>
      <c r="L37" s="228" t="s">
        <v>1864</v>
      </c>
      <c r="M37" s="228" t="s">
        <v>1805</v>
      </c>
      <c r="N37" s="229" t="s">
        <v>2085</v>
      </c>
    </row>
    <row r="38" spans="1:14" x14ac:dyDescent="0.3">
      <c r="A38" s="237">
        <v>36</v>
      </c>
      <c r="B38" s="230" t="s">
        <v>2908</v>
      </c>
      <c r="C38" s="231">
        <v>2</v>
      </c>
      <c r="D38" s="231">
        <v>8.3800000000000008</v>
      </c>
      <c r="E38" s="310">
        <v>8.24</v>
      </c>
      <c r="F38" s="231">
        <v>8.1300000000000008</v>
      </c>
      <c r="G38" s="231">
        <v>0.91</v>
      </c>
      <c r="H38" s="231">
        <v>3</v>
      </c>
      <c r="I38" s="231">
        <v>24</v>
      </c>
      <c r="J38" s="231">
        <v>3</v>
      </c>
      <c r="K38" s="230" t="s">
        <v>2911</v>
      </c>
      <c r="L38" s="231" t="s">
        <v>2306</v>
      </c>
      <c r="M38" s="231" t="s">
        <v>1814</v>
      </c>
      <c r="N38" s="232" t="s">
        <v>2085</v>
      </c>
    </row>
    <row r="39" spans="1:14" x14ac:dyDescent="0.3">
      <c r="A39" s="237">
        <v>37</v>
      </c>
      <c r="B39" s="227" t="s">
        <v>774</v>
      </c>
      <c r="C39" s="228">
        <v>3</v>
      </c>
      <c r="D39" s="228">
        <v>8.2899999999999991</v>
      </c>
      <c r="E39" s="313">
        <v>8.1999999999999993</v>
      </c>
      <c r="F39" s="228">
        <v>8.25</v>
      </c>
      <c r="G39" s="228">
        <v>0.72</v>
      </c>
      <c r="H39" s="228">
        <v>4</v>
      </c>
      <c r="I39" s="228">
        <v>52</v>
      </c>
      <c r="J39" s="228">
        <v>8</v>
      </c>
      <c r="K39" s="227" t="s">
        <v>4178</v>
      </c>
      <c r="L39" s="228" t="s">
        <v>2724</v>
      </c>
      <c r="M39" s="228" t="s">
        <v>1839</v>
      </c>
      <c r="N39" s="229" t="s">
        <v>2085</v>
      </c>
    </row>
    <row r="40" spans="1:14" x14ac:dyDescent="0.3">
      <c r="A40" s="237">
        <v>38</v>
      </c>
      <c r="B40" s="230" t="s">
        <v>1337</v>
      </c>
      <c r="C40" s="231">
        <v>2</v>
      </c>
      <c r="D40" s="231">
        <v>8.2100000000000009</v>
      </c>
      <c r="E40" s="409">
        <v>8.15</v>
      </c>
      <c r="F40" s="231">
        <v>8</v>
      </c>
      <c r="G40" s="231">
        <v>0.82</v>
      </c>
      <c r="H40" s="231">
        <v>1</v>
      </c>
      <c r="I40" s="231">
        <v>22</v>
      </c>
      <c r="J40" s="231">
        <v>1</v>
      </c>
      <c r="K40" s="230" t="s">
        <v>2434</v>
      </c>
      <c r="L40" s="231" t="s">
        <v>3736</v>
      </c>
      <c r="M40" s="231" t="s">
        <v>1838</v>
      </c>
      <c r="N40" s="232" t="s">
        <v>2085</v>
      </c>
    </row>
    <row r="41" spans="1:14" x14ac:dyDescent="0.3">
      <c r="A41" s="237">
        <v>39</v>
      </c>
      <c r="B41" s="227" t="s">
        <v>301</v>
      </c>
      <c r="C41" s="228">
        <v>7</v>
      </c>
      <c r="D41" s="228">
        <v>8.0399999999999991</v>
      </c>
      <c r="E41" s="415">
        <v>8.0399999999999991</v>
      </c>
      <c r="F41" s="228">
        <v>7.89</v>
      </c>
      <c r="G41" s="228">
        <v>0.95</v>
      </c>
      <c r="H41" s="228">
        <v>13</v>
      </c>
      <c r="I41" s="228">
        <v>72</v>
      </c>
      <c r="J41" s="228">
        <v>0</v>
      </c>
      <c r="K41" s="227" t="s">
        <v>4179</v>
      </c>
      <c r="L41" s="228" t="s">
        <v>2189</v>
      </c>
      <c r="M41" s="228" t="s">
        <v>1839</v>
      </c>
      <c r="N41" s="229" t="s">
        <v>2085</v>
      </c>
    </row>
    <row r="42" spans="1:14" x14ac:dyDescent="0.3">
      <c r="A42" s="237">
        <v>40</v>
      </c>
      <c r="B42" s="230" t="s">
        <v>607</v>
      </c>
      <c r="C42" s="231">
        <v>2</v>
      </c>
      <c r="D42" s="231">
        <v>8.0500000000000007</v>
      </c>
      <c r="E42" s="396">
        <v>7.99</v>
      </c>
      <c r="F42" s="231">
        <v>8.1300000000000008</v>
      </c>
      <c r="G42" s="231">
        <v>0.63</v>
      </c>
      <c r="H42" s="231">
        <v>1</v>
      </c>
      <c r="I42" s="231">
        <v>34</v>
      </c>
      <c r="J42" s="231">
        <v>0</v>
      </c>
      <c r="K42" s="230" t="s">
        <v>739</v>
      </c>
      <c r="L42" s="231" t="s">
        <v>3584</v>
      </c>
      <c r="M42" s="231" t="s">
        <v>1850</v>
      </c>
      <c r="N42" s="232" t="s">
        <v>2085</v>
      </c>
    </row>
    <row r="44" spans="1:14" ht="17.399999999999999" x14ac:dyDescent="0.35">
      <c r="A44" s="433" t="s">
        <v>2630</v>
      </c>
      <c r="B44" s="433"/>
      <c r="C44" s="433"/>
      <c r="D44" s="433"/>
      <c r="E44" s="433"/>
    </row>
    <row r="45" spans="1:14" x14ac:dyDescent="0.3">
      <c r="A45" s="226" t="s">
        <v>318</v>
      </c>
      <c r="B45" s="226" t="s">
        <v>285</v>
      </c>
      <c r="C45" s="226" t="s">
        <v>286</v>
      </c>
      <c r="D45" s="226" t="s">
        <v>287</v>
      </c>
      <c r="E45" s="226" t="s">
        <v>958</v>
      </c>
    </row>
    <row r="46" spans="1:14" x14ac:dyDescent="0.3">
      <c r="A46" s="233">
        <v>1</v>
      </c>
      <c r="B46" s="227" t="s">
        <v>292</v>
      </c>
      <c r="C46" s="227" t="s">
        <v>7</v>
      </c>
      <c r="D46" s="228">
        <v>10.11</v>
      </c>
      <c r="E46" s="234">
        <v>10.99</v>
      </c>
    </row>
    <row r="47" spans="1:14" x14ac:dyDescent="0.3">
      <c r="A47" s="235">
        <v>2</v>
      </c>
      <c r="B47" s="230" t="s">
        <v>952</v>
      </c>
      <c r="C47" s="230" t="s">
        <v>950</v>
      </c>
      <c r="D47" s="231">
        <v>10.5</v>
      </c>
      <c r="E47" s="234">
        <v>10.85</v>
      </c>
    </row>
    <row r="48" spans="1:14" x14ac:dyDescent="0.3">
      <c r="A48" s="236">
        <v>3</v>
      </c>
      <c r="B48" s="227" t="s">
        <v>2358</v>
      </c>
      <c r="C48" s="227" t="s">
        <v>2343</v>
      </c>
      <c r="D48" s="228">
        <v>10</v>
      </c>
      <c r="E48" s="234">
        <v>10.44</v>
      </c>
    </row>
    <row r="49" spans="1:5" x14ac:dyDescent="0.3">
      <c r="A49" s="237">
        <v>4</v>
      </c>
      <c r="B49" s="230" t="s">
        <v>298</v>
      </c>
      <c r="C49" s="230" t="s">
        <v>982</v>
      </c>
      <c r="D49" s="231">
        <v>10</v>
      </c>
      <c r="E49" s="234">
        <v>10.39</v>
      </c>
    </row>
    <row r="50" spans="1:5" x14ac:dyDescent="0.3">
      <c r="A50" s="237">
        <v>5</v>
      </c>
      <c r="B50" s="227" t="s">
        <v>293</v>
      </c>
      <c r="C50" s="227" t="s">
        <v>294</v>
      </c>
      <c r="D50" s="228">
        <v>9.6999999999999993</v>
      </c>
      <c r="E50" s="234">
        <v>10.37</v>
      </c>
    </row>
    <row r="51" spans="1:5" x14ac:dyDescent="0.3">
      <c r="A51" s="237">
        <v>6</v>
      </c>
      <c r="B51" s="230" t="s">
        <v>2528</v>
      </c>
      <c r="C51" s="230" t="s">
        <v>634</v>
      </c>
      <c r="D51" s="231">
        <v>9.8800000000000008</v>
      </c>
      <c r="E51" s="234">
        <v>10.220000000000001</v>
      </c>
    </row>
    <row r="52" spans="1:5" x14ac:dyDescent="0.3">
      <c r="A52" s="237">
        <v>7</v>
      </c>
      <c r="B52" s="227" t="s">
        <v>296</v>
      </c>
      <c r="C52" s="227" t="s">
        <v>239</v>
      </c>
      <c r="D52" s="228">
        <v>9.3800000000000008</v>
      </c>
      <c r="E52" s="241">
        <v>9.5299999999999994</v>
      </c>
    </row>
    <row r="53" spans="1:5" x14ac:dyDescent="0.3">
      <c r="A53" s="237">
        <v>8</v>
      </c>
      <c r="B53" s="230" t="s">
        <v>297</v>
      </c>
      <c r="C53" s="230" t="s">
        <v>1116</v>
      </c>
      <c r="D53" s="231">
        <v>9.4</v>
      </c>
      <c r="E53" s="242">
        <v>9.4600000000000009</v>
      </c>
    </row>
    <row r="54" spans="1:5" x14ac:dyDescent="0.3">
      <c r="A54" s="237">
        <v>9</v>
      </c>
      <c r="B54" s="227" t="s">
        <v>300</v>
      </c>
      <c r="C54" s="227" t="s">
        <v>131</v>
      </c>
      <c r="D54" s="228">
        <v>9.2899999999999991</v>
      </c>
      <c r="E54" s="412">
        <v>9.44</v>
      </c>
    </row>
    <row r="55" spans="1:5" x14ac:dyDescent="0.3">
      <c r="A55" s="237">
        <v>10</v>
      </c>
      <c r="B55" s="230" t="s">
        <v>1932</v>
      </c>
      <c r="C55" s="230" t="s">
        <v>1925</v>
      </c>
      <c r="D55" s="231">
        <v>9.31</v>
      </c>
      <c r="E55" s="243">
        <v>9.43</v>
      </c>
    </row>
    <row r="56" spans="1:5" x14ac:dyDescent="0.3">
      <c r="A56" s="237">
        <v>11</v>
      </c>
      <c r="B56" s="227" t="s">
        <v>301</v>
      </c>
      <c r="C56" s="227" t="s">
        <v>56</v>
      </c>
      <c r="D56" s="228">
        <v>9.25</v>
      </c>
      <c r="E56" s="244">
        <v>9.3699999999999992</v>
      </c>
    </row>
    <row r="57" spans="1:5" x14ac:dyDescent="0.3">
      <c r="A57" s="237">
        <v>12</v>
      </c>
      <c r="B57" s="230" t="s">
        <v>302</v>
      </c>
      <c r="C57" s="230" t="s">
        <v>186</v>
      </c>
      <c r="D57" s="231">
        <v>9.2100000000000009</v>
      </c>
      <c r="E57" s="246">
        <v>9.34</v>
      </c>
    </row>
    <row r="58" spans="1:5" x14ac:dyDescent="0.3">
      <c r="A58" s="237">
        <v>13</v>
      </c>
      <c r="B58" s="227" t="s">
        <v>3117</v>
      </c>
      <c r="C58" s="227" t="s">
        <v>3118</v>
      </c>
      <c r="D58" s="228">
        <v>9.14</v>
      </c>
      <c r="E58" s="247">
        <v>9.23</v>
      </c>
    </row>
    <row r="59" spans="1:5" x14ac:dyDescent="0.3">
      <c r="A59" s="237">
        <v>14</v>
      </c>
      <c r="B59" s="230" t="s">
        <v>441</v>
      </c>
      <c r="C59" s="230" t="s">
        <v>459</v>
      </c>
      <c r="D59" s="231">
        <v>9.17</v>
      </c>
      <c r="E59" s="247">
        <v>9.23</v>
      </c>
    </row>
    <row r="60" spans="1:5" x14ac:dyDescent="0.3">
      <c r="A60" s="237">
        <v>15</v>
      </c>
      <c r="B60" s="227" t="s">
        <v>405</v>
      </c>
      <c r="C60" s="227" t="s">
        <v>36</v>
      </c>
      <c r="D60" s="228">
        <v>9.15</v>
      </c>
      <c r="E60" s="247">
        <v>9.23</v>
      </c>
    </row>
    <row r="61" spans="1:5" x14ac:dyDescent="0.3">
      <c r="A61" s="237">
        <v>16</v>
      </c>
      <c r="B61" s="230" t="s">
        <v>866</v>
      </c>
      <c r="C61" s="230" t="s">
        <v>857</v>
      </c>
      <c r="D61" s="231">
        <v>9.06</v>
      </c>
      <c r="E61" s="251">
        <v>9.1</v>
      </c>
    </row>
    <row r="62" spans="1:5" x14ac:dyDescent="0.3">
      <c r="A62" s="237">
        <v>17</v>
      </c>
      <c r="B62" s="227" t="s">
        <v>303</v>
      </c>
      <c r="C62" s="227" t="s">
        <v>157</v>
      </c>
      <c r="D62" s="228">
        <v>9</v>
      </c>
      <c r="E62" s="251">
        <v>9.09</v>
      </c>
    </row>
    <row r="63" spans="1:5" x14ac:dyDescent="0.3">
      <c r="A63" s="237">
        <v>18</v>
      </c>
      <c r="B63" s="230" t="s">
        <v>304</v>
      </c>
      <c r="C63" s="230" t="s">
        <v>229</v>
      </c>
      <c r="D63" s="231">
        <v>9</v>
      </c>
      <c r="E63" s="251">
        <v>9.09</v>
      </c>
    </row>
    <row r="64" spans="1:5" x14ac:dyDescent="0.3">
      <c r="A64" s="237">
        <v>19</v>
      </c>
      <c r="B64" s="227" t="s">
        <v>307</v>
      </c>
      <c r="C64" s="227" t="s">
        <v>95</v>
      </c>
      <c r="D64" s="228">
        <v>8.94</v>
      </c>
      <c r="E64" s="254">
        <v>9.0299999999999994</v>
      </c>
    </row>
    <row r="65" spans="1:5" x14ac:dyDescent="0.3">
      <c r="A65" s="237">
        <v>20</v>
      </c>
      <c r="B65" s="230" t="s">
        <v>2608</v>
      </c>
      <c r="C65" s="230" t="s">
        <v>2601</v>
      </c>
      <c r="D65" s="231">
        <v>9.06</v>
      </c>
      <c r="E65" s="255">
        <v>9.02</v>
      </c>
    </row>
    <row r="66" spans="1:5" x14ac:dyDescent="0.3">
      <c r="A66" s="237">
        <v>21</v>
      </c>
      <c r="B66" s="227" t="s">
        <v>1529</v>
      </c>
      <c r="C66" s="227" t="s">
        <v>2254</v>
      </c>
      <c r="D66" s="228">
        <v>9.07</v>
      </c>
      <c r="E66" s="255">
        <v>9.02</v>
      </c>
    </row>
    <row r="67" spans="1:5" x14ac:dyDescent="0.3">
      <c r="A67" s="237">
        <v>22</v>
      </c>
      <c r="B67" s="230" t="s">
        <v>315</v>
      </c>
      <c r="C67" s="230" t="s">
        <v>2270</v>
      </c>
      <c r="D67" s="231">
        <v>8.92</v>
      </c>
      <c r="E67" s="256">
        <v>9</v>
      </c>
    </row>
    <row r="68" spans="1:5" x14ac:dyDescent="0.3">
      <c r="A68" s="237">
        <v>23</v>
      </c>
      <c r="B68" s="227" t="s">
        <v>2695</v>
      </c>
      <c r="C68" s="227" t="s">
        <v>2691</v>
      </c>
      <c r="D68" s="228">
        <v>8.83</v>
      </c>
      <c r="E68" s="256">
        <v>9</v>
      </c>
    </row>
    <row r="69" spans="1:5" x14ac:dyDescent="0.3">
      <c r="A69" s="237">
        <v>24</v>
      </c>
      <c r="B69" s="230" t="s">
        <v>1263</v>
      </c>
      <c r="C69" s="230" t="s">
        <v>1254</v>
      </c>
      <c r="D69" s="231">
        <v>9</v>
      </c>
      <c r="E69" s="258">
        <v>8.9600000000000009</v>
      </c>
    </row>
    <row r="70" spans="1:5" x14ac:dyDescent="0.3">
      <c r="A70" s="237">
        <v>25</v>
      </c>
      <c r="B70" s="227" t="s">
        <v>312</v>
      </c>
      <c r="C70" s="227" t="s">
        <v>1754</v>
      </c>
      <c r="D70" s="228">
        <v>9</v>
      </c>
      <c r="E70" s="258">
        <v>8.9600000000000009</v>
      </c>
    </row>
    <row r="72" spans="1:5" ht="17.399999999999999" x14ac:dyDescent="0.35">
      <c r="A72" s="433" t="s">
        <v>2631</v>
      </c>
      <c r="B72" s="433"/>
      <c r="C72" s="433"/>
      <c r="D72" s="433"/>
      <c r="E72" s="433"/>
    </row>
    <row r="73" spans="1:5" x14ac:dyDescent="0.3">
      <c r="A73" s="226" t="s">
        <v>318</v>
      </c>
      <c r="B73" s="226" t="s">
        <v>285</v>
      </c>
      <c r="C73" s="226" t="s">
        <v>286</v>
      </c>
      <c r="D73" s="226" t="s">
        <v>287</v>
      </c>
      <c r="E73" s="226" t="s">
        <v>958</v>
      </c>
    </row>
    <row r="74" spans="1:5" x14ac:dyDescent="0.3">
      <c r="A74" s="233">
        <v>1</v>
      </c>
      <c r="B74" s="227" t="s">
        <v>292</v>
      </c>
      <c r="C74" s="227" t="s">
        <v>7</v>
      </c>
      <c r="D74" s="228">
        <v>10.11</v>
      </c>
      <c r="E74" s="234">
        <v>10.99</v>
      </c>
    </row>
    <row r="75" spans="1:5" x14ac:dyDescent="0.3">
      <c r="A75" s="235">
        <v>2</v>
      </c>
      <c r="B75" s="230" t="s">
        <v>952</v>
      </c>
      <c r="C75" s="230" t="s">
        <v>950</v>
      </c>
      <c r="D75" s="231">
        <v>10.5</v>
      </c>
      <c r="E75" s="234">
        <v>10.85</v>
      </c>
    </row>
    <row r="76" spans="1:5" x14ac:dyDescent="0.3">
      <c r="A76" s="236">
        <v>3</v>
      </c>
      <c r="B76" s="227" t="s">
        <v>2358</v>
      </c>
      <c r="C76" s="227" t="s">
        <v>2343</v>
      </c>
      <c r="D76" s="228">
        <v>10</v>
      </c>
      <c r="E76" s="234">
        <v>10.44</v>
      </c>
    </row>
    <row r="77" spans="1:5" x14ac:dyDescent="0.3">
      <c r="A77" s="237">
        <v>4</v>
      </c>
      <c r="B77" s="230" t="s">
        <v>298</v>
      </c>
      <c r="C77" s="230" t="s">
        <v>982</v>
      </c>
      <c r="D77" s="231">
        <v>10</v>
      </c>
      <c r="E77" s="234">
        <v>10.39</v>
      </c>
    </row>
    <row r="78" spans="1:5" x14ac:dyDescent="0.3">
      <c r="A78" s="237">
        <v>5</v>
      </c>
      <c r="B78" s="227" t="s">
        <v>293</v>
      </c>
      <c r="C78" s="227" t="s">
        <v>294</v>
      </c>
      <c r="D78" s="228">
        <v>9.6999999999999993</v>
      </c>
      <c r="E78" s="234">
        <v>10.37</v>
      </c>
    </row>
    <row r="79" spans="1:5" x14ac:dyDescent="0.3">
      <c r="A79" s="237">
        <v>6</v>
      </c>
      <c r="B79" s="230" t="s">
        <v>2528</v>
      </c>
      <c r="C79" s="230" t="s">
        <v>634</v>
      </c>
      <c r="D79" s="231">
        <v>9.8800000000000008</v>
      </c>
      <c r="E79" s="234">
        <v>10.220000000000001</v>
      </c>
    </row>
    <row r="80" spans="1:5" x14ac:dyDescent="0.3">
      <c r="A80" s="237">
        <v>7</v>
      </c>
      <c r="B80" s="227" t="s">
        <v>293</v>
      </c>
      <c r="C80" s="227" t="s">
        <v>295</v>
      </c>
      <c r="D80" s="228">
        <v>9.68</v>
      </c>
      <c r="E80" s="234">
        <v>10.07</v>
      </c>
    </row>
    <row r="81" spans="1:5" x14ac:dyDescent="0.3">
      <c r="A81" s="237">
        <v>8</v>
      </c>
      <c r="B81" s="230" t="s">
        <v>298</v>
      </c>
      <c r="C81" s="230" t="s">
        <v>299</v>
      </c>
      <c r="D81" s="231">
        <v>9.61</v>
      </c>
      <c r="E81" s="234">
        <v>10</v>
      </c>
    </row>
    <row r="82" spans="1:5" x14ac:dyDescent="0.3">
      <c r="A82" s="237">
        <v>9</v>
      </c>
      <c r="B82" s="227" t="s">
        <v>292</v>
      </c>
      <c r="C82" s="227" t="s">
        <v>517</v>
      </c>
      <c r="D82" s="228">
        <v>9.61</v>
      </c>
      <c r="E82" s="238">
        <v>9.99</v>
      </c>
    </row>
    <row r="83" spans="1:5" x14ac:dyDescent="0.3">
      <c r="A83" s="237">
        <v>10</v>
      </c>
      <c r="B83" s="230" t="s">
        <v>292</v>
      </c>
      <c r="C83" s="230" t="s">
        <v>156</v>
      </c>
      <c r="D83" s="231">
        <v>9.61</v>
      </c>
      <c r="E83" s="239">
        <v>9.9600000000000009</v>
      </c>
    </row>
    <row r="84" spans="1:5" x14ac:dyDescent="0.3">
      <c r="A84" s="237">
        <v>11</v>
      </c>
      <c r="B84" s="227" t="s">
        <v>298</v>
      </c>
      <c r="C84" s="227" t="s">
        <v>727</v>
      </c>
      <c r="D84" s="228">
        <v>9.4</v>
      </c>
      <c r="E84" s="240">
        <v>9.5500000000000007</v>
      </c>
    </row>
    <row r="85" spans="1:5" x14ac:dyDescent="0.3">
      <c r="A85" s="237">
        <v>12</v>
      </c>
      <c r="B85" s="230" t="s">
        <v>296</v>
      </c>
      <c r="C85" s="230" t="s">
        <v>239</v>
      </c>
      <c r="D85" s="231">
        <v>9.3800000000000008</v>
      </c>
      <c r="E85" s="241">
        <v>9.5299999999999994</v>
      </c>
    </row>
    <row r="86" spans="1:5" x14ac:dyDescent="0.3">
      <c r="A86" s="237">
        <v>13</v>
      </c>
      <c r="B86" s="227" t="s">
        <v>292</v>
      </c>
      <c r="C86" s="227" t="s">
        <v>2433</v>
      </c>
      <c r="D86" s="228">
        <v>9.25</v>
      </c>
      <c r="E86" s="241">
        <v>9.5299999999999994</v>
      </c>
    </row>
    <row r="87" spans="1:5" x14ac:dyDescent="0.3">
      <c r="A87" s="237">
        <v>14</v>
      </c>
      <c r="B87" s="230" t="s">
        <v>297</v>
      </c>
      <c r="C87" s="230" t="s">
        <v>1116</v>
      </c>
      <c r="D87" s="231">
        <v>9.4</v>
      </c>
      <c r="E87" s="242">
        <v>9.4600000000000009</v>
      </c>
    </row>
    <row r="88" spans="1:5" x14ac:dyDescent="0.3">
      <c r="A88" s="237">
        <v>15</v>
      </c>
      <c r="B88" s="227" t="s">
        <v>300</v>
      </c>
      <c r="C88" s="227" t="s">
        <v>131</v>
      </c>
      <c r="D88" s="228">
        <v>9.2899999999999991</v>
      </c>
      <c r="E88" s="412">
        <v>9.44</v>
      </c>
    </row>
    <row r="89" spans="1:5" x14ac:dyDescent="0.3">
      <c r="A89" s="237">
        <v>16</v>
      </c>
      <c r="B89" s="230" t="s">
        <v>1932</v>
      </c>
      <c r="C89" s="230" t="s">
        <v>1925</v>
      </c>
      <c r="D89" s="231">
        <v>9.31</v>
      </c>
      <c r="E89" s="243">
        <v>9.43</v>
      </c>
    </row>
    <row r="90" spans="1:5" x14ac:dyDescent="0.3">
      <c r="A90" s="237">
        <v>17</v>
      </c>
      <c r="B90" s="227" t="s">
        <v>292</v>
      </c>
      <c r="C90" s="227" t="s">
        <v>1175</v>
      </c>
      <c r="D90" s="228">
        <v>9.2899999999999991</v>
      </c>
      <c r="E90" s="379">
        <v>9.42</v>
      </c>
    </row>
    <row r="91" spans="1:5" x14ac:dyDescent="0.3">
      <c r="A91" s="237">
        <v>18</v>
      </c>
      <c r="B91" s="230" t="s">
        <v>301</v>
      </c>
      <c r="C91" s="230" t="s">
        <v>56</v>
      </c>
      <c r="D91" s="231">
        <v>9.25</v>
      </c>
      <c r="E91" s="244">
        <v>9.3699999999999992</v>
      </c>
    </row>
    <row r="92" spans="1:5" x14ac:dyDescent="0.3">
      <c r="A92" s="237">
        <v>19</v>
      </c>
      <c r="B92" s="227" t="s">
        <v>293</v>
      </c>
      <c r="C92" s="227" t="s">
        <v>251</v>
      </c>
      <c r="D92" s="228">
        <v>9.15</v>
      </c>
      <c r="E92" s="244">
        <v>9.3699999999999992</v>
      </c>
    </row>
    <row r="93" spans="1:5" x14ac:dyDescent="0.3">
      <c r="A93" s="237">
        <v>20</v>
      </c>
      <c r="B93" s="230" t="s">
        <v>297</v>
      </c>
      <c r="C93" s="230" t="s">
        <v>960</v>
      </c>
      <c r="D93" s="231">
        <v>9.3000000000000007</v>
      </c>
      <c r="E93" s="245">
        <v>9.36</v>
      </c>
    </row>
    <row r="94" spans="1:5" x14ac:dyDescent="0.3">
      <c r="A94" s="237">
        <v>21</v>
      </c>
      <c r="B94" s="227" t="s">
        <v>302</v>
      </c>
      <c r="C94" s="227" t="s">
        <v>186</v>
      </c>
      <c r="D94" s="228">
        <v>9.2100000000000009</v>
      </c>
      <c r="E94" s="246">
        <v>9.34</v>
      </c>
    </row>
    <row r="95" spans="1:5" x14ac:dyDescent="0.3">
      <c r="A95" s="237">
        <v>22</v>
      </c>
      <c r="B95" s="230" t="s">
        <v>3117</v>
      </c>
      <c r="C95" s="230" t="s">
        <v>3118</v>
      </c>
      <c r="D95" s="231">
        <v>9.14</v>
      </c>
      <c r="E95" s="247">
        <v>9.23</v>
      </c>
    </row>
    <row r="96" spans="1:5" x14ac:dyDescent="0.3">
      <c r="A96" s="237">
        <v>23</v>
      </c>
      <c r="B96" s="227" t="s">
        <v>441</v>
      </c>
      <c r="C96" s="227" t="s">
        <v>459</v>
      </c>
      <c r="D96" s="228">
        <v>9.17</v>
      </c>
      <c r="E96" s="247">
        <v>9.23</v>
      </c>
    </row>
    <row r="97" spans="1:5" x14ac:dyDescent="0.3">
      <c r="A97" s="237">
        <v>24</v>
      </c>
      <c r="B97" s="230" t="s">
        <v>405</v>
      </c>
      <c r="C97" s="230" t="s">
        <v>36</v>
      </c>
      <c r="D97" s="231">
        <v>9.15</v>
      </c>
      <c r="E97" s="247">
        <v>9.23</v>
      </c>
    </row>
    <row r="98" spans="1:5" x14ac:dyDescent="0.3">
      <c r="A98" s="237">
        <v>25</v>
      </c>
      <c r="B98" s="227" t="s">
        <v>301</v>
      </c>
      <c r="C98" s="227" t="s">
        <v>653</v>
      </c>
      <c r="D98" s="228">
        <v>9.1300000000000008</v>
      </c>
      <c r="E98" s="248">
        <v>9.2100000000000009</v>
      </c>
    </row>
    <row r="103" spans="1:5" ht="17.399999999999999" x14ac:dyDescent="0.35">
      <c r="A103" s="433" t="s">
        <v>3737</v>
      </c>
      <c r="B103" s="433"/>
      <c r="C103" s="433"/>
      <c r="D103" s="433"/>
      <c r="E103" s="433"/>
    </row>
    <row r="104" spans="1:5" x14ac:dyDescent="0.3">
      <c r="A104" s="226" t="s">
        <v>318</v>
      </c>
      <c r="B104" s="226" t="s">
        <v>285</v>
      </c>
      <c r="C104" s="226" t="s">
        <v>286</v>
      </c>
      <c r="D104" s="226" t="s">
        <v>287</v>
      </c>
      <c r="E104" s="226" t="s">
        <v>958</v>
      </c>
    </row>
    <row r="105" spans="1:5" x14ac:dyDescent="0.3">
      <c r="A105" s="233">
        <v>1</v>
      </c>
      <c r="B105" s="227" t="s">
        <v>292</v>
      </c>
      <c r="C105" s="227" t="s">
        <v>3367</v>
      </c>
      <c r="D105" s="228">
        <v>9.57</v>
      </c>
      <c r="E105" s="380">
        <v>9.98</v>
      </c>
    </row>
    <row r="106" spans="1:5" x14ac:dyDescent="0.3">
      <c r="A106" s="235">
        <v>2</v>
      </c>
      <c r="B106" s="230" t="s">
        <v>300</v>
      </c>
      <c r="C106" s="230" t="s">
        <v>3374</v>
      </c>
      <c r="D106" s="231">
        <v>9.0299999999999994</v>
      </c>
      <c r="E106" s="252">
        <v>9.08</v>
      </c>
    </row>
    <row r="107" spans="1:5" x14ac:dyDescent="0.3">
      <c r="A107" s="236">
        <v>3</v>
      </c>
      <c r="B107" s="227" t="s">
        <v>3117</v>
      </c>
      <c r="C107" s="227" t="s">
        <v>3118</v>
      </c>
      <c r="D107" s="228">
        <v>9.14</v>
      </c>
      <c r="E107" s="247">
        <v>9.23</v>
      </c>
    </row>
    <row r="108" spans="1:5" x14ac:dyDescent="0.3">
      <c r="A108" s="237">
        <v>4</v>
      </c>
      <c r="B108" s="230" t="s">
        <v>441</v>
      </c>
      <c r="C108" s="230" t="s">
        <v>2632</v>
      </c>
      <c r="D108" s="231">
        <v>8.9700000000000006</v>
      </c>
      <c r="E108" s="254">
        <v>9.0299999999999994</v>
      </c>
    </row>
    <row r="109" spans="1:5" x14ac:dyDescent="0.3">
      <c r="A109" s="237">
        <v>5</v>
      </c>
      <c r="B109" s="227" t="s">
        <v>1448</v>
      </c>
      <c r="C109" s="227" t="s">
        <v>1449</v>
      </c>
      <c r="D109" s="228">
        <v>8.82</v>
      </c>
      <c r="E109" s="268">
        <v>8.84</v>
      </c>
    </row>
    <row r="111" spans="1:5" ht="17.399999999999999" x14ac:dyDescent="0.35">
      <c r="A111" s="433" t="s">
        <v>3836</v>
      </c>
      <c r="B111" s="433"/>
      <c r="C111" s="433"/>
      <c r="D111" s="433"/>
      <c r="E111" s="433"/>
    </row>
    <row r="112" spans="1:5" x14ac:dyDescent="0.3">
      <c r="A112" s="226" t="s">
        <v>318</v>
      </c>
      <c r="B112" s="226" t="s">
        <v>285</v>
      </c>
      <c r="C112" s="226" t="s">
        <v>286</v>
      </c>
      <c r="D112" s="226" t="s">
        <v>287</v>
      </c>
      <c r="E112" s="226" t="s">
        <v>958</v>
      </c>
    </row>
    <row r="113" spans="1:5" x14ac:dyDescent="0.3">
      <c r="A113" s="233">
        <v>1</v>
      </c>
      <c r="B113" s="227" t="s">
        <v>2358</v>
      </c>
      <c r="C113" s="227" t="s">
        <v>2343</v>
      </c>
      <c r="D113" s="228">
        <v>10</v>
      </c>
      <c r="E113" s="234">
        <v>10.44</v>
      </c>
    </row>
    <row r="114" spans="1:5" x14ac:dyDescent="0.3">
      <c r="A114" s="235">
        <v>2</v>
      </c>
      <c r="B114" s="230" t="s">
        <v>298</v>
      </c>
      <c r="C114" s="230" t="s">
        <v>2633</v>
      </c>
      <c r="D114" s="231">
        <v>9.48</v>
      </c>
      <c r="E114" s="339">
        <v>9.73</v>
      </c>
    </row>
    <row r="115" spans="1:5" x14ac:dyDescent="0.3">
      <c r="A115" s="236">
        <v>3</v>
      </c>
      <c r="B115" s="227" t="s">
        <v>297</v>
      </c>
      <c r="C115" s="227" t="s">
        <v>2634</v>
      </c>
      <c r="D115" s="228">
        <v>9.35</v>
      </c>
      <c r="E115" s="340">
        <v>9.41</v>
      </c>
    </row>
    <row r="116" spans="1:5" x14ac:dyDescent="0.3">
      <c r="A116" s="237">
        <v>4</v>
      </c>
      <c r="B116" s="230" t="s">
        <v>441</v>
      </c>
      <c r="C116" s="230" t="s">
        <v>2635</v>
      </c>
      <c r="D116" s="231">
        <v>9.06</v>
      </c>
      <c r="E116" s="250">
        <v>9.14</v>
      </c>
    </row>
    <row r="117" spans="1:5" x14ac:dyDescent="0.3">
      <c r="A117" s="237">
        <v>5</v>
      </c>
      <c r="B117" s="227" t="s">
        <v>405</v>
      </c>
      <c r="C117" s="227" t="s">
        <v>36</v>
      </c>
      <c r="D117" s="228">
        <v>9.15</v>
      </c>
      <c r="E117" s="247">
        <v>9.23</v>
      </c>
    </row>
    <row r="119" spans="1:5" ht="17.399999999999999" x14ac:dyDescent="0.35">
      <c r="A119" s="433" t="s">
        <v>3672</v>
      </c>
      <c r="B119" s="433"/>
      <c r="C119" s="433"/>
      <c r="D119" s="433"/>
      <c r="E119" s="433"/>
    </row>
    <row r="120" spans="1:5" x14ac:dyDescent="0.3">
      <c r="A120" s="226" t="s">
        <v>318</v>
      </c>
      <c r="B120" s="226" t="s">
        <v>285</v>
      </c>
      <c r="C120" s="226" t="s">
        <v>286</v>
      </c>
      <c r="D120" s="226" t="s">
        <v>287</v>
      </c>
      <c r="E120" s="226" t="s">
        <v>958</v>
      </c>
    </row>
    <row r="121" spans="1:5" x14ac:dyDescent="0.3">
      <c r="A121" s="233">
        <v>1</v>
      </c>
      <c r="B121" s="227" t="s">
        <v>298</v>
      </c>
      <c r="C121" s="227" t="s">
        <v>2857</v>
      </c>
      <c r="D121" s="228">
        <v>9.4</v>
      </c>
      <c r="E121" s="341">
        <v>9.68</v>
      </c>
    </row>
    <row r="122" spans="1:5" x14ac:dyDescent="0.3">
      <c r="A122" s="235">
        <v>2</v>
      </c>
      <c r="B122" s="230" t="s">
        <v>293</v>
      </c>
      <c r="C122" s="230" t="s">
        <v>2636</v>
      </c>
      <c r="D122" s="231">
        <v>9.51</v>
      </c>
      <c r="E122" s="342">
        <v>9.94</v>
      </c>
    </row>
    <row r="123" spans="1:5" x14ac:dyDescent="0.3">
      <c r="A123" s="236">
        <v>3</v>
      </c>
      <c r="B123" s="227" t="s">
        <v>297</v>
      </c>
      <c r="C123" s="227" t="s">
        <v>2634</v>
      </c>
      <c r="D123" s="228">
        <v>9.35</v>
      </c>
      <c r="E123" s="340">
        <v>9.41</v>
      </c>
    </row>
    <row r="124" spans="1:5" x14ac:dyDescent="0.3">
      <c r="A124" s="237">
        <v>4</v>
      </c>
      <c r="B124" s="230" t="s">
        <v>405</v>
      </c>
      <c r="C124" s="230" t="s">
        <v>36</v>
      </c>
      <c r="D124" s="231">
        <v>9.15</v>
      </c>
      <c r="E124" s="247">
        <v>9.23</v>
      </c>
    </row>
    <row r="125" spans="1:5" x14ac:dyDescent="0.3">
      <c r="A125" s="237">
        <v>5</v>
      </c>
      <c r="B125" s="227" t="s">
        <v>1263</v>
      </c>
      <c r="C125" s="227" t="s">
        <v>1254</v>
      </c>
      <c r="D125" s="228">
        <v>9</v>
      </c>
      <c r="E125" s="258">
        <v>8.9600000000000009</v>
      </c>
    </row>
    <row r="127" spans="1:5" ht="17.399999999999999" x14ac:dyDescent="0.35">
      <c r="A127" s="433" t="s">
        <v>3862</v>
      </c>
      <c r="B127" s="433"/>
      <c r="C127" s="433"/>
      <c r="D127" s="433"/>
      <c r="E127" s="433"/>
    </row>
    <row r="128" spans="1:5" x14ac:dyDescent="0.3">
      <c r="A128" s="226" t="s">
        <v>318</v>
      </c>
      <c r="B128" s="226" t="s">
        <v>285</v>
      </c>
      <c r="C128" s="226" t="s">
        <v>286</v>
      </c>
      <c r="D128" s="226" t="s">
        <v>287</v>
      </c>
      <c r="E128" s="226" t="s">
        <v>958</v>
      </c>
    </row>
    <row r="129" spans="1:5" x14ac:dyDescent="0.3">
      <c r="A129" s="233">
        <v>1</v>
      </c>
      <c r="B129" s="227" t="s">
        <v>293</v>
      </c>
      <c r="C129" s="227" t="s">
        <v>2637</v>
      </c>
      <c r="D129" s="228">
        <v>9.3000000000000007</v>
      </c>
      <c r="E129" s="336">
        <v>9.58</v>
      </c>
    </row>
    <row r="130" spans="1:5" x14ac:dyDescent="0.3">
      <c r="A130" s="235">
        <v>2</v>
      </c>
      <c r="B130" s="230" t="s">
        <v>3856</v>
      </c>
      <c r="C130" s="230" t="s">
        <v>3857</v>
      </c>
      <c r="D130" s="231">
        <v>9</v>
      </c>
      <c r="E130" s="259">
        <v>8.9499999999999993</v>
      </c>
    </row>
    <row r="131" spans="1:5" x14ac:dyDescent="0.3">
      <c r="A131" s="236">
        <v>3</v>
      </c>
      <c r="B131" s="227" t="s">
        <v>677</v>
      </c>
      <c r="C131" s="227" t="s">
        <v>1355</v>
      </c>
      <c r="D131" s="228">
        <v>8.8800000000000008</v>
      </c>
      <c r="E131" s="263">
        <v>8.89</v>
      </c>
    </row>
    <row r="132" spans="1:5" x14ac:dyDescent="0.3">
      <c r="A132" s="237">
        <v>4</v>
      </c>
      <c r="B132" s="230" t="s">
        <v>2447</v>
      </c>
      <c r="C132" s="230" t="s">
        <v>2448</v>
      </c>
      <c r="D132" s="231">
        <v>8.86</v>
      </c>
      <c r="E132" s="264">
        <v>8.8800000000000008</v>
      </c>
    </row>
    <row r="133" spans="1:5" x14ac:dyDescent="0.3">
      <c r="A133" s="237">
        <v>5</v>
      </c>
      <c r="B133" s="227" t="s">
        <v>2303</v>
      </c>
      <c r="C133" s="227" t="s">
        <v>2293</v>
      </c>
      <c r="D133" s="228">
        <v>8.86</v>
      </c>
      <c r="E133" s="276">
        <v>8.74</v>
      </c>
    </row>
    <row r="135" spans="1:5" ht="17.399999999999999" x14ac:dyDescent="0.35">
      <c r="A135" s="433" t="s">
        <v>4249</v>
      </c>
      <c r="B135" s="433"/>
      <c r="C135" s="433"/>
      <c r="D135" s="433"/>
      <c r="E135" s="433"/>
    </row>
    <row r="136" spans="1:5" x14ac:dyDescent="0.3">
      <c r="A136" s="226" t="s">
        <v>318</v>
      </c>
      <c r="B136" s="226" t="s">
        <v>285</v>
      </c>
      <c r="C136" s="226" t="s">
        <v>286</v>
      </c>
      <c r="D136" s="226" t="s">
        <v>287</v>
      </c>
      <c r="E136" s="226" t="s">
        <v>958</v>
      </c>
    </row>
    <row r="137" spans="1:5" x14ac:dyDescent="0.3">
      <c r="A137" s="233">
        <v>1</v>
      </c>
      <c r="B137" s="227" t="s">
        <v>292</v>
      </c>
      <c r="C137" s="227" t="s">
        <v>3738</v>
      </c>
      <c r="D137" s="228">
        <v>9.65</v>
      </c>
      <c r="E137" s="234">
        <v>10.119999999999999</v>
      </c>
    </row>
    <row r="138" spans="1:5" x14ac:dyDescent="0.3">
      <c r="A138" s="235">
        <v>2</v>
      </c>
      <c r="B138" s="230" t="s">
        <v>2695</v>
      </c>
      <c r="C138" s="230" t="s">
        <v>2691</v>
      </c>
      <c r="D138" s="231">
        <v>8.83</v>
      </c>
      <c r="E138" s="256">
        <v>9</v>
      </c>
    </row>
    <row r="139" spans="1:5" x14ac:dyDescent="0.3">
      <c r="A139" s="236">
        <v>3</v>
      </c>
      <c r="B139" s="227" t="s">
        <v>2926</v>
      </c>
      <c r="C139" s="227" t="s">
        <v>3271</v>
      </c>
      <c r="D139" s="228">
        <v>8.85</v>
      </c>
      <c r="E139" s="268">
        <v>8.84</v>
      </c>
    </row>
    <row r="140" spans="1:5" x14ac:dyDescent="0.3">
      <c r="A140" s="237">
        <v>4</v>
      </c>
      <c r="B140" s="230" t="s">
        <v>3075</v>
      </c>
      <c r="C140" s="230" t="s">
        <v>3076</v>
      </c>
      <c r="D140" s="231">
        <v>8.6</v>
      </c>
      <c r="E140" s="294">
        <v>8.5299999999999994</v>
      </c>
    </row>
    <row r="141" spans="1:5" x14ac:dyDescent="0.3">
      <c r="A141" s="237">
        <v>5</v>
      </c>
      <c r="B141" s="227" t="s">
        <v>1337</v>
      </c>
      <c r="C141" s="227" t="s">
        <v>3721</v>
      </c>
      <c r="D141" s="228">
        <v>8.36</v>
      </c>
      <c r="E141" s="306">
        <v>8.34</v>
      </c>
    </row>
    <row r="143" spans="1:5" ht="17.399999999999999" x14ac:dyDescent="0.35">
      <c r="A143" s="433" t="s">
        <v>3468</v>
      </c>
      <c r="B143" s="433"/>
      <c r="C143" s="433"/>
      <c r="D143" s="433"/>
      <c r="E143" s="433"/>
    </row>
    <row r="144" spans="1:5" x14ac:dyDescent="0.3">
      <c r="A144" s="226" t="s">
        <v>318</v>
      </c>
      <c r="B144" s="226" t="s">
        <v>285</v>
      </c>
      <c r="C144" s="226" t="s">
        <v>286</v>
      </c>
      <c r="D144" s="226" t="s">
        <v>287</v>
      </c>
      <c r="E144" s="226" t="s">
        <v>958</v>
      </c>
    </row>
    <row r="145" spans="1:5" x14ac:dyDescent="0.3">
      <c r="A145" s="233">
        <v>1</v>
      </c>
      <c r="B145" s="227" t="s">
        <v>300</v>
      </c>
      <c r="C145" s="227" t="s">
        <v>3326</v>
      </c>
      <c r="D145" s="228">
        <v>8.98</v>
      </c>
      <c r="E145" s="413">
        <v>9.01</v>
      </c>
    </row>
    <row r="146" spans="1:5" x14ac:dyDescent="0.3">
      <c r="A146" s="235">
        <v>2</v>
      </c>
      <c r="B146" s="230" t="s">
        <v>1448</v>
      </c>
      <c r="C146" s="230" t="s">
        <v>3469</v>
      </c>
      <c r="D146" s="231">
        <v>8.73</v>
      </c>
      <c r="E146" s="274">
        <v>8.76</v>
      </c>
    </row>
    <row r="147" spans="1:5" x14ac:dyDescent="0.3">
      <c r="A147" s="236">
        <v>3</v>
      </c>
      <c r="B147" s="227" t="s">
        <v>3322</v>
      </c>
      <c r="C147" s="227" t="s">
        <v>3323</v>
      </c>
      <c r="D147" s="228">
        <v>8.57</v>
      </c>
      <c r="E147" s="338">
        <v>8.59</v>
      </c>
    </row>
    <row r="148" spans="1:5" x14ac:dyDescent="0.3">
      <c r="A148" s="237">
        <v>4</v>
      </c>
      <c r="B148" s="230" t="s">
        <v>728</v>
      </c>
      <c r="C148" s="230" t="s">
        <v>729</v>
      </c>
      <c r="D148" s="231">
        <v>8.67</v>
      </c>
      <c r="E148" s="290">
        <v>8.57</v>
      </c>
    </row>
    <row r="149" spans="1:5" x14ac:dyDescent="0.3">
      <c r="A149" s="237">
        <v>5</v>
      </c>
      <c r="B149" s="227" t="s">
        <v>1091</v>
      </c>
      <c r="C149" s="227" t="s">
        <v>2357</v>
      </c>
      <c r="D149" s="228">
        <v>8.61</v>
      </c>
      <c r="E149" s="294">
        <v>8.5299999999999994</v>
      </c>
    </row>
    <row r="151" spans="1:5" ht="17.399999999999999" x14ac:dyDescent="0.35">
      <c r="A151" s="433" t="s">
        <v>3919</v>
      </c>
      <c r="B151" s="433"/>
      <c r="C151" s="433"/>
      <c r="D151" s="433"/>
      <c r="E151" s="433"/>
    </row>
    <row r="152" spans="1:5" x14ac:dyDescent="0.3">
      <c r="A152" s="226" t="s">
        <v>318</v>
      </c>
      <c r="B152" s="226" t="s">
        <v>285</v>
      </c>
      <c r="C152" s="226" t="s">
        <v>286</v>
      </c>
      <c r="D152" s="226" t="s">
        <v>287</v>
      </c>
      <c r="E152" s="226" t="s">
        <v>958</v>
      </c>
    </row>
    <row r="153" spans="1:5" x14ac:dyDescent="0.3">
      <c r="A153" s="233">
        <v>1</v>
      </c>
      <c r="B153" s="227" t="s">
        <v>2528</v>
      </c>
      <c r="C153" s="227" t="s">
        <v>3687</v>
      </c>
      <c r="D153" s="228">
        <v>9.24</v>
      </c>
      <c r="E153" s="246">
        <v>9.34</v>
      </c>
    </row>
    <row r="154" spans="1:5" x14ac:dyDescent="0.3">
      <c r="A154" s="235">
        <v>2</v>
      </c>
      <c r="B154" s="230" t="s">
        <v>3633</v>
      </c>
      <c r="C154" s="230" t="s">
        <v>3634</v>
      </c>
      <c r="D154" s="231">
        <v>9</v>
      </c>
      <c r="E154" s="261">
        <v>8.92</v>
      </c>
    </row>
    <row r="155" spans="1:5" x14ac:dyDescent="0.3">
      <c r="A155" s="236">
        <v>3</v>
      </c>
      <c r="B155" s="227" t="s">
        <v>1694</v>
      </c>
      <c r="C155" s="227" t="s">
        <v>1695</v>
      </c>
      <c r="D155" s="228">
        <v>8.92</v>
      </c>
      <c r="E155" s="268">
        <v>8.83</v>
      </c>
    </row>
    <row r="156" spans="1:5" x14ac:dyDescent="0.3">
      <c r="A156" s="237">
        <v>4</v>
      </c>
      <c r="B156" s="230" t="s">
        <v>2546</v>
      </c>
      <c r="C156" s="230" t="s">
        <v>2545</v>
      </c>
      <c r="D156" s="231">
        <v>8.8800000000000008</v>
      </c>
      <c r="E156" s="270">
        <v>8.81</v>
      </c>
    </row>
    <row r="157" spans="1:5" x14ac:dyDescent="0.3">
      <c r="A157" s="237">
        <v>5</v>
      </c>
      <c r="B157" s="227" t="s">
        <v>1593</v>
      </c>
      <c r="C157" s="227" t="s">
        <v>1592</v>
      </c>
      <c r="D157" s="228">
        <v>8.85</v>
      </c>
      <c r="E157" s="272">
        <v>8.7799999999999994</v>
      </c>
    </row>
    <row r="159" spans="1:5" ht="17.399999999999999" x14ac:dyDescent="0.35">
      <c r="A159" s="433" t="s">
        <v>2851</v>
      </c>
      <c r="B159" s="433"/>
      <c r="C159" s="433"/>
      <c r="D159" s="433"/>
      <c r="E159" s="433"/>
    </row>
    <row r="160" spans="1:5" x14ac:dyDescent="0.3">
      <c r="A160" s="226" t="s">
        <v>318</v>
      </c>
      <c r="B160" s="226" t="s">
        <v>285</v>
      </c>
      <c r="C160" s="226" t="s">
        <v>286</v>
      </c>
      <c r="D160" s="226" t="s">
        <v>287</v>
      </c>
      <c r="E160" s="226" t="s">
        <v>958</v>
      </c>
    </row>
    <row r="161" spans="1:5" x14ac:dyDescent="0.3">
      <c r="A161" s="233">
        <v>1</v>
      </c>
      <c r="B161" s="227" t="s">
        <v>1529</v>
      </c>
      <c r="C161" s="227" t="s">
        <v>2638</v>
      </c>
      <c r="D161" s="228">
        <v>8.91</v>
      </c>
      <c r="E161" s="269">
        <v>8.82</v>
      </c>
    </row>
    <row r="162" spans="1:5" x14ac:dyDescent="0.3">
      <c r="A162" s="235">
        <v>2</v>
      </c>
      <c r="B162" s="230" t="s">
        <v>311</v>
      </c>
      <c r="C162" s="230" t="s">
        <v>2639</v>
      </c>
      <c r="D162" s="231">
        <v>8.8000000000000007</v>
      </c>
      <c r="E162" s="275">
        <v>8.75</v>
      </c>
    </row>
    <row r="163" spans="1:5" x14ac:dyDescent="0.3">
      <c r="A163" s="236">
        <v>3</v>
      </c>
      <c r="B163" s="227" t="s">
        <v>2229</v>
      </c>
      <c r="C163" s="227" t="s">
        <v>2852</v>
      </c>
      <c r="D163" s="228">
        <v>8.66</v>
      </c>
      <c r="E163" s="337">
        <v>8.69</v>
      </c>
    </row>
    <row r="164" spans="1:5" x14ac:dyDescent="0.3">
      <c r="A164" s="237">
        <v>4</v>
      </c>
      <c r="B164" s="230" t="s">
        <v>310</v>
      </c>
      <c r="C164" s="230" t="s">
        <v>159</v>
      </c>
      <c r="D164" s="231">
        <v>8.7100000000000009</v>
      </c>
      <c r="E164" s="283">
        <v>8.65</v>
      </c>
    </row>
    <row r="165" spans="1:5" x14ac:dyDescent="0.3">
      <c r="A165" s="237">
        <v>5</v>
      </c>
      <c r="B165" s="227" t="s">
        <v>2372</v>
      </c>
      <c r="C165" s="227" t="s">
        <v>2373</v>
      </c>
      <c r="D165" s="228">
        <v>7.17</v>
      </c>
      <c r="E165" s="333">
        <v>7.04</v>
      </c>
    </row>
    <row r="167" spans="1:5" ht="17.399999999999999" x14ac:dyDescent="0.35">
      <c r="A167" s="433" t="s">
        <v>4121</v>
      </c>
      <c r="B167" s="433"/>
      <c r="C167" s="433"/>
      <c r="D167" s="433"/>
      <c r="E167" s="433"/>
    </row>
    <row r="168" spans="1:5" x14ac:dyDescent="0.3">
      <c r="A168" s="226" t="s">
        <v>318</v>
      </c>
      <c r="B168" s="226" t="s">
        <v>285</v>
      </c>
      <c r="C168" s="226" t="s">
        <v>286</v>
      </c>
      <c r="D168" s="226" t="s">
        <v>287</v>
      </c>
      <c r="E168" s="226" t="s">
        <v>958</v>
      </c>
    </row>
    <row r="169" spans="1:5" x14ac:dyDescent="0.3">
      <c r="A169" s="233">
        <v>1</v>
      </c>
      <c r="B169" s="227" t="s">
        <v>1263</v>
      </c>
      <c r="C169" s="227" t="s">
        <v>1254</v>
      </c>
      <c r="D169" s="228">
        <v>9</v>
      </c>
      <c r="E169" s="258">
        <v>8.9600000000000009</v>
      </c>
    </row>
    <row r="170" spans="1:5" x14ac:dyDescent="0.3">
      <c r="A170" s="235">
        <v>2</v>
      </c>
      <c r="B170" s="230" t="s">
        <v>699</v>
      </c>
      <c r="C170" s="230" t="s">
        <v>700</v>
      </c>
      <c r="D170" s="231">
        <v>8.91</v>
      </c>
      <c r="E170" s="260">
        <v>8.93</v>
      </c>
    </row>
    <row r="171" spans="1:5" x14ac:dyDescent="0.3">
      <c r="A171" s="236">
        <v>3</v>
      </c>
      <c r="B171" s="227" t="s">
        <v>1416</v>
      </c>
      <c r="C171" s="227" t="s">
        <v>1417</v>
      </c>
      <c r="D171" s="228">
        <v>8.93</v>
      </c>
      <c r="E171" s="264">
        <v>8.8800000000000008</v>
      </c>
    </row>
    <row r="172" spans="1:5" x14ac:dyDescent="0.3">
      <c r="A172" s="237">
        <v>4</v>
      </c>
      <c r="B172" s="230" t="s">
        <v>305</v>
      </c>
      <c r="C172" s="230" t="s">
        <v>2640</v>
      </c>
      <c r="D172" s="231">
        <v>8.5399999999999991</v>
      </c>
      <c r="E172" s="298">
        <v>8.4700000000000006</v>
      </c>
    </row>
    <row r="173" spans="1:5" x14ac:dyDescent="0.3">
      <c r="A173" s="237">
        <v>5</v>
      </c>
      <c r="B173" s="227" t="s">
        <v>2288</v>
      </c>
      <c r="C173" s="227" t="s">
        <v>2289</v>
      </c>
      <c r="D173" s="228">
        <v>8.1999999999999993</v>
      </c>
      <c r="E173" s="316">
        <v>8.1300000000000008</v>
      </c>
    </row>
    <row r="175" spans="1:5" ht="17.399999999999999" x14ac:dyDescent="0.35">
      <c r="A175" s="433" t="s">
        <v>3806</v>
      </c>
      <c r="B175" s="433"/>
      <c r="C175" s="433"/>
      <c r="D175" s="433"/>
      <c r="E175" s="433"/>
    </row>
    <row r="176" spans="1:5" x14ac:dyDescent="0.3">
      <c r="A176" s="226" t="s">
        <v>318</v>
      </c>
      <c r="B176" s="226" t="s">
        <v>285</v>
      </c>
      <c r="C176" s="226" t="s">
        <v>286</v>
      </c>
      <c r="D176" s="226" t="s">
        <v>287</v>
      </c>
      <c r="E176" s="226" t="s">
        <v>958</v>
      </c>
    </row>
    <row r="177" spans="1:5" x14ac:dyDescent="0.3">
      <c r="A177" s="233">
        <v>1</v>
      </c>
      <c r="B177" s="227" t="s">
        <v>302</v>
      </c>
      <c r="C177" s="227" t="s">
        <v>186</v>
      </c>
      <c r="D177" s="228">
        <v>9.2100000000000009</v>
      </c>
      <c r="E177" s="246">
        <v>9.34</v>
      </c>
    </row>
    <row r="178" spans="1:5" x14ac:dyDescent="0.3">
      <c r="A178" s="235">
        <v>2</v>
      </c>
      <c r="B178" s="230" t="s">
        <v>357</v>
      </c>
      <c r="C178" s="230" t="s">
        <v>351</v>
      </c>
      <c r="D178" s="231">
        <v>8.8000000000000007</v>
      </c>
      <c r="E178" s="270">
        <v>8.81</v>
      </c>
    </row>
    <row r="179" spans="1:5" x14ac:dyDescent="0.3">
      <c r="A179" s="236">
        <v>3</v>
      </c>
      <c r="B179" s="227" t="s">
        <v>2484</v>
      </c>
      <c r="C179" s="227" t="s">
        <v>2485</v>
      </c>
      <c r="D179" s="228">
        <v>8.8800000000000008</v>
      </c>
      <c r="E179" s="273">
        <v>8.77</v>
      </c>
    </row>
    <row r="180" spans="1:5" x14ac:dyDescent="0.3">
      <c r="A180" s="237">
        <v>4</v>
      </c>
      <c r="B180" s="230" t="s">
        <v>2879</v>
      </c>
      <c r="C180" s="230" t="s">
        <v>2879</v>
      </c>
      <c r="D180" s="231">
        <v>8.8000000000000007</v>
      </c>
      <c r="E180" s="279">
        <v>8.6999999999999993</v>
      </c>
    </row>
    <row r="181" spans="1:5" x14ac:dyDescent="0.3">
      <c r="A181" s="237">
        <v>5</v>
      </c>
      <c r="B181" s="227" t="s">
        <v>2576</v>
      </c>
      <c r="C181" s="227" t="s">
        <v>2577</v>
      </c>
      <c r="D181" s="228">
        <v>8.75</v>
      </c>
      <c r="E181" s="281">
        <v>8.67</v>
      </c>
    </row>
    <row r="183" spans="1:5" ht="17.399999999999999" x14ac:dyDescent="0.35">
      <c r="A183" s="433" t="s">
        <v>4201</v>
      </c>
      <c r="B183" s="433"/>
      <c r="C183" s="433"/>
      <c r="D183" s="433"/>
      <c r="E183" s="433"/>
    </row>
    <row r="184" spans="1:5" x14ac:dyDescent="0.3">
      <c r="A184" s="226" t="s">
        <v>318</v>
      </c>
      <c r="B184" s="226" t="s">
        <v>285</v>
      </c>
      <c r="C184" s="226" t="s">
        <v>286</v>
      </c>
      <c r="D184" s="226" t="s">
        <v>287</v>
      </c>
      <c r="E184" s="226" t="s">
        <v>958</v>
      </c>
    </row>
    <row r="185" spans="1:5" x14ac:dyDescent="0.3">
      <c r="A185" s="233">
        <v>1</v>
      </c>
      <c r="B185" s="227" t="s">
        <v>2777</v>
      </c>
      <c r="C185" s="227" t="s">
        <v>3059</v>
      </c>
      <c r="D185" s="228">
        <v>8.84</v>
      </c>
      <c r="E185" s="268">
        <v>8.84</v>
      </c>
    </row>
    <row r="186" spans="1:5" x14ac:dyDescent="0.3">
      <c r="A186" s="235">
        <v>2</v>
      </c>
      <c r="B186" s="230" t="s">
        <v>312</v>
      </c>
      <c r="C186" s="230" t="s">
        <v>1754</v>
      </c>
      <c r="D186" s="231">
        <v>9</v>
      </c>
      <c r="E186" s="258">
        <v>8.9600000000000009</v>
      </c>
    </row>
    <row r="187" spans="1:5" x14ac:dyDescent="0.3">
      <c r="A187" s="236">
        <v>3</v>
      </c>
      <c r="B187" s="227" t="s">
        <v>1405</v>
      </c>
      <c r="C187" s="227" t="s">
        <v>4202</v>
      </c>
      <c r="D187" s="228">
        <v>8.69</v>
      </c>
      <c r="E187" s="283">
        <v>8.65</v>
      </c>
    </row>
    <row r="191" spans="1:5" ht="17.399999999999999" x14ac:dyDescent="0.35">
      <c r="A191" s="433" t="s">
        <v>3602</v>
      </c>
      <c r="B191" s="433"/>
      <c r="C191" s="433"/>
      <c r="D191" s="433"/>
      <c r="E191" s="433"/>
    </row>
    <row r="192" spans="1:5" x14ac:dyDescent="0.3">
      <c r="A192" s="226" t="s">
        <v>318</v>
      </c>
      <c r="B192" s="226" t="s">
        <v>285</v>
      </c>
      <c r="C192" s="226" t="s">
        <v>286</v>
      </c>
      <c r="D192" s="226" t="s">
        <v>287</v>
      </c>
      <c r="E192" s="226" t="s">
        <v>958</v>
      </c>
    </row>
    <row r="193" spans="1:5" x14ac:dyDescent="0.3">
      <c r="A193" s="233">
        <v>1</v>
      </c>
      <c r="B193" s="227" t="s">
        <v>293</v>
      </c>
      <c r="C193" s="227" t="s">
        <v>2644</v>
      </c>
      <c r="D193" s="228">
        <v>8.52</v>
      </c>
      <c r="E193" s="291">
        <v>8.56</v>
      </c>
    </row>
    <row r="194" spans="1:5" x14ac:dyDescent="0.3">
      <c r="A194" s="235">
        <v>2</v>
      </c>
      <c r="B194" s="230" t="s">
        <v>303</v>
      </c>
      <c r="C194" s="230" t="s">
        <v>2645</v>
      </c>
      <c r="D194" s="231">
        <v>8.61</v>
      </c>
      <c r="E194" s="287">
        <v>8.61</v>
      </c>
    </row>
    <row r="195" spans="1:5" x14ac:dyDescent="0.3">
      <c r="A195" s="236">
        <v>3</v>
      </c>
      <c r="B195" s="227" t="s">
        <v>1405</v>
      </c>
      <c r="C195" s="227" t="s">
        <v>3583</v>
      </c>
      <c r="D195" s="228">
        <v>8.6</v>
      </c>
      <c r="E195" s="282">
        <v>8.66</v>
      </c>
    </row>
    <row r="196" spans="1:5" x14ac:dyDescent="0.3">
      <c r="A196" s="237">
        <v>4</v>
      </c>
      <c r="B196" s="230" t="s">
        <v>1663</v>
      </c>
      <c r="C196" s="230" t="s">
        <v>2660</v>
      </c>
      <c r="D196" s="231">
        <v>8.5</v>
      </c>
      <c r="E196" s="298">
        <v>8.4700000000000006</v>
      </c>
    </row>
    <row r="199" spans="1:5" ht="17.399999999999999" x14ac:dyDescent="0.35">
      <c r="A199" s="433" t="s">
        <v>3939</v>
      </c>
      <c r="B199" s="433"/>
      <c r="C199" s="433"/>
      <c r="D199" s="433"/>
      <c r="E199" s="433"/>
    </row>
    <row r="200" spans="1:5" x14ac:dyDescent="0.3">
      <c r="A200" s="226" t="s">
        <v>318</v>
      </c>
      <c r="B200" s="226" t="s">
        <v>285</v>
      </c>
      <c r="C200" s="226" t="s">
        <v>286</v>
      </c>
      <c r="D200" s="226" t="s">
        <v>287</v>
      </c>
      <c r="E200" s="226" t="s">
        <v>958</v>
      </c>
    </row>
    <row r="201" spans="1:5" x14ac:dyDescent="0.3">
      <c r="A201" s="233">
        <v>1</v>
      </c>
      <c r="B201" s="227" t="s">
        <v>1932</v>
      </c>
      <c r="C201" s="227" t="s">
        <v>1925</v>
      </c>
      <c r="D201" s="228">
        <v>9.31</v>
      </c>
      <c r="E201" s="243">
        <v>9.43</v>
      </c>
    </row>
    <row r="202" spans="1:5" x14ac:dyDescent="0.3">
      <c r="A202" s="235">
        <v>2</v>
      </c>
      <c r="B202" s="230" t="s">
        <v>3831</v>
      </c>
      <c r="C202" s="230" t="s">
        <v>3832</v>
      </c>
      <c r="D202" s="231">
        <v>8.7899999999999991</v>
      </c>
      <c r="E202" s="281">
        <v>8.67</v>
      </c>
    </row>
    <row r="203" spans="1:5" x14ac:dyDescent="0.3">
      <c r="A203" s="236">
        <v>3</v>
      </c>
      <c r="B203" s="227" t="s">
        <v>2940</v>
      </c>
      <c r="C203" s="227">
        <v>4</v>
      </c>
      <c r="D203" s="228">
        <v>8.6</v>
      </c>
      <c r="E203" s="288">
        <v>8.6</v>
      </c>
    </row>
    <row r="204" spans="1:5" x14ac:dyDescent="0.3">
      <c r="A204" s="237">
        <v>4</v>
      </c>
      <c r="B204" s="230" t="s">
        <v>3935</v>
      </c>
      <c r="C204" s="230" t="s">
        <v>3910</v>
      </c>
      <c r="D204" s="231">
        <v>8.67</v>
      </c>
      <c r="E204" s="290">
        <v>8.57</v>
      </c>
    </row>
    <row r="205" spans="1:5" x14ac:dyDescent="0.3">
      <c r="A205" s="237">
        <v>5</v>
      </c>
      <c r="B205" s="227" t="s">
        <v>296</v>
      </c>
      <c r="C205" s="227" t="s">
        <v>2000</v>
      </c>
      <c r="D205" s="228">
        <v>8.6</v>
      </c>
      <c r="E205" s="293">
        <v>8.5399999999999991</v>
      </c>
    </row>
    <row r="207" spans="1:5" ht="17.399999999999999" x14ac:dyDescent="0.35">
      <c r="A207" s="433" t="s">
        <v>4125</v>
      </c>
      <c r="B207" s="433"/>
      <c r="C207" s="433"/>
      <c r="D207" s="433"/>
      <c r="E207" s="433"/>
    </row>
    <row r="208" spans="1:5" x14ac:dyDescent="0.3">
      <c r="A208" s="226" t="s">
        <v>318</v>
      </c>
      <c r="B208" s="226" t="s">
        <v>285</v>
      </c>
      <c r="C208" s="226" t="s">
        <v>286</v>
      </c>
      <c r="D208" s="226" t="s">
        <v>287</v>
      </c>
      <c r="E208" s="226" t="s">
        <v>958</v>
      </c>
    </row>
    <row r="209" spans="1:5" x14ac:dyDescent="0.3">
      <c r="A209" s="233">
        <v>1</v>
      </c>
      <c r="B209" s="227" t="s">
        <v>952</v>
      </c>
      <c r="C209" s="227" t="s">
        <v>950</v>
      </c>
      <c r="D209" s="228">
        <v>10.5</v>
      </c>
      <c r="E209" s="234">
        <v>10.85</v>
      </c>
    </row>
    <row r="210" spans="1:5" x14ac:dyDescent="0.3">
      <c r="A210" s="235">
        <v>2</v>
      </c>
      <c r="B210" s="230" t="s">
        <v>312</v>
      </c>
      <c r="C210" s="230" t="s">
        <v>1117</v>
      </c>
      <c r="D210" s="231">
        <v>8.77</v>
      </c>
      <c r="E210" s="263">
        <v>8.89</v>
      </c>
    </row>
    <row r="211" spans="1:5" x14ac:dyDescent="0.3">
      <c r="A211" s="236">
        <v>3</v>
      </c>
      <c r="B211" s="227" t="s">
        <v>1416</v>
      </c>
      <c r="C211" s="227" t="s">
        <v>1417</v>
      </c>
      <c r="D211" s="228">
        <v>8.93</v>
      </c>
      <c r="E211" s="264">
        <v>8.8800000000000008</v>
      </c>
    </row>
    <row r="212" spans="1:5" x14ac:dyDescent="0.3">
      <c r="A212" s="237">
        <v>4</v>
      </c>
      <c r="B212" s="230" t="s">
        <v>357</v>
      </c>
      <c r="C212" s="230" t="s">
        <v>351</v>
      </c>
      <c r="D212" s="231">
        <v>8.8000000000000007</v>
      </c>
      <c r="E212" s="270">
        <v>8.81</v>
      </c>
    </row>
    <row r="213" spans="1:5" x14ac:dyDescent="0.3">
      <c r="A213" s="237">
        <v>5</v>
      </c>
      <c r="B213" s="227" t="s">
        <v>2879</v>
      </c>
      <c r="C213" s="227" t="s">
        <v>2879</v>
      </c>
      <c r="D213" s="228">
        <v>8.8000000000000007</v>
      </c>
      <c r="E213" s="279">
        <v>8.6999999999999993</v>
      </c>
    </row>
    <row r="215" spans="1:5" ht="17.399999999999999" x14ac:dyDescent="0.35">
      <c r="A215" s="433" t="s">
        <v>3021</v>
      </c>
      <c r="B215" s="433"/>
      <c r="C215" s="433"/>
      <c r="D215" s="433"/>
      <c r="E215" s="433"/>
    </row>
    <row r="216" spans="1:5" x14ac:dyDescent="0.3">
      <c r="A216" s="226" t="s">
        <v>318</v>
      </c>
      <c r="B216" s="226" t="s">
        <v>285</v>
      </c>
      <c r="C216" s="226" t="s">
        <v>286</v>
      </c>
      <c r="D216" s="226" t="s">
        <v>287</v>
      </c>
      <c r="E216" s="226" t="s">
        <v>958</v>
      </c>
    </row>
    <row r="217" spans="1:5" x14ac:dyDescent="0.3">
      <c r="A217" s="233">
        <v>1</v>
      </c>
      <c r="B217" s="227" t="s">
        <v>301</v>
      </c>
      <c r="C217" s="227" t="s">
        <v>2642</v>
      </c>
      <c r="D217" s="228">
        <v>9.02</v>
      </c>
      <c r="E217" s="343">
        <v>9.07</v>
      </c>
    </row>
    <row r="218" spans="1:5" x14ac:dyDescent="0.3">
      <c r="A218" s="235">
        <v>2</v>
      </c>
      <c r="B218" s="230" t="s">
        <v>304</v>
      </c>
      <c r="C218" s="230" t="s">
        <v>2643</v>
      </c>
      <c r="D218" s="231">
        <v>8.39</v>
      </c>
      <c r="E218" s="305">
        <v>8.3699999999999992</v>
      </c>
    </row>
    <row r="219" spans="1:5" x14ac:dyDescent="0.3">
      <c r="A219" s="236">
        <v>3</v>
      </c>
      <c r="B219" s="227" t="s">
        <v>3010</v>
      </c>
      <c r="C219" s="227" t="s">
        <v>3011</v>
      </c>
      <c r="D219" s="228">
        <v>8.4499999999999993</v>
      </c>
      <c r="E219" s="306">
        <v>8.34</v>
      </c>
    </row>
    <row r="223" spans="1:5" ht="17.399999999999999" x14ac:dyDescent="0.35">
      <c r="A223" s="433" t="s">
        <v>2647</v>
      </c>
      <c r="B223" s="433"/>
      <c r="C223" s="433"/>
      <c r="D223" s="433"/>
      <c r="E223" s="433"/>
    </row>
    <row r="224" spans="1:5" x14ac:dyDescent="0.3">
      <c r="A224" s="226" t="s">
        <v>318</v>
      </c>
      <c r="B224" s="226" t="s">
        <v>285</v>
      </c>
      <c r="C224" s="226" t="s">
        <v>286</v>
      </c>
      <c r="D224" s="226" t="s">
        <v>287</v>
      </c>
      <c r="E224" s="226" t="s">
        <v>958</v>
      </c>
    </row>
    <row r="225" spans="1:5" x14ac:dyDescent="0.3">
      <c r="A225" s="233">
        <v>1</v>
      </c>
      <c r="B225" s="227" t="s">
        <v>292</v>
      </c>
      <c r="C225" s="227" t="s">
        <v>1175</v>
      </c>
      <c r="D225" s="228">
        <v>9.2899999999999991</v>
      </c>
      <c r="E225" s="379">
        <v>9.42</v>
      </c>
    </row>
    <row r="226" spans="1:5" x14ac:dyDescent="0.3">
      <c r="A226" s="235">
        <v>2</v>
      </c>
      <c r="B226" s="230" t="s">
        <v>1367</v>
      </c>
      <c r="C226" s="230" t="s">
        <v>2641</v>
      </c>
      <c r="D226" s="231">
        <v>8.77</v>
      </c>
      <c r="E226" s="281">
        <v>8.67</v>
      </c>
    </row>
    <row r="227" spans="1:5" x14ac:dyDescent="0.3">
      <c r="A227" s="236">
        <v>3</v>
      </c>
      <c r="B227" s="227" t="s">
        <v>1171</v>
      </c>
      <c r="C227" s="227" t="s">
        <v>1166</v>
      </c>
      <c r="D227" s="228">
        <v>8.75</v>
      </c>
      <c r="E227" s="285">
        <v>8.6300000000000008</v>
      </c>
    </row>
    <row r="228" spans="1:5" x14ac:dyDescent="0.3">
      <c r="A228" s="237">
        <v>4</v>
      </c>
      <c r="B228" s="230" t="s">
        <v>2243</v>
      </c>
      <c r="C228" s="230" t="s">
        <v>2242</v>
      </c>
      <c r="D228" s="231">
        <v>8.67</v>
      </c>
      <c r="E228" s="290">
        <v>8.57</v>
      </c>
    </row>
    <row r="229" spans="1:5" x14ac:dyDescent="0.3">
      <c r="A229" s="237">
        <v>5</v>
      </c>
      <c r="B229" s="227" t="s">
        <v>1578</v>
      </c>
      <c r="C229" s="227" t="s">
        <v>1579</v>
      </c>
      <c r="D229" s="228">
        <v>8.4</v>
      </c>
      <c r="E229" s="305">
        <v>8.3699999999999992</v>
      </c>
    </row>
    <row r="231" spans="1:5" ht="17.399999999999999" x14ac:dyDescent="0.35">
      <c r="A231" s="433" t="s">
        <v>3060</v>
      </c>
      <c r="B231" s="433"/>
      <c r="C231" s="433"/>
      <c r="D231" s="433"/>
      <c r="E231" s="433"/>
    </row>
    <row r="232" spans="1:5" x14ac:dyDescent="0.3">
      <c r="A232" s="226" t="s">
        <v>318</v>
      </c>
      <c r="B232" s="226" t="s">
        <v>285</v>
      </c>
      <c r="C232" s="226" t="s">
        <v>286</v>
      </c>
      <c r="D232" s="226" t="s">
        <v>287</v>
      </c>
      <c r="E232" s="226" t="s">
        <v>958</v>
      </c>
    </row>
    <row r="233" spans="1:5" x14ac:dyDescent="0.3">
      <c r="A233" s="233">
        <v>1</v>
      </c>
      <c r="B233" s="227" t="s">
        <v>2777</v>
      </c>
      <c r="C233" s="227" t="s">
        <v>3059</v>
      </c>
      <c r="D233" s="228">
        <v>8.84</v>
      </c>
      <c r="E233" s="268">
        <v>8.84</v>
      </c>
    </row>
    <row r="234" spans="1:5" x14ac:dyDescent="0.3">
      <c r="A234" s="235">
        <v>2</v>
      </c>
      <c r="B234" s="230" t="s">
        <v>1431</v>
      </c>
      <c r="C234" s="230" t="s">
        <v>1432</v>
      </c>
      <c r="D234" s="231">
        <v>8.75</v>
      </c>
      <c r="E234" s="279">
        <v>8.6999999999999993</v>
      </c>
    </row>
    <row r="235" spans="1:5" x14ac:dyDescent="0.3">
      <c r="A235" s="236">
        <v>3</v>
      </c>
      <c r="B235" s="227" t="s">
        <v>309</v>
      </c>
      <c r="C235" s="227" t="s">
        <v>218</v>
      </c>
      <c r="D235" s="228">
        <v>8.77</v>
      </c>
      <c r="E235" s="282">
        <v>8.66</v>
      </c>
    </row>
    <row r="236" spans="1:5" x14ac:dyDescent="0.3">
      <c r="A236" s="237">
        <v>4</v>
      </c>
      <c r="B236" s="230" t="s">
        <v>2780</v>
      </c>
      <c r="C236" s="230" t="s">
        <v>2781</v>
      </c>
      <c r="D236" s="231">
        <v>8.4</v>
      </c>
      <c r="E236" s="305">
        <v>8.3699999999999992</v>
      </c>
    </row>
    <row r="239" spans="1:5" ht="17.399999999999999" x14ac:dyDescent="0.35">
      <c r="A239" s="433" t="s">
        <v>3837</v>
      </c>
      <c r="B239" s="433"/>
      <c r="C239" s="433"/>
      <c r="D239" s="433"/>
      <c r="E239" s="433"/>
    </row>
    <row r="240" spans="1:5" x14ac:dyDescent="0.3">
      <c r="A240" s="226" t="s">
        <v>318</v>
      </c>
      <c r="B240" s="226" t="s">
        <v>285</v>
      </c>
      <c r="C240" s="226" t="s">
        <v>286</v>
      </c>
      <c r="D240" s="226" t="s">
        <v>287</v>
      </c>
      <c r="E240" s="226" t="s">
        <v>958</v>
      </c>
    </row>
    <row r="241" spans="1:5" x14ac:dyDescent="0.3">
      <c r="A241" s="233">
        <v>1</v>
      </c>
      <c r="B241" s="227" t="s">
        <v>1478</v>
      </c>
      <c r="C241" s="227" t="s">
        <v>1479</v>
      </c>
      <c r="D241" s="228">
        <v>8.67</v>
      </c>
      <c r="E241" s="256">
        <v>9</v>
      </c>
    </row>
    <row r="242" spans="1:5" x14ac:dyDescent="0.3">
      <c r="A242" s="235">
        <v>2</v>
      </c>
      <c r="B242" s="230" t="s">
        <v>2624</v>
      </c>
      <c r="C242" s="230" t="s">
        <v>168</v>
      </c>
      <c r="D242" s="231">
        <v>9</v>
      </c>
      <c r="E242" s="400">
        <v>8.94</v>
      </c>
    </row>
    <row r="243" spans="1:5" x14ac:dyDescent="0.3">
      <c r="A243" s="236">
        <v>3</v>
      </c>
      <c r="B243" s="227" t="s">
        <v>1112</v>
      </c>
      <c r="C243" s="227" t="s">
        <v>3603</v>
      </c>
      <c r="D243" s="228">
        <v>8.7200000000000006</v>
      </c>
      <c r="E243" s="262">
        <v>8.9</v>
      </c>
    </row>
    <row r="244" spans="1:5" x14ac:dyDescent="0.3">
      <c r="A244" s="237">
        <v>4</v>
      </c>
      <c r="B244" s="230" t="s">
        <v>1405</v>
      </c>
      <c r="C244" s="230" t="s">
        <v>3583</v>
      </c>
      <c r="D244" s="231">
        <v>8.6</v>
      </c>
      <c r="E244" s="282">
        <v>8.66</v>
      </c>
    </row>
    <row r="245" spans="1:5" x14ac:dyDescent="0.3">
      <c r="A245" s="237">
        <v>5</v>
      </c>
      <c r="B245" s="227" t="s">
        <v>3829</v>
      </c>
      <c r="C245" s="227" t="s">
        <v>3830</v>
      </c>
      <c r="D245" s="228">
        <v>8.35</v>
      </c>
      <c r="E245" s="308">
        <v>8.27</v>
      </c>
    </row>
    <row r="247" spans="1:5" ht="17.399999999999999" x14ac:dyDescent="0.35">
      <c r="A247" s="433" t="s">
        <v>3802</v>
      </c>
      <c r="B247" s="433"/>
      <c r="C247" s="433"/>
      <c r="D247" s="433"/>
      <c r="E247" s="433"/>
    </row>
    <row r="248" spans="1:5" x14ac:dyDescent="0.3">
      <c r="A248" s="226" t="s">
        <v>318</v>
      </c>
      <c r="B248" s="226" t="s">
        <v>285</v>
      </c>
      <c r="C248" s="226" t="s">
        <v>286</v>
      </c>
      <c r="D248" s="226" t="s">
        <v>287</v>
      </c>
      <c r="E248" s="226" t="s">
        <v>958</v>
      </c>
    </row>
    <row r="249" spans="1:5" x14ac:dyDescent="0.3">
      <c r="A249" s="233">
        <v>1</v>
      </c>
      <c r="B249" s="227" t="s">
        <v>1932</v>
      </c>
      <c r="C249" s="227" t="s">
        <v>1925</v>
      </c>
      <c r="D249" s="228">
        <v>9.31</v>
      </c>
      <c r="E249" s="243">
        <v>9.43</v>
      </c>
    </row>
    <row r="250" spans="1:5" x14ac:dyDescent="0.3">
      <c r="A250" s="235">
        <v>2</v>
      </c>
      <c r="B250" s="230" t="s">
        <v>1615</v>
      </c>
      <c r="C250" s="230" t="s">
        <v>2953</v>
      </c>
      <c r="D250" s="231">
        <v>8.81</v>
      </c>
      <c r="E250" s="273">
        <v>8.77</v>
      </c>
    </row>
    <row r="251" spans="1:5" x14ac:dyDescent="0.3">
      <c r="A251" s="236">
        <v>3</v>
      </c>
      <c r="B251" s="227" t="s">
        <v>301</v>
      </c>
      <c r="C251" s="227" t="s">
        <v>3803</v>
      </c>
      <c r="D251" s="228">
        <v>8.25</v>
      </c>
      <c r="E251" s="417">
        <v>8.31</v>
      </c>
    </row>
    <row r="252" spans="1:5" x14ac:dyDescent="0.3">
      <c r="A252" s="237">
        <v>4</v>
      </c>
      <c r="B252" s="230" t="s">
        <v>2949</v>
      </c>
      <c r="C252" s="230" t="s">
        <v>2950</v>
      </c>
      <c r="D252" s="231">
        <v>8.58</v>
      </c>
      <c r="E252" s="296">
        <v>8.5</v>
      </c>
    </row>
    <row r="255" spans="1:5" ht="17.399999999999999" x14ac:dyDescent="0.35">
      <c r="A255" s="433" t="s">
        <v>3863</v>
      </c>
      <c r="B255" s="433"/>
      <c r="C255" s="433"/>
      <c r="D255" s="433"/>
      <c r="E255" s="433"/>
    </row>
    <row r="256" spans="1:5" x14ac:dyDescent="0.3">
      <c r="A256" s="226" t="s">
        <v>318</v>
      </c>
      <c r="B256" s="226" t="s">
        <v>285</v>
      </c>
      <c r="C256" s="226" t="s">
        <v>286</v>
      </c>
      <c r="D256" s="226" t="s">
        <v>287</v>
      </c>
      <c r="E256" s="226" t="s">
        <v>958</v>
      </c>
    </row>
    <row r="257" spans="1:5" x14ac:dyDescent="0.3">
      <c r="A257" s="233">
        <v>1</v>
      </c>
      <c r="B257" s="227" t="s">
        <v>3856</v>
      </c>
      <c r="C257" s="227" t="s">
        <v>3857</v>
      </c>
      <c r="D257" s="228">
        <v>9</v>
      </c>
      <c r="E257" s="259">
        <v>8.9499999999999993</v>
      </c>
    </row>
    <row r="258" spans="1:5" x14ac:dyDescent="0.3">
      <c r="A258" s="235">
        <v>2</v>
      </c>
      <c r="B258" s="230" t="s">
        <v>2303</v>
      </c>
      <c r="C258" s="230" t="s">
        <v>2293</v>
      </c>
      <c r="D258" s="231">
        <v>8.86</v>
      </c>
      <c r="E258" s="276">
        <v>8.74</v>
      </c>
    </row>
    <row r="259" spans="1:5" x14ac:dyDescent="0.3">
      <c r="A259" s="236">
        <v>3</v>
      </c>
      <c r="B259" s="227" t="s">
        <v>2978</v>
      </c>
      <c r="C259" s="227" t="s">
        <v>2979</v>
      </c>
      <c r="D259" s="228">
        <v>8.85</v>
      </c>
      <c r="E259" s="277">
        <v>8.7200000000000006</v>
      </c>
    </row>
    <row r="260" spans="1:5" x14ac:dyDescent="0.3">
      <c r="A260" s="237">
        <v>4</v>
      </c>
      <c r="B260" s="230" t="s">
        <v>3035</v>
      </c>
      <c r="C260" s="230" t="s">
        <v>3023</v>
      </c>
      <c r="D260" s="231">
        <v>8.6300000000000008</v>
      </c>
      <c r="E260" s="294">
        <v>8.5299999999999994</v>
      </c>
    </row>
    <row r="261" spans="1:5" x14ac:dyDescent="0.3">
      <c r="A261" s="237">
        <v>5</v>
      </c>
      <c r="B261" s="227" t="s">
        <v>3269</v>
      </c>
      <c r="C261" s="227" t="s">
        <v>3270</v>
      </c>
      <c r="D261" s="228">
        <v>8.58</v>
      </c>
      <c r="E261" s="371">
        <v>8.51</v>
      </c>
    </row>
    <row r="263" spans="1:5" ht="17.399999999999999" x14ac:dyDescent="0.35">
      <c r="A263" s="433" t="s">
        <v>3920</v>
      </c>
      <c r="B263" s="433"/>
      <c r="C263" s="433"/>
      <c r="D263" s="433"/>
      <c r="E263" s="433"/>
    </row>
    <row r="264" spans="1:5" x14ac:dyDescent="0.3">
      <c r="A264" s="226" t="s">
        <v>318</v>
      </c>
      <c r="B264" s="226" t="s">
        <v>285</v>
      </c>
      <c r="C264" s="226" t="s">
        <v>286</v>
      </c>
      <c r="D264" s="226" t="s">
        <v>287</v>
      </c>
      <c r="E264" s="226" t="s">
        <v>958</v>
      </c>
    </row>
    <row r="265" spans="1:5" x14ac:dyDescent="0.3">
      <c r="A265" s="233">
        <v>1</v>
      </c>
      <c r="B265" s="227" t="s">
        <v>3900</v>
      </c>
      <c r="C265" s="227" t="s">
        <v>3901</v>
      </c>
      <c r="D265" s="228">
        <v>8.5399999999999991</v>
      </c>
      <c r="E265" s="297">
        <v>8.49</v>
      </c>
    </row>
    <row r="266" spans="1:5" x14ac:dyDescent="0.3">
      <c r="A266" s="235">
        <v>2</v>
      </c>
      <c r="B266" s="230" t="s">
        <v>493</v>
      </c>
      <c r="C266" s="230" t="s">
        <v>494</v>
      </c>
      <c r="D266" s="231">
        <v>8.5</v>
      </c>
      <c r="E266" s="301">
        <v>8.43</v>
      </c>
    </row>
    <row r="267" spans="1:5" x14ac:dyDescent="0.3">
      <c r="A267" s="236">
        <v>3</v>
      </c>
      <c r="B267" s="227" t="s">
        <v>334</v>
      </c>
      <c r="C267" s="227" t="s">
        <v>335</v>
      </c>
      <c r="D267" s="228">
        <v>8.4600000000000009</v>
      </c>
      <c r="E267" s="303">
        <v>8.39</v>
      </c>
    </row>
    <row r="268" spans="1:5" x14ac:dyDescent="0.3">
      <c r="A268" s="237">
        <v>4</v>
      </c>
      <c r="B268" s="230" t="s">
        <v>607</v>
      </c>
      <c r="C268" s="230" t="s">
        <v>3585</v>
      </c>
      <c r="D268" s="231">
        <v>8.0500000000000007</v>
      </c>
      <c r="E268" s="396">
        <v>7.99</v>
      </c>
    </row>
    <row r="269" spans="1:5" x14ac:dyDescent="0.3">
      <c r="A269" s="237">
        <v>5</v>
      </c>
      <c r="B269" s="227" t="s">
        <v>426</v>
      </c>
      <c r="C269" s="227" t="s">
        <v>427</v>
      </c>
      <c r="D269" s="228">
        <v>8.18</v>
      </c>
      <c r="E269" s="318">
        <v>8.06</v>
      </c>
    </row>
    <row r="271" spans="1:5" ht="17.399999999999999" x14ac:dyDescent="0.35">
      <c r="A271" s="433" t="s">
        <v>2648</v>
      </c>
      <c r="B271" s="433"/>
      <c r="C271" s="433"/>
      <c r="D271" s="433"/>
      <c r="E271" s="433"/>
    </row>
    <row r="272" spans="1:5" x14ac:dyDescent="0.3">
      <c r="A272" s="226" t="s">
        <v>318</v>
      </c>
      <c r="B272" s="226" t="s">
        <v>285</v>
      </c>
      <c r="C272" s="226" t="s">
        <v>286</v>
      </c>
      <c r="D272" s="226" t="s">
        <v>287</v>
      </c>
      <c r="E272" s="226" t="s">
        <v>958</v>
      </c>
    </row>
    <row r="273" spans="1:5" x14ac:dyDescent="0.3">
      <c r="A273" s="233">
        <v>1</v>
      </c>
      <c r="B273" s="227" t="s">
        <v>1302</v>
      </c>
      <c r="C273" s="227" t="s">
        <v>1303</v>
      </c>
      <c r="D273" s="228">
        <v>8.82</v>
      </c>
      <c r="E273" s="264">
        <v>8.8800000000000008</v>
      </c>
    </row>
    <row r="274" spans="1:5" x14ac:dyDescent="0.3">
      <c r="A274" s="235">
        <v>2</v>
      </c>
      <c r="B274" s="230" t="s">
        <v>795</v>
      </c>
      <c r="C274" s="230" t="s">
        <v>2646</v>
      </c>
      <c r="D274" s="231">
        <v>8.64</v>
      </c>
      <c r="E274" s="285">
        <v>8.6300000000000008</v>
      </c>
    </row>
    <row r="275" spans="1:5" x14ac:dyDescent="0.3">
      <c r="A275" s="236">
        <v>3</v>
      </c>
      <c r="B275" s="227" t="s">
        <v>1385</v>
      </c>
      <c r="C275" s="227" t="s">
        <v>1390</v>
      </c>
      <c r="D275" s="228">
        <v>8.8000000000000007</v>
      </c>
      <c r="E275" s="280">
        <v>8.68</v>
      </c>
    </row>
    <row r="276" spans="1:5" x14ac:dyDescent="0.3">
      <c r="A276" s="237">
        <v>4</v>
      </c>
      <c r="B276" s="230" t="s">
        <v>2152</v>
      </c>
      <c r="C276" s="230" t="s">
        <v>2153</v>
      </c>
      <c r="D276" s="231">
        <v>8.5399999999999991</v>
      </c>
      <c r="E276" s="302">
        <v>8.41</v>
      </c>
    </row>
  </sheetData>
  <mergeCells count="25">
    <mergeCell ref="A199:E199"/>
    <mergeCell ref="A247:E247"/>
    <mergeCell ref="A255:E255"/>
    <mergeCell ref="A271:E271"/>
    <mergeCell ref="A167:E167"/>
    <mergeCell ref="A175:E175"/>
    <mergeCell ref="A183:E183"/>
    <mergeCell ref="A263:E263"/>
    <mergeCell ref="A207:E207"/>
    <mergeCell ref="A215:E215"/>
    <mergeCell ref="A223:E223"/>
    <mergeCell ref="A231:E231"/>
    <mergeCell ref="A239:E239"/>
    <mergeCell ref="A1:N1"/>
    <mergeCell ref="A191:E191"/>
    <mergeCell ref="A127:E127"/>
    <mergeCell ref="A135:E135"/>
    <mergeCell ref="A143:E143"/>
    <mergeCell ref="A151:E151"/>
    <mergeCell ref="A159:E159"/>
    <mergeCell ref="A44:E44"/>
    <mergeCell ref="A72:E72"/>
    <mergeCell ref="A103:E103"/>
    <mergeCell ref="A111:E111"/>
    <mergeCell ref="A119:E1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topLeftCell="A72" zoomScale="80" zoomScaleNormal="80" workbookViewId="0">
      <selection activeCell="M622" sqref="M622"/>
    </sheetView>
  </sheetViews>
  <sheetFormatPr defaultColWidth="8.796875" defaultRowHeight="15.6" x14ac:dyDescent="0.3"/>
  <cols>
    <col min="1" max="1" width="4.3984375" bestFit="1" customWidth="1"/>
    <col min="2" max="2" width="36.69921875" customWidth="1"/>
    <col min="3" max="3" width="33.296875" customWidth="1"/>
    <col min="4" max="4" width="25" customWidth="1"/>
    <col min="5" max="5" width="30.09765625" bestFit="1" customWidth="1"/>
  </cols>
  <sheetData>
    <row r="1" spans="1:5" ht="17.399999999999999" x14ac:dyDescent="0.35">
      <c r="A1" s="433" t="s">
        <v>3138</v>
      </c>
      <c r="B1" s="433"/>
      <c r="C1" s="433"/>
      <c r="D1" s="433"/>
      <c r="E1" s="433"/>
    </row>
    <row r="2" spans="1:5" x14ac:dyDescent="0.3">
      <c r="A2" s="226" t="s">
        <v>318</v>
      </c>
      <c r="B2" s="226" t="s">
        <v>3061</v>
      </c>
      <c r="C2" s="226" t="s">
        <v>286</v>
      </c>
      <c r="D2" s="226" t="s">
        <v>285</v>
      </c>
      <c r="E2" s="226" t="s">
        <v>3139</v>
      </c>
    </row>
    <row r="3" spans="1:5" x14ac:dyDescent="0.3">
      <c r="A3" s="233">
        <v>1</v>
      </c>
      <c r="B3" s="358" t="s">
        <v>0</v>
      </c>
      <c r="C3" s="358" t="s">
        <v>7</v>
      </c>
      <c r="D3" s="227" t="s">
        <v>292</v>
      </c>
      <c r="E3" s="227" t="s">
        <v>712</v>
      </c>
    </row>
    <row r="4" spans="1:5" x14ac:dyDescent="0.3">
      <c r="A4" s="235">
        <v>2</v>
      </c>
      <c r="B4" s="357" t="s">
        <v>950</v>
      </c>
      <c r="C4" s="357" t="s">
        <v>950</v>
      </c>
      <c r="D4" s="230" t="s">
        <v>952</v>
      </c>
      <c r="E4" s="230" t="s">
        <v>953</v>
      </c>
    </row>
    <row r="5" spans="1:5" x14ac:dyDescent="0.3">
      <c r="A5" s="236">
        <v>3</v>
      </c>
      <c r="B5" s="358" t="s">
        <v>2343</v>
      </c>
      <c r="C5" s="358" t="s">
        <v>2343</v>
      </c>
      <c r="D5" s="227" t="s">
        <v>2358</v>
      </c>
      <c r="E5" s="227" t="s">
        <v>1024</v>
      </c>
    </row>
    <row r="6" spans="1:5" x14ac:dyDescent="0.3">
      <c r="A6" s="237">
        <v>4</v>
      </c>
      <c r="B6" s="357" t="s">
        <v>979</v>
      </c>
      <c r="C6" s="357" t="s">
        <v>982</v>
      </c>
      <c r="D6" s="230" t="s">
        <v>298</v>
      </c>
      <c r="E6" s="230" t="s">
        <v>714</v>
      </c>
    </row>
    <row r="7" spans="1:5" x14ac:dyDescent="0.3">
      <c r="A7" s="237">
        <v>5</v>
      </c>
      <c r="B7" s="358" t="s">
        <v>14</v>
      </c>
      <c r="C7" s="358" t="s">
        <v>294</v>
      </c>
      <c r="D7" s="227" t="s">
        <v>293</v>
      </c>
      <c r="E7" s="227" t="s">
        <v>713</v>
      </c>
    </row>
    <row r="8" spans="1:5" x14ac:dyDescent="0.3">
      <c r="A8" s="237">
        <v>6</v>
      </c>
      <c r="B8" s="357" t="s">
        <v>630</v>
      </c>
      <c r="C8" s="357" t="s">
        <v>634</v>
      </c>
      <c r="D8" s="230" t="s">
        <v>2528</v>
      </c>
      <c r="E8" s="230" t="s">
        <v>1042</v>
      </c>
    </row>
    <row r="9" spans="1:5" x14ac:dyDescent="0.3">
      <c r="A9" s="237">
        <v>7</v>
      </c>
      <c r="B9" s="358" t="s">
        <v>145</v>
      </c>
      <c r="C9" s="358" t="s">
        <v>295</v>
      </c>
      <c r="D9" s="227" t="s">
        <v>293</v>
      </c>
      <c r="E9" s="227" t="s">
        <v>713</v>
      </c>
    </row>
    <row r="10" spans="1:5" x14ac:dyDescent="0.3">
      <c r="A10" s="237">
        <v>8</v>
      </c>
      <c r="B10" s="357" t="s">
        <v>48</v>
      </c>
      <c r="C10" s="357" t="s">
        <v>299</v>
      </c>
      <c r="D10" s="230" t="s">
        <v>298</v>
      </c>
      <c r="E10" s="230" t="s">
        <v>715</v>
      </c>
    </row>
    <row r="11" spans="1:5" x14ac:dyDescent="0.3">
      <c r="A11" s="237">
        <v>9</v>
      </c>
      <c r="B11" s="358" t="s">
        <v>506</v>
      </c>
      <c r="C11" s="358" t="s">
        <v>517</v>
      </c>
      <c r="D11" s="227" t="s">
        <v>292</v>
      </c>
      <c r="E11" s="227" t="s">
        <v>712</v>
      </c>
    </row>
    <row r="12" spans="1:5" x14ac:dyDescent="0.3">
      <c r="A12" s="237">
        <v>10</v>
      </c>
      <c r="B12" s="357" t="s">
        <v>142</v>
      </c>
      <c r="C12" s="357" t="s">
        <v>156</v>
      </c>
      <c r="D12" s="230" t="s">
        <v>292</v>
      </c>
      <c r="E12" s="230" t="s">
        <v>712</v>
      </c>
    </row>
    <row r="13" spans="1:5" x14ac:dyDescent="0.3">
      <c r="A13" s="237">
        <v>11</v>
      </c>
      <c r="B13" s="358" t="s">
        <v>702</v>
      </c>
      <c r="C13" s="358" t="s">
        <v>727</v>
      </c>
      <c r="D13" s="227" t="s">
        <v>298</v>
      </c>
      <c r="E13" s="227" t="s">
        <v>715</v>
      </c>
    </row>
    <row r="14" spans="1:5" x14ac:dyDescent="0.3">
      <c r="A14" s="237">
        <v>12</v>
      </c>
      <c r="B14" s="357" t="s">
        <v>213</v>
      </c>
      <c r="C14" s="357" t="s">
        <v>239</v>
      </c>
      <c r="D14" s="230" t="s">
        <v>296</v>
      </c>
      <c r="E14" s="230" t="s">
        <v>720</v>
      </c>
    </row>
    <row r="15" spans="1:5" x14ac:dyDescent="0.3">
      <c r="A15" s="237">
        <v>13</v>
      </c>
      <c r="B15" s="358" t="s">
        <v>2328</v>
      </c>
      <c r="C15" s="358" t="s">
        <v>2433</v>
      </c>
      <c r="D15" s="227" t="s">
        <v>292</v>
      </c>
      <c r="E15" s="227" t="s">
        <v>2434</v>
      </c>
    </row>
    <row r="16" spans="1:5" x14ac:dyDescent="0.3">
      <c r="A16" s="237">
        <v>14</v>
      </c>
      <c r="B16" s="357" t="s">
        <v>391</v>
      </c>
      <c r="C16" s="357" t="s">
        <v>1116</v>
      </c>
      <c r="D16" s="230" t="s">
        <v>297</v>
      </c>
      <c r="E16" s="230" t="s">
        <v>714</v>
      </c>
    </row>
    <row r="17" spans="1:5" x14ac:dyDescent="0.3">
      <c r="A17" s="237">
        <v>15</v>
      </c>
      <c r="B17" s="358" t="s">
        <v>128</v>
      </c>
      <c r="C17" s="358" t="s">
        <v>131</v>
      </c>
      <c r="D17" s="227" t="s">
        <v>300</v>
      </c>
      <c r="E17" s="227" t="s">
        <v>735</v>
      </c>
    </row>
    <row r="18" spans="1:5" x14ac:dyDescent="0.3">
      <c r="A18" s="237">
        <v>16</v>
      </c>
      <c r="B18" s="357" t="s">
        <v>1925</v>
      </c>
      <c r="C18" s="357" t="s">
        <v>1925</v>
      </c>
      <c r="D18" s="230" t="s">
        <v>1932</v>
      </c>
      <c r="E18" s="230" t="s">
        <v>1933</v>
      </c>
    </row>
    <row r="19" spans="1:5" x14ac:dyDescent="0.3">
      <c r="A19" s="237">
        <v>17</v>
      </c>
      <c r="B19" s="358" t="s">
        <v>1176</v>
      </c>
      <c r="C19" s="358" t="s">
        <v>1175</v>
      </c>
      <c r="D19" s="227" t="s">
        <v>292</v>
      </c>
      <c r="E19" s="227" t="s">
        <v>1187</v>
      </c>
    </row>
    <row r="20" spans="1:5" x14ac:dyDescent="0.3">
      <c r="A20" s="237">
        <v>18</v>
      </c>
      <c r="B20" s="357" t="s">
        <v>61</v>
      </c>
      <c r="C20" s="357" t="s">
        <v>56</v>
      </c>
      <c r="D20" s="230" t="s">
        <v>301</v>
      </c>
      <c r="E20" s="230" t="s">
        <v>734</v>
      </c>
    </row>
    <row r="21" spans="1:5" x14ac:dyDescent="0.3">
      <c r="A21" s="237">
        <v>19</v>
      </c>
      <c r="B21" s="358" t="s">
        <v>253</v>
      </c>
      <c r="C21" s="358" t="s">
        <v>251</v>
      </c>
      <c r="D21" s="227" t="s">
        <v>293</v>
      </c>
      <c r="E21" s="227" t="s">
        <v>814</v>
      </c>
    </row>
    <row r="22" spans="1:5" x14ac:dyDescent="0.3">
      <c r="A22" s="237">
        <v>20</v>
      </c>
      <c r="B22" s="357" t="s">
        <v>964</v>
      </c>
      <c r="C22" s="357" t="s">
        <v>960</v>
      </c>
      <c r="D22" s="230" t="s">
        <v>297</v>
      </c>
      <c r="E22" s="230" t="s">
        <v>714</v>
      </c>
    </row>
    <row r="23" spans="1:5" x14ac:dyDescent="0.3">
      <c r="A23" s="237">
        <v>21</v>
      </c>
      <c r="B23" s="358" t="s">
        <v>176</v>
      </c>
      <c r="C23" s="358" t="s">
        <v>186</v>
      </c>
      <c r="D23" s="227" t="s">
        <v>302</v>
      </c>
      <c r="E23" s="227" t="s">
        <v>717</v>
      </c>
    </row>
    <row r="24" spans="1:5" x14ac:dyDescent="0.3">
      <c r="A24" s="237">
        <v>22</v>
      </c>
      <c r="B24" s="357" t="s">
        <v>39</v>
      </c>
      <c r="C24" s="357" t="s">
        <v>36</v>
      </c>
      <c r="D24" s="230" t="s">
        <v>405</v>
      </c>
      <c r="E24" s="230" t="s">
        <v>714</v>
      </c>
    </row>
    <row r="25" spans="1:5" x14ac:dyDescent="0.3">
      <c r="A25" s="237">
        <v>23</v>
      </c>
      <c r="B25" s="358" t="s">
        <v>461</v>
      </c>
      <c r="C25" s="358" t="s">
        <v>459</v>
      </c>
      <c r="D25" s="227" t="s">
        <v>441</v>
      </c>
      <c r="E25" s="227" t="s">
        <v>716</v>
      </c>
    </row>
    <row r="26" spans="1:5" x14ac:dyDescent="0.3">
      <c r="A26" s="237">
        <v>24</v>
      </c>
      <c r="B26" s="357" t="s">
        <v>3113</v>
      </c>
      <c r="C26" s="357" t="s">
        <v>3118</v>
      </c>
      <c r="D26" s="230" t="s">
        <v>3117</v>
      </c>
      <c r="E26" s="230" t="s">
        <v>733</v>
      </c>
    </row>
    <row r="27" spans="1:5" x14ac:dyDescent="0.3">
      <c r="A27" s="237">
        <v>25</v>
      </c>
      <c r="B27" s="358" t="s">
        <v>655</v>
      </c>
      <c r="C27" s="358" t="s">
        <v>653</v>
      </c>
      <c r="D27" s="227" t="s">
        <v>301</v>
      </c>
      <c r="E27" s="227" t="s">
        <v>734</v>
      </c>
    </row>
    <row r="28" spans="1:5" x14ac:dyDescent="0.3">
      <c r="A28" s="237">
        <v>26</v>
      </c>
      <c r="B28" s="357" t="s">
        <v>2421</v>
      </c>
      <c r="C28" s="357" t="s">
        <v>2432</v>
      </c>
      <c r="D28" s="230" t="s">
        <v>303</v>
      </c>
      <c r="E28" s="230" t="s">
        <v>2446</v>
      </c>
    </row>
    <row r="29" spans="1:5" x14ac:dyDescent="0.3">
      <c r="A29" s="237">
        <v>27</v>
      </c>
      <c r="B29" s="358" t="s">
        <v>395</v>
      </c>
      <c r="C29" s="358" t="s">
        <v>393</v>
      </c>
      <c r="D29" s="227" t="s">
        <v>293</v>
      </c>
      <c r="E29" s="227" t="s">
        <v>732</v>
      </c>
    </row>
    <row r="30" spans="1:5" x14ac:dyDescent="0.3">
      <c r="A30" s="237">
        <v>28</v>
      </c>
      <c r="B30" s="357" t="s">
        <v>916</v>
      </c>
      <c r="C30" s="357" t="s">
        <v>923</v>
      </c>
      <c r="D30" s="230" t="s">
        <v>300</v>
      </c>
      <c r="E30" s="230" t="s">
        <v>735</v>
      </c>
    </row>
    <row r="31" spans="1:5" x14ac:dyDescent="0.3">
      <c r="A31" s="237">
        <v>29</v>
      </c>
      <c r="B31" s="358" t="s">
        <v>862</v>
      </c>
      <c r="C31" s="358" t="s">
        <v>857</v>
      </c>
      <c r="D31" s="227" t="s">
        <v>866</v>
      </c>
      <c r="E31" s="227" t="s">
        <v>867</v>
      </c>
    </row>
    <row r="32" spans="1:5" x14ac:dyDescent="0.3">
      <c r="A32" s="237">
        <v>30</v>
      </c>
      <c r="B32" s="357" t="s">
        <v>64</v>
      </c>
      <c r="C32" s="357" t="s">
        <v>157</v>
      </c>
      <c r="D32" s="230" t="s">
        <v>303</v>
      </c>
      <c r="E32" s="230" t="s">
        <v>718</v>
      </c>
    </row>
    <row r="33" spans="1:5" x14ac:dyDescent="0.3">
      <c r="A33" s="237">
        <v>31</v>
      </c>
      <c r="B33" s="358" t="s">
        <v>236</v>
      </c>
      <c r="C33" s="358" t="s">
        <v>229</v>
      </c>
      <c r="D33" s="227" t="s">
        <v>304</v>
      </c>
      <c r="E33" s="227" t="s">
        <v>734</v>
      </c>
    </row>
    <row r="34" spans="1:5" x14ac:dyDescent="0.3">
      <c r="A34" s="237">
        <v>32</v>
      </c>
      <c r="B34" s="357" t="s">
        <v>1065</v>
      </c>
      <c r="C34" s="357" t="s">
        <v>1063</v>
      </c>
      <c r="D34" s="230" t="s">
        <v>301</v>
      </c>
      <c r="E34" s="230" t="s">
        <v>734</v>
      </c>
    </row>
    <row r="35" spans="1:5" x14ac:dyDescent="0.3">
      <c r="A35" s="237">
        <v>33</v>
      </c>
      <c r="B35" s="358" t="s">
        <v>612</v>
      </c>
      <c r="C35" s="358" t="s">
        <v>609</v>
      </c>
      <c r="D35" s="227" t="s">
        <v>441</v>
      </c>
      <c r="E35" s="227" t="s">
        <v>716</v>
      </c>
    </row>
    <row r="36" spans="1:5" x14ac:dyDescent="0.3">
      <c r="A36" s="237">
        <v>34</v>
      </c>
      <c r="B36" s="357" t="s">
        <v>2768</v>
      </c>
      <c r="C36" s="357" t="s">
        <v>2778</v>
      </c>
      <c r="D36" s="230" t="s">
        <v>2777</v>
      </c>
      <c r="E36" s="230" t="s">
        <v>2783</v>
      </c>
    </row>
    <row r="37" spans="1:5" x14ac:dyDescent="0.3">
      <c r="A37" s="237">
        <v>35</v>
      </c>
      <c r="B37" s="358" t="s">
        <v>95</v>
      </c>
      <c r="C37" s="358" t="s">
        <v>95</v>
      </c>
      <c r="D37" s="227" t="s">
        <v>307</v>
      </c>
      <c r="E37" s="227" t="s">
        <v>720</v>
      </c>
    </row>
    <row r="38" spans="1:5" x14ac:dyDescent="0.3">
      <c r="A38" s="237">
        <v>36</v>
      </c>
      <c r="B38" s="357" t="s">
        <v>1456</v>
      </c>
      <c r="C38" s="357" t="s">
        <v>1479</v>
      </c>
      <c r="D38" s="230" t="s">
        <v>1478</v>
      </c>
      <c r="E38" s="230" t="s">
        <v>1480</v>
      </c>
    </row>
    <row r="39" spans="1:5" x14ac:dyDescent="0.3">
      <c r="A39" s="237">
        <v>37</v>
      </c>
      <c r="B39" s="358" t="s">
        <v>2260</v>
      </c>
      <c r="C39" s="358" t="s">
        <v>2270</v>
      </c>
      <c r="D39" s="227" t="s">
        <v>315</v>
      </c>
      <c r="E39" s="227" t="s">
        <v>725</v>
      </c>
    </row>
    <row r="40" spans="1:5" x14ac:dyDescent="0.3">
      <c r="A40" s="237">
        <v>38</v>
      </c>
      <c r="B40" s="357" t="s">
        <v>2685</v>
      </c>
      <c r="C40" s="357" t="s">
        <v>2691</v>
      </c>
      <c r="D40" s="230" t="s">
        <v>2695</v>
      </c>
      <c r="E40" s="230" t="s">
        <v>731</v>
      </c>
    </row>
    <row r="41" spans="1:5" x14ac:dyDescent="0.3">
      <c r="A41" s="237">
        <v>39</v>
      </c>
      <c r="B41" s="358" t="s">
        <v>1717</v>
      </c>
      <c r="C41" s="358" t="s">
        <v>1718</v>
      </c>
      <c r="D41" s="227" t="s">
        <v>298</v>
      </c>
      <c r="E41" s="227" t="s">
        <v>1024</v>
      </c>
    </row>
    <row r="42" spans="1:5" x14ac:dyDescent="0.3">
      <c r="A42" s="237">
        <v>40</v>
      </c>
      <c r="B42" s="357" t="s">
        <v>2827</v>
      </c>
      <c r="C42" s="357" t="s">
        <v>2849</v>
      </c>
      <c r="D42" s="230" t="s">
        <v>298</v>
      </c>
      <c r="E42" s="230" t="s">
        <v>2854</v>
      </c>
    </row>
    <row r="43" spans="1:5" x14ac:dyDescent="0.3">
      <c r="A43" s="237">
        <v>41</v>
      </c>
      <c r="B43" s="358" t="s">
        <v>1539</v>
      </c>
      <c r="C43" s="358" t="s">
        <v>1540</v>
      </c>
      <c r="D43" s="227" t="s">
        <v>311</v>
      </c>
      <c r="E43" s="227" t="s">
        <v>1557</v>
      </c>
    </row>
    <row r="44" spans="1:5" x14ac:dyDescent="0.3">
      <c r="A44" s="237">
        <v>42</v>
      </c>
      <c r="B44" s="357" t="s">
        <v>691</v>
      </c>
      <c r="C44" s="357" t="s">
        <v>700</v>
      </c>
      <c r="D44" s="230" t="s">
        <v>699</v>
      </c>
      <c r="E44" s="230" t="s">
        <v>797</v>
      </c>
    </row>
    <row r="45" spans="1:5" x14ac:dyDescent="0.3">
      <c r="A45" s="237">
        <v>43</v>
      </c>
      <c r="B45" s="358" t="s">
        <v>1959</v>
      </c>
      <c r="C45" s="358" t="s">
        <v>1987</v>
      </c>
      <c r="D45" s="227" t="s">
        <v>1112</v>
      </c>
      <c r="E45" s="227" t="s">
        <v>1480</v>
      </c>
    </row>
    <row r="46" spans="1:5" x14ac:dyDescent="0.3">
      <c r="A46" s="237">
        <v>44</v>
      </c>
      <c r="B46" s="357" t="s">
        <v>2411</v>
      </c>
      <c r="C46" s="357" t="s">
        <v>2411</v>
      </c>
      <c r="D46" s="230" t="s">
        <v>300</v>
      </c>
      <c r="E46" s="230" t="s">
        <v>735</v>
      </c>
    </row>
    <row r="47" spans="1:5" x14ac:dyDescent="0.3">
      <c r="A47" s="237">
        <v>45</v>
      </c>
      <c r="B47" s="358" t="s">
        <v>26</v>
      </c>
      <c r="C47" s="358" t="s">
        <v>1117</v>
      </c>
      <c r="D47" s="227" t="s">
        <v>312</v>
      </c>
      <c r="E47" s="227" t="s">
        <v>1119</v>
      </c>
    </row>
    <row r="48" spans="1:5" x14ac:dyDescent="0.3">
      <c r="A48" s="237">
        <v>46</v>
      </c>
      <c r="B48" s="357" t="s">
        <v>1092</v>
      </c>
      <c r="C48" s="357" t="s">
        <v>1477</v>
      </c>
      <c r="D48" s="230" t="s">
        <v>1112</v>
      </c>
      <c r="E48" s="230" t="s">
        <v>1480</v>
      </c>
    </row>
    <row r="49" spans="1:5" x14ac:dyDescent="0.3">
      <c r="A49" s="237">
        <v>47</v>
      </c>
      <c r="B49" s="358" t="s">
        <v>1346</v>
      </c>
      <c r="C49" s="358" t="s">
        <v>1355</v>
      </c>
      <c r="D49" s="227" t="s">
        <v>677</v>
      </c>
      <c r="E49" s="227" t="s">
        <v>1356</v>
      </c>
    </row>
    <row r="50" spans="1:5" x14ac:dyDescent="0.3">
      <c r="A50" s="237">
        <v>48</v>
      </c>
      <c r="B50" s="357" t="s">
        <v>1288</v>
      </c>
      <c r="C50" s="357" t="s">
        <v>1303</v>
      </c>
      <c r="D50" s="230" t="s">
        <v>1302</v>
      </c>
      <c r="E50" s="230" t="s">
        <v>1304</v>
      </c>
    </row>
    <row r="51" spans="1:5" x14ac:dyDescent="0.3">
      <c r="A51" s="237">
        <v>49</v>
      </c>
      <c r="B51" s="358" t="s">
        <v>2439</v>
      </c>
      <c r="C51" s="358" t="s">
        <v>2448</v>
      </c>
      <c r="D51" s="227" t="s">
        <v>2447</v>
      </c>
      <c r="E51" s="227" t="s">
        <v>2450</v>
      </c>
    </row>
    <row r="52" spans="1:5" x14ac:dyDescent="0.3">
      <c r="A52" s="237">
        <v>50</v>
      </c>
      <c r="B52" s="357" t="s">
        <v>2976</v>
      </c>
      <c r="C52" s="357" t="s">
        <v>2968</v>
      </c>
      <c r="D52" s="230" t="s">
        <v>2983</v>
      </c>
      <c r="E52" s="230" t="s">
        <v>2985</v>
      </c>
    </row>
    <row r="53" spans="1:5" x14ac:dyDescent="0.3">
      <c r="A53" s="237">
        <v>51</v>
      </c>
      <c r="B53" s="358" t="s">
        <v>1139</v>
      </c>
      <c r="C53" s="358" t="s">
        <v>307</v>
      </c>
      <c r="D53" s="227" t="s">
        <v>307</v>
      </c>
      <c r="E53" s="227" t="s">
        <v>1143</v>
      </c>
    </row>
    <row r="54" spans="1:5" x14ac:dyDescent="0.3">
      <c r="A54" s="237">
        <v>52</v>
      </c>
      <c r="B54" s="357" t="s">
        <v>2391</v>
      </c>
      <c r="C54" s="357" t="s">
        <v>2379</v>
      </c>
      <c r="D54" s="230" t="s">
        <v>2229</v>
      </c>
      <c r="E54" s="230" t="s">
        <v>2392</v>
      </c>
    </row>
    <row r="55" spans="1:5" x14ac:dyDescent="0.3">
      <c r="A55" s="237">
        <v>53</v>
      </c>
      <c r="B55" s="358" t="s">
        <v>854</v>
      </c>
      <c r="C55" s="358" t="s">
        <v>855</v>
      </c>
      <c r="D55" s="227" t="s">
        <v>300</v>
      </c>
      <c r="E55" s="227" t="s">
        <v>735</v>
      </c>
    </row>
    <row r="56" spans="1:5" x14ac:dyDescent="0.3">
      <c r="A56" s="237">
        <v>54</v>
      </c>
      <c r="B56" s="357" t="s">
        <v>943</v>
      </c>
      <c r="C56" s="357" t="s">
        <v>948</v>
      </c>
      <c r="D56" s="230" t="s">
        <v>311</v>
      </c>
      <c r="E56" s="230" t="s">
        <v>954</v>
      </c>
    </row>
    <row r="57" spans="1:5" x14ac:dyDescent="0.3">
      <c r="A57" s="237">
        <v>55</v>
      </c>
      <c r="B57" s="358" t="s">
        <v>1441</v>
      </c>
      <c r="C57" s="358" t="s">
        <v>1449</v>
      </c>
      <c r="D57" s="227" t="s">
        <v>1448</v>
      </c>
      <c r="E57" s="227" t="s">
        <v>735</v>
      </c>
    </row>
    <row r="58" spans="1:5" x14ac:dyDescent="0.3">
      <c r="A58" s="237">
        <v>56</v>
      </c>
      <c r="B58" s="357" t="s">
        <v>2009</v>
      </c>
      <c r="C58" s="357" t="s">
        <v>2010</v>
      </c>
      <c r="D58" s="230" t="s">
        <v>1615</v>
      </c>
      <c r="E58" s="230" t="s">
        <v>1284</v>
      </c>
    </row>
    <row r="59" spans="1:5" x14ac:dyDescent="0.3">
      <c r="A59" s="237">
        <v>57</v>
      </c>
      <c r="B59" s="358" t="s">
        <v>2219</v>
      </c>
      <c r="C59" s="358" t="s">
        <v>2230</v>
      </c>
      <c r="D59" s="227" t="s">
        <v>2229</v>
      </c>
      <c r="E59" s="227" t="s">
        <v>1044</v>
      </c>
    </row>
    <row r="60" spans="1:5" x14ac:dyDescent="0.3">
      <c r="A60" s="237">
        <v>58</v>
      </c>
      <c r="B60" s="357" t="s">
        <v>3472</v>
      </c>
      <c r="C60" s="357" t="s">
        <v>3492</v>
      </c>
      <c r="D60" s="230" t="s">
        <v>3492</v>
      </c>
      <c r="E60" s="230" t="s">
        <v>3493</v>
      </c>
    </row>
    <row r="61" spans="1:5" x14ac:dyDescent="0.3">
      <c r="A61" s="237">
        <v>59</v>
      </c>
      <c r="B61" s="358" t="s">
        <v>3677</v>
      </c>
      <c r="C61" s="358" t="s">
        <v>3684</v>
      </c>
      <c r="D61" s="227" t="s">
        <v>2664</v>
      </c>
      <c r="E61" s="227" t="s">
        <v>3688</v>
      </c>
    </row>
    <row r="62" spans="1:5" x14ac:dyDescent="0.3">
      <c r="A62" s="237">
        <v>60</v>
      </c>
      <c r="B62" s="357" t="s">
        <v>347</v>
      </c>
      <c r="C62" s="357" t="s">
        <v>351</v>
      </c>
      <c r="D62" s="230" t="s">
        <v>357</v>
      </c>
      <c r="E62" s="230" t="s">
        <v>722</v>
      </c>
    </row>
    <row r="63" spans="1:5" x14ac:dyDescent="0.3">
      <c r="A63" s="237">
        <v>61</v>
      </c>
      <c r="B63" s="358" t="s">
        <v>429</v>
      </c>
      <c r="C63" s="358" t="s">
        <v>442</v>
      </c>
      <c r="D63" s="227" t="s">
        <v>441</v>
      </c>
      <c r="E63" s="227" t="s">
        <v>716</v>
      </c>
    </row>
    <row r="64" spans="1:5" x14ac:dyDescent="0.3">
      <c r="A64" s="237">
        <v>62</v>
      </c>
      <c r="B64" s="357" t="s">
        <v>2719</v>
      </c>
      <c r="C64" s="357" t="s">
        <v>2722</v>
      </c>
      <c r="D64" s="230" t="s">
        <v>307</v>
      </c>
      <c r="E64" s="230" t="s">
        <v>1025</v>
      </c>
    </row>
    <row r="65" spans="1:5" x14ac:dyDescent="0.3">
      <c r="A65" s="237">
        <v>63</v>
      </c>
      <c r="B65" s="358" t="s">
        <v>544</v>
      </c>
      <c r="C65" s="358" t="s">
        <v>546</v>
      </c>
      <c r="D65" s="227" t="s">
        <v>545</v>
      </c>
      <c r="E65" s="227" t="s">
        <v>777</v>
      </c>
    </row>
    <row r="66" spans="1:5" x14ac:dyDescent="0.3">
      <c r="A66" s="237">
        <v>64</v>
      </c>
      <c r="B66" s="357" t="s">
        <v>581</v>
      </c>
      <c r="C66" s="357" t="s">
        <v>588</v>
      </c>
      <c r="D66" s="230" t="s">
        <v>303</v>
      </c>
      <c r="E66" s="230" t="s">
        <v>718</v>
      </c>
    </row>
    <row r="67" spans="1:5" x14ac:dyDescent="0.3">
      <c r="A67" s="237">
        <v>65</v>
      </c>
      <c r="B67" s="358" t="s">
        <v>1204</v>
      </c>
      <c r="C67" s="358" t="s">
        <v>1212</v>
      </c>
      <c r="D67" s="227" t="s">
        <v>1211</v>
      </c>
      <c r="E67" s="227" t="s">
        <v>1215</v>
      </c>
    </row>
    <row r="68" spans="1:5" x14ac:dyDescent="0.3">
      <c r="A68" s="237">
        <v>66</v>
      </c>
      <c r="B68" s="357" t="s">
        <v>2398</v>
      </c>
      <c r="C68" s="357" t="s">
        <v>2395</v>
      </c>
      <c r="D68" s="230" t="s">
        <v>441</v>
      </c>
      <c r="E68" s="230" t="s">
        <v>2406</v>
      </c>
    </row>
    <row r="69" spans="1:5" x14ac:dyDescent="0.3">
      <c r="A69" s="237">
        <v>67</v>
      </c>
      <c r="B69" s="358" t="s">
        <v>3868</v>
      </c>
      <c r="C69" s="358" t="s">
        <v>3899</v>
      </c>
      <c r="D69" s="227" t="s">
        <v>3898</v>
      </c>
      <c r="E69" s="227" t="s">
        <v>3905</v>
      </c>
    </row>
    <row r="70" spans="1:5" x14ac:dyDescent="0.3">
      <c r="A70" s="237">
        <v>68</v>
      </c>
      <c r="B70" s="357" t="s">
        <v>3248</v>
      </c>
      <c r="C70" s="357" t="s">
        <v>3252</v>
      </c>
      <c r="D70" s="230" t="s">
        <v>2926</v>
      </c>
      <c r="E70" s="230" t="s">
        <v>731</v>
      </c>
    </row>
    <row r="71" spans="1:5" x14ac:dyDescent="0.3">
      <c r="A71" s="237">
        <v>69</v>
      </c>
      <c r="B71" s="358" t="s">
        <v>785</v>
      </c>
      <c r="C71" s="358" t="s">
        <v>790</v>
      </c>
      <c r="D71" s="227" t="s">
        <v>795</v>
      </c>
      <c r="E71" s="227" t="s">
        <v>796</v>
      </c>
    </row>
    <row r="72" spans="1:5" x14ac:dyDescent="0.3">
      <c r="A72" s="237">
        <v>70</v>
      </c>
      <c r="B72" s="357" t="s">
        <v>1404</v>
      </c>
      <c r="C72" s="357" t="s">
        <v>1406</v>
      </c>
      <c r="D72" s="230" t="s">
        <v>1405</v>
      </c>
      <c r="E72" s="230" t="s">
        <v>1407</v>
      </c>
    </row>
    <row r="73" spans="1:5" x14ac:dyDescent="0.3">
      <c r="A73" s="237">
        <v>71</v>
      </c>
      <c r="B73" s="358" t="s">
        <v>667</v>
      </c>
      <c r="C73" s="358" t="s">
        <v>673</v>
      </c>
      <c r="D73" s="227" t="s">
        <v>677</v>
      </c>
      <c r="E73" s="227" t="s">
        <v>736</v>
      </c>
    </row>
    <row r="74" spans="1:5" x14ac:dyDescent="0.3">
      <c r="A74" s="237">
        <v>72</v>
      </c>
      <c r="B74" s="357" t="s">
        <v>364</v>
      </c>
      <c r="C74" s="357" t="s">
        <v>368</v>
      </c>
      <c r="D74" s="230" t="s">
        <v>370</v>
      </c>
      <c r="E74" s="230" t="s">
        <v>777</v>
      </c>
    </row>
    <row r="75" spans="1:5" x14ac:dyDescent="0.3">
      <c r="A75" s="237">
        <v>73</v>
      </c>
      <c r="B75" s="358" t="s">
        <v>4141</v>
      </c>
      <c r="C75" s="358" t="s">
        <v>4164</v>
      </c>
      <c r="D75" s="227" t="s">
        <v>1405</v>
      </c>
      <c r="E75" s="227" t="s">
        <v>4196</v>
      </c>
    </row>
    <row r="76" spans="1:5" x14ac:dyDescent="0.3">
      <c r="A76" s="237">
        <v>74</v>
      </c>
      <c r="B76" s="357" t="s">
        <v>3385</v>
      </c>
      <c r="C76" s="357" t="s">
        <v>3389</v>
      </c>
      <c r="D76" s="230" t="s">
        <v>1448</v>
      </c>
      <c r="E76" s="230" t="s">
        <v>735</v>
      </c>
    </row>
    <row r="77" spans="1:5" x14ac:dyDescent="0.3">
      <c r="A77" s="237">
        <v>75</v>
      </c>
      <c r="B77" s="358" t="s">
        <v>2460</v>
      </c>
      <c r="C77" s="358" t="s">
        <v>2483</v>
      </c>
      <c r="D77" s="227" t="s">
        <v>1405</v>
      </c>
      <c r="E77" s="227" t="s">
        <v>1755</v>
      </c>
    </row>
    <row r="78" spans="1:5" x14ac:dyDescent="0.3">
      <c r="A78" s="237">
        <v>76</v>
      </c>
      <c r="B78" s="357" t="s">
        <v>3578</v>
      </c>
      <c r="C78" s="357" t="s">
        <v>3583</v>
      </c>
      <c r="D78" s="230" t="s">
        <v>1405</v>
      </c>
      <c r="E78" s="230" t="s">
        <v>3598</v>
      </c>
    </row>
    <row r="79" spans="1:5" x14ac:dyDescent="0.3">
      <c r="A79" s="237">
        <v>77</v>
      </c>
      <c r="B79" s="358" t="s">
        <v>1275</v>
      </c>
      <c r="C79" s="358" t="s">
        <v>301</v>
      </c>
      <c r="D79" s="227" t="s">
        <v>301</v>
      </c>
      <c r="E79" s="227" t="s">
        <v>1284</v>
      </c>
    </row>
    <row r="80" spans="1:5" x14ac:dyDescent="0.3">
      <c r="A80" s="237">
        <v>78</v>
      </c>
      <c r="B80" s="357" t="s">
        <v>3062</v>
      </c>
      <c r="C80" s="357" t="s">
        <v>1624</v>
      </c>
      <c r="D80" s="230" t="s">
        <v>1085</v>
      </c>
      <c r="E80" s="230" t="s">
        <v>1651</v>
      </c>
    </row>
    <row r="81" spans="1:5" x14ac:dyDescent="0.3">
      <c r="A81" s="237">
        <v>79</v>
      </c>
      <c r="B81" s="358" t="s">
        <v>887</v>
      </c>
      <c r="C81" s="358" t="s">
        <v>869</v>
      </c>
      <c r="D81" s="227" t="s">
        <v>888</v>
      </c>
      <c r="E81" s="227" t="s">
        <v>889</v>
      </c>
    </row>
    <row r="82" spans="1:5" x14ac:dyDescent="0.3">
      <c r="A82" s="237">
        <v>80</v>
      </c>
      <c r="B82" s="357" t="s">
        <v>2935</v>
      </c>
      <c r="C82" s="357" t="s">
        <v>3063</v>
      </c>
      <c r="D82" s="230" t="s">
        <v>2940</v>
      </c>
      <c r="E82" s="230" t="s">
        <v>2941</v>
      </c>
    </row>
    <row r="83" spans="1:5" x14ac:dyDescent="0.3">
      <c r="A83" s="237">
        <v>81</v>
      </c>
      <c r="B83" s="358" t="s">
        <v>807</v>
      </c>
      <c r="C83" s="358" t="s">
        <v>813</v>
      </c>
      <c r="D83" s="227" t="s">
        <v>293</v>
      </c>
      <c r="E83" s="227" t="s">
        <v>713</v>
      </c>
    </row>
    <row r="84" spans="1:5" x14ac:dyDescent="0.3">
      <c r="A84" s="237">
        <v>82</v>
      </c>
      <c r="B84" s="357" t="s">
        <v>2283</v>
      </c>
      <c r="C84" s="357" t="s">
        <v>2287</v>
      </c>
      <c r="D84" s="230" t="s">
        <v>2286</v>
      </c>
      <c r="E84" s="230" t="s">
        <v>2135</v>
      </c>
    </row>
    <row r="85" spans="1:5" x14ac:dyDescent="0.3">
      <c r="A85" s="237">
        <v>83</v>
      </c>
      <c r="B85" s="358" t="s">
        <v>1990</v>
      </c>
      <c r="C85" s="358" t="s">
        <v>2000</v>
      </c>
      <c r="D85" s="227" t="s">
        <v>296</v>
      </c>
      <c r="E85" s="227" t="s">
        <v>2003</v>
      </c>
    </row>
    <row r="86" spans="1:5" x14ac:dyDescent="0.3">
      <c r="A86" s="237">
        <v>84</v>
      </c>
      <c r="B86" s="357" t="s">
        <v>3875</v>
      </c>
      <c r="C86" s="357" t="s">
        <v>3901</v>
      </c>
      <c r="D86" s="230" t="s">
        <v>3900</v>
      </c>
      <c r="E86" s="230" t="s">
        <v>3908</v>
      </c>
    </row>
    <row r="87" spans="1:5" x14ac:dyDescent="0.3">
      <c r="A87" s="237">
        <v>85</v>
      </c>
      <c r="B87" s="358" t="s">
        <v>2653</v>
      </c>
      <c r="C87" s="358" t="s">
        <v>2660</v>
      </c>
      <c r="D87" s="227" t="s">
        <v>1663</v>
      </c>
      <c r="E87" s="227" t="s">
        <v>900</v>
      </c>
    </row>
    <row r="88" spans="1:5" x14ac:dyDescent="0.3">
      <c r="A88" s="237">
        <v>86</v>
      </c>
      <c r="B88" s="357" t="s">
        <v>2811</v>
      </c>
      <c r="C88" s="357" t="s">
        <v>2820</v>
      </c>
      <c r="D88" s="230" t="s">
        <v>2229</v>
      </c>
      <c r="E88" s="230" t="s">
        <v>2804</v>
      </c>
    </row>
    <row r="89" spans="1:5" x14ac:dyDescent="0.3">
      <c r="A89" s="237">
        <v>87</v>
      </c>
      <c r="B89" s="358" t="s">
        <v>3721</v>
      </c>
      <c r="C89" s="358" t="s">
        <v>3721</v>
      </c>
      <c r="D89" s="227" t="s">
        <v>1337</v>
      </c>
      <c r="E89" s="227" t="s">
        <v>2434</v>
      </c>
    </row>
    <row r="90" spans="1:5" x14ac:dyDescent="0.3">
      <c r="A90" s="237">
        <v>88</v>
      </c>
      <c r="B90" s="357" t="s">
        <v>2501</v>
      </c>
      <c r="C90" s="357" t="s">
        <v>677</v>
      </c>
      <c r="D90" s="230" t="s">
        <v>677</v>
      </c>
      <c r="E90" s="230" t="s">
        <v>2514</v>
      </c>
    </row>
    <row r="91" spans="1:5" x14ac:dyDescent="0.3">
      <c r="A91" s="237">
        <v>89</v>
      </c>
      <c r="B91" s="358" t="s">
        <v>3511</v>
      </c>
      <c r="C91" s="358" t="s">
        <v>3530</v>
      </c>
      <c r="D91" s="227" t="s">
        <v>1211</v>
      </c>
      <c r="E91" s="227" t="s">
        <v>3531</v>
      </c>
    </row>
    <row r="92" spans="1:5" x14ac:dyDescent="0.3">
      <c r="A92" s="237">
        <v>90</v>
      </c>
      <c r="B92" s="357" t="s">
        <v>563</v>
      </c>
      <c r="C92" s="357" t="s">
        <v>573</v>
      </c>
      <c r="D92" s="230" t="s">
        <v>293</v>
      </c>
      <c r="E92" s="230" t="s">
        <v>713</v>
      </c>
    </row>
    <row r="93" spans="1:5" x14ac:dyDescent="0.3">
      <c r="A93" s="237">
        <v>91</v>
      </c>
      <c r="B93" s="358" t="s">
        <v>2247</v>
      </c>
      <c r="C93" s="358" t="s">
        <v>2254</v>
      </c>
      <c r="D93" s="227" t="s">
        <v>1529</v>
      </c>
      <c r="E93" s="227" t="s">
        <v>1531</v>
      </c>
    </row>
    <row r="94" spans="1:5" x14ac:dyDescent="0.3">
      <c r="A94" s="237">
        <v>92</v>
      </c>
      <c r="B94" s="357" t="s">
        <v>2601</v>
      </c>
      <c r="C94" s="357" t="s">
        <v>2601</v>
      </c>
      <c r="D94" s="230" t="s">
        <v>2608</v>
      </c>
      <c r="E94" s="230" t="s">
        <v>2610</v>
      </c>
    </row>
    <row r="95" spans="1:5" x14ac:dyDescent="0.3">
      <c r="A95" s="237">
        <v>93</v>
      </c>
      <c r="B95" s="358" t="s">
        <v>1252</v>
      </c>
      <c r="C95" s="358" t="s">
        <v>1254</v>
      </c>
      <c r="D95" s="227" t="s">
        <v>1263</v>
      </c>
      <c r="E95" s="227" t="s">
        <v>1267</v>
      </c>
    </row>
    <row r="96" spans="1:5" x14ac:dyDescent="0.3">
      <c r="A96" s="237">
        <v>94</v>
      </c>
      <c r="B96" s="357" t="s">
        <v>1742</v>
      </c>
      <c r="C96" s="357" t="s">
        <v>1754</v>
      </c>
      <c r="D96" s="230" t="s">
        <v>312</v>
      </c>
      <c r="E96" s="230" t="s">
        <v>4124</v>
      </c>
    </row>
    <row r="97" spans="1:5" x14ac:dyDescent="0.3">
      <c r="A97" s="237">
        <v>95</v>
      </c>
      <c r="B97" s="358" t="s">
        <v>3850</v>
      </c>
      <c r="C97" s="358" t="s">
        <v>3857</v>
      </c>
      <c r="D97" s="227" t="s">
        <v>3856</v>
      </c>
      <c r="E97" s="227" t="s">
        <v>3860</v>
      </c>
    </row>
    <row r="98" spans="1:5" x14ac:dyDescent="0.3">
      <c r="A98" s="237">
        <v>96</v>
      </c>
      <c r="B98" s="357" t="s">
        <v>2616</v>
      </c>
      <c r="C98" s="357" t="s">
        <v>168</v>
      </c>
      <c r="D98" s="230" t="s">
        <v>2624</v>
      </c>
      <c r="E98" s="230" t="s">
        <v>2628</v>
      </c>
    </row>
    <row r="99" spans="1:5" x14ac:dyDescent="0.3">
      <c r="A99" s="237">
        <v>97</v>
      </c>
      <c r="B99" s="358" t="s">
        <v>2915</v>
      </c>
      <c r="C99" s="358" t="s">
        <v>2927</v>
      </c>
      <c r="D99" s="227" t="s">
        <v>2926</v>
      </c>
      <c r="E99" s="227" t="s">
        <v>731</v>
      </c>
    </row>
    <row r="100" spans="1:5" x14ac:dyDescent="0.3">
      <c r="A100" s="237">
        <v>98</v>
      </c>
      <c r="B100" s="357" t="s">
        <v>3632</v>
      </c>
      <c r="C100" s="357" t="s">
        <v>3634</v>
      </c>
      <c r="D100" s="230" t="s">
        <v>3633</v>
      </c>
      <c r="E100" s="230" t="s">
        <v>3635</v>
      </c>
    </row>
    <row r="101" spans="1:5" x14ac:dyDescent="0.3">
      <c r="A101" s="237">
        <v>99</v>
      </c>
      <c r="B101" s="358" t="s">
        <v>1411</v>
      </c>
      <c r="C101" s="358" t="s">
        <v>1417</v>
      </c>
      <c r="D101" s="227" t="s">
        <v>1416</v>
      </c>
      <c r="E101" s="227" t="s">
        <v>1420</v>
      </c>
    </row>
    <row r="102" spans="1:5" x14ac:dyDescent="0.3">
      <c r="A102" s="237">
        <v>100</v>
      </c>
      <c r="B102" s="357" t="s">
        <v>1514</v>
      </c>
      <c r="C102" s="357" t="s">
        <v>1516</v>
      </c>
      <c r="D102" s="230" t="s">
        <v>1515</v>
      </c>
      <c r="E102" s="230" t="s">
        <v>1517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40"/>
  <sheetViews>
    <sheetView topLeftCell="A245" zoomScale="80" zoomScaleNormal="80" workbookViewId="0">
      <selection activeCell="M622" sqref="M622"/>
    </sheetView>
  </sheetViews>
  <sheetFormatPr defaultColWidth="8.796875" defaultRowHeight="15.6" x14ac:dyDescent="0.3"/>
  <cols>
    <col min="1" max="1" width="4.3984375" bestFit="1" customWidth="1"/>
    <col min="2" max="2" width="26.09765625" bestFit="1" customWidth="1"/>
    <col min="3" max="3" width="43" bestFit="1" customWidth="1"/>
    <col min="4" max="4" width="6.5" bestFit="1" customWidth="1"/>
    <col min="5" max="5" width="13.69921875" bestFit="1" customWidth="1"/>
  </cols>
  <sheetData>
    <row r="1" spans="1:5" ht="17.399999999999999" x14ac:dyDescent="0.35">
      <c r="A1" s="433" t="s">
        <v>3942</v>
      </c>
      <c r="B1" s="433"/>
      <c r="C1" s="433"/>
      <c r="D1" s="433"/>
      <c r="E1" s="433"/>
    </row>
    <row r="2" spans="1:5" x14ac:dyDescent="0.3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958</v>
      </c>
    </row>
    <row r="3" spans="1:5" x14ac:dyDescent="0.3">
      <c r="A3" s="233">
        <v>1</v>
      </c>
      <c r="B3" s="227" t="s">
        <v>952</v>
      </c>
      <c r="C3" s="227" t="s">
        <v>950</v>
      </c>
      <c r="D3" s="228">
        <v>10.5</v>
      </c>
      <c r="E3" s="234">
        <v>10.85</v>
      </c>
    </row>
    <row r="4" spans="1:5" x14ac:dyDescent="0.3">
      <c r="A4" s="235">
        <v>2</v>
      </c>
      <c r="B4" s="230" t="s">
        <v>2358</v>
      </c>
      <c r="C4" s="230" t="s">
        <v>2343</v>
      </c>
      <c r="D4" s="231">
        <v>10</v>
      </c>
      <c r="E4" s="234">
        <v>10.44</v>
      </c>
    </row>
    <row r="5" spans="1:5" x14ac:dyDescent="0.3">
      <c r="A5" s="236">
        <v>3</v>
      </c>
      <c r="B5" s="227" t="s">
        <v>298</v>
      </c>
      <c r="C5" s="227" t="s">
        <v>982</v>
      </c>
      <c r="D5" s="228">
        <v>10</v>
      </c>
      <c r="E5" s="234">
        <v>10.39</v>
      </c>
    </row>
    <row r="6" spans="1:5" x14ac:dyDescent="0.3">
      <c r="A6" s="237">
        <v>4</v>
      </c>
      <c r="B6" s="230" t="s">
        <v>293</v>
      </c>
      <c r="C6" s="230" t="s">
        <v>294</v>
      </c>
      <c r="D6" s="231">
        <v>9.6999999999999993</v>
      </c>
      <c r="E6" s="234">
        <v>10.37</v>
      </c>
    </row>
    <row r="7" spans="1:5" x14ac:dyDescent="0.3">
      <c r="A7" s="237">
        <v>5</v>
      </c>
      <c r="B7" s="227" t="s">
        <v>2528</v>
      </c>
      <c r="C7" s="227" t="s">
        <v>634</v>
      </c>
      <c r="D7" s="228">
        <v>9.8800000000000008</v>
      </c>
      <c r="E7" s="234">
        <v>10.220000000000001</v>
      </c>
    </row>
    <row r="8" spans="1:5" x14ac:dyDescent="0.3">
      <c r="A8" s="237">
        <v>6</v>
      </c>
      <c r="B8" s="230" t="s">
        <v>293</v>
      </c>
      <c r="C8" s="230" t="s">
        <v>295</v>
      </c>
      <c r="D8" s="231">
        <v>9.68</v>
      </c>
      <c r="E8" s="234">
        <v>10.07</v>
      </c>
    </row>
    <row r="9" spans="1:5" x14ac:dyDescent="0.3">
      <c r="A9" s="237">
        <v>7</v>
      </c>
      <c r="B9" s="227" t="s">
        <v>298</v>
      </c>
      <c r="C9" s="227" t="s">
        <v>299</v>
      </c>
      <c r="D9" s="228">
        <v>9.61</v>
      </c>
      <c r="E9" s="234">
        <v>10</v>
      </c>
    </row>
    <row r="10" spans="1:5" x14ac:dyDescent="0.3">
      <c r="A10" s="237">
        <v>8</v>
      </c>
      <c r="B10" s="230" t="s">
        <v>298</v>
      </c>
      <c r="C10" s="230" t="s">
        <v>727</v>
      </c>
      <c r="D10" s="231">
        <v>9.4</v>
      </c>
      <c r="E10" s="240">
        <v>9.5500000000000007</v>
      </c>
    </row>
    <row r="11" spans="1:5" x14ac:dyDescent="0.3">
      <c r="A11" s="237">
        <v>9</v>
      </c>
      <c r="B11" s="227" t="s">
        <v>296</v>
      </c>
      <c r="C11" s="227" t="s">
        <v>239</v>
      </c>
      <c r="D11" s="228">
        <v>9.3800000000000008</v>
      </c>
      <c r="E11" s="241">
        <v>9.5299999999999994</v>
      </c>
    </row>
    <row r="12" spans="1:5" x14ac:dyDescent="0.3">
      <c r="A12" s="237">
        <v>10</v>
      </c>
      <c r="B12" s="230" t="s">
        <v>297</v>
      </c>
      <c r="C12" s="230" t="s">
        <v>1116</v>
      </c>
      <c r="D12" s="231">
        <v>9.4</v>
      </c>
      <c r="E12" s="242">
        <v>9.4600000000000009</v>
      </c>
    </row>
    <row r="13" spans="1:5" x14ac:dyDescent="0.3">
      <c r="A13" s="237">
        <v>11</v>
      </c>
      <c r="B13" s="227" t="s">
        <v>1932</v>
      </c>
      <c r="C13" s="227" t="s">
        <v>1925</v>
      </c>
      <c r="D13" s="228">
        <v>9.31</v>
      </c>
      <c r="E13" s="243">
        <v>9.43</v>
      </c>
    </row>
    <row r="14" spans="1:5" x14ac:dyDescent="0.3">
      <c r="A14" s="237">
        <v>12</v>
      </c>
      <c r="B14" s="230" t="s">
        <v>293</v>
      </c>
      <c r="C14" s="230" t="s">
        <v>251</v>
      </c>
      <c r="D14" s="231">
        <v>9.15</v>
      </c>
      <c r="E14" s="244">
        <v>9.3699999999999992</v>
      </c>
    </row>
    <row r="15" spans="1:5" x14ac:dyDescent="0.3">
      <c r="A15" s="237">
        <v>13</v>
      </c>
      <c r="B15" s="227" t="s">
        <v>297</v>
      </c>
      <c r="C15" s="227" t="s">
        <v>960</v>
      </c>
      <c r="D15" s="228">
        <v>9.3000000000000007</v>
      </c>
      <c r="E15" s="245">
        <v>9.36</v>
      </c>
    </row>
    <row r="16" spans="1:5" x14ac:dyDescent="0.3">
      <c r="A16" s="237">
        <v>14</v>
      </c>
      <c r="B16" s="230" t="s">
        <v>302</v>
      </c>
      <c r="C16" s="230" t="s">
        <v>186</v>
      </c>
      <c r="D16" s="231">
        <v>9.2100000000000009</v>
      </c>
      <c r="E16" s="246">
        <v>9.34</v>
      </c>
    </row>
    <row r="17" spans="1:5" x14ac:dyDescent="0.3">
      <c r="A17" s="237">
        <v>15</v>
      </c>
      <c r="B17" s="227" t="s">
        <v>441</v>
      </c>
      <c r="C17" s="227" t="s">
        <v>459</v>
      </c>
      <c r="D17" s="228">
        <v>9.17</v>
      </c>
      <c r="E17" s="247">
        <v>9.23</v>
      </c>
    </row>
    <row r="18" spans="1:5" x14ac:dyDescent="0.3">
      <c r="A18" s="237">
        <v>16</v>
      </c>
      <c r="B18" s="230" t="s">
        <v>405</v>
      </c>
      <c r="C18" s="230" t="s">
        <v>36</v>
      </c>
      <c r="D18" s="231">
        <v>9.15</v>
      </c>
      <c r="E18" s="247">
        <v>9.23</v>
      </c>
    </row>
    <row r="19" spans="1:5" x14ac:dyDescent="0.3">
      <c r="A19" s="237">
        <v>17</v>
      </c>
      <c r="B19" s="227" t="s">
        <v>293</v>
      </c>
      <c r="C19" s="227" t="s">
        <v>393</v>
      </c>
      <c r="D19" s="228">
        <v>9.0399999999999991</v>
      </c>
      <c r="E19" s="250">
        <v>9.14</v>
      </c>
    </row>
    <row r="20" spans="1:5" x14ac:dyDescent="0.3">
      <c r="A20" s="237">
        <v>18</v>
      </c>
      <c r="B20" s="230" t="s">
        <v>441</v>
      </c>
      <c r="C20" s="230" t="s">
        <v>609</v>
      </c>
      <c r="D20" s="231">
        <v>8.94</v>
      </c>
      <c r="E20" s="253">
        <v>9.0399999999999991</v>
      </c>
    </row>
    <row r="21" spans="1:5" x14ac:dyDescent="0.3">
      <c r="A21" s="237">
        <v>19</v>
      </c>
      <c r="B21" s="227" t="s">
        <v>307</v>
      </c>
      <c r="C21" s="227" t="s">
        <v>95</v>
      </c>
      <c r="D21" s="228">
        <v>8.94</v>
      </c>
      <c r="E21" s="254">
        <v>9.0299999999999994</v>
      </c>
    </row>
    <row r="22" spans="1:5" x14ac:dyDescent="0.3">
      <c r="A22" s="237">
        <v>20</v>
      </c>
      <c r="B22" s="230" t="s">
        <v>1529</v>
      </c>
      <c r="C22" s="230" t="s">
        <v>2254</v>
      </c>
      <c r="D22" s="231">
        <v>9.07</v>
      </c>
      <c r="E22" s="255">
        <v>9.02</v>
      </c>
    </row>
    <row r="23" spans="1:5" x14ac:dyDescent="0.3">
      <c r="A23" s="237">
        <v>21</v>
      </c>
      <c r="B23" s="227" t="s">
        <v>298</v>
      </c>
      <c r="C23" s="227" t="s">
        <v>1718</v>
      </c>
      <c r="D23" s="228">
        <v>8.92</v>
      </c>
      <c r="E23" s="257">
        <v>8.9700000000000006</v>
      </c>
    </row>
    <row r="24" spans="1:5" x14ac:dyDescent="0.3">
      <c r="A24" s="237">
        <v>22</v>
      </c>
      <c r="B24" s="230" t="s">
        <v>298</v>
      </c>
      <c r="C24" s="230" t="s">
        <v>2849</v>
      </c>
      <c r="D24" s="231">
        <v>8.8000000000000007</v>
      </c>
      <c r="E24" s="257">
        <v>8.9700000000000006</v>
      </c>
    </row>
    <row r="25" spans="1:5" x14ac:dyDescent="0.3">
      <c r="A25" s="237">
        <v>23</v>
      </c>
      <c r="B25" s="227" t="s">
        <v>1263</v>
      </c>
      <c r="C25" s="227" t="s">
        <v>1254</v>
      </c>
      <c r="D25" s="228">
        <v>9</v>
      </c>
      <c r="E25" s="258">
        <v>8.9600000000000009</v>
      </c>
    </row>
    <row r="26" spans="1:5" x14ac:dyDescent="0.3">
      <c r="A26" s="237">
        <v>24</v>
      </c>
      <c r="B26" s="230" t="s">
        <v>2528</v>
      </c>
      <c r="C26" s="230" t="s">
        <v>3671</v>
      </c>
      <c r="D26" s="231">
        <v>9</v>
      </c>
      <c r="E26" s="258">
        <v>8.9600000000000009</v>
      </c>
    </row>
    <row r="27" spans="1:5" x14ac:dyDescent="0.3">
      <c r="A27" s="237">
        <v>25</v>
      </c>
      <c r="B27" s="227" t="s">
        <v>311</v>
      </c>
      <c r="C27" s="227" t="s">
        <v>1540</v>
      </c>
      <c r="D27" s="228">
        <v>8.94</v>
      </c>
      <c r="E27" s="259">
        <v>8.9499999999999993</v>
      </c>
    </row>
    <row r="28" spans="1:5" x14ac:dyDescent="0.3">
      <c r="A28" s="237">
        <v>26</v>
      </c>
      <c r="B28" s="230" t="s">
        <v>3856</v>
      </c>
      <c r="C28" s="230" t="s">
        <v>3857</v>
      </c>
      <c r="D28" s="231">
        <v>9</v>
      </c>
      <c r="E28" s="259">
        <v>8.9499999999999993</v>
      </c>
    </row>
    <row r="29" spans="1:5" x14ac:dyDescent="0.3">
      <c r="A29" s="237">
        <v>27</v>
      </c>
      <c r="B29" s="227" t="s">
        <v>2624</v>
      </c>
      <c r="C29" s="227" t="s">
        <v>168</v>
      </c>
      <c r="D29" s="228">
        <v>9</v>
      </c>
      <c r="E29" s="400">
        <v>8.94</v>
      </c>
    </row>
    <row r="30" spans="1:5" x14ac:dyDescent="0.3">
      <c r="A30" s="237">
        <v>28</v>
      </c>
      <c r="B30" s="230" t="s">
        <v>699</v>
      </c>
      <c r="C30" s="230" t="s">
        <v>700</v>
      </c>
      <c r="D30" s="231">
        <v>8.91</v>
      </c>
      <c r="E30" s="260">
        <v>8.93</v>
      </c>
    </row>
    <row r="31" spans="1:5" x14ac:dyDescent="0.3">
      <c r="A31" s="237">
        <v>29</v>
      </c>
      <c r="B31" s="227" t="s">
        <v>3633</v>
      </c>
      <c r="C31" s="227" t="s">
        <v>3634</v>
      </c>
      <c r="D31" s="228">
        <v>9</v>
      </c>
      <c r="E31" s="261">
        <v>8.92</v>
      </c>
    </row>
    <row r="32" spans="1:5" x14ac:dyDescent="0.3">
      <c r="A32" s="237">
        <v>30</v>
      </c>
      <c r="B32" s="230" t="s">
        <v>677</v>
      </c>
      <c r="C32" s="230" t="s">
        <v>1355</v>
      </c>
      <c r="D32" s="231">
        <v>8.8800000000000008</v>
      </c>
      <c r="E32" s="263">
        <v>8.89</v>
      </c>
    </row>
    <row r="33" spans="1:5" x14ac:dyDescent="0.3">
      <c r="A33" s="237">
        <v>31</v>
      </c>
      <c r="B33" s="227" t="s">
        <v>312</v>
      </c>
      <c r="C33" s="227" t="s">
        <v>1117</v>
      </c>
      <c r="D33" s="228">
        <v>8.77</v>
      </c>
      <c r="E33" s="263">
        <v>8.89</v>
      </c>
    </row>
    <row r="34" spans="1:5" x14ac:dyDescent="0.3">
      <c r="A34" s="237">
        <v>32</v>
      </c>
      <c r="B34" s="230" t="s">
        <v>1515</v>
      </c>
      <c r="C34" s="230" t="s">
        <v>1516</v>
      </c>
      <c r="D34" s="231">
        <v>8.9</v>
      </c>
      <c r="E34" s="264">
        <v>8.8800000000000008</v>
      </c>
    </row>
    <row r="35" spans="1:5" x14ac:dyDescent="0.3">
      <c r="A35" s="237">
        <v>33</v>
      </c>
      <c r="B35" s="227" t="s">
        <v>1416</v>
      </c>
      <c r="C35" s="227" t="s">
        <v>1417</v>
      </c>
      <c r="D35" s="228">
        <v>8.93</v>
      </c>
      <c r="E35" s="264">
        <v>8.8800000000000008</v>
      </c>
    </row>
    <row r="36" spans="1:5" x14ac:dyDescent="0.3">
      <c r="A36" s="237">
        <v>34</v>
      </c>
      <c r="B36" s="230" t="s">
        <v>2447</v>
      </c>
      <c r="C36" s="230" t="s">
        <v>2448</v>
      </c>
      <c r="D36" s="231">
        <v>8.86</v>
      </c>
      <c r="E36" s="264">
        <v>8.8800000000000008</v>
      </c>
    </row>
    <row r="37" spans="1:5" x14ac:dyDescent="0.3">
      <c r="A37" s="237">
        <v>35</v>
      </c>
      <c r="B37" s="227" t="s">
        <v>305</v>
      </c>
      <c r="C37" s="227" t="s">
        <v>306</v>
      </c>
      <c r="D37" s="228">
        <v>8.89</v>
      </c>
      <c r="E37" s="265">
        <v>8.8699999999999992</v>
      </c>
    </row>
    <row r="38" spans="1:5" x14ac:dyDescent="0.3">
      <c r="A38" s="237">
        <v>36</v>
      </c>
      <c r="B38" s="230" t="s">
        <v>307</v>
      </c>
      <c r="C38" s="230" t="s">
        <v>307</v>
      </c>
      <c r="D38" s="231">
        <v>8.83</v>
      </c>
      <c r="E38" s="266">
        <v>8.86</v>
      </c>
    </row>
    <row r="39" spans="1:5" x14ac:dyDescent="0.3">
      <c r="A39" s="237">
        <v>37</v>
      </c>
      <c r="B39" s="227" t="s">
        <v>2229</v>
      </c>
      <c r="C39" s="227" t="s">
        <v>2379</v>
      </c>
      <c r="D39" s="228">
        <v>8.7899999999999991</v>
      </c>
      <c r="E39" s="266">
        <v>8.86</v>
      </c>
    </row>
    <row r="40" spans="1:5" x14ac:dyDescent="0.3">
      <c r="A40" s="237">
        <v>38</v>
      </c>
      <c r="B40" s="230" t="s">
        <v>311</v>
      </c>
      <c r="C40" s="230" t="s">
        <v>948</v>
      </c>
      <c r="D40" s="231">
        <v>8.73</v>
      </c>
      <c r="E40" s="267">
        <v>8.85</v>
      </c>
    </row>
    <row r="41" spans="1:5" x14ac:dyDescent="0.3">
      <c r="A41" s="237">
        <v>39</v>
      </c>
      <c r="B41" s="227" t="s">
        <v>2528</v>
      </c>
      <c r="C41" s="227" t="s">
        <v>2529</v>
      </c>
      <c r="D41" s="228">
        <v>8.83</v>
      </c>
      <c r="E41" s="268">
        <v>8.84</v>
      </c>
    </row>
    <row r="42" spans="1:5" x14ac:dyDescent="0.3">
      <c r="A42" s="237">
        <v>40</v>
      </c>
      <c r="B42" s="230" t="s">
        <v>1313</v>
      </c>
      <c r="C42" s="230" t="s">
        <v>1306</v>
      </c>
      <c r="D42" s="231">
        <v>8.86</v>
      </c>
      <c r="E42" s="268">
        <v>8.83</v>
      </c>
    </row>
    <row r="43" spans="1:5" x14ac:dyDescent="0.3">
      <c r="A43" s="237">
        <v>41</v>
      </c>
      <c r="B43" s="227" t="s">
        <v>2664</v>
      </c>
      <c r="C43" s="227" t="s">
        <v>3684</v>
      </c>
      <c r="D43" s="228">
        <v>8.81</v>
      </c>
      <c r="E43" s="268">
        <v>8.83</v>
      </c>
    </row>
    <row r="44" spans="1:5" x14ac:dyDescent="0.3">
      <c r="A44" s="237">
        <v>42</v>
      </c>
      <c r="B44" s="230" t="s">
        <v>1694</v>
      </c>
      <c r="C44" s="230" t="s">
        <v>1695</v>
      </c>
      <c r="D44" s="231">
        <v>8.92</v>
      </c>
      <c r="E44" s="268">
        <v>8.83</v>
      </c>
    </row>
    <row r="45" spans="1:5" x14ac:dyDescent="0.3">
      <c r="A45" s="237">
        <v>43</v>
      </c>
      <c r="B45" s="227" t="s">
        <v>2229</v>
      </c>
      <c r="C45" s="227" t="s">
        <v>2230</v>
      </c>
      <c r="D45" s="228">
        <v>8.81</v>
      </c>
      <c r="E45" s="268">
        <v>8.83</v>
      </c>
    </row>
    <row r="46" spans="1:5" x14ac:dyDescent="0.3">
      <c r="A46" s="237">
        <v>44</v>
      </c>
      <c r="B46" s="230" t="s">
        <v>3492</v>
      </c>
      <c r="C46" s="230" t="s">
        <v>3492</v>
      </c>
      <c r="D46" s="231">
        <v>8.82</v>
      </c>
      <c r="E46" s="268">
        <v>8.83</v>
      </c>
    </row>
    <row r="47" spans="1:5" x14ac:dyDescent="0.3">
      <c r="A47" s="237">
        <v>45</v>
      </c>
      <c r="B47" s="227" t="s">
        <v>297</v>
      </c>
      <c r="C47" s="227" t="s">
        <v>2523</v>
      </c>
      <c r="D47" s="228">
        <v>8.86</v>
      </c>
      <c r="E47" s="269">
        <v>8.82</v>
      </c>
    </row>
    <row r="48" spans="1:5" x14ac:dyDescent="0.3">
      <c r="A48" s="237">
        <v>46</v>
      </c>
      <c r="B48" s="230" t="s">
        <v>2546</v>
      </c>
      <c r="C48" s="230" t="s">
        <v>2545</v>
      </c>
      <c r="D48" s="231">
        <v>8.8800000000000008</v>
      </c>
      <c r="E48" s="270">
        <v>8.81</v>
      </c>
    </row>
    <row r="49" spans="1:5" x14ac:dyDescent="0.3">
      <c r="A49" s="237">
        <v>47</v>
      </c>
      <c r="B49" s="227" t="s">
        <v>357</v>
      </c>
      <c r="C49" s="227" t="s">
        <v>351</v>
      </c>
      <c r="D49" s="228">
        <v>8.8000000000000007</v>
      </c>
      <c r="E49" s="270">
        <v>8.81</v>
      </c>
    </row>
    <row r="50" spans="1:5" x14ac:dyDescent="0.3">
      <c r="A50" s="237">
        <v>48</v>
      </c>
      <c r="B50" s="230" t="s">
        <v>307</v>
      </c>
      <c r="C50" s="230" t="s">
        <v>2722</v>
      </c>
      <c r="D50" s="231">
        <v>8.8000000000000007</v>
      </c>
      <c r="E50" s="270">
        <v>8.81</v>
      </c>
    </row>
    <row r="51" spans="1:5" x14ac:dyDescent="0.3">
      <c r="A51" s="237">
        <v>49</v>
      </c>
      <c r="B51" s="227" t="s">
        <v>441</v>
      </c>
      <c r="C51" s="227" t="s">
        <v>442</v>
      </c>
      <c r="D51" s="228">
        <v>8.7899999999999991</v>
      </c>
      <c r="E51" s="270">
        <v>8.81</v>
      </c>
    </row>
    <row r="52" spans="1:5" x14ac:dyDescent="0.3">
      <c r="A52" s="237">
        <v>50</v>
      </c>
      <c r="B52" s="230" t="s">
        <v>545</v>
      </c>
      <c r="C52" s="230" t="s">
        <v>546</v>
      </c>
      <c r="D52" s="231">
        <v>8.7799999999999994</v>
      </c>
      <c r="E52" s="271">
        <v>8.7899999999999991</v>
      </c>
    </row>
    <row r="53" spans="1:5" x14ac:dyDescent="0.3">
      <c r="A53" s="237">
        <v>51</v>
      </c>
      <c r="B53" s="227" t="s">
        <v>3898</v>
      </c>
      <c r="C53" s="227" t="s">
        <v>3899</v>
      </c>
      <c r="D53" s="228">
        <v>8.75</v>
      </c>
      <c r="E53" s="272">
        <v>8.7799999999999994</v>
      </c>
    </row>
    <row r="54" spans="1:5" x14ac:dyDescent="0.3">
      <c r="A54" s="237">
        <v>52</v>
      </c>
      <c r="B54" s="230" t="s">
        <v>441</v>
      </c>
      <c r="C54" s="230" t="s">
        <v>2395</v>
      </c>
      <c r="D54" s="231">
        <v>8.75</v>
      </c>
      <c r="E54" s="272">
        <v>8.7799999999999994</v>
      </c>
    </row>
    <row r="55" spans="1:5" x14ac:dyDescent="0.3">
      <c r="A55" s="237">
        <v>53</v>
      </c>
      <c r="B55" s="227" t="s">
        <v>1593</v>
      </c>
      <c r="C55" s="227" t="s">
        <v>1592</v>
      </c>
      <c r="D55" s="228">
        <v>8.85</v>
      </c>
      <c r="E55" s="272">
        <v>8.7799999999999994</v>
      </c>
    </row>
    <row r="56" spans="1:5" x14ac:dyDescent="0.3">
      <c r="A56" s="237">
        <v>54</v>
      </c>
      <c r="B56" s="230" t="s">
        <v>2484</v>
      </c>
      <c r="C56" s="230" t="s">
        <v>2485</v>
      </c>
      <c r="D56" s="231">
        <v>8.8800000000000008</v>
      </c>
      <c r="E56" s="273">
        <v>8.77</v>
      </c>
    </row>
    <row r="57" spans="1:5" x14ac:dyDescent="0.3">
      <c r="A57" s="237">
        <v>55</v>
      </c>
      <c r="B57" s="227" t="s">
        <v>297</v>
      </c>
      <c r="C57" s="227" t="s">
        <v>1323</v>
      </c>
      <c r="D57" s="228">
        <v>8.83</v>
      </c>
      <c r="E57" s="273">
        <v>8.77</v>
      </c>
    </row>
    <row r="58" spans="1:5" x14ac:dyDescent="0.3">
      <c r="A58" s="237">
        <v>56</v>
      </c>
      <c r="B58" s="230" t="s">
        <v>293</v>
      </c>
      <c r="C58" s="230" t="s">
        <v>518</v>
      </c>
      <c r="D58" s="231">
        <v>8.77</v>
      </c>
      <c r="E58" s="275">
        <v>8.75</v>
      </c>
    </row>
    <row r="59" spans="1:5" x14ac:dyDescent="0.3">
      <c r="A59" s="237">
        <v>57</v>
      </c>
      <c r="B59" s="227" t="s">
        <v>2303</v>
      </c>
      <c r="C59" s="227" t="s">
        <v>2293</v>
      </c>
      <c r="D59" s="228">
        <v>8.86</v>
      </c>
      <c r="E59" s="276">
        <v>8.74</v>
      </c>
    </row>
    <row r="60" spans="1:5" x14ac:dyDescent="0.3">
      <c r="A60" s="237">
        <v>58</v>
      </c>
      <c r="B60" s="230" t="s">
        <v>370</v>
      </c>
      <c r="C60" s="230" t="s">
        <v>368</v>
      </c>
      <c r="D60" s="231">
        <v>8.67</v>
      </c>
      <c r="E60" s="278">
        <v>8.7100000000000009</v>
      </c>
    </row>
    <row r="61" spans="1:5" x14ac:dyDescent="0.3">
      <c r="A61" s="237">
        <v>59</v>
      </c>
      <c r="B61" s="227" t="s">
        <v>2879</v>
      </c>
      <c r="C61" s="227" t="s">
        <v>2879</v>
      </c>
      <c r="D61" s="228">
        <v>8.8000000000000007</v>
      </c>
      <c r="E61" s="279">
        <v>8.6999999999999993</v>
      </c>
    </row>
    <row r="62" spans="1:5" x14ac:dyDescent="0.3">
      <c r="A62" s="237">
        <v>60</v>
      </c>
      <c r="B62" s="230" t="s">
        <v>2624</v>
      </c>
      <c r="C62" s="230" t="s">
        <v>3286</v>
      </c>
      <c r="D62" s="231">
        <v>8.7899999999999991</v>
      </c>
      <c r="E62" s="281">
        <v>8.67</v>
      </c>
    </row>
    <row r="63" spans="1:5" x14ac:dyDescent="0.3">
      <c r="A63" s="237">
        <v>61</v>
      </c>
      <c r="B63" s="227" t="s">
        <v>2576</v>
      </c>
      <c r="C63" s="227" t="s">
        <v>2577</v>
      </c>
      <c r="D63" s="228">
        <v>8.75</v>
      </c>
      <c r="E63" s="281">
        <v>8.67</v>
      </c>
    </row>
    <row r="64" spans="1:5" x14ac:dyDescent="0.3">
      <c r="A64" s="237">
        <v>62</v>
      </c>
      <c r="B64" s="230" t="s">
        <v>3831</v>
      </c>
      <c r="C64" s="230" t="s">
        <v>3832</v>
      </c>
      <c r="D64" s="231">
        <v>8.7899999999999991</v>
      </c>
      <c r="E64" s="281">
        <v>8.67</v>
      </c>
    </row>
    <row r="65" spans="1:5" x14ac:dyDescent="0.3">
      <c r="A65" s="237">
        <v>63</v>
      </c>
      <c r="B65" s="227" t="s">
        <v>310</v>
      </c>
      <c r="C65" s="227" t="s">
        <v>159</v>
      </c>
      <c r="D65" s="228">
        <v>8.7100000000000009</v>
      </c>
      <c r="E65" s="283">
        <v>8.65</v>
      </c>
    </row>
    <row r="66" spans="1:5" x14ac:dyDescent="0.3">
      <c r="A66" s="237">
        <v>64</v>
      </c>
      <c r="B66" s="230" t="s">
        <v>1264</v>
      </c>
      <c r="C66" s="230" t="s">
        <v>1265</v>
      </c>
      <c r="D66" s="231">
        <v>8.77</v>
      </c>
      <c r="E66" s="283">
        <v>8.65</v>
      </c>
    </row>
    <row r="67" spans="1:5" x14ac:dyDescent="0.3">
      <c r="A67" s="237">
        <v>65</v>
      </c>
      <c r="B67" s="227" t="s">
        <v>1529</v>
      </c>
      <c r="C67" s="227" t="s">
        <v>1522</v>
      </c>
      <c r="D67" s="228">
        <v>8.75</v>
      </c>
      <c r="E67" s="285">
        <v>8.6300000000000008</v>
      </c>
    </row>
    <row r="68" spans="1:5" x14ac:dyDescent="0.3">
      <c r="A68" s="237">
        <v>66</v>
      </c>
      <c r="B68" s="230" t="s">
        <v>1085</v>
      </c>
      <c r="C68" s="230" t="s">
        <v>1624</v>
      </c>
      <c r="D68" s="231">
        <v>8.57</v>
      </c>
      <c r="E68" s="285">
        <v>8.6300000000000008</v>
      </c>
    </row>
    <row r="69" spans="1:5" x14ac:dyDescent="0.3">
      <c r="A69" s="237">
        <v>67</v>
      </c>
      <c r="B69" s="227" t="s">
        <v>560</v>
      </c>
      <c r="C69" s="227" t="s">
        <v>561</v>
      </c>
      <c r="D69" s="228">
        <v>8.73</v>
      </c>
      <c r="E69" s="286">
        <v>8.6199999999999992</v>
      </c>
    </row>
    <row r="70" spans="1:5" x14ac:dyDescent="0.3">
      <c r="A70" s="237">
        <v>68</v>
      </c>
      <c r="B70" s="230" t="s">
        <v>1908</v>
      </c>
      <c r="C70" s="230" t="s">
        <v>1909</v>
      </c>
      <c r="D70" s="231">
        <v>8.67</v>
      </c>
      <c r="E70" s="287">
        <v>8.61</v>
      </c>
    </row>
    <row r="71" spans="1:5" x14ac:dyDescent="0.3">
      <c r="A71" s="237">
        <v>69</v>
      </c>
      <c r="B71" s="227" t="s">
        <v>2940</v>
      </c>
      <c r="C71" s="227">
        <v>4</v>
      </c>
      <c r="D71" s="228">
        <v>8.6</v>
      </c>
      <c r="E71" s="288">
        <v>8.6</v>
      </c>
    </row>
    <row r="72" spans="1:5" x14ac:dyDescent="0.3">
      <c r="A72" s="237">
        <v>70</v>
      </c>
      <c r="B72" s="230" t="s">
        <v>888</v>
      </c>
      <c r="C72" s="230" t="s">
        <v>869</v>
      </c>
      <c r="D72" s="231">
        <v>8.5500000000000007</v>
      </c>
      <c r="E72" s="288">
        <v>8.6</v>
      </c>
    </row>
    <row r="73" spans="1:5" x14ac:dyDescent="0.3">
      <c r="A73" s="237">
        <v>71</v>
      </c>
      <c r="B73" s="227" t="s">
        <v>3935</v>
      </c>
      <c r="C73" s="227" t="s">
        <v>3910</v>
      </c>
      <c r="D73" s="228">
        <v>8.67</v>
      </c>
      <c r="E73" s="290">
        <v>8.57</v>
      </c>
    </row>
    <row r="74" spans="1:5" x14ac:dyDescent="0.3">
      <c r="A74" s="237">
        <v>72</v>
      </c>
      <c r="B74" s="230" t="s">
        <v>2243</v>
      </c>
      <c r="C74" s="230" t="s">
        <v>2242</v>
      </c>
      <c r="D74" s="231">
        <v>8.67</v>
      </c>
      <c r="E74" s="290">
        <v>8.57</v>
      </c>
    </row>
    <row r="75" spans="1:5" x14ac:dyDescent="0.3">
      <c r="A75" s="237">
        <v>73</v>
      </c>
      <c r="B75" s="227" t="s">
        <v>2546</v>
      </c>
      <c r="C75" s="227" t="s">
        <v>3588</v>
      </c>
      <c r="D75" s="228">
        <v>8.65</v>
      </c>
      <c r="E75" s="291">
        <v>8.56</v>
      </c>
    </row>
    <row r="76" spans="1:5" x14ac:dyDescent="0.3">
      <c r="A76" s="237">
        <v>74</v>
      </c>
      <c r="B76" s="230" t="s">
        <v>311</v>
      </c>
      <c r="C76" s="230" t="s">
        <v>158</v>
      </c>
      <c r="D76" s="231">
        <v>8.65</v>
      </c>
      <c r="E76" s="291">
        <v>8.56</v>
      </c>
    </row>
    <row r="77" spans="1:5" x14ac:dyDescent="0.3">
      <c r="A77" s="237">
        <v>75</v>
      </c>
      <c r="B77" s="227" t="s">
        <v>293</v>
      </c>
      <c r="C77" s="227" t="s">
        <v>813</v>
      </c>
      <c r="D77" s="228">
        <v>8.5</v>
      </c>
      <c r="E77" s="291">
        <v>8.56</v>
      </c>
    </row>
    <row r="78" spans="1:5" x14ac:dyDescent="0.3">
      <c r="A78" s="237">
        <v>76</v>
      </c>
      <c r="B78" s="230" t="s">
        <v>913</v>
      </c>
      <c r="C78" s="230" t="s">
        <v>911</v>
      </c>
      <c r="D78" s="231">
        <v>8.67</v>
      </c>
      <c r="E78" s="291">
        <v>8.56</v>
      </c>
    </row>
    <row r="79" spans="1:5" x14ac:dyDescent="0.3">
      <c r="A79" s="237">
        <v>77</v>
      </c>
      <c r="B79" s="227" t="s">
        <v>296</v>
      </c>
      <c r="C79" s="227" t="s">
        <v>2000</v>
      </c>
      <c r="D79" s="228">
        <v>8.6</v>
      </c>
      <c r="E79" s="293">
        <v>8.5399999999999991</v>
      </c>
    </row>
    <row r="80" spans="1:5" x14ac:dyDescent="0.3">
      <c r="A80" s="237">
        <v>78</v>
      </c>
      <c r="B80" s="230" t="s">
        <v>1593</v>
      </c>
      <c r="C80" s="230" t="s">
        <v>3685</v>
      </c>
      <c r="D80" s="231">
        <v>8.61</v>
      </c>
      <c r="E80" s="295">
        <v>8.52</v>
      </c>
    </row>
    <row r="81" spans="1:5" x14ac:dyDescent="0.3">
      <c r="A81" s="237">
        <v>79</v>
      </c>
      <c r="B81" s="227" t="s">
        <v>2949</v>
      </c>
      <c r="C81" s="227" t="s">
        <v>2950</v>
      </c>
      <c r="D81" s="228">
        <v>8.58</v>
      </c>
      <c r="E81" s="296">
        <v>8.5</v>
      </c>
    </row>
    <row r="82" spans="1:5" x14ac:dyDescent="0.3">
      <c r="A82" s="237">
        <v>80</v>
      </c>
      <c r="B82" s="230" t="s">
        <v>1555</v>
      </c>
      <c r="C82" s="230" t="s">
        <v>1556</v>
      </c>
      <c r="D82" s="231">
        <v>8.6</v>
      </c>
      <c r="E82" s="296">
        <v>8.5</v>
      </c>
    </row>
    <row r="83" spans="1:5" x14ac:dyDescent="0.3">
      <c r="A83" s="237">
        <v>81</v>
      </c>
      <c r="B83" s="227" t="s">
        <v>2132</v>
      </c>
      <c r="C83" s="227" t="s">
        <v>2133</v>
      </c>
      <c r="D83" s="228">
        <v>8.58</v>
      </c>
      <c r="E83" s="296">
        <v>8.5</v>
      </c>
    </row>
    <row r="84" spans="1:5" x14ac:dyDescent="0.3">
      <c r="A84" s="237">
        <v>82</v>
      </c>
      <c r="B84" s="230" t="s">
        <v>2358</v>
      </c>
      <c r="C84" s="230" t="s">
        <v>3361</v>
      </c>
      <c r="D84" s="231">
        <v>8.56</v>
      </c>
      <c r="E84" s="378">
        <v>8.48</v>
      </c>
    </row>
    <row r="85" spans="1:5" x14ac:dyDescent="0.3">
      <c r="A85" s="237">
        <v>83</v>
      </c>
      <c r="B85" s="227" t="s">
        <v>1663</v>
      </c>
      <c r="C85" s="227" t="s">
        <v>2660</v>
      </c>
      <c r="D85" s="228">
        <v>8.5</v>
      </c>
      <c r="E85" s="298">
        <v>8.4700000000000006</v>
      </c>
    </row>
    <row r="86" spans="1:5" x14ac:dyDescent="0.3">
      <c r="A86" s="237">
        <v>84</v>
      </c>
      <c r="B86" s="230" t="s">
        <v>3801</v>
      </c>
      <c r="C86" s="230" t="s">
        <v>3795</v>
      </c>
      <c r="D86" s="231">
        <v>8.5</v>
      </c>
      <c r="E86" s="301">
        <v>8.43</v>
      </c>
    </row>
    <row r="87" spans="1:5" x14ac:dyDescent="0.3">
      <c r="A87" s="237">
        <v>85</v>
      </c>
      <c r="B87" s="227" t="s">
        <v>2893</v>
      </c>
      <c r="C87" s="227" t="s">
        <v>2883</v>
      </c>
      <c r="D87" s="228">
        <v>8.44</v>
      </c>
      <c r="E87" s="303">
        <v>8.39</v>
      </c>
    </row>
    <row r="88" spans="1:5" x14ac:dyDescent="0.3">
      <c r="A88" s="237">
        <v>86</v>
      </c>
      <c r="B88" s="230" t="s">
        <v>2229</v>
      </c>
      <c r="C88" s="230" t="s">
        <v>2820</v>
      </c>
      <c r="D88" s="231">
        <v>8.39</v>
      </c>
      <c r="E88" s="303">
        <v>8.39</v>
      </c>
    </row>
    <row r="89" spans="1:5" x14ac:dyDescent="0.3">
      <c r="A89" s="237">
        <v>87</v>
      </c>
      <c r="B89" s="227" t="s">
        <v>3902</v>
      </c>
      <c r="C89" s="227" t="s">
        <v>3902</v>
      </c>
      <c r="D89" s="228">
        <v>8.39</v>
      </c>
      <c r="E89" s="426">
        <v>8.36</v>
      </c>
    </row>
    <row r="90" spans="1:5" x14ac:dyDescent="0.3">
      <c r="A90" s="237">
        <v>88</v>
      </c>
      <c r="B90" s="230" t="s">
        <v>1085</v>
      </c>
      <c r="C90" s="230" t="s">
        <v>1086</v>
      </c>
      <c r="D90" s="231">
        <v>8.4600000000000009</v>
      </c>
      <c r="E90" s="308">
        <v>8.27</v>
      </c>
    </row>
    <row r="91" spans="1:5" x14ac:dyDescent="0.3">
      <c r="A91" s="237">
        <v>89</v>
      </c>
      <c r="B91" s="227" t="s">
        <v>313</v>
      </c>
      <c r="C91" s="227" t="s">
        <v>160</v>
      </c>
      <c r="D91" s="228">
        <v>8.3800000000000008</v>
      </c>
      <c r="E91" s="309">
        <v>8.25</v>
      </c>
    </row>
    <row r="92" spans="1:5" x14ac:dyDescent="0.3">
      <c r="A92" s="237">
        <v>90</v>
      </c>
      <c r="B92" s="230" t="s">
        <v>2908</v>
      </c>
      <c r="C92" s="230" t="s">
        <v>2909</v>
      </c>
      <c r="D92" s="231">
        <v>8.41</v>
      </c>
      <c r="E92" s="310">
        <v>8.24</v>
      </c>
    </row>
    <row r="93" spans="1:5" x14ac:dyDescent="0.3">
      <c r="A93" s="237">
        <v>91</v>
      </c>
      <c r="B93" s="227" t="s">
        <v>2908</v>
      </c>
      <c r="C93" s="227" t="s">
        <v>3706</v>
      </c>
      <c r="D93" s="228">
        <v>8.35</v>
      </c>
      <c r="E93" s="310">
        <v>8.24</v>
      </c>
    </row>
    <row r="94" spans="1:5" x14ac:dyDescent="0.3">
      <c r="A94" s="237">
        <v>92</v>
      </c>
      <c r="B94" s="230" t="s">
        <v>677</v>
      </c>
      <c r="C94" s="230" t="s">
        <v>677</v>
      </c>
      <c r="D94" s="231">
        <v>8.24</v>
      </c>
      <c r="E94" s="311">
        <v>8.23</v>
      </c>
    </row>
    <row r="95" spans="1:5" x14ac:dyDescent="0.3">
      <c r="A95" s="237">
        <v>93</v>
      </c>
      <c r="B95" s="227" t="s">
        <v>314</v>
      </c>
      <c r="C95" s="227" t="s">
        <v>271</v>
      </c>
      <c r="D95" s="228">
        <v>8.35</v>
      </c>
      <c r="E95" s="313">
        <v>8.1999999999999993</v>
      </c>
    </row>
    <row r="96" spans="1:5" x14ac:dyDescent="0.3">
      <c r="A96" s="237">
        <v>94</v>
      </c>
      <c r="B96" s="230" t="s">
        <v>2595</v>
      </c>
      <c r="C96" s="230" t="s">
        <v>2596</v>
      </c>
      <c r="D96" s="231">
        <v>8.31</v>
      </c>
      <c r="E96" s="315">
        <v>8.16</v>
      </c>
    </row>
    <row r="97" spans="1:5" x14ac:dyDescent="0.3">
      <c r="A97" s="237">
        <v>95</v>
      </c>
      <c r="B97" s="227" t="s">
        <v>759</v>
      </c>
      <c r="C97" s="227" t="s">
        <v>760</v>
      </c>
      <c r="D97" s="228">
        <v>8.33</v>
      </c>
      <c r="E97" s="315">
        <v>8.16</v>
      </c>
    </row>
    <row r="98" spans="1:5" x14ac:dyDescent="0.3">
      <c r="A98" s="237">
        <v>96</v>
      </c>
      <c r="B98" s="230" t="s">
        <v>2288</v>
      </c>
      <c r="C98" s="230" t="s">
        <v>2289</v>
      </c>
      <c r="D98" s="231">
        <v>8.1999999999999993</v>
      </c>
      <c r="E98" s="316">
        <v>8.1300000000000008</v>
      </c>
    </row>
    <row r="99" spans="1:5" x14ac:dyDescent="0.3">
      <c r="A99" s="237">
        <v>97</v>
      </c>
      <c r="B99" s="227" t="s">
        <v>300</v>
      </c>
      <c r="C99" s="227" t="s">
        <v>1675</v>
      </c>
      <c r="D99" s="228">
        <v>8.25</v>
      </c>
      <c r="E99" s="316">
        <v>8.1300000000000008</v>
      </c>
    </row>
    <row r="100" spans="1:5" x14ac:dyDescent="0.3">
      <c r="A100" s="237">
        <v>98</v>
      </c>
      <c r="B100" s="230" t="s">
        <v>293</v>
      </c>
      <c r="C100" s="230" t="s">
        <v>573</v>
      </c>
      <c r="D100" s="231">
        <v>8.0500000000000007</v>
      </c>
      <c r="E100" s="317">
        <v>8.11</v>
      </c>
    </row>
    <row r="101" spans="1:5" x14ac:dyDescent="0.3">
      <c r="A101" s="237">
        <v>99</v>
      </c>
      <c r="B101" s="227" t="s">
        <v>305</v>
      </c>
      <c r="C101" s="227" t="s">
        <v>1772</v>
      </c>
      <c r="D101" s="228">
        <v>8.18</v>
      </c>
      <c r="E101" s="318">
        <v>8.06</v>
      </c>
    </row>
    <row r="102" spans="1:5" x14ac:dyDescent="0.3">
      <c r="A102" s="237">
        <v>100</v>
      </c>
      <c r="B102" s="230" t="s">
        <v>300</v>
      </c>
      <c r="C102" s="230" t="s">
        <v>2347</v>
      </c>
      <c r="D102" s="231">
        <v>8.11</v>
      </c>
      <c r="E102" s="319">
        <v>8.0299999999999994</v>
      </c>
    </row>
    <row r="103" spans="1:5" x14ac:dyDescent="0.3">
      <c r="A103" s="237">
        <v>101</v>
      </c>
      <c r="B103" s="227" t="s">
        <v>4110</v>
      </c>
      <c r="C103" s="227" t="s">
        <v>4111</v>
      </c>
      <c r="D103" s="228">
        <v>8.11</v>
      </c>
      <c r="E103" s="430">
        <v>8.01</v>
      </c>
    </row>
    <row r="104" spans="1:5" x14ac:dyDescent="0.3">
      <c r="A104" s="237">
        <v>102</v>
      </c>
      <c r="B104" s="230" t="s">
        <v>346</v>
      </c>
      <c r="C104" s="230" t="s">
        <v>339</v>
      </c>
      <c r="D104" s="231">
        <v>8</v>
      </c>
      <c r="E104" s="321">
        <v>7.98</v>
      </c>
    </row>
    <row r="105" spans="1:5" x14ac:dyDescent="0.3">
      <c r="A105" s="237">
        <v>103</v>
      </c>
      <c r="B105" s="227" t="s">
        <v>301</v>
      </c>
      <c r="C105" s="227" t="s">
        <v>3785</v>
      </c>
      <c r="D105" s="228">
        <v>8.0399999999999991</v>
      </c>
      <c r="E105" s="414">
        <v>7.96</v>
      </c>
    </row>
    <row r="106" spans="1:5" x14ac:dyDescent="0.3">
      <c r="A106" s="237">
        <v>104</v>
      </c>
      <c r="B106" s="230" t="s">
        <v>2201</v>
      </c>
      <c r="C106" s="230" t="s">
        <v>2202</v>
      </c>
      <c r="D106" s="231">
        <v>8</v>
      </c>
      <c r="E106" s="323">
        <v>7.94</v>
      </c>
    </row>
    <row r="107" spans="1:5" x14ac:dyDescent="0.3">
      <c r="A107" s="237">
        <v>105</v>
      </c>
      <c r="B107" s="227" t="s">
        <v>300</v>
      </c>
      <c r="C107" s="227" t="s">
        <v>3106</v>
      </c>
      <c r="D107" s="228">
        <v>7.95</v>
      </c>
      <c r="E107" s="364">
        <v>7.89</v>
      </c>
    </row>
    <row r="108" spans="1:5" x14ac:dyDescent="0.3">
      <c r="A108" s="237">
        <v>106</v>
      </c>
      <c r="B108" s="230" t="s">
        <v>293</v>
      </c>
      <c r="C108" s="230" t="s">
        <v>899</v>
      </c>
      <c r="D108" s="231">
        <v>7.88</v>
      </c>
      <c r="E108" s="325">
        <v>7.74</v>
      </c>
    </row>
    <row r="109" spans="1:5" x14ac:dyDescent="0.3">
      <c r="A109" s="237">
        <v>107</v>
      </c>
      <c r="B109" s="227" t="s">
        <v>300</v>
      </c>
      <c r="C109" s="227" t="s">
        <v>3708</v>
      </c>
      <c r="D109" s="228">
        <v>7.75</v>
      </c>
      <c r="E109" s="327">
        <v>7.66</v>
      </c>
    </row>
    <row r="110" spans="1:5" x14ac:dyDescent="0.3">
      <c r="A110" s="237">
        <v>108</v>
      </c>
      <c r="B110" s="230" t="s">
        <v>1129</v>
      </c>
      <c r="C110" s="230" t="s">
        <v>1130</v>
      </c>
      <c r="D110" s="231">
        <v>7.71</v>
      </c>
      <c r="E110" s="329">
        <v>7.61</v>
      </c>
    </row>
    <row r="111" spans="1:5" x14ac:dyDescent="0.3">
      <c r="A111" s="237">
        <v>109</v>
      </c>
      <c r="B111" s="227" t="s">
        <v>293</v>
      </c>
      <c r="C111" s="227" t="s">
        <v>937</v>
      </c>
      <c r="D111" s="228">
        <v>7.5</v>
      </c>
      <c r="E111" s="330">
        <v>7.4</v>
      </c>
    </row>
    <row r="112" spans="1:5" x14ac:dyDescent="0.3">
      <c r="A112" s="237">
        <v>110</v>
      </c>
      <c r="B112" s="230" t="s">
        <v>2372</v>
      </c>
      <c r="C112" s="230" t="s">
        <v>2373</v>
      </c>
      <c r="D112" s="231">
        <v>7.17</v>
      </c>
      <c r="E112" s="333">
        <v>7.04</v>
      </c>
    </row>
    <row r="113" spans="1:5" x14ac:dyDescent="0.3">
      <c r="A113" s="237">
        <v>111</v>
      </c>
      <c r="B113" s="227" t="s">
        <v>2486</v>
      </c>
      <c r="C113" s="227" t="s">
        <v>2487</v>
      </c>
      <c r="D113" s="228">
        <v>2.5</v>
      </c>
      <c r="E113" s="335">
        <v>2.39</v>
      </c>
    </row>
    <row r="115" spans="1:5" ht="17.399999999999999" x14ac:dyDescent="0.35">
      <c r="A115" s="433" t="s">
        <v>4250</v>
      </c>
      <c r="B115" s="433"/>
      <c r="C115" s="433"/>
      <c r="D115" s="433"/>
      <c r="E115" s="433"/>
    </row>
    <row r="116" spans="1:5" x14ac:dyDescent="0.3">
      <c r="A116" s="226" t="s">
        <v>318</v>
      </c>
      <c r="B116" s="226" t="s">
        <v>285</v>
      </c>
      <c r="C116" s="226" t="s">
        <v>286</v>
      </c>
      <c r="D116" s="226" t="s">
        <v>287</v>
      </c>
      <c r="E116" s="226" t="s">
        <v>958</v>
      </c>
    </row>
    <row r="117" spans="1:5" x14ac:dyDescent="0.3">
      <c r="A117" s="233">
        <v>1</v>
      </c>
      <c r="B117" s="227" t="s">
        <v>292</v>
      </c>
      <c r="C117" s="227" t="s">
        <v>7</v>
      </c>
      <c r="D117" s="228">
        <v>10.11</v>
      </c>
      <c r="E117" s="234">
        <v>10.99</v>
      </c>
    </row>
    <row r="118" spans="1:5" x14ac:dyDescent="0.3">
      <c r="A118" s="235">
        <v>2</v>
      </c>
      <c r="B118" s="230" t="s">
        <v>292</v>
      </c>
      <c r="C118" s="230" t="s">
        <v>517</v>
      </c>
      <c r="D118" s="231">
        <v>9.61</v>
      </c>
      <c r="E118" s="238">
        <v>9.99</v>
      </c>
    </row>
    <row r="119" spans="1:5" x14ac:dyDescent="0.3">
      <c r="A119" s="236">
        <v>3</v>
      </c>
      <c r="B119" s="227" t="s">
        <v>292</v>
      </c>
      <c r="C119" s="227" t="s">
        <v>156</v>
      </c>
      <c r="D119" s="228">
        <v>9.61</v>
      </c>
      <c r="E119" s="239">
        <v>9.9600000000000009</v>
      </c>
    </row>
    <row r="120" spans="1:5" x14ac:dyDescent="0.3">
      <c r="A120" s="237">
        <v>4</v>
      </c>
      <c r="B120" s="230" t="s">
        <v>292</v>
      </c>
      <c r="C120" s="230" t="s">
        <v>2433</v>
      </c>
      <c r="D120" s="231">
        <v>9.25</v>
      </c>
      <c r="E120" s="241">
        <v>9.5299999999999994</v>
      </c>
    </row>
    <row r="121" spans="1:5" x14ac:dyDescent="0.3">
      <c r="A121" s="237">
        <v>5</v>
      </c>
      <c r="B121" s="227" t="s">
        <v>300</v>
      </c>
      <c r="C121" s="227" t="s">
        <v>131</v>
      </c>
      <c r="D121" s="228">
        <v>9.2899999999999991</v>
      </c>
      <c r="E121" s="412">
        <v>9.44</v>
      </c>
    </row>
    <row r="122" spans="1:5" x14ac:dyDescent="0.3">
      <c r="A122" s="237">
        <v>6</v>
      </c>
      <c r="B122" s="230" t="s">
        <v>1932</v>
      </c>
      <c r="C122" s="230" t="s">
        <v>1925</v>
      </c>
      <c r="D122" s="231">
        <v>9.31</v>
      </c>
      <c r="E122" s="243">
        <v>9.43</v>
      </c>
    </row>
    <row r="123" spans="1:5" x14ac:dyDescent="0.3">
      <c r="A123" s="237">
        <v>7</v>
      </c>
      <c r="B123" s="227" t="s">
        <v>292</v>
      </c>
      <c r="C123" s="227" t="s">
        <v>1175</v>
      </c>
      <c r="D123" s="228">
        <v>9.2899999999999991</v>
      </c>
      <c r="E123" s="379">
        <v>9.42</v>
      </c>
    </row>
    <row r="124" spans="1:5" x14ac:dyDescent="0.3">
      <c r="A124" s="237">
        <v>8</v>
      </c>
      <c r="B124" s="230" t="s">
        <v>301</v>
      </c>
      <c r="C124" s="230" t="s">
        <v>56</v>
      </c>
      <c r="D124" s="231">
        <v>9.25</v>
      </c>
      <c r="E124" s="244">
        <v>9.3699999999999992</v>
      </c>
    </row>
    <row r="125" spans="1:5" x14ac:dyDescent="0.3">
      <c r="A125" s="237">
        <v>9</v>
      </c>
      <c r="B125" s="227" t="s">
        <v>3117</v>
      </c>
      <c r="C125" s="227" t="s">
        <v>3118</v>
      </c>
      <c r="D125" s="228">
        <v>9.14</v>
      </c>
      <c r="E125" s="247">
        <v>9.23</v>
      </c>
    </row>
    <row r="126" spans="1:5" x14ac:dyDescent="0.3">
      <c r="A126" s="237">
        <v>10</v>
      </c>
      <c r="B126" s="230" t="s">
        <v>441</v>
      </c>
      <c r="C126" s="230" t="s">
        <v>459</v>
      </c>
      <c r="D126" s="231">
        <v>9.17</v>
      </c>
      <c r="E126" s="247">
        <v>9.23</v>
      </c>
    </row>
    <row r="127" spans="1:5" x14ac:dyDescent="0.3">
      <c r="A127" s="237">
        <v>11</v>
      </c>
      <c r="B127" s="227" t="s">
        <v>301</v>
      </c>
      <c r="C127" s="227" t="s">
        <v>653</v>
      </c>
      <c r="D127" s="228">
        <v>9.1300000000000008</v>
      </c>
      <c r="E127" s="248">
        <v>9.2100000000000009</v>
      </c>
    </row>
    <row r="128" spans="1:5" x14ac:dyDescent="0.3">
      <c r="A128" s="237">
        <v>12</v>
      </c>
      <c r="B128" s="230" t="s">
        <v>300</v>
      </c>
      <c r="C128" s="230" t="s">
        <v>923</v>
      </c>
      <c r="D128" s="231">
        <v>9.06</v>
      </c>
      <c r="E128" s="250">
        <v>9.14</v>
      </c>
    </row>
    <row r="129" spans="1:5" x14ac:dyDescent="0.3">
      <c r="A129" s="237">
        <v>13</v>
      </c>
      <c r="B129" s="227" t="s">
        <v>304</v>
      </c>
      <c r="C129" s="227" t="s">
        <v>229</v>
      </c>
      <c r="D129" s="228">
        <v>9</v>
      </c>
      <c r="E129" s="251">
        <v>9.09</v>
      </c>
    </row>
    <row r="130" spans="1:5" x14ac:dyDescent="0.3">
      <c r="A130" s="237">
        <v>14</v>
      </c>
      <c r="B130" s="230" t="s">
        <v>301</v>
      </c>
      <c r="C130" s="230" t="s">
        <v>1063</v>
      </c>
      <c r="D130" s="231">
        <v>9</v>
      </c>
      <c r="E130" s="252">
        <v>9.08</v>
      </c>
    </row>
    <row r="131" spans="1:5" x14ac:dyDescent="0.3">
      <c r="A131" s="237">
        <v>15</v>
      </c>
      <c r="B131" s="227" t="s">
        <v>441</v>
      </c>
      <c r="C131" s="227" t="s">
        <v>609</v>
      </c>
      <c r="D131" s="228">
        <v>8.94</v>
      </c>
      <c r="E131" s="253">
        <v>9.0399999999999991</v>
      </c>
    </row>
    <row r="132" spans="1:5" x14ac:dyDescent="0.3">
      <c r="A132" s="237">
        <v>16</v>
      </c>
      <c r="B132" s="230" t="s">
        <v>315</v>
      </c>
      <c r="C132" s="230" t="s">
        <v>2270</v>
      </c>
      <c r="D132" s="231">
        <v>8.92</v>
      </c>
      <c r="E132" s="256">
        <v>9</v>
      </c>
    </row>
    <row r="133" spans="1:5" x14ac:dyDescent="0.3">
      <c r="A133" s="237">
        <v>17</v>
      </c>
      <c r="B133" s="227" t="s">
        <v>2695</v>
      </c>
      <c r="C133" s="227" t="s">
        <v>2691</v>
      </c>
      <c r="D133" s="228">
        <v>8.83</v>
      </c>
      <c r="E133" s="256">
        <v>9</v>
      </c>
    </row>
    <row r="134" spans="1:5" x14ac:dyDescent="0.3">
      <c r="A134" s="237">
        <v>18</v>
      </c>
      <c r="B134" s="230" t="s">
        <v>2926</v>
      </c>
      <c r="C134" s="230" t="s">
        <v>2927</v>
      </c>
      <c r="D134" s="231">
        <v>8.9600000000000009</v>
      </c>
      <c r="E134" s="261">
        <v>8.92</v>
      </c>
    </row>
    <row r="135" spans="1:5" x14ac:dyDescent="0.3">
      <c r="A135" s="237">
        <v>19</v>
      </c>
      <c r="B135" s="227" t="s">
        <v>300</v>
      </c>
      <c r="C135" s="227" t="s">
        <v>2411</v>
      </c>
      <c r="D135" s="228">
        <v>8.9</v>
      </c>
      <c r="E135" s="262">
        <v>8.9</v>
      </c>
    </row>
    <row r="136" spans="1:5" x14ac:dyDescent="0.3">
      <c r="A136" s="237">
        <v>20</v>
      </c>
      <c r="B136" s="230" t="s">
        <v>300</v>
      </c>
      <c r="C136" s="230" t="s">
        <v>855</v>
      </c>
      <c r="D136" s="231">
        <v>8.86</v>
      </c>
      <c r="E136" s="267">
        <v>8.85</v>
      </c>
    </row>
    <row r="137" spans="1:5" x14ac:dyDescent="0.3">
      <c r="A137" s="237">
        <v>21</v>
      </c>
      <c r="B137" s="227" t="s">
        <v>1448</v>
      </c>
      <c r="C137" s="227" t="s">
        <v>1449</v>
      </c>
      <c r="D137" s="228">
        <v>8.82</v>
      </c>
      <c r="E137" s="268">
        <v>8.84</v>
      </c>
    </row>
    <row r="138" spans="1:5" x14ac:dyDescent="0.3">
      <c r="A138" s="237">
        <v>22</v>
      </c>
      <c r="B138" s="230" t="s">
        <v>1615</v>
      </c>
      <c r="C138" s="230" t="s">
        <v>2010</v>
      </c>
      <c r="D138" s="231">
        <v>8.81</v>
      </c>
      <c r="E138" s="268">
        <v>8.83</v>
      </c>
    </row>
    <row r="139" spans="1:5" x14ac:dyDescent="0.3">
      <c r="A139" s="237">
        <v>23</v>
      </c>
      <c r="B139" s="227" t="s">
        <v>441</v>
      </c>
      <c r="C139" s="227" t="s">
        <v>442</v>
      </c>
      <c r="D139" s="228">
        <v>8.7899999999999991</v>
      </c>
      <c r="E139" s="270">
        <v>8.81</v>
      </c>
    </row>
    <row r="140" spans="1:5" x14ac:dyDescent="0.3">
      <c r="A140" s="237">
        <v>24</v>
      </c>
      <c r="B140" s="230" t="s">
        <v>1211</v>
      </c>
      <c r="C140" s="230" t="s">
        <v>1212</v>
      </c>
      <c r="D140" s="231">
        <v>8.67</v>
      </c>
      <c r="E140" s="271">
        <v>8.7899999999999991</v>
      </c>
    </row>
    <row r="141" spans="1:5" x14ac:dyDescent="0.3">
      <c r="A141" s="237">
        <v>25</v>
      </c>
      <c r="B141" s="227" t="s">
        <v>2926</v>
      </c>
      <c r="C141" s="227" t="s">
        <v>3252</v>
      </c>
      <c r="D141" s="228">
        <v>8.73</v>
      </c>
      <c r="E141" s="273">
        <v>8.77</v>
      </c>
    </row>
    <row r="142" spans="1:5" x14ac:dyDescent="0.3">
      <c r="A142" s="237">
        <v>26</v>
      </c>
      <c r="B142" s="230" t="s">
        <v>300</v>
      </c>
      <c r="C142" s="230" t="s">
        <v>473</v>
      </c>
      <c r="D142" s="231">
        <v>8.81</v>
      </c>
      <c r="E142" s="381">
        <v>8.73</v>
      </c>
    </row>
    <row r="143" spans="1:5" x14ac:dyDescent="0.3">
      <c r="A143" s="237">
        <v>27</v>
      </c>
      <c r="B143" s="227" t="s">
        <v>1367</v>
      </c>
      <c r="C143" s="227" t="s">
        <v>1368</v>
      </c>
      <c r="D143" s="228">
        <v>8.83</v>
      </c>
      <c r="E143" s="277">
        <v>8.7200000000000006</v>
      </c>
    </row>
    <row r="144" spans="1:5" x14ac:dyDescent="0.3">
      <c r="A144" s="237">
        <v>28</v>
      </c>
      <c r="B144" s="230" t="s">
        <v>1615</v>
      </c>
      <c r="C144" s="230" t="s">
        <v>1611</v>
      </c>
      <c r="D144" s="231">
        <v>8.81</v>
      </c>
      <c r="E144" s="279">
        <v>8.6999999999999993</v>
      </c>
    </row>
    <row r="145" spans="1:5" x14ac:dyDescent="0.3">
      <c r="A145" s="237">
        <v>29</v>
      </c>
      <c r="B145" s="227" t="s">
        <v>1448</v>
      </c>
      <c r="C145" s="227" t="s">
        <v>3389</v>
      </c>
      <c r="D145" s="228">
        <v>8.64</v>
      </c>
      <c r="E145" s="280">
        <v>8.68</v>
      </c>
    </row>
    <row r="146" spans="1:5" x14ac:dyDescent="0.3">
      <c r="A146" s="237">
        <v>30</v>
      </c>
      <c r="B146" s="230" t="s">
        <v>1568</v>
      </c>
      <c r="C146" s="230" t="s">
        <v>1564</v>
      </c>
      <c r="D146" s="231">
        <v>8.75</v>
      </c>
      <c r="E146" s="283">
        <v>8.65</v>
      </c>
    </row>
    <row r="147" spans="1:5" x14ac:dyDescent="0.3">
      <c r="A147" s="237">
        <v>31</v>
      </c>
      <c r="B147" s="227" t="s">
        <v>301</v>
      </c>
      <c r="C147" s="227" t="s">
        <v>301</v>
      </c>
      <c r="D147" s="228">
        <v>8.4600000000000009</v>
      </c>
      <c r="E147" s="283">
        <v>8.65</v>
      </c>
    </row>
    <row r="148" spans="1:5" x14ac:dyDescent="0.3">
      <c r="A148" s="237">
        <v>32</v>
      </c>
      <c r="B148" s="230" t="s">
        <v>2096</v>
      </c>
      <c r="C148" s="230" t="s">
        <v>2097</v>
      </c>
      <c r="D148" s="231">
        <v>8.75</v>
      </c>
      <c r="E148" s="284">
        <v>8.64</v>
      </c>
    </row>
    <row r="149" spans="1:5" x14ac:dyDescent="0.3">
      <c r="A149" s="237">
        <v>33</v>
      </c>
      <c r="B149" s="227" t="s">
        <v>1171</v>
      </c>
      <c r="C149" s="227" t="s">
        <v>1166</v>
      </c>
      <c r="D149" s="228">
        <v>8.75</v>
      </c>
      <c r="E149" s="285">
        <v>8.6300000000000008</v>
      </c>
    </row>
    <row r="150" spans="1:5" x14ac:dyDescent="0.3">
      <c r="A150" s="237">
        <v>34</v>
      </c>
      <c r="B150" s="230" t="s">
        <v>1091</v>
      </c>
      <c r="C150" s="230" t="s">
        <v>3758</v>
      </c>
      <c r="D150" s="231">
        <v>8.7200000000000006</v>
      </c>
      <c r="E150" s="285">
        <v>8.6300000000000008</v>
      </c>
    </row>
    <row r="151" spans="1:5" x14ac:dyDescent="0.3">
      <c r="A151" s="237">
        <v>35</v>
      </c>
      <c r="B151" s="227" t="s">
        <v>1367</v>
      </c>
      <c r="C151" s="227" t="s">
        <v>1603</v>
      </c>
      <c r="D151" s="228">
        <v>8.7100000000000009</v>
      </c>
      <c r="E151" s="286">
        <v>8.6199999999999992</v>
      </c>
    </row>
    <row r="152" spans="1:5" x14ac:dyDescent="0.3">
      <c r="A152" s="237">
        <v>36</v>
      </c>
      <c r="B152" s="230" t="s">
        <v>301</v>
      </c>
      <c r="C152" s="230" t="s">
        <v>2187</v>
      </c>
      <c r="D152" s="231">
        <v>8.6999999999999993</v>
      </c>
      <c r="E152" s="287">
        <v>8.61</v>
      </c>
    </row>
    <row r="153" spans="1:5" x14ac:dyDescent="0.3">
      <c r="A153" s="237">
        <v>37</v>
      </c>
      <c r="B153" s="227" t="s">
        <v>3322</v>
      </c>
      <c r="C153" s="227" t="s">
        <v>3323</v>
      </c>
      <c r="D153" s="228">
        <v>8.57</v>
      </c>
      <c r="E153" s="338">
        <v>8.59</v>
      </c>
    </row>
    <row r="154" spans="1:5" x14ac:dyDescent="0.3">
      <c r="A154" s="237">
        <v>38</v>
      </c>
      <c r="B154" s="230" t="s">
        <v>728</v>
      </c>
      <c r="C154" s="230" t="s">
        <v>729</v>
      </c>
      <c r="D154" s="231">
        <v>8.67</v>
      </c>
      <c r="E154" s="290">
        <v>8.57</v>
      </c>
    </row>
    <row r="155" spans="1:5" x14ac:dyDescent="0.3">
      <c r="A155" s="237">
        <v>39</v>
      </c>
      <c r="B155" s="227" t="s">
        <v>2243</v>
      </c>
      <c r="C155" s="227" t="s">
        <v>2242</v>
      </c>
      <c r="D155" s="228">
        <v>8.67</v>
      </c>
      <c r="E155" s="290">
        <v>8.57</v>
      </c>
    </row>
    <row r="156" spans="1:5" x14ac:dyDescent="0.3">
      <c r="A156" s="237">
        <v>40</v>
      </c>
      <c r="B156" s="230" t="s">
        <v>2546</v>
      </c>
      <c r="C156" s="230" t="s">
        <v>3588</v>
      </c>
      <c r="D156" s="231">
        <v>8.65</v>
      </c>
      <c r="E156" s="291">
        <v>8.56</v>
      </c>
    </row>
    <row r="157" spans="1:5" x14ac:dyDescent="0.3">
      <c r="A157" s="237">
        <v>41</v>
      </c>
      <c r="B157" s="227" t="s">
        <v>300</v>
      </c>
      <c r="C157" s="227" t="s">
        <v>2211</v>
      </c>
      <c r="D157" s="228">
        <v>8.64</v>
      </c>
      <c r="E157" s="292">
        <v>8.5500000000000007</v>
      </c>
    </row>
    <row r="158" spans="1:5" x14ac:dyDescent="0.3">
      <c r="A158" s="237">
        <v>42</v>
      </c>
      <c r="B158" s="230" t="s">
        <v>1091</v>
      </c>
      <c r="C158" s="230" t="s">
        <v>2357</v>
      </c>
      <c r="D158" s="231">
        <v>8.61</v>
      </c>
      <c r="E158" s="294">
        <v>8.5299999999999994</v>
      </c>
    </row>
    <row r="159" spans="1:5" x14ac:dyDescent="0.3">
      <c r="A159" s="237">
        <v>43</v>
      </c>
      <c r="B159" s="227" t="s">
        <v>3075</v>
      </c>
      <c r="C159" s="227" t="s">
        <v>3076</v>
      </c>
      <c r="D159" s="228">
        <v>8.6</v>
      </c>
      <c r="E159" s="294">
        <v>8.5299999999999994</v>
      </c>
    </row>
    <row r="160" spans="1:5" x14ac:dyDescent="0.3">
      <c r="A160" s="237">
        <v>44</v>
      </c>
      <c r="B160" s="230" t="s">
        <v>2949</v>
      </c>
      <c r="C160" s="230" t="s">
        <v>2950</v>
      </c>
      <c r="D160" s="231">
        <v>8.58</v>
      </c>
      <c r="E160" s="296">
        <v>8.5</v>
      </c>
    </row>
    <row r="161" spans="1:5" x14ac:dyDescent="0.3">
      <c r="A161" s="237">
        <v>45</v>
      </c>
      <c r="B161" s="227" t="s">
        <v>977</v>
      </c>
      <c r="C161" s="227" t="s">
        <v>978</v>
      </c>
      <c r="D161" s="228">
        <v>8.5500000000000007</v>
      </c>
      <c r="E161" s="298">
        <v>8.4700000000000006</v>
      </c>
    </row>
    <row r="162" spans="1:5" x14ac:dyDescent="0.3">
      <c r="A162" s="237">
        <v>46</v>
      </c>
      <c r="B162" s="230" t="s">
        <v>300</v>
      </c>
      <c r="C162" s="230" t="s">
        <v>1900</v>
      </c>
      <c r="D162" s="231">
        <v>8.5</v>
      </c>
      <c r="E162" s="299">
        <v>8.4600000000000009</v>
      </c>
    </row>
    <row r="163" spans="1:5" x14ac:dyDescent="0.3">
      <c r="A163" s="237">
        <v>47</v>
      </c>
      <c r="B163" s="227" t="s">
        <v>2893</v>
      </c>
      <c r="C163" s="227" t="s">
        <v>2883</v>
      </c>
      <c r="D163" s="228">
        <v>8.44</v>
      </c>
      <c r="E163" s="303">
        <v>8.39</v>
      </c>
    </row>
    <row r="164" spans="1:5" x14ac:dyDescent="0.3">
      <c r="A164" s="237">
        <v>48</v>
      </c>
      <c r="B164" s="230" t="s">
        <v>1920</v>
      </c>
      <c r="C164" s="230" t="s">
        <v>1921</v>
      </c>
      <c r="D164" s="231">
        <v>8.43</v>
      </c>
      <c r="E164" s="304">
        <v>8.3800000000000008</v>
      </c>
    </row>
    <row r="165" spans="1:5" x14ac:dyDescent="0.3">
      <c r="A165" s="237">
        <v>49</v>
      </c>
      <c r="B165" s="227" t="s">
        <v>1578</v>
      </c>
      <c r="C165" s="227" t="s">
        <v>1579</v>
      </c>
      <c r="D165" s="228">
        <v>8.4</v>
      </c>
      <c r="E165" s="305">
        <v>8.3699999999999992</v>
      </c>
    </row>
    <row r="166" spans="1:5" x14ac:dyDescent="0.3">
      <c r="A166" s="237">
        <v>50</v>
      </c>
      <c r="B166" s="230" t="s">
        <v>1448</v>
      </c>
      <c r="C166" s="230" t="s">
        <v>1502</v>
      </c>
      <c r="D166" s="231">
        <v>8.44</v>
      </c>
      <c r="E166" s="306">
        <v>8.34</v>
      </c>
    </row>
    <row r="167" spans="1:5" x14ac:dyDescent="0.3">
      <c r="A167" s="237">
        <v>51</v>
      </c>
      <c r="B167" s="227" t="s">
        <v>1337</v>
      </c>
      <c r="C167" s="227" t="s">
        <v>3721</v>
      </c>
      <c r="D167" s="228">
        <v>8.36</v>
      </c>
      <c r="E167" s="306">
        <v>8.34</v>
      </c>
    </row>
    <row r="168" spans="1:5" x14ac:dyDescent="0.3">
      <c r="A168" s="237">
        <v>52</v>
      </c>
      <c r="B168" s="230" t="s">
        <v>315</v>
      </c>
      <c r="C168" s="230" t="s">
        <v>316</v>
      </c>
      <c r="D168" s="231">
        <v>8.42</v>
      </c>
      <c r="E168" s="306">
        <v>8.34</v>
      </c>
    </row>
    <row r="169" spans="1:5" x14ac:dyDescent="0.3">
      <c r="A169" s="237">
        <v>53</v>
      </c>
      <c r="B169" s="227" t="s">
        <v>3010</v>
      </c>
      <c r="C169" s="227" t="s">
        <v>3011</v>
      </c>
      <c r="D169" s="228">
        <v>8.4499999999999993</v>
      </c>
      <c r="E169" s="306">
        <v>8.34</v>
      </c>
    </row>
    <row r="170" spans="1:5" x14ac:dyDescent="0.3">
      <c r="A170" s="237">
        <v>54</v>
      </c>
      <c r="B170" s="230" t="s">
        <v>3502</v>
      </c>
      <c r="C170" s="230" t="s">
        <v>3503</v>
      </c>
      <c r="D170" s="231">
        <v>8.2899999999999991</v>
      </c>
      <c r="E170" s="354">
        <v>8.3000000000000007</v>
      </c>
    </row>
    <row r="171" spans="1:5" x14ac:dyDescent="0.3">
      <c r="A171" s="237">
        <v>55</v>
      </c>
      <c r="B171" s="227" t="s">
        <v>2996</v>
      </c>
      <c r="C171" s="227" t="s">
        <v>2997</v>
      </c>
      <c r="D171" s="228">
        <v>8.4</v>
      </c>
      <c r="E171" s="354">
        <v>8.3000000000000007</v>
      </c>
    </row>
    <row r="172" spans="1:5" x14ac:dyDescent="0.3">
      <c r="A172" s="237">
        <v>56</v>
      </c>
      <c r="B172" s="230" t="s">
        <v>300</v>
      </c>
      <c r="C172" s="230" t="s">
        <v>1739</v>
      </c>
      <c r="D172" s="231">
        <v>8.2899999999999991</v>
      </c>
      <c r="E172" s="308">
        <v>8.27</v>
      </c>
    </row>
    <row r="173" spans="1:5" x14ac:dyDescent="0.3">
      <c r="A173" s="237">
        <v>57</v>
      </c>
      <c r="B173" s="227" t="s">
        <v>300</v>
      </c>
      <c r="C173" s="227" t="s">
        <v>1622</v>
      </c>
      <c r="D173" s="228">
        <v>8.4</v>
      </c>
      <c r="E173" s="309">
        <v>8.25</v>
      </c>
    </row>
    <row r="174" spans="1:5" x14ac:dyDescent="0.3">
      <c r="A174" s="237">
        <v>58</v>
      </c>
      <c r="B174" s="230" t="s">
        <v>2908</v>
      </c>
      <c r="C174" s="230" t="s">
        <v>2909</v>
      </c>
      <c r="D174" s="231">
        <v>8.41</v>
      </c>
      <c r="E174" s="310">
        <v>8.24</v>
      </c>
    </row>
    <row r="175" spans="1:5" x14ac:dyDescent="0.3">
      <c r="A175" s="237">
        <v>59</v>
      </c>
      <c r="B175" s="227" t="s">
        <v>2908</v>
      </c>
      <c r="C175" s="227" t="s">
        <v>3706</v>
      </c>
      <c r="D175" s="228">
        <v>8.35</v>
      </c>
      <c r="E175" s="310">
        <v>8.24</v>
      </c>
    </row>
    <row r="176" spans="1:5" x14ac:dyDescent="0.3">
      <c r="A176" s="237">
        <v>60</v>
      </c>
      <c r="B176" s="230" t="s">
        <v>292</v>
      </c>
      <c r="C176" s="230" t="s">
        <v>278</v>
      </c>
      <c r="D176" s="231">
        <v>8.35</v>
      </c>
      <c r="E176" s="312">
        <v>8.2200000000000006</v>
      </c>
    </row>
    <row r="177" spans="1:5" x14ac:dyDescent="0.3">
      <c r="A177" s="237">
        <v>61</v>
      </c>
      <c r="B177" s="227" t="s">
        <v>1211</v>
      </c>
      <c r="C177" s="227" t="s">
        <v>3530</v>
      </c>
      <c r="D177" s="228">
        <v>8.1999999999999993</v>
      </c>
      <c r="E177" s="393">
        <v>8.2100000000000009</v>
      </c>
    </row>
    <row r="178" spans="1:5" x14ac:dyDescent="0.3">
      <c r="A178" s="237">
        <v>62</v>
      </c>
      <c r="B178" s="230" t="s">
        <v>2926</v>
      </c>
      <c r="C178" s="230" t="s">
        <v>4222</v>
      </c>
      <c r="D178" s="231">
        <v>8.27</v>
      </c>
      <c r="E178" s="316">
        <v>8.1300000000000008</v>
      </c>
    </row>
    <row r="179" spans="1:5" x14ac:dyDescent="0.3">
      <c r="A179" s="237">
        <v>63</v>
      </c>
      <c r="B179" s="227" t="s">
        <v>346</v>
      </c>
      <c r="C179" s="227" t="s">
        <v>339</v>
      </c>
      <c r="D179" s="228">
        <v>8</v>
      </c>
      <c r="E179" s="321">
        <v>7.98</v>
      </c>
    </row>
    <row r="180" spans="1:5" x14ac:dyDescent="0.3">
      <c r="A180" s="237">
        <v>64</v>
      </c>
      <c r="B180" s="230" t="s">
        <v>301</v>
      </c>
      <c r="C180" s="230" t="s">
        <v>3785</v>
      </c>
      <c r="D180" s="231">
        <v>8.0399999999999991</v>
      </c>
      <c r="E180" s="414">
        <v>7.96</v>
      </c>
    </row>
    <row r="181" spans="1:5" x14ac:dyDescent="0.3">
      <c r="A181" s="237">
        <v>65</v>
      </c>
      <c r="B181" s="227" t="s">
        <v>1337</v>
      </c>
      <c r="C181" s="227" t="s">
        <v>1338</v>
      </c>
      <c r="D181" s="228">
        <v>8.0500000000000007</v>
      </c>
      <c r="E181" s="322">
        <v>7.95</v>
      </c>
    </row>
    <row r="182" spans="1:5" x14ac:dyDescent="0.3">
      <c r="A182" s="237">
        <v>66</v>
      </c>
      <c r="B182" s="230" t="s">
        <v>300</v>
      </c>
      <c r="C182" s="230" t="s">
        <v>3297</v>
      </c>
      <c r="D182" s="231">
        <v>8</v>
      </c>
      <c r="E182" s="323">
        <v>7.94</v>
      </c>
    </row>
    <row r="183" spans="1:5" x14ac:dyDescent="0.3">
      <c r="A183" s="237">
        <v>67</v>
      </c>
      <c r="B183" s="227" t="s">
        <v>292</v>
      </c>
      <c r="C183" s="227" t="s">
        <v>3019</v>
      </c>
      <c r="D183" s="228">
        <v>7.92</v>
      </c>
      <c r="E183" s="356">
        <v>7.84</v>
      </c>
    </row>
    <row r="184" spans="1:5" x14ac:dyDescent="0.3">
      <c r="A184" s="237">
        <v>68</v>
      </c>
      <c r="B184" s="230" t="s">
        <v>3626</v>
      </c>
      <c r="C184" s="230" t="s">
        <v>3626</v>
      </c>
      <c r="D184" s="231">
        <v>7.75</v>
      </c>
      <c r="E184" s="327">
        <v>7.66</v>
      </c>
    </row>
    <row r="185" spans="1:5" x14ac:dyDescent="0.3">
      <c r="A185" s="237">
        <v>69</v>
      </c>
      <c r="B185" s="227" t="s">
        <v>304</v>
      </c>
      <c r="C185" s="227" t="s">
        <v>304</v>
      </c>
      <c r="D185" s="228">
        <v>7.77</v>
      </c>
      <c r="E185" s="328">
        <v>7.64</v>
      </c>
    </row>
    <row r="186" spans="1:5" x14ac:dyDescent="0.3">
      <c r="A186" s="237">
        <v>70</v>
      </c>
      <c r="B186" s="230" t="s">
        <v>628</v>
      </c>
      <c r="C186" s="230" t="s">
        <v>629</v>
      </c>
      <c r="D186" s="231">
        <v>7.06</v>
      </c>
      <c r="E186" s="334">
        <v>6.99</v>
      </c>
    </row>
    <row r="187" spans="1:5" x14ac:dyDescent="0.3">
      <c r="A187" s="237">
        <v>71</v>
      </c>
      <c r="B187" s="227" t="s">
        <v>301</v>
      </c>
      <c r="C187" s="227" t="s">
        <v>1700</v>
      </c>
      <c r="D187" s="228">
        <v>3.68</v>
      </c>
      <c r="E187" s="335">
        <v>3.37</v>
      </c>
    </row>
    <row r="189" spans="1:5" ht="17.399999999999999" x14ac:dyDescent="0.35">
      <c r="A189" s="433" t="s">
        <v>4203</v>
      </c>
      <c r="B189" s="433"/>
      <c r="C189" s="433"/>
      <c r="D189" s="433"/>
      <c r="E189" s="433"/>
    </row>
    <row r="190" spans="1:5" x14ac:dyDescent="0.3">
      <c r="A190" s="226" t="s">
        <v>318</v>
      </c>
      <c r="B190" s="226" t="s">
        <v>285</v>
      </c>
      <c r="C190" s="226" t="s">
        <v>286</v>
      </c>
      <c r="D190" s="226" t="s">
        <v>287</v>
      </c>
      <c r="E190" s="226" t="s">
        <v>958</v>
      </c>
    </row>
    <row r="191" spans="1:5" x14ac:dyDescent="0.3">
      <c r="A191" s="233">
        <v>1</v>
      </c>
      <c r="B191" s="227" t="s">
        <v>293</v>
      </c>
      <c r="C191" s="227" t="s">
        <v>251</v>
      </c>
      <c r="D191" s="228">
        <v>9.15</v>
      </c>
      <c r="E191" s="244">
        <v>9.3699999999999992</v>
      </c>
    </row>
    <row r="192" spans="1:5" x14ac:dyDescent="0.3">
      <c r="A192" s="235">
        <v>2</v>
      </c>
      <c r="B192" s="230" t="s">
        <v>303</v>
      </c>
      <c r="C192" s="230" t="s">
        <v>2432</v>
      </c>
      <c r="D192" s="231">
        <v>9.08</v>
      </c>
      <c r="E192" s="249">
        <v>9.17</v>
      </c>
    </row>
    <row r="193" spans="1:5" x14ac:dyDescent="0.3">
      <c r="A193" s="236">
        <v>3</v>
      </c>
      <c r="B193" s="227" t="s">
        <v>303</v>
      </c>
      <c r="C193" s="227" t="s">
        <v>157</v>
      </c>
      <c r="D193" s="228">
        <v>9</v>
      </c>
      <c r="E193" s="251">
        <v>9.09</v>
      </c>
    </row>
    <row r="194" spans="1:5" x14ac:dyDescent="0.3">
      <c r="A194" s="237">
        <v>4</v>
      </c>
      <c r="B194" s="230" t="s">
        <v>2777</v>
      </c>
      <c r="C194" s="230" t="s">
        <v>2778</v>
      </c>
      <c r="D194" s="231">
        <v>8.8800000000000008</v>
      </c>
      <c r="E194" s="253">
        <v>9.0399999999999991</v>
      </c>
    </row>
    <row r="195" spans="1:5" x14ac:dyDescent="0.3">
      <c r="A195" s="237">
        <v>5</v>
      </c>
      <c r="B195" s="227" t="s">
        <v>1478</v>
      </c>
      <c r="C195" s="227" t="s">
        <v>1479</v>
      </c>
      <c r="D195" s="228">
        <v>8.67</v>
      </c>
      <c r="E195" s="256">
        <v>9</v>
      </c>
    </row>
    <row r="196" spans="1:5" x14ac:dyDescent="0.3">
      <c r="A196" s="237">
        <v>6</v>
      </c>
      <c r="B196" s="230" t="s">
        <v>312</v>
      </c>
      <c r="C196" s="230" t="s">
        <v>1754</v>
      </c>
      <c r="D196" s="231">
        <v>9</v>
      </c>
      <c r="E196" s="258">
        <v>8.9600000000000009</v>
      </c>
    </row>
    <row r="197" spans="1:5" x14ac:dyDescent="0.3">
      <c r="A197" s="237">
        <v>7</v>
      </c>
      <c r="B197" s="227" t="s">
        <v>1112</v>
      </c>
      <c r="C197" s="227" t="s">
        <v>1987</v>
      </c>
      <c r="D197" s="228">
        <v>8.7200000000000006</v>
      </c>
      <c r="E197" s="262">
        <v>8.91</v>
      </c>
    </row>
    <row r="198" spans="1:5" x14ac:dyDescent="0.3">
      <c r="A198" s="237">
        <v>8</v>
      </c>
      <c r="B198" s="230" t="s">
        <v>1112</v>
      </c>
      <c r="C198" s="230" t="s">
        <v>1477</v>
      </c>
      <c r="D198" s="231">
        <v>8.7200000000000006</v>
      </c>
      <c r="E198" s="263">
        <v>8.89</v>
      </c>
    </row>
    <row r="199" spans="1:5" x14ac:dyDescent="0.3">
      <c r="A199" s="237">
        <v>9</v>
      </c>
      <c r="B199" s="227" t="s">
        <v>1663</v>
      </c>
      <c r="C199" s="227" t="s">
        <v>1664</v>
      </c>
      <c r="D199" s="228">
        <v>8.91</v>
      </c>
      <c r="E199" s="264">
        <v>8.8800000000000008</v>
      </c>
    </row>
    <row r="200" spans="1:5" x14ac:dyDescent="0.3">
      <c r="A200" s="237">
        <v>10</v>
      </c>
      <c r="B200" s="230" t="s">
        <v>2777</v>
      </c>
      <c r="C200" s="230" t="s">
        <v>2779</v>
      </c>
      <c r="D200" s="231">
        <v>8.8800000000000008</v>
      </c>
      <c r="E200" s="268">
        <v>8.84</v>
      </c>
    </row>
    <row r="201" spans="1:5" x14ac:dyDescent="0.3">
      <c r="A201" s="237">
        <v>11</v>
      </c>
      <c r="B201" s="227" t="s">
        <v>303</v>
      </c>
      <c r="C201" s="227" t="s">
        <v>588</v>
      </c>
      <c r="D201" s="228">
        <v>8.77</v>
      </c>
      <c r="E201" s="271">
        <v>8.7899999999999991</v>
      </c>
    </row>
    <row r="202" spans="1:5" x14ac:dyDescent="0.3">
      <c r="A202" s="237">
        <v>12</v>
      </c>
      <c r="B202" s="230" t="s">
        <v>1405</v>
      </c>
      <c r="C202" s="230" t="s">
        <v>1406</v>
      </c>
      <c r="D202" s="231">
        <v>8.73</v>
      </c>
      <c r="E202" s="274">
        <v>8.76</v>
      </c>
    </row>
    <row r="203" spans="1:5" x14ac:dyDescent="0.3">
      <c r="A203" s="237">
        <v>13</v>
      </c>
      <c r="B203" s="227" t="s">
        <v>1405</v>
      </c>
      <c r="C203" s="227" t="s">
        <v>4164</v>
      </c>
      <c r="D203" s="228">
        <v>8.65</v>
      </c>
      <c r="E203" s="278">
        <v>8.7100000000000009</v>
      </c>
    </row>
    <row r="204" spans="1:5" x14ac:dyDescent="0.3">
      <c r="A204" s="237">
        <v>14</v>
      </c>
      <c r="B204" s="230" t="s">
        <v>1431</v>
      </c>
      <c r="C204" s="230" t="s">
        <v>1432</v>
      </c>
      <c r="D204" s="231">
        <v>8.75</v>
      </c>
      <c r="E204" s="279">
        <v>8.6999999999999993</v>
      </c>
    </row>
    <row r="205" spans="1:5" x14ac:dyDescent="0.3">
      <c r="A205" s="237">
        <v>15</v>
      </c>
      <c r="B205" s="227" t="s">
        <v>1405</v>
      </c>
      <c r="C205" s="227" t="s">
        <v>3529</v>
      </c>
      <c r="D205" s="228">
        <v>8.8000000000000007</v>
      </c>
      <c r="E205" s="279">
        <v>8.6999999999999993</v>
      </c>
    </row>
    <row r="206" spans="1:5" x14ac:dyDescent="0.3">
      <c r="A206" s="237">
        <v>16</v>
      </c>
      <c r="B206" s="230" t="s">
        <v>1405</v>
      </c>
      <c r="C206" s="230" t="s">
        <v>2483</v>
      </c>
      <c r="D206" s="231">
        <v>8.6300000000000008</v>
      </c>
      <c r="E206" s="281">
        <v>8.67</v>
      </c>
    </row>
    <row r="207" spans="1:5" x14ac:dyDescent="0.3">
      <c r="A207" s="237">
        <v>17</v>
      </c>
      <c r="B207" s="227" t="s">
        <v>1405</v>
      </c>
      <c r="C207" s="227" t="s">
        <v>3583</v>
      </c>
      <c r="D207" s="228">
        <v>8.6</v>
      </c>
      <c r="E207" s="282">
        <v>8.66</v>
      </c>
    </row>
    <row r="208" spans="1:5" x14ac:dyDescent="0.3">
      <c r="A208" s="237">
        <v>18</v>
      </c>
      <c r="B208" s="230" t="s">
        <v>309</v>
      </c>
      <c r="C208" s="230" t="s">
        <v>218</v>
      </c>
      <c r="D208" s="231">
        <v>8.77</v>
      </c>
      <c r="E208" s="282">
        <v>8.66</v>
      </c>
    </row>
    <row r="209" spans="1:5" x14ac:dyDescent="0.3">
      <c r="A209" s="237">
        <v>19</v>
      </c>
      <c r="B209" s="227" t="s">
        <v>2777</v>
      </c>
      <c r="C209" s="227" t="s">
        <v>3055</v>
      </c>
      <c r="D209" s="228">
        <v>8.75</v>
      </c>
      <c r="E209" s="283">
        <v>8.65</v>
      </c>
    </row>
    <row r="210" spans="1:5" x14ac:dyDescent="0.3">
      <c r="A210" s="237">
        <v>20</v>
      </c>
      <c r="B210" s="230" t="s">
        <v>3754</v>
      </c>
      <c r="C210" s="230" t="s">
        <v>3747</v>
      </c>
      <c r="D210" s="231">
        <v>8.77</v>
      </c>
      <c r="E210" s="283">
        <v>8.65</v>
      </c>
    </row>
    <row r="211" spans="1:5" x14ac:dyDescent="0.3">
      <c r="A211" s="237">
        <v>21</v>
      </c>
      <c r="B211" s="227" t="s">
        <v>3090</v>
      </c>
      <c r="C211" s="227" t="s">
        <v>3091</v>
      </c>
      <c r="D211" s="228">
        <v>8.6999999999999993</v>
      </c>
      <c r="E211" s="287">
        <v>8.61</v>
      </c>
    </row>
    <row r="212" spans="1:5" x14ac:dyDescent="0.3">
      <c r="A212" s="237">
        <v>22</v>
      </c>
      <c r="B212" s="230" t="s">
        <v>2800</v>
      </c>
      <c r="C212" s="230" t="s">
        <v>2801</v>
      </c>
      <c r="D212" s="231">
        <v>8.65</v>
      </c>
      <c r="E212" s="291">
        <v>8.56</v>
      </c>
    </row>
    <row r="213" spans="1:5" x14ac:dyDescent="0.3">
      <c r="A213" s="237">
        <v>23</v>
      </c>
      <c r="B213" s="227" t="s">
        <v>1405</v>
      </c>
      <c r="C213" s="227" t="s">
        <v>2535</v>
      </c>
      <c r="D213" s="228">
        <v>8.69</v>
      </c>
      <c r="E213" s="293">
        <v>8.5399999999999991</v>
      </c>
    </row>
    <row r="214" spans="1:5" x14ac:dyDescent="0.3">
      <c r="A214" s="237">
        <v>24</v>
      </c>
      <c r="B214" s="230" t="s">
        <v>2675</v>
      </c>
      <c r="C214" s="230" t="s">
        <v>2675</v>
      </c>
      <c r="D214" s="231">
        <v>8.6300000000000008</v>
      </c>
      <c r="E214" s="293">
        <v>8.5399999999999991</v>
      </c>
    </row>
    <row r="215" spans="1:5" x14ac:dyDescent="0.3">
      <c r="A215" s="237">
        <v>25</v>
      </c>
      <c r="B215" s="227" t="s">
        <v>2675</v>
      </c>
      <c r="C215" s="227" t="s">
        <v>3462</v>
      </c>
      <c r="D215" s="228">
        <v>8.6300000000000008</v>
      </c>
      <c r="E215" s="294">
        <v>8.5299999999999994</v>
      </c>
    </row>
    <row r="216" spans="1:5" x14ac:dyDescent="0.3">
      <c r="A216" s="237">
        <v>26</v>
      </c>
      <c r="B216" s="230" t="s">
        <v>1663</v>
      </c>
      <c r="C216" s="230" t="s">
        <v>2660</v>
      </c>
      <c r="D216" s="231">
        <v>8.5</v>
      </c>
      <c r="E216" s="298">
        <v>8.4700000000000006</v>
      </c>
    </row>
    <row r="217" spans="1:5" x14ac:dyDescent="0.3">
      <c r="A217" s="237">
        <v>27</v>
      </c>
      <c r="B217" s="227" t="s">
        <v>1158</v>
      </c>
      <c r="C217" s="227" t="s">
        <v>1159</v>
      </c>
      <c r="D217" s="228">
        <v>8.5299999999999994</v>
      </c>
      <c r="E217" s="300">
        <v>8.4499999999999993</v>
      </c>
    </row>
    <row r="218" spans="1:5" x14ac:dyDescent="0.3">
      <c r="A218" s="237">
        <v>28</v>
      </c>
      <c r="B218" s="230" t="s">
        <v>1686</v>
      </c>
      <c r="C218" s="230" t="s">
        <v>1687</v>
      </c>
      <c r="D218" s="231">
        <v>8.5</v>
      </c>
      <c r="E218" s="300">
        <v>8.4499999999999993</v>
      </c>
    </row>
    <row r="219" spans="1:5" x14ac:dyDescent="0.3">
      <c r="A219" s="237">
        <v>29</v>
      </c>
      <c r="B219" s="227" t="s">
        <v>1200</v>
      </c>
      <c r="C219" s="227" t="s">
        <v>1190</v>
      </c>
      <c r="D219" s="228">
        <v>8.4499999999999993</v>
      </c>
      <c r="E219" s="304">
        <v>8.3800000000000008</v>
      </c>
    </row>
    <row r="220" spans="1:5" x14ac:dyDescent="0.3">
      <c r="A220" s="237">
        <v>30</v>
      </c>
      <c r="B220" s="230" t="s">
        <v>2780</v>
      </c>
      <c r="C220" s="230" t="s">
        <v>2781</v>
      </c>
      <c r="D220" s="231">
        <v>8.4</v>
      </c>
      <c r="E220" s="305">
        <v>8.3699999999999992</v>
      </c>
    </row>
    <row r="221" spans="1:5" x14ac:dyDescent="0.3">
      <c r="A221" s="237">
        <v>31</v>
      </c>
      <c r="B221" s="227" t="s">
        <v>3829</v>
      </c>
      <c r="C221" s="227" t="s">
        <v>3830</v>
      </c>
      <c r="D221" s="228">
        <v>8.35</v>
      </c>
      <c r="E221" s="308">
        <v>8.27</v>
      </c>
    </row>
    <row r="222" spans="1:5" x14ac:dyDescent="0.3">
      <c r="A222" s="237">
        <v>32</v>
      </c>
      <c r="B222" s="230" t="s">
        <v>533</v>
      </c>
      <c r="C222" s="230" t="s">
        <v>534</v>
      </c>
      <c r="D222" s="231">
        <v>8.31</v>
      </c>
      <c r="E222" s="315">
        <v>8.16</v>
      </c>
    </row>
    <row r="223" spans="1:5" x14ac:dyDescent="0.3">
      <c r="A223" s="237">
        <v>33</v>
      </c>
      <c r="B223" s="227" t="s">
        <v>303</v>
      </c>
      <c r="C223" s="227" t="s">
        <v>651</v>
      </c>
      <c r="D223" s="228">
        <v>8.07</v>
      </c>
      <c r="E223" s="322">
        <v>7.95</v>
      </c>
    </row>
    <row r="224" spans="1:5" x14ac:dyDescent="0.3">
      <c r="A224" s="237">
        <v>34</v>
      </c>
      <c r="B224" s="230" t="s">
        <v>303</v>
      </c>
      <c r="C224" s="230" t="s">
        <v>1482</v>
      </c>
      <c r="D224" s="231">
        <v>8</v>
      </c>
      <c r="E224" s="324">
        <v>7.79</v>
      </c>
    </row>
    <row r="225" spans="1:5" x14ac:dyDescent="0.3">
      <c r="A225" s="237">
        <v>35</v>
      </c>
      <c r="B225" s="227" t="s">
        <v>293</v>
      </c>
      <c r="C225" s="227" t="s">
        <v>899</v>
      </c>
      <c r="D225" s="228">
        <v>7.88</v>
      </c>
      <c r="E225" s="325">
        <v>7.74</v>
      </c>
    </row>
    <row r="227" spans="1:5" ht="17.399999999999999" x14ac:dyDescent="0.35">
      <c r="A227" s="433" t="s">
        <v>3496</v>
      </c>
      <c r="B227" s="433"/>
      <c r="C227" s="433"/>
      <c r="D227" s="433"/>
      <c r="E227" s="433"/>
    </row>
    <row r="228" spans="1:5" x14ac:dyDescent="0.3">
      <c r="A228" s="226" t="s">
        <v>318</v>
      </c>
      <c r="B228" s="226" t="s">
        <v>285</v>
      </c>
      <c r="C228" s="226" t="s">
        <v>286</v>
      </c>
      <c r="D228" s="226" t="s">
        <v>287</v>
      </c>
      <c r="E228" s="226" t="s">
        <v>958</v>
      </c>
    </row>
    <row r="229" spans="1:5" x14ac:dyDescent="0.3">
      <c r="A229" s="233">
        <v>1</v>
      </c>
      <c r="B229" s="227" t="s">
        <v>2608</v>
      </c>
      <c r="C229" s="227" t="s">
        <v>2601</v>
      </c>
      <c r="D229" s="228">
        <v>9.06</v>
      </c>
      <c r="E229" s="255">
        <v>9.02</v>
      </c>
    </row>
    <row r="230" spans="1:5" x14ac:dyDescent="0.3">
      <c r="A230" s="235">
        <v>2</v>
      </c>
      <c r="B230" s="230" t="s">
        <v>1529</v>
      </c>
      <c r="C230" s="230" t="s">
        <v>2254</v>
      </c>
      <c r="D230" s="231">
        <v>9.07</v>
      </c>
      <c r="E230" s="255">
        <v>9.02</v>
      </c>
    </row>
    <row r="231" spans="1:5" x14ac:dyDescent="0.3">
      <c r="A231" s="236">
        <v>3</v>
      </c>
      <c r="B231" s="227" t="s">
        <v>677</v>
      </c>
      <c r="C231" s="227" t="s">
        <v>1355</v>
      </c>
      <c r="D231" s="228">
        <v>8.8800000000000008</v>
      </c>
      <c r="E231" s="263">
        <v>8.89</v>
      </c>
    </row>
    <row r="232" spans="1:5" x14ac:dyDescent="0.3">
      <c r="A232" s="237">
        <v>4</v>
      </c>
      <c r="B232" s="230" t="s">
        <v>312</v>
      </c>
      <c r="C232" s="230" t="s">
        <v>1117</v>
      </c>
      <c r="D232" s="231">
        <v>8.77</v>
      </c>
      <c r="E232" s="263">
        <v>8.89</v>
      </c>
    </row>
    <row r="233" spans="1:5" x14ac:dyDescent="0.3">
      <c r="A233" s="237">
        <v>5</v>
      </c>
      <c r="B233" s="227" t="s">
        <v>2983</v>
      </c>
      <c r="C233" s="227" t="s">
        <v>2968</v>
      </c>
      <c r="D233" s="228">
        <v>8.8000000000000007</v>
      </c>
      <c r="E233" s="265">
        <v>8.8699999999999992</v>
      </c>
    </row>
    <row r="234" spans="1:5" x14ac:dyDescent="0.3">
      <c r="A234" s="237">
        <v>6</v>
      </c>
      <c r="B234" s="230" t="s">
        <v>2229</v>
      </c>
      <c r="C234" s="230" t="s">
        <v>2379</v>
      </c>
      <c r="D234" s="231">
        <v>8.7899999999999991</v>
      </c>
      <c r="E234" s="266">
        <v>8.86</v>
      </c>
    </row>
    <row r="235" spans="1:5" x14ac:dyDescent="0.3">
      <c r="A235" s="237">
        <v>7</v>
      </c>
      <c r="B235" s="227" t="s">
        <v>3492</v>
      </c>
      <c r="C235" s="227" t="s">
        <v>3492</v>
      </c>
      <c r="D235" s="228">
        <v>8.82</v>
      </c>
      <c r="E235" s="268">
        <v>8.83</v>
      </c>
    </row>
    <row r="236" spans="1:5" x14ac:dyDescent="0.3">
      <c r="A236" s="237">
        <v>8</v>
      </c>
      <c r="B236" s="230" t="s">
        <v>677</v>
      </c>
      <c r="C236" s="230" t="s">
        <v>673</v>
      </c>
      <c r="D236" s="231">
        <v>8.67</v>
      </c>
      <c r="E236" s="275">
        <v>8.75</v>
      </c>
    </row>
    <row r="237" spans="1:5" x14ac:dyDescent="0.3">
      <c r="A237" s="237">
        <v>9</v>
      </c>
      <c r="B237" s="227" t="s">
        <v>1431</v>
      </c>
      <c r="C237" s="227" t="s">
        <v>1432</v>
      </c>
      <c r="D237" s="228">
        <v>8.75</v>
      </c>
      <c r="E237" s="279">
        <v>8.6999999999999993</v>
      </c>
    </row>
    <row r="238" spans="1:5" x14ac:dyDescent="0.3">
      <c r="A238" s="237">
        <v>10</v>
      </c>
      <c r="B238" s="230" t="s">
        <v>2115</v>
      </c>
      <c r="C238" s="230" t="s">
        <v>2116</v>
      </c>
      <c r="D238" s="231">
        <v>8.73</v>
      </c>
      <c r="E238" s="285">
        <v>8.6300000000000008</v>
      </c>
    </row>
    <row r="239" spans="1:5" x14ac:dyDescent="0.3">
      <c r="A239" s="237">
        <v>11</v>
      </c>
      <c r="B239" s="227" t="s">
        <v>1529</v>
      </c>
      <c r="C239" s="227" t="s">
        <v>1522</v>
      </c>
      <c r="D239" s="228">
        <v>8.75</v>
      </c>
      <c r="E239" s="285">
        <v>8.6300000000000008</v>
      </c>
    </row>
    <row r="240" spans="1:5" x14ac:dyDescent="0.3">
      <c r="A240" s="237">
        <v>12</v>
      </c>
      <c r="B240" s="230" t="s">
        <v>311</v>
      </c>
      <c r="C240" s="230" t="s">
        <v>158</v>
      </c>
      <c r="D240" s="231">
        <v>8.65</v>
      </c>
      <c r="E240" s="291">
        <v>8.56</v>
      </c>
    </row>
    <row r="241" spans="1:5" x14ac:dyDescent="0.3">
      <c r="A241" s="237">
        <v>13</v>
      </c>
      <c r="B241" s="227" t="s">
        <v>2800</v>
      </c>
      <c r="C241" s="227" t="s">
        <v>2801</v>
      </c>
      <c r="D241" s="228">
        <v>8.65</v>
      </c>
      <c r="E241" s="291">
        <v>8.56</v>
      </c>
    </row>
    <row r="242" spans="1:5" x14ac:dyDescent="0.3">
      <c r="A242" s="237">
        <v>14</v>
      </c>
      <c r="B242" s="230" t="s">
        <v>2286</v>
      </c>
      <c r="C242" s="230" t="s">
        <v>2287</v>
      </c>
      <c r="D242" s="231">
        <v>8.61</v>
      </c>
      <c r="E242" s="292">
        <v>8.5500000000000007</v>
      </c>
    </row>
    <row r="243" spans="1:5" x14ac:dyDescent="0.3">
      <c r="A243" s="237">
        <v>15</v>
      </c>
      <c r="B243" s="227" t="s">
        <v>3035</v>
      </c>
      <c r="C243" s="227" t="s">
        <v>3023</v>
      </c>
      <c r="D243" s="228">
        <v>8.6300000000000008</v>
      </c>
      <c r="E243" s="294">
        <v>8.5299999999999994</v>
      </c>
    </row>
    <row r="244" spans="1:5" x14ac:dyDescent="0.3">
      <c r="A244" s="237">
        <v>16</v>
      </c>
      <c r="B244" s="230" t="s">
        <v>2317</v>
      </c>
      <c r="C244" s="230" t="s">
        <v>2318</v>
      </c>
      <c r="D244" s="231">
        <v>8.69</v>
      </c>
      <c r="E244" s="294">
        <v>8.5299999999999994</v>
      </c>
    </row>
    <row r="245" spans="1:5" x14ac:dyDescent="0.3">
      <c r="A245" s="237">
        <v>17</v>
      </c>
      <c r="B245" s="227" t="s">
        <v>1767</v>
      </c>
      <c r="C245" s="227" t="s">
        <v>1768</v>
      </c>
      <c r="D245" s="228">
        <v>8.6</v>
      </c>
      <c r="E245" s="295">
        <v>8.52</v>
      </c>
    </row>
    <row r="246" spans="1:5" x14ac:dyDescent="0.3">
      <c r="A246" s="237">
        <v>18</v>
      </c>
      <c r="B246" s="230" t="s">
        <v>1158</v>
      </c>
      <c r="C246" s="230" t="s">
        <v>1159</v>
      </c>
      <c r="D246" s="231">
        <v>8.5299999999999994</v>
      </c>
      <c r="E246" s="300">
        <v>8.4499999999999993</v>
      </c>
    </row>
    <row r="247" spans="1:5" x14ac:dyDescent="0.3">
      <c r="A247" s="237">
        <v>19</v>
      </c>
      <c r="B247" s="227" t="s">
        <v>1686</v>
      </c>
      <c r="C247" s="227" t="s">
        <v>1687</v>
      </c>
      <c r="D247" s="228">
        <v>8.5</v>
      </c>
      <c r="E247" s="300">
        <v>8.4499999999999993</v>
      </c>
    </row>
    <row r="248" spans="1:5" x14ac:dyDescent="0.3">
      <c r="A248" s="237">
        <v>20</v>
      </c>
      <c r="B248" s="230" t="s">
        <v>2229</v>
      </c>
      <c r="C248" s="230" t="s">
        <v>2820</v>
      </c>
      <c r="D248" s="231">
        <v>8.39</v>
      </c>
      <c r="E248" s="303">
        <v>8.39</v>
      </c>
    </row>
    <row r="249" spans="1:5" x14ac:dyDescent="0.3">
      <c r="A249" s="237">
        <v>21</v>
      </c>
      <c r="B249" s="227" t="s">
        <v>2872</v>
      </c>
      <c r="C249" s="227" t="s">
        <v>2873</v>
      </c>
      <c r="D249" s="228">
        <v>8.25</v>
      </c>
      <c r="E249" s="314">
        <v>8.18</v>
      </c>
    </row>
    <row r="250" spans="1:5" x14ac:dyDescent="0.3">
      <c r="A250" s="237">
        <v>22</v>
      </c>
      <c r="B250" s="230" t="s">
        <v>677</v>
      </c>
      <c r="C250" s="230" t="s">
        <v>1217</v>
      </c>
      <c r="D250" s="231">
        <v>8.11</v>
      </c>
      <c r="E250" s="320">
        <v>8</v>
      </c>
    </row>
    <row r="252" spans="1:5" ht="17.399999999999999" x14ac:dyDescent="0.35">
      <c r="A252" s="433" t="s">
        <v>3923</v>
      </c>
      <c r="B252" s="433"/>
      <c r="C252" s="433"/>
      <c r="D252" s="433"/>
      <c r="E252" s="433"/>
    </row>
    <row r="253" spans="1:5" x14ac:dyDescent="0.3">
      <c r="A253" s="226" t="s">
        <v>318</v>
      </c>
      <c r="B253" s="226" t="s">
        <v>285</v>
      </c>
      <c r="C253" s="226" t="s">
        <v>286</v>
      </c>
      <c r="D253" s="226" t="s">
        <v>287</v>
      </c>
      <c r="E253" s="226" t="s">
        <v>958</v>
      </c>
    </row>
    <row r="254" spans="1:5" x14ac:dyDescent="0.3">
      <c r="A254" s="233">
        <v>1</v>
      </c>
      <c r="B254" s="227" t="s">
        <v>1302</v>
      </c>
      <c r="C254" s="227" t="s">
        <v>1303</v>
      </c>
      <c r="D254" s="228">
        <v>8.82</v>
      </c>
      <c r="E254" s="264">
        <v>8.8800000000000008</v>
      </c>
    </row>
    <row r="255" spans="1:5" x14ac:dyDescent="0.3">
      <c r="A255" s="235">
        <v>2</v>
      </c>
      <c r="B255" s="230" t="s">
        <v>774</v>
      </c>
      <c r="C255" s="230" t="s">
        <v>775</v>
      </c>
      <c r="D255" s="231">
        <v>8.82</v>
      </c>
      <c r="E255" s="271">
        <v>8.7899999999999991</v>
      </c>
    </row>
    <row r="256" spans="1:5" x14ac:dyDescent="0.3">
      <c r="A256" s="236">
        <v>3</v>
      </c>
      <c r="B256" s="227" t="s">
        <v>308</v>
      </c>
      <c r="C256" s="227" t="s">
        <v>240</v>
      </c>
      <c r="D256" s="228">
        <v>8.7799999999999994</v>
      </c>
      <c r="E256" s="274">
        <v>8.76</v>
      </c>
    </row>
    <row r="257" spans="1:5" x14ac:dyDescent="0.3">
      <c r="A257" s="237">
        <v>4</v>
      </c>
      <c r="B257" s="230" t="s">
        <v>795</v>
      </c>
      <c r="C257" s="230" t="s">
        <v>790</v>
      </c>
      <c r="D257" s="231">
        <v>8.7100000000000009</v>
      </c>
      <c r="E257" s="274">
        <v>8.76</v>
      </c>
    </row>
    <row r="258" spans="1:5" x14ac:dyDescent="0.3">
      <c r="A258" s="237">
        <v>5</v>
      </c>
      <c r="B258" s="227" t="s">
        <v>1385</v>
      </c>
      <c r="C258" s="227" t="s">
        <v>1390</v>
      </c>
      <c r="D258" s="228">
        <v>8.8000000000000007</v>
      </c>
      <c r="E258" s="280">
        <v>8.68</v>
      </c>
    </row>
    <row r="259" spans="1:5" x14ac:dyDescent="0.3">
      <c r="A259" s="237">
        <v>6</v>
      </c>
      <c r="B259" s="230" t="s">
        <v>774</v>
      </c>
      <c r="C259" s="230" t="s">
        <v>2717</v>
      </c>
      <c r="D259" s="231">
        <v>8.73</v>
      </c>
      <c r="E259" s="286">
        <v>8.6199999999999992</v>
      </c>
    </row>
    <row r="260" spans="1:5" x14ac:dyDescent="0.3">
      <c r="A260" s="237">
        <v>7</v>
      </c>
      <c r="B260" s="227" t="s">
        <v>3900</v>
      </c>
      <c r="C260" s="227" t="s">
        <v>3901</v>
      </c>
      <c r="D260" s="228">
        <v>8.5399999999999991</v>
      </c>
      <c r="E260" s="297">
        <v>8.49</v>
      </c>
    </row>
    <row r="261" spans="1:5" x14ac:dyDescent="0.3">
      <c r="A261" s="237">
        <v>8</v>
      </c>
      <c r="B261" s="230" t="s">
        <v>795</v>
      </c>
      <c r="C261" s="230" t="s">
        <v>2174</v>
      </c>
      <c r="D261" s="231">
        <v>8.57</v>
      </c>
      <c r="E261" s="297">
        <v>8.49</v>
      </c>
    </row>
    <row r="262" spans="1:5" x14ac:dyDescent="0.3">
      <c r="A262" s="237">
        <v>9</v>
      </c>
      <c r="B262" s="227" t="s">
        <v>493</v>
      </c>
      <c r="C262" s="227" t="s">
        <v>494</v>
      </c>
      <c r="D262" s="228">
        <v>8.5</v>
      </c>
      <c r="E262" s="301">
        <v>8.43</v>
      </c>
    </row>
    <row r="263" spans="1:5" x14ac:dyDescent="0.3">
      <c r="A263" s="237">
        <v>10</v>
      </c>
      <c r="B263" s="230" t="s">
        <v>2152</v>
      </c>
      <c r="C263" s="230" t="s">
        <v>2153</v>
      </c>
      <c r="D263" s="231">
        <v>8.5399999999999991</v>
      </c>
      <c r="E263" s="302">
        <v>8.41</v>
      </c>
    </row>
    <row r="264" spans="1:5" x14ac:dyDescent="0.3">
      <c r="A264" s="237">
        <v>11</v>
      </c>
      <c r="B264" s="227" t="s">
        <v>334</v>
      </c>
      <c r="C264" s="227" t="s">
        <v>335</v>
      </c>
      <c r="D264" s="228">
        <v>8.4600000000000009</v>
      </c>
      <c r="E264" s="303">
        <v>8.39</v>
      </c>
    </row>
    <row r="265" spans="1:5" x14ac:dyDescent="0.3">
      <c r="A265" s="237">
        <v>12</v>
      </c>
      <c r="B265" s="230" t="s">
        <v>1953</v>
      </c>
      <c r="C265" s="230" t="s">
        <v>1939</v>
      </c>
      <c r="D265" s="231">
        <v>8.3800000000000008</v>
      </c>
      <c r="E265" s="307">
        <v>8.33</v>
      </c>
    </row>
    <row r="266" spans="1:5" x14ac:dyDescent="0.3">
      <c r="A266" s="237">
        <v>13</v>
      </c>
      <c r="B266" s="227" t="s">
        <v>607</v>
      </c>
      <c r="C266" s="227" t="s">
        <v>3556</v>
      </c>
      <c r="D266" s="228">
        <v>8.3800000000000008</v>
      </c>
      <c r="E266" s="395">
        <v>8.2799999999999994</v>
      </c>
    </row>
    <row r="267" spans="1:5" x14ac:dyDescent="0.3">
      <c r="A267" s="237">
        <v>14</v>
      </c>
      <c r="B267" s="230" t="s">
        <v>677</v>
      </c>
      <c r="C267" s="230" t="s">
        <v>677</v>
      </c>
      <c r="D267" s="231">
        <v>8.24</v>
      </c>
      <c r="E267" s="311">
        <v>8.23</v>
      </c>
    </row>
    <row r="268" spans="1:5" x14ac:dyDescent="0.3">
      <c r="A268" s="237">
        <v>15</v>
      </c>
      <c r="B268" s="227" t="s">
        <v>319</v>
      </c>
      <c r="C268" s="227" t="s">
        <v>320</v>
      </c>
      <c r="D268" s="228">
        <v>8.33</v>
      </c>
      <c r="E268" s="315">
        <v>8.17</v>
      </c>
    </row>
    <row r="269" spans="1:5" x14ac:dyDescent="0.3">
      <c r="A269" s="237">
        <v>16</v>
      </c>
      <c r="B269" s="230" t="s">
        <v>1727</v>
      </c>
      <c r="C269" s="230" t="s">
        <v>1727</v>
      </c>
      <c r="D269" s="231">
        <v>8.2899999999999991</v>
      </c>
      <c r="E269" s="315">
        <v>8.16</v>
      </c>
    </row>
    <row r="270" spans="1:5" x14ac:dyDescent="0.3">
      <c r="A270" s="237">
        <v>17</v>
      </c>
      <c r="B270" s="227" t="s">
        <v>426</v>
      </c>
      <c r="C270" s="227" t="s">
        <v>427</v>
      </c>
      <c r="D270" s="228">
        <v>8.18</v>
      </c>
      <c r="E270" s="318">
        <v>8.06</v>
      </c>
    </row>
    <row r="271" spans="1:5" x14ac:dyDescent="0.3">
      <c r="A271" s="237">
        <v>18</v>
      </c>
      <c r="B271" s="230" t="s">
        <v>607</v>
      </c>
      <c r="C271" s="230" t="s">
        <v>608</v>
      </c>
      <c r="D271" s="231">
        <v>7.72</v>
      </c>
      <c r="E271" s="326">
        <v>7.7</v>
      </c>
    </row>
    <row r="272" spans="1:5" x14ac:dyDescent="0.3">
      <c r="A272" s="237">
        <v>19</v>
      </c>
      <c r="B272" s="227" t="s">
        <v>456</v>
      </c>
      <c r="C272" s="227" t="s">
        <v>457</v>
      </c>
      <c r="D272" s="228">
        <v>7.67</v>
      </c>
      <c r="E272" s="327">
        <v>7.66</v>
      </c>
    </row>
    <row r="273" spans="1:5" x14ac:dyDescent="0.3">
      <c r="A273" s="237">
        <v>20</v>
      </c>
      <c r="B273" s="230" t="s">
        <v>774</v>
      </c>
      <c r="C273" s="230" t="s">
        <v>1791</v>
      </c>
      <c r="D273" s="231">
        <v>7.31</v>
      </c>
      <c r="E273" s="331">
        <v>7.2</v>
      </c>
    </row>
    <row r="274" spans="1:5" x14ac:dyDescent="0.3">
      <c r="A274" s="237">
        <v>21</v>
      </c>
      <c r="B274" s="227" t="s">
        <v>378</v>
      </c>
      <c r="C274" s="227" t="s">
        <v>379</v>
      </c>
      <c r="D274" s="228">
        <v>7.29</v>
      </c>
      <c r="E274" s="332">
        <v>7.16</v>
      </c>
    </row>
    <row r="276" spans="1:5" ht="17.399999999999999" x14ac:dyDescent="0.35">
      <c r="A276" s="433" t="s">
        <v>3839</v>
      </c>
      <c r="B276" s="433"/>
      <c r="C276" s="433"/>
      <c r="D276" s="433"/>
      <c r="E276" s="433"/>
    </row>
    <row r="277" spans="1:5" x14ac:dyDescent="0.3">
      <c r="A277" s="226" t="s">
        <v>318</v>
      </c>
      <c r="B277" s="226" t="s">
        <v>285</v>
      </c>
      <c r="C277" s="226" t="s">
        <v>286</v>
      </c>
      <c r="D277" s="226" t="s">
        <v>287</v>
      </c>
      <c r="E277" s="226" t="s">
        <v>958</v>
      </c>
    </row>
    <row r="278" spans="1:5" x14ac:dyDescent="0.3">
      <c r="A278" s="233">
        <v>1</v>
      </c>
      <c r="B278" s="227" t="s">
        <v>1478</v>
      </c>
      <c r="C278" s="227" t="s">
        <v>1479</v>
      </c>
      <c r="D278" s="228">
        <v>8.67</v>
      </c>
      <c r="E278" s="256">
        <v>9</v>
      </c>
    </row>
    <row r="279" spans="1:5" x14ac:dyDescent="0.3">
      <c r="A279" s="235">
        <v>2</v>
      </c>
      <c r="B279" s="230" t="s">
        <v>2624</v>
      </c>
      <c r="C279" s="230" t="s">
        <v>168</v>
      </c>
      <c r="D279" s="231">
        <v>9</v>
      </c>
      <c r="E279" s="400">
        <v>8.94</v>
      </c>
    </row>
    <row r="280" spans="1:5" x14ac:dyDescent="0.3">
      <c r="A280" s="236">
        <v>3</v>
      </c>
      <c r="B280" s="227" t="s">
        <v>1112</v>
      </c>
      <c r="C280" s="227" t="s">
        <v>1987</v>
      </c>
      <c r="D280" s="228">
        <v>8.7200000000000006</v>
      </c>
      <c r="E280" s="262">
        <v>8.91</v>
      </c>
    </row>
    <row r="281" spans="1:5" x14ac:dyDescent="0.3">
      <c r="A281" s="237">
        <v>4</v>
      </c>
      <c r="B281" s="230" t="s">
        <v>1112</v>
      </c>
      <c r="C281" s="230" t="s">
        <v>1477</v>
      </c>
      <c r="D281" s="231">
        <v>8.7200000000000006</v>
      </c>
      <c r="E281" s="263">
        <v>8.89</v>
      </c>
    </row>
    <row r="282" spans="1:5" x14ac:dyDescent="0.3">
      <c r="A282" s="237">
        <v>5</v>
      </c>
      <c r="B282" s="227" t="s">
        <v>2546</v>
      </c>
      <c r="C282" s="227" t="s">
        <v>2545</v>
      </c>
      <c r="D282" s="228">
        <v>8.8800000000000008</v>
      </c>
      <c r="E282" s="270">
        <v>8.81</v>
      </c>
    </row>
    <row r="283" spans="1:5" x14ac:dyDescent="0.3">
      <c r="A283" s="237">
        <v>6</v>
      </c>
      <c r="B283" s="230" t="s">
        <v>1405</v>
      </c>
      <c r="C283" s="230" t="s">
        <v>3583</v>
      </c>
      <c r="D283" s="231">
        <v>8.6</v>
      </c>
      <c r="E283" s="282">
        <v>8.66</v>
      </c>
    </row>
    <row r="284" spans="1:5" x14ac:dyDescent="0.3">
      <c r="A284" s="237">
        <v>7</v>
      </c>
      <c r="B284" s="227" t="s">
        <v>3829</v>
      </c>
      <c r="C284" s="227" t="s">
        <v>3830</v>
      </c>
      <c r="D284" s="228">
        <v>8.35</v>
      </c>
      <c r="E284" s="308">
        <v>8.27</v>
      </c>
    </row>
    <row r="286" spans="1:5" ht="17.399999999999999" x14ac:dyDescent="0.35">
      <c r="A286" s="433" t="s">
        <v>3133</v>
      </c>
      <c r="B286" s="433"/>
      <c r="C286" s="433"/>
      <c r="D286" s="433"/>
      <c r="E286" s="433"/>
    </row>
    <row r="287" spans="1:5" x14ac:dyDescent="0.3">
      <c r="A287" s="226" t="s">
        <v>318</v>
      </c>
      <c r="B287" s="226" t="s">
        <v>285</v>
      </c>
      <c r="C287" s="226" t="s">
        <v>286</v>
      </c>
      <c r="D287" s="226" t="s">
        <v>287</v>
      </c>
      <c r="E287" s="226" t="s">
        <v>958</v>
      </c>
    </row>
    <row r="288" spans="1:5" x14ac:dyDescent="0.3">
      <c r="A288" s="233">
        <v>1</v>
      </c>
      <c r="B288" s="227" t="s">
        <v>699</v>
      </c>
      <c r="C288" s="227" t="s">
        <v>700</v>
      </c>
      <c r="D288" s="228">
        <v>8.91</v>
      </c>
      <c r="E288" s="260">
        <v>8.93</v>
      </c>
    </row>
    <row r="289" spans="1:5" x14ac:dyDescent="0.3">
      <c r="A289" s="235">
        <v>2</v>
      </c>
      <c r="B289" s="230" t="s">
        <v>1694</v>
      </c>
      <c r="C289" s="230" t="s">
        <v>1695</v>
      </c>
      <c r="D289" s="231">
        <v>8.92</v>
      </c>
      <c r="E289" s="268">
        <v>8.83</v>
      </c>
    </row>
    <row r="290" spans="1:5" x14ac:dyDescent="0.3">
      <c r="A290" s="236">
        <v>3</v>
      </c>
      <c r="B290" s="227" t="s">
        <v>545</v>
      </c>
      <c r="C290" s="227" t="s">
        <v>546</v>
      </c>
      <c r="D290" s="228">
        <v>8.7799999999999994</v>
      </c>
      <c r="E290" s="271">
        <v>8.7899999999999991</v>
      </c>
    </row>
    <row r="291" spans="1:5" x14ac:dyDescent="0.3">
      <c r="A291" s="237">
        <v>4</v>
      </c>
      <c r="B291" s="230" t="s">
        <v>370</v>
      </c>
      <c r="C291" s="230" t="s">
        <v>368</v>
      </c>
      <c r="D291" s="231">
        <v>8.67</v>
      </c>
      <c r="E291" s="278">
        <v>8.7100000000000009</v>
      </c>
    </row>
    <row r="292" spans="1:5" x14ac:dyDescent="0.3">
      <c r="A292" s="237">
        <v>5</v>
      </c>
      <c r="B292" s="227" t="s">
        <v>888</v>
      </c>
      <c r="C292" s="227" t="s">
        <v>869</v>
      </c>
      <c r="D292" s="228">
        <v>8.5500000000000007</v>
      </c>
      <c r="E292" s="288">
        <v>8.6</v>
      </c>
    </row>
    <row r="293" spans="1:5" x14ac:dyDescent="0.3">
      <c r="A293" s="237">
        <v>6</v>
      </c>
      <c r="B293" s="230" t="s">
        <v>3075</v>
      </c>
      <c r="C293" s="230" t="s">
        <v>3076</v>
      </c>
      <c r="D293" s="231">
        <v>8.6</v>
      </c>
      <c r="E293" s="294">
        <v>8.5299999999999994</v>
      </c>
    </row>
    <row r="294" spans="1:5" x14ac:dyDescent="0.3">
      <c r="A294" s="237">
        <v>7</v>
      </c>
      <c r="B294" s="227" t="s">
        <v>314</v>
      </c>
      <c r="C294" s="227" t="s">
        <v>271</v>
      </c>
      <c r="D294" s="228">
        <v>8.35</v>
      </c>
      <c r="E294" s="313">
        <v>8.1999999999999993</v>
      </c>
    </row>
    <row r="296" spans="1:5" ht="17.399999999999999" x14ac:dyDescent="0.35">
      <c r="A296" s="433" t="s">
        <v>3864</v>
      </c>
      <c r="B296" s="433"/>
      <c r="C296" s="433"/>
      <c r="D296" s="433"/>
      <c r="E296" s="433"/>
    </row>
    <row r="297" spans="1:5" x14ac:dyDescent="0.3">
      <c r="A297" s="226" t="s">
        <v>318</v>
      </c>
      <c r="B297" s="226" t="s">
        <v>285</v>
      </c>
      <c r="C297" s="226" t="s">
        <v>286</v>
      </c>
      <c r="D297" s="226" t="s">
        <v>287</v>
      </c>
      <c r="E297" s="226" t="s">
        <v>958</v>
      </c>
    </row>
    <row r="298" spans="1:5" x14ac:dyDescent="0.3">
      <c r="A298" s="233">
        <v>1</v>
      </c>
      <c r="B298" s="227" t="s">
        <v>3856</v>
      </c>
      <c r="C298" s="227" t="s">
        <v>3857</v>
      </c>
      <c r="D298" s="228">
        <v>9</v>
      </c>
      <c r="E298" s="259">
        <v>8.9499999999999993</v>
      </c>
    </row>
    <row r="299" spans="1:5" x14ac:dyDescent="0.3">
      <c r="A299" s="235">
        <v>2</v>
      </c>
      <c r="B299" s="230" t="s">
        <v>2303</v>
      </c>
      <c r="C299" s="230" t="s">
        <v>2293</v>
      </c>
      <c r="D299" s="231">
        <v>8.86</v>
      </c>
      <c r="E299" s="276">
        <v>8.74</v>
      </c>
    </row>
    <row r="300" spans="1:5" x14ac:dyDescent="0.3">
      <c r="A300" s="236">
        <v>3</v>
      </c>
      <c r="B300" s="227" t="s">
        <v>2978</v>
      </c>
      <c r="C300" s="227" t="s">
        <v>2979</v>
      </c>
      <c r="D300" s="228">
        <v>8.85</v>
      </c>
      <c r="E300" s="277">
        <v>8.7200000000000006</v>
      </c>
    </row>
    <row r="301" spans="1:5" x14ac:dyDescent="0.3">
      <c r="A301" s="237">
        <v>4</v>
      </c>
      <c r="B301" s="230" t="s">
        <v>3035</v>
      </c>
      <c r="C301" s="230" t="s">
        <v>3023</v>
      </c>
      <c r="D301" s="231">
        <v>8.6300000000000008</v>
      </c>
      <c r="E301" s="294">
        <v>8.5299999999999994</v>
      </c>
    </row>
    <row r="302" spans="1:5" x14ac:dyDescent="0.3">
      <c r="A302" s="237">
        <v>5</v>
      </c>
      <c r="B302" s="227" t="s">
        <v>3269</v>
      </c>
      <c r="C302" s="227" t="s">
        <v>3270</v>
      </c>
      <c r="D302" s="228">
        <v>8.58</v>
      </c>
      <c r="E302" s="371">
        <v>8.51</v>
      </c>
    </row>
    <row r="303" spans="1:5" x14ac:dyDescent="0.3">
      <c r="A303" s="237">
        <v>6</v>
      </c>
      <c r="B303" s="230" t="s">
        <v>2578</v>
      </c>
      <c r="C303" s="230" t="s">
        <v>2574</v>
      </c>
      <c r="D303" s="231">
        <v>8.5500000000000007</v>
      </c>
      <c r="E303" s="298">
        <v>8.4700000000000006</v>
      </c>
    </row>
    <row r="305" spans="1:5" ht="17.399999999999999" x14ac:dyDescent="0.35">
      <c r="A305" s="433" t="s">
        <v>3275</v>
      </c>
      <c r="B305" s="433"/>
      <c r="C305" s="433"/>
      <c r="D305" s="433"/>
      <c r="E305" s="433"/>
    </row>
    <row r="306" spans="1:5" x14ac:dyDescent="0.3">
      <c r="A306" s="226" t="s">
        <v>318</v>
      </c>
      <c r="B306" s="226" t="s">
        <v>285</v>
      </c>
      <c r="C306" s="226" t="s">
        <v>286</v>
      </c>
      <c r="D306" s="226" t="s">
        <v>287</v>
      </c>
      <c r="E306" s="226" t="s">
        <v>958</v>
      </c>
    </row>
    <row r="307" spans="1:5" x14ac:dyDescent="0.3">
      <c r="A307" s="233">
        <v>1</v>
      </c>
      <c r="B307" s="227" t="s">
        <v>2978</v>
      </c>
      <c r="C307" s="227" t="s">
        <v>2979</v>
      </c>
      <c r="D307" s="228">
        <v>8.85</v>
      </c>
      <c r="E307" s="277">
        <v>8.7200000000000006</v>
      </c>
    </row>
    <row r="308" spans="1:5" x14ac:dyDescent="0.3">
      <c r="A308" s="235">
        <v>2</v>
      </c>
      <c r="B308" s="230" t="s">
        <v>296</v>
      </c>
      <c r="C308" s="230" t="s">
        <v>2000</v>
      </c>
      <c r="D308" s="231">
        <v>8.6</v>
      </c>
      <c r="E308" s="293">
        <v>8.5399999999999991</v>
      </c>
    </row>
    <row r="309" spans="1:5" x14ac:dyDescent="0.3">
      <c r="A309" s="236">
        <v>3</v>
      </c>
      <c r="B309" s="227" t="s">
        <v>3269</v>
      </c>
      <c r="C309" s="227" t="s">
        <v>3270</v>
      </c>
      <c r="D309" s="228">
        <v>8.58</v>
      </c>
      <c r="E309" s="371">
        <v>8.51</v>
      </c>
    </row>
    <row r="310" spans="1:5" x14ac:dyDescent="0.3">
      <c r="A310" s="237">
        <v>4</v>
      </c>
      <c r="B310" s="230" t="s">
        <v>2578</v>
      </c>
      <c r="C310" s="230" t="s">
        <v>2574</v>
      </c>
      <c r="D310" s="231">
        <v>8.5500000000000007</v>
      </c>
      <c r="E310" s="298">
        <v>8.4700000000000006</v>
      </c>
    </row>
    <row r="312" spans="1:5" ht="17.399999999999999" x14ac:dyDescent="0.35">
      <c r="A312" s="433" t="s">
        <v>3134</v>
      </c>
      <c r="B312" s="433"/>
      <c r="C312" s="433"/>
      <c r="D312" s="433"/>
      <c r="E312" s="433"/>
    </row>
    <row r="313" spans="1:5" x14ac:dyDescent="0.3">
      <c r="A313" s="226" t="s">
        <v>318</v>
      </c>
      <c r="B313" s="226" t="s">
        <v>285</v>
      </c>
      <c r="C313" s="226" t="s">
        <v>286</v>
      </c>
      <c r="D313" s="226" t="s">
        <v>287</v>
      </c>
      <c r="E313" s="226" t="s">
        <v>958</v>
      </c>
    </row>
    <row r="314" spans="1:5" x14ac:dyDescent="0.3">
      <c r="A314" s="233">
        <v>1</v>
      </c>
      <c r="B314" s="227" t="s">
        <v>866</v>
      </c>
      <c r="C314" s="227" t="s">
        <v>857</v>
      </c>
      <c r="D314" s="228">
        <v>9.06</v>
      </c>
      <c r="E314" s="251">
        <v>9.1</v>
      </c>
    </row>
    <row r="315" spans="1:5" x14ac:dyDescent="0.3">
      <c r="A315" s="235">
        <v>2</v>
      </c>
      <c r="B315" s="230" t="s">
        <v>2608</v>
      </c>
      <c r="C315" s="230" t="s">
        <v>2601</v>
      </c>
      <c r="D315" s="231">
        <v>9.06</v>
      </c>
      <c r="E315" s="255">
        <v>9.02</v>
      </c>
    </row>
    <row r="316" spans="1:5" x14ac:dyDescent="0.3">
      <c r="A316" s="236">
        <v>3</v>
      </c>
      <c r="B316" s="227" t="s">
        <v>687</v>
      </c>
      <c r="C316" s="227" t="s">
        <v>688</v>
      </c>
      <c r="D316" s="228">
        <v>8.67</v>
      </c>
      <c r="E316" s="289">
        <v>8.58</v>
      </c>
    </row>
    <row r="317" spans="1:5" x14ac:dyDescent="0.3">
      <c r="A317" s="237">
        <v>4</v>
      </c>
      <c r="B317" s="230" t="s">
        <v>493</v>
      </c>
      <c r="C317" s="230" t="s">
        <v>494</v>
      </c>
      <c r="D317" s="231">
        <v>8.5</v>
      </c>
      <c r="E317" s="301">
        <v>8.43</v>
      </c>
    </row>
    <row r="319" spans="1:5" ht="17.399999999999999" x14ac:dyDescent="0.35">
      <c r="A319" s="433" t="s">
        <v>3924</v>
      </c>
      <c r="B319" s="433"/>
      <c r="C319" s="433"/>
      <c r="D319" s="433"/>
      <c r="E319" s="433"/>
    </row>
    <row r="320" spans="1:5" x14ac:dyDescent="0.3">
      <c r="A320" s="226" t="s">
        <v>318</v>
      </c>
      <c r="B320" s="226" t="s">
        <v>285</v>
      </c>
      <c r="C320" s="226" t="s">
        <v>286</v>
      </c>
      <c r="D320" s="226" t="s">
        <v>287</v>
      </c>
      <c r="E320" s="226" t="s">
        <v>958</v>
      </c>
    </row>
    <row r="321" spans="1:5" x14ac:dyDescent="0.3">
      <c r="A321" s="233">
        <v>1</v>
      </c>
      <c r="B321" s="227" t="s">
        <v>3898</v>
      </c>
      <c r="C321" s="227" t="s">
        <v>3899</v>
      </c>
      <c r="D321" s="228">
        <v>8.75</v>
      </c>
      <c r="E321" s="272">
        <v>8.7799999999999994</v>
      </c>
    </row>
    <row r="322" spans="1:5" x14ac:dyDescent="0.3">
      <c r="A322" s="235">
        <v>2</v>
      </c>
      <c r="B322" s="230" t="s">
        <v>2317</v>
      </c>
      <c r="C322" s="230" t="s">
        <v>2318</v>
      </c>
      <c r="D322" s="231">
        <v>8.69</v>
      </c>
      <c r="E322" s="294">
        <v>8.5299999999999994</v>
      </c>
    </row>
    <row r="323" spans="1:5" x14ac:dyDescent="0.3">
      <c r="A323" s="236">
        <v>3</v>
      </c>
      <c r="B323" s="227" t="s">
        <v>1200</v>
      </c>
      <c r="C323" s="227" t="s">
        <v>1190</v>
      </c>
      <c r="D323" s="228">
        <v>8.4499999999999993</v>
      </c>
      <c r="E323" s="304">
        <v>8.3800000000000008</v>
      </c>
    </row>
    <row r="325" spans="1:5" ht="17.399999999999999" x14ac:dyDescent="0.35">
      <c r="A325" s="433" t="s">
        <v>3135</v>
      </c>
      <c r="B325" s="433"/>
      <c r="C325" s="433"/>
      <c r="D325" s="433"/>
      <c r="E325" s="433"/>
    </row>
    <row r="326" spans="1:5" x14ac:dyDescent="0.3">
      <c r="A326" s="226" t="s">
        <v>318</v>
      </c>
      <c r="B326" s="226" t="s">
        <v>285</v>
      </c>
      <c r="C326" s="226" t="s">
        <v>286</v>
      </c>
      <c r="D326" s="226" t="s">
        <v>287</v>
      </c>
      <c r="E326" s="226" t="s">
        <v>958</v>
      </c>
    </row>
    <row r="327" spans="1:5" x14ac:dyDescent="0.3">
      <c r="A327" s="233">
        <v>1</v>
      </c>
      <c r="B327" s="227" t="s">
        <v>2115</v>
      </c>
      <c r="C327" s="227" t="s">
        <v>2116</v>
      </c>
      <c r="D327" s="228">
        <v>8.73</v>
      </c>
      <c r="E327" s="285">
        <v>8.6300000000000008</v>
      </c>
    </row>
    <row r="328" spans="1:5" x14ac:dyDescent="0.3">
      <c r="A328" s="235">
        <v>2</v>
      </c>
      <c r="B328" s="230" t="s">
        <v>677</v>
      </c>
      <c r="C328" s="230" t="s">
        <v>1217</v>
      </c>
      <c r="D328" s="231">
        <v>8.11</v>
      </c>
      <c r="E328" s="320">
        <v>8</v>
      </c>
    </row>
    <row r="330" spans="1:5" ht="17.399999999999999" x14ac:dyDescent="0.35">
      <c r="A330" s="433" t="s">
        <v>3368</v>
      </c>
      <c r="B330" s="433"/>
      <c r="C330" s="433"/>
      <c r="D330" s="433"/>
      <c r="E330" s="433"/>
    </row>
    <row r="331" spans="1:5" x14ac:dyDescent="0.3">
      <c r="A331" s="226" t="s">
        <v>318</v>
      </c>
      <c r="B331" s="226" t="s">
        <v>285</v>
      </c>
      <c r="C331" s="226" t="s">
        <v>286</v>
      </c>
      <c r="D331" s="226" t="s">
        <v>287</v>
      </c>
      <c r="E331" s="226" t="s">
        <v>958</v>
      </c>
    </row>
    <row r="332" spans="1:5" x14ac:dyDescent="0.3">
      <c r="A332" s="233">
        <v>1</v>
      </c>
      <c r="B332" s="227" t="s">
        <v>3347</v>
      </c>
      <c r="C332" s="227" t="s">
        <v>3348</v>
      </c>
      <c r="D332" s="228">
        <v>4.79</v>
      </c>
      <c r="E332" s="335">
        <v>4.62</v>
      </c>
    </row>
    <row r="334" spans="1:5" ht="17.399999999999999" x14ac:dyDescent="0.35">
      <c r="A334" s="433" t="s">
        <v>3137</v>
      </c>
      <c r="B334" s="433"/>
      <c r="C334" s="433"/>
      <c r="D334" s="433"/>
      <c r="E334" s="433"/>
    </row>
    <row r="335" spans="1:5" x14ac:dyDescent="0.3">
      <c r="A335" s="226" t="s">
        <v>318</v>
      </c>
      <c r="B335" s="226" t="s">
        <v>285</v>
      </c>
      <c r="C335" s="226" t="s">
        <v>286</v>
      </c>
      <c r="D335" s="226" t="s">
        <v>287</v>
      </c>
      <c r="E335" s="226" t="s">
        <v>958</v>
      </c>
    </row>
    <row r="336" spans="1:5" x14ac:dyDescent="0.3">
      <c r="A336" s="233">
        <v>1</v>
      </c>
      <c r="B336" s="227" t="s">
        <v>303</v>
      </c>
      <c r="C336" s="227" t="s">
        <v>1482</v>
      </c>
      <c r="D336" s="228">
        <v>8</v>
      </c>
      <c r="E336" s="324">
        <v>7.79</v>
      </c>
    </row>
    <row r="338" spans="1:5" ht="17.399999999999999" x14ac:dyDescent="0.35">
      <c r="A338" s="433" t="s">
        <v>3136</v>
      </c>
      <c r="B338" s="433"/>
      <c r="C338" s="433"/>
      <c r="D338" s="433"/>
      <c r="E338" s="433"/>
    </row>
    <row r="339" spans="1:5" x14ac:dyDescent="0.3">
      <c r="A339" s="226" t="s">
        <v>318</v>
      </c>
      <c r="B339" s="226" t="s">
        <v>285</v>
      </c>
      <c r="C339" s="226" t="s">
        <v>286</v>
      </c>
      <c r="D339" s="226" t="s">
        <v>287</v>
      </c>
      <c r="E339" s="226" t="s">
        <v>958</v>
      </c>
    </row>
    <row r="340" spans="1:5" x14ac:dyDescent="0.3">
      <c r="A340" s="233">
        <v>1</v>
      </c>
      <c r="B340" s="227" t="s">
        <v>2780</v>
      </c>
      <c r="C340" s="227" t="s">
        <v>2781</v>
      </c>
      <c r="D340" s="228">
        <v>8.4</v>
      </c>
      <c r="E340" s="305">
        <v>8.3699999999999992</v>
      </c>
    </row>
  </sheetData>
  <mergeCells count="15">
    <mergeCell ref="A338:E338"/>
    <mergeCell ref="A305:E305"/>
    <mergeCell ref="A312:E312"/>
    <mergeCell ref="A319:E319"/>
    <mergeCell ref="A325:E325"/>
    <mergeCell ref="A330:E330"/>
    <mergeCell ref="A227:E227"/>
    <mergeCell ref="A252:E252"/>
    <mergeCell ref="A276:E276"/>
    <mergeCell ref="A286:E286"/>
    <mergeCell ref="A296:E296"/>
    <mergeCell ref="A1:E1"/>
    <mergeCell ref="A115:E115"/>
    <mergeCell ref="A189:E189"/>
    <mergeCell ref="A334:E33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29"/>
  <sheetViews>
    <sheetView topLeftCell="A112" zoomScale="80" zoomScaleNormal="80" workbookViewId="0">
      <selection activeCell="E134" sqref="E134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4" t="s">
        <v>3129</v>
      </c>
      <c r="B1" s="344" t="s">
        <v>3130</v>
      </c>
      <c r="C1" s="344" t="s">
        <v>3131</v>
      </c>
      <c r="E1" s="366" t="s">
        <v>3442</v>
      </c>
    </row>
    <row r="2" spans="1:5" x14ac:dyDescent="0.3">
      <c r="A2" t="s">
        <v>1021</v>
      </c>
      <c r="B2" t="s">
        <v>3119</v>
      </c>
      <c r="C2" t="s">
        <v>1118</v>
      </c>
      <c r="E2" t="s">
        <v>3498</v>
      </c>
    </row>
    <row r="3" spans="1:5" x14ac:dyDescent="0.3">
      <c r="A3" t="s">
        <v>1026</v>
      </c>
      <c r="B3" t="s">
        <v>3119</v>
      </c>
      <c r="C3" t="s">
        <v>1048</v>
      </c>
    </row>
    <row r="4" spans="1:5" x14ac:dyDescent="0.3">
      <c r="A4" t="s">
        <v>1023</v>
      </c>
      <c r="B4" t="s">
        <v>3119</v>
      </c>
      <c r="C4" t="s">
        <v>3122</v>
      </c>
      <c r="E4" t="s">
        <v>3499</v>
      </c>
    </row>
    <row r="5" spans="1:5" x14ac:dyDescent="0.3">
      <c r="A5" t="s">
        <v>720</v>
      </c>
      <c r="B5" t="s">
        <v>3119</v>
      </c>
      <c r="C5" t="s">
        <v>1032</v>
      </c>
    </row>
    <row r="6" spans="1:5" x14ac:dyDescent="0.3">
      <c r="A6" t="s">
        <v>2449</v>
      </c>
      <c r="B6" t="s">
        <v>1048</v>
      </c>
      <c r="C6" t="s">
        <v>3128</v>
      </c>
      <c r="E6" t="s">
        <v>3637</v>
      </c>
    </row>
    <row r="7" spans="1:5" x14ac:dyDescent="0.3">
      <c r="A7" t="s">
        <v>1027</v>
      </c>
      <c r="B7" t="s">
        <v>3120</v>
      </c>
      <c r="C7" t="s">
        <v>3127</v>
      </c>
    </row>
    <row r="8" spans="1:5" x14ac:dyDescent="0.3">
      <c r="A8" t="s">
        <v>1028</v>
      </c>
      <c r="B8" t="s">
        <v>3120</v>
      </c>
      <c r="C8" t="s">
        <v>3123</v>
      </c>
      <c r="E8" t="s">
        <v>3441</v>
      </c>
    </row>
    <row r="9" spans="1:5" x14ac:dyDescent="0.3">
      <c r="A9" t="s">
        <v>2625</v>
      </c>
      <c r="B9" t="s">
        <v>3120</v>
      </c>
      <c r="C9" t="s">
        <v>2785</v>
      </c>
      <c r="E9" t="s">
        <v>3500</v>
      </c>
    </row>
    <row r="10" spans="1:5" x14ac:dyDescent="0.3">
      <c r="A10" t="s">
        <v>2626</v>
      </c>
      <c r="B10" t="s">
        <v>3121</v>
      </c>
      <c r="C10" t="s">
        <v>3121</v>
      </c>
    </row>
    <row r="11" spans="1:5" x14ac:dyDescent="0.3">
      <c r="A11" t="s">
        <v>1022</v>
      </c>
      <c r="B11" t="s">
        <v>3119</v>
      </c>
      <c r="C11" t="s">
        <v>3124</v>
      </c>
    </row>
    <row r="12" spans="1:5" x14ac:dyDescent="0.3">
      <c r="A12" t="s">
        <v>1025</v>
      </c>
      <c r="B12" t="s">
        <v>3119</v>
      </c>
      <c r="C12" t="s">
        <v>3126</v>
      </c>
    </row>
    <row r="13" spans="1:5" x14ac:dyDescent="0.3">
      <c r="A13" t="s">
        <v>1042</v>
      </c>
      <c r="B13" t="s">
        <v>3119</v>
      </c>
      <c r="C13" t="s">
        <v>3120</v>
      </c>
    </row>
    <row r="14" spans="1:5" x14ac:dyDescent="0.3">
      <c r="A14" t="s">
        <v>1532</v>
      </c>
      <c r="B14" t="s">
        <v>3121</v>
      </c>
      <c r="C14" t="s">
        <v>3366</v>
      </c>
    </row>
    <row r="15" spans="1:5" x14ac:dyDescent="0.3">
      <c r="A15" t="s">
        <v>1530</v>
      </c>
      <c r="B15" t="s">
        <v>3119</v>
      </c>
      <c r="C15" t="s">
        <v>3119</v>
      </c>
    </row>
    <row r="16" spans="1:5" x14ac:dyDescent="0.3">
      <c r="A16" t="s">
        <v>1024</v>
      </c>
      <c r="B16" t="s">
        <v>3119</v>
      </c>
      <c r="C16" t="s">
        <v>3125</v>
      </c>
    </row>
    <row r="17" spans="1:2" x14ac:dyDescent="0.3">
      <c r="A17" t="s">
        <v>1030</v>
      </c>
      <c r="B17" t="s">
        <v>3119</v>
      </c>
    </row>
    <row r="18" spans="1:2" x14ac:dyDescent="0.3">
      <c r="A18" t="s">
        <v>2585</v>
      </c>
      <c r="B18" t="s">
        <v>1118</v>
      </c>
    </row>
    <row r="19" spans="1:2" x14ac:dyDescent="0.3">
      <c r="A19" t="s">
        <v>2495</v>
      </c>
      <c r="B19" t="s">
        <v>3119</v>
      </c>
    </row>
    <row r="20" spans="1:2" x14ac:dyDescent="0.3">
      <c r="A20" t="s">
        <v>1324</v>
      </c>
      <c r="B20" t="s">
        <v>3119</v>
      </c>
    </row>
    <row r="21" spans="1:2" x14ac:dyDescent="0.3">
      <c r="A21" t="s">
        <v>2984</v>
      </c>
      <c r="B21" t="s">
        <v>3122</v>
      </c>
    </row>
    <row r="22" spans="1:2" x14ac:dyDescent="0.3">
      <c r="A22" t="s">
        <v>1035</v>
      </c>
      <c r="B22" t="s">
        <v>3119</v>
      </c>
    </row>
    <row r="23" spans="1:2" x14ac:dyDescent="0.3">
      <c r="A23" t="s">
        <v>1039</v>
      </c>
      <c r="B23" t="s">
        <v>1048</v>
      </c>
    </row>
    <row r="24" spans="1:2" x14ac:dyDescent="0.3">
      <c r="A24" t="s">
        <v>1160</v>
      </c>
      <c r="B24" t="s">
        <v>3119</v>
      </c>
    </row>
    <row r="25" spans="1:2" x14ac:dyDescent="0.3">
      <c r="A25" t="s">
        <v>1161</v>
      </c>
      <c r="B25" t="s">
        <v>3119</v>
      </c>
    </row>
    <row r="26" spans="1:2" x14ac:dyDescent="0.3">
      <c r="A26" t="s">
        <v>1386</v>
      </c>
      <c r="B26" t="s">
        <v>3123</v>
      </c>
    </row>
    <row r="27" spans="1:2" x14ac:dyDescent="0.3">
      <c r="A27" t="s">
        <v>2858</v>
      </c>
      <c r="B27" t="s">
        <v>3119</v>
      </c>
    </row>
    <row r="28" spans="1:2" x14ac:dyDescent="0.3">
      <c r="A28" t="s">
        <v>2998</v>
      </c>
      <c r="B28" t="s">
        <v>3121</v>
      </c>
    </row>
    <row r="29" spans="1:2" x14ac:dyDescent="0.3">
      <c r="A29" t="s">
        <v>1755</v>
      </c>
      <c r="B29" t="s">
        <v>1048</v>
      </c>
    </row>
    <row r="30" spans="1:2" x14ac:dyDescent="0.3">
      <c r="A30" t="s">
        <v>1284</v>
      </c>
      <c r="B30" t="s">
        <v>3123</v>
      </c>
    </row>
    <row r="31" spans="1:2" x14ac:dyDescent="0.3">
      <c r="A31" t="s">
        <v>733</v>
      </c>
      <c r="B31" t="s">
        <v>3123</v>
      </c>
    </row>
    <row r="32" spans="1:2" x14ac:dyDescent="0.3">
      <c r="A32" t="s">
        <v>1174</v>
      </c>
      <c r="B32" t="s">
        <v>3123</v>
      </c>
    </row>
    <row r="33" spans="1:2" x14ac:dyDescent="0.3">
      <c r="A33" t="s">
        <v>1954</v>
      </c>
      <c r="B33" t="s">
        <v>3119</v>
      </c>
    </row>
    <row r="34" spans="1:2" x14ac:dyDescent="0.3">
      <c r="A34" t="s">
        <v>1269</v>
      </c>
      <c r="B34" t="s">
        <v>3119</v>
      </c>
    </row>
    <row r="35" spans="1:2" x14ac:dyDescent="0.3">
      <c r="A35" t="s">
        <v>1029</v>
      </c>
      <c r="B35" t="s">
        <v>3119</v>
      </c>
    </row>
    <row r="36" spans="1:2" x14ac:dyDescent="0.3">
      <c r="A36" t="s">
        <v>734</v>
      </c>
      <c r="B36" t="s">
        <v>3123</v>
      </c>
    </row>
    <row r="37" spans="1:2" x14ac:dyDescent="0.3">
      <c r="A37" t="s">
        <v>1118</v>
      </c>
      <c r="B37" t="s">
        <v>1118</v>
      </c>
    </row>
    <row r="38" spans="1:2" x14ac:dyDescent="0.3">
      <c r="A38" t="s">
        <v>2408</v>
      </c>
      <c r="B38" t="s">
        <v>3119</v>
      </c>
    </row>
    <row r="39" spans="1:2" x14ac:dyDescent="0.3">
      <c r="A39" t="s">
        <v>1434</v>
      </c>
      <c r="B39" t="s">
        <v>3121</v>
      </c>
    </row>
    <row r="40" spans="1:2" x14ac:dyDescent="0.3">
      <c r="A40" t="s">
        <v>2627</v>
      </c>
      <c r="B40" t="s">
        <v>3119</v>
      </c>
    </row>
    <row r="41" spans="1:2" x14ac:dyDescent="0.3">
      <c r="A41" t="s">
        <v>1570</v>
      </c>
      <c r="B41" t="s">
        <v>3123</v>
      </c>
    </row>
    <row r="42" spans="1:2" x14ac:dyDescent="0.3">
      <c r="A42" t="s">
        <v>1571</v>
      </c>
      <c r="B42" t="s">
        <v>3123</v>
      </c>
    </row>
    <row r="43" spans="1:2" x14ac:dyDescent="0.3">
      <c r="A43" t="s">
        <v>2098</v>
      </c>
      <c r="B43" t="s">
        <v>3123</v>
      </c>
    </row>
    <row r="44" spans="1:2" x14ac:dyDescent="0.3">
      <c r="A44" t="s">
        <v>1173</v>
      </c>
      <c r="B44" t="s">
        <v>3123</v>
      </c>
    </row>
    <row r="45" spans="1:2" x14ac:dyDescent="0.3">
      <c r="A45" t="s">
        <v>1034</v>
      </c>
      <c r="B45" t="s">
        <v>3123</v>
      </c>
    </row>
    <row r="46" spans="1:2" x14ac:dyDescent="0.3">
      <c r="A46" t="s">
        <v>1040</v>
      </c>
      <c r="B46" t="s">
        <v>1048</v>
      </c>
    </row>
    <row r="47" spans="1:2" x14ac:dyDescent="0.3">
      <c r="A47" t="s">
        <v>1046</v>
      </c>
      <c r="B47" t="s">
        <v>1048</v>
      </c>
    </row>
    <row r="48" spans="1:2" x14ac:dyDescent="0.3">
      <c r="A48" t="s">
        <v>1131</v>
      </c>
      <c r="B48" t="s">
        <v>3121</v>
      </c>
    </row>
    <row r="49" spans="1:2" x14ac:dyDescent="0.3">
      <c r="A49" t="s">
        <v>1418</v>
      </c>
      <c r="B49" t="s">
        <v>1048</v>
      </c>
    </row>
    <row r="50" spans="1:2" x14ac:dyDescent="0.3">
      <c r="A50" t="s">
        <v>1419</v>
      </c>
      <c r="B50" t="s">
        <v>1048</v>
      </c>
    </row>
    <row r="51" spans="1:2" x14ac:dyDescent="0.3">
      <c r="A51" t="s">
        <v>2134</v>
      </c>
      <c r="B51" t="s">
        <v>3124</v>
      </c>
    </row>
    <row r="52" spans="1:2" x14ac:dyDescent="0.3">
      <c r="A52" t="s">
        <v>1036</v>
      </c>
      <c r="B52" t="s">
        <v>3119</v>
      </c>
    </row>
    <row r="53" spans="1:2" x14ac:dyDescent="0.3">
      <c r="A53" t="s">
        <v>2725</v>
      </c>
      <c r="B53" t="s">
        <v>1032</v>
      </c>
    </row>
    <row r="54" spans="1:2" x14ac:dyDescent="0.3">
      <c r="A54" t="s">
        <v>2307</v>
      </c>
      <c r="B54" t="s">
        <v>3125</v>
      </c>
    </row>
    <row r="55" spans="1:2" x14ac:dyDescent="0.3">
      <c r="A55" t="s">
        <v>1697</v>
      </c>
      <c r="B55" t="s">
        <v>3126</v>
      </c>
    </row>
    <row r="56" spans="1:2" x14ac:dyDescent="0.3">
      <c r="A56" t="s">
        <v>2661</v>
      </c>
      <c r="B56" t="s">
        <v>3119</v>
      </c>
    </row>
    <row r="57" spans="1:2" x14ac:dyDescent="0.3">
      <c r="A57" t="s">
        <v>1481</v>
      </c>
      <c r="B57" t="s">
        <v>1048</v>
      </c>
    </row>
    <row r="58" spans="1:2" x14ac:dyDescent="0.3">
      <c r="A58" t="s">
        <v>3092</v>
      </c>
      <c r="B58" t="s">
        <v>1048</v>
      </c>
    </row>
    <row r="59" spans="1:2" x14ac:dyDescent="0.3">
      <c r="A59" t="s">
        <v>1037</v>
      </c>
      <c r="B59" t="s">
        <v>1032</v>
      </c>
    </row>
    <row r="60" spans="1:2" x14ac:dyDescent="0.3">
      <c r="A60" t="s">
        <v>2547</v>
      </c>
      <c r="B60" t="s">
        <v>1048</v>
      </c>
    </row>
    <row r="61" spans="1:2" x14ac:dyDescent="0.3">
      <c r="A61" t="s">
        <v>2330</v>
      </c>
      <c r="B61" t="s">
        <v>3127</v>
      </c>
    </row>
    <row r="62" spans="1:2" x14ac:dyDescent="0.3">
      <c r="A62" t="s">
        <v>2331</v>
      </c>
      <c r="B62" t="s">
        <v>3121</v>
      </c>
    </row>
    <row r="63" spans="1:2" x14ac:dyDescent="0.3">
      <c r="A63" t="s">
        <v>732</v>
      </c>
      <c r="B63" t="s">
        <v>3119</v>
      </c>
    </row>
    <row r="64" spans="1:2" x14ac:dyDescent="0.3">
      <c r="A64" t="s">
        <v>1045</v>
      </c>
      <c r="B64" t="s">
        <v>3126</v>
      </c>
    </row>
    <row r="65" spans="1:2" x14ac:dyDescent="0.3">
      <c r="A65" t="s">
        <v>1314</v>
      </c>
      <c r="B65" t="s">
        <v>1032</v>
      </c>
    </row>
    <row r="66" spans="1:2" x14ac:dyDescent="0.3">
      <c r="A66" t="s">
        <v>1055</v>
      </c>
      <c r="B66" t="s">
        <v>3123</v>
      </c>
    </row>
    <row r="67" spans="1:2" x14ac:dyDescent="0.3">
      <c r="A67" t="s">
        <v>1056</v>
      </c>
      <c r="B67" t="s">
        <v>3123</v>
      </c>
    </row>
    <row r="68" spans="1:2" x14ac:dyDescent="0.3">
      <c r="A68" t="s">
        <v>2135</v>
      </c>
      <c r="B68" t="s">
        <v>3121</v>
      </c>
    </row>
    <row r="69" spans="1:2" x14ac:dyDescent="0.3">
      <c r="A69" t="s">
        <v>1216</v>
      </c>
      <c r="B69" t="s">
        <v>3123</v>
      </c>
    </row>
    <row r="70" spans="1:2" x14ac:dyDescent="0.3">
      <c r="A70" t="s">
        <v>737</v>
      </c>
      <c r="B70" t="s">
        <v>3120</v>
      </c>
    </row>
    <row r="71" spans="1:2" x14ac:dyDescent="0.3">
      <c r="A71" t="s">
        <v>1326</v>
      </c>
      <c r="B71" t="s">
        <v>3119</v>
      </c>
    </row>
    <row r="72" spans="1:2" x14ac:dyDescent="0.3">
      <c r="A72" t="s">
        <v>1038</v>
      </c>
      <c r="B72" t="s">
        <v>1032</v>
      </c>
    </row>
    <row r="73" spans="1:2" x14ac:dyDescent="0.3">
      <c r="A73" t="s">
        <v>2677</v>
      </c>
      <c r="B73" t="s">
        <v>1048</v>
      </c>
    </row>
    <row r="74" spans="1:2" x14ac:dyDescent="0.3">
      <c r="A74" t="s">
        <v>1053</v>
      </c>
      <c r="B74" t="s">
        <v>3119</v>
      </c>
    </row>
    <row r="75" spans="1:2" x14ac:dyDescent="0.3">
      <c r="A75" t="s">
        <v>1031</v>
      </c>
      <c r="B75" t="s">
        <v>1032</v>
      </c>
    </row>
    <row r="76" spans="1:2" x14ac:dyDescent="0.3">
      <c r="A76" t="s">
        <v>2951</v>
      </c>
      <c r="B76" t="s">
        <v>3119</v>
      </c>
    </row>
    <row r="77" spans="1:2" x14ac:dyDescent="0.3">
      <c r="A77" t="s">
        <v>2005</v>
      </c>
      <c r="B77" t="s">
        <v>3122</v>
      </c>
    </row>
    <row r="78" spans="1:2" x14ac:dyDescent="0.3">
      <c r="A78" t="s">
        <v>1047</v>
      </c>
      <c r="B78" t="s">
        <v>3119</v>
      </c>
    </row>
    <row r="79" spans="1:2" x14ac:dyDescent="0.3">
      <c r="A79" t="s">
        <v>1041</v>
      </c>
      <c r="B79" t="s">
        <v>3121</v>
      </c>
    </row>
    <row r="80" spans="1:2" x14ac:dyDescent="0.3">
      <c r="A80" t="s">
        <v>2394</v>
      </c>
      <c r="B80" t="s">
        <v>3121</v>
      </c>
    </row>
    <row r="81" spans="1:2" x14ac:dyDescent="0.3">
      <c r="A81" t="s">
        <v>1388</v>
      </c>
      <c r="B81" t="s">
        <v>1032</v>
      </c>
    </row>
    <row r="82" spans="1:2" x14ac:dyDescent="0.3">
      <c r="A82" t="s">
        <v>1043</v>
      </c>
      <c r="B82" t="s">
        <v>3121</v>
      </c>
    </row>
    <row r="83" spans="1:2" x14ac:dyDescent="0.3">
      <c r="A83" t="s">
        <v>1048</v>
      </c>
      <c r="B83" t="s">
        <v>1048</v>
      </c>
    </row>
    <row r="84" spans="1:2" x14ac:dyDescent="0.3">
      <c r="A84" t="s">
        <v>1049</v>
      </c>
      <c r="B84" t="s">
        <v>1032</v>
      </c>
    </row>
    <row r="85" spans="1:2" x14ac:dyDescent="0.3">
      <c r="A85" t="s">
        <v>1050</v>
      </c>
      <c r="B85" t="s">
        <v>1032</v>
      </c>
    </row>
    <row r="86" spans="1:2" x14ac:dyDescent="0.3">
      <c r="A86" t="s">
        <v>1581</v>
      </c>
      <c r="B86" t="s">
        <v>3123</v>
      </c>
    </row>
    <row r="87" spans="1:2" x14ac:dyDescent="0.3">
      <c r="A87" t="s">
        <v>1051</v>
      </c>
      <c r="B87" t="s">
        <v>3126</v>
      </c>
    </row>
    <row r="88" spans="1:2" x14ac:dyDescent="0.3">
      <c r="A88" t="s">
        <v>2581</v>
      </c>
      <c r="B88" t="s">
        <v>3122</v>
      </c>
    </row>
    <row r="89" spans="1:2" x14ac:dyDescent="0.3">
      <c r="A89" t="s">
        <v>1032</v>
      </c>
      <c r="B89" t="s">
        <v>1032</v>
      </c>
    </row>
    <row r="90" spans="1:2" x14ac:dyDescent="0.3">
      <c r="A90" t="s">
        <v>1052</v>
      </c>
      <c r="B90" t="s">
        <v>3120</v>
      </c>
    </row>
    <row r="91" spans="1:2" x14ac:dyDescent="0.3">
      <c r="A91" t="s">
        <v>731</v>
      </c>
      <c r="B91" t="s">
        <v>3123</v>
      </c>
    </row>
    <row r="92" spans="1:2" x14ac:dyDescent="0.3">
      <c r="A92" t="s">
        <v>724</v>
      </c>
      <c r="B92" t="s">
        <v>1048</v>
      </c>
    </row>
    <row r="93" spans="1:2" x14ac:dyDescent="0.3">
      <c r="A93" t="s">
        <v>1213</v>
      </c>
      <c r="B93" t="s">
        <v>3127</v>
      </c>
    </row>
    <row r="94" spans="1:2" x14ac:dyDescent="0.3">
      <c r="A94" t="s">
        <v>1214</v>
      </c>
      <c r="B94" t="s">
        <v>1048</v>
      </c>
    </row>
    <row r="95" spans="1:2" x14ac:dyDescent="0.3">
      <c r="A95" t="s">
        <v>2910</v>
      </c>
      <c r="B95" t="s">
        <v>3123</v>
      </c>
    </row>
    <row r="96" spans="1:2" x14ac:dyDescent="0.3">
      <c r="A96" t="s">
        <v>1508</v>
      </c>
      <c r="B96" t="s">
        <v>3123</v>
      </c>
    </row>
    <row r="97" spans="1:2" x14ac:dyDescent="0.3">
      <c r="A97" t="s">
        <v>1769</v>
      </c>
      <c r="B97" t="s">
        <v>3121</v>
      </c>
    </row>
    <row r="98" spans="1:2" x14ac:dyDescent="0.3">
      <c r="A98" t="s">
        <v>1922</v>
      </c>
      <c r="B98" t="s">
        <v>3123</v>
      </c>
    </row>
    <row r="99" spans="1:2" x14ac:dyDescent="0.3">
      <c r="A99" t="s">
        <v>1033</v>
      </c>
      <c r="B99" t="s">
        <v>3119</v>
      </c>
    </row>
    <row r="100" spans="1:2" x14ac:dyDescent="0.3">
      <c r="A100" t="s">
        <v>1058</v>
      </c>
      <c r="B100" t="s">
        <v>3119</v>
      </c>
    </row>
    <row r="101" spans="1:2" x14ac:dyDescent="0.3">
      <c r="A101" t="s">
        <v>2785</v>
      </c>
      <c r="B101" t="s">
        <v>2785</v>
      </c>
    </row>
    <row r="102" spans="1:2" x14ac:dyDescent="0.3">
      <c r="A102" t="s">
        <v>1988</v>
      </c>
      <c r="B102" t="s">
        <v>1032</v>
      </c>
    </row>
    <row r="103" spans="1:2" x14ac:dyDescent="0.3">
      <c r="A103" t="s">
        <v>1054</v>
      </c>
      <c r="B103" t="s">
        <v>3119</v>
      </c>
    </row>
    <row r="104" spans="1:2" x14ac:dyDescent="0.3">
      <c r="A104" t="s">
        <v>1494</v>
      </c>
      <c r="B104" t="s">
        <v>1048</v>
      </c>
    </row>
    <row r="105" spans="1:2" x14ac:dyDescent="0.3">
      <c r="A105" t="s">
        <v>739</v>
      </c>
      <c r="B105" t="s">
        <v>1032</v>
      </c>
    </row>
    <row r="106" spans="1:2" x14ac:dyDescent="0.3">
      <c r="A106" t="s">
        <v>1802</v>
      </c>
      <c r="B106" t="s">
        <v>3119</v>
      </c>
    </row>
    <row r="107" spans="1:2" x14ac:dyDescent="0.3">
      <c r="A107" t="s">
        <v>1234</v>
      </c>
      <c r="B107" t="s">
        <v>3124</v>
      </c>
    </row>
    <row r="108" spans="1:2" x14ac:dyDescent="0.3">
      <c r="A108" t="s">
        <v>1495</v>
      </c>
      <c r="B108" t="s">
        <v>3128</v>
      </c>
    </row>
    <row r="109" spans="1:2" x14ac:dyDescent="0.3">
      <c r="A109" t="s">
        <v>1044</v>
      </c>
      <c r="B109" t="s">
        <v>3119</v>
      </c>
    </row>
    <row r="110" spans="1:2" x14ac:dyDescent="0.3">
      <c r="A110" t="s">
        <v>1057</v>
      </c>
      <c r="B110" t="s">
        <v>1032</v>
      </c>
    </row>
    <row r="111" spans="1:2" x14ac:dyDescent="0.3">
      <c r="A111" t="s">
        <v>1132</v>
      </c>
      <c r="B111" t="s">
        <v>3119</v>
      </c>
    </row>
    <row r="112" spans="1:2" x14ac:dyDescent="0.3">
      <c r="A112" t="s">
        <v>1059</v>
      </c>
      <c r="B112" t="s">
        <v>1032</v>
      </c>
    </row>
    <row r="113" spans="1:2" x14ac:dyDescent="0.3">
      <c r="A113" t="s">
        <v>1060</v>
      </c>
      <c r="B113" t="s">
        <v>1032</v>
      </c>
    </row>
    <row r="114" spans="1:2" x14ac:dyDescent="0.3">
      <c r="A114" t="s">
        <v>740</v>
      </c>
      <c r="B114" t="s">
        <v>1032</v>
      </c>
    </row>
    <row r="115" spans="1:2" x14ac:dyDescent="0.3">
      <c r="A115" t="s">
        <v>3273</v>
      </c>
      <c r="B115" t="s">
        <v>3122</v>
      </c>
    </row>
    <row r="116" spans="1:2" x14ac:dyDescent="0.3">
      <c r="A116" t="s">
        <v>3327</v>
      </c>
      <c r="B116" t="s">
        <v>3123</v>
      </c>
    </row>
    <row r="117" spans="1:2" x14ac:dyDescent="0.3">
      <c r="A117" t="s">
        <v>3350</v>
      </c>
      <c r="B117" t="s">
        <v>3366</v>
      </c>
    </row>
    <row r="118" spans="1:2" x14ac:dyDescent="0.3">
      <c r="A118" t="s">
        <v>3495</v>
      </c>
      <c r="B118" t="s">
        <v>3119</v>
      </c>
    </row>
    <row r="119" spans="1:2" x14ac:dyDescent="0.3">
      <c r="A119" t="s">
        <v>3507</v>
      </c>
      <c r="B119" t="s">
        <v>3123</v>
      </c>
    </row>
    <row r="120" spans="1:2" x14ac:dyDescent="0.3">
      <c r="A120" t="s">
        <v>3536</v>
      </c>
      <c r="B120" t="s">
        <v>1048</v>
      </c>
    </row>
    <row r="121" spans="1:2" x14ac:dyDescent="0.3">
      <c r="A121" t="s">
        <v>3604</v>
      </c>
      <c r="B121" t="s">
        <v>3119</v>
      </c>
    </row>
    <row r="122" spans="1:2" x14ac:dyDescent="0.3">
      <c r="A122" t="s">
        <v>3756</v>
      </c>
      <c r="B122" t="s">
        <v>1048</v>
      </c>
    </row>
    <row r="123" spans="1:2" x14ac:dyDescent="0.3">
      <c r="A123" t="s">
        <v>3757</v>
      </c>
      <c r="B123" t="s">
        <v>1048</v>
      </c>
    </row>
    <row r="124" spans="1:2" x14ac:dyDescent="0.3">
      <c r="A124" t="s">
        <v>3807</v>
      </c>
      <c r="B124" t="s">
        <v>3119</v>
      </c>
    </row>
    <row r="125" spans="1:2" x14ac:dyDescent="0.3">
      <c r="A125" t="s">
        <v>3838</v>
      </c>
      <c r="B125" t="s">
        <v>1048</v>
      </c>
    </row>
    <row r="126" spans="1:2" x14ac:dyDescent="0.3">
      <c r="A126" t="s">
        <v>3921</v>
      </c>
      <c r="B126" t="s">
        <v>3119</v>
      </c>
    </row>
    <row r="127" spans="1:2" x14ac:dyDescent="0.3">
      <c r="A127" t="s">
        <v>3922</v>
      </c>
      <c r="B127" t="s">
        <v>3119</v>
      </c>
    </row>
    <row r="128" spans="1:2" x14ac:dyDescent="0.3">
      <c r="A128" t="s">
        <v>3940</v>
      </c>
      <c r="B128" t="s">
        <v>3119</v>
      </c>
    </row>
    <row r="129" spans="1:1" x14ac:dyDescent="0.3">
      <c r="A129" t="s">
        <v>4126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5CFB5-0541-4C7B-98E1-3FCD7070C4C4}">
  <dimension ref="AT1:AU1295"/>
  <sheetViews>
    <sheetView topLeftCell="A37" zoomScale="90" zoomScaleNormal="90" workbookViewId="0">
      <selection activeCell="V19" sqref="V19"/>
    </sheetView>
  </sheetViews>
  <sheetFormatPr defaultRowHeight="15.6" x14ac:dyDescent="0.3"/>
  <sheetData>
    <row r="1" spans="46:47" x14ac:dyDescent="0.3">
      <c r="AT1" s="428" t="s">
        <v>3945</v>
      </c>
      <c r="AU1" t="s">
        <v>3946</v>
      </c>
    </row>
    <row r="2" spans="46:47" x14ac:dyDescent="0.3">
      <c r="AT2" s="428" t="s">
        <v>3947</v>
      </c>
      <c r="AU2">
        <v>42</v>
      </c>
    </row>
    <row r="3" spans="46:47" x14ac:dyDescent="0.3">
      <c r="AT3" s="428" t="s">
        <v>3948</v>
      </c>
      <c r="AU3">
        <v>79</v>
      </c>
    </row>
    <row r="4" spans="46:47" x14ac:dyDescent="0.3">
      <c r="AT4" s="428" t="s">
        <v>3949</v>
      </c>
      <c r="AU4">
        <v>121</v>
      </c>
    </row>
    <row r="5" spans="46:47" x14ac:dyDescent="0.3">
      <c r="AT5" s="428" t="s">
        <v>3950</v>
      </c>
      <c r="AU5">
        <v>157</v>
      </c>
    </row>
    <row r="6" spans="46:47" x14ac:dyDescent="0.3">
      <c r="AT6" s="428" t="s">
        <v>3951</v>
      </c>
      <c r="AU6">
        <v>198</v>
      </c>
    </row>
    <row r="7" spans="46:47" x14ac:dyDescent="0.3">
      <c r="AT7" s="428" t="s">
        <v>3952</v>
      </c>
      <c r="AU7">
        <v>238</v>
      </c>
    </row>
    <row r="10" spans="46:47" x14ac:dyDescent="0.3">
      <c r="AT10" s="428" t="s">
        <v>3945</v>
      </c>
      <c r="AU10" t="s">
        <v>3953</v>
      </c>
    </row>
    <row r="11" spans="46:47" x14ac:dyDescent="0.3">
      <c r="AT11" s="428" t="s">
        <v>3947</v>
      </c>
      <c r="AU11">
        <v>42</v>
      </c>
    </row>
    <row r="12" spans="46:47" x14ac:dyDescent="0.3">
      <c r="AT12" s="428" t="s">
        <v>3948</v>
      </c>
      <c r="AU12">
        <v>37</v>
      </c>
    </row>
    <row r="13" spans="46:47" x14ac:dyDescent="0.3">
      <c r="AT13" s="428" t="s">
        <v>3949</v>
      </c>
      <c r="AU13">
        <v>42</v>
      </c>
    </row>
    <row r="14" spans="46:47" x14ac:dyDescent="0.3">
      <c r="AT14" s="428" t="s">
        <v>3950</v>
      </c>
      <c r="AU14">
        <v>36</v>
      </c>
    </row>
    <row r="15" spans="46:47" x14ac:dyDescent="0.3">
      <c r="AT15" s="428" t="s">
        <v>3951</v>
      </c>
      <c r="AU15">
        <v>41</v>
      </c>
    </row>
    <row r="16" spans="46:47" x14ac:dyDescent="0.3">
      <c r="AT16" s="428" t="s">
        <v>3952</v>
      </c>
      <c r="AU16">
        <v>40</v>
      </c>
    </row>
    <row r="19" spans="46:47" x14ac:dyDescent="0.3">
      <c r="AT19" s="428" t="s">
        <v>3954</v>
      </c>
      <c r="AU19" t="s">
        <v>3955</v>
      </c>
    </row>
    <row r="20" spans="46:47" x14ac:dyDescent="0.3">
      <c r="AT20" s="428" t="s">
        <v>3956</v>
      </c>
      <c r="AU20">
        <v>2</v>
      </c>
    </row>
    <row r="21" spans="46:47" x14ac:dyDescent="0.3">
      <c r="AT21" s="428" t="s">
        <v>3957</v>
      </c>
      <c r="AU21">
        <v>0</v>
      </c>
    </row>
    <row r="22" spans="46:47" x14ac:dyDescent="0.3">
      <c r="AT22" s="428" t="s">
        <v>3958</v>
      </c>
      <c r="AU22">
        <v>1</v>
      </c>
    </row>
    <row r="23" spans="46:47" x14ac:dyDescent="0.3">
      <c r="AT23" s="428" t="s">
        <v>3959</v>
      </c>
      <c r="AU23">
        <v>0</v>
      </c>
    </row>
    <row r="24" spans="46:47" x14ac:dyDescent="0.3">
      <c r="AT24" s="428" t="s">
        <v>3960</v>
      </c>
      <c r="AU24">
        <v>4</v>
      </c>
    </row>
    <row r="25" spans="46:47" x14ac:dyDescent="0.3">
      <c r="AT25" s="428" t="s">
        <v>3961</v>
      </c>
      <c r="AU25">
        <v>1</v>
      </c>
    </row>
    <row r="26" spans="46:47" x14ac:dyDescent="0.3">
      <c r="AT26" s="428" t="s">
        <v>3962</v>
      </c>
      <c r="AU26">
        <v>9</v>
      </c>
    </row>
    <row r="27" spans="46:47" x14ac:dyDescent="0.3">
      <c r="AT27" s="428" t="s">
        <v>3963</v>
      </c>
      <c r="AU27">
        <v>2</v>
      </c>
    </row>
    <row r="28" spans="46:47" x14ac:dyDescent="0.3">
      <c r="AT28" s="428" t="s">
        <v>3964</v>
      </c>
      <c r="AU28">
        <v>5</v>
      </c>
    </row>
    <row r="29" spans="46:47" x14ac:dyDescent="0.3">
      <c r="AT29" s="428" t="s">
        <v>3965</v>
      </c>
      <c r="AU29">
        <v>0</v>
      </c>
    </row>
    <row r="30" spans="46:47" x14ac:dyDescent="0.3">
      <c r="AT30" s="428" t="s">
        <v>3966</v>
      </c>
      <c r="AU30">
        <v>5</v>
      </c>
    </row>
    <row r="31" spans="46:47" x14ac:dyDescent="0.3">
      <c r="AT31" s="428" t="s">
        <v>3967</v>
      </c>
      <c r="AU31">
        <v>1</v>
      </c>
    </row>
    <row r="32" spans="46:47" x14ac:dyDescent="0.3">
      <c r="AT32" s="428" t="s">
        <v>3968</v>
      </c>
      <c r="AU32">
        <v>13</v>
      </c>
    </row>
    <row r="33" spans="46:47" x14ac:dyDescent="0.3">
      <c r="AT33" s="428" t="s">
        <v>3969</v>
      </c>
      <c r="AU33">
        <v>22</v>
      </c>
    </row>
    <row r="34" spans="46:47" x14ac:dyDescent="0.3">
      <c r="AT34" s="428" t="s">
        <v>3970</v>
      </c>
      <c r="AU34">
        <v>88</v>
      </c>
    </row>
    <row r="35" spans="46:47" x14ac:dyDescent="0.3">
      <c r="AT35" s="428" t="s">
        <v>3971</v>
      </c>
      <c r="AU35">
        <v>220</v>
      </c>
    </row>
    <row r="36" spans="46:47" x14ac:dyDescent="0.3">
      <c r="AT36" s="428" t="s">
        <v>3972</v>
      </c>
      <c r="AU36">
        <v>589</v>
      </c>
    </row>
    <row r="37" spans="46:47" x14ac:dyDescent="0.3">
      <c r="AT37" s="428" t="s">
        <v>3973</v>
      </c>
      <c r="AU37">
        <v>551</v>
      </c>
    </row>
    <row r="38" spans="46:47" x14ac:dyDescent="0.3">
      <c r="AT38" s="428" t="s">
        <v>3974</v>
      </c>
      <c r="AU38">
        <v>436</v>
      </c>
    </row>
    <row r="39" spans="46:47" x14ac:dyDescent="0.3">
      <c r="AT39" s="428" t="s">
        <v>3975</v>
      </c>
      <c r="AU39">
        <v>155</v>
      </c>
    </row>
    <row r="40" spans="46:47" x14ac:dyDescent="0.3">
      <c r="AT40" s="428" t="s">
        <v>3976</v>
      </c>
      <c r="AU40">
        <v>276</v>
      </c>
    </row>
    <row r="41" spans="46:47" x14ac:dyDescent="0.3">
      <c r="AT41" s="428" t="s">
        <v>3977</v>
      </c>
      <c r="AU41">
        <v>115</v>
      </c>
    </row>
    <row r="44" spans="46:47" x14ac:dyDescent="0.3">
      <c r="AT44" s="428" t="s">
        <v>3978</v>
      </c>
      <c r="AU44" t="s">
        <v>475</v>
      </c>
    </row>
    <row r="45" spans="46:47" x14ac:dyDescent="0.3">
      <c r="AT45" s="428" t="s">
        <v>1872</v>
      </c>
      <c r="AU45">
        <v>5</v>
      </c>
    </row>
    <row r="46" spans="46:47" x14ac:dyDescent="0.3">
      <c r="AT46" s="428" t="s">
        <v>1873</v>
      </c>
      <c r="AU46">
        <v>24</v>
      </c>
    </row>
    <row r="47" spans="46:47" x14ac:dyDescent="0.3">
      <c r="AT47" s="428" t="s">
        <v>1874</v>
      </c>
      <c r="AU47">
        <v>21</v>
      </c>
    </row>
    <row r="48" spans="46:47" x14ac:dyDescent="0.3">
      <c r="AT48" s="428" t="s">
        <v>1875</v>
      </c>
      <c r="AU48">
        <v>55</v>
      </c>
    </row>
    <row r="49" spans="46:47" x14ac:dyDescent="0.3">
      <c r="AT49" s="428" t="s">
        <v>1876</v>
      </c>
      <c r="AU49">
        <v>63</v>
      </c>
    </row>
    <row r="50" spans="46:47" x14ac:dyDescent="0.3">
      <c r="AT50" s="428" t="s">
        <v>1877</v>
      </c>
      <c r="AU50">
        <v>33</v>
      </c>
    </row>
    <row r="51" spans="46:47" x14ac:dyDescent="0.3">
      <c r="AT51" s="428" t="s">
        <v>1878</v>
      </c>
      <c r="AU51">
        <v>37</v>
      </c>
    </row>
    <row r="54" spans="46:47" x14ac:dyDescent="0.3">
      <c r="AT54" s="428" t="s">
        <v>3978</v>
      </c>
      <c r="AU54" t="s">
        <v>3979</v>
      </c>
    </row>
    <row r="55" spans="46:47" x14ac:dyDescent="0.3">
      <c r="AT55" s="428" t="s">
        <v>1872</v>
      </c>
      <c r="AU55">
        <v>8.86</v>
      </c>
    </row>
    <row r="56" spans="46:47" x14ac:dyDescent="0.3">
      <c r="AT56" s="428" t="s">
        <v>1873</v>
      </c>
      <c r="AU56">
        <v>9.01</v>
      </c>
    </row>
    <row r="57" spans="46:47" x14ac:dyDescent="0.3">
      <c r="AT57" s="428" t="s">
        <v>1874</v>
      </c>
      <c r="AU57">
        <v>8.82</v>
      </c>
    </row>
    <row r="58" spans="46:47" x14ac:dyDescent="0.3">
      <c r="AT58" s="428" t="s">
        <v>1875</v>
      </c>
      <c r="AU58">
        <v>8.6</v>
      </c>
    </row>
    <row r="59" spans="46:47" x14ac:dyDescent="0.3">
      <c r="AT59" s="428" t="s">
        <v>1876</v>
      </c>
      <c r="AU59">
        <v>8.74</v>
      </c>
    </row>
    <row r="60" spans="46:47" x14ac:dyDescent="0.3">
      <c r="AT60" s="428" t="s">
        <v>1877</v>
      </c>
      <c r="AU60">
        <v>8.48</v>
      </c>
    </row>
    <row r="61" spans="46:47" x14ac:dyDescent="0.3">
      <c r="AT61" s="428" t="s">
        <v>1878</v>
      </c>
      <c r="AU61">
        <v>8</v>
      </c>
    </row>
    <row r="64" spans="46:47" x14ac:dyDescent="0.3">
      <c r="AT64" s="428" t="s">
        <v>1851</v>
      </c>
      <c r="AU64" t="s">
        <v>475</v>
      </c>
    </row>
    <row r="65" spans="46:47" x14ac:dyDescent="0.3">
      <c r="AT65" s="428" t="s">
        <v>3980</v>
      </c>
      <c r="AU65">
        <v>1</v>
      </c>
    </row>
    <row r="66" spans="46:47" x14ac:dyDescent="0.3">
      <c r="AT66" s="428" t="s">
        <v>3981</v>
      </c>
      <c r="AU66">
        <v>1</v>
      </c>
    </row>
    <row r="67" spans="46:47" x14ac:dyDescent="0.3">
      <c r="AT67" s="428" t="s">
        <v>3982</v>
      </c>
      <c r="AU67">
        <v>3</v>
      </c>
    </row>
    <row r="68" spans="46:47" x14ac:dyDescent="0.3">
      <c r="AT68" s="428" t="s">
        <v>3983</v>
      </c>
      <c r="AU68">
        <v>3</v>
      </c>
    </row>
    <row r="69" spans="46:47" x14ac:dyDescent="0.3">
      <c r="AT69" s="428" t="s">
        <v>3984</v>
      </c>
      <c r="AU69">
        <v>4</v>
      </c>
    </row>
    <row r="70" spans="46:47" x14ac:dyDescent="0.3">
      <c r="AT70" s="428" t="s">
        <v>3985</v>
      </c>
      <c r="AU70">
        <v>1</v>
      </c>
    </row>
    <row r="71" spans="46:47" x14ac:dyDescent="0.3">
      <c r="AT71" s="428" t="s">
        <v>3986</v>
      </c>
      <c r="AU71">
        <v>2</v>
      </c>
    </row>
    <row r="72" spans="46:47" x14ac:dyDescent="0.3">
      <c r="AT72" s="428" t="s">
        <v>3987</v>
      </c>
      <c r="AU72">
        <v>1</v>
      </c>
    </row>
    <row r="73" spans="46:47" x14ac:dyDescent="0.3">
      <c r="AT73" s="428" t="s">
        <v>3988</v>
      </c>
      <c r="AU73">
        <v>1</v>
      </c>
    </row>
    <row r="74" spans="46:47" x14ac:dyDescent="0.3">
      <c r="AT74" s="428" t="s">
        <v>3989</v>
      </c>
      <c r="AU74">
        <v>2</v>
      </c>
    </row>
    <row r="75" spans="46:47" x14ac:dyDescent="0.3">
      <c r="AT75" s="428" t="s">
        <v>3990</v>
      </c>
      <c r="AU75">
        <v>4</v>
      </c>
    </row>
    <row r="76" spans="46:47" x14ac:dyDescent="0.3">
      <c r="AT76" s="428" t="s">
        <v>3991</v>
      </c>
      <c r="AU76">
        <v>1</v>
      </c>
    </row>
    <row r="77" spans="46:47" x14ac:dyDescent="0.3">
      <c r="AT77" s="428" t="s">
        <v>3062</v>
      </c>
      <c r="AU77">
        <v>5</v>
      </c>
    </row>
    <row r="78" spans="46:47" x14ac:dyDescent="0.3">
      <c r="AT78" s="428" t="s">
        <v>3992</v>
      </c>
      <c r="AU78">
        <v>4</v>
      </c>
    </row>
    <row r="79" spans="46:47" x14ac:dyDescent="0.3">
      <c r="AT79" s="428" t="s">
        <v>3993</v>
      </c>
      <c r="AU79">
        <v>4</v>
      </c>
    </row>
    <row r="80" spans="46:47" x14ac:dyDescent="0.3">
      <c r="AT80" s="428" t="s">
        <v>3994</v>
      </c>
      <c r="AU80">
        <v>2</v>
      </c>
    </row>
    <row r="81" spans="46:47" x14ac:dyDescent="0.3">
      <c r="AT81" s="428" t="s">
        <v>3995</v>
      </c>
      <c r="AU81">
        <v>1</v>
      </c>
    </row>
    <row r="82" spans="46:47" x14ac:dyDescent="0.3">
      <c r="AT82" s="428" t="s">
        <v>3996</v>
      </c>
      <c r="AU82">
        <v>1</v>
      </c>
    </row>
    <row r="83" spans="46:47" x14ac:dyDescent="0.3">
      <c r="AT83" s="428" t="s">
        <v>3997</v>
      </c>
      <c r="AU83">
        <v>3</v>
      </c>
    </row>
    <row r="84" spans="46:47" x14ac:dyDescent="0.3">
      <c r="AT84" s="428" t="s">
        <v>3998</v>
      </c>
      <c r="AU84">
        <v>3</v>
      </c>
    </row>
    <row r="85" spans="46:47" x14ac:dyDescent="0.3">
      <c r="AT85" s="428" t="s">
        <v>3999</v>
      </c>
      <c r="AU85">
        <v>3</v>
      </c>
    </row>
    <row r="86" spans="46:47" x14ac:dyDescent="0.3">
      <c r="AT86" s="428" t="s">
        <v>4000</v>
      </c>
      <c r="AU86">
        <v>4</v>
      </c>
    </row>
    <row r="87" spans="46:47" x14ac:dyDescent="0.3">
      <c r="AT87" s="428" t="s">
        <v>4001</v>
      </c>
      <c r="AU87">
        <v>4</v>
      </c>
    </row>
    <row r="88" spans="46:47" x14ac:dyDescent="0.3">
      <c r="AT88" s="428" t="s">
        <v>4002</v>
      </c>
      <c r="AU88">
        <v>6</v>
      </c>
    </row>
    <row r="89" spans="46:47" x14ac:dyDescent="0.3">
      <c r="AT89" s="428" t="s">
        <v>4003</v>
      </c>
      <c r="AU89">
        <v>5</v>
      </c>
    </row>
    <row r="90" spans="46:47" x14ac:dyDescent="0.3">
      <c r="AT90" s="428" t="s">
        <v>4004</v>
      </c>
      <c r="AU90">
        <v>5</v>
      </c>
    </row>
    <row r="91" spans="46:47" x14ac:dyDescent="0.3">
      <c r="AT91" s="428" t="s">
        <v>4005</v>
      </c>
      <c r="AU91">
        <v>7</v>
      </c>
    </row>
    <row r="92" spans="46:47" x14ac:dyDescent="0.3">
      <c r="AT92" s="428" t="s">
        <v>4006</v>
      </c>
      <c r="AU92">
        <v>7</v>
      </c>
    </row>
    <row r="93" spans="46:47" x14ac:dyDescent="0.3">
      <c r="AT93" s="428" t="s">
        <v>4007</v>
      </c>
      <c r="AU93">
        <v>6</v>
      </c>
    </row>
    <row r="94" spans="46:47" x14ac:dyDescent="0.3">
      <c r="AT94" s="428" t="s">
        <v>4008</v>
      </c>
      <c r="AU94">
        <v>5</v>
      </c>
    </row>
    <row r="95" spans="46:47" x14ac:dyDescent="0.3">
      <c r="AT95" s="428" t="s">
        <v>4009</v>
      </c>
      <c r="AU95">
        <v>6</v>
      </c>
    </row>
    <row r="96" spans="46:47" x14ac:dyDescent="0.3">
      <c r="AT96" s="428" t="s">
        <v>4010</v>
      </c>
      <c r="AU96">
        <v>12</v>
      </c>
    </row>
    <row r="97" spans="46:47" x14ac:dyDescent="0.3">
      <c r="AT97" s="428" t="s">
        <v>4011</v>
      </c>
      <c r="AU97">
        <v>8</v>
      </c>
    </row>
    <row r="98" spans="46:47" x14ac:dyDescent="0.3">
      <c r="AT98" s="428" t="s">
        <v>4012</v>
      </c>
      <c r="AU98">
        <v>9</v>
      </c>
    </row>
    <row r="99" spans="46:47" x14ac:dyDescent="0.3">
      <c r="AT99" s="428" t="s">
        <v>4013</v>
      </c>
      <c r="AU99">
        <v>8</v>
      </c>
    </row>
    <row r="100" spans="46:47" x14ac:dyDescent="0.3">
      <c r="AT100" s="428" t="s">
        <v>4014</v>
      </c>
      <c r="AU100">
        <v>1</v>
      </c>
    </row>
    <row r="101" spans="46:47" x14ac:dyDescent="0.3">
      <c r="AT101" s="428" t="s">
        <v>4015</v>
      </c>
      <c r="AU101">
        <v>10</v>
      </c>
    </row>
    <row r="102" spans="46:47" x14ac:dyDescent="0.3">
      <c r="AT102" s="428" t="s">
        <v>4016</v>
      </c>
      <c r="AU102">
        <v>2</v>
      </c>
    </row>
    <row r="103" spans="46:47" x14ac:dyDescent="0.3">
      <c r="AT103" s="428" t="s">
        <v>4017</v>
      </c>
      <c r="AU103">
        <v>6</v>
      </c>
    </row>
    <row r="104" spans="46:47" x14ac:dyDescent="0.3">
      <c r="AT104" s="428" t="s">
        <v>4018</v>
      </c>
      <c r="AU104">
        <v>5</v>
      </c>
    </row>
    <row r="105" spans="46:47" x14ac:dyDescent="0.3">
      <c r="AT105" s="428" t="s">
        <v>4019</v>
      </c>
      <c r="AU105">
        <v>2</v>
      </c>
    </row>
    <row r="106" spans="46:47" x14ac:dyDescent="0.3">
      <c r="AT106" s="428" t="s">
        <v>4020</v>
      </c>
      <c r="AU106">
        <v>2</v>
      </c>
    </row>
    <row r="107" spans="46:47" x14ac:dyDescent="0.3">
      <c r="AT107" s="428" t="s">
        <v>4021</v>
      </c>
      <c r="AU107">
        <v>3</v>
      </c>
    </row>
    <row r="108" spans="46:47" x14ac:dyDescent="0.3">
      <c r="AT108" s="428" t="s">
        <v>4022</v>
      </c>
      <c r="AU108">
        <v>3</v>
      </c>
    </row>
    <row r="109" spans="46:47" x14ac:dyDescent="0.3">
      <c r="AT109" s="428" t="s">
        <v>4023</v>
      </c>
      <c r="AU109">
        <v>5</v>
      </c>
    </row>
    <row r="110" spans="46:47" x14ac:dyDescent="0.3">
      <c r="AT110" s="428" t="s">
        <v>4024</v>
      </c>
      <c r="AU110">
        <v>2</v>
      </c>
    </row>
    <row r="111" spans="46:47" x14ac:dyDescent="0.3">
      <c r="AT111" s="428" t="s">
        <v>4025</v>
      </c>
      <c r="AU111">
        <v>3</v>
      </c>
    </row>
    <row r="112" spans="46:47" x14ac:dyDescent="0.3">
      <c r="AT112" s="428" t="s">
        <v>4026</v>
      </c>
      <c r="AU112">
        <v>7</v>
      </c>
    </row>
    <row r="113" spans="46:47" x14ac:dyDescent="0.3">
      <c r="AT113" s="428" t="s">
        <v>4027</v>
      </c>
      <c r="AU113">
        <v>2</v>
      </c>
    </row>
    <row r="114" spans="46:47" x14ac:dyDescent="0.3">
      <c r="AT114" s="428" t="s">
        <v>4028</v>
      </c>
      <c r="AU114">
        <v>4</v>
      </c>
    </row>
    <row r="115" spans="46:47" x14ac:dyDescent="0.3">
      <c r="AT115" s="428" t="s">
        <v>4029</v>
      </c>
      <c r="AU115">
        <v>2</v>
      </c>
    </row>
    <row r="116" spans="46:47" x14ac:dyDescent="0.3">
      <c r="AT116" s="428" t="s">
        <v>4030</v>
      </c>
      <c r="AU116">
        <v>3</v>
      </c>
    </row>
    <row r="117" spans="46:47" x14ac:dyDescent="0.3">
      <c r="AT117" s="428" t="s">
        <v>4031</v>
      </c>
      <c r="AU117">
        <v>4</v>
      </c>
    </row>
    <row r="118" spans="46:47" x14ac:dyDescent="0.3">
      <c r="AT118" s="428" t="s">
        <v>4032</v>
      </c>
      <c r="AU118">
        <v>1</v>
      </c>
    </row>
    <row r="119" spans="46:47" x14ac:dyDescent="0.3">
      <c r="AT119" s="428" t="s">
        <v>4033</v>
      </c>
      <c r="AU119">
        <v>3</v>
      </c>
    </row>
    <row r="120" spans="46:47" x14ac:dyDescent="0.3">
      <c r="AT120" s="428" t="s">
        <v>4034</v>
      </c>
      <c r="AU120">
        <v>9</v>
      </c>
    </row>
    <row r="121" spans="46:47" x14ac:dyDescent="0.3">
      <c r="AT121" s="428" t="s">
        <v>4035</v>
      </c>
      <c r="AU121">
        <v>5</v>
      </c>
    </row>
    <row r="122" spans="46:47" x14ac:dyDescent="0.3">
      <c r="AT122" s="428" t="s">
        <v>4036</v>
      </c>
      <c r="AU122">
        <v>12</v>
      </c>
    </row>
    <row r="125" spans="46:47" x14ac:dyDescent="0.3">
      <c r="AT125" s="428" t="s">
        <v>3139</v>
      </c>
      <c r="AU125" t="s">
        <v>475</v>
      </c>
    </row>
    <row r="126" spans="46:47" x14ac:dyDescent="0.3">
      <c r="AT126" s="428" t="s">
        <v>734</v>
      </c>
      <c r="AU126">
        <v>7</v>
      </c>
    </row>
    <row r="127" spans="46:47" x14ac:dyDescent="0.3">
      <c r="AT127" s="428" t="s">
        <v>1022</v>
      </c>
      <c r="AU127">
        <v>7</v>
      </c>
    </row>
    <row r="128" spans="46:47" x14ac:dyDescent="0.3">
      <c r="AT128" s="428" t="s">
        <v>1954</v>
      </c>
      <c r="AU128">
        <v>7</v>
      </c>
    </row>
    <row r="129" spans="46:47" x14ac:dyDescent="0.3">
      <c r="AT129" s="428" t="s">
        <v>1048</v>
      </c>
      <c r="AU129">
        <v>7</v>
      </c>
    </row>
    <row r="130" spans="46:47" x14ac:dyDescent="0.3">
      <c r="AT130" s="428" t="s">
        <v>1755</v>
      </c>
      <c r="AU130">
        <v>8</v>
      </c>
    </row>
    <row r="131" spans="46:47" x14ac:dyDescent="0.3">
      <c r="AT131" s="428" t="s">
        <v>1029</v>
      </c>
      <c r="AU131">
        <v>9</v>
      </c>
    </row>
    <row r="132" spans="46:47" x14ac:dyDescent="0.3">
      <c r="AT132" s="428" t="s">
        <v>1033</v>
      </c>
      <c r="AU132">
        <v>9</v>
      </c>
    </row>
    <row r="133" spans="46:47" x14ac:dyDescent="0.3">
      <c r="AT133" s="428" t="s">
        <v>1044</v>
      </c>
      <c r="AU133">
        <v>10</v>
      </c>
    </row>
    <row r="134" spans="46:47" x14ac:dyDescent="0.3">
      <c r="AT134" s="428" t="s">
        <v>1042</v>
      </c>
      <c r="AU134">
        <v>11</v>
      </c>
    </row>
    <row r="135" spans="46:47" x14ac:dyDescent="0.3">
      <c r="AT135" s="428" t="s">
        <v>1034</v>
      </c>
      <c r="AU135">
        <v>12</v>
      </c>
    </row>
    <row r="136" spans="46:47" x14ac:dyDescent="0.3">
      <c r="AT136" s="428" t="s">
        <v>731</v>
      </c>
      <c r="AU136">
        <v>16</v>
      </c>
    </row>
    <row r="137" spans="46:47" x14ac:dyDescent="0.3">
      <c r="AT137" s="428" t="s">
        <v>732</v>
      </c>
      <c r="AU137">
        <v>18</v>
      </c>
    </row>
    <row r="138" spans="46:47" x14ac:dyDescent="0.3">
      <c r="AT138" s="428" t="s">
        <v>1025</v>
      </c>
      <c r="AU138">
        <v>20</v>
      </c>
    </row>
    <row r="139" spans="46:47" x14ac:dyDescent="0.3">
      <c r="AT139" s="428" t="s">
        <v>1024</v>
      </c>
      <c r="AU139">
        <v>25</v>
      </c>
    </row>
    <row r="140" spans="46:47" x14ac:dyDescent="0.3">
      <c r="AT140" s="428" t="s">
        <v>733</v>
      </c>
      <c r="AU140">
        <v>30</v>
      </c>
    </row>
    <row r="143" spans="46:47" x14ac:dyDescent="0.3">
      <c r="AT143" s="428" t="s">
        <v>4037</v>
      </c>
      <c r="AU143" t="s">
        <v>475</v>
      </c>
    </row>
    <row r="144" spans="46:47" x14ac:dyDescent="0.3">
      <c r="AT144" s="428" t="s">
        <v>3119</v>
      </c>
      <c r="AU144">
        <v>111</v>
      </c>
    </row>
    <row r="145" spans="46:47" x14ac:dyDescent="0.3">
      <c r="AT145" s="428" t="s">
        <v>3123</v>
      </c>
      <c r="AU145">
        <v>71</v>
      </c>
    </row>
    <row r="146" spans="46:47" x14ac:dyDescent="0.3">
      <c r="AT146" s="428" t="s">
        <v>1048</v>
      </c>
      <c r="AU146">
        <v>35</v>
      </c>
    </row>
    <row r="147" spans="46:47" x14ac:dyDescent="0.3">
      <c r="AT147" s="428" t="s">
        <v>3121</v>
      </c>
      <c r="AU147">
        <v>22</v>
      </c>
    </row>
    <row r="148" spans="46:47" x14ac:dyDescent="0.3">
      <c r="AT148" s="428" t="s">
        <v>1032</v>
      </c>
      <c r="AU148">
        <v>21</v>
      </c>
    </row>
    <row r="149" spans="46:47" x14ac:dyDescent="0.3">
      <c r="AT149" s="428" t="s">
        <v>1118</v>
      </c>
      <c r="AU149">
        <v>7</v>
      </c>
    </row>
    <row r="150" spans="46:47" x14ac:dyDescent="0.3">
      <c r="AT150" s="428" t="s">
        <v>3126</v>
      </c>
      <c r="AU150">
        <v>7</v>
      </c>
    </row>
    <row r="151" spans="46:47" x14ac:dyDescent="0.3">
      <c r="AT151" s="428" t="s">
        <v>3125</v>
      </c>
      <c r="AU151">
        <v>6</v>
      </c>
    </row>
    <row r="152" spans="46:47" x14ac:dyDescent="0.3">
      <c r="AT152" s="428" t="s">
        <v>3122</v>
      </c>
      <c r="AU152">
        <v>4</v>
      </c>
    </row>
    <row r="153" spans="46:47" x14ac:dyDescent="0.3">
      <c r="AT153" s="428" t="s">
        <v>3120</v>
      </c>
      <c r="AU153">
        <v>4</v>
      </c>
    </row>
    <row r="154" spans="46:47" x14ac:dyDescent="0.3">
      <c r="AT154" s="428" t="s">
        <v>3127</v>
      </c>
      <c r="AU154">
        <v>3</v>
      </c>
    </row>
    <row r="155" spans="46:47" x14ac:dyDescent="0.3">
      <c r="AT155" s="428" t="s">
        <v>3124</v>
      </c>
      <c r="AU155">
        <v>2</v>
      </c>
    </row>
    <row r="156" spans="46:47" x14ac:dyDescent="0.3">
      <c r="AT156" s="428" t="s">
        <v>3366</v>
      </c>
      <c r="AU156">
        <v>1</v>
      </c>
    </row>
    <row r="157" spans="46:47" x14ac:dyDescent="0.3">
      <c r="AT157" s="428" t="s">
        <v>3128</v>
      </c>
      <c r="AU157">
        <v>1</v>
      </c>
    </row>
    <row r="158" spans="46:47" x14ac:dyDescent="0.3">
      <c r="AT158" s="428" t="s">
        <v>2785</v>
      </c>
      <c r="AU158">
        <v>1</v>
      </c>
    </row>
    <row r="161" spans="46:47" x14ac:dyDescent="0.3">
      <c r="AT161" s="428" t="s">
        <v>4037</v>
      </c>
      <c r="AU161" t="s">
        <v>287</v>
      </c>
    </row>
    <row r="162" spans="46:47" x14ac:dyDescent="0.3">
      <c r="AT162" s="428" t="s">
        <v>3366</v>
      </c>
      <c r="AU162">
        <v>4.79</v>
      </c>
    </row>
    <row r="163" spans="46:47" x14ac:dyDescent="0.3">
      <c r="AT163" s="428" t="s">
        <v>3128</v>
      </c>
      <c r="AU163">
        <v>8</v>
      </c>
    </row>
    <row r="164" spans="46:47" x14ac:dyDescent="0.3">
      <c r="AT164" s="428" t="s">
        <v>1032</v>
      </c>
      <c r="AU164">
        <v>8.34</v>
      </c>
    </row>
    <row r="165" spans="46:47" x14ac:dyDescent="0.3">
      <c r="AT165" s="428" t="s">
        <v>2785</v>
      </c>
      <c r="AU165">
        <v>8.4</v>
      </c>
    </row>
    <row r="166" spans="46:47" x14ac:dyDescent="0.3">
      <c r="AT166" s="428" t="s">
        <v>3124</v>
      </c>
      <c r="AU166">
        <v>8.42</v>
      </c>
    </row>
    <row r="167" spans="46:47" x14ac:dyDescent="0.3">
      <c r="AT167" s="428" t="s">
        <v>3123</v>
      </c>
      <c r="AU167">
        <v>8.59</v>
      </c>
    </row>
    <row r="168" spans="46:47" x14ac:dyDescent="0.3">
      <c r="AT168" s="428" t="s">
        <v>3127</v>
      </c>
      <c r="AU168">
        <v>8.6300000000000008</v>
      </c>
    </row>
    <row r="169" spans="46:47" x14ac:dyDescent="0.3">
      <c r="AT169" s="428" t="s">
        <v>1048</v>
      </c>
      <c r="AU169">
        <v>8.64</v>
      </c>
    </row>
    <row r="170" spans="46:47" x14ac:dyDescent="0.3">
      <c r="AT170" s="428" t="s">
        <v>3122</v>
      </c>
      <c r="AU170">
        <v>8.65</v>
      </c>
    </row>
    <row r="171" spans="46:47" x14ac:dyDescent="0.3">
      <c r="AT171" s="428" t="s">
        <v>3121</v>
      </c>
      <c r="AU171">
        <v>8.67</v>
      </c>
    </row>
    <row r="172" spans="46:47" x14ac:dyDescent="0.3">
      <c r="AT172" s="428" t="s">
        <v>3119</v>
      </c>
      <c r="AU172">
        <v>8.68</v>
      </c>
    </row>
    <row r="173" spans="46:47" x14ac:dyDescent="0.3">
      <c r="AT173" s="428" t="s">
        <v>3126</v>
      </c>
      <c r="AU173">
        <v>8.68</v>
      </c>
    </row>
    <row r="174" spans="46:47" x14ac:dyDescent="0.3">
      <c r="AT174" s="428" t="s">
        <v>1118</v>
      </c>
      <c r="AU174">
        <v>8.7100000000000009</v>
      </c>
    </row>
    <row r="175" spans="46:47" x14ac:dyDescent="0.3">
      <c r="AT175" s="428" t="s">
        <v>3125</v>
      </c>
      <c r="AU175">
        <v>8.75</v>
      </c>
    </row>
    <row r="176" spans="46:47" x14ac:dyDescent="0.3">
      <c r="AT176" s="428" t="s">
        <v>3120</v>
      </c>
      <c r="AU176">
        <v>8.82</v>
      </c>
    </row>
    <row r="179" spans="46:47" x14ac:dyDescent="0.3">
      <c r="AT179" s="428" t="s">
        <v>4037</v>
      </c>
      <c r="AU179" t="s">
        <v>958</v>
      </c>
    </row>
    <row r="180" spans="46:47" x14ac:dyDescent="0.3">
      <c r="AT180" s="428" t="s">
        <v>3366</v>
      </c>
      <c r="AU180">
        <v>4.62</v>
      </c>
    </row>
    <row r="181" spans="46:47" x14ac:dyDescent="0.3">
      <c r="AT181" s="428" t="s">
        <v>3128</v>
      </c>
      <c r="AU181">
        <v>7.79</v>
      </c>
    </row>
    <row r="182" spans="46:47" x14ac:dyDescent="0.3">
      <c r="AT182" s="428" t="s">
        <v>1032</v>
      </c>
      <c r="AU182">
        <v>8.27</v>
      </c>
    </row>
    <row r="183" spans="46:47" x14ac:dyDescent="0.3">
      <c r="AT183" s="428" t="s">
        <v>3124</v>
      </c>
      <c r="AU183">
        <v>8.32</v>
      </c>
    </row>
    <row r="184" spans="46:47" x14ac:dyDescent="0.3">
      <c r="AT184" s="428" t="s">
        <v>2785</v>
      </c>
      <c r="AU184">
        <v>8.3699999999999992</v>
      </c>
    </row>
    <row r="185" spans="46:47" x14ac:dyDescent="0.3">
      <c r="AT185" s="428" t="s">
        <v>3127</v>
      </c>
      <c r="AU185">
        <v>8.56</v>
      </c>
    </row>
    <row r="186" spans="46:47" x14ac:dyDescent="0.3">
      <c r="AT186" s="428" t="s">
        <v>3122</v>
      </c>
      <c r="AU186">
        <v>8.56</v>
      </c>
    </row>
    <row r="187" spans="46:47" x14ac:dyDescent="0.3">
      <c r="AT187" s="428" t="s">
        <v>3123</v>
      </c>
      <c r="AU187">
        <v>8.58</v>
      </c>
    </row>
    <row r="188" spans="46:47" x14ac:dyDescent="0.3">
      <c r="AT188" s="428" t="s">
        <v>1048</v>
      </c>
      <c r="AU188">
        <v>8.6300000000000008</v>
      </c>
    </row>
    <row r="189" spans="46:47" x14ac:dyDescent="0.3">
      <c r="AT189" s="428" t="s">
        <v>3121</v>
      </c>
      <c r="AU189">
        <v>8.6300000000000008</v>
      </c>
    </row>
    <row r="190" spans="46:47" x14ac:dyDescent="0.3">
      <c r="AT190" s="428" t="s">
        <v>3125</v>
      </c>
      <c r="AU190">
        <v>8.65</v>
      </c>
    </row>
    <row r="191" spans="46:47" x14ac:dyDescent="0.3">
      <c r="AT191" s="428" t="s">
        <v>3126</v>
      </c>
      <c r="AU191">
        <v>8.66</v>
      </c>
    </row>
    <row r="192" spans="46:47" x14ac:dyDescent="0.3">
      <c r="AT192" s="428" t="s">
        <v>3119</v>
      </c>
      <c r="AU192">
        <v>8.68</v>
      </c>
    </row>
    <row r="193" spans="46:47" x14ac:dyDescent="0.3">
      <c r="AT193" s="428" t="s">
        <v>1118</v>
      </c>
      <c r="AU193">
        <v>8.7799999999999994</v>
      </c>
    </row>
    <row r="194" spans="46:47" x14ac:dyDescent="0.3">
      <c r="AT194" s="428" t="s">
        <v>3120</v>
      </c>
      <c r="AU194">
        <v>8.7799999999999994</v>
      </c>
    </row>
    <row r="197" spans="46:47" x14ac:dyDescent="0.3">
      <c r="AT197" s="428" t="s">
        <v>4038</v>
      </c>
      <c r="AU197" t="s">
        <v>475</v>
      </c>
    </row>
    <row r="198" spans="46:47" x14ac:dyDescent="0.3">
      <c r="AT198" s="428" t="s">
        <v>4195</v>
      </c>
      <c r="AU198">
        <v>1</v>
      </c>
    </row>
    <row r="199" spans="46:47" x14ac:dyDescent="0.3">
      <c r="AT199" s="428" t="s">
        <v>4039</v>
      </c>
      <c r="AU199">
        <v>180</v>
      </c>
    </row>
    <row r="200" spans="46:47" x14ac:dyDescent="0.3">
      <c r="AT200" s="428" t="s">
        <v>4040</v>
      </c>
      <c r="AU200">
        <v>58</v>
      </c>
    </row>
    <row r="203" spans="46:47" x14ac:dyDescent="0.3">
      <c r="AT203" s="428" t="s">
        <v>4041</v>
      </c>
      <c r="AU203" t="s">
        <v>287</v>
      </c>
    </row>
    <row r="204" spans="46:47" x14ac:dyDescent="0.3">
      <c r="AT204" s="428" t="s">
        <v>4039</v>
      </c>
      <c r="AU204">
        <v>8.98</v>
      </c>
    </row>
    <row r="205" spans="46:47" x14ac:dyDescent="0.3">
      <c r="AT205" s="428" t="s">
        <v>4040</v>
      </c>
      <c r="AU205">
        <v>8.86</v>
      </c>
    </row>
    <row r="206" spans="46:47" x14ac:dyDescent="0.3">
      <c r="AT206" s="428" t="s">
        <v>4042</v>
      </c>
      <c r="AU206">
        <v>8.8000000000000007</v>
      </c>
    </row>
    <row r="207" spans="46:47" x14ac:dyDescent="0.3">
      <c r="AT207" s="428" t="s">
        <v>3063</v>
      </c>
      <c r="AU207">
        <v>8.69</v>
      </c>
    </row>
    <row r="208" spans="46:47" x14ac:dyDescent="0.3">
      <c r="AT208" s="428" t="s">
        <v>4043</v>
      </c>
      <c r="AU208">
        <v>8.5399999999999991</v>
      </c>
    </row>
    <row r="209" spans="46:47" x14ac:dyDescent="0.3">
      <c r="AT209" s="428" t="s">
        <v>4044</v>
      </c>
      <c r="AU209">
        <v>8.5399999999999991</v>
      </c>
    </row>
    <row r="210" spans="46:47" x14ac:dyDescent="0.3">
      <c r="AT210" s="428" t="s">
        <v>4045</v>
      </c>
      <c r="AU210">
        <v>8.44</v>
      </c>
    </row>
    <row r="211" spans="46:47" x14ac:dyDescent="0.3">
      <c r="AT211" s="428" t="s">
        <v>4046</v>
      </c>
      <c r="AU211">
        <v>8.3800000000000008</v>
      </c>
    </row>
    <row r="212" spans="46:47" x14ac:dyDescent="0.3">
      <c r="AT212" s="428" t="s">
        <v>4047</v>
      </c>
      <c r="AU212">
        <v>8.25</v>
      </c>
    </row>
    <row r="213" spans="46:47" x14ac:dyDescent="0.3">
      <c r="AT213" s="428" t="s">
        <v>4048</v>
      </c>
      <c r="AU213">
        <v>8.25</v>
      </c>
    </row>
    <row r="214" spans="46:47" x14ac:dyDescent="0.3">
      <c r="AT214" s="428" t="s">
        <v>4049</v>
      </c>
      <c r="AU214">
        <v>8.2799999999999994</v>
      </c>
    </row>
    <row r="215" spans="46:47" x14ac:dyDescent="0.3">
      <c r="AT215" s="428" t="s">
        <v>4050</v>
      </c>
      <c r="AU215">
        <v>8.31</v>
      </c>
    </row>
    <row r="216" spans="46:47" x14ac:dyDescent="0.3">
      <c r="AT216" s="428" t="s">
        <v>4051</v>
      </c>
      <c r="AU216">
        <v>8.1300000000000008</v>
      </c>
    </row>
    <row r="217" spans="46:47" x14ac:dyDescent="0.3">
      <c r="AT217" s="428" t="s">
        <v>4052</v>
      </c>
      <c r="AU217">
        <v>8.31</v>
      </c>
    </row>
    <row r="218" spans="46:47" x14ac:dyDescent="0.3">
      <c r="AT218" s="428" t="s">
        <v>4053</v>
      </c>
      <c r="AU218">
        <v>8.19</v>
      </c>
    </row>
    <row r="219" spans="46:47" x14ac:dyDescent="0.3">
      <c r="AT219" s="428" t="s">
        <v>4054</v>
      </c>
      <c r="AU219">
        <v>7.82</v>
      </c>
    </row>
    <row r="220" spans="46:47" x14ac:dyDescent="0.3">
      <c r="AT220" s="428" t="s">
        <v>4055</v>
      </c>
      <c r="AU220">
        <v>8.5299999999999994</v>
      </c>
    </row>
    <row r="223" spans="46:47" x14ac:dyDescent="0.3">
      <c r="AT223" s="428" t="s">
        <v>4056</v>
      </c>
      <c r="AU223" t="s">
        <v>287</v>
      </c>
    </row>
    <row r="224" spans="46:47" x14ac:dyDescent="0.3">
      <c r="AT224" s="428" t="s">
        <v>4057</v>
      </c>
      <c r="AU224">
        <v>9.02</v>
      </c>
    </row>
    <row r="225" spans="46:47" x14ac:dyDescent="0.3">
      <c r="AT225" s="428" t="s">
        <v>4058</v>
      </c>
      <c r="AU225">
        <v>8.7799999999999994</v>
      </c>
    </row>
    <row r="226" spans="46:47" x14ac:dyDescent="0.3">
      <c r="AT226" s="428" t="s">
        <v>4059</v>
      </c>
      <c r="AU226">
        <v>8.74</v>
      </c>
    </row>
    <row r="227" spans="46:47" x14ac:dyDescent="0.3">
      <c r="AT227" s="428" t="s">
        <v>4060</v>
      </c>
      <c r="AU227">
        <v>8.68</v>
      </c>
    </row>
    <row r="228" spans="46:47" x14ac:dyDescent="0.3">
      <c r="AT228" s="428" t="s">
        <v>4061</v>
      </c>
      <c r="AU228">
        <v>8.4600000000000009</v>
      </c>
    </row>
    <row r="229" spans="46:47" x14ac:dyDescent="0.3">
      <c r="AT229" s="428" t="s">
        <v>4062</v>
      </c>
      <c r="AU229">
        <v>8.48</v>
      </c>
    </row>
    <row r="230" spans="46:47" x14ac:dyDescent="0.3">
      <c r="AT230" s="428" t="s">
        <v>4063</v>
      </c>
      <c r="AU230">
        <v>8.44</v>
      </c>
    </row>
    <row r="231" spans="46:47" x14ac:dyDescent="0.3">
      <c r="AT231" s="428" t="s">
        <v>4064</v>
      </c>
      <c r="AU231">
        <v>8.35</v>
      </c>
    </row>
    <row r="232" spans="46:47" x14ac:dyDescent="0.3">
      <c r="AT232" s="428" t="s">
        <v>4065</v>
      </c>
      <c r="AU232">
        <v>8.3699999999999992</v>
      </c>
    </row>
    <row r="233" spans="46:47" x14ac:dyDescent="0.3">
      <c r="AT233" s="428" t="s">
        <v>4066</v>
      </c>
      <c r="AU233">
        <v>8.48</v>
      </c>
    </row>
    <row r="236" spans="46:47" x14ac:dyDescent="0.3">
      <c r="AT236" s="428" t="s">
        <v>958</v>
      </c>
      <c r="AU236" t="s">
        <v>475</v>
      </c>
    </row>
    <row r="237" spans="46:47" x14ac:dyDescent="0.3">
      <c r="AT237" s="428" t="s">
        <v>3960</v>
      </c>
      <c r="AU237">
        <v>1</v>
      </c>
    </row>
    <row r="238" spans="46:47" x14ac:dyDescent="0.3">
      <c r="AT238" s="428" t="s">
        <v>3961</v>
      </c>
      <c r="AU238">
        <v>0</v>
      </c>
    </row>
    <row r="239" spans="46:47" x14ac:dyDescent="0.3">
      <c r="AT239" s="428" t="s">
        <v>3962</v>
      </c>
      <c r="AU239">
        <v>1</v>
      </c>
    </row>
    <row r="240" spans="46:47" x14ac:dyDescent="0.3">
      <c r="AT240" s="428" t="s">
        <v>3963</v>
      </c>
      <c r="AU240">
        <v>0</v>
      </c>
    </row>
    <row r="241" spans="46:47" x14ac:dyDescent="0.3">
      <c r="AT241" s="428" t="s">
        <v>3964</v>
      </c>
      <c r="AU241">
        <v>0</v>
      </c>
    </row>
    <row r="242" spans="46:47" x14ac:dyDescent="0.3">
      <c r="AT242" s="428" t="s">
        <v>3965</v>
      </c>
      <c r="AU242">
        <v>1</v>
      </c>
    </row>
    <row r="243" spans="46:47" x14ac:dyDescent="0.3">
      <c r="AT243" s="428" t="s">
        <v>3966</v>
      </c>
      <c r="AU243">
        <v>0</v>
      </c>
    </row>
    <row r="244" spans="46:47" x14ac:dyDescent="0.3">
      <c r="AT244" s="428" t="s">
        <v>3967</v>
      </c>
      <c r="AU244">
        <v>0</v>
      </c>
    </row>
    <row r="245" spans="46:47" x14ac:dyDescent="0.3">
      <c r="AT245" s="428" t="s">
        <v>3968</v>
      </c>
      <c r="AU245">
        <v>0</v>
      </c>
    </row>
    <row r="246" spans="46:47" x14ac:dyDescent="0.3">
      <c r="AT246" s="428" t="s">
        <v>3969</v>
      </c>
      <c r="AU246">
        <v>1</v>
      </c>
    </row>
    <row r="247" spans="46:47" x14ac:dyDescent="0.3">
      <c r="AT247" s="428" t="s">
        <v>3970</v>
      </c>
      <c r="AU247">
        <v>4</v>
      </c>
    </row>
    <row r="248" spans="46:47" x14ac:dyDescent="0.3">
      <c r="AT248" s="428" t="s">
        <v>3971</v>
      </c>
      <c r="AU248">
        <v>16</v>
      </c>
    </row>
    <row r="249" spans="46:47" x14ac:dyDescent="0.3">
      <c r="AT249" s="428" t="s">
        <v>3972</v>
      </c>
      <c r="AU249">
        <v>54</v>
      </c>
    </row>
    <row r="250" spans="46:47" x14ac:dyDescent="0.3">
      <c r="AT250" s="428" t="s">
        <v>3973</v>
      </c>
      <c r="AU250">
        <v>121</v>
      </c>
    </row>
    <row r="251" spans="46:47" x14ac:dyDescent="0.3">
      <c r="AT251" s="428" t="s">
        <v>3974</v>
      </c>
      <c r="AU251">
        <v>27</v>
      </c>
    </row>
    <row r="252" spans="46:47" x14ac:dyDescent="0.3">
      <c r="AT252" s="428" t="s">
        <v>3975</v>
      </c>
      <c r="AU252">
        <v>5</v>
      </c>
    </row>
    <row r="253" spans="46:47" x14ac:dyDescent="0.3">
      <c r="AT253" s="428" t="s">
        <v>3976</v>
      </c>
      <c r="AU253">
        <v>6</v>
      </c>
    </row>
    <row r="254" spans="46:47" x14ac:dyDescent="0.3">
      <c r="AT254" s="428" t="s">
        <v>3977</v>
      </c>
      <c r="AU254">
        <v>2</v>
      </c>
    </row>
    <row r="255" spans="46:47" x14ac:dyDescent="0.3">
      <c r="AT255" s="428" t="s">
        <v>4067</v>
      </c>
      <c r="AU255">
        <v>0</v>
      </c>
    </row>
    <row r="258" spans="46:47" x14ac:dyDescent="0.3">
      <c r="AT258" s="428" t="s">
        <v>287</v>
      </c>
      <c r="AU258" t="s">
        <v>475</v>
      </c>
    </row>
    <row r="259" spans="46:47" x14ac:dyDescent="0.3">
      <c r="AT259" s="428" t="s">
        <v>3961</v>
      </c>
      <c r="AU259">
        <v>1</v>
      </c>
    </row>
    <row r="260" spans="46:47" x14ac:dyDescent="0.3">
      <c r="AT260" s="428" t="s">
        <v>3962</v>
      </c>
      <c r="AU260">
        <v>0</v>
      </c>
    </row>
    <row r="261" spans="46:47" x14ac:dyDescent="0.3">
      <c r="AT261" s="428" t="s">
        <v>3963</v>
      </c>
      <c r="AU261">
        <v>1</v>
      </c>
    </row>
    <row r="262" spans="46:47" x14ac:dyDescent="0.3">
      <c r="AT262" s="428" t="s">
        <v>3964</v>
      </c>
      <c r="AU262">
        <v>0</v>
      </c>
    </row>
    <row r="263" spans="46:47" x14ac:dyDescent="0.3">
      <c r="AT263" s="428" t="s">
        <v>3965</v>
      </c>
      <c r="AU263">
        <v>1</v>
      </c>
    </row>
    <row r="264" spans="46:47" x14ac:dyDescent="0.3">
      <c r="AT264" s="428" t="s">
        <v>3966</v>
      </c>
      <c r="AU264">
        <v>0</v>
      </c>
    </row>
    <row r="265" spans="46:47" x14ac:dyDescent="0.3">
      <c r="AT265" s="428" t="s">
        <v>3967</v>
      </c>
      <c r="AU265">
        <v>0</v>
      </c>
    </row>
    <row r="266" spans="46:47" x14ac:dyDescent="0.3">
      <c r="AT266" s="428" t="s">
        <v>3968</v>
      </c>
      <c r="AU266">
        <v>0</v>
      </c>
    </row>
    <row r="267" spans="46:47" x14ac:dyDescent="0.3">
      <c r="AT267" s="428" t="s">
        <v>3969</v>
      </c>
      <c r="AU267">
        <v>0</v>
      </c>
    </row>
    <row r="268" spans="46:47" x14ac:dyDescent="0.3">
      <c r="AT268" s="428" t="s">
        <v>3970</v>
      </c>
      <c r="AU268">
        <v>4</v>
      </c>
    </row>
    <row r="269" spans="46:47" x14ac:dyDescent="0.3">
      <c r="AT269" s="428" t="s">
        <v>3971</v>
      </c>
      <c r="AU269">
        <v>10</v>
      </c>
    </row>
    <row r="270" spans="46:47" x14ac:dyDescent="0.3">
      <c r="AT270" s="428" t="s">
        <v>3972</v>
      </c>
      <c r="AU270">
        <v>50</v>
      </c>
    </row>
    <row r="271" spans="46:47" x14ac:dyDescent="0.3">
      <c r="AT271" s="428" t="s">
        <v>3973</v>
      </c>
      <c r="AU271">
        <v>132</v>
      </c>
    </row>
    <row r="272" spans="46:47" x14ac:dyDescent="0.3">
      <c r="AT272" s="428" t="s">
        <v>3974</v>
      </c>
      <c r="AU272">
        <v>30</v>
      </c>
    </row>
    <row r="273" spans="46:47" x14ac:dyDescent="0.3">
      <c r="AT273" s="428" t="s">
        <v>3975</v>
      </c>
      <c r="AU273">
        <v>6</v>
      </c>
    </row>
    <row r="274" spans="46:47" x14ac:dyDescent="0.3">
      <c r="AT274" s="428" t="s">
        <v>3976</v>
      </c>
      <c r="AU274">
        <v>3</v>
      </c>
    </row>
    <row r="275" spans="46:47" x14ac:dyDescent="0.3">
      <c r="AT275" s="428" t="s">
        <v>3977</v>
      </c>
      <c r="AU275">
        <v>1</v>
      </c>
    </row>
    <row r="278" spans="46:47" x14ac:dyDescent="0.3">
      <c r="AT278" t="s">
        <v>1851</v>
      </c>
      <c r="AU278" t="s">
        <v>958</v>
      </c>
    </row>
    <row r="279" spans="46:47" x14ac:dyDescent="0.3">
      <c r="AT279">
        <v>2003</v>
      </c>
      <c r="AU279">
        <v>8.24</v>
      </c>
    </row>
    <row r="280" spans="46:47" x14ac:dyDescent="0.3">
      <c r="AT280">
        <v>2000</v>
      </c>
      <c r="AU280">
        <v>8.24</v>
      </c>
    </row>
    <row r="281" spans="46:47" x14ac:dyDescent="0.3">
      <c r="AT281">
        <v>1991</v>
      </c>
      <c r="AU281">
        <v>8.41</v>
      </c>
    </row>
    <row r="282" spans="46:47" x14ac:dyDescent="0.3">
      <c r="AT282">
        <v>2002</v>
      </c>
      <c r="AU282">
        <v>8.7200000000000006</v>
      </c>
    </row>
    <row r="283" spans="46:47" x14ac:dyDescent="0.3">
      <c r="AT283">
        <v>2006</v>
      </c>
      <c r="AU283">
        <v>8.6199999999999992</v>
      </c>
    </row>
    <row r="284" spans="46:47" x14ac:dyDescent="0.3">
      <c r="AT284">
        <v>1998</v>
      </c>
      <c r="AU284">
        <v>8.6999999999999993</v>
      </c>
    </row>
    <row r="285" spans="46:47" x14ac:dyDescent="0.3">
      <c r="AT285">
        <v>1992</v>
      </c>
      <c r="AU285">
        <v>8.25</v>
      </c>
    </row>
    <row r="286" spans="46:47" x14ac:dyDescent="0.3">
      <c r="AT286">
        <v>1999</v>
      </c>
      <c r="AU286">
        <v>8.36</v>
      </c>
    </row>
    <row r="287" spans="46:47" x14ac:dyDescent="0.3">
      <c r="AT287">
        <v>1996</v>
      </c>
      <c r="AU287">
        <v>8.6999999999999993</v>
      </c>
    </row>
    <row r="288" spans="46:47" x14ac:dyDescent="0.3">
      <c r="AT288">
        <v>1992</v>
      </c>
      <c r="AU288">
        <v>8.76</v>
      </c>
    </row>
    <row r="289" spans="46:47" x14ac:dyDescent="0.3">
      <c r="AT289">
        <v>1997</v>
      </c>
      <c r="AU289">
        <v>8.5399999999999991</v>
      </c>
    </row>
    <row r="290" spans="46:47" x14ac:dyDescent="0.3">
      <c r="AT290">
        <v>2001</v>
      </c>
      <c r="AU290">
        <v>8.7100000000000009</v>
      </c>
    </row>
    <row r="291" spans="46:47" x14ac:dyDescent="0.3">
      <c r="AT291">
        <v>1995</v>
      </c>
      <c r="AU291">
        <v>8.67</v>
      </c>
    </row>
    <row r="292" spans="46:47" x14ac:dyDescent="0.3">
      <c r="AT292">
        <v>1994</v>
      </c>
      <c r="AU292">
        <v>8.66</v>
      </c>
    </row>
    <row r="293" spans="46:47" x14ac:dyDescent="0.3">
      <c r="AT293">
        <v>2013</v>
      </c>
      <c r="AU293">
        <v>7.04</v>
      </c>
    </row>
    <row r="294" spans="46:47" x14ac:dyDescent="0.3">
      <c r="AT294">
        <v>2025</v>
      </c>
      <c r="AU294">
        <v>4.62</v>
      </c>
    </row>
    <row r="295" spans="46:47" x14ac:dyDescent="0.3">
      <c r="AT295">
        <v>2024</v>
      </c>
      <c r="AU295">
        <v>8.18</v>
      </c>
    </row>
    <row r="296" spans="46:47" x14ac:dyDescent="0.3">
      <c r="AT296">
        <v>2025</v>
      </c>
      <c r="AU296">
        <v>2.39</v>
      </c>
    </row>
    <row r="297" spans="46:47" x14ac:dyDescent="0.3">
      <c r="AT297">
        <v>2024</v>
      </c>
      <c r="AU297">
        <v>8.3800000000000008</v>
      </c>
    </row>
    <row r="298" spans="46:47" x14ac:dyDescent="0.3">
      <c r="AT298">
        <v>2024</v>
      </c>
      <c r="AU298">
        <v>8.52</v>
      </c>
    </row>
    <row r="299" spans="46:47" x14ac:dyDescent="0.3">
      <c r="AT299">
        <v>2022</v>
      </c>
      <c r="AU299">
        <v>8.39</v>
      </c>
    </row>
    <row r="300" spans="46:47" x14ac:dyDescent="0.3">
      <c r="AT300">
        <v>1970</v>
      </c>
      <c r="AU300">
        <v>9.43</v>
      </c>
    </row>
    <row r="301" spans="46:47" x14ac:dyDescent="0.3">
      <c r="AT301">
        <v>2024</v>
      </c>
      <c r="AU301">
        <v>8.57</v>
      </c>
    </row>
    <row r="302" spans="46:47" x14ac:dyDescent="0.3">
      <c r="AT302">
        <v>1981</v>
      </c>
      <c r="AU302">
        <v>8.57</v>
      </c>
    </row>
    <row r="303" spans="46:47" x14ac:dyDescent="0.3">
      <c r="AT303">
        <v>2002</v>
      </c>
      <c r="AU303">
        <v>8.84</v>
      </c>
    </row>
    <row r="304" spans="46:47" x14ac:dyDescent="0.3">
      <c r="AT304">
        <v>1998</v>
      </c>
      <c r="AU304">
        <v>9.0399999999999991</v>
      </c>
    </row>
    <row r="305" spans="46:47" x14ac:dyDescent="0.3">
      <c r="AT305">
        <v>2026</v>
      </c>
      <c r="AU305">
        <v>8.65</v>
      </c>
    </row>
    <row r="306" spans="46:47" x14ac:dyDescent="0.3">
      <c r="AT306">
        <v>2000</v>
      </c>
      <c r="AU306">
        <v>8.81</v>
      </c>
    </row>
    <row r="307" spans="46:47" x14ac:dyDescent="0.3">
      <c r="AT307">
        <v>2005</v>
      </c>
      <c r="AU307">
        <v>8.56</v>
      </c>
    </row>
    <row r="308" spans="46:47" x14ac:dyDescent="0.3">
      <c r="AT308">
        <v>2007</v>
      </c>
      <c r="AU308">
        <v>8.65</v>
      </c>
    </row>
    <row r="309" spans="46:47" x14ac:dyDescent="0.3">
      <c r="AT309">
        <v>2011</v>
      </c>
      <c r="AU309">
        <v>8.89</v>
      </c>
    </row>
    <row r="310" spans="46:47" x14ac:dyDescent="0.3">
      <c r="AT310">
        <v>2013</v>
      </c>
      <c r="AU310">
        <v>8.91</v>
      </c>
    </row>
    <row r="311" spans="46:47" x14ac:dyDescent="0.3">
      <c r="AT311">
        <v>2025</v>
      </c>
      <c r="AU311">
        <v>7.94</v>
      </c>
    </row>
    <row r="312" spans="46:47" x14ac:dyDescent="0.3">
      <c r="AT312">
        <v>1974</v>
      </c>
      <c r="AU312">
        <v>8.8800000000000008</v>
      </c>
    </row>
    <row r="313" spans="46:47" x14ac:dyDescent="0.3">
      <c r="AT313">
        <v>2018</v>
      </c>
      <c r="AU313">
        <v>8.01</v>
      </c>
    </row>
    <row r="314" spans="46:47" x14ac:dyDescent="0.3">
      <c r="AT314">
        <v>2015</v>
      </c>
      <c r="AU314">
        <v>8.57</v>
      </c>
    </row>
    <row r="315" spans="46:47" x14ac:dyDescent="0.3">
      <c r="AT315">
        <v>1970</v>
      </c>
      <c r="AU315">
        <v>8.4700000000000006</v>
      </c>
    </row>
    <row r="316" spans="46:47" x14ac:dyDescent="0.3">
      <c r="AT316">
        <v>2024</v>
      </c>
      <c r="AU316">
        <v>8.4499999999999993</v>
      </c>
    </row>
    <row r="317" spans="46:47" x14ac:dyDescent="0.3">
      <c r="AT317">
        <v>2017</v>
      </c>
      <c r="AU317">
        <v>9</v>
      </c>
    </row>
    <row r="318" spans="46:47" x14ac:dyDescent="0.3">
      <c r="AT318">
        <v>1990</v>
      </c>
      <c r="AU318">
        <v>8.81</v>
      </c>
    </row>
    <row r="319" spans="46:47" x14ac:dyDescent="0.3">
      <c r="AT319">
        <v>2000</v>
      </c>
      <c r="AU319">
        <v>8.9499999999999993</v>
      </c>
    </row>
    <row r="320" spans="46:47" x14ac:dyDescent="0.3">
      <c r="AT320">
        <v>2002</v>
      </c>
      <c r="AU320">
        <v>8.85</v>
      </c>
    </row>
    <row r="321" spans="46:47" x14ac:dyDescent="0.3">
      <c r="AT321">
        <v>2005</v>
      </c>
      <c r="AU321">
        <v>8.56</v>
      </c>
    </row>
    <row r="322" spans="46:47" x14ac:dyDescent="0.3">
      <c r="AT322">
        <v>2007</v>
      </c>
      <c r="AU322">
        <v>9.17</v>
      </c>
    </row>
    <row r="323" spans="46:47" x14ac:dyDescent="0.3">
      <c r="AT323">
        <v>2001</v>
      </c>
      <c r="AU323">
        <v>9.09</v>
      </c>
    </row>
    <row r="324" spans="46:47" x14ac:dyDescent="0.3">
      <c r="AT324">
        <v>2013</v>
      </c>
      <c r="AU324">
        <v>8.7899999999999991</v>
      </c>
    </row>
    <row r="325" spans="46:47" x14ac:dyDescent="0.3">
      <c r="AT325">
        <v>1997</v>
      </c>
      <c r="AU325">
        <v>7.95</v>
      </c>
    </row>
    <row r="326" spans="46:47" x14ac:dyDescent="0.3">
      <c r="AT326">
        <v>2005</v>
      </c>
      <c r="AU326">
        <v>7.79</v>
      </c>
    </row>
    <row r="327" spans="46:47" x14ac:dyDescent="0.3">
      <c r="AT327">
        <v>2021</v>
      </c>
      <c r="AU327">
        <v>7.66</v>
      </c>
    </row>
    <row r="328" spans="46:47" x14ac:dyDescent="0.3">
      <c r="AT328">
        <v>1977</v>
      </c>
      <c r="AU328">
        <v>8.94</v>
      </c>
    </row>
    <row r="329" spans="46:47" x14ac:dyDescent="0.3">
      <c r="AT329">
        <v>2016</v>
      </c>
      <c r="AU329">
        <v>8.67</v>
      </c>
    </row>
    <row r="330" spans="46:47" x14ac:dyDescent="0.3">
      <c r="AT330">
        <v>2013</v>
      </c>
      <c r="AU330">
        <v>8.6300000000000008</v>
      </c>
    </row>
    <row r="331" spans="46:47" x14ac:dyDescent="0.3">
      <c r="AT331">
        <v>1995</v>
      </c>
      <c r="AU331">
        <v>8.6300000000000008</v>
      </c>
    </row>
    <row r="332" spans="46:47" x14ac:dyDescent="0.3">
      <c r="AT332">
        <v>1998</v>
      </c>
      <c r="AU332">
        <v>8.5299999999999994</v>
      </c>
    </row>
    <row r="333" spans="46:47" x14ac:dyDescent="0.3">
      <c r="AT333">
        <v>2000</v>
      </c>
      <c r="AU333">
        <v>8.92</v>
      </c>
    </row>
    <row r="334" spans="46:47" x14ac:dyDescent="0.3">
      <c r="AT334">
        <v>2012</v>
      </c>
      <c r="AU334">
        <v>8.77</v>
      </c>
    </row>
    <row r="335" spans="46:47" x14ac:dyDescent="0.3">
      <c r="AT335">
        <v>1995</v>
      </c>
      <c r="AU335">
        <v>8.1300000000000008</v>
      </c>
    </row>
    <row r="336" spans="46:47" x14ac:dyDescent="0.3">
      <c r="AT336">
        <v>2020</v>
      </c>
      <c r="AU336">
        <v>7.61</v>
      </c>
    </row>
    <row r="337" spans="46:47" x14ac:dyDescent="0.3">
      <c r="AT337">
        <v>1990</v>
      </c>
      <c r="AU337">
        <v>8.5500000000000007</v>
      </c>
    </row>
    <row r="338" spans="46:47" x14ac:dyDescent="0.3">
      <c r="AT338">
        <v>1985</v>
      </c>
      <c r="AU338">
        <v>9.0299999999999994</v>
      </c>
    </row>
    <row r="339" spans="46:47" x14ac:dyDescent="0.3">
      <c r="AT339">
        <v>1978</v>
      </c>
      <c r="AU339">
        <v>8.86</v>
      </c>
    </row>
    <row r="340" spans="46:47" x14ac:dyDescent="0.3">
      <c r="AT340">
        <v>1982</v>
      </c>
      <c r="AU340">
        <v>8.81</v>
      </c>
    </row>
    <row r="341" spans="46:47" x14ac:dyDescent="0.3">
      <c r="AT341">
        <v>1995</v>
      </c>
      <c r="AU341">
        <v>8.3000000000000007</v>
      </c>
    </row>
    <row r="342" spans="46:47" x14ac:dyDescent="0.3">
      <c r="AT342">
        <v>2024</v>
      </c>
      <c r="AU342">
        <v>8.2799999999999994</v>
      </c>
    </row>
    <row r="343" spans="46:47" x14ac:dyDescent="0.3">
      <c r="AT343">
        <v>2026</v>
      </c>
      <c r="AU343">
        <v>7.7</v>
      </c>
    </row>
    <row r="344" spans="46:47" x14ac:dyDescent="0.3">
      <c r="AT344">
        <v>2009</v>
      </c>
      <c r="AU344">
        <v>8.59</v>
      </c>
    </row>
    <row r="345" spans="46:47" x14ac:dyDescent="0.3">
      <c r="AT345">
        <v>1999</v>
      </c>
      <c r="AU345">
        <v>8.4700000000000006</v>
      </c>
    </row>
    <row r="346" spans="46:47" x14ac:dyDescent="0.3">
      <c r="AT346">
        <v>1996</v>
      </c>
      <c r="AU346">
        <v>8.64</v>
      </c>
    </row>
    <row r="347" spans="46:47" x14ac:dyDescent="0.3">
      <c r="AT347">
        <v>2000</v>
      </c>
      <c r="AU347">
        <v>8.65</v>
      </c>
    </row>
    <row r="348" spans="46:47" x14ac:dyDescent="0.3">
      <c r="AT348">
        <v>1997</v>
      </c>
      <c r="AU348">
        <v>8.51</v>
      </c>
    </row>
    <row r="349" spans="46:47" x14ac:dyDescent="0.3">
      <c r="AT349">
        <v>1990</v>
      </c>
      <c r="AU349">
        <v>8.3699999999999992</v>
      </c>
    </row>
    <row r="350" spans="46:47" x14ac:dyDescent="0.3">
      <c r="AT350">
        <v>1999</v>
      </c>
      <c r="AU350">
        <v>8.9499999999999993</v>
      </c>
    </row>
    <row r="351" spans="46:47" x14ac:dyDescent="0.3">
      <c r="AT351">
        <v>1996</v>
      </c>
      <c r="AU351">
        <v>10.85</v>
      </c>
    </row>
    <row r="352" spans="46:47" x14ac:dyDescent="0.3">
      <c r="AT352">
        <v>1977</v>
      </c>
      <c r="AU352">
        <v>8.65</v>
      </c>
    </row>
    <row r="353" spans="46:47" x14ac:dyDescent="0.3">
      <c r="AT353">
        <v>1981</v>
      </c>
      <c r="AU353">
        <v>8.6</v>
      </c>
    </row>
    <row r="354" spans="46:47" x14ac:dyDescent="0.3">
      <c r="AT354">
        <v>2016</v>
      </c>
      <c r="AU354">
        <v>8.43</v>
      </c>
    </row>
    <row r="355" spans="46:47" x14ac:dyDescent="0.3">
      <c r="AT355">
        <v>1969</v>
      </c>
      <c r="AU355">
        <v>8.7799999999999994</v>
      </c>
    </row>
    <row r="356" spans="46:47" x14ac:dyDescent="0.3">
      <c r="AT356">
        <v>1971</v>
      </c>
      <c r="AU356">
        <v>8.83</v>
      </c>
    </row>
    <row r="357" spans="46:47" x14ac:dyDescent="0.3">
      <c r="AT357">
        <v>2025</v>
      </c>
      <c r="AU357">
        <v>8.9600000000000009</v>
      </c>
    </row>
    <row r="358" spans="46:47" x14ac:dyDescent="0.3">
      <c r="AT358">
        <v>1973</v>
      </c>
      <c r="AU358">
        <v>8.83</v>
      </c>
    </row>
    <row r="359" spans="46:47" x14ac:dyDescent="0.3">
      <c r="AT359">
        <v>2000</v>
      </c>
      <c r="AU359">
        <v>10.220000000000001</v>
      </c>
    </row>
    <row r="360" spans="46:47" x14ac:dyDescent="0.3">
      <c r="AT360">
        <v>2002</v>
      </c>
      <c r="AU360">
        <v>8.9600000000000009</v>
      </c>
    </row>
    <row r="361" spans="46:47" x14ac:dyDescent="0.3">
      <c r="AT361">
        <v>1997</v>
      </c>
      <c r="AU361">
        <v>8.84</v>
      </c>
    </row>
    <row r="362" spans="46:47" x14ac:dyDescent="0.3">
      <c r="AT362">
        <v>2005</v>
      </c>
      <c r="AU362">
        <v>8.84</v>
      </c>
    </row>
    <row r="363" spans="46:47" x14ac:dyDescent="0.3">
      <c r="AT363">
        <v>2008</v>
      </c>
      <c r="AU363">
        <v>8.68</v>
      </c>
    </row>
    <row r="364" spans="46:47" x14ac:dyDescent="0.3">
      <c r="AT364">
        <v>2016</v>
      </c>
      <c r="AU364">
        <v>8.34</v>
      </c>
    </row>
    <row r="365" spans="46:47" x14ac:dyDescent="0.3">
      <c r="AT365">
        <v>2005</v>
      </c>
      <c r="AU365">
        <v>8.89</v>
      </c>
    </row>
    <row r="366" spans="46:47" x14ac:dyDescent="0.3">
      <c r="AT366">
        <v>2010</v>
      </c>
      <c r="AU366">
        <v>8.75</v>
      </c>
    </row>
    <row r="367" spans="46:47" x14ac:dyDescent="0.3">
      <c r="AT367">
        <v>2001</v>
      </c>
      <c r="AU367">
        <v>8.23</v>
      </c>
    </row>
    <row r="368" spans="46:47" x14ac:dyDescent="0.3">
      <c r="AT368">
        <v>2026</v>
      </c>
      <c r="AU368">
        <v>8</v>
      </c>
    </row>
    <row r="369" spans="46:47" x14ac:dyDescent="0.3">
      <c r="AT369">
        <v>2008</v>
      </c>
      <c r="AU369">
        <v>9.34</v>
      </c>
    </row>
    <row r="370" spans="46:47" x14ac:dyDescent="0.3">
      <c r="AT370">
        <v>1992</v>
      </c>
      <c r="AU370">
        <v>8.5299999999999994</v>
      </c>
    </row>
    <row r="371" spans="46:47" x14ac:dyDescent="0.3">
      <c r="AT371">
        <v>2021</v>
      </c>
      <c r="AU371">
        <v>7.16</v>
      </c>
    </row>
    <row r="372" spans="46:47" x14ac:dyDescent="0.3">
      <c r="AT372">
        <v>2000</v>
      </c>
      <c r="AU372">
        <v>8.77</v>
      </c>
    </row>
    <row r="373" spans="46:47" x14ac:dyDescent="0.3">
      <c r="AT373">
        <v>2020</v>
      </c>
      <c r="AU373">
        <v>8.7200000000000006</v>
      </c>
    </row>
    <row r="374" spans="46:47" x14ac:dyDescent="0.3">
      <c r="AT374">
        <v>2002</v>
      </c>
      <c r="AU374">
        <v>8.93</v>
      </c>
    </row>
    <row r="375" spans="46:47" x14ac:dyDescent="0.3">
      <c r="AT375">
        <v>1982</v>
      </c>
      <c r="AU375">
        <v>8.6999999999999993</v>
      </c>
    </row>
    <row r="376" spans="46:47" x14ac:dyDescent="0.3">
      <c r="AT376">
        <v>1988</v>
      </c>
      <c r="AU376">
        <v>8.83</v>
      </c>
    </row>
    <row r="377" spans="46:47" x14ac:dyDescent="0.3">
      <c r="AT377">
        <v>2026</v>
      </c>
      <c r="AU377">
        <v>6.99</v>
      </c>
    </row>
    <row r="378" spans="46:47" x14ac:dyDescent="0.3">
      <c r="AT378">
        <v>1994</v>
      </c>
      <c r="AU378">
        <v>8.74</v>
      </c>
    </row>
    <row r="379" spans="46:47" x14ac:dyDescent="0.3">
      <c r="AT379">
        <v>2012</v>
      </c>
      <c r="AU379">
        <v>8.68</v>
      </c>
    </row>
    <row r="380" spans="46:47" x14ac:dyDescent="0.3">
      <c r="AT380">
        <v>1979</v>
      </c>
      <c r="AU380">
        <v>8.1999999999999993</v>
      </c>
    </row>
    <row r="381" spans="46:47" x14ac:dyDescent="0.3">
      <c r="AT381">
        <v>2007</v>
      </c>
      <c r="AU381">
        <v>8.5399999999999991</v>
      </c>
    </row>
    <row r="382" spans="46:47" x14ac:dyDescent="0.3">
      <c r="AT382">
        <v>2018</v>
      </c>
      <c r="AU382">
        <v>8.5299999999999994</v>
      </c>
    </row>
    <row r="383" spans="46:47" x14ac:dyDescent="0.3">
      <c r="AT383">
        <v>2010</v>
      </c>
      <c r="AU383">
        <v>8.7899999999999991</v>
      </c>
    </row>
    <row r="384" spans="46:47" x14ac:dyDescent="0.3">
      <c r="AT384">
        <v>2004</v>
      </c>
      <c r="AU384">
        <v>8.6199999999999992</v>
      </c>
    </row>
    <row r="385" spans="46:47" x14ac:dyDescent="0.3">
      <c r="AT385">
        <v>2026</v>
      </c>
      <c r="AU385">
        <v>7.2</v>
      </c>
    </row>
    <row r="386" spans="46:47" x14ac:dyDescent="0.3">
      <c r="AT386">
        <v>2005</v>
      </c>
      <c r="AU386">
        <v>8.34</v>
      </c>
    </row>
    <row r="387" spans="46:47" x14ac:dyDescent="0.3">
      <c r="AT387">
        <v>2026</v>
      </c>
      <c r="AU387">
        <v>7.95</v>
      </c>
    </row>
    <row r="388" spans="46:47" x14ac:dyDescent="0.3">
      <c r="AT388">
        <v>2015</v>
      </c>
      <c r="AU388">
        <v>8.8800000000000008</v>
      </c>
    </row>
    <row r="389" spans="46:47" x14ac:dyDescent="0.3">
      <c r="AT389">
        <v>2018</v>
      </c>
      <c r="AU389">
        <v>8.16</v>
      </c>
    </row>
    <row r="390" spans="46:47" x14ac:dyDescent="0.3">
      <c r="AT390">
        <v>1969</v>
      </c>
      <c r="AU390">
        <v>9.4600000000000009</v>
      </c>
    </row>
    <row r="391" spans="46:47" x14ac:dyDescent="0.3">
      <c r="AT391">
        <v>2024</v>
      </c>
      <c r="AU391">
        <v>9.36</v>
      </c>
    </row>
    <row r="392" spans="46:47" x14ac:dyDescent="0.3">
      <c r="AT392">
        <v>1981</v>
      </c>
      <c r="AU392">
        <v>8.82</v>
      </c>
    </row>
    <row r="393" spans="46:47" x14ac:dyDescent="0.3">
      <c r="AT393">
        <v>2023</v>
      </c>
      <c r="AU393">
        <v>8.77</v>
      </c>
    </row>
    <row r="394" spans="46:47" x14ac:dyDescent="0.3">
      <c r="AT394">
        <v>2026</v>
      </c>
      <c r="AU394">
        <v>8.1300000000000008</v>
      </c>
    </row>
    <row r="395" spans="46:47" x14ac:dyDescent="0.3">
      <c r="AT395">
        <v>1971</v>
      </c>
      <c r="AU395">
        <v>9.5299999999999994</v>
      </c>
    </row>
    <row r="396" spans="46:47" x14ac:dyDescent="0.3">
      <c r="AT396">
        <v>1970</v>
      </c>
      <c r="AU396">
        <v>8.5399999999999991</v>
      </c>
    </row>
    <row r="397" spans="46:47" x14ac:dyDescent="0.3">
      <c r="AT397">
        <v>2003</v>
      </c>
      <c r="AU397">
        <v>9</v>
      </c>
    </row>
    <row r="398" spans="46:47" x14ac:dyDescent="0.3">
      <c r="AT398">
        <v>2000</v>
      </c>
      <c r="AU398">
        <v>8.34</v>
      </c>
    </row>
    <row r="399" spans="46:47" x14ac:dyDescent="0.3">
      <c r="AT399">
        <v>2007</v>
      </c>
      <c r="AU399">
        <v>8.6999999999999993</v>
      </c>
    </row>
    <row r="400" spans="46:47" x14ac:dyDescent="0.3">
      <c r="AT400">
        <v>2017</v>
      </c>
      <c r="AU400">
        <v>8.5299999999999994</v>
      </c>
    </row>
    <row r="401" spans="46:47" x14ac:dyDescent="0.3">
      <c r="AT401">
        <v>2018</v>
      </c>
      <c r="AU401">
        <v>8.39</v>
      </c>
    </row>
    <row r="402" spans="46:47" x14ac:dyDescent="0.3">
      <c r="AT402">
        <v>2024</v>
      </c>
      <c r="AU402">
        <v>8.6300000000000008</v>
      </c>
    </row>
    <row r="403" spans="46:47" x14ac:dyDescent="0.3">
      <c r="AT403">
        <v>1979</v>
      </c>
      <c r="AU403">
        <v>9.1</v>
      </c>
    </row>
    <row r="404" spans="46:47" x14ac:dyDescent="0.3">
      <c r="AT404">
        <v>1976</v>
      </c>
      <c r="AU404">
        <v>8.5299999999999994</v>
      </c>
    </row>
    <row r="405" spans="46:47" x14ac:dyDescent="0.3">
      <c r="AT405">
        <v>1998</v>
      </c>
      <c r="AU405">
        <v>8.66</v>
      </c>
    </row>
    <row r="406" spans="46:47" x14ac:dyDescent="0.3">
      <c r="AT406">
        <v>1990</v>
      </c>
      <c r="AU406">
        <v>9.09</v>
      </c>
    </row>
    <row r="407" spans="46:47" x14ac:dyDescent="0.3">
      <c r="AT407">
        <v>2026</v>
      </c>
      <c r="AU407">
        <v>7.64</v>
      </c>
    </row>
    <row r="408" spans="46:47" x14ac:dyDescent="0.3">
      <c r="AT408">
        <v>2008</v>
      </c>
      <c r="AU408">
        <v>8.7899999999999991</v>
      </c>
    </row>
    <row r="409" spans="46:47" x14ac:dyDescent="0.3">
      <c r="AT409">
        <v>2002</v>
      </c>
      <c r="AU409">
        <v>8.2100000000000009</v>
      </c>
    </row>
    <row r="410" spans="46:47" x14ac:dyDescent="0.3">
      <c r="AT410">
        <v>1986</v>
      </c>
      <c r="AU410">
        <v>9.3699999999999992</v>
      </c>
    </row>
    <row r="411" spans="46:47" x14ac:dyDescent="0.3">
      <c r="AT411">
        <v>1984</v>
      </c>
      <c r="AU411">
        <v>9.2100000000000009</v>
      </c>
    </row>
    <row r="412" spans="46:47" x14ac:dyDescent="0.3">
      <c r="AT412">
        <v>1988</v>
      </c>
      <c r="AU412">
        <v>9.08</v>
      </c>
    </row>
    <row r="413" spans="46:47" x14ac:dyDescent="0.3">
      <c r="AT413">
        <v>1983</v>
      </c>
      <c r="AU413">
        <v>8.61</v>
      </c>
    </row>
    <row r="414" spans="46:47" x14ac:dyDescent="0.3">
      <c r="AT414">
        <v>2021</v>
      </c>
      <c r="AU414">
        <v>8.65</v>
      </c>
    </row>
    <row r="415" spans="46:47" x14ac:dyDescent="0.3">
      <c r="AT415">
        <v>1996</v>
      </c>
      <c r="AU415">
        <v>7.96</v>
      </c>
    </row>
    <row r="416" spans="46:47" x14ac:dyDescent="0.3">
      <c r="AT416">
        <v>2003</v>
      </c>
      <c r="AU416">
        <v>3.37</v>
      </c>
    </row>
    <row r="417" spans="46:47" x14ac:dyDescent="0.3">
      <c r="AT417">
        <v>2023</v>
      </c>
      <c r="AU417">
        <v>8.49</v>
      </c>
    </row>
    <row r="418" spans="46:47" x14ac:dyDescent="0.3">
      <c r="AT418">
        <v>1982</v>
      </c>
      <c r="AU418">
        <v>9.02</v>
      </c>
    </row>
    <row r="419" spans="46:47" x14ac:dyDescent="0.3">
      <c r="AT419">
        <v>2026</v>
      </c>
      <c r="AU419">
        <v>8.3699999999999992</v>
      </c>
    </row>
    <row r="420" spans="46:47" x14ac:dyDescent="0.3">
      <c r="AT420">
        <v>1989</v>
      </c>
      <c r="AU420">
        <v>8.3000000000000007</v>
      </c>
    </row>
    <row r="421" spans="46:47" x14ac:dyDescent="0.3">
      <c r="AT421">
        <v>1991</v>
      </c>
      <c r="AU421">
        <v>8.67</v>
      </c>
    </row>
    <row r="422" spans="46:47" x14ac:dyDescent="0.3">
      <c r="AT422">
        <v>1994</v>
      </c>
      <c r="AU422">
        <v>8.76</v>
      </c>
    </row>
    <row r="423" spans="46:47" x14ac:dyDescent="0.3">
      <c r="AT423">
        <v>2012</v>
      </c>
      <c r="AU423">
        <v>9.23</v>
      </c>
    </row>
    <row r="424" spans="46:47" x14ac:dyDescent="0.3">
      <c r="AT424">
        <v>2026</v>
      </c>
      <c r="AU424">
        <v>8.3800000000000008</v>
      </c>
    </row>
    <row r="425" spans="46:47" x14ac:dyDescent="0.3">
      <c r="AT425">
        <v>2005</v>
      </c>
      <c r="AU425">
        <v>8.76</v>
      </c>
    </row>
    <row r="426" spans="46:47" x14ac:dyDescent="0.3">
      <c r="AT426">
        <v>2003</v>
      </c>
      <c r="AU426">
        <v>8.49</v>
      </c>
    </row>
    <row r="427" spans="46:47" x14ac:dyDescent="0.3">
      <c r="AT427">
        <v>2025</v>
      </c>
      <c r="AU427">
        <v>8.27</v>
      </c>
    </row>
    <row r="428" spans="46:47" x14ac:dyDescent="0.3">
      <c r="AT428">
        <v>2001</v>
      </c>
      <c r="AU428">
        <v>9.44</v>
      </c>
    </row>
    <row r="429" spans="46:47" x14ac:dyDescent="0.3">
      <c r="AT429">
        <v>2005</v>
      </c>
      <c r="AU429">
        <v>9.14</v>
      </c>
    </row>
    <row r="430" spans="46:47" x14ac:dyDescent="0.3">
      <c r="AT430">
        <v>2002</v>
      </c>
      <c r="AU430">
        <v>8.9</v>
      </c>
    </row>
    <row r="431" spans="46:47" x14ac:dyDescent="0.3">
      <c r="AT431">
        <v>1999</v>
      </c>
      <c r="AU431">
        <v>8.85</v>
      </c>
    </row>
    <row r="432" spans="46:47" x14ac:dyDescent="0.3">
      <c r="AT432">
        <v>2003</v>
      </c>
      <c r="AU432">
        <v>8.73</v>
      </c>
    </row>
    <row r="433" spans="46:47" x14ac:dyDescent="0.3">
      <c r="AT433">
        <v>2008</v>
      </c>
      <c r="AU433">
        <v>8.5500000000000007</v>
      </c>
    </row>
    <row r="434" spans="46:47" x14ac:dyDescent="0.3">
      <c r="AT434">
        <v>2024</v>
      </c>
      <c r="AU434">
        <v>8.4600000000000009</v>
      </c>
    </row>
    <row r="435" spans="46:47" x14ac:dyDescent="0.3">
      <c r="AT435">
        <v>1996</v>
      </c>
      <c r="AU435">
        <v>8.25</v>
      </c>
    </row>
    <row r="436" spans="46:47" x14ac:dyDescent="0.3">
      <c r="AT436">
        <v>1998</v>
      </c>
      <c r="AU436">
        <v>8.27</v>
      </c>
    </row>
    <row r="437" spans="46:47" x14ac:dyDescent="0.3">
      <c r="AT437">
        <v>2014</v>
      </c>
      <c r="AU437">
        <v>8.1300000000000008</v>
      </c>
    </row>
    <row r="438" spans="46:47" x14ac:dyDescent="0.3">
      <c r="AT438">
        <v>2016</v>
      </c>
      <c r="AU438">
        <v>8.0299999999999994</v>
      </c>
    </row>
    <row r="439" spans="46:47" x14ac:dyDescent="0.3">
      <c r="AT439">
        <v>1995</v>
      </c>
      <c r="AU439">
        <v>7.94</v>
      </c>
    </row>
    <row r="440" spans="46:47" x14ac:dyDescent="0.3">
      <c r="AT440">
        <v>2019</v>
      </c>
      <c r="AU440">
        <v>7.89</v>
      </c>
    </row>
    <row r="441" spans="46:47" x14ac:dyDescent="0.3">
      <c r="AT441">
        <v>2011</v>
      </c>
      <c r="AU441">
        <v>7.66</v>
      </c>
    </row>
    <row r="442" spans="46:47" x14ac:dyDescent="0.3">
      <c r="AT442">
        <v>2000</v>
      </c>
      <c r="AU442">
        <v>8.8800000000000008</v>
      </c>
    </row>
    <row r="443" spans="46:47" x14ac:dyDescent="0.3">
      <c r="AT443">
        <v>2021</v>
      </c>
      <c r="AU443">
        <v>8.43</v>
      </c>
    </row>
    <row r="444" spans="46:47" x14ac:dyDescent="0.3">
      <c r="AT444">
        <v>1991</v>
      </c>
      <c r="AU444">
        <v>8.8800000000000008</v>
      </c>
    </row>
    <row r="445" spans="46:47" x14ac:dyDescent="0.3">
      <c r="AT445">
        <v>1975</v>
      </c>
      <c r="AU445">
        <v>10.39</v>
      </c>
    </row>
    <row r="446" spans="46:47" x14ac:dyDescent="0.3">
      <c r="AT446">
        <v>1973</v>
      </c>
      <c r="AU446">
        <v>10</v>
      </c>
    </row>
    <row r="447" spans="46:47" x14ac:dyDescent="0.3">
      <c r="AT447">
        <v>1977</v>
      </c>
      <c r="AU447">
        <v>9.5500000000000007</v>
      </c>
    </row>
    <row r="448" spans="46:47" x14ac:dyDescent="0.3">
      <c r="AT448">
        <v>1971</v>
      </c>
      <c r="AU448">
        <v>8.9700000000000006</v>
      </c>
    </row>
    <row r="449" spans="46:47" x14ac:dyDescent="0.3">
      <c r="AT449">
        <v>1979</v>
      </c>
      <c r="AU449">
        <v>8.9700000000000006</v>
      </c>
    </row>
    <row r="450" spans="46:47" x14ac:dyDescent="0.3">
      <c r="AT450">
        <v>2007</v>
      </c>
      <c r="AU450">
        <v>9.23</v>
      </c>
    </row>
    <row r="451" spans="46:47" x14ac:dyDescent="0.3">
      <c r="AT451">
        <v>2005</v>
      </c>
      <c r="AU451">
        <v>9.0399999999999991</v>
      </c>
    </row>
    <row r="452" spans="46:47" x14ac:dyDescent="0.3">
      <c r="AT452">
        <v>2002</v>
      </c>
      <c r="AU452">
        <v>8.81</v>
      </c>
    </row>
    <row r="453" spans="46:47" x14ac:dyDescent="0.3">
      <c r="AT453">
        <v>2000</v>
      </c>
      <c r="AU453">
        <v>8.7799999999999994</v>
      </c>
    </row>
    <row r="454" spans="46:47" x14ac:dyDescent="0.3">
      <c r="AT454">
        <v>1994</v>
      </c>
      <c r="AU454">
        <v>8.8800000000000008</v>
      </c>
    </row>
    <row r="455" spans="46:47" x14ac:dyDescent="0.3">
      <c r="AT455">
        <v>2008</v>
      </c>
      <c r="AU455">
        <v>8.4700000000000006</v>
      </c>
    </row>
    <row r="456" spans="46:47" x14ac:dyDescent="0.3">
      <c r="AT456">
        <v>2002</v>
      </c>
      <c r="AU456">
        <v>8.65</v>
      </c>
    </row>
    <row r="457" spans="46:47" x14ac:dyDescent="0.3">
      <c r="AT457">
        <v>2007</v>
      </c>
      <c r="AU457">
        <v>10.37</v>
      </c>
    </row>
    <row r="458" spans="46:47" x14ac:dyDescent="0.3">
      <c r="AT458">
        <v>1997</v>
      </c>
      <c r="AU458">
        <v>10.07</v>
      </c>
    </row>
    <row r="459" spans="46:47" x14ac:dyDescent="0.3">
      <c r="AT459">
        <v>2000</v>
      </c>
      <c r="AU459">
        <v>9.3699999999999992</v>
      </c>
    </row>
    <row r="460" spans="46:47" x14ac:dyDescent="0.3">
      <c r="AT460">
        <v>1995</v>
      </c>
      <c r="AU460">
        <v>9.14</v>
      </c>
    </row>
    <row r="461" spans="46:47" x14ac:dyDescent="0.3">
      <c r="AT461">
        <v>2016</v>
      </c>
      <c r="AU461">
        <v>8.75</v>
      </c>
    </row>
    <row r="462" spans="46:47" x14ac:dyDescent="0.3">
      <c r="AT462">
        <v>2003</v>
      </c>
      <c r="AU462">
        <v>8.56</v>
      </c>
    </row>
    <row r="463" spans="46:47" x14ac:dyDescent="0.3">
      <c r="AT463">
        <v>2001</v>
      </c>
      <c r="AU463">
        <v>8.11</v>
      </c>
    </row>
    <row r="464" spans="46:47" x14ac:dyDescent="0.3">
      <c r="AT464">
        <v>2011</v>
      </c>
      <c r="AU464">
        <v>7.74</v>
      </c>
    </row>
    <row r="465" spans="46:47" x14ac:dyDescent="0.3">
      <c r="AT465">
        <v>1993</v>
      </c>
      <c r="AU465">
        <v>7.4</v>
      </c>
    </row>
    <row r="466" spans="46:47" x14ac:dyDescent="0.3">
      <c r="AT466">
        <v>1976</v>
      </c>
      <c r="AU466">
        <v>8.5</v>
      </c>
    </row>
    <row r="467" spans="46:47" x14ac:dyDescent="0.3">
      <c r="AT467">
        <v>2005</v>
      </c>
      <c r="AU467">
        <v>7.98</v>
      </c>
    </row>
    <row r="468" spans="46:47" x14ac:dyDescent="0.3">
      <c r="AT468">
        <v>1981</v>
      </c>
      <c r="AU468">
        <v>8.67</v>
      </c>
    </row>
    <row r="469" spans="46:47" x14ac:dyDescent="0.3">
      <c r="AT469">
        <v>1992</v>
      </c>
      <c r="AU469">
        <v>8.58</v>
      </c>
    </row>
    <row r="470" spans="46:47" x14ac:dyDescent="0.3">
      <c r="AT470">
        <v>1999</v>
      </c>
      <c r="AU470">
        <v>8.56</v>
      </c>
    </row>
    <row r="471" spans="46:47" x14ac:dyDescent="0.3">
      <c r="AT471">
        <v>1986</v>
      </c>
      <c r="AU471">
        <v>8.34</v>
      </c>
    </row>
    <row r="472" spans="46:47" x14ac:dyDescent="0.3">
      <c r="AT472">
        <v>2026</v>
      </c>
      <c r="AU472">
        <v>8.56</v>
      </c>
    </row>
    <row r="473" spans="46:47" x14ac:dyDescent="0.3">
      <c r="AT473">
        <v>1991</v>
      </c>
      <c r="AU473">
        <v>8.83</v>
      </c>
    </row>
    <row r="474" spans="46:47" x14ac:dyDescent="0.3">
      <c r="AT474">
        <v>1999</v>
      </c>
      <c r="AU474">
        <v>7.66</v>
      </c>
    </row>
    <row r="475" spans="46:47" x14ac:dyDescent="0.3">
      <c r="AT475">
        <v>1993</v>
      </c>
      <c r="AU475">
        <v>8.5</v>
      </c>
    </row>
    <row r="476" spans="46:47" x14ac:dyDescent="0.3">
      <c r="AT476">
        <v>1992</v>
      </c>
      <c r="AU476">
        <v>8.5</v>
      </c>
    </row>
    <row r="477" spans="46:47" x14ac:dyDescent="0.3">
      <c r="AT477">
        <v>2013</v>
      </c>
      <c r="AU477">
        <v>8.61</v>
      </c>
    </row>
    <row r="478" spans="46:47" x14ac:dyDescent="0.3">
      <c r="AT478">
        <v>1977</v>
      </c>
      <c r="AU478">
        <v>9.02</v>
      </c>
    </row>
    <row r="479" spans="46:47" x14ac:dyDescent="0.3">
      <c r="AT479">
        <v>1979</v>
      </c>
      <c r="AU479">
        <v>8.6300000000000008</v>
      </c>
    </row>
    <row r="480" spans="46:47" x14ac:dyDescent="0.3">
      <c r="AT480">
        <v>2014</v>
      </c>
      <c r="AU480">
        <v>8.7799999999999994</v>
      </c>
    </row>
    <row r="481" spans="46:47" x14ac:dyDescent="0.3">
      <c r="AT481">
        <v>1996</v>
      </c>
      <c r="AU481">
        <v>8.52</v>
      </c>
    </row>
    <row r="482" spans="46:47" x14ac:dyDescent="0.3">
      <c r="AT482">
        <v>2003</v>
      </c>
      <c r="AU482">
        <v>8.9600000000000009</v>
      </c>
    </row>
    <row r="483" spans="46:47" x14ac:dyDescent="0.3">
      <c r="AT483">
        <v>2009</v>
      </c>
      <c r="AU483">
        <v>8.89</v>
      </c>
    </row>
    <row r="484" spans="46:47" x14ac:dyDescent="0.3">
      <c r="AT484">
        <v>2001</v>
      </c>
      <c r="AU484">
        <v>9</v>
      </c>
    </row>
    <row r="485" spans="46:47" x14ac:dyDescent="0.3">
      <c r="AT485">
        <v>1988</v>
      </c>
      <c r="AU485">
        <v>8.92</v>
      </c>
    </row>
    <row r="486" spans="46:47" x14ac:dyDescent="0.3">
      <c r="AT486">
        <v>1983</v>
      </c>
      <c r="AU486">
        <v>8.7899999999999991</v>
      </c>
    </row>
    <row r="487" spans="46:47" x14ac:dyDescent="0.3">
      <c r="AT487">
        <v>2015</v>
      </c>
      <c r="AU487">
        <v>8.6199999999999992</v>
      </c>
    </row>
    <row r="488" spans="46:47" x14ac:dyDescent="0.3">
      <c r="AT488">
        <v>1982</v>
      </c>
      <c r="AU488">
        <v>9.23</v>
      </c>
    </row>
    <row r="489" spans="46:47" x14ac:dyDescent="0.3">
      <c r="AT489">
        <v>1969</v>
      </c>
      <c r="AU489">
        <v>8.83</v>
      </c>
    </row>
    <row r="490" spans="46:47" x14ac:dyDescent="0.3">
      <c r="AT490">
        <v>1967</v>
      </c>
      <c r="AU490">
        <v>8.86</v>
      </c>
    </row>
    <row r="491" spans="46:47" x14ac:dyDescent="0.3">
      <c r="AT491">
        <v>1966</v>
      </c>
      <c r="AU491">
        <v>8.39</v>
      </c>
    </row>
    <row r="492" spans="46:47" x14ac:dyDescent="0.3">
      <c r="AT492">
        <v>1979</v>
      </c>
      <c r="AU492">
        <v>8.6</v>
      </c>
    </row>
    <row r="493" spans="46:47" x14ac:dyDescent="0.3">
      <c r="AT493">
        <v>1989</v>
      </c>
      <c r="AU493">
        <v>8.7100000000000009</v>
      </c>
    </row>
    <row r="494" spans="46:47" x14ac:dyDescent="0.3">
      <c r="AT494">
        <v>1994</v>
      </c>
      <c r="AU494">
        <v>8.33</v>
      </c>
    </row>
    <row r="495" spans="46:47" x14ac:dyDescent="0.3">
      <c r="AT495">
        <v>2016</v>
      </c>
      <c r="AU495">
        <v>8.16</v>
      </c>
    </row>
    <row r="496" spans="46:47" x14ac:dyDescent="0.3">
      <c r="AT496">
        <v>1997</v>
      </c>
      <c r="AU496">
        <v>8.61</v>
      </c>
    </row>
    <row r="497" spans="46:47" x14ac:dyDescent="0.3">
      <c r="AT497">
        <v>1995</v>
      </c>
      <c r="AU497">
        <v>8.6300000000000008</v>
      </c>
    </row>
    <row r="498" spans="46:47" x14ac:dyDescent="0.3">
      <c r="AT498">
        <v>1993</v>
      </c>
      <c r="AU498">
        <v>8.27</v>
      </c>
    </row>
    <row r="499" spans="46:47" x14ac:dyDescent="0.3">
      <c r="AT499">
        <v>1986</v>
      </c>
      <c r="AU499">
        <v>8.8699999999999992</v>
      </c>
    </row>
    <row r="500" spans="46:47" x14ac:dyDescent="0.3">
      <c r="AT500">
        <v>1989</v>
      </c>
      <c r="AU500">
        <v>8.83</v>
      </c>
    </row>
    <row r="501" spans="46:47" x14ac:dyDescent="0.3">
      <c r="AT501">
        <v>2020</v>
      </c>
      <c r="AU501">
        <v>8.8699999999999992</v>
      </c>
    </row>
    <row r="502" spans="46:47" x14ac:dyDescent="0.3">
      <c r="AT502">
        <v>2001</v>
      </c>
      <c r="AU502">
        <v>8.06</v>
      </c>
    </row>
    <row r="503" spans="46:47" x14ac:dyDescent="0.3">
      <c r="AT503">
        <v>2001</v>
      </c>
      <c r="AU503">
        <v>10.99</v>
      </c>
    </row>
    <row r="504" spans="46:47" x14ac:dyDescent="0.3">
      <c r="AT504">
        <v>1996</v>
      </c>
      <c r="AU504">
        <v>9.9600000000000009</v>
      </c>
    </row>
    <row r="505" spans="46:47" x14ac:dyDescent="0.3">
      <c r="AT505">
        <v>2006</v>
      </c>
      <c r="AU505">
        <v>9.99</v>
      </c>
    </row>
    <row r="506" spans="46:47" x14ac:dyDescent="0.3">
      <c r="AT506">
        <v>2019</v>
      </c>
      <c r="AU506">
        <v>9.42</v>
      </c>
    </row>
    <row r="507" spans="46:47" x14ac:dyDescent="0.3">
      <c r="AT507">
        <v>2000</v>
      </c>
      <c r="AU507">
        <v>9.5299999999999994</v>
      </c>
    </row>
    <row r="508" spans="46:47" x14ac:dyDescent="0.3">
      <c r="AT508">
        <v>1993</v>
      </c>
      <c r="AU508">
        <v>8.2200000000000006</v>
      </c>
    </row>
    <row r="509" spans="46:47" x14ac:dyDescent="0.3">
      <c r="AT509">
        <v>1992</v>
      </c>
      <c r="AU509">
        <v>7.84</v>
      </c>
    </row>
    <row r="510" spans="46:47" x14ac:dyDescent="0.3">
      <c r="AT510">
        <v>2023</v>
      </c>
      <c r="AU510">
        <v>8.06</v>
      </c>
    </row>
    <row r="511" spans="46:47" x14ac:dyDescent="0.3">
      <c r="AT511">
        <v>2026</v>
      </c>
      <c r="AU511">
        <v>8.4499999999999993</v>
      </c>
    </row>
    <row r="512" spans="46:47" x14ac:dyDescent="0.3">
      <c r="AT512">
        <v>2003</v>
      </c>
      <c r="AU512">
        <v>8.16</v>
      </c>
    </row>
    <row r="513" spans="46:47" x14ac:dyDescent="0.3">
      <c r="AT513">
        <v>1993</v>
      </c>
      <c r="AU513">
        <v>8.17</v>
      </c>
    </row>
    <row r="514" spans="46:47" x14ac:dyDescent="0.3">
      <c r="AT514">
        <v>1972</v>
      </c>
      <c r="AU514">
        <v>10.44</v>
      </c>
    </row>
    <row r="515" spans="46:47" x14ac:dyDescent="0.3">
      <c r="AT515">
        <v>1971</v>
      </c>
      <c r="AU515">
        <v>8.48</v>
      </c>
    </row>
    <row r="516" spans="46:47" x14ac:dyDescent="0.3">
      <c r="AT516">
        <v>2016</v>
      </c>
      <c r="AU516">
        <v>8.16</v>
      </c>
    </row>
    <row r="519" spans="46:47" x14ac:dyDescent="0.3">
      <c r="AT519" t="s">
        <v>4068</v>
      </c>
      <c r="AU519" t="s">
        <v>958</v>
      </c>
    </row>
    <row r="520" spans="46:47" x14ac:dyDescent="0.3">
      <c r="AT520">
        <v>50</v>
      </c>
      <c r="AU520">
        <v>8.24</v>
      </c>
    </row>
    <row r="521" spans="46:47" x14ac:dyDescent="0.3">
      <c r="AT521">
        <v>44</v>
      </c>
      <c r="AU521">
        <v>8.24</v>
      </c>
    </row>
    <row r="522" spans="46:47" x14ac:dyDescent="0.3">
      <c r="AT522">
        <v>48</v>
      </c>
      <c r="AU522">
        <v>8.41</v>
      </c>
    </row>
    <row r="523" spans="46:47" x14ac:dyDescent="0.3">
      <c r="AT523">
        <v>68</v>
      </c>
      <c r="AU523">
        <v>8.7200000000000006</v>
      </c>
    </row>
    <row r="524" spans="46:47" x14ac:dyDescent="0.3">
      <c r="AT524">
        <v>60</v>
      </c>
      <c r="AU524">
        <v>8.6199999999999992</v>
      </c>
    </row>
    <row r="525" spans="46:47" x14ac:dyDescent="0.3">
      <c r="AT525">
        <v>43</v>
      </c>
      <c r="AU525">
        <v>8.6999999999999993</v>
      </c>
    </row>
    <row r="526" spans="46:47" x14ac:dyDescent="0.3">
      <c r="AT526">
        <v>57</v>
      </c>
      <c r="AU526">
        <v>8.25</v>
      </c>
    </row>
    <row r="527" spans="46:47" x14ac:dyDescent="0.3">
      <c r="AT527">
        <v>40</v>
      </c>
      <c r="AU527">
        <v>8.36</v>
      </c>
    </row>
    <row r="528" spans="46:47" x14ac:dyDescent="0.3">
      <c r="AT528">
        <v>32</v>
      </c>
      <c r="AU528">
        <v>8.6999999999999993</v>
      </c>
    </row>
    <row r="529" spans="46:47" x14ac:dyDescent="0.3">
      <c r="AT529">
        <v>74</v>
      </c>
      <c r="AU529">
        <v>8.76</v>
      </c>
    </row>
    <row r="530" spans="46:47" x14ac:dyDescent="0.3">
      <c r="AT530">
        <v>33</v>
      </c>
      <c r="AU530">
        <v>8.5399999999999991</v>
      </c>
    </row>
    <row r="531" spans="46:47" x14ac:dyDescent="0.3">
      <c r="AT531">
        <v>100</v>
      </c>
      <c r="AU531">
        <v>8.7100000000000009</v>
      </c>
    </row>
    <row r="532" spans="46:47" x14ac:dyDescent="0.3">
      <c r="AT532">
        <v>63</v>
      </c>
      <c r="AU532">
        <v>8.67</v>
      </c>
    </row>
    <row r="533" spans="46:47" x14ac:dyDescent="0.3">
      <c r="AT533">
        <v>156</v>
      </c>
      <c r="AU533">
        <v>8.66</v>
      </c>
    </row>
    <row r="534" spans="46:47" x14ac:dyDescent="0.3">
      <c r="AT534">
        <v>41</v>
      </c>
      <c r="AU534">
        <v>7.04</v>
      </c>
    </row>
    <row r="535" spans="46:47" x14ac:dyDescent="0.3">
      <c r="AT535">
        <v>62</v>
      </c>
      <c r="AU535">
        <v>4.62</v>
      </c>
    </row>
    <row r="536" spans="46:47" x14ac:dyDescent="0.3">
      <c r="AT536">
        <v>34</v>
      </c>
      <c r="AU536">
        <v>8.18</v>
      </c>
    </row>
    <row r="537" spans="46:47" x14ac:dyDescent="0.3">
      <c r="AT537">
        <v>30</v>
      </c>
      <c r="AU537">
        <v>2.39</v>
      </c>
    </row>
    <row r="538" spans="46:47" x14ac:dyDescent="0.3">
      <c r="AT538">
        <v>34</v>
      </c>
      <c r="AU538">
        <v>8.3800000000000008</v>
      </c>
    </row>
    <row r="539" spans="46:47" x14ac:dyDescent="0.3">
      <c r="AT539">
        <v>43</v>
      </c>
      <c r="AU539">
        <v>8.52</v>
      </c>
    </row>
    <row r="540" spans="46:47" x14ac:dyDescent="0.3">
      <c r="AT540">
        <v>38</v>
      </c>
      <c r="AU540">
        <v>8.39</v>
      </c>
    </row>
    <row r="541" spans="46:47" x14ac:dyDescent="0.3">
      <c r="AT541">
        <v>41</v>
      </c>
      <c r="AU541">
        <v>9.43</v>
      </c>
    </row>
    <row r="542" spans="46:47" x14ac:dyDescent="0.3">
      <c r="AT542">
        <v>43</v>
      </c>
      <c r="AU542">
        <v>8.57</v>
      </c>
    </row>
    <row r="543" spans="46:47" x14ac:dyDescent="0.3">
      <c r="AT543">
        <v>39</v>
      </c>
      <c r="AU543">
        <v>8.57</v>
      </c>
    </row>
    <row r="544" spans="46:47" x14ac:dyDescent="0.3">
      <c r="AT544">
        <v>66</v>
      </c>
      <c r="AU544">
        <v>8.84</v>
      </c>
    </row>
    <row r="545" spans="46:47" x14ac:dyDescent="0.3">
      <c r="AT545">
        <v>63</v>
      </c>
      <c r="AU545">
        <v>9.0399999999999991</v>
      </c>
    </row>
    <row r="546" spans="46:47" x14ac:dyDescent="0.3">
      <c r="AT546">
        <v>69</v>
      </c>
      <c r="AU546">
        <v>8.65</v>
      </c>
    </row>
    <row r="547" spans="46:47" x14ac:dyDescent="0.3">
      <c r="AT547">
        <v>70</v>
      </c>
      <c r="AU547">
        <v>8.81</v>
      </c>
    </row>
    <row r="548" spans="46:47" x14ac:dyDescent="0.3">
      <c r="AT548">
        <v>47</v>
      </c>
      <c r="AU548">
        <v>8.56</v>
      </c>
    </row>
    <row r="549" spans="46:47" x14ac:dyDescent="0.3">
      <c r="AT549">
        <v>50</v>
      </c>
      <c r="AU549">
        <v>8.65</v>
      </c>
    </row>
    <row r="550" spans="46:47" x14ac:dyDescent="0.3">
      <c r="AT550">
        <v>58</v>
      </c>
      <c r="AU550">
        <v>8.89</v>
      </c>
    </row>
    <row r="551" spans="46:47" x14ac:dyDescent="0.3">
      <c r="AT551">
        <v>140</v>
      </c>
      <c r="AU551">
        <v>8.91</v>
      </c>
    </row>
    <row r="552" spans="46:47" x14ac:dyDescent="0.3">
      <c r="AT552">
        <v>37</v>
      </c>
      <c r="AU552">
        <v>7.94</v>
      </c>
    </row>
    <row r="553" spans="46:47" x14ac:dyDescent="0.3">
      <c r="AT553">
        <v>67</v>
      </c>
      <c r="AU553">
        <v>8.8800000000000008</v>
      </c>
    </row>
    <row r="554" spans="46:47" x14ac:dyDescent="0.3">
      <c r="AT554">
        <v>71</v>
      </c>
      <c r="AU554">
        <v>8.01</v>
      </c>
    </row>
    <row r="555" spans="46:47" x14ac:dyDescent="0.3">
      <c r="AT555">
        <v>56</v>
      </c>
      <c r="AU555">
        <v>8.57</v>
      </c>
    </row>
    <row r="556" spans="46:47" x14ac:dyDescent="0.3">
      <c r="AT556">
        <v>36</v>
      </c>
      <c r="AU556">
        <v>8.4700000000000006</v>
      </c>
    </row>
    <row r="557" spans="46:47" x14ac:dyDescent="0.3">
      <c r="AT557">
        <v>41</v>
      </c>
      <c r="AU557">
        <v>8.4499999999999993</v>
      </c>
    </row>
    <row r="558" spans="46:47" x14ac:dyDescent="0.3">
      <c r="AT558">
        <v>67</v>
      </c>
      <c r="AU558">
        <v>9</v>
      </c>
    </row>
    <row r="559" spans="46:47" x14ac:dyDescent="0.3">
      <c r="AT559">
        <v>37</v>
      </c>
      <c r="AU559">
        <v>8.81</v>
      </c>
    </row>
    <row r="560" spans="46:47" x14ac:dyDescent="0.3">
      <c r="AT560">
        <v>41</v>
      </c>
      <c r="AU560">
        <v>8.9499999999999993</v>
      </c>
    </row>
    <row r="561" spans="46:47" x14ac:dyDescent="0.3">
      <c r="AT561">
        <v>54</v>
      </c>
      <c r="AU561">
        <v>8.85</v>
      </c>
    </row>
    <row r="562" spans="46:47" x14ac:dyDescent="0.3">
      <c r="AT562">
        <v>62</v>
      </c>
      <c r="AU562">
        <v>8.56</v>
      </c>
    </row>
    <row r="563" spans="46:47" x14ac:dyDescent="0.3">
      <c r="AT563">
        <v>84</v>
      </c>
      <c r="AU563">
        <v>9.17</v>
      </c>
    </row>
    <row r="564" spans="46:47" x14ac:dyDescent="0.3">
      <c r="AT564">
        <v>61</v>
      </c>
      <c r="AU564">
        <v>9.09</v>
      </c>
    </row>
    <row r="565" spans="46:47" x14ac:dyDescent="0.3">
      <c r="AT565">
        <v>74</v>
      </c>
      <c r="AU565">
        <v>8.7899999999999991</v>
      </c>
    </row>
    <row r="566" spans="46:47" x14ac:dyDescent="0.3">
      <c r="AT566">
        <v>74</v>
      </c>
      <c r="AU566">
        <v>7.95</v>
      </c>
    </row>
    <row r="567" spans="46:47" x14ac:dyDescent="0.3">
      <c r="AT567">
        <v>45</v>
      </c>
      <c r="AU567">
        <v>7.79</v>
      </c>
    </row>
    <row r="568" spans="46:47" x14ac:dyDescent="0.3">
      <c r="AT568">
        <v>60</v>
      </c>
      <c r="AU568">
        <v>7.66</v>
      </c>
    </row>
    <row r="569" spans="46:47" x14ac:dyDescent="0.3">
      <c r="AT569">
        <v>39</v>
      </c>
      <c r="AU569">
        <v>8.94</v>
      </c>
    </row>
    <row r="570" spans="46:47" x14ac:dyDescent="0.3">
      <c r="AT570">
        <v>41</v>
      </c>
      <c r="AU570">
        <v>8.67</v>
      </c>
    </row>
    <row r="571" spans="46:47" x14ac:dyDescent="0.3">
      <c r="AT571">
        <v>59</v>
      </c>
      <c r="AU571">
        <v>8.6300000000000008</v>
      </c>
    </row>
    <row r="572" spans="46:47" x14ac:dyDescent="0.3">
      <c r="AT572">
        <v>50</v>
      </c>
      <c r="AU572">
        <v>8.6300000000000008</v>
      </c>
    </row>
    <row r="573" spans="46:47" x14ac:dyDescent="0.3">
      <c r="AT573">
        <v>56</v>
      </c>
      <c r="AU573">
        <v>8.5299999999999994</v>
      </c>
    </row>
    <row r="574" spans="46:47" x14ac:dyDescent="0.3">
      <c r="AT574">
        <v>52</v>
      </c>
      <c r="AU574">
        <v>8.92</v>
      </c>
    </row>
    <row r="575" spans="46:47" x14ac:dyDescent="0.3">
      <c r="AT575">
        <v>51</v>
      </c>
      <c r="AU575">
        <v>8.77</v>
      </c>
    </row>
    <row r="576" spans="46:47" x14ac:dyDescent="0.3">
      <c r="AT576">
        <v>47</v>
      </c>
      <c r="AU576">
        <v>8.1300000000000008</v>
      </c>
    </row>
    <row r="577" spans="46:47" x14ac:dyDescent="0.3">
      <c r="AT577">
        <v>24</v>
      </c>
      <c r="AU577">
        <v>7.61</v>
      </c>
    </row>
    <row r="578" spans="46:47" x14ac:dyDescent="0.3">
      <c r="AT578">
        <v>47</v>
      </c>
      <c r="AU578">
        <v>8.5500000000000007</v>
      </c>
    </row>
    <row r="579" spans="46:47" x14ac:dyDescent="0.3">
      <c r="AT579">
        <v>54</v>
      </c>
      <c r="AU579">
        <v>9.0299999999999994</v>
      </c>
    </row>
    <row r="580" spans="46:47" x14ac:dyDescent="0.3">
      <c r="AT580">
        <v>41</v>
      </c>
      <c r="AU580">
        <v>8.86</v>
      </c>
    </row>
    <row r="581" spans="46:47" x14ac:dyDescent="0.3">
      <c r="AT581">
        <v>41</v>
      </c>
      <c r="AU581">
        <v>8.81</v>
      </c>
    </row>
    <row r="582" spans="46:47" x14ac:dyDescent="0.3">
      <c r="AT582">
        <v>43</v>
      </c>
      <c r="AU582">
        <v>8.3000000000000007</v>
      </c>
    </row>
    <row r="583" spans="46:47" x14ac:dyDescent="0.3">
      <c r="AT583">
        <v>51</v>
      </c>
      <c r="AU583">
        <v>8.2799999999999994</v>
      </c>
    </row>
    <row r="584" spans="46:47" x14ac:dyDescent="0.3">
      <c r="AT584">
        <v>49</v>
      </c>
      <c r="AU584">
        <v>7.7</v>
      </c>
    </row>
    <row r="585" spans="46:47" x14ac:dyDescent="0.3">
      <c r="AT585">
        <v>50</v>
      </c>
      <c r="AU585">
        <v>8.59</v>
      </c>
    </row>
    <row r="586" spans="46:47" x14ac:dyDescent="0.3">
      <c r="AT586">
        <v>77</v>
      </c>
      <c r="AU586">
        <v>8.4700000000000006</v>
      </c>
    </row>
    <row r="587" spans="46:47" x14ac:dyDescent="0.3">
      <c r="AT587">
        <v>40</v>
      </c>
      <c r="AU587">
        <v>8.64</v>
      </c>
    </row>
    <row r="588" spans="46:47" x14ac:dyDescent="0.3">
      <c r="AT588">
        <v>75</v>
      </c>
      <c r="AU588">
        <v>8.65</v>
      </c>
    </row>
    <row r="589" spans="46:47" x14ac:dyDescent="0.3">
      <c r="AT589">
        <v>37</v>
      </c>
      <c r="AU589">
        <v>8.51</v>
      </c>
    </row>
    <row r="590" spans="46:47" x14ac:dyDescent="0.3">
      <c r="AT590">
        <v>40</v>
      </c>
      <c r="AU590">
        <v>8.3699999999999992</v>
      </c>
    </row>
    <row r="591" spans="46:47" x14ac:dyDescent="0.3">
      <c r="AT591">
        <v>40</v>
      </c>
      <c r="AU591">
        <v>8.9499999999999993</v>
      </c>
    </row>
    <row r="592" spans="46:47" x14ac:dyDescent="0.3">
      <c r="AT592">
        <v>35</v>
      </c>
      <c r="AU592">
        <v>10.85</v>
      </c>
    </row>
    <row r="593" spans="46:47" x14ac:dyDescent="0.3">
      <c r="AT593">
        <v>39</v>
      </c>
      <c r="AU593">
        <v>8.65</v>
      </c>
    </row>
    <row r="594" spans="46:47" x14ac:dyDescent="0.3">
      <c r="AT594">
        <v>41</v>
      </c>
      <c r="AU594">
        <v>8.6</v>
      </c>
    </row>
    <row r="595" spans="46:47" x14ac:dyDescent="0.3">
      <c r="AT595">
        <v>60</v>
      </c>
      <c r="AU595">
        <v>8.43</v>
      </c>
    </row>
    <row r="596" spans="46:47" x14ac:dyDescent="0.3">
      <c r="AT596">
        <v>43</v>
      </c>
      <c r="AU596">
        <v>8.7799999999999994</v>
      </c>
    </row>
    <row r="597" spans="46:47" x14ac:dyDescent="0.3">
      <c r="AT597">
        <v>36</v>
      </c>
      <c r="AU597">
        <v>8.83</v>
      </c>
    </row>
    <row r="598" spans="46:47" x14ac:dyDescent="0.3">
      <c r="AT598">
        <v>45</v>
      </c>
      <c r="AU598">
        <v>8.9600000000000009</v>
      </c>
    </row>
    <row r="599" spans="46:47" x14ac:dyDescent="0.3">
      <c r="AT599">
        <v>53</v>
      </c>
      <c r="AU599">
        <v>8.83</v>
      </c>
    </row>
    <row r="600" spans="46:47" x14ac:dyDescent="0.3">
      <c r="AT600">
        <v>87</v>
      </c>
      <c r="AU600">
        <v>10.220000000000001</v>
      </c>
    </row>
    <row r="601" spans="46:47" x14ac:dyDescent="0.3">
      <c r="AT601">
        <v>74</v>
      </c>
      <c r="AU601">
        <v>8.9600000000000009</v>
      </c>
    </row>
    <row r="602" spans="46:47" x14ac:dyDescent="0.3">
      <c r="AT602">
        <v>63</v>
      </c>
      <c r="AU602">
        <v>8.84</v>
      </c>
    </row>
    <row r="603" spans="46:47" x14ac:dyDescent="0.3">
      <c r="AT603">
        <v>66</v>
      </c>
      <c r="AU603">
        <v>8.84</v>
      </c>
    </row>
    <row r="604" spans="46:47" x14ac:dyDescent="0.3">
      <c r="AT604">
        <v>75</v>
      </c>
      <c r="AU604">
        <v>8.68</v>
      </c>
    </row>
    <row r="605" spans="46:47" x14ac:dyDescent="0.3">
      <c r="AT605">
        <v>43</v>
      </c>
      <c r="AU605">
        <v>8.34</v>
      </c>
    </row>
    <row r="606" spans="46:47" x14ac:dyDescent="0.3">
      <c r="AT606">
        <v>51</v>
      </c>
      <c r="AU606">
        <v>8.89</v>
      </c>
    </row>
    <row r="607" spans="46:47" x14ac:dyDescent="0.3">
      <c r="AT607">
        <v>56</v>
      </c>
      <c r="AU607">
        <v>8.75</v>
      </c>
    </row>
    <row r="608" spans="46:47" x14ac:dyDescent="0.3">
      <c r="AT608">
        <v>64</v>
      </c>
      <c r="AU608">
        <v>8.23</v>
      </c>
    </row>
    <row r="609" spans="46:47" x14ac:dyDescent="0.3">
      <c r="AT609">
        <v>66</v>
      </c>
      <c r="AU609">
        <v>8</v>
      </c>
    </row>
    <row r="610" spans="46:47" x14ac:dyDescent="0.3">
      <c r="AT610">
        <v>84</v>
      </c>
      <c r="AU610">
        <v>9.34</v>
      </c>
    </row>
    <row r="611" spans="46:47" x14ac:dyDescent="0.3">
      <c r="AT611">
        <v>36</v>
      </c>
      <c r="AU611">
        <v>8.5299999999999994</v>
      </c>
    </row>
    <row r="612" spans="46:47" x14ac:dyDescent="0.3">
      <c r="AT612">
        <v>29</v>
      </c>
      <c r="AU612">
        <v>7.16</v>
      </c>
    </row>
    <row r="613" spans="46:47" x14ac:dyDescent="0.3">
      <c r="AT613">
        <v>33</v>
      </c>
      <c r="AU613">
        <v>8.77</v>
      </c>
    </row>
    <row r="614" spans="46:47" x14ac:dyDescent="0.3">
      <c r="AT614">
        <v>50</v>
      </c>
      <c r="AU614">
        <v>8.7200000000000006</v>
      </c>
    </row>
    <row r="615" spans="46:47" x14ac:dyDescent="0.3">
      <c r="AT615">
        <v>49</v>
      </c>
      <c r="AU615">
        <v>8.93</v>
      </c>
    </row>
    <row r="616" spans="46:47" x14ac:dyDescent="0.3">
      <c r="AT616">
        <v>40</v>
      </c>
      <c r="AU616">
        <v>8.6999999999999993</v>
      </c>
    </row>
    <row r="617" spans="46:47" x14ac:dyDescent="0.3">
      <c r="AT617">
        <v>44</v>
      </c>
      <c r="AU617">
        <v>8.83</v>
      </c>
    </row>
    <row r="618" spans="46:47" x14ac:dyDescent="0.3">
      <c r="AT618">
        <v>50</v>
      </c>
      <c r="AU618">
        <v>6.99</v>
      </c>
    </row>
    <row r="619" spans="46:47" x14ac:dyDescent="0.3">
      <c r="AT619">
        <v>51</v>
      </c>
      <c r="AU619">
        <v>8.74</v>
      </c>
    </row>
    <row r="620" spans="46:47" x14ac:dyDescent="0.3">
      <c r="AT620">
        <v>61</v>
      </c>
      <c r="AU620">
        <v>8.68</v>
      </c>
    </row>
    <row r="621" spans="46:47" x14ac:dyDescent="0.3">
      <c r="AT621">
        <v>39</v>
      </c>
      <c r="AU621">
        <v>8.1999999999999993</v>
      </c>
    </row>
    <row r="622" spans="46:47" x14ac:dyDescent="0.3">
      <c r="AT622">
        <v>48</v>
      </c>
      <c r="AU622">
        <v>8.5399999999999991</v>
      </c>
    </row>
    <row r="623" spans="46:47" x14ac:dyDescent="0.3">
      <c r="AT623">
        <v>84</v>
      </c>
      <c r="AU623">
        <v>8.5299999999999994</v>
      </c>
    </row>
    <row r="624" spans="46:47" x14ac:dyDescent="0.3">
      <c r="AT624">
        <v>68</v>
      </c>
      <c r="AU624">
        <v>8.7899999999999991</v>
      </c>
    </row>
    <row r="625" spans="46:47" x14ac:dyDescent="0.3">
      <c r="AT625">
        <v>76</v>
      </c>
      <c r="AU625">
        <v>8.6199999999999992</v>
      </c>
    </row>
    <row r="626" spans="46:47" x14ac:dyDescent="0.3">
      <c r="AT626">
        <v>42</v>
      </c>
      <c r="AU626">
        <v>7.2</v>
      </c>
    </row>
    <row r="627" spans="46:47" x14ac:dyDescent="0.3">
      <c r="AT627">
        <v>48</v>
      </c>
      <c r="AU627">
        <v>8.34</v>
      </c>
    </row>
    <row r="628" spans="46:47" x14ac:dyDescent="0.3">
      <c r="AT628">
        <v>63</v>
      </c>
      <c r="AU628">
        <v>7.95</v>
      </c>
    </row>
    <row r="629" spans="46:47" x14ac:dyDescent="0.3">
      <c r="AT629">
        <v>79</v>
      </c>
      <c r="AU629">
        <v>8.8800000000000008</v>
      </c>
    </row>
    <row r="630" spans="46:47" x14ac:dyDescent="0.3">
      <c r="AT630">
        <v>23</v>
      </c>
      <c r="AU630">
        <v>8.16</v>
      </c>
    </row>
    <row r="631" spans="46:47" x14ac:dyDescent="0.3">
      <c r="AT631">
        <v>67</v>
      </c>
      <c r="AU631">
        <v>9.4600000000000009</v>
      </c>
    </row>
    <row r="632" spans="46:47" x14ac:dyDescent="0.3">
      <c r="AT632">
        <v>38</v>
      </c>
      <c r="AU632">
        <v>9.36</v>
      </c>
    </row>
    <row r="633" spans="46:47" x14ac:dyDescent="0.3">
      <c r="AT633">
        <v>37</v>
      </c>
      <c r="AU633">
        <v>8.82</v>
      </c>
    </row>
    <row r="634" spans="46:47" x14ac:dyDescent="0.3">
      <c r="AT634">
        <v>39</v>
      </c>
      <c r="AU634">
        <v>8.77</v>
      </c>
    </row>
    <row r="635" spans="46:47" x14ac:dyDescent="0.3">
      <c r="AT635">
        <v>24</v>
      </c>
      <c r="AU635">
        <v>8.1300000000000008</v>
      </c>
    </row>
    <row r="636" spans="46:47" x14ac:dyDescent="0.3">
      <c r="AT636">
        <v>42</v>
      </c>
      <c r="AU636">
        <v>9.5299999999999994</v>
      </c>
    </row>
    <row r="637" spans="46:47" x14ac:dyDescent="0.3">
      <c r="AT637">
        <v>43</v>
      </c>
      <c r="AU637">
        <v>8.5399999999999991</v>
      </c>
    </row>
    <row r="638" spans="46:47" x14ac:dyDescent="0.3">
      <c r="AT638">
        <v>36</v>
      </c>
      <c r="AU638">
        <v>9</v>
      </c>
    </row>
    <row r="639" spans="46:47" x14ac:dyDescent="0.3">
      <c r="AT639">
        <v>37</v>
      </c>
      <c r="AU639">
        <v>8.34</v>
      </c>
    </row>
    <row r="640" spans="46:47" x14ac:dyDescent="0.3">
      <c r="AT640">
        <v>22</v>
      </c>
      <c r="AU640">
        <v>8.6999999999999993</v>
      </c>
    </row>
    <row r="641" spans="46:47" x14ac:dyDescent="0.3">
      <c r="AT641">
        <v>42</v>
      </c>
      <c r="AU641">
        <v>8.5299999999999994</v>
      </c>
    </row>
    <row r="642" spans="46:47" x14ac:dyDescent="0.3">
      <c r="AT642">
        <v>58</v>
      </c>
      <c r="AU642">
        <v>8.39</v>
      </c>
    </row>
    <row r="643" spans="46:47" x14ac:dyDescent="0.3">
      <c r="AT643">
        <v>53</v>
      </c>
      <c r="AU643">
        <v>8.6300000000000008</v>
      </c>
    </row>
    <row r="644" spans="46:47" x14ac:dyDescent="0.3">
      <c r="AT644">
        <v>35</v>
      </c>
      <c r="AU644">
        <v>9.1</v>
      </c>
    </row>
    <row r="645" spans="46:47" x14ac:dyDescent="0.3">
      <c r="AT645">
        <v>40</v>
      </c>
      <c r="AU645">
        <v>8.5299999999999994</v>
      </c>
    </row>
    <row r="646" spans="46:47" x14ac:dyDescent="0.3">
      <c r="AT646">
        <v>63</v>
      </c>
      <c r="AU646">
        <v>8.66</v>
      </c>
    </row>
    <row r="647" spans="46:47" x14ac:dyDescent="0.3">
      <c r="AT647">
        <v>40</v>
      </c>
      <c r="AU647">
        <v>9.09</v>
      </c>
    </row>
    <row r="648" spans="46:47" x14ac:dyDescent="0.3">
      <c r="AT648">
        <v>47</v>
      </c>
      <c r="AU648">
        <v>7.64</v>
      </c>
    </row>
    <row r="649" spans="46:47" x14ac:dyDescent="0.3">
      <c r="AT649">
        <v>52</v>
      </c>
      <c r="AU649">
        <v>8.7899999999999991</v>
      </c>
    </row>
    <row r="650" spans="46:47" x14ac:dyDescent="0.3">
      <c r="AT650">
        <v>53</v>
      </c>
      <c r="AU650">
        <v>8.2100000000000009</v>
      </c>
    </row>
    <row r="651" spans="46:47" x14ac:dyDescent="0.3">
      <c r="AT651">
        <v>54</v>
      </c>
      <c r="AU651">
        <v>9.3699999999999992</v>
      </c>
    </row>
    <row r="652" spans="46:47" x14ac:dyDescent="0.3">
      <c r="AT652">
        <v>47</v>
      </c>
      <c r="AU652">
        <v>9.2100000000000009</v>
      </c>
    </row>
    <row r="653" spans="46:47" x14ac:dyDescent="0.3">
      <c r="AT653">
        <v>65</v>
      </c>
      <c r="AU653">
        <v>9.08</v>
      </c>
    </row>
    <row r="654" spans="46:47" x14ac:dyDescent="0.3">
      <c r="AT654">
        <v>51</v>
      </c>
      <c r="AU654">
        <v>8.61</v>
      </c>
    </row>
    <row r="655" spans="46:47" x14ac:dyDescent="0.3">
      <c r="AT655">
        <v>62</v>
      </c>
      <c r="AU655">
        <v>8.65</v>
      </c>
    </row>
    <row r="656" spans="46:47" x14ac:dyDescent="0.3">
      <c r="AT656">
        <v>78</v>
      </c>
      <c r="AU656">
        <v>7.96</v>
      </c>
    </row>
    <row r="657" spans="46:47" x14ac:dyDescent="0.3">
      <c r="AT657">
        <v>75</v>
      </c>
      <c r="AU657">
        <v>3.37</v>
      </c>
    </row>
    <row r="658" spans="46:47" x14ac:dyDescent="0.3">
      <c r="AT658">
        <v>47</v>
      </c>
      <c r="AU658">
        <v>8.49</v>
      </c>
    </row>
    <row r="659" spans="46:47" x14ac:dyDescent="0.3">
      <c r="AT659">
        <v>42</v>
      </c>
      <c r="AU659">
        <v>9.02</v>
      </c>
    </row>
    <row r="660" spans="46:47" x14ac:dyDescent="0.3">
      <c r="AT660">
        <v>51</v>
      </c>
      <c r="AU660">
        <v>8.3699999999999992</v>
      </c>
    </row>
    <row r="661" spans="46:47" x14ac:dyDescent="0.3">
      <c r="AT661">
        <v>46</v>
      </c>
      <c r="AU661">
        <v>8.3000000000000007</v>
      </c>
    </row>
    <row r="662" spans="46:47" x14ac:dyDescent="0.3">
      <c r="AT662">
        <v>48</v>
      </c>
      <c r="AU662">
        <v>8.67</v>
      </c>
    </row>
    <row r="663" spans="46:47" x14ac:dyDescent="0.3">
      <c r="AT663">
        <v>39</v>
      </c>
      <c r="AU663">
        <v>8.76</v>
      </c>
    </row>
    <row r="664" spans="46:47" x14ac:dyDescent="0.3">
      <c r="AT664">
        <v>71</v>
      </c>
      <c r="AU664">
        <v>9.23</v>
      </c>
    </row>
    <row r="665" spans="46:47" x14ac:dyDescent="0.3">
      <c r="AT665">
        <v>63</v>
      </c>
      <c r="AU665">
        <v>8.3800000000000008</v>
      </c>
    </row>
    <row r="666" spans="46:47" x14ac:dyDescent="0.3">
      <c r="AT666">
        <v>63</v>
      </c>
      <c r="AU666">
        <v>8.76</v>
      </c>
    </row>
    <row r="667" spans="46:47" x14ac:dyDescent="0.3">
      <c r="AT667">
        <v>62</v>
      </c>
      <c r="AU667">
        <v>8.49</v>
      </c>
    </row>
    <row r="668" spans="46:47" x14ac:dyDescent="0.3">
      <c r="AT668">
        <v>58</v>
      </c>
      <c r="AU668">
        <v>8.27</v>
      </c>
    </row>
    <row r="669" spans="46:47" x14ac:dyDescent="0.3">
      <c r="AT669">
        <v>76</v>
      </c>
      <c r="AU669">
        <v>9.44</v>
      </c>
    </row>
    <row r="670" spans="46:47" x14ac:dyDescent="0.3">
      <c r="AT670">
        <v>66</v>
      </c>
      <c r="AU670">
        <v>9.14</v>
      </c>
    </row>
    <row r="671" spans="46:47" x14ac:dyDescent="0.3">
      <c r="AT671">
        <v>61</v>
      </c>
      <c r="AU671">
        <v>8.9</v>
      </c>
    </row>
    <row r="672" spans="46:47" x14ac:dyDescent="0.3">
      <c r="AT672">
        <v>62</v>
      </c>
      <c r="AU672">
        <v>8.85</v>
      </c>
    </row>
    <row r="673" spans="46:47" x14ac:dyDescent="0.3">
      <c r="AT673">
        <v>43</v>
      </c>
      <c r="AU673">
        <v>8.73</v>
      </c>
    </row>
    <row r="674" spans="46:47" x14ac:dyDescent="0.3">
      <c r="AT674">
        <v>55</v>
      </c>
      <c r="AU674">
        <v>8.5500000000000007</v>
      </c>
    </row>
    <row r="675" spans="46:47" x14ac:dyDescent="0.3">
      <c r="AT675">
        <v>50</v>
      </c>
      <c r="AU675">
        <v>8.4600000000000009</v>
      </c>
    </row>
    <row r="676" spans="46:47" x14ac:dyDescent="0.3">
      <c r="AT676">
        <v>74</v>
      </c>
      <c r="AU676">
        <v>8.25</v>
      </c>
    </row>
    <row r="677" spans="46:47" x14ac:dyDescent="0.3">
      <c r="AT677">
        <v>62</v>
      </c>
      <c r="AU677">
        <v>8.27</v>
      </c>
    </row>
    <row r="678" spans="46:47" x14ac:dyDescent="0.3">
      <c r="AT678">
        <v>55</v>
      </c>
      <c r="AU678">
        <v>8.1300000000000008</v>
      </c>
    </row>
    <row r="679" spans="46:47" x14ac:dyDescent="0.3">
      <c r="AT679">
        <v>56</v>
      </c>
      <c r="AU679">
        <v>8.0299999999999994</v>
      </c>
    </row>
    <row r="680" spans="46:47" x14ac:dyDescent="0.3">
      <c r="AT680">
        <v>71</v>
      </c>
      <c r="AU680">
        <v>7.94</v>
      </c>
    </row>
    <row r="681" spans="46:47" x14ac:dyDescent="0.3">
      <c r="AT681">
        <v>68</v>
      </c>
      <c r="AU681">
        <v>7.89</v>
      </c>
    </row>
    <row r="682" spans="46:47" x14ac:dyDescent="0.3">
      <c r="AT682">
        <v>57</v>
      </c>
      <c r="AU682">
        <v>7.66</v>
      </c>
    </row>
    <row r="683" spans="46:47" x14ac:dyDescent="0.3">
      <c r="AT683">
        <v>48</v>
      </c>
      <c r="AU683">
        <v>8.8800000000000008</v>
      </c>
    </row>
    <row r="684" spans="46:47" x14ac:dyDescent="0.3">
      <c r="AT684">
        <v>61</v>
      </c>
      <c r="AU684">
        <v>8.43</v>
      </c>
    </row>
    <row r="685" spans="46:47" x14ac:dyDescent="0.3">
      <c r="AT685">
        <v>54</v>
      </c>
      <c r="AU685">
        <v>8.8800000000000008</v>
      </c>
    </row>
    <row r="686" spans="46:47" x14ac:dyDescent="0.3">
      <c r="AT686">
        <v>44</v>
      </c>
      <c r="AU686">
        <v>10.39</v>
      </c>
    </row>
    <row r="687" spans="46:47" x14ac:dyDescent="0.3">
      <c r="AT687">
        <v>42</v>
      </c>
      <c r="AU687">
        <v>10</v>
      </c>
    </row>
    <row r="688" spans="46:47" x14ac:dyDescent="0.3">
      <c r="AT688">
        <v>41</v>
      </c>
      <c r="AU688">
        <v>9.5500000000000007</v>
      </c>
    </row>
    <row r="689" spans="46:47" x14ac:dyDescent="0.3">
      <c r="AT689">
        <v>46</v>
      </c>
      <c r="AU689">
        <v>8.9700000000000006</v>
      </c>
    </row>
    <row r="690" spans="46:47" x14ac:dyDescent="0.3">
      <c r="AT690">
        <v>81</v>
      </c>
      <c r="AU690">
        <v>8.9700000000000006</v>
      </c>
    </row>
    <row r="691" spans="46:47" x14ac:dyDescent="0.3">
      <c r="AT691">
        <v>51</v>
      </c>
      <c r="AU691">
        <v>9.23</v>
      </c>
    </row>
    <row r="692" spans="46:47" x14ac:dyDescent="0.3">
      <c r="AT692">
        <v>59</v>
      </c>
      <c r="AU692">
        <v>9.0399999999999991</v>
      </c>
    </row>
    <row r="693" spans="46:47" x14ac:dyDescent="0.3">
      <c r="AT693">
        <v>68</v>
      </c>
      <c r="AU693">
        <v>8.81</v>
      </c>
    </row>
    <row r="694" spans="46:47" x14ac:dyDescent="0.3">
      <c r="AT694">
        <v>56</v>
      </c>
      <c r="AU694">
        <v>8.7799999999999994</v>
      </c>
    </row>
    <row r="695" spans="46:47" x14ac:dyDescent="0.3">
      <c r="AT695">
        <v>49</v>
      </c>
      <c r="AU695">
        <v>8.8800000000000008</v>
      </c>
    </row>
    <row r="696" spans="46:47" x14ac:dyDescent="0.3">
      <c r="AT696">
        <v>49</v>
      </c>
      <c r="AU696">
        <v>8.4700000000000006</v>
      </c>
    </row>
    <row r="697" spans="46:47" x14ac:dyDescent="0.3">
      <c r="AT697">
        <v>65</v>
      </c>
      <c r="AU697">
        <v>8.65</v>
      </c>
    </row>
    <row r="698" spans="46:47" x14ac:dyDescent="0.3">
      <c r="AT698">
        <v>42</v>
      </c>
      <c r="AU698">
        <v>10.37</v>
      </c>
    </row>
    <row r="699" spans="46:47" x14ac:dyDescent="0.3">
      <c r="AT699">
        <v>53</v>
      </c>
      <c r="AU699">
        <v>10.07</v>
      </c>
    </row>
    <row r="700" spans="46:47" x14ac:dyDescent="0.3">
      <c r="AT700">
        <v>47</v>
      </c>
      <c r="AU700">
        <v>9.3699999999999992</v>
      </c>
    </row>
    <row r="701" spans="46:47" x14ac:dyDescent="0.3">
      <c r="AT701">
        <v>48</v>
      </c>
      <c r="AU701">
        <v>9.14</v>
      </c>
    </row>
    <row r="702" spans="46:47" x14ac:dyDescent="0.3">
      <c r="AT702">
        <v>52</v>
      </c>
      <c r="AU702">
        <v>8.75</v>
      </c>
    </row>
    <row r="703" spans="46:47" x14ac:dyDescent="0.3">
      <c r="AT703">
        <v>56</v>
      </c>
      <c r="AU703">
        <v>8.56</v>
      </c>
    </row>
    <row r="704" spans="46:47" x14ac:dyDescent="0.3">
      <c r="AT704">
        <v>43</v>
      </c>
      <c r="AU704">
        <v>8.11</v>
      </c>
    </row>
    <row r="705" spans="46:47" x14ac:dyDescent="0.3">
      <c r="AT705">
        <v>37</v>
      </c>
      <c r="AU705">
        <v>7.74</v>
      </c>
    </row>
    <row r="706" spans="46:47" x14ac:dyDescent="0.3">
      <c r="AT706">
        <v>42</v>
      </c>
      <c r="AU706">
        <v>7.4</v>
      </c>
    </row>
    <row r="707" spans="46:47" x14ac:dyDescent="0.3">
      <c r="AT707">
        <v>33</v>
      </c>
      <c r="AU707">
        <v>8.5</v>
      </c>
    </row>
    <row r="708" spans="46:47" x14ac:dyDescent="0.3">
      <c r="AT708">
        <v>63</v>
      </c>
      <c r="AU708">
        <v>7.98</v>
      </c>
    </row>
    <row r="709" spans="46:47" x14ac:dyDescent="0.3">
      <c r="AT709">
        <v>40</v>
      </c>
      <c r="AU709">
        <v>8.67</v>
      </c>
    </row>
    <row r="710" spans="46:47" x14ac:dyDescent="0.3">
      <c r="AT710">
        <v>45</v>
      </c>
      <c r="AU710">
        <v>8.58</v>
      </c>
    </row>
    <row r="711" spans="46:47" x14ac:dyDescent="0.3">
      <c r="AT711">
        <v>71</v>
      </c>
      <c r="AU711">
        <v>8.56</v>
      </c>
    </row>
    <row r="712" spans="46:47" x14ac:dyDescent="0.3">
      <c r="AT712">
        <v>28</v>
      </c>
      <c r="AU712">
        <v>8.34</v>
      </c>
    </row>
    <row r="713" spans="46:47" x14ac:dyDescent="0.3">
      <c r="AT713">
        <v>42</v>
      </c>
      <c r="AU713">
        <v>8.56</v>
      </c>
    </row>
    <row r="714" spans="46:47" x14ac:dyDescent="0.3">
      <c r="AT714">
        <v>39</v>
      </c>
      <c r="AU714">
        <v>8.83</v>
      </c>
    </row>
    <row r="715" spans="46:47" x14ac:dyDescent="0.3">
      <c r="AT715">
        <v>50</v>
      </c>
      <c r="AU715">
        <v>7.66</v>
      </c>
    </row>
    <row r="716" spans="46:47" x14ac:dyDescent="0.3">
      <c r="AT716">
        <v>40</v>
      </c>
      <c r="AU716">
        <v>8.5</v>
      </c>
    </row>
    <row r="717" spans="46:47" x14ac:dyDescent="0.3">
      <c r="AT717">
        <v>56</v>
      </c>
      <c r="AU717">
        <v>8.5</v>
      </c>
    </row>
    <row r="718" spans="46:47" x14ac:dyDescent="0.3">
      <c r="AT718">
        <v>54</v>
      </c>
      <c r="AU718">
        <v>8.61</v>
      </c>
    </row>
    <row r="719" spans="46:47" x14ac:dyDescent="0.3">
      <c r="AT719">
        <v>43</v>
      </c>
      <c r="AU719">
        <v>9.02</v>
      </c>
    </row>
    <row r="720" spans="46:47" x14ac:dyDescent="0.3">
      <c r="AT720">
        <v>46</v>
      </c>
      <c r="AU720">
        <v>8.6300000000000008</v>
      </c>
    </row>
    <row r="721" spans="46:47" x14ac:dyDescent="0.3">
      <c r="AT721">
        <v>121</v>
      </c>
      <c r="AU721">
        <v>8.7799999999999994</v>
      </c>
    </row>
    <row r="722" spans="46:47" x14ac:dyDescent="0.3">
      <c r="AT722">
        <v>141</v>
      </c>
      <c r="AU722">
        <v>8.52</v>
      </c>
    </row>
    <row r="723" spans="46:47" x14ac:dyDescent="0.3">
      <c r="AT723">
        <v>73</v>
      </c>
      <c r="AU723">
        <v>8.9600000000000009</v>
      </c>
    </row>
    <row r="724" spans="46:47" x14ac:dyDescent="0.3">
      <c r="AT724">
        <v>57</v>
      </c>
      <c r="AU724">
        <v>8.89</v>
      </c>
    </row>
    <row r="725" spans="46:47" x14ac:dyDescent="0.3">
      <c r="AT725">
        <v>44</v>
      </c>
      <c r="AU725">
        <v>9</v>
      </c>
    </row>
    <row r="726" spans="46:47" x14ac:dyDescent="0.3">
      <c r="AT726">
        <v>40</v>
      </c>
      <c r="AU726">
        <v>8.92</v>
      </c>
    </row>
    <row r="727" spans="46:47" x14ac:dyDescent="0.3">
      <c r="AT727">
        <v>47</v>
      </c>
      <c r="AU727">
        <v>8.7899999999999991</v>
      </c>
    </row>
    <row r="728" spans="46:47" x14ac:dyDescent="0.3">
      <c r="AT728">
        <v>51</v>
      </c>
      <c r="AU728">
        <v>8.6199999999999992</v>
      </c>
    </row>
    <row r="729" spans="46:47" x14ac:dyDescent="0.3">
      <c r="AT729">
        <v>42</v>
      </c>
      <c r="AU729">
        <v>9.23</v>
      </c>
    </row>
    <row r="730" spans="46:47" x14ac:dyDescent="0.3">
      <c r="AT730">
        <v>47</v>
      </c>
      <c r="AU730">
        <v>8.83</v>
      </c>
    </row>
    <row r="731" spans="46:47" x14ac:dyDescent="0.3">
      <c r="AT731">
        <v>39</v>
      </c>
      <c r="AU731">
        <v>8.86</v>
      </c>
    </row>
    <row r="732" spans="46:47" x14ac:dyDescent="0.3">
      <c r="AT732">
        <v>34</v>
      </c>
      <c r="AU732">
        <v>8.39</v>
      </c>
    </row>
    <row r="733" spans="46:47" x14ac:dyDescent="0.3">
      <c r="AT733">
        <v>65</v>
      </c>
      <c r="AU733">
        <v>8.6</v>
      </c>
    </row>
    <row r="734" spans="46:47" x14ac:dyDescent="0.3">
      <c r="AT734">
        <v>72</v>
      </c>
      <c r="AU734">
        <v>8.7100000000000009</v>
      </c>
    </row>
    <row r="735" spans="46:47" x14ac:dyDescent="0.3">
      <c r="AT735">
        <v>76</v>
      </c>
      <c r="AU735">
        <v>8.33</v>
      </c>
    </row>
    <row r="736" spans="46:47" x14ac:dyDescent="0.3">
      <c r="AT736">
        <v>41</v>
      </c>
      <c r="AU736">
        <v>8.16</v>
      </c>
    </row>
    <row r="737" spans="46:47" x14ac:dyDescent="0.3">
      <c r="AT737">
        <v>56</v>
      </c>
      <c r="AU737">
        <v>8.61</v>
      </c>
    </row>
    <row r="738" spans="46:47" x14ac:dyDescent="0.3">
      <c r="AT738">
        <v>121</v>
      </c>
      <c r="AU738">
        <v>8.6300000000000008</v>
      </c>
    </row>
    <row r="739" spans="46:47" x14ac:dyDescent="0.3">
      <c r="AT739">
        <v>62</v>
      </c>
      <c r="AU739">
        <v>8.27</v>
      </c>
    </row>
    <row r="740" spans="46:47" x14ac:dyDescent="0.3">
      <c r="AT740">
        <v>37</v>
      </c>
      <c r="AU740">
        <v>8.8699999999999992</v>
      </c>
    </row>
    <row r="741" spans="46:47" x14ac:dyDescent="0.3">
      <c r="AT741">
        <v>58</v>
      </c>
      <c r="AU741">
        <v>8.83</v>
      </c>
    </row>
    <row r="742" spans="46:47" x14ac:dyDescent="0.3">
      <c r="AT742">
        <v>45</v>
      </c>
      <c r="AU742">
        <v>8.8699999999999992</v>
      </c>
    </row>
    <row r="743" spans="46:47" x14ac:dyDescent="0.3">
      <c r="AT743">
        <v>35</v>
      </c>
      <c r="AU743">
        <v>8.06</v>
      </c>
    </row>
    <row r="744" spans="46:47" x14ac:dyDescent="0.3">
      <c r="AT744">
        <v>76</v>
      </c>
      <c r="AU744">
        <v>10.99</v>
      </c>
    </row>
    <row r="745" spans="46:47" x14ac:dyDescent="0.3">
      <c r="AT745">
        <v>77</v>
      </c>
      <c r="AU745">
        <v>9.9600000000000009</v>
      </c>
    </row>
    <row r="746" spans="46:47" x14ac:dyDescent="0.3">
      <c r="AT746">
        <v>75</v>
      </c>
      <c r="AU746">
        <v>9.99</v>
      </c>
    </row>
    <row r="747" spans="46:47" x14ac:dyDescent="0.3">
      <c r="AT747">
        <v>86</v>
      </c>
      <c r="AU747">
        <v>9.42</v>
      </c>
    </row>
    <row r="748" spans="46:47" x14ac:dyDescent="0.3">
      <c r="AT748">
        <v>73</v>
      </c>
      <c r="AU748">
        <v>9.5299999999999994</v>
      </c>
    </row>
    <row r="749" spans="46:47" x14ac:dyDescent="0.3">
      <c r="AT749">
        <v>68</v>
      </c>
      <c r="AU749">
        <v>8.2200000000000006</v>
      </c>
    </row>
    <row r="750" spans="46:47" x14ac:dyDescent="0.3">
      <c r="AT750">
        <v>26</v>
      </c>
      <c r="AU750">
        <v>7.84</v>
      </c>
    </row>
    <row r="751" spans="46:47" x14ac:dyDescent="0.3">
      <c r="AT751">
        <v>73</v>
      </c>
      <c r="AU751">
        <v>8.06</v>
      </c>
    </row>
    <row r="752" spans="46:47" x14ac:dyDescent="0.3">
      <c r="AT752">
        <v>34</v>
      </c>
      <c r="AU752">
        <v>8.4499999999999993</v>
      </c>
    </row>
    <row r="753" spans="46:47" x14ac:dyDescent="0.3">
      <c r="AT753">
        <v>55</v>
      </c>
      <c r="AU753">
        <v>8.16</v>
      </c>
    </row>
    <row r="754" spans="46:47" x14ac:dyDescent="0.3">
      <c r="AT754">
        <v>36</v>
      </c>
      <c r="AU754">
        <v>8.17</v>
      </c>
    </row>
    <row r="755" spans="46:47" x14ac:dyDescent="0.3">
      <c r="AT755">
        <v>38</v>
      </c>
      <c r="AU755">
        <v>10.44</v>
      </c>
    </row>
    <row r="756" spans="46:47" x14ac:dyDescent="0.3">
      <c r="AT756">
        <v>41</v>
      </c>
      <c r="AU756">
        <v>8.48</v>
      </c>
    </row>
    <row r="757" spans="46:47" x14ac:dyDescent="0.3">
      <c r="AT757">
        <v>58</v>
      </c>
      <c r="AU757">
        <v>8.16</v>
      </c>
    </row>
    <row r="760" spans="46:47" x14ac:dyDescent="0.3">
      <c r="AT760" t="s">
        <v>4069</v>
      </c>
      <c r="AU760" t="s">
        <v>958</v>
      </c>
    </row>
    <row r="761" spans="46:47" x14ac:dyDescent="0.3">
      <c r="AT761">
        <v>12</v>
      </c>
      <c r="AU761">
        <v>8.24</v>
      </c>
    </row>
    <row r="762" spans="46:47" x14ac:dyDescent="0.3">
      <c r="AT762">
        <v>12</v>
      </c>
      <c r="AU762">
        <v>8.24</v>
      </c>
    </row>
    <row r="763" spans="46:47" x14ac:dyDescent="0.3">
      <c r="AT763">
        <v>14</v>
      </c>
      <c r="AU763">
        <v>8.41</v>
      </c>
    </row>
    <row r="764" spans="46:47" x14ac:dyDescent="0.3">
      <c r="AT764">
        <v>9</v>
      </c>
      <c r="AU764">
        <v>8.7200000000000006</v>
      </c>
    </row>
    <row r="765" spans="46:47" x14ac:dyDescent="0.3">
      <c r="AT765">
        <v>8</v>
      </c>
      <c r="AU765">
        <v>8.6199999999999992</v>
      </c>
    </row>
    <row r="766" spans="46:47" x14ac:dyDescent="0.3">
      <c r="AT766">
        <v>10</v>
      </c>
      <c r="AU766">
        <v>8.6999999999999993</v>
      </c>
    </row>
    <row r="767" spans="46:47" x14ac:dyDescent="0.3">
      <c r="AT767">
        <v>12</v>
      </c>
      <c r="AU767">
        <v>8.25</v>
      </c>
    </row>
    <row r="768" spans="46:47" x14ac:dyDescent="0.3">
      <c r="AT768">
        <v>9</v>
      </c>
      <c r="AU768">
        <v>8.36</v>
      </c>
    </row>
    <row r="769" spans="46:47" x14ac:dyDescent="0.3">
      <c r="AT769">
        <v>10</v>
      </c>
      <c r="AU769">
        <v>8.6999999999999993</v>
      </c>
    </row>
    <row r="770" spans="46:47" x14ac:dyDescent="0.3">
      <c r="AT770">
        <v>13</v>
      </c>
      <c r="AU770">
        <v>8.76</v>
      </c>
    </row>
    <row r="771" spans="46:47" x14ac:dyDescent="0.3">
      <c r="AT771">
        <v>8</v>
      </c>
      <c r="AU771">
        <v>8.5399999999999991</v>
      </c>
    </row>
    <row r="772" spans="46:47" x14ac:dyDescent="0.3">
      <c r="AT772">
        <v>30</v>
      </c>
      <c r="AU772">
        <v>8.7100000000000009</v>
      </c>
    </row>
    <row r="773" spans="46:47" x14ac:dyDescent="0.3">
      <c r="AT773">
        <v>12</v>
      </c>
      <c r="AU773">
        <v>8.67</v>
      </c>
    </row>
    <row r="774" spans="46:47" x14ac:dyDescent="0.3">
      <c r="AT774">
        <v>24</v>
      </c>
      <c r="AU774">
        <v>8.66</v>
      </c>
    </row>
    <row r="775" spans="46:47" x14ac:dyDescent="0.3">
      <c r="AT775">
        <v>12</v>
      </c>
      <c r="AU775">
        <v>7.04</v>
      </c>
    </row>
    <row r="776" spans="46:47" x14ac:dyDescent="0.3">
      <c r="AT776">
        <v>11</v>
      </c>
      <c r="AU776">
        <v>8.5299999999999994</v>
      </c>
    </row>
    <row r="777" spans="46:47" x14ac:dyDescent="0.3">
      <c r="AT777">
        <v>17</v>
      </c>
      <c r="AU777">
        <v>4.62</v>
      </c>
    </row>
    <row r="778" spans="46:47" x14ac:dyDescent="0.3">
      <c r="AT778">
        <v>12</v>
      </c>
      <c r="AU778">
        <v>8.18</v>
      </c>
    </row>
    <row r="779" spans="46:47" x14ac:dyDescent="0.3">
      <c r="AT779">
        <v>10</v>
      </c>
      <c r="AU779">
        <v>2.39</v>
      </c>
    </row>
    <row r="780" spans="46:47" x14ac:dyDescent="0.3">
      <c r="AT780">
        <v>11</v>
      </c>
      <c r="AU780">
        <v>8.3800000000000008</v>
      </c>
    </row>
    <row r="781" spans="46:47" x14ac:dyDescent="0.3">
      <c r="AT781">
        <v>10</v>
      </c>
      <c r="AU781">
        <v>8.52</v>
      </c>
    </row>
    <row r="782" spans="46:47" x14ac:dyDescent="0.3">
      <c r="AT782">
        <v>10</v>
      </c>
      <c r="AU782">
        <v>8.39</v>
      </c>
    </row>
    <row r="783" spans="46:47" x14ac:dyDescent="0.3">
      <c r="AT783">
        <v>8</v>
      </c>
      <c r="AU783">
        <v>9.43</v>
      </c>
    </row>
    <row r="784" spans="46:47" x14ac:dyDescent="0.3">
      <c r="AT784">
        <v>6</v>
      </c>
      <c r="AU784">
        <v>8.57</v>
      </c>
    </row>
    <row r="785" spans="46:47" x14ac:dyDescent="0.3">
      <c r="AT785">
        <v>9</v>
      </c>
      <c r="AU785">
        <v>8.57</v>
      </c>
    </row>
    <row r="786" spans="46:47" x14ac:dyDescent="0.3">
      <c r="AT786">
        <v>23</v>
      </c>
      <c r="AU786">
        <v>8.84</v>
      </c>
    </row>
    <row r="787" spans="46:47" x14ac:dyDescent="0.3">
      <c r="AT787">
        <v>18</v>
      </c>
      <c r="AU787">
        <v>9.0399999999999991</v>
      </c>
    </row>
    <row r="788" spans="46:47" x14ac:dyDescent="0.3">
      <c r="AT788">
        <v>18</v>
      </c>
      <c r="AU788">
        <v>8.65</v>
      </c>
    </row>
    <row r="789" spans="46:47" x14ac:dyDescent="0.3">
      <c r="AT789">
        <v>4</v>
      </c>
      <c r="AU789">
        <v>8.81</v>
      </c>
    </row>
    <row r="790" spans="46:47" x14ac:dyDescent="0.3">
      <c r="AT790">
        <v>11</v>
      </c>
      <c r="AU790">
        <v>8.56</v>
      </c>
    </row>
    <row r="791" spans="46:47" x14ac:dyDescent="0.3">
      <c r="AT791">
        <v>13</v>
      </c>
      <c r="AU791">
        <v>8.65</v>
      </c>
    </row>
    <row r="792" spans="46:47" x14ac:dyDescent="0.3">
      <c r="AT792">
        <v>24</v>
      </c>
      <c r="AU792">
        <v>8.89</v>
      </c>
    </row>
    <row r="793" spans="46:47" x14ac:dyDescent="0.3">
      <c r="AT793">
        <v>30</v>
      </c>
      <c r="AU793">
        <v>8.91</v>
      </c>
    </row>
    <row r="794" spans="46:47" x14ac:dyDescent="0.3">
      <c r="AT794">
        <v>10</v>
      </c>
      <c r="AU794">
        <v>7.94</v>
      </c>
    </row>
    <row r="795" spans="46:47" x14ac:dyDescent="0.3">
      <c r="AT795">
        <v>5</v>
      </c>
      <c r="AU795">
        <v>8.8800000000000008</v>
      </c>
    </row>
    <row r="796" spans="46:47" x14ac:dyDescent="0.3">
      <c r="AT796">
        <v>10</v>
      </c>
      <c r="AU796">
        <v>8.01</v>
      </c>
    </row>
    <row r="797" spans="46:47" x14ac:dyDescent="0.3">
      <c r="AT797">
        <v>10</v>
      </c>
      <c r="AU797">
        <v>8.57</v>
      </c>
    </row>
    <row r="798" spans="46:47" x14ac:dyDescent="0.3">
      <c r="AT798">
        <v>11</v>
      </c>
      <c r="AU798">
        <v>8.4700000000000006</v>
      </c>
    </row>
    <row r="799" spans="46:47" x14ac:dyDescent="0.3">
      <c r="AT799">
        <v>15</v>
      </c>
      <c r="AU799">
        <v>8.4499999999999993</v>
      </c>
    </row>
    <row r="800" spans="46:47" x14ac:dyDescent="0.3">
      <c r="AT800">
        <v>26</v>
      </c>
      <c r="AU800">
        <v>9</v>
      </c>
    </row>
    <row r="801" spans="46:47" x14ac:dyDescent="0.3">
      <c r="AT801">
        <v>10</v>
      </c>
      <c r="AU801">
        <v>8.81</v>
      </c>
    </row>
    <row r="802" spans="46:47" x14ac:dyDescent="0.3">
      <c r="AT802">
        <v>10</v>
      </c>
      <c r="AU802">
        <v>8.9499999999999993</v>
      </c>
    </row>
    <row r="803" spans="46:47" x14ac:dyDescent="0.3">
      <c r="AT803">
        <v>11</v>
      </c>
      <c r="AU803">
        <v>8.85</v>
      </c>
    </row>
    <row r="804" spans="46:47" x14ac:dyDescent="0.3">
      <c r="AT804">
        <v>13</v>
      </c>
      <c r="AU804">
        <v>8.56</v>
      </c>
    </row>
    <row r="805" spans="46:47" x14ac:dyDescent="0.3">
      <c r="AT805">
        <v>13</v>
      </c>
      <c r="AU805">
        <v>9.17</v>
      </c>
    </row>
    <row r="806" spans="46:47" x14ac:dyDescent="0.3">
      <c r="AT806">
        <v>14</v>
      </c>
      <c r="AU806">
        <v>9.09</v>
      </c>
    </row>
    <row r="807" spans="46:47" x14ac:dyDescent="0.3">
      <c r="AT807">
        <v>13</v>
      </c>
      <c r="AU807">
        <v>8.7899999999999991</v>
      </c>
    </row>
    <row r="808" spans="46:47" x14ac:dyDescent="0.3">
      <c r="AT808">
        <v>16</v>
      </c>
      <c r="AU808">
        <v>7.95</v>
      </c>
    </row>
    <row r="809" spans="46:47" x14ac:dyDescent="0.3">
      <c r="AT809">
        <v>10</v>
      </c>
      <c r="AU809">
        <v>7.79</v>
      </c>
    </row>
    <row r="810" spans="46:47" x14ac:dyDescent="0.3">
      <c r="AT810">
        <v>12</v>
      </c>
      <c r="AU810">
        <v>7.66</v>
      </c>
    </row>
    <row r="811" spans="46:47" x14ac:dyDescent="0.3">
      <c r="AT811">
        <v>11</v>
      </c>
      <c r="AU811">
        <v>8.94</v>
      </c>
    </row>
    <row r="812" spans="46:47" x14ac:dyDescent="0.3">
      <c r="AT812">
        <v>7</v>
      </c>
      <c r="AU812">
        <v>8.67</v>
      </c>
    </row>
    <row r="813" spans="46:47" x14ac:dyDescent="0.3">
      <c r="AT813">
        <v>7</v>
      </c>
      <c r="AU813">
        <v>8.6300000000000008</v>
      </c>
    </row>
    <row r="814" spans="46:47" x14ac:dyDescent="0.3">
      <c r="AT814">
        <v>9</v>
      </c>
      <c r="AU814">
        <v>8.6300000000000008</v>
      </c>
    </row>
    <row r="815" spans="46:47" x14ac:dyDescent="0.3">
      <c r="AT815">
        <v>9</v>
      </c>
      <c r="AU815">
        <v>8.5299999999999994</v>
      </c>
    </row>
    <row r="816" spans="46:47" x14ac:dyDescent="0.3">
      <c r="AT816">
        <v>12</v>
      </c>
      <c r="AU816">
        <v>8.92</v>
      </c>
    </row>
    <row r="817" spans="46:47" x14ac:dyDescent="0.3">
      <c r="AT817">
        <v>11</v>
      </c>
      <c r="AU817">
        <v>8.77</v>
      </c>
    </row>
    <row r="818" spans="46:47" x14ac:dyDescent="0.3">
      <c r="AT818">
        <v>11</v>
      </c>
      <c r="AU818">
        <v>8.1300000000000008</v>
      </c>
    </row>
    <row r="819" spans="46:47" x14ac:dyDescent="0.3">
      <c r="AT819">
        <v>8</v>
      </c>
      <c r="AU819">
        <v>7.61</v>
      </c>
    </row>
    <row r="820" spans="46:47" x14ac:dyDescent="0.3">
      <c r="AT820">
        <v>9</v>
      </c>
      <c r="AU820">
        <v>8.5500000000000007</v>
      </c>
    </row>
    <row r="821" spans="46:47" x14ac:dyDescent="0.3">
      <c r="AT821">
        <v>9</v>
      </c>
      <c r="AU821">
        <v>9.0299999999999994</v>
      </c>
    </row>
    <row r="822" spans="46:47" x14ac:dyDescent="0.3">
      <c r="AT822">
        <v>9</v>
      </c>
      <c r="AU822">
        <v>8.86</v>
      </c>
    </row>
    <row r="823" spans="46:47" x14ac:dyDescent="0.3">
      <c r="AT823">
        <v>5</v>
      </c>
      <c r="AU823">
        <v>8.81</v>
      </c>
    </row>
    <row r="824" spans="46:47" x14ac:dyDescent="0.3">
      <c r="AT824">
        <v>8</v>
      </c>
      <c r="AU824">
        <v>8.3000000000000007</v>
      </c>
    </row>
    <row r="825" spans="46:47" x14ac:dyDescent="0.3">
      <c r="AT825">
        <v>16</v>
      </c>
      <c r="AU825">
        <v>8.2799999999999994</v>
      </c>
    </row>
    <row r="826" spans="46:47" x14ac:dyDescent="0.3">
      <c r="AT826">
        <v>18</v>
      </c>
      <c r="AU826">
        <v>7.7</v>
      </c>
    </row>
    <row r="827" spans="46:47" x14ac:dyDescent="0.3">
      <c r="AT827">
        <v>7</v>
      </c>
      <c r="AU827">
        <v>8.59</v>
      </c>
    </row>
    <row r="828" spans="46:47" x14ac:dyDescent="0.3">
      <c r="AT828">
        <v>12</v>
      </c>
      <c r="AU828">
        <v>8.4700000000000006</v>
      </c>
    </row>
    <row r="829" spans="46:47" x14ac:dyDescent="0.3">
      <c r="AT829">
        <v>8</v>
      </c>
      <c r="AU829">
        <v>8.64</v>
      </c>
    </row>
    <row r="830" spans="46:47" x14ac:dyDescent="0.3">
      <c r="AT830">
        <v>9</v>
      </c>
      <c r="AU830">
        <v>8.65</v>
      </c>
    </row>
    <row r="831" spans="46:47" x14ac:dyDescent="0.3">
      <c r="AT831">
        <v>12</v>
      </c>
      <c r="AU831">
        <v>8.51</v>
      </c>
    </row>
    <row r="832" spans="46:47" x14ac:dyDescent="0.3">
      <c r="AT832">
        <v>7</v>
      </c>
      <c r="AU832">
        <v>8.3699999999999992</v>
      </c>
    </row>
    <row r="833" spans="46:47" x14ac:dyDescent="0.3">
      <c r="AT833">
        <v>10</v>
      </c>
      <c r="AU833">
        <v>8.9499999999999993</v>
      </c>
    </row>
    <row r="834" spans="46:47" x14ac:dyDescent="0.3">
      <c r="AT834">
        <v>1</v>
      </c>
      <c r="AU834">
        <v>10.85</v>
      </c>
    </row>
    <row r="835" spans="46:47" x14ac:dyDescent="0.3">
      <c r="AT835">
        <v>12</v>
      </c>
      <c r="AU835">
        <v>8.65</v>
      </c>
    </row>
    <row r="836" spans="46:47" x14ac:dyDescent="0.3">
      <c r="AT836">
        <v>10</v>
      </c>
      <c r="AU836">
        <v>8.6</v>
      </c>
    </row>
    <row r="837" spans="46:47" x14ac:dyDescent="0.3">
      <c r="AT837">
        <v>17</v>
      </c>
      <c r="AU837">
        <v>8.43</v>
      </c>
    </row>
    <row r="838" spans="46:47" x14ac:dyDescent="0.3">
      <c r="AT838">
        <v>6</v>
      </c>
      <c r="AU838">
        <v>8.7799999999999994</v>
      </c>
    </row>
    <row r="839" spans="46:47" x14ac:dyDescent="0.3">
      <c r="AT839">
        <v>7</v>
      </c>
      <c r="AU839">
        <v>8.83</v>
      </c>
    </row>
    <row r="840" spans="46:47" x14ac:dyDescent="0.3">
      <c r="AT840">
        <v>11</v>
      </c>
      <c r="AU840">
        <v>8.9600000000000009</v>
      </c>
    </row>
    <row r="841" spans="46:47" x14ac:dyDescent="0.3">
      <c r="AT841">
        <v>8</v>
      </c>
      <c r="AU841">
        <v>8.83</v>
      </c>
    </row>
    <row r="842" spans="46:47" x14ac:dyDescent="0.3">
      <c r="AT842">
        <v>4</v>
      </c>
      <c r="AU842">
        <v>10.220000000000001</v>
      </c>
    </row>
    <row r="843" spans="46:47" x14ac:dyDescent="0.3">
      <c r="AT843">
        <v>5</v>
      </c>
      <c r="AU843">
        <v>8.9600000000000009</v>
      </c>
    </row>
    <row r="844" spans="46:47" x14ac:dyDescent="0.3">
      <c r="AT844">
        <v>3</v>
      </c>
      <c r="AU844">
        <v>8.84</v>
      </c>
    </row>
    <row r="845" spans="46:47" x14ac:dyDescent="0.3">
      <c r="AT845">
        <v>12</v>
      </c>
      <c r="AU845">
        <v>8.84</v>
      </c>
    </row>
    <row r="846" spans="46:47" x14ac:dyDescent="0.3">
      <c r="AT846">
        <v>12</v>
      </c>
      <c r="AU846">
        <v>8.68</v>
      </c>
    </row>
    <row r="847" spans="46:47" x14ac:dyDescent="0.3">
      <c r="AT847">
        <v>10</v>
      </c>
      <c r="AU847">
        <v>8.34</v>
      </c>
    </row>
    <row r="848" spans="46:47" x14ac:dyDescent="0.3">
      <c r="AT848">
        <v>15</v>
      </c>
      <c r="AU848">
        <v>8.89</v>
      </c>
    </row>
    <row r="849" spans="46:47" x14ac:dyDescent="0.3">
      <c r="AT849">
        <v>16</v>
      </c>
      <c r="AU849">
        <v>8.75</v>
      </c>
    </row>
    <row r="850" spans="46:47" x14ac:dyDescent="0.3">
      <c r="AT850">
        <v>17</v>
      </c>
      <c r="AU850">
        <v>8.23</v>
      </c>
    </row>
    <row r="851" spans="46:47" x14ac:dyDescent="0.3">
      <c r="AT851">
        <v>15</v>
      </c>
      <c r="AU851">
        <v>8</v>
      </c>
    </row>
    <row r="852" spans="46:47" x14ac:dyDescent="0.3">
      <c r="AT852">
        <v>13</v>
      </c>
      <c r="AU852">
        <v>9.34</v>
      </c>
    </row>
    <row r="853" spans="46:47" x14ac:dyDescent="0.3">
      <c r="AT853">
        <v>10</v>
      </c>
      <c r="AU853">
        <v>8.5299999999999994</v>
      </c>
    </row>
    <row r="854" spans="46:47" x14ac:dyDescent="0.3">
      <c r="AT854">
        <v>7</v>
      </c>
      <c r="AU854">
        <v>7.16</v>
      </c>
    </row>
    <row r="855" spans="46:47" x14ac:dyDescent="0.3">
      <c r="AT855">
        <v>6</v>
      </c>
      <c r="AU855">
        <v>8.77</v>
      </c>
    </row>
    <row r="856" spans="46:47" x14ac:dyDescent="0.3">
      <c r="AT856">
        <v>14</v>
      </c>
      <c r="AU856">
        <v>8.7200000000000006</v>
      </c>
    </row>
    <row r="857" spans="46:47" x14ac:dyDescent="0.3">
      <c r="AT857">
        <v>11</v>
      </c>
      <c r="AU857">
        <v>8.93</v>
      </c>
    </row>
    <row r="858" spans="46:47" x14ac:dyDescent="0.3">
      <c r="AT858">
        <v>8</v>
      </c>
      <c r="AU858">
        <v>8.6999999999999993</v>
      </c>
    </row>
    <row r="859" spans="46:47" x14ac:dyDescent="0.3">
      <c r="AT859">
        <v>8</v>
      </c>
      <c r="AU859">
        <v>8.83</v>
      </c>
    </row>
    <row r="860" spans="46:47" x14ac:dyDescent="0.3">
      <c r="AT860">
        <v>10</v>
      </c>
      <c r="AU860">
        <v>6.99</v>
      </c>
    </row>
    <row r="861" spans="46:47" x14ac:dyDescent="0.3">
      <c r="AT861">
        <v>11</v>
      </c>
      <c r="AU861">
        <v>8.74</v>
      </c>
    </row>
    <row r="862" spans="46:47" x14ac:dyDescent="0.3">
      <c r="AT862">
        <v>15</v>
      </c>
      <c r="AU862">
        <v>8.68</v>
      </c>
    </row>
    <row r="863" spans="46:47" x14ac:dyDescent="0.3">
      <c r="AT863">
        <v>10</v>
      </c>
      <c r="AU863">
        <v>8.1999999999999993</v>
      </c>
    </row>
    <row r="864" spans="46:47" x14ac:dyDescent="0.3">
      <c r="AT864">
        <v>12</v>
      </c>
      <c r="AU864">
        <v>8.5399999999999991</v>
      </c>
    </row>
    <row r="865" spans="46:47" x14ac:dyDescent="0.3">
      <c r="AT865">
        <v>15</v>
      </c>
      <c r="AU865">
        <v>8.5299999999999994</v>
      </c>
    </row>
    <row r="866" spans="46:47" x14ac:dyDescent="0.3">
      <c r="AT866">
        <v>13</v>
      </c>
      <c r="AU866">
        <v>8.7899999999999991</v>
      </c>
    </row>
    <row r="867" spans="46:47" x14ac:dyDescent="0.3">
      <c r="AT867">
        <v>21</v>
      </c>
      <c r="AU867">
        <v>8.6199999999999992</v>
      </c>
    </row>
    <row r="868" spans="46:47" x14ac:dyDescent="0.3">
      <c r="AT868">
        <v>18</v>
      </c>
      <c r="AU868">
        <v>7.2</v>
      </c>
    </row>
    <row r="869" spans="46:47" x14ac:dyDescent="0.3">
      <c r="AT869">
        <v>12</v>
      </c>
      <c r="AU869">
        <v>8.34</v>
      </c>
    </row>
    <row r="870" spans="46:47" x14ac:dyDescent="0.3">
      <c r="AT870">
        <v>10</v>
      </c>
      <c r="AU870">
        <v>7.95</v>
      </c>
    </row>
    <row r="871" spans="46:47" x14ac:dyDescent="0.3">
      <c r="AT871">
        <v>16</v>
      </c>
      <c r="AU871">
        <v>8.8800000000000008</v>
      </c>
    </row>
    <row r="872" spans="46:47" x14ac:dyDescent="0.3">
      <c r="AT872">
        <v>7</v>
      </c>
      <c r="AU872">
        <v>8.16</v>
      </c>
    </row>
    <row r="873" spans="46:47" x14ac:dyDescent="0.3">
      <c r="AT873">
        <v>5</v>
      </c>
      <c r="AU873">
        <v>9.4600000000000009</v>
      </c>
    </row>
    <row r="874" spans="46:47" x14ac:dyDescent="0.3">
      <c r="AT874">
        <v>5</v>
      </c>
      <c r="AU874">
        <v>9.36</v>
      </c>
    </row>
    <row r="875" spans="46:47" x14ac:dyDescent="0.3">
      <c r="AT875">
        <v>7</v>
      </c>
      <c r="AU875">
        <v>8.82</v>
      </c>
    </row>
    <row r="876" spans="46:47" x14ac:dyDescent="0.3">
      <c r="AT876">
        <v>6</v>
      </c>
      <c r="AU876">
        <v>8.77</v>
      </c>
    </row>
    <row r="877" spans="46:47" x14ac:dyDescent="0.3">
      <c r="AT877">
        <v>5</v>
      </c>
      <c r="AU877">
        <v>8.1300000000000008</v>
      </c>
    </row>
    <row r="878" spans="46:47" x14ac:dyDescent="0.3">
      <c r="AT878">
        <v>8</v>
      </c>
      <c r="AU878">
        <v>9.5299999999999994</v>
      </c>
    </row>
    <row r="879" spans="46:47" x14ac:dyDescent="0.3">
      <c r="AT879">
        <v>10</v>
      </c>
      <c r="AU879">
        <v>8.5399999999999991</v>
      </c>
    </row>
    <row r="880" spans="46:47" x14ac:dyDescent="0.3">
      <c r="AT880">
        <v>13</v>
      </c>
      <c r="AU880">
        <v>9</v>
      </c>
    </row>
    <row r="881" spans="46:47" x14ac:dyDescent="0.3">
      <c r="AT881">
        <v>13</v>
      </c>
      <c r="AU881">
        <v>8.34</v>
      </c>
    </row>
    <row r="882" spans="46:47" x14ac:dyDescent="0.3">
      <c r="AT882">
        <v>5</v>
      </c>
      <c r="AU882">
        <v>8.6999999999999993</v>
      </c>
    </row>
    <row r="883" spans="46:47" x14ac:dyDescent="0.3">
      <c r="AT883">
        <v>13</v>
      </c>
      <c r="AU883">
        <v>8.5299999999999994</v>
      </c>
    </row>
    <row r="884" spans="46:47" x14ac:dyDescent="0.3">
      <c r="AT884">
        <v>13</v>
      </c>
      <c r="AU884">
        <v>8.39</v>
      </c>
    </row>
    <row r="885" spans="46:47" x14ac:dyDescent="0.3">
      <c r="AT885">
        <v>15</v>
      </c>
      <c r="AU885">
        <v>8.6300000000000008</v>
      </c>
    </row>
    <row r="886" spans="46:47" x14ac:dyDescent="0.3">
      <c r="AT886">
        <v>9</v>
      </c>
      <c r="AU886">
        <v>9.1</v>
      </c>
    </row>
    <row r="887" spans="46:47" x14ac:dyDescent="0.3">
      <c r="AT887">
        <v>8</v>
      </c>
      <c r="AU887">
        <v>8.5299999999999994</v>
      </c>
    </row>
    <row r="888" spans="46:47" x14ac:dyDescent="0.3">
      <c r="AT888">
        <v>11</v>
      </c>
      <c r="AU888">
        <v>8.66</v>
      </c>
    </row>
    <row r="889" spans="46:47" x14ac:dyDescent="0.3">
      <c r="AT889">
        <v>9</v>
      </c>
      <c r="AU889">
        <v>9.09</v>
      </c>
    </row>
    <row r="890" spans="46:47" x14ac:dyDescent="0.3">
      <c r="AT890">
        <v>11</v>
      </c>
      <c r="AU890">
        <v>7.64</v>
      </c>
    </row>
    <row r="891" spans="46:47" x14ac:dyDescent="0.3">
      <c r="AT891">
        <v>9</v>
      </c>
      <c r="AU891">
        <v>8.7899999999999991</v>
      </c>
    </row>
    <row r="892" spans="46:47" x14ac:dyDescent="0.3">
      <c r="AT892">
        <v>10</v>
      </c>
      <c r="AU892">
        <v>8.2100000000000009</v>
      </c>
    </row>
    <row r="893" spans="46:47" x14ac:dyDescent="0.3">
      <c r="AT893">
        <v>8</v>
      </c>
      <c r="AU893">
        <v>9.3699999999999992</v>
      </c>
    </row>
    <row r="894" spans="46:47" x14ac:dyDescent="0.3">
      <c r="AT894">
        <v>8</v>
      </c>
      <c r="AU894">
        <v>9.2100000000000009</v>
      </c>
    </row>
    <row r="895" spans="46:47" x14ac:dyDescent="0.3">
      <c r="AT895">
        <v>9</v>
      </c>
      <c r="AU895">
        <v>9.08</v>
      </c>
    </row>
    <row r="896" spans="46:47" x14ac:dyDescent="0.3">
      <c r="AT896">
        <v>10</v>
      </c>
      <c r="AU896">
        <v>8.61</v>
      </c>
    </row>
    <row r="897" spans="46:47" x14ac:dyDescent="0.3">
      <c r="AT897">
        <v>12</v>
      </c>
      <c r="AU897">
        <v>8.65</v>
      </c>
    </row>
    <row r="898" spans="46:47" x14ac:dyDescent="0.3">
      <c r="AT898">
        <v>14</v>
      </c>
      <c r="AU898">
        <v>7.96</v>
      </c>
    </row>
    <row r="899" spans="46:47" x14ac:dyDescent="0.3">
      <c r="AT899">
        <v>11</v>
      </c>
      <c r="AU899">
        <v>3.37</v>
      </c>
    </row>
    <row r="900" spans="46:47" x14ac:dyDescent="0.3">
      <c r="AT900">
        <v>13</v>
      </c>
      <c r="AU900">
        <v>8.49</v>
      </c>
    </row>
    <row r="901" spans="46:47" x14ac:dyDescent="0.3">
      <c r="AT901">
        <v>9</v>
      </c>
      <c r="AU901">
        <v>9.02</v>
      </c>
    </row>
    <row r="902" spans="46:47" x14ac:dyDescent="0.3">
      <c r="AT902">
        <v>5</v>
      </c>
      <c r="AU902">
        <v>8.3699999999999992</v>
      </c>
    </row>
    <row r="903" spans="46:47" x14ac:dyDescent="0.3">
      <c r="AT903">
        <v>10</v>
      </c>
      <c r="AU903">
        <v>8.3000000000000007</v>
      </c>
    </row>
    <row r="904" spans="46:47" x14ac:dyDescent="0.3">
      <c r="AT904">
        <v>11</v>
      </c>
      <c r="AU904">
        <v>8.67</v>
      </c>
    </row>
    <row r="905" spans="46:47" x14ac:dyDescent="0.3">
      <c r="AT905">
        <v>10</v>
      </c>
      <c r="AU905">
        <v>8.76</v>
      </c>
    </row>
    <row r="906" spans="46:47" x14ac:dyDescent="0.3">
      <c r="AT906">
        <v>7</v>
      </c>
      <c r="AU906">
        <v>9.23</v>
      </c>
    </row>
    <row r="907" spans="46:47" x14ac:dyDescent="0.3">
      <c r="AT907">
        <v>8</v>
      </c>
      <c r="AU907">
        <v>8.3800000000000008</v>
      </c>
    </row>
    <row r="908" spans="46:47" x14ac:dyDescent="0.3">
      <c r="AT908">
        <v>14</v>
      </c>
      <c r="AU908">
        <v>8.76</v>
      </c>
    </row>
    <row r="909" spans="46:47" x14ac:dyDescent="0.3">
      <c r="AT909">
        <v>15</v>
      </c>
      <c r="AU909">
        <v>8.49</v>
      </c>
    </row>
    <row r="910" spans="46:47" x14ac:dyDescent="0.3">
      <c r="AT910">
        <v>10</v>
      </c>
      <c r="AU910">
        <v>8.27</v>
      </c>
    </row>
    <row r="911" spans="46:47" x14ac:dyDescent="0.3">
      <c r="AT911">
        <v>7</v>
      </c>
      <c r="AU911">
        <v>9.44</v>
      </c>
    </row>
    <row r="912" spans="46:47" x14ac:dyDescent="0.3">
      <c r="AT912">
        <v>8</v>
      </c>
      <c r="AU912">
        <v>9.14</v>
      </c>
    </row>
    <row r="913" spans="46:47" x14ac:dyDescent="0.3">
      <c r="AT913">
        <v>6</v>
      </c>
      <c r="AU913">
        <v>8.9</v>
      </c>
    </row>
    <row r="914" spans="46:47" x14ac:dyDescent="0.3">
      <c r="AT914">
        <v>7</v>
      </c>
      <c r="AU914">
        <v>8.85</v>
      </c>
    </row>
    <row r="915" spans="46:47" x14ac:dyDescent="0.3">
      <c r="AT915">
        <v>8</v>
      </c>
      <c r="AU915">
        <v>8.73</v>
      </c>
    </row>
    <row r="916" spans="46:47" x14ac:dyDescent="0.3">
      <c r="AT916">
        <v>7</v>
      </c>
      <c r="AU916">
        <v>8.5500000000000007</v>
      </c>
    </row>
    <row r="917" spans="46:47" x14ac:dyDescent="0.3">
      <c r="AT917">
        <v>8</v>
      </c>
      <c r="AU917">
        <v>8.4600000000000009</v>
      </c>
    </row>
    <row r="918" spans="46:47" x14ac:dyDescent="0.3">
      <c r="AT918">
        <v>5</v>
      </c>
      <c r="AU918">
        <v>8.25</v>
      </c>
    </row>
    <row r="919" spans="46:47" x14ac:dyDescent="0.3">
      <c r="AT919">
        <v>9</v>
      </c>
      <c r="AU919">
        <v>8.27</v>
      </c>
    </row>
    <row r="920" spans="46:47" x14ac:dyDescent="0.3">
      <c r="AT920">
        <v>8</v>
      </c>
      <c r="AU920">
        <v>8.1300000000000008</v>
      </c>
    </row>
    <row r="921" spans="46:47" x14ac:dyDescent="0.3">
      <c r="AT921">
        <v>11</v>
      </c>
      <c r="AU921">
        <v>8.0299999999999994</v>
      </c>
    </row>
    <row r="922" spans="46:47" x14ac:dyDescent="0.3">
      <c r="AT922">
        <v>7</v>
      </c>
      <c r="AU922">
        <v>7.94</v>
      </c>
    </row>
    <row r="923" spans="46:47" x14ac:dyDescent="0.3">
      <c r="AT923">
        <v>10</v>
      </c>
      <c r="AU923">
        <v>7.89</v>
      </c>
    </row>
    <row r="924" spans="46:47" x14ac:dyDescent="0.3">
      <c r="AT924">
        <v>10</v>
      </c>
      <c r="AU924">
        <v>7.66</v>
      </c>
    </row>
    <row r="925" spans="46:47" x14ac:dyDescent="0.3">
      <c r="AT925">
        <v>7</v>
      </c>
      <c r="AU925">
        <v>8.8800000000000008</v>
      </c>
    </row>
    <row r="926" spans="46:47" x14ac:dyDescent="0.3">
      <c r="AT926">
        <v>10</v>
      </c>
      <c r="AU926">
        <v>8.43</v>
      </c>
    </row>
    <row r="927" spans="46:47" x14ac:dyDescent="0.3">
      <c r="AT927">
        <v>11</v>
      </c>
      <c r="AU927">
        <v>8.8800000000000008</v>
      </c>
    </row>
    <row r="928" spans="46:47" x14ac:dyDescent="0.3">
      <c r="AT928">
        <v>5</v>
      </c>
      <c r="AU928">
        <v>10.39</v>
      </c>
    </row>
    <row r="929" spans="46:47" x14ac:dyDescent="0.3">
      <c r="AT929">
        <v>10</v>
      </c>
      <c r="AU929">
        <v>10</v>
      </c>
    </row>
    <row r="930" spans="46:47" x14ac:dyDescent="0.3">
      <c r="AT930">
        <v>5</v>
      </c>
      <c r="AU930">
        <v>9.5500000000000007</v>
      </c>
    </row>
    <row r="931" spans="46:47" x14ac:dyDescent="0.3">
      <c r="AT931">
        <v>6</v>
      </c>
      <c r="AU931">
        <v>8.9700000000000006</v>
      </c>
    </row>
    <row r="932" spans="46:47" x14ac:dyDescent="0.3">
      <c r="AT932">
        <v>26</v>
      </c>
      <c r="AU932">
        <v>8.9700000000000006</v>
      </c>
    </row>
    <row r="933" spans="46:47" x14ac:dyDescent="0.3">
      <c r="AT933">
        <v>6</v>
      </c>
      <c r="AU933">
        <v>9.23</v>
      </c>
    </row>
    <row r="934" spans="46:47" x14ac:dyDescent="0.3">
      <c r="AT934">
        <v>9</v>
      </c>
      <c r="AU934">
        <v>9.0399999999999991</v>
      </c>
    </row>
    <row r="935" spans="46:47" x14ac:dyDescent="0.3">
      <c r="AT935">
        <v>12</v>
      </c>
      <c r="AU935">
        <v>8.81</v>
      </c>
    </row>
    <row r="936" spans="46:47" x14ac:dyDescent="0.3">
      <c r="AT936">
        <v>10</v>
      </c>
      <c r="AU936">
        <v>8.7799999999999994</v>
      </c>
    </row>
    <row r="937" spans="46:47" x14ac:dyDescent="0.3">
      <c r="AT937">
        <v>11</v>
      </c>
      <c r="AU937">
        <v>8.8800000000000008</v>
      </c>
    </row>
    <row r="938" spans="46:47" x14ac:dyDescent="0.3">
      <c r="AT938">
        <v>11</v>
      </c>
      <c r="AU938">
        <v>8.4700000000000006</v>
      </c>
    </row>
    <row r="939" spans="46:47" x14ac:dyDescent="0.3">
      <c r="AT939">
        <v>14</v>
      </c>
      <c r="AU939">
        <v>8.65</v>
      </c>
    </row>
    <row r="940" spans="46:47" x14ac:dyDescent="0.3">
      <c r="AT940">
        <v>10</v>
      </c>
      <c r="AU940">
        <v>10.37</v>
      </c>
    </row>
    <row r="941" spans="46:47" x14ac:dyDescent="0.3">
      <c r="AT941">
        <v>12</v>
      </c>
      <c r="AU941">
        <v>10.07</v>
      </c>
    </row>
    <row r="942" spans="46:47" x14ac:dyDescent="0.3">
      <c r="AT942">
        <v>11</v>
      </c>
      <c r="AU942">
        <v>9.3699999999999992</v>
      </c>
    </row>
    <row r="943" spans="46:47" x14ac:dyDescent="0.3">
      <c r="AT943">
        <v>12</v>
      </c>
      <c r="AU943">
        <v>9.14</v>
      </c>
    </row>
    <row r="944" spans="46:47" x14ac:dyDescent="0.3">
      <c r="AT944">
        <v>11</v>
      </c>
      <c r="AU944">
        <v>8.75</v>
      </c>
    </row>
    <row r="945" spans="46:47" x14ac:dyDescent="0.3">
      <c r="AT945">
        <v>14</v>
      </c>
      <c r="AU945">
        <v>8.56</v>
      </c>
    </row>
    <row r="946" spans="46:47" x14ac:dyDescent="0.3">
      <c r="AT946">
        <v>11</v>
      </c>
      <c r="AU946">
        <v>8.11</v>
      </c>
    </row>
    <row r="947" spans="46:47" x14ac:dyDescent="0.3">
      <c r="AT947">
        <v>8</v>
      </c>
      <c r="AU947">
        <v>7.74</v>
      </c>
    </row>
    <row r="948" spans="46:47" x14ac:dyDescent="0.3">
      <c r="AT948">
        <v>12</v>
      </c>
      <c r="AU948">
        <v>7.4</v>
      </c>
    </row>
    <row r="949" spans="46:47" x14ac:dyDescent="0.3">
      <c r="AT949">
        <v>6</v>
      </c>
      <c r="AU949">
        <v>8.5</v>
      </c>
    </row>
    <row r="950" spans="46:47" x14ac:dyDescent="0.3">
      <c r="AT950">
        <v>9</v>
      </c>
      <c r="AU950">
        <v>7.98</v>
      </c>
    </row>
    <row r="951" spans="46:47" x14ac:dyDescent="0.3">
      <c r="AT951">
        <v>7</v>
      </c>
      <c r="AU951">
        <v>8.67</v>
      </c>
    </row>
    <row r="952" spans="46:47" x14ac:dyDescent="0.3">
      <c r="AT952">
        <v>9</v>
      </c>
      <c r="AU952">
        <v>8.58</v>
      </c>
    </row>
    <row r="953" spans="46:47" x14ac:dyDescent="0.3">
      <c r="AT953">
        <v>10</v>
      </c>
      <c r="AU953">
        <v>8.56</v>
      </c>
    </row>
    <row r="954" spans="46:47" x14ac:dyDescent="0.3">
      <c r="AT954">
        <v>10</v>
      </c>
      <c r="AU954">
        <v>8.34</v>
      </c>
    </row>
    <row r="955" spans="46:47" x14ac:dyDescent="0.3">
      <c r="AT955">
        <v>14</v>
      </c>
      <c r="AU955">
        <v>8.56</v>
      </c>
    </row>
    <row r="956" spans="46:47" x14ac:dyDescent="0.3">
      <c r="AT956">
        <v>6</v>
      </c>
      <c r="AU956">
        <v>8.83</v>
      </c>
    </row>
    <row r="957" spans="46:47" x14ac:dyDescent="0.3">
      <c r="AT957">
        <v>15</v>
      </c>
      <c r="AU957">
        <v>7.66</v>
      </c>
    </row>
    <row r="958" spans="46:47" x14ac:dyDescent="0.3">
      <c r="AT958">
        <v>10</v>
      </c>
      <c r="AU958">
        <v>8.5</v>
      </c>
    </row>
    <row r="959" spans="46:47" x14ac:dyDescent="0.3">
      <c r="AT959">
        <v>12</v>
      </c>
      <c r="AU959">
        <v>8.5</v>
      </c>
    </row>
    <row r="960" spans="46:47" x14ac:dyDescent="0.3">
      <c r="AT960">
        <v>6</v>
      </c>
      <c r="AU960">
        <v>8.61</v>
      </c>
    </row>
    <row r="961" spans="46:47" x14ac:dyDescent="0.3">
      <c r="AT961">
        <v>7</v>
      </c>
      <c r="AU961">
        <v>9.02</v>
      </c>
    </row>
    <row r="962" spans="46:47" x14ac:dyDescent="0.3">
      <c r="AT962">
        <v>10</v>
      </c>
      <c r="AU962">
        <v>8.6300000000000008</v>
      </c>
    </row>
    <row r="963" spans="46:47" x14ac:dyDescent="0.3">
      <c r="AT963">
        <v>10</v>
      </c>
      <c r="AU963">
        <v>8.7799999999999994</v>
      </c>
    </row>
    <row r="964" spans="46:47" x14ac:dyDescent="0.3">
      <c r="AT964">
        <v>26</v>
      </c>
      <c r="AU964">
        <v>8.52</v>
      </c>
    </row>
    <row r="965" spans="46:47" x14ac:dyDescent="0.3">
      <c r="AT965">
        <v>12</v>
      </c>
      <c r="AU965">
        <v>8.9600000000000009</v>
      </c>
    </row>
    <row r="966" spans="46:47" x14ac:dyDescent="0.3">
      <c r="AT966">
        <v>13</v>
      </c>
      <c r="AU966">
        <v>8.89</v>
      </c>
    </row>
    <row r="967" spans="46:47" x14ac:dyDescent="0.3">
      <c r="AT967">
        <v>15</v>
      </c>
      <c r="AU967">
        <v>9</v>
      </c>
    </row>
    <row r="968" spans="46:47" x14ac:dyDescent="0.3">
      <c r="AT968">
        <v>4</v>
      </c>
      <c r="AU968">
        <v>8.92</v>
      </c>
    </row>
    <row r="969" spans="46:47" x14ac:dyDescent="0.3">
      <c r="AT969">
        <v>9</v>
      </c>
      <c r="AU969">
        <v>8.7899999999999991</v>
      </c>
    </row>
    <row r="970" spans="46:47" x14ac:dyDescent="0.3">
      <c r="AT970">
        <v>13</v>
      </c>
      <c r="AU970">
        <v>8.6199999999999992</v>
      </c>
    </row>
    <row r="971" spans="46:47" x14ac:dyDescent="0.3">
      <c r="AT971">
        <v>10</v>
      </c>
      <c r="AU971">
        <v>9.23</v>
      </c>
    </row>
    <row r="972" spans="46:47" x14ac:dyDescent="0.3">
      <c r="AT972">
        <v>17</v>
      </c>
      <c r="AU972">
        <v>8.83</v>
      </c>
    </row>
    <row r="973" spans="46:47" x14ac:dyDescent="0.3">
      <c r="AT973">
        <v>13</v>
      </c>
      <c r="AU973">
        <v>8.86</v>
      </c>
    </row>
    <row r="974" spans="46:47" x14ac:dyDescent="0.3">
      <c r="AT974">
        <v>14</v>
      </c>
      <c r="AU974">
        <v>8.39</v>
      </c>
    </row>
    <row r="975" spans="46:47" x14ac:dyDescent="0.3">
      <c r="AT975">
        <v>19</v>
      </c>
      <c r="AU975">
        <v>8.6</v>
      </c>
    </row>
    <row r="976" spans="46:47" x14ac:dyDescent="0.3">
      <c r="AT976">
        <v>12</v>
      </c>
      <c r="AU976">
        <v>8.7100000000000009</v>
      </c>
    </row>
    <row r="977" spans="46:47" x14ac:dyDescent="0.3">
      <c r="AT977">
        <v>19</v>
      </c>
      <c r="AU977">
        <v>8.33</v>
      </c>
    </row>
    <row r="978" spans="46:47" x14ac:dyDescent="0.3">
      <c r="AT978">
        <v>8</v>
      </c>
      <c r="AU978">
        <v>8.16</v>
      </c>
    </row>
    <row r="979" spans="46:47" x14ac:dyDescent="0.3">
      <c r="AT979">
        <v>10</v>
      </c>
      <c r="AU979">
        <v>8.61</v>
      </c>
    </row>
    <row r="980" spans="46:47" x14ac:dyDescent="0.3">
      <c r="AT980">
        <v>28</v>
      </c>
      <c r="AU980">
        <v>8.6300000000000008</v>
      </c>
    </row>
    <row r="981" spans="46:47" x14ac:dyDescent="0.3">
      <c r="AT981">
        <v>13</v>
      </c>
      <c r="AU981">
        <v>8.27</v>
      </c>
    </row>
    <row r="982" spans="46:47" x14ac:dyDescent="0.3">
      <c r="AT982">
        <v>10</v>
      </c>
      <c r="AU982">
        <v>8.8699999999999992</v>
      </c>
    </row>
    <row r="983" spans="46:47" x14ac:dyDescent="0.3">
      <c r="AT983">
        <v>12</v>
      </c>
      <c r="AU983">
        <v>8.83</v>
      </c>
    </row>
    <row r="984" spans="46:47" x14ac:dyDescent="0.3">
      <c r="AT984">
        <v>9</v>
      </c>
      <c r="AU984">
        <v>8.8699999999999992</v>
      </c>
    </row>
    <row r="985" spans="46:47" x14ac:dyDescent="0.3">
      <c r="AT985">
        <v>11</v>
      </c>
      <c r="AU985">
        <v>8.06</v>
      </c>
    </row>
    <row r="986" spans="46:47" x14ac:dyDescent="0.3">
      <c r="AT986">
        <v>12</v>
      </c>
      <c r="AU986">
        <v>10.99</v>
      </c>
    </row>
    <row r="987" spans="46:47" x14ac:dyDescent="0.3">
      <c r="AT987">
        <v>15</v>
      </c>
      <c r="AU987">
        <v>9.9600000000000009</v>
      </c>
    </row>
    <row r="988" spans="46:47" x14ac:dyDescent="0.3">
      <c r="AT988">
        <v>11</v>
      </c>
      <c r="AU988">
        <v>9.99</v>
      </c>
    </row>
    <row r="989" spans="46:47" x14ac:dyDescent="0.3">
      <c r="AT989">
        <v>10</v>
      </c>
      <c r="AU989">
        <v>9.42</v>
      </c>
    </row>
    <row r="990" spans="46:47" x14ac:dyDescent="0.3">
      <c r="AT990">
        <v>8</v>
      </c>
      <c r="AU990">
        <v>9.5299999999999994</v>
      </c>
    </row>
    <row r="991" spans="46:47" x14ac:dyDescent="0.3">
      <c r="AT991">
        <v>10</v>
      </c>
      <c r="AU991">
        <v>8.2200000000000006</v>
      </c>
    </row>
    <row r="992" spans="46:47" x14ac:dyDescent="0.3">
      <c r="AT992">
        <v>6</v>
      </c>
      <c r="AU992">
        <v>7.84</v>
      </c>
    </row>
    <row r="993" spans="46:47" x14ac:dyDescent="0.3">
      <c r="AT993">
        <v>19</v>
      </c>
      <c r="AU993">
        <v>8.06</v>
      </c>
    </row>
    <row r="994" spans="46:47" x14ac:dyDescent="0.3">
      <c r="AT994">
        <v>9</v>
      </c>
      <c r="AU994">
        <v>8.4499999999999993</v>
      </c>
    </row>
    <row r="995" spans="46:47" x14ac:dyDescent="0.3">
      <c r="AT995">
        <v>15</v>
      </c>
      <c r="AU995">
        <v>8.16</v>
      </c>
    </row>
    <row r="996" spans="46:47" x14ac:dyDescent="0.3">
      <c r="AT996">
        <v>9</v>
      </c>
      <c r="AU996">
        <v>8.17</v>
      </c>
    </row>
    <row r="997" spans="46:47" x14ac:dyDescent="0.3">
      <c r="AT997">
        <v>3</v>
      </c>
      <c r="AU997">
        <v>10.44</v>
      </c>
    </row>
    <row r="998" spans="46:47" x14ac:dyDescent="0.3">
      <c r="AT998">
        <v>9</v>
      </c>
      <c r="AU998">
        <v>8.48</v>
      </c>
    </row>
    <row r="999" spans="46:47" x14ac:dyDescent="0.3">
      <c r="AT999">
        <v>14</v>
      </c>
      <c r="AU999">
        <v>8.16</v>
      </c>
    </row>
    <row r="1002" spans="46:47" x14ac:dyDescent="0.3">
      <c r="AT1002" t="s">
        <v>4070</v>
      </c>
      <c r="AU1002" t="s">
        <v>958</v>
      </c>
    </row>
    <row r="1003" spans="46:47" x14ac:dyDescent="0.3">
      <c r="AT1003">
        <v>0.95</v>
      </c>
      <c r="AU1003">
        <v>8.24</v>
      </c>
    </row>
    <row r="1004" spans="46:47" x14ac:dyDescent="0.3">
      <c r="AT1004">
        <v>0.87</v>
      </c>
      <c r="AU1004">
        <v>8.24</v>
      </c>
    </row>
    <row r="1005" spans="46:47" x14ac:dyDescent="0.3">
      <c r="AT1005">
        <v>0.81</v>
      </c>
      <c r="AU1005">
        <v>8.41</v>
      </c>
    </row>
    <row r="1006" spans="46:47" x14ac:dyDescent="0.3">
      <c r="AT1006">
        <v>0.57999999999999996</v>
      </c>
      <c r="AU1006">
        <v>8.7200000000000006</v>
      </c>
    </row>
    <row r="1007" spans="46:47" x14ac:dyDescent="0.3">
      <c r="AT1007">
        <v>0.65</v>
      </c>
      <c r="AU1007">
        <v>8.6199999999999992</v>
      </c>
    </row>
    <row r="1008" spans="46:47" x14ac:dyDescent="0.3">
      <c r="AT1008">
        <v>0.75</v>
      </c>
      <c r="AU1008">
        <v>8.6999999999999993</v>
      </c>
    </row>
    <row r="1009" spans="46:47" x14ac:dyDescent="0.3">
      <c r="AT1009">
        <v>1.06</v>
      </c>
      <c r="AU1009">
        <v>8.25</v>
      </c>
    </row>
    <row r="1010" spans="46:47" x14ac:dyDescent="0.3">
      <c r="AT1010">
        <v>0.39</v>
      </c>
      <c r="AU1010">
        <v>8.36</v>
      </c>
    </row>
    <row r="1011" spans="46:47" x14ac:dyDescent="0.3">
      <c r="AT1011">
        <v>0.68</v>
      </c>
      <c r="AU1011">
        <v>8.6999999999999993</v>
      </c>
    </row>
    <row r="1012" spans="46:47" x14ac:dyDescent="0.3">
      <c r="AT1012">
        <v>0.75</v>
      </c>
      <c r="AU1012">
        <v>8.76</v>
      </c>
    </row>
    <row r="1013" spans="46:47" x14ac:dyDescent="0.3">
      <c r="AT1013">
        <v>1.06</v>
      </c>
      <c r="AU1013">
        <v>8.5399999999999991</v>
      </c>
    </row>
    <row r="1014" spans="46:47" x14ac:dyDescent="0.3">
      <c r="AT1014">
        <v>0.65</v>
      </c>
      <c r="AU1014">
        <v>8.7100000000000009</v>
      </c>
    </row>
    <row r="1015" spans="46:47" x14ac:dyDescent="0.3">
      <c r="AT1015">
        <v>0.89</v>
      </c>
      <c r="AU1015">
        <v>8.67</v>
      </c>
    </row>
    <row r="1016" spans="46:47" x14ac:dyDescent="0.3">
      <c r="AT1016">
        <v>0.89</v>
      </c>
      <c r="AU1016">
        <v>8.66</v>
      </c>
    </row>
    <row r="1017" spans="46:47" x14ac:dyDescent="0.3">
      <c r="AT1017">
        <v>0.72</v>
      </c>
      <c r="AU1017">
        <v>7.04</v>
      </c>
    </row>
    <row r="1018" spans="46:47" x14ac:dyDescent="0.3">
      <c r="AT1018">
        <v>0.61</v>
      </c>
      <c r="AU1018">
        <v>8.5299999999999994</v>
      </c>
    </row>
    <row r="1019" spans="46:47" x14ac:dyDescent="0.3">
      <c r="AT1019">
        <v>1.72</v>
      </c>
      <c r="AU1019">
        <v>4.62</v>
      </c>
    </row>
    <row r="1020" spans="46:47" x14ac:dyDescent="0.3">
      <c r="AT1020">
        <v>0.6</v>
      </c>
      <c r="AU1020">
        <v>8.18</v>
      </c>
    </row>
    <row r="1021" spans="46:47" x14ac:dyDescent="0.3">
      <c r="AT1021">
        <v>1.3</v>
      </c>
      <c r="AU1021">
        <v>2.39</v>
      </c>
    </row>
    <row r="1022" spans="46:47" x14ac:dyDescent="0.3">
      <c r="AT1022">
        <v>0.78</v>
      </c>
      <c r="AU1022">
        <v>8.3800000000000008</v>
      </c>
    </row>
    <row r="1023" spans="46:47" x14ac:dyDescent="0.3">
      <c r="AT1023">
        <v>0.66</v>
      </c>
      <c r="AU1023">
        <v>8.52</v>
      </c>
    </row>
    <row r="1024" spans="46:47" x14ac:dyDescent="0.3">
      <c r="AT1024">
        <v>0.55000000000000004</v>
      </c>
      <c r="AU1024">
        <v>8.39</v>
      </c>
    </row>
    <row r="1025" spans="46:47" x14ac:dyDescent="0.3">
      <c r="AT1025">
        <v>0.75</v>
      </c>
      <c r="AU1025">
        <v>9.43</v>
      </c>
    </row>
    <row r="1026" spans="46:47" x14ac:dyDescent="0.3">
      <c r="AT1026">
        <v>0.75</v>
      </c>
      <c r="AU1026">
        <v>8.57</v>
      </c>
    </row>
    <row r="1027" spans="46:47" x14ac:dyDescent="0.3">
      <c r="AT1027">
        <v>0.67</v>
      </c>
      <c r="AU1027">
        <v>8.57</v>
      </c>
    </row>
    <row r="1028" spans="46:47" x14ac:dyDescent="0.3">
      <c r="AT1028">
        <v>0.79</v>
      </c>
      <c r="AU1028">
        <v>8.84</v>
      </c>
    </row>
    <row r="1029" spans="46:47" x14ac:dyDescent="0.3">
      <c r="AT1029">
        <v>0.87</v>
      </c>
      <c r="AU1029">
        <v>9.0399999999999991</v>
      </c>
    </row>
    <row r="1030" spans="46:47" x14ac:dyDescent="0.3">
      <c r="AT1030">
        <v>0.61</v>
      </c>
      <c r="AU1030">
        <v>8.65</v>
      </c>
    </row>
    <row r="1031" spans="46:47" x14ac:dyDescent="0.3">
      <c r="AT1031">
        <v>0.74</v>
      </c>
      <c r="AU1031">
        <v>8.81</v>
      </c>
    </row>
    <row r="1032" spans="46:47" x14ac:dyDescent="0.3">
      <c r="AT1032">
        <v>0.5</v>
      </c>
      <c r="AU1032">
        <v>8.56</v>
      </c>
    </row>
    <row r="1033" spans="46:47" x14ac:dyDescent="0.3">
      <c r="AT1033">
        <v>0.54</v>
      </c>
      <c r="AU1033">
        <v>8.65</v>
      </c>
    </row>
    <row r="1034" spans="46:47" x14ac:dyDescent="0.3">
      <c r="AT1034">
        <v>1.03</v>
      </c>
      <c r="AU1034">
        <v>8.89</v>
      </c>
    </row>
    <row r="1035" spans="46:47" x14ac:dyDescent="0.3">
      <c r="AT1035">
        <v>0.85</v>
      </c>
      <c r="AU1035">
        <v>8.91</v>
      </c>
    </row>
    <row r="1036" spans="46:47" x14ac:dyDescent="0.3">
      <c r="AT1036">
        <v>0.45</v>
      </c>
      <c r="AU1036">
        <v>7.94</v>
      </c>
    </row>
    <row r="1037" spans="46:47" x14ac:dyDescent="0.3">
      <c r="AT1037">
        <v>0.66</v>
      </c>
      <c r="AU1037">
        <v>8.8800000000000008</v>
      </c>
    </row>
    <row r="1038" spans="46:47" x14ac:dyDescent="0.3">
      <c r="AT1038">
        <v>0.81</v>
      </c>
      <c r="AU1038">
        <v>8.01</v>
      </c>
    </row>
    <row r="1039" spans="46:47" x14ac:dyDescent="0.3">
      <c r="AT1039">
        <v>0.82</v>
      </c>
      <c r="AU1039">
        <v>8.57</v>
      </c>
    </row>
    <row r="1040" spans="46:47" x14ac:dyDescent="0.3">
      <c r="AT1040">
        <v>0.78</v>
      </c>
      <c r="AU1040">
        <v>8.4700000000000006</v>
      </c>
    </row>
    <row r="1041" spans="46:47" x14ac:dyDescent="0.3">
      <c r="AT1041">
        <v>0.96</v>
      </c>
      <c r="AU1041">
        <v>8.4499999999999993</v>
      </c>
    </row>
    <row r="1042" spans="46:47" x14ac:dyDescent="0.3">
      <c r="AT1042">
        <v>0.98</v>
      </c>
      <c r="AU1042">
        <v>9</v>
      </c>
    </row>
    <row r="1043" spans="46:47" x14ac:dyDescent="0.3">
      <c r="AT1043">
        <v>0.98</v>
      </c>
      <c r="AU1043">
        <v>8.81</v>
      </c>
    </row>
    <row r="1044" spans="46:47" x14ac:dyDescent="0.3">
      <c r="AT1044">
        <v>0.76</v>
      </c>
      <c r="AU1044">
        <v>8.9499999999999993</v>
      </c>
    </row>
    <row r="1045" spans="46:47" x14ac:dyDescent="0.3">
      <c r="AT1045">
        <v>0.96</v>
      </c>
      <c r="AU1045">
        <v>8.85</v>
      </c>
    </row>
    <row r="1046" spans="46:47" x14ac:dyDescent="0.3">
      <c r="AT1046">
        <v>0.72</v>
      </c>
      <c r="AU1046">
        <v>8.56</v>
      </c>
    </row>
    <row r="1047" spans="46:47" x14ac:dyDescent="0.3">
      <c r="AT1047">
        <v>0.73</v>
      </c>
      <c r="AU1047">
        <v>9.17</v>
      </c>
    </row>
    <row r="1048" spans="46:47" x14ac:dyDescent="0.3">
      <c r="AT1048">
        <v>0.85</v>
      </c>
      <c r="AU1048">
        <v>9.09</v>
      </c>
    </row>
    <row r="1049" spans="46:47" x14ac:dyDescent="0.3">
      <c r="AT1049">
        <v>0.99</v>
      </c>
      <c r="AU1049">
        <v>8.7899999999999991</v>
      </c>
    </row>
    <row r="1050" spans="46:47" x14ac:dyDescent="0.3">
      <c r="AT1050">
        <v>1.07</v>
      </c>
      <c r="AU1050">
        <v>7.95</v>
      </c>
    </row>
    <row r="1051" spans="46:47" x14ac:dyDescent="0.3">
      <c r="AT1051">
        <v>0.88</v>
      </c>
      <c r="AU1051">
        <v>7.79</v>
      </c>
    </row>
    <row r="1052" spans="46:47" x14ac:dyDescent="0.3">
      <c r="AT1052">
        <v>0.59</v>
      </c>
      <c r="AU1052">
        <v>7.66</v>
      </c>
    </row>
    <row r="1053" spans="46:47" x14ac:dyDescent="0.3">
      <c r="AT1053">
        <v>0.74</v>
      </c>
      <c r="AU1053">
        <v>8.94</v>
      </c>
    </row>
    <row r="1054" spans="46:47" x14ac:dyDescent="0.3">
      <c r="AT1054">
        <v>0.7</v>
      </c>
      <c r="AU1054">
        <v>8.67</v>
      </c>
    </row>
    <row r="1055" spans="46:47" x14ac:dyDescent="0.3">
      <c r="AT1055">
        <v>0.8</v>
      </c>
      <c r="AU1055">
        <v>8.6300000000000008</v>
      </c>
    </row>
    <row r="1056" spans="46:47" x14ac:dyDescent="0.3">
      <c r="AT1056">
        <v>0.57999999999999996</v>
      </c>
      <c r="AU1056">
        <v>8.6300000000000008</v>
      </c>
    </row>
    <row r="1057" spans="46:47" x14ac:dyDescent="0.3">
      <c r="AT1057">
        <v>0.66</v>
      </c>
      <c r="AU1057">
        <v>8.5299999999999994</v>
      </c>
    </row>
    <row r="1058" spans="46:47" x14ac:dyDescent="0.3">
      <c r="AT1058">
        <v>0.75</v>
      </c>
      <c r="AU1058">
        <v>8.92</v>
      </c>
    </row>
    <row r="1059" spans="46:47" x14ac:dyDescent="0.3">
      <c r="AT1059">
        <v>0.96</v>
      </c>
      <c r="AU1059">
        <v>8.77</v>
      </c>
    </row>
    <row r="1060" spans="46:47" x14ac:dyDescent="0.3">
      <c r="AT1060">
        <v>0.86</v>
      </c>
      <c r="AU1060">
        <v>8.1300000000000008</v>
      </c>
    </row>
    <row r="1061" spans="46:47" x14ac:dyDescent="0.3">
      <c r="AT1061">
        <v>0.45</v>
      </c>
      <c r="AU1061">
        <v>7.61</v>
      </c>
    </row>
    <row r="1062" spans="46:47" x14ac:dyDescent="0.3">
      <c r="AT1062">
        <v>1.24</v>
      </c>
      <c r="AU1062">
        <v>8.5500000000000007</v>
      </c>
    </row>
    <row r="1063" spans="46:47" x14ac:dyDescent="0.3">
      <c r="AT1063">
        <v>0.96</v>
      </c>
      <c r="AU1063">
        <v>9.0299999999999994</v>
      </c>
    </row>
    <row r="1064" spans="46:47" x14ac:dyDescent="0.3">
      <c r="AT1064">
        <v>0.82</v>
      </c>
      <c r="AU1064">
        <v>8.86</v>
      </c>
    </row>
    <row r="1065" spans="46:47" x14ac:dyDescent="0.3">
      <c r="AT1065">
        <v>0.93</v>
      </c>
      <c r="AU1065">
        <v>8.81</v>
      </c>
    </row>
    <row r="1066" spans="46:47" x14ac:dyDescent="0.3">
      <c r="AT1066">
        <v>0.25</v>
      </c>
      <c r="AU1066">
        <v>8.3000000000000007</v>
      </c>
    </row>
    <row r="1067" spans="46:47" x14ac:dyDescent="0.3">
      <c r="AT1067">
        <v>0.67</v>
      </c>
      <c r="AU1067">
        <v>8.2799999999999994</v>
      </c>
    </row>
    <row r="1068" spans="46:47" x14ac:dyDescent="0.3">
      <c r="AT1068">
        <v>0.57999999999999996</v>
      </c>
      <c r="AU1068">
        <v>7.7</v>
      </c>
    </row>
    <row r="1069" spans="46:47" x14ac:dyDescent="0.3">
      <c r="AT1069">
        <v>0.56000000000000005</v>
      </c>
      <c r="AU1069">
        <v>8.59</v>
      </c>
    </row>
    <row r="1070" spans="46:47" x14ac:dyDescent="0.3">
      <c r="AT1070">
        <v>0.69</v>
      </c>
      <c r="AU1070">
        <v>8.4700000000000006</v>
      </c>
    </row>
    <row r="1071" spans="46:47" x14ac:dyDescent="0.3">
      <c r="AT1071">
        <v>0.66</v>
      </c>
      <c r="AU1071">
        <v>8.64</v>
      </c>
    </row>
    <row r="1072" spans="46:47" x14ac:dyDescent="0.3">
      <c r="AT1072">
        <v>0.56000000000000005</v>
      </c>
      <c r="AU1072">
        <v>8.65</v>
      </c>
    </row>
    <row r="1073" spans="46:47" x14ac:dyDescent="0.3">
      <c r="AT1073">
        <v>0.76</v>
      </c>
      <c r="AU1073">
        <v>8.51</v>
      </c>
    </row>
    <row r="1074" spans="46:47" x14ac:dyDescent="0.3">
      <c r="AT1074">
        <v>0.37</v>
      </c>
      <c r="AU1074">
        <v>8.3699999999999992</v>
      </c>
    </row>
    <row r="1075" spans="46:47" x14ac:dyDescent="0.3">
      <c r="AT1075">
        <v>0.55000000000000004</v>
      </c>
      <c r="AU1075">
        <v>8.9499999999999993</v>
      </c>
    </row>
    <row r="1076" spans="46:47" x14ac:dyDescent="0.3">
      <c r="AT1076">
        <v>0</v>
      </c>
      <c r="AU1076">
        <v>10.85</v>
      </c>
    </row>
    <row r="1077" spans="46:47" x14ac:dyDescent="0.3">
      <c r="AT1077">
        <v>0.78</v>
      </c>
      <c r="AU1077">
        <v>8.65</v>
      </c>
    </row>
    <row r="1078" spans="46:47" x14ac:dyDescent="0.3">
      <c r="AT1078">
        <v>0.97</v>
      </c>
      <c r="AU1078">
        <v>8.6</v>
      </c>
    </row>
    <row r="1079" spans="46:47" x14ac:dyDescent="0.3">
      <c r="AT1079">
        <v>0.59</v>
      </c>
      <c r="AU1079">
        <v>8.43</v>
      </c>
    </row>
    <row r="1080" spans="46:47" x14ac:dyDescent="0.3">
      <c r="AT1080">
        <v>0.85</v>
      </c>
      <c r="AU1080">
        <v>8.7799999999999994</v>
      </c>
    </row>
    <row r="1081" spans="46:47" x14ac:dyDescent="0.3">
      <c r="AT1081">
        <v>0.69</v>
      </c>
      <c r="AU1081">
        <v>8.83</v>
      </c>
    </row>
    <row r="1082" spans="46:47" x14ac:dyDescent="0.3">
      <c r="AT1082">
        <v>0.6</v>
      </c>
      <c r="AU1082">
        <v>8.9600000000000009</v>
      </c>
    </row>
    <row r="1083" spans="46:47" x14ac:dyDescent="0.3">
      <c r="AT1083">
        <v>0.79</v>
      </c>
      <c r="AU1083">
        <v>8.83</v>
      </c>
    </row>
    <row r="1084" spans="46:47" x14ac:dyDescent="0.3">
      <c r="AT1084">
        <v>0.65</v>
      </c>
      <c r="AU1084">
        <v>10.220000000000001</v>
      </c>
    </row>
    <row r="1085" spans="46:47" x14ac:dyDescent="0.3">
      <c r="AT1085">
        <v>0.32</v>
      </c>
      <c r="AU1085">
        <v>8.9600000000000009</v>
      </c>
    </row>
    <row r="1086" spans="46:47" x14ac:dyDescent="0.3">
      <c r="AT1086">
        <v>0.24</v>
      </c>
      <c r="AU1086">
        <v>8.84</v>
      </c>
    </row>
    <row r="1087" spans="46:47" x14ac:dyDescent="0.3">
      <c r="AT1087">
        <v>0.81</v>
      </c>
      <c r="AU1087">
        <v>8.84</v>
      </c>
    </row>
    <row r="1088" spans="46:47" x14ac:dyDescent="0.3">
      <c r="AT1088">
        <v>0.88</v>
      </c>
      <c r="AU1088">
        <v>8.68</v>
      </c>
    </row>
    <row r="1089" spans="46:47" x14ac:dyDescent="0.3">
      <c r="AT1089">
        <v>1.28</v>
      </c>
      <c r="AU1089">
        <v>8.34</v>
      </c>
    </row>
    <row r="1090" spans="46:47" x14ac:dyDescent="0.3">
      <c r="AT1090">
        <v>0.74</v>
      </c>
      <c r="AU1090">
        <v>8.89</v>
      </c>
    </row>
    <row r="1091" spans="46:47" x14ac:dyDescent="0.3">
      <c r="AT1091">
        <v>1.04</v>
      </c>
      <c r="AU1091">
        <v>8.75</v>
      </c>
    </row>
    <row r="1092" spans="46:47" x14ac:dyDescent="0.3">
      <c r="AT1092">
        <v>1.1299999999999999</v>
      </c>
      <c r="AU1092">
        <v>8.23</v>
      </c>
    </row>
    <row r="1093" spans="46:47" x14ac:dyDescent="0.3">
      <c r="AT1093">
        <v>0.71</v>
      </c>
      <c r="AU1093">
        <v>8</v>
      </c>
    </row>
    <row r="1094" spans="46:47" x14ac:dyDescent="0.3">
      <c r="AT1094">
        <v>0.85</v>
      </c>
      <c r="AU1094">
        <v>9.34</v>
      </c>
    </row>
    <row r="1095" spans="46:47" x14ac:dyDescent="0.3">
      <c r="AT1095">
        <v>0.57999999999999996</v>
      </c>
      <c r="AU1095">
        <v>8.5299999999999994</v>
      </c>
    </row>
    <row r="1096" spans="46:47" x14ac:dyDescent="0.3">
      <c r="AT1096">
        <v>0.52</v>
      </c>
      <c r="AU1096">
        <v>7.16</v>
      </c>
    </row>
    <row r="1097" spans="46:47" x14ac:dyDescent="0.3">
      <c r="AT1097">
        <v>0.89</v>
      </c>
      <c r="AU1097">
        <v>8.77</v>
      </c>
    </row>
    <row r="1098" spans="46:47" x14ac:dyDescent="0.3">
      <c r="AT1098">
        <v>0.66</v>
      </c>
      <c r="AU1098">
        <v>8.7200000000000006</v>
      </c>
    </row>
    <row r="1099" spans="46:47" x14ac:dyDescent="0.3">
      <c r="AT1099">
        <v>0.85</v>
      </c>
      <c r="AU1099">
        <v>8.93</v>
      </c>
    </row>
    <row r="1100" spans="46:47" x14ac:dyDescent="0.3">
      <c r="AT1100">
        <v>0.83</v>
      </c>
      <c r="AU1100">
        <v>8.6999999999999993</v>
      </c>
    </row>
    <row r="1101" spans="46:47" x14ac:dyDescent="0.3">
      <c r="AT1101">
        <v>0.79</v>
      </c>
      <c r="AU1101">
        <v>8.83</v>
      </c>
    </row>
    <row r="1102" spans="46:47" x14ac:dyDescent="0.3">
      <c r="AT1102">
        <v>0.44</v>
      </c>
      <c r="AU1102">
        <v>6.99</v>
      </c>
    </row>
    <row r="1103" spans="46:47" x14ac:dyDescent="0.3">
      <c r="AT1103">
        <v>0.86</v>
      </c>
      <c r="AU1103">
        <v>8.74</v>
      </c>
    </row>
    <row r="1104" spans="46:47" x14ac:dyDescent="0.3">
      <c r="AT1104">
        <v>0.7</v>
      </c>
      <c r="AU1104">
        <v>8.68</v>
      </c>
    </row>
    <row r="1105" spans="46:47" x14ac:dyDescent="0.3">
      <c r="AT1105">
        <v>0.78</v>
      </c>
      <c r="AU1105">
        <v>8.1999999999999993</v>
      </c>
    </row>
    <row r="1106" spans="46:47" x14ac:dyDescent="0.3">
      <c r="AT1106">
        <v>0.71</v>
      </c>
      <c r="AU1106">
        <v>8.5399999999999991</v>
      </c>
    </row>
    <row r="1107" spans="46:47" x14ac:dyDescent="0.3">
      <c r="AT1107">
        <v>0.69</v>
      </c>
      <c r="AU1107">
        <v>8.5299999999999994</v>
      </c>
    </row>
    <row r="1108" spans="46:47" x14ac:dyDescent="0.3">
      <c r="AT1108">
        <v>0.86</v>
      </c>
      <c r="AU1108">
        <v>8.7899999999999991</v>
      </c>
    </row>
    <row r="1109" spans="46:47" x14ac:dyDescent="0.3">
      <c r="AT1109">
        <v>0.56999999999999995</v>
      </c>
      <c r="AU1109">
        <v>8.6199999999999992</v>
      </c>
    </row>
    <row r="1110" spans="46:47" x14ac:dyDescent="0.3">
      <c r="AT1110">
        <v>0.73</v>
      </c>
      <c r="AU1110">
        <v>7.2</v>
      </c>
    </row>
    <row r="1111" spans="46:47" x14ac:dyDescent="0.3">
      <c r="AT1111">
        <v>0.91</v>
      </c>
      <c r="AU1111">
        <v>8.34</v>
      </c>
    </row>
    <row r="1112" spans="46:47" x14ac:dyDescent="0.3">
      <c r="AT1112">
        <v>0.72</v>
      </c>
      <c r="AU1112">
        <v>7.95</v>
      </c>
    </row>
    <row r="1113" spans="46:47" x14ac:dyDescent="0.3">
      <c r="AT1113">
        <v>0.92</v>
      </c>
      <c r="AU1113">
        <v>8.8800000000000008</v>
      </c>
    </row>
    <row r="1114" spans="46:47" x14ac:dyDescent="0.3">
      <c r="AT1114">
        <v>0.52</v>
      </c>
      <c r="AU1114">
        <v>8.16</v>
      </c>
    </row>
    <row r="1115" spans="46:47" x14ac:dyDescent="0.3">
      <c r="AT1115">
        <v>0.73</v>
      </c>
      <c r="AU1115">
        <v>9.4600000000000009</v>
      </c>
    </row>
    <row r="1116" spans="46:47" x14ac:dyDescent="0.3">
      <c r="AT1116">
        <v>0.87</v>
      </c>
      <c r="AU1116">
        <v>9.36</v>
      </c>
    </row>
    <row r="1117" spans="46:47" x14ac:dyDescent="0.3">
      <c r="AT1117">
        <v>0.52</v>
      </c>
      <c r="AU1117">
        <v>8.82</v>
      </c>
    </row>
    <row r="1118" spans="46:47" x14ac:dyDescent="0.3">
      <c r="AT1118">
        <v>0.62</v>
      </c>
      <c r="AU1118">
        <v>8.77</v>
      </c>
    </row>
    <row r="1119" spans="46:47" x14ac:dyDescent="0.3">
      <c r="AT1119">
        <v>0.24</v>
      </c>
      <c r="AU1119">
        <v>8.1300000000000008</v>
      </c>
    </row>
    <row r="1120" spans="46:47" x14ac:dyDescent="0.3">
      <c r="AT1120">
        <v>0.78</v>
      </c>
      <c r="AU1120">
        <v>9.5299999999999994</v>
      </c>
    </row>
    <row r="1121" spans="46:47" x14ac:dyDescent="0.3">
      <c r="AT1121">
        <v>1.02</v>
      </c>
      <c r="AU1121">
        <v>8.5399999999999991</v>
      </c>
    </row>
    <row r="1122" spans="46:47" x14ac:dyDescent="0.3">
      <c r="AT1122">
        <v>1.02</v>
      </c>
      <c r="AU1122">
        <v>9</v>
      </c>
    </row>
    <row r="1123" spans="46:47" x14ac:dyDescent="0.3">
      <c r="AT1123">
        <v>0.91</v>
      </c>
      <c r="AU1123">
        <v>8.34</v>
      </c>
    </row>
    <row r="1124" spans="46:47" x14ac:dyDescent="0.3">
      <c r="AT1124">
        <v>0.68</v>
      </c>
      <c r="AU1124">
        <v>8.6999999999999993</v>
      </c>
    </row>
    <row r="1125" spans="46:47" x14ac:dyDescent="0.3">
      <c r="AT1125">
        <v>0.68</v>
      </c>
      <c r="AU1125">
        <v>8.5299999999999994</v>
      </c>
    </row>
    <row r="1126" spans="46:47" x14ac:dyDescent="0.3">
      <c r="AT1126">
        <v>0.84</v>
      </c>
      <c r="AU1126">
        <v>8.39</v>
      </c>
    </row>
    <row r="1127" spans="46:47" x14ac:dyDescent="0.3">
      <c r="AT1127">
        <v>0.67</v>
      </c>
      <c r="AU1127">
        <v>8.6300000000000008</v>
      </c>
    </row>
    <row r="1128" spans="46:47" x14ac:dyDescent="0.3">
      <c r="AT1128">
        <v>0.92</v>
      </c>
      <c r="AU1128">
        <v>9.1</v>
      </c>
    </row>
    <row r="1129" spans="46:47" x14ac:dyDescent="0.3">
      <c r="AT1129">
        <v>0.79</v>
      </c>
      <c r="AU1129">
        <v>8.5299999999999994</v>
      </c>
    </row>
    <row r="1130" spans="46:47" x14ac:dyDescent="0.3">
      <c r="AT1130">
        <v>0.86</v>
      </c>
      <c r="AU1130">
        <v>8.66</v>
      </c>
    </row>
    <row r="1131" spans="46:47" x14ac:dyDescent="0.3">
      <c r="AT1131">
        <v>0.82</v>
      </c>
      <c r="AU1131">
        <v>9.09</v>
      </c>
    </row>
    <row r="1132" spans="46:47" x14ac:dyDescent="0.3">
      <c r="AT1132">
        <v>0.62</v>
      </c>
      <c r="AU1132">
        <v>7.64</v>
      </c>
    </row>
    <row r="1133" spans="46:47" x14ac:dyDescent="0.3">
      <c r="AT1133">
        <v>1.08</v>
      </c>
      <c r="AU1133">
        <v>8.7899999999999991</v>
      </c>
    </row>
    <row r="1134" spans="46:47" x14ac:dyDescent="0.3">
      <c r="AT1134">
        <v>0.95</v>
      </c>
      <c r="AU1134">
        <v>8.2100000000000009</v>
      </c>
    </row>
    <row r="1135" spans="46:47" x14ac:dyDescent="0.3">
      <c r="AT1135">
        <v>0.83</v>
      </c>
      <c r="AU1135">
        <v>9.3699999999999992</v>
      </c>
    </row>
    <row r="1136" spans="46:47" x14ac:dyDescent="0.3">
      <c r="AT1136">
        <v>0.93</v>
      </c>
      <c r="AU1136">
        <v>9.2100000000000009</v>
      </c>
    </row>
    <row r="1137" spans="46:47" x14ac:dyDescent="0.3">
      <c r="AT1137">
        <v>0.88</v>
      </c>
      <c r="AU1137">
        <v>9.08</v>
      </c>
    </row>
    <row r="1138" spans="46:47" x14ac:dyDescent="0.3">
      <c r="AT1138">
        <v>0.75</v>
      </c>
      <c r="AU1138">
        <v>8.61</v>
      </c>
    </row>
    <row r="1139" spans="46:47" x14ac:dyDescent="0.3">
      <c r="AT1139">
        <v>1.33</v>
      </c>
      <c r="AU1139">
        <v>8.65</v>
      </c>
    </row>
    <row r="1140" spans="46:47" x14ac:dyDescent="0.3">
      <c r="AT1140">
        <v>0.57999999999999996</v>
      </c>
      <c r="AU1140">
        <v>7.96</v>
      </c>
    </row>
    <row r="1141" spans="46:47" x14ac:dyDescent="0.3">
      <c r="AT1141">
        <v>1.37</v>
      </c>
      <c r="AU1141">
        <v>3.37</v>
      </c>
    </row>
    <row r="1142" spans="46:47" x14ac:dyDescent="0.3">
      <c r="AT1142">
        <v>0.82</v>
      </c>
      <c r="AU1142">
        <v>8.49</v>
      </c>
    </row>
    <row r="1143" spans="46:47" x14ac:dyDescent="0.3">
      <c r="AT1143">
        <v>0.72</v>
      </c>
      <c r="AU1143">
        <v>9.02</v>
      </c>
    </row>
    <row r="1144" spans="46:47" x14ac:dyDescent="0.3">
      <c r="AT1144">
        <v>0.37</v>
      </c>
      <c r="AU1144">
        <v>8.3699999999999992</v>
      </c>
    </row>
    <row r="1145" spans="46:47" x14ac:dyDescent="0.3">
      <c r="AT1145">
        <v>0.73</v>
      </c>
      <c r="AU1145">
        <v>8.3000000000000007</v>
      </c>
    </row>
    <row r="1146" spans="46:47" x14ac:dyDescent="0.3">
      <c r="AT1146">
        <v>0.75</v>
      </c>
      <c r="AU1146">
        <v>8.67</v>
      </c>
    </row>
    <row r="1147" spans="46:47" x14ac:dyDescent="0.3">
      <c r="AT1147">
        <v>0.79</v>
      </c>
      <c r="AU1147">
        <v>8.76</v>
      </c>
    </row>
    <row r="1148" spans="46:47" x14ac:dyDescent="0.3">
      <c r="AT1148">
        <v>0.74</v>
      </c>
      <c r="AU1148">
        <v>9.23</v>
      </c>
    </row>
    <row r="1149" spans="46:47" x14ac:dyDescent="0.3">
      <c r="AT1149">
        <v>0.49</v>
      </c>
      <c r="AU1149">
        <v>8.3800000000000008</v>
      </c>
    </row>
    <row r="1150" spans="46:47" x14ac:dyDescent="0.3">
      <c r="AT1150">
        <v>0.75</v>
      </c>
      <c r="AU1150">
        <v>8.76</v>
      </c>
    </row>
    <row r="1151" spans="46:47" x14ac:dyDescent="0.3">
      <c r="AT1151">
        <v>0.6</v>
      </c>
      <c r="AU1151">
        <v>8.49</v>
      </c>
    </row>
    <row r="1152" spans="46:47" x14ac:dyDescent="0.3">
      <c r="AT1152">
        <v>0.5</v>
      </c>
      <c r="AU1152">
        <v>8.27</v>
      </c>
    </row>
    <row r="1153" spans="46:47" x14ac:dyDescent="0.3">
      <c r="AT1153">
        <v>0.8</v>
      </c>
      <c r="AU1153">
        <v>9.44</v>
      </c>
    </row>
    <row r="1154" spans="46:47" x14ac:dyDescent="0.3">
      <c r="AT1154">
        <v>0.85</v>
      </c>
      <c r="AU1154">
        <v>9.14</v>
      </c>
    </row>
    <row r="1155" spans="46:47" x14ac:dyDescent="0.3">
      <c r="AT1155">
        <v>0.86</v>
      </c>
      <c r="AU1155">
        <v>8.9</v>
      </c>
    </row>
    <row r="1156" spans="46:47" x14ac:dyDescent="0.3">
      <c r="AT1156">
        <v>0.95</v>
      </c>
      <c r="AU1156">
        <v>8.85</v>
      </c>
    </row>
    <row r="1157" spans="46:47" x14ac:dyDescent="0.3">
      <c r="AT1157">
        <v>0.79</v>
      </c>
      <c r="AU1157">
        <v>8.73</v>
      </c>
    </row>
    <row r="1158" spans="46:47" x14ac:dyDescent="0.3">
      <c r="AT1158">
        <v>0.74</v>
      </c>
      <c r="AU1158">
        <v>8.5500000000000007</v>
      </c>
    </row>
    <row r="1159" spans="46:47" x14ac:dyDescent="0.3">
      <c r="AT1159">
        <v>0.35</v>
      </c>
      <c r="AU1159">
        <v>8.4600000000000009</v>
      </c>
    </row>
    <row r="1160" spans="46:47" x14ac:dyDescent="0.3">
      <c r="AT1160">
        <v>0.86</v>
      </c>
      <c r="AU1160">
        <v>8.25</v>
      </c>
    </row>
    <row r="1161" spans="46:47" x14ac:dyDescent="0.3">
      <c r="AT1161">
        <v>0.45</v>
      </c>
      <c r="AU1161">
        <v>8.27</v>
      </c>
    </row>
    <row r="1162" spans="46:47" x14ac:dyDescent="0.3">
      <c r="AT1162">
        <v>0.97</v>
      </c>
      <c r="AU1162">
        <v>8.1300000000000008</v>
      </c>
    </row>
    <row r="1163" spans="46:47" x14ac:dyDescent="0.3">
      <c r="AT1163">
        <v>0.46</v>
      </c>
      <c r="AU1163">
        <v>8.0299999999999994</v>
      </c>
    </row>
    <row r="1164" spans="46:47" x14ac:dyDescent="0.3">
      <c r="AT1164">
        <v>0.5</v>
      </c>
      <c r="AU1164">
        <v>7.94</v>
      </c>
    </row>
    <row r="1165" spans="46:47" x14ac:dyDescent="0.3">
      <c r="AT1165">
        <v>0.56999999999999995</v>
      </c>
      <c r="AU1165">
        <v>7.89</v>
      </c>
    </row>
    <row r="1166" spans="46:47" x14ac:dyDescent="0.3">
      <c r="AT1166">
        <v>0.75</v>
      </c>
      <c r="AU1166">
        <v>7.66</v>
      </c>
    </row>
    <row r="1167" spans="46:47" x14ac:dyDescent="0.3">
      <c r="AT1167">
        <v>0.73</v>
      </c>
      <c r="AU1167">
        <v>8.8800000000000008</v>
      </c>
    </row>
    <row r="1168" spans="46:47" x14ac:dyDescent="0.3">
      <c r="AT1168">
        <v>0.53</v>
      </c>
      <c r="AU1168">
        <v>8.43</v>
      </c>
    </row>
    <row r="1169" spans="46:47" x14ac:dyDescent="0.3">
      <c r="AT1169">
        <v>0.93</v>
      </c>
      <c r="AU1169">
        <v>8.8800000000000008</v>
      </c>
    </row>
    <row r="1170" spans="46:47" x14ac:dyDescent="0.3">
      <c r="AT1170">
        <v>0.55000000000000004</v>
      </c>
      <c r="AU1170">
        <v>10.39</v>
      </c>
    </row>
    <row r="1171" spans="46:47" x14ac:dyDescent="0.3">
      <c r="AT1171">
        <v>0.91</v>
      </c>
      <c r="AU1171">
        <v>10</v>
      </c>
    </row>
    <row r="1172" spans="46:47" x14ac:dyDescent="0.3">
      <c r="AT1172">
        <v>0.8</v>
      </c>
      <c r="AU1172">
        <v>9.5500000000000007</v>
      </c>
    </row>
    <row r="1173" spans="46:47" x14ac:dyDescent="0.3">
      <c r="AT1173">
        <v>0.79</v>
      </c>
      <c r="AU1173">
        <v>8.9700000000000006</v>
      </c>
    </row>
    <row r="1174" spans="46:47" x14ac:dyDescent="0.3">
      <c r="AT1174">
        <v>0.73</v>
      </c>
      <c r="AU1174">
        <v>8.9700000000000006</v>
      </c>
    </row>
    <row r="1175" spans="46:47" x14ac:dyDescent="0.3">
      <c r="AT1175">
        <v>0.69</v>
      </c>
      <c r="AU1175">
        <v>9.23</v>
      </c>
    </row>
    <row r="1176" spans="46:47" x14ac:dyDescent="0.3">
      <c r="AT1176">
        <v>0.86</v>
      </c>
      <c r="AU1176">
        <v>9.0399999999999991</v>
      </c>
    </row>
    <row r="1177" spans="46:47" x14ac:dyDescent="0.3">
      <c r="AT1177">
        <v>0.99</v>
      </c>
      <c r="AU1177">
        <v>8.81</v>
      </c>
    </row>
    <row r="1178" spans="46:47" x14ac:dyDescent="0.3">
      <c r="AT1178">
        <v>0.68</v>
      </c>
      <c r="AU1178">
        <v>8.7799999999999994</v>
      </c>
    </row>
    <row r="1179" spans="46:47" x14ac:dyDescent="0.3">
      <c r="AT1179">
        <v>0.67</v>
      </c>
      <c r="AU1179">
        <v>8.8800000000000008</v>
      </c>
    </row>
    <row r="1180" spans="46:47" x14ac:dyDescent="0.3">
      <c r="AT1180">
        <v>0.8</v>
      </c>
      <c r="AU1180">
        <v>8.4700000000000006</v>
      </c>
    </row>
    <row r="1181" spans="46:47" x14ac:dyDescent="0.3">
      <c r="AT1181">
        <v>0.75</v>
      </c>
      <c r="AU1181">
        <v>8.65</v>
      </c>
    </row>
    <row r="1182" spans="46:47" x14ac:dyDescent="0.3">
      <c r="AT1182">
        <v>0.87</v>
      </c>
      <c r="AU1182">
        <v>10.37</v>
      </c>
    </row>
    <row r="1183" spans="46:47" x14ac:dyDescent="0.3">
      <c r="AT1183">
        <v>0.61</v>
      </c>
      <c r="AU1183">
        <v>10.07</v>
      </c>
    </row>
    <row r="1184" spans="46:47" x14ac:dyDescent="0.3">
      <c r="AT1184">
        <v>1</v>
      </c>
      <c r="AU1184">
        <v>9.3699999999999992</v>
      </c>
    </row>
    <row r="1185" spans="46:47" x14ac:dyDescent="0.3">
      <c r="AT1185">
        <v>0.78</v>
      </c>
      <c r="AU1185">
        <v>9.14</v>
      </c>
    </row>
    <row r="1186" spans="46:47" x14ac:dyDescent="0.3">
      <c r="AT1186">
        <v>0.72</v>
      </c>
      <c r="AU1186">
        <v>8.75</v>
      </c>
    </row>
    <row r="1187" spans="46:47" x14ac:dyDescent="0.3">
      <c r="AT1187">
        <v>0.96</v>
      </c>
      <c r="AU1187">
        <v>8.56</v>
      </c>
    </row>
    <row r="1188" spans="46:47" x14ac:dyDescent="0.3">
      <c r="AT1188">
        <v>1.19</v>
      </c>
      <c r="AU1188">
        <v>8.11</v>
      </c>
    </row>
    <row r="1189" spans="46:47" x14ac:dyDescent="0.3">
      <c r="AT1189">
        <v>0.86</v>
      </c>
      <c r="AU1189">
        <v>7.74</v>
      </c>
    </row>
    <row r="1190" spans="46:47" x14ac:dyDescent="0.3">
      <c r="AT1190">
        <v>0.76</v>
      </c>
      <c r="AU1190">
        <v>7.4</v>
      </c>
    </row>
    <row r="1191" spans="46:47" x14ac:dyDescent="0.3">
      <c r="AT1191">
        <v>0.79</v>
      </c>
      <c r="AU1191">
        <v>8.5</v>
      </c>
    </row>
    <row r="1192" spans="46:47" x14ac:dyDescent="0.3">
      <c r="AT1192">
        <v>0.56000000000000005</v>
      </c>
      <c r="AU1192">
        <v>7.98</v>
      </c>
    </row>
    <row r="1193" spans="46:47" x14ac:dyDescent="0.3">
      <c r="AT1193">
        <v>0.7</v>
      </c>
      <c r="AU1193">
        <v>8.67</v>
      </c>
    </row>
    <row r="1194" spans="46:47" x14ac:dyDescent="0.3">
      <c r="AT1194">
        <v>0.62</v>
      </c>
      <c r="AU1194">
        <v>8.58</v>
      </c>
    </row>
    <row r="1195" spans="46:47" x14ac:dyDescent="0.3">
      <c r="AT1195">
        <v>0.71</v>
      </c>
      <c r="AU1195">
        <v>8.56</v>
      </c>
    </row>
    <row r="1196" spans="46:47" x14ac:dyDescent="0.3">
      <c r="AT1196">
        <v>0.69</v>
      </c>
      <c r="AU1196">
        <v>8.34</v>
      </c>
    </row>
    <row r="1197" spans="46:47" x14ac:dyDescent="0.3">
      <c r="AT1197">
        <v>0.77</v>
      </c>
      <c r="AU1197">
        <v>8.56</v>
      </c>
    </row>
    <row r="1198" spans="46:47" x14ac:dyDescent="0.3">
      <c r="AT1198">
        <v>0.67</v>
      </c>
      <c r="AU1198">
        <v>8.83</v>
      </c>
    </row>
    <row r="1199" spans="46:47" x14ac:dyDescent="0.3">
      <c r="AT1199">
        <v>0.73</v>
      </c>
      <c r="AU1199">
        <v>7.66</v>
      </c>
    </row>
    <row r="1200" spans="46:47" x14ac:dyDescent="0.3">
      <c r="AT1200">
        <v>0.83</v>
      </c>
      <c r="AU1200">
        <v>8.5</v>
      </c>
    </row>
    <row r="1201" spans="46:47" x14ac:dyDescent="0.3">
      <c r="AT1201">
        <v>0.67</v>
      </c>
      <c r="AU1201">
        <v>8.5</v>
      </c>
    </row>
    <row r="1202" spans="46:47" x14ac:dyDescent="0.3">
      <c r="AT1202">
        <v>0.62</v>
      </c>
      <c r="AU1202">
        <v>8.61</v>
      </c>
    </row>
    <row r="1203" spans="46:47" x14ac:dyDescent="0.3">
      <c r="AT1203">
        <v>0.73</v>
      </c>
      <c r="AU1203">
        <v>9.02</v>
      </c>
    </row>
    <row r="1204" spans="46:47" x14ac:dyDescent="0.3">
      <c r="AT1204">
        <v>0.87</v>
      </c>
      <c r="AU1204">
        <v>8.6300000000000008</v>
      </c>
    </row>
    <row r="1205" spans="46:47" x14ac:dyDescent="0.3">
      <c r="AT1205">
        <v>0.55000000000000004</v>
      </c>
      <c r="AU1205">
        <v>8.7799999999999994</v>
      </c>
    </row>
    <row r="1206" spans="46:47" x14ac:dyDescent="0.3">
      <c r="AT1206">
        <v>0.62</v>
      </c>
      <c r="AU1206">
        <v>8.52</v>
      </c>
    </row>
    <row r="1207" spans="46:47" x14ac:dyDescent="0.3">
      <c r="AT1207">
        <v>0.61</v>
      </c>
      <c r="AU1207">
        <v>8.9600000000000009</v>
      </c>
    </row>
    <row r="1208" spans="46:47" x14ac:dyDescent="0.3">
      <c r="AT1208">
        <v>0.87</v>
      </c>
      <c r="AU1208">
        <v>8.89</v>
      </c>
    </row>
    <row r="1209" spans="46:47" x14ac:dyDescent="0.3">
      <c r="AT1209">
        <v>0.87</v>
      </c>
      <c r="AU1209">
        <v>9</v>
      </c>
    </row>
    <row r="1210" spans="46:47" x14ac:dyDescent="0.3">
      <c r="AT1210">
        <v>0.61</v>
      </c>
      <c r="AU1210">
        <v>8.92</v>
      </c>
    </row>
    <row r="1211" spans="46:47" x14ac:dyDescent="0.3">
      <c r="AT1211">
        <v>0.97</v>
      </c>
      <c r="AU1211">
        <v>8.7899999999999991</v>
      </c>
    </row>
    <row r="1212" spans="46:47" x14ac:dyDescent="0.3">
      <c r="AT1212">
        <v>0.89</v>
      </c>
      <c r="AU1212">
        <v>8.6199999999999992</v>
      </c>
    </row>
    <row r="1213" spans="46:47" x14ac:dyDescent="0.3">
      <c r="AT1213">
        <v>0.78</v>
      </c>
      <c r="AU1213">
        <v>9.23</v>
      </c>
    </row>
    <row r="1214" spans="46:47" x14ac:dyDescent="0.3">
      <c r="AT1214">
        <v>0.73</v>
      </c>
      <c r="AU1214">
        <v>8.83</v>
      </c>
    </row>
    <row r="1215" spans="46:47" x14ac:dyDescent="0.3">
      <c r="AT1215">
        <v>0.75</v>
      </c>
      <c r="AU1215">
        <v>8.86</v>
      </c>
    </row>
    <row r="1216" spans="46:47" x14ac:dyDescent="0.3">
      <c r="AT1216">
        <v>0.83</v>
      </c>
      <c r="AU1216">
        <v>8.39</v>
      </c>
    </row>
    <row r="1217" spans="46:47" x14ac:dyDescent="0.3">
      <c r="AT1217">
        <v>0.96</v>
      </c>
      <c r="AU1217">
        <v>8.6</v>
      </c>
    </row>
    <row r="1218" spans="46:47" x14ac:dyDescent="0.3">
      <c r="AT1218">
        <v>0.85</v>
      </c>
      <c r="AU1218">
        <v>8.7100000000000009</v>
      </c>
    </row>
    <row r="1219" spans="46:47" x14ac:dyDescent="0.3">
      <c r="AT1219">
        <v>0.78</v>
      </c>
      <c r="AU1219">
        <v>8.33</v>
      </c>
    </row>
    <row r="1220" spans="46:47" x14ac:dyDescent="0.3">
      <c r="AT1220">
        <v>0.93</v>
      </c>
      <c r="AU1220">
        <v>8.16</v>
      </c>
    </row>
    <row r="1221" spans="46:47" x14ac:dyDescent="0.3">
      <c r="AT1221">
        <v>0.56000000000000005</v>
      </c>
      <c r="AU1221">
        <v>8.61</v>
      </c>
    </row>
    <row r="1222" spans="46:47" x14ac:dyDescent="0.3">
      <c r="AT1222">
        <v>0.78</v>
      </c>
      <c r="AU1222">
        <v>8.6300000000000008</v>
      </c>
    </row>
    <row r="1223" spans="46:47" x14ac:dyDescent="0.3">
      <c r="AT1223">
        <v>1.1299999999999999</v>
      </c>
      <c r="AU1223">
        <v>8.27</v>
      </c>
    </row>
    <row r="1224" spans="46:47" x14ac:dyDescent="0.3">
      <c r="AT1224">
        <v>0.87</v>
      </c>
      <c r="AU1224">
        <v>8.8699999999999992</v>
      </c>
    </row>
    <row r="1225" spans="46:47" x14ac:dyDescent="0.3">
      <c r="AT1225">
        <v>0.86</v>
      </c>
      <c r="AU1225">
        <v>8.83</v>
      </c>
    </row>
    <row r="1226" spans="46:47" x14ac:dyDescent="0.3">
      <c r="AT1226">
        <v>0.7</v>
      </c>
      <c r="AU1226">
        <v>8.8699999999999992</v>
      </c>
    </row>
    <row r="1227" spans="46:47" x14ac:dyDescent="0.3">
      <c r="AT1227">
        <v>0.86</v>
      </c>
      <c r="AU1227">
        <v>8.06</v>
      </c>
    </row>
    <row r="1228" spans="46:47" x14ac:dyDescent="0.3">
      <c r="AT1228">
        <v>0.52</v>
      </c>
      <c r="AU1228">
        <v>10.99</v>
      </c>
    </row>
    <row r="1229" spans="46:47" x14ac:dyDescent="0.3">
      <c r="AT1229">
        <v>0.74</v>
      </c>
      <c r="AU1229">
        <v>9.9600000000000009</v>
      </c>
    </row>
    <row r="1230" spans="46:47" x14ac:dyDescent="0.3">
      <c r="AT1230">
        <v>0.74</v>
      </c>
      <c r="AU1230">
        <v>9.99</v>
      </c>
    </row>
    <row r="1231" spans="46:47" x14ac:dyDescent="0.3">
      <c r="AT1231">
        <v>0.92</v>
      </c>
      <c r="AU1231">
        <v>9.42</v>
      </c>
    </row>
    <row r="1232" spans="46:47" x14ac:dyDescent="0.3">
      <c r="AT1232">
        <v>1.18</v>
      </c>
      <c r="AU1232">
        <v>9.5299999999999994</v>
      </c>
    </row>
    <row r="1233" spans="46:47" x14ac:dyDescent="0.3">
      <c r="AT1233">
        <v>1.32</v>
      </c>
      <c r="AU1233">
        <v>8.2200000000000006</v>
      </c>
    </row>
    <row r="1234" spans="46:47" x14ac:dyDescent="0.3">
      <c r="AT1234">
        <v>0.79</v>
      </c>
      <c r="AU1234">
        <v>7.84</v>
      </c>
    </row>
    <row r="1235" spans="46:47" x14ac:dyDescent="0.3">
      <c r="AT1235">
        <v>0.89</v>
      </c>
      <c r="AU1235">
        <v>8.06</v>
      </c>
    </row>
    <row r="1236" spans="46:47" x14ac:dyDescent="0.3">
      <c r="AT1236">
        <v>0.41</v>
      </c>
      <c r="AU1236">
        <v>8.4499999999999993</v>
      </c>
    </row>
    <row r="1237" spans="46:47" x14ac:dyDescent="0.3">
      <c r="AT1237">
        <v>1.1599999999999999</v>
      </c>
      <c r="AU1237">
        <v>8.16</v>
      </c>
    </row>
    <row r="1238" spans="46:47" x14ac:dyDescent="0.3">
      <c r="AT1238">
        <v>0.94</v>
      </c>
      <c r="AU1238">
        <v>8.17</v>
      </c>
    </row>
    <row r="1239" spans="46:47" x14ac:dyDescent="0.3">
      <c r="AT1239">
        <v>0.71</v>
      </c>
      <c r="AU1239">
        <v>10.44</v>
      </c>
    </row>
    <row r="1240" spans="46:47" x14ac:dyDescent="0.3">
      <c r="AT1240">
        <v>0.73</v>
      </c>
      <c r="AU1240">
        <v>8.48</v>
      </c>
    </row>
    <row r="1241" spans="46:47" x14ac:dyDescent="0.3">
      <c r="AT1241">
        <v>0.89</v>
      </c>
      <c r="AU1241">
        <v>8.16</v>
      </c>
    </row>
    <row r="1244" spans="46:47" x14ac:dyDescent="0.3">
      <c r="AT1244" s="428" t="s">
        <v>286</v>
      </c>
      <c r="AU1244" t="s">
        <v>958</v>
      </c>
    </row>
    <row r="1245" spans="46:47" x14ac:dyDescent="0.3">
      <c r="AT1245" s="428" t="s">
        <v>4071</v>
      </c>
      <c r="AU1245">
        <v>9.44</v>
      </c>
    </row>
    <row r="1246" spans="46:47" x14ac:dyDescent="0.3">
      <c r="AT1246" s="428" t="s">
        <v>4072</v>
      </c>
      <c r="AU1246">
        <v>9.4600000000000009</v>
      </c>
    </row>
    <row r="1247" spans="46:47" x14ac:dyDescent="0.3">
      <c r="AT1247" s="428" t="s">
        <v>4074</v>
      </c>
      <c r="AU1247">
        <v>9.5299999999999994</v>
      </c>
    </row>
    <row r="1248" spans="46:47" x14ac:dyDescent="0.3">
      <c r="AT1248" s="428" t="s">
        <v>4073</v>
      </c>
      <c r="AU1248">
        <v>9.5299999999999994</v>
      </c>
    </row>
    <row r="1249" spans="46:47" x14ac:dyDescent="0.3">
      <c r="AT1249" s="428" t="s">
        <v>4075</v>
      </c>
      <c r="AU1249">
        <v>9.5500000000000007</v>
      </c>
    </row>
    <row r="1250" spans="46:47" x14ac:dyDescent="0.3">
      <c r="AT1250" s="428" t="s">
        <v>4076</v>
      </c>
      <c r="AU1250">
        <v>9.9600000000000009</v>
      </c>
    </row>
    <row r="1251" spans="46:47" x14ac:dyDescent="0.3">
      <c r="AT1251" s="428" t="s">
        <v>4077</v>
      </c>
      <c r="AU1251">
        <v>9.99</v>
      </c>
    </row>
    <row r="1252" spans="46:47" x14ac:dyDescent="0.3">
      <c r="AT1252" s="428" t="s">
        <v>4078</v>
      </c>
      <c r="AU1252">
        <v>10</v>
      </c>
    </row>
    <row r="1253" spans="46:47" x14ac:dyDescent="0.3">
      <c r="AT1253" s="428" t="s">
        <v>4079</v>
      </c>
      <c r="AU1253">
        <v>10.07</v>
      </c>
    </row>
    <row r="1254" spans="46:47" x14ac:dyDescent="0.3">
      <c r="AT1254" s="428" t="s">
        <v>4080</v>
      </c>
      <c r="AU1254">
        <v>10.220000000000001</v>
      </c>
    </row>
    <row r="1255" spans="46:47" x14ac:dyDescent="0.3">
      <c r="AT1255" s="428" t="s">
        <v>4081</v>
      </c>
      <c r="AU1255">
        <v>10.37</v>
      </c>
    </row>
    <row r="1256" spans="46:47" x14ac:dyDescent="0.3">
      <c r="AT1256" s="428" t="s">
        <v>4082</v>
      </c>
      <c r="AU1256">
        <v>10.39</v>
      </c>
    </row>
    <row r="1257" spans="46:47" x14ac:dyDescent="0.3">
      <c r="AT1257" s="428" t="s">
        <v>4083</v>
      </c>
      <c r="AU1257">
        <v>10.44</v>
      </c>
    </row>
    <row r="1258" spans="46:47" x14ac:dyDescent="0.3">
      <c r="AT1258" s="428" t="s">
        <v>4084</v>
      </c>
      <c r="AU1258">
        <v>10.85</v>
      </c>
    </row>
    <row r="1259" spans="46:47" x14ac:dyDescent="0.3">
      <c r="AT1259" s="428" t="s">
        <v>4085</v>
      </c>
      <c r="AU1259">
        <v>10.99</v>
      </c>
    </row>
    <row r="1262" spans="46:47" x14ac:dyDescent="0.3">
      <c r="AT1262" s="428" t="s">
        <v>285</v>
      </c>
      <c r="AU1262" t="s">
        <v>287</v>
      </c>
    </row>
    <row r="1263" spans="46:47" x14ac:dyDescent="0.3">
      <c r="AT1263" s="428" t="s">
        <v>4231</v>
      </c>
      <c r="AU1263">
        <v>8.77</v>
      </c>
    </row>
    <row r="1264" spans="46:47" x14ac:dyDescent="0.3">
      <c r="AT1264" s="428" t="s">
        <v>4131</v>
      </c>
      <c r="AU1264">
        <v>8.77</v>
      </c>
    </row>
    <row r="1265" spans="46:47" x14ac:dyDescent="0.3">
      <c r="AT1265" s="428" t="s">
        <v>4086</v>
      </c>
      <c r="AU1265">
        <v>8.81</v>
      </c>
    </row>
    <row r="1266" spans="46:47" x14ac:dyDescent="0.3">
      <c r="AT1266" s="428" t="s">
        <v>4087</v>
      </c>
      <c r="AU1266">
        <v>8.84</v>
      </c>
    </row>
    <row r="1267" spans="46:47" x14ac:dyDescent="0.3">
      <c r="AT1267" s="428" t="s">
        <v>4088</v>
      </c>
      <c r="AU1267">
        <v>8.86</v>
      </c>
    </row>
    <row r="1268" spans="46:47" x14ac:dyDescent="0.3">
      <c r="AT1268" s="428" t="s">
        <v>4089</v>
      </c>
      <c r="AU1268">
        <v>8.89</v>
      </c>
    </row>
    <row r="1269" spans="46:47" x14ac:dyDescent="0.3">
      <c r="AT1269" s="428" t="s">
        <v>4090</v>
      </c>
      <c r="AU1269">
        <v>8.9</v>
      </c>
    </row>
    <row r="1270" spans="46:47" x14ac:dyDescent="0.3">
      <c r="AT1270" s="428" t="s">
        <v>4091</v>
      </c>
      <c r="AU1270">
        <v>8.91</v>
      </c>
    </row>
    <row r="1271" spans="46:47" x14ac:dyDescent="0.3">
      <c r="AT1271" s="428" t="s">
        <v>4092</v>
      </c>
      <c r="AU1271">
        <v>8.91</v>
      </c>
    </row>
    <row r="1272" spans="46:47" x14ac:dyDescent="0.3">
      <c r="AT1272" s="428" t="s">
        <v>4093</v>
      </c>
      <c r="AU1272">
        <v>8.99</v>
      </c>
    </row>
    <row r="1273" spans="46:47" x14ac:dyDescent="0.3">
      <c r="AT1273" s="428" t="s">
        <v>4094</v>
      </c>
      <c r="AU1273">
        <v>9.1</v>
      </c>
    </row>
    <row r="1274" spans="46:47" x14ac:dyDescent="0.3">
      <c r="AT1274" s="428" t="s">
        <v>4095</v>
      </c>
      <c r="AU1274">
        <v>9.16</v>
      </c>
    </row>
    <row r="1275" spans="46:47" x14ac:dyDescent="0.3">
      <c r="AT1275" s="428" t="s">
        <v>4096</v>
      </c>
      <c r="AU1275">
        <v>9.24</v>
      </c>
    </row>
    <row r="1276" spans="46:47" x14ac:dyDescent="0.3">
      <c r="AT1276" s="428" t="s">
        <v>4097</v>
      </c>
      <c r="AU1276">
        <v>9.2799999999999994</v>
      </c>
    </row>
    <row r="1277" spans="46:47" x14ac:dyDescent="0.3">
      <c r="AT1277" s="428" t="s">
        <v>4098</v>
      </c>
      <c r="AU1277">
        <v>9.35</v>
      </c>
    </row>
    <row r="1280" spans="46:47" x14ac:dyDescent="0.3">
      <c r="AT1280" s="428" t="s">
        <v>285</v>
      </c>
      <c r="AU1280" t="s">
        <v>475</v>
      </c>
    </row>
    <row r="1281" spans="46:47" x14ac:dyDescent="0.3">
      <c r="AT1281" s="428" t="s">
        <v>2528</v>
      </c>
      <c r="AU1281">
        <v>3</v>
      </c>
    </row>
    <row r="1282" spans="46:47" x14ac:dyDescent="0.3">
      <c r="AT1282" s="428" t="s">
        <v>307</v>
      </c>
      <c r="AU1282">
        <v>3</v>
      </c>
    </row>
    <row r="1283" spans="46:47" x14ac:dyDescent="0.3">
      <c r="AT1283" s="428" t="s">
        <v>2926</v>
      </c>
      <c r="AU1283">
        <v>3</v>
      </c>
    </row>
    <row r="1284" spans="46:47" x14ac:dyDescent="0.3">
      <c r="AT1284" s="428" t="s">
        <v>311</v>
      </c>
      <c r="AU1284">
        <v>3</v>
      </c>
    </row>
    <row r="1285" spans="46:47" x14ac:dyDescent="0.3">
      <c r="AT1285" s="428" t="s">
        <v>2777</v>
      </c>
      <c r="AU1285">
        <v>3</v>
      </c>
    </row>
    <row r="1286" spans="46:47" x14ac:dyDescent="0.3">
      <c r="AT1286" s="428" t="s">
        <v>441</v>
      </c>
      <c r="AU1286">
        <v>4</v>
      </c>
    </row>
    <row r="1287" spans="46:47" x14ac:dyDescent="0.3">
      <c r="AT1287" s="428" t="s">
        <v>297</v>
      </c>
      <c r="AU1287">
        <v>4</v>
      </c>
    </row>
    <row r="1288" spans="46:47" x14ac:dyDescent="0.3">
      <c r="AT1288" s="428" t="s">
        <v>677</v>
      </c>
      <c r="AU1288">
        <v>4</v>
      </c>
    </row>
    <row r="1289" spans="46:47" x14ac:dyDescent="0.3">
      <c r="AT1289" s="428" t="s">
        <v>298</v>
      </c>
      <c r="AU1289">
        <v>5</v>
      </c>
    </row>
    <row r="1290" spans="46:47" x14ac:dyDescent="0.3">
      <c r="AT1290" s="428" t="s">
        <v>303</v>
      </c>
      <c r="AU1290">
        <v>5</v>
      </c>
    </row>
    <row r="1291" spans="46:47" x14ac:dyDescent="0.3">
      <c r="AT1291" s="428" t="s">
        <v>1405</v>
      </c>
      <c r="AU1291">
        <v>6</v>
      </c>
    </row>
    <row r="1292" spans="46:47" x14ac:dyDescent="0.3">
      <c r="AT1292" s="428" t="s">
        <v>292</v>
      </c>
      <c r="AU1292">
        <v>7</v>
      </c>
    </row>
    <row r="1293" spans="46:47" x14ac:dyDescent="0.3">
      <c r="AT1293" s="428" t="s">
        <v>301</v>
      </c>
      <c r="AU1293">
        <v>7</v>
      </c>
    </row>
    <row r="1294" spans="46:47" x14ac:dyDescent="0.3">
      <c r="AT1294" s="428" t="s">
        <v>293</v>
      </c>
      <c r="AU1294">
        <v>9</v>
      </c>
    </row>
    <row r="1295" spans="46:47" x14ac:dyDescent="0.3">
      <c r="AT1295" s="428" t="s">
        <v>300</v>
      </c>
      <c r="AU1295">
        <v>14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84"/>
  <sheetViews>
    <sheetView zoomScale="80" zoomScaleNormal="80" workbookViewId="0">
      <selection activeCell="M622" sqref="M622"/>
    </sheetView>
  </sheetViews>
  <sheetFormatPr defaultColWidth="8.796875" defaultRowHeight="15.6" x14ac:dyDescent="0.3"/>
  <cols>
    <col min="1" max="1" width="36.5" bestFit="1" customWidth="1"/>
    <col min="2" max="2" width="53.09765625" bestFit="1" customWidth="1"/>
  </cols>
  <sheetData>
    <row r="1" spans="1:2" ht="17.399999999999999" x14ac:dyDescent="0.35">
      <c r="A1" s="433" t="s">
        <v>985</v>
      </c>
      <c r="B1" s="433"/>
    </row>
    <row r="2" spans="1:2" x14ac:dyDescent="0.3">
      <c r="A2" s="344" t="s">
        <v>986</v>
      </c>
      <c r="B2" s="344"/>
    </row>
    <row r="3" spans="1:2" x14ac:dyDescent="0.3">
      <c r="A3" s="230" t="s">
        <v>987</v>
      </c>
      <c r="B3" s="345">
        <v>239</v>
      </c>
    </row>
    <row r="4" spans="1:2" x14ac:dyDescent="0.3">
      <c r="A4" s="227" t="s">
        <v>988</v>
      </c>
      <c r="B4" s="346">
        <v>146</v>
      </c>
    </row>
    <row r="5" spans="1:2" x14ac:dyDescent="0.3">
      <c r="A5" s="230" t="s">
        <v>989</v>
      </c>
      <c r="B5" s="345">
        <v>2623</v>
      </c>
    </row>
    <row r="6" spans="1:2" x14ac:dyDescent="0.3">
      <c r="A6" s="227" t="s">
        <v>990</v>
      </c>
      <c r="B6" s="346">
        <v>2495</v>
      </c>
    </row>
    <row r="7" spans="1:2" x14ac:dyDescent="0.3">
      <c r="A7" s="230" t="s">
        <v>291</v>
      </c>
      <c r="B7" s="345">
        <v>128</v>
      </c>
    </row>
    <row r="8" spans="1:2" x14ac:dyDescent="0.3">
      <c r="A8" s="227" t="s">
        <v>991</v>
      </c>
      <c r="B8" s="346">
        <v>10.97</v>
      </c>
    </row>
    <row r="9" spans="1:2" x14ac:dyDescent="0.3">
      <c r="A9" s="230" t="s">
        <v>992</v>
      </c>
      <c r="B9" s="347">
        <v>4.8800000000000003E-2</v>
      </c>
    </row>
    <row r="11" spans="1:2" x14ac:dyDescent="0.3">
      <c r="A11" s="344" t="s">
        <v>993</v>
      </c>
      <c r="B11" s="344"/>
    </row>
    <row r="12" spans="1:2" x14ac:dyDescent="0.3">
      <c r="A12" s="227" t="s">
        <v>994</v>
      </c>
      <c r="B12" s="346">
        <v>8.5500000000000007</v>
      </c>
    </row>
    <row r="13" spans="1:2" x14ac:dyDescent="0.3">
      <c r="A13" s="230" t="s">
        <v>995</v>
      </c>
      <c r="B13" s="345">
        <v>8.5</v>
      </c>
    </row>
    <row r="14" spans="1:2" x14ac:dyDescent="0.3">
      <c r="A14" s="227" t="s">
        <v>996</v>
      </c>
      <c r="B14" s="346" t="s">
        <v>4251</v>
      </c>
    </row>
    <row r="16" spans="1:2" x14ac:dyDescent="0.3">
      <c r="A16" s="344" t="s">
        <v>997</v>
      </c>
      <c r="B16" s="344"/>
    </row>
    <row r="17" spans="1:2" x14ac:dyDescent="0.3">
      <c r="A17" s="230" t="s">
        <v>998</v>
      </c>
      <c r="B17" s="345">
        <v>1.0900000000000001</v>
      </c>
    </row>
    <row r="18" spans="1:2" x14ac:dyDescent="0.3">
      <c r="A18" s="227" t="s">
        <v>999</v>
      </c>
      <c r="B18" s="348">
        <v>0.12759999999999999</v>
      </c>
    </row>
    <row r="19" spans="1:2" x14ac:dyDescent="0.3">
      <c r="A19" s="230" t="s">
        <v>1000</v>
      </c>
      <c r="B19" s="345" t="s">
        <v>2493</v>
      </c>
    </row>
    <row r="20" spans="1:2" x14ac:dyDescent="0.3">
      <c r="A20" s="227" t="s">
        <v>1001</v>
      </c>
      <c r="B20" s="346" t="s">
        <v>1740</v>
      </c>
    </row>
    <row r="22" spans="1:2" x14ac:dyDescent="0.3">
      <c r="A22" s="344" t="s">
        <v>1002</v>
      </c>
      <c r="B22" s="344"/>
    </row>
    <row r="23" spans="1:2" x14ac:dyDescent="0.3">
      <c r="A23" s="230" t="s">
        <v>1003</v>
      </c>
      <c r="B23" s="345" t="s">
        <v>4223</v>
      </c>
    </row>
    <row r="24" spans="1:2" x14ac:dyDescent="0.3">
      <c r="A24" s="227" t="s">
        <v>1004</v>
      </c>
      <c r="B24" s="346" t="s">
        <v>4252</v>
      </c>
    </row>
    <row r="26" spans="1:2" x14ac:dyDescent="0.3">
      <c r="A26" s="344" t="s">
        <v>1005</v>
      </c>
      <c r="B26" s="344"/>
    </row>
    <row r="27" spans="1:2" x14ac:dyDescent="0.3">
      <c r="A27" s="230" t="s">
        <v>1006</v>
      </c>
      <c r="B27" s="345" t="s">
        <v>4253</v>
      </c>
    </row>
    <row r="28" spans="1:2" x14ac:dyDescent="0.3">
      <c r="A28" s="227" t="s">
        <v>1007</v>
      </c>
      <c r="B28" s="346" t="s">
        <v>4254</v>
      </c>
    </row>
    <row r="29" spans="1:2" x14ac:dyDescent="0.3">
      <c r="A29" s="230" t="s">
        <v>1008</v>
      </c>
      <c r="B29" s="345" t="s">
        <v>4255</v>
      </c>
    </row>
    <row r="30" spans="1:2" x14ac:dyDescent="0.3">
      <c r="A30" s="227" t="s">
        <v>1009</v>
      </c>
      <c r="B30" s="346" t="s">
        <v>4256</v>
      </c>
    </row>
    <row r="31" spans="1:2" x14ac:dyDescent="0.3">
      <c r="A31" s="230" t="s">
        <v>1010</v>
      </c>
      <c r="B31" s="345" t="s">
        <v>4257</v>
      </c>
    </row>
    <row r="32" spans="1:2" x14ac:dyDescent="0.3">
      <c r="A32" s="227" t="s">
        <v>1011</v>
      </c>
      <c r="B32" s="346" t="s">
        <v>4258</v>
      </c>
    </row>
    <row r="34" spans="1:2" x14ac:dyDescent="0.3">
      <c r="A34" s="344" t="s">
        <v>1012</v>
      </c>
      <c r="B34" s="344"/>
    </row>
    <row r="35" spans="1:2" x14ac:dyDescent="0.3">
      <c r="A35" s="230" t="s">
        <v>1013</v>
      </c>
      <c r="B35" s="345" t="s">
        <v>1014</v>
      </c>
    </row>
    <row r="36" spans="1:2" x14ac:dyDescent="0.3">
      <c r="A36" s="227" t="s">
        <v>1015</v>
      </c>
      <c r="B36" s="346" t="s">
        <v>2494</v>
      </c>
    </row>
    <row r="37" spans="1:2" x14ac:dyDescent="0.3">
      <c r="A37" s="230" t="s">
        <v>1016</v>
      </c>
      <c r="B37" s="345" t="s">
        <v>4180</v>
      </c>
    </row>
    <row r="38" spans="1:2" x14ac:dyDescent="0.3">
      <c r="A38" s="227" t="s">
        <v>1017</v>
      </c>
      <c r="B38" s="346" t="s">
        <v>3349</v>
      </c>
    </row>
    <row r="40" spans="1:2" x14ac:dyDescent="0.3">
      <c r="A40" s="344" t="s">
        <v>3140</v>
      </c>
      <c r="B40" s="344"/>
    </row>
    <row r="41" spans="1:2" x14ac:dyDescent="0.3">
      <c r="A41" s="230" t="s">
        <v>3141</v>
      </c>
      <c r="B41" s="345" t="s">
        <v>4259</v>
      </c>
    </row>
    <row r="42" spans="1:2" x14ac:dyDescent="0.3">
      <c r="A42" s="227" t="s">
        <v>3142</v>
      </c>
      <c r="B42" s="346">
        <v>127</v>
      </c>
    </row>
    <row r="43" spans="1:2" x14ac:dyDescent="0.3">
      <c r="A43" s="230" t="s">
        <v>1018</v>
      </c>
      <c r="B43" s="345" t="s">
        <v>3739</v>
      </c>
    </row>
    <row r="44" spans="1:2" x14ac:dyDescent="0.3">
      <c r="A44" s="227" t="s">
        <v>1019</v>
      </c>
      <c r="B44" s="346" t="s">
        <v>2014</v>
      </c>
    </row>
    <row r="45" spans="1:2" x14ac:dyDescent="0.3">
      <c r="A45" s="230" t="s">
        <v>1020</v>
      </c>
      <c r="B45" s="345" t="s">
        <v>3362</v>
      </c>
    </row>
    <row r="47" spans="1:2" x14ac:dyDescent="0.3">
      <c r="A47" s="344" t="s">
        <v>3143</v>
      </c>
      <c r="B47" s="344"/>
    </row>
    <row r="48" spans="1:2" x14ac:dyDescent="0.3">
      <c r="A48" s="227" t="s">
        <v>1021</v>
      </c>
      <c r="B48" s="346" t="s">
        <v>3144</v>
      </c>
    </row>
    <row r="49" spans="1:2" x14ac:dyDescent="0.3">
      <c r="A49" s="230" t="s">
        <v>1026</v>
      </c>
      <c r="B49" s="345" t="s">
        <v>3145</v>
      </c>
    </row>
    <row r="50" spans="1:2" x14ac:dyDescent="0.3">
      <c r="A50" s="227" t="s">
        <v>1023</v>
      </c>
      <c r="B50" s="346" t="s">
        <v>3146</v>
      </c>
    </row>
    <row r="51" spans="1:2" x14ac:dyDescent="0.3">
      <c r="A51" s="230" t="s">
        <v>720</v>
      </c>
      <c r="B51" s="345" t="s">
        <v>3147</v>
      </c>
    </row>
    <row r="52" spans="1:2" x14ac:dyDescent="0.3">
      <c r="A52" s="227" t="s">
        <v>1027</v>
      </c>
      <c r="B52" s="346" t="s">
        <v>3148</v>
      </c>
    </row>
    <row r="53" spans="1:2" x14ac:dyDescent="0.3">
      <c r="A53" s="230" t="s">
        <v>1028</v>
      </c>
      <c r="B53" s="345" t="s">
        <v>3148</v>
      </c>
    </row>
    <row r="54" spans="1:2" x14ac:dyDescent="0.3">
      <c r="A54" s="227" t="s">
        <v>2625</v>
      </c>
      <c r="B54" s="346" t="s">
        <v>3149</v>
      </c>
    </row>
    <row r="55" spans="1:2" x14ac:dyDescent="0.3">
      <c r="A55" s="230" t="s">
        <v>2626</v>
      </c>
      <c r="B55" s="345" t="s">
        <v>3149</v>
      </c>
    </row>
    <row r="56" spans="1:2" x14ac:dyDescent="0.3">
      <c r="A56" s="227" t="s">
        <v>1022</v>
      </c>
      <c r="B56" s="346" t="s">
        <v>4127</v>
      </c>
    </row>
    <row r="57" spans="1:2" x14ac:dyDescent="0.3">
      <c r="A57" s="230" t="s">
        <v>4126</v>
      </c>
      <c r="B57" s="345" t="s">
        <v>4128</v>
      </c>
    </row>
    <row r="58" spans="1:2" x14ac:dyDescent="0.3">
      <c r="A58" s="227" t="s">
        <v>1025</v>
      </c>
      <c r="B58" s="346" t="s">
        <v>3673</v>
      </c>
    </row>
    <row r="59" spans="1:2" x14ac:dyDescent="0.3">
      <c r="A59" s="230" t="s">
        <v>1532</v>
      </c>
      <c r="B59" s="345" t="s">
        <v>3150</v>
      </c>
    </row>
    <row r="60" spans="1:2" x14ac:dyDescent="0.3">
      <c r="A60" s="227" t="s">
        <v>1030</v>
      </c>
      <c r="B60" s="346" t="s">
        <v>3151</v>
      </c>
    </row>
    <row r="61" spans="1:2" x14ac:dyDescent="0.3">
      <c r="A61" s="230" t="s">
        <v>1042</v>
      </c>
      <c r="B61" s="345" t="s">
        <v>3925</v>
      </c>
    </row>
    <row r="62" spans="1:2" x14ac:dyDescent="0.3">
      <c r="A62" s="227" t="s">
        <v>2585</v>
      </c>
      <c r="B62" s="346" t="s">
        <v>3152</v>
      </c>
    </row>
    <row r="63" spans="1:2" x14ac:dyDescent="0.3">
      <c r="A63" s="230" t="s">
        <v>2495</v>
      </c>
      <c r="B63" s="345" t="s">
        <v>3153</v>
      </c>
    </row>
    <row r="64" spans="1:2" x14ac:dyDescent="0.3">
      <c r="A64" s="227" t="s">
        <v>1530</v>
      </c>
      <c r="B64" s="346" t="s">
        <v>3690</v>
      </c>
    </row>
    <row r="65" spans="1:2" x14ac:dyDescent="0.3">
      <c r="A65" s="230" t="s">
        <v>2449</v>
      </c>
      <c r="B65" s="345" t="s">
        <v>3470</v>
      </c>
    </row>
    <row r="66" spans="1:2" x14ac:dyDescent="0.3">
      <c r="A66" s="227" t="s">
        <v>1324</v>
      </c>
      <c r="B66" s="346" t="s">
        <v>3154</v>
      </c>
    </row>
    <row r="67" spans="1:2" x14ac:dyDescent="0.3">
      <c r="A67" s="230" t="s">
        <v>1024</v>
      </c>
      <c r="B67" s="345" t="s">
        <v>3840</v>
      </c>
    </row>
    <row r="68" spans="1:2" x14ac:dyDescent="0.3">
      <c r="A68" s="227" t="s">
        <v>2984</v>
      </c>
      <c r="B68" s="346" t="s">
        <v>3155</v>
      </c>
    </row>
    <row r="69" spans="1:2" x14ac:dyDescent="0.3">
      <c r="A69" s="230" t="s">
        <v>1035</v>
      </c>
      <c r="B69" s="345" t="s">
        <v>3156</v>
      </c>
    </row>
    <row r="70" spans="1:2" x14ac:dyDescent="0.3">
      <c r="A70" s="227" t="s">
        <v>1039</v>
      </c>
      <c r="B70" s="346" t="s">
        <v>3157</v>
      </c>
    </row>
    <row r="71" spans="1:2" x14ac:dyDescent="0.3">
      <c r="A71" s="230" t="s">
        <v>1386</v>
      </c>
      <c r="B71" s="345" t="s">
        <v>3159</v>
      </c>
    </row>
    <row r="72" spans="1:2" x14ac:dyDescent="0.3">
      <c r="A72" s="227" t="s">
        <v>1160</v>
      </c>
      <c r="B72" s="346" t="s">
        <v>3158</v>
      </c>
    </row>
    <row r="73" spans="1:2" x14ac:dyDescent="0.3">
      <c r="A73" s="230" t="s">
        <v>1161</v>
      </c>
      <c r="B73" s="345" t="s">
        <v>3158</v>
      </c>
    </row>
    <row r="74" spans="1:2" x14ac:dyDescent="0.3">
      <c r="A74" s="227" t="s">
        <v>3495</v>
      </c>
      <c r="B74" s="346" t="s">
        <v>3504</v>
      </c>
    </row>
    <row r="75" spans="1:2" x14ac:dyDescent="0.3">
      <c r="A75" s="230" t="s">
        <v>2998</v>
      </c>
      <c r="B75" s="345" t="s">
        <v>3505</v>
      </c>
    </row>
    <row r="76" spans="1:2" x14ac:dyDescent="0.3">
      <c r="A76" s="227" t="s">
        <v>2858</v>
      </c>
      <c r="B76" s="346" t="s">
        <v>3160</v>
      </c>
    </row>
    <row r="77" spans="1:2" x14ac:dyDescent="0.3">
      <c r="A77" s="230" t="s">
        <v>1755</v>
      </c>
      <c r="B77" s="345" t="s">
        <v>4204</v>
      </c>
    </row>
    <row r="78" spans="1:2" x14ac:dyDescent="0.3">
      <c r="A78" s="227" t="s">
        <v>1174</v>
      </c>
      <c r="B78" s="346" t="s">
        <v>3369</v>
      </c>
    </row>
    <row r="79" spans="1:2" x14ac:dyDescent="0.3">
      <c r="A79" s="230" t="s">
        <v>3757</v>
      </c>
      <c r="B79" s="345" t="s">
        <v>3161</v>
      </c>
    </row>
    <row r="80" spans="1:2" x14ac:dyDescent="0.3">
      <c r="A80" s="227" t="s">
        <v>3756</v>
      </c>
      <c r="B80" s="346" t="s">
        <v>3161</v>
      </c>
    </row>
    <row r="81" spans="1:2" x14ac:dyDescent="0.3">
      <c r="A81" s="230" t="s">
        <v>1269</v>
      </c>
      <c r="B81" s="345" t="s">
        <v>3161</v>
      </c>
    </row>
    <row r="82" spans="1:2" x14ac:dyDescent="0.3">
      <c r="A82" s="227" t="s">
        <v>734</v>
      </c>
      <c r="B82" s="346" t="s">
        <v>3162</v>
      </c>
    </row>
    <row r="83" spans="1:2" x14ac:dyDescent="0.3">
      <c r="A83" s="230" t="s">
        <v>1697</v>
      </c>
      <c r="B83" s="345" t="s">
        <v>3277</v>
      </c>
    </row>
    <row r="84" spans="1:2" x14ac:dyDescent="0.3">
      <c r="A84" s="227" t="s">
        <v>733</v>
      </c>
      <c r="B84" s="346" t="s">
        <v>3768</v>
      </c>
    </row>
    <row r="85" spans="1:2" x14ac:dyDescent="0.3">
      <c r="A85" s="230" t="s">
        <v>2307</v>
      </c>
      <c r="B85" s="345" t="s">
        <v>4181</v>
      </c>
    </row>
    <row r="86" spans="1:2" x14ac:dyDescent="0.3">
      <c r="A86" s="227" t="s">
        <v>1434</v>
      </c>
      <c r="B86" s="346" t="s">
        <v>3164</v>
      </c>
    </row>
    <row r="87" spans="1:2" x14ac:dyDescent="0.3">
      <c r="A87" s="230" t="s">
        <v>1173</v>
      </c>
      <c r="B87" s="345" t="s">
        <v>3167</v>
      </c>
    </row>
    <row r="88" spans="1:2" x14ac:dyDescent="0.3">
      <c r="A88" s="227" t="s">
        <v>1570</v>
      </c>
      <c r="B88" s="346" t="s">
        <v>3166</v>
      </c>
    </row>
    <row r="89" spans="1:2" x14ac:dyDescent="0.3">
      <c r="A89" s="230" t="s">
        <v>3921</v>
      </c>
      <c r="B89" s="345" t="s">
        <v>3163</v>
      </c>
    </row>
    <row r="90" spans="1:2" x14ac:dyDescent="0.3">
      <c r="A90" s="227" t="s">
        <v>2627</v>
      </c>
      <c r="B90" s="346" t="s">
        <v>3165</v>
      </c>
    </row>
    <row r="91" spans="1:2" x14ac:dyDescent="0.3">
      <c r="A91" s="230" t="s">
        <v>2408</v>
      </c>
      <c r="B91" s="345" t="s">
        <v>3163</v>
      </c>
    </row>
    <row r="92" spans="1:2" x14ac:dyDescent="0.3">
      <c r="A92" s="227" t="s">
        <v>1034</v>
      </c>
      <c r="B92" s="346" t="s">
        <v>3769</v>
      </c>
    </row>
    <row r="93" spans="1:2" x14ac:dyDescent="0.3">
      <c r="A93" s="230" t="s">
        <v>1040</v>
      </c>
      <c r="B93" s="345" t="s">
        <v>3313</v>
      </c>
    </row>
    <row r="94" spans="1:2" x14ac:dyDescent="0.3">
      <c r="A94" s="227" t="s">
        <v>1029</v>
      </c>
      <c r="B94" s="346" t="s">
        <v>3808</v>
      </c>
    </row>
    <row r="95" spans="1:2" x14ac:dyDescent="0.3">
      <c r="A95" s="230" t="s">
        <v>1046</v>
      </c>
      <c r="B95" s="345" t="s">
        <v>3168</v>
      </c>
    </row>
    <row r="96" spans="1:2" x14ac:dyDescent="0.3">
      <c r="A96" s="227" t="s">
        <v>1131</v>
      </c>
      <c r="B96" s="346" t="s">
        <v>3169</v>
      </c>
    </row>
    <row r="97" spans="1:2" x14ac:dyDescent="0.3">
      <c r="A97" s="230" t="s">
        <v>1418</v>
      </c>
      <c r="B97" s="345" t="s">
        <v>3170</v>
      </c>
    </row>
    <row r="98" spans="1:2" x14ac:dyDescent="0.3">
      <c r="A98" s="227" t="s">
        <v>1419</v>
      </c>
      <c r="B98" s="346" t="s">
        <v>3170</v>
      </c>
    </row>
    <row r="99" spans="1:2" x14ac:dyDescent="0.3">
      <c r="A99" s="230" t="s">
        <v>2725</v>
      </c>
      <c r="B99" s="345" t="s">
        <v>3172</v>
      </c>
    </row>
    <row r="100" spans="1:2" x14ac:dyDescent="0.3">
      <c r="A100" s="227" t="s">
        <v>2134</v>
      </c>
      <c r="B100" s="346" t="s">
        <v>3171</v>
      </c>
    </row>
    <row r="101" spans="1:2" x14ac:dyDescent="0.3">
      <c r="A101" s="230" t="s">
        <v>1036</v>
      </c>
      <c r="B101" s="345" t="s">
        <v>3172</v>
      </c>
    </row>
    <row r="102" spans="1:2" x14ac:dyDescent="0.3">
      <c r="A102" s="227" t="s">
        <v>2330</v>
      </c>
      <c r="B102" s="346" t="s">
        <v>3926</v>
      </c>
    </row>
    <row r="103" spans="1:2" x14ac:dyDescent="0.3">
      <c r="A103" s="230" t="s">
        <v>3536</v>
      </c>
      <c r="B103" s="345" t="s">
        <v>4205</v>
      </c>
    </row>
    <row r="104" spans="1:2" x14ac:dyDescent="0.3">
      <c r="A104" s="227" t="s">
        <v>2661</v>
      </c>
      <c r="B104" s="346" t="s">
        <v>3173</v>
      </c>
    </row>
    <row r="105" spans="1:2" x14ac:dyDescent="0.3">
      <c r="A105" s="230" t="s">
        <v>1481</v>
      </c>
      <c r="B105" s="345" t="s">
        <v>3174</v>
      </c>
    </row>
    <row r="106" spans="1:2" x14ac:dyDescent="0.3">
      <c r="A106" s="227" t="s">
        <v>1571</v>
      </c>
      <c r="B106" s="346" t="s">
        <v>3605</v>
      </c>
    </row>
    <row r="107" spans="1:2" x14ac:dyDescent="0.3">
      <c r="A107" s="230" t="s">
        <v>3092</v>
      </c>
      <c r="B107" s="345" t="s">
        <v>3175</v>
      </c>
    </row>
    <row r="108" spans="1:2" x14ac:dyDescent="0.3">
      <c r="A108" s="227" t="s">
        <v>1037</v>
      </c>
      <c r="B108" s="346" t="s">
        <v>3176</v>
      </c>
    </row>
    <row r="109" spans="1:2" x14ac:dyDescent="0.3">
      <c r="A109" s="230" t="s">
        <v>2331</v>
      </c>
      <c r="B109" s="345" t="s">
        <v>3177</v>
      </c>
    </row>
    <row r="110" spans="1:2" x14ac:dyDescent="0.3">
      <c r="A110" s="227" t="s">
        <v>732</v>
      </c>
      <c r="B110" s="346" t="s">
        <v>3865</v>
      </c>
    </row>
    <row r="111" spans="1:2" x14ac:dyDescent="0.3">
      <c r="A111" s="230" t="s">
        <v>1118</v>
      </c>
      <c r="B111" s="345" t="s">
        <v>3841</v>
      </c>
    </row>
    <row r="112" spans="1:2" x14ac:dyDescent="0.3">
      <c r="A112" s="227" t="s">
        <v>1045</v>
      </c>
      <c r="B112" s="346" t="s">
        <v>3178</v>
      </c>
    </row>
    <row r="113" spans="1:2" x14ac:dyDescent="0.3">
      <c r="A113" s="230" t="s">
        <v>1314</v>
      </c>
      <c r="B113" s="345" t="s">
        <v>3179</v>
      </c>
    </row>
    <row r="114" spans="1:2" x14ac:dyDescent="0.3">
      <c r="A114" s="227" t="s">
        <v>1284</v>
      </c>
      <c r="B114" s="346" t="s">
        <v>3804</v>
      </c>
    </row>
    <row r="115" spans="1:2" x14ac:dyDescent="0.3">
      <c r="A115" s="230" t="s">
        <v>2135</v>
      </c>
      <c r="B115" s="345" t="s">
        <v>3181</v>
      </c>
    </row>
    <row r="116" spans="1:2" x14ac:dyDescent="0.3">
      <c r="A116" s="227" t="s">
        <v>1056</v>
      </c>
      <c r="B116" s="346" t="s">
        <v>3180</v>
      </c>
    </row>
    <row r="117" spans="1:2" x14ac:dyDescent="0.3">
      <c r="A117" s="230" t="s">
        <v>3940</v>
      </c>
      <c r="B117" s="345" t="s">
        <v>4112</v>
      </c>
    </row>
    <row r="118" spans="1:2" x14ac:dyDescent="0.3">
      <c r="A118" s="227" t="s">
        <v>737</v>
      </c>
      <c r="B118" s="346" t="s">
        <v>3182</v>
      </c>
    </row>
    <row r="119" spans="1:2" x14ac:dyDescent="0.3">
      <c r="A119" s="230" t="s">
        <v>1954</v>
      </c>
      <c r="B119" s="345" t="s">
        <v>4113</v>
      </c>
    </row>
    <row r="120" spans="1:2" x14ac:dyDescent="0.3">
      <c r="A120" s="227" t="s">
        <v>3604</v>
      </c>
      <c r="B120" s="346" t="s">
        <v>3606</v>
      </c>
    </row>
    <row r="121" spans="1:2" x14ac:dyDescent="0.3">
      <c r="A121" s="230" t="s">
        <v>1326</v>
      </c>
      <c r="B121" s="345" t="s">
        <v>3183</v>
      </c>
    </row>
    <row r="122" spans="1:2" x14ac:dyDescent="0.3">
      <c r="A122" s="227" t="s">
        <v>1038</v>
      </c>
      <c r="B122" s="346" t="s">
        <v>3184</v>
      </c>
    </row>
    <row r="123" spans="1:2" x14ac:dyDescent="0.3">
      <c r="A123" s="230" t="s">
        <v>2677</v>
      </c>
      <c r="B123" s="345" t="s">
        <v>3471</v>
      </c>
    </row>
    <row r="124" spans="1:2" x14ac:dyDescent="0.3">
      <c r="A124" s="227" t="s">
        <v>1053</v>
      </c>
      <c r="B124" s="346" t="s">
        <v>3185</v>
      </c>
    </row>
    <row r="125" spans="1:2" x14ac:dyDescent="0.3">
      <c r="A125" s="230" t="s">
        <v>2951</v>
      </c>
      <c r="B125" s="345" t="s">
        <v>3186</v>
      </c>
    </row>
    <row r="126" spans="1:2" x14ac:dyDescent="0.3">
      <c r="A126" s="227" t="s">
        <v>2005</v>
      </c>
      <c r="B126" s="346" t="s">
        <v>3187</v>
      </c>
    </row>
    <row r="127" spans="1:2" x14ac:dyDescent="0.3">
      <c r="A127" s="230" t="s">
        <v>1041</v>
      </c>
      <c r="B127" s="345" t="s">
        <v>3189</v>
      </c>
    </row>
    <row r="128" spans="1:2" x14ac:dyDescent="0.3">
      <c r="A128" s="227" t="s">
        <v>1047</v>
      </c>
      <c r="B128" s="346" t="s">
        <v>3188</v>
      </c>
    </row>
    <row r="129" spans="1:2" x14ac:dyDescent="0.3">
      <c r="A129" s="230" t="s">
        <v>1031</v>
      </c>
      <c r="B129" s="345" t="s">
        <v>4129</v>
      </c>
    </row>
    <row r="130" spans="1:2" x14ac:dyDescent="0.3">
      <c r="A130" s="227" t="s">
        <v>1388</v>
      </c>
      <c r="B130" s="346" t="s">
        <v>3191</v>
      </c>
    </row>
    <row r="131" spans="1:2" x14ac:dyDescent="0.3">
      <c r="A131" s="230" t="s">
        <v>2394</v>
      </c>
      <c r="B131" s="345" t="s">
        <v>3190</v>
      </c>
    </row>
    <row r="132" spans="1:2" x14ac:dyDescent="0.3">
      <c r="A132" s="227" t="s">
        <v>1043</v>
      </c>
      <c r="B132" s="346" t="s">
        <v>3192</v>
      </c>
    </row>
    <row r="133" spans="1:2" x14ac:dyDescent="0.3">
      <c r="A133" s="230" t="s">
        <v>3273</v>
      </c>
      <c r="B133" s="345" t="s">
        <v>3274</v>
      </c>
    </row>
    <row r="134" spans="1:2" x14ac:dyDescent="0.3">
      <c r="A134" s="227" t="s">
        <v>1048</v>
      </c>
      <c r="B134" s="346" t="s">
        <v>3607</v>
      </c>
    </row>
    <row r="135" spans="1:2" x14ac:dyDescent="0.3">
      <c r="A135" s="230" t="s">
        <v>3327</v>
      </c>
      <c r="B135" s="345" t="s">
        <v>3328</v>
      </c>
    </row>
    <row r="136" spans="1:2" x14ac:dyDescent="0.3">
      <c r="A136" s="227" t="s">
        <v>1581</v>
      </c>
      <c r="B136" s="346" t="s">
        <v>3194</v>
      </c>
    </row>
    <row r="137" spans="1:2" x14ac:dyDescent="0.3">
      <c r="A137" s="230" t="s">
        <v>1049</v>
      </c>
      <c r="B137" s="345" t="s">
        <v>3193</v>
      </c>
    </row>
    <row r="138" spans="1:2" x14ac:dyDescent="0.3">
      <c r="A138" s="227" t="s">
        <v>1050</v>
      </c>
      <c r="B138" s="346" t="s">
        <v>3193</v>
      </c>
    </row>
    <row r="139" spans="1:2" x14ac:dyDescent="0.3">
      <c r="A139" s="230" t="s">
        <v>2581</v>
      </c>
      <c r="B139" s="345" t="s">
        <v>3196</v>
      </c>
    </row>
    <row r="140" spans="1:2" x14ac:dyDescent="0.3">
      <c r="A140" s="227" t="s">
        <v>1051</v>
      </c>
      <c r="B140" s="346" t="s">
        <v>3195</v>
      </c>
    </row>
    <row r="141" spans="1:2" x14ac:dyDescent="0.3">
      <c r="A141" s="230" t="s">
        <v>1032</v>
      </c>
      <c r="B141" s="345" t="s">
        <v>3197</v>
      </c>
    </row>
    <row r="142" spans="1:2" x14ac:dyDescent="0.3">
      <c r="A142" s="227" t="s">
        <v>1052</v>
      </c>
      <c r="B142" s="346" t="s">
        <v>3198</v>
      </c>
    </row>
    <row r="143" spans="1:2" x14ac:dyDescent="0.3">
      <c r="A143" s="230" t="s">
        <v>3807</v>
      </c>
      <c r="B143" s="345" t="s">
        <v>3198</v>
      </c>
    </row>
    <row r="144" spans="1:2" x14ac:dyDescent="0.3">
      <c r="A144" s="227" t="s">
        <v>1058</v>
      </c>
      <c r="B144" s="346" t="s">
        <v>3740</v>
      </c>
    </row>
    <row r="145" spans="1:2" x14ac:dyDescent="0.3">
      <c r="A145" s="230" t="s">
        <v>724</v>
      </c>
      <c r="B145" s="345" t="s">
        <v>3199</v>
      </c>
    </row>
    <row r="146" spans="1:2" x14ac:dyDescent="0.3">
      <c r="A146" s="227" t="s">
        <v>1213</v>
      </c>
      <c r="B146" s="346" t="s">
        <v>3200</v>
      </c>
    </row>
    <row r="147" spans="1:2" x14ac:dyDescent="0.3">
      <c r="A147" s="230" t="s">
        <v>1214</v>
      </c>
      <c r="B147" s="345" t="s">
        <v>3200</v>
      </c>
    </row>
    <row r="148" spans="1:2" x14ac:dyDescent="0.3">
      <c r="A148" s="227" t="s">
        <v>731</v>
      </c>
      <c r="B148" s="346" t="s">
        <v>4260</v>
      </c>
    </row>
    <row r="149" spans="1:2" x14ac:dyDescent="0.3">
      <c r="A149" s="230" t="s">
        <v>2098</v>
      </c>
      <c r="B149" s="345" t="s">
        <v>3787</v>
      </c>
    </row>
    <row r="150" spans="1:2" x14ac:dyDescent="0.3">
      <c r="A150" s="227" t="s">
        <v>2910</v>
      </c>
      <c r="B150" s="346" t="s">
        <v>3201</v>
      </c>
    </row>
    <row r="151" spans="1:2" x14ac:dyDescent="0.3">
      <c r="A151" s="230" t="s">
        <v>1769</v>
      </c>
      <c r="B151" s="345" t="s">
        <v>3202</v>
      </c>
    </row>
    <row r="152" spans="1:2" x14ac:dyDescent="0.3">
      <c r="A152" s="227" t="s">
        <v>1216</v>
      </c>
      <c r="B152" s="346" t="s">
        <v>3537</v>
      </c>
    </row>
    <row r="153" spans="1:2" x14ac:dyDescent="0.3">
      <c r="A153" s="230" t="s">
        <v>1922</v>
      </c>
      <c r="B153" s="345" t="s">
        <v>3203</v>
      </c>
    </row>
    <row r="154" spans="1:2" x14ac:dyDescent="0.3">
      <c r="A154" s="227" t="s">
        <v>2785</v>
      </c>
      <c r="B154" s="346" t="s">
        <v>3204</v>
      </c>
    </row>
    <row r="155" spans="1:2" x14ac:dyDescent="0.3">
      <c r="A155" s="230" t="s">
        <v>3922</v>
      </c>
      <c r="B155" s="345" t="s">
        <v>3927</v>
      </c>
    </row>
    <row r="156" spans="1:2" x14ac:dyDescent="0.3">
      <c r="A156" s="227" t="s">
        <v>1033</v>
      </c>
      <c r="B156" s="346" t="s">
        <v>4122</v>
      </c>
    </row>
    <row r="157" spans="1:2" x14ac:dyDescent="0.3">
      <c r="A157" s="230" t="s">
        <v>1054</v>
      </c>
      <c r="B157" s="345" t="s">
        <v>3206</v>
      </c>
    </row>
    <row r="158" spans="1:2" x14ac:dyDescent="0.3">
      <c r="A158" s="227" t="s">
        <v>1988</v>
      </c>
      <c r="B158" s="346" t="s">
        <v>3205</v>
      </c>
    </row>
    <row r="159" spans="1:2" x14ac:dyDescent="0.3">
      <c r="A159" s="230" t="s">
        <v>3838</v>
      </c>
      <c r="B159" s="345" t="s">
        <v>3842</v>
      </c>
    </row>
    <row r="160" spans="1:2" x14ac:dyDescent="0.3">
      <c r="A160" s="227" t="s">
        <v>1055</v>
      </c>
      <c r="B160" s="346" t="s">
        <v>4261</v>
      </c>
    </row>
    <row r="161" spans="1:2" x14ac:dyDescent="0.3">
      <c r="A161" s="230" t="s">
        <v>1494</v>
      </c>
      <c r="B161" s="345" t="s">
        <v>3207</v>
      </c>
    </row>
    <row r="162" spans="1:2" x14ac:dyDescent="0.3">
      <c r="A162" s="227" t="s">
        <v>1508</v>
      </c>
      <c r="B162" s="346" t="s">
        <v>3538</v>
      </c>
    </row>
    <row r="163" spans="1:2" x14ac:dyDescent="0.3">
      <c r="A163" s="230" t="s">
        <v>739</v>
      </c>
      <c r="B163" s="345" t="s">
        <v>3928</v>
      </c>
    </row>
    <row r="164" spans="1:2" x14ac:dyDescent="0.3">
      <c r="A164" s="227" t="s">
        <v>3507</v>
      </c>
      <c r="B164" s="346" t="s">
        <v>3508</v>
      </c>
    </row>
    <row r="165" spans="1:2" x14ac:dyDescent="0.3">
      <c r="A165" s="230" t="s">
        <v>1802</v>
      </c>
      <c r="B165" s="345" t="s">
        <v>3208</v>
      </c>
    </row>
    <row r="166" spans="1:2" x14ac:dyDescent="0.3">
      <c r="A166" s="227" t="s">
        <v>1234</v>
      </c>
      <c r="B166" s="346" t="s">
        <v>3209</v>
      </c>
    </row>
    <row r="167" spans="1:2" x14ac:dyDescent="0.3">
      <c r="A167" s="230" t="s">
        <v>1495</v>
      </c>
      <c r="B167" s="345" t="s">
        <v>3210</v>
      </c>
    </row>
    <row r="168" spans="1:2" x14ac:dyDescent="0.3">
      <c r="A168" s="227" t="s">
        <v>1044</v>
      </c>
      <c r="B168" s="346" t="s">
        <v>3211</v>
      </c>
    </row>
    <row r="169" spans="1:2" x14ac:dyDescent="0.3">
      <c r="A169" s="230" t="s">
        <v>1057</v>
      </c>
      <c r="B169" s="345" t="s">
        <v>3212</v>
      </c>
    </row>
    <row r="170" spans="1:2" x14ac:dyDescent="0.3">
      <c r="A170" s="227" t="s">
        <v>1132</v>
      </c>
      <c r="B170" s="346" t="s">
        <v>3213</v>
      </c>
    </row>
    <row r="171" spans="1:2" x14ac:dyDescent="0.3">
      <c r="A171" s="230" t="s">
        <v>1059</v>
      </c>
      <c r="B171" s="345" t="s">
        <v>3214</v>
      </c>
    </row>
    <row r="172" spans="1:2" x14ac:dyDescent="0.3">
      <c r="A172" s="227" t="s">
        <v>1060</v>
      </c>
      <c r="B172" s="346" t="s">
        <v>3214</v>
      </c>
    </row>
    <row r="173" spans="1:2" x14ac:dyDescent="0.3">
      <c r="A173" s="230" t="s">
        <v>740</v>
      </c>
      <c r="B173" s="345" t="s">
        <v>3215</v>
      </c>
    </row>
    <row r="174" spans="1:2" x14ac:dyDescent="0.3">
      <c r="A174" s="227" t="s">
        <v>3350</v>
      </c>
      <c r="B174" s="346" t="s">
        <v>3363</v>
      </c>
    </row>
    <row r="176" spans="1:2" x14ac:dyDescent="0.3">
      <c r="A176" s="344" t="s">
        <v>3216</v>
      </c>
      <c r="B176" s="344"/>
    </row>
    <row r="177" spans="1:2" x14ac:dyDescent="0.3">
      <c r="A177" s="230" t="s">
        <v>3217</v>
      </c>
      <c r="B177" s="345" t="s">
        <v>4259</v>
      </c>
    </row>
    <row r="178" spans="1:2" x14ac:dyDescent="0.3">
      <c r="A178" s="227" t="s">
        <v>3218</v>
      </c>
      <c r="B178" s="346">
        <v>15</v>
      </c>
    </row>
    <row r="179" spans="1:2" x14ac:dyDescent="0.3">
      <c r="A179" s="230" t="s">
        <v>1018</v>
      </c>
      <c r="B179" s="345" t="s">
        <v>3943</v>
      </c>
    </row>
    <row r="180" spans="1:2" x14ac:dyDescent="0.3">
      <c r="A180" s="227" t="s">
        <v>1019</v>
      </c>
      <c r="B180" s="346" t="s">
        <v>3219</v>
      </c>
    </row>
    <row r="181" spans="1:2" x14ac:dyDescent="0.3">
      <c r="A181" s="230" t="s">
        <v>1020</v>
      </c>
      <c r="B181" s="345" t="s">
        <v>3370</v>
      </c>
    </row>
    <row r="182" spans="1:2" x14ac:dyDescent="0.3">
      <c r="A182" s="227" t="s">
        <v>3220</v>
      </c>
      <c r="B182" s="346" t="s">
        <v>3843</v>
      </c>
    </row>
    <row r="183" spans="1:2" x14ac:dyDescent="0.3">
      <c r="A183" s="230" t="s">
        <v>3221</v>
      </c>
      <c r="B183" s="345" t="s">
        <v>3371</v>
      </c>
    </row>
    <row r="184" spans="1:2" x14ac:dyDescent="0.3">
      <c r="A184" s="227" t="s">
        <v>3222</v>
      </c>
      <c r="B184" s="346" t="s">
        <v>3944</v>
      </c>
    </row>
    <row r="186" spans="1:2" x14ac:dyDescent="0.3">
      <c r="A186" s="344" t="s">
        <v>3223</v>
      </c>
      <c r="B186" s="344"/>
    </row>
    <row r="187" spans="1:2" x14ac:dyDescent="0.3">
      <c r="A187" s="230" t="s">
        <v>1118</v>
      </c>
      <c r="B187" s="345" t="s">
        <v>3844</v>
      </c>
    </row>
    <row r="188" spans="1:2" x14ac:dyDescent="0.3">
      <c r="A188" s="227" t="s">
        <v>3120</v>
      </c>
      <c r="B188" s="346" t="s">
        <v>3224</v>
      </c>
    </row>
    <row r="189" spans="1:2" x14ac:dyDescent="0.3">
      <c r="A189" s="230" t="s">
        <v>3119</v>
      </c>
      <c r="B189" s="345" t="s">
        <v>4130</v>
      </c>
    </row>
    <row r="190" spans="1:2" x14ac:dyDescent="0.3">
      <c r="A190" s="227" t="s">
        <v>3126</v>
      </c>
      <c r="B190" s="346" t="s">
        <v>3278</v>
      </c>
    </row>
    <row r="191" spans="1:2" x14ac:dyDescent="0.3">
      <c r="A191" s="230" t="s">
        <v>3125</v>
      </c>
      <c r="B191" s="345" t="s">
        <v>4182</v>
      </c>
    </row>
    <row r="192" spans="1:2" x14ac:dyDescent="0.3">
      <c r="A192" s="227" t="s">
        <v>1048</v>
      </c>
      <c r="B192" s="346" t="s">
        <v>4206</v>
      </c>
    </row>
    <row r="193" spans="1:2" x14ac:dyDescent="0.3">
      <c r="A193" s="230" t="s">
        <v>3121</v>
      </c>
      <c r="B193" s="345" t="s">
        <v>3497</v>
      </c>
    </row>
    <row r="194" spans="1:2" x14ac:dyDescent="0.3">
      <c r="A194" s="227" t="s">
        <v>3123</v>
      </c>
      <c r="B194" s="346" t="s">
        <v>4262</v>
      </c>
    </row>
    <row r="195" spans="1:2" x14ac:dyDescent="0.3">
      <c r="A195" s="230" t="s">
        <v>3122</v>
      </c>
      <c r="B195" s="345" t="s">
        <v>3276</v>
      </c>
    </row>
    <row r="196" spans="1:2" x14ac:dyDescent="0.3">
      <c r="A196" s="227" t="s">
        <v>3127</v>
      </c>
      <c r="B196" s="346" t="s">
        <v>3929</v>
      </c>
    </row>
    <row r="197" spans="1:2" x14ac:dyDescent="0.3">
      <c r="A197" s="230" t="s">
        <v>2785</v>
      </c>
      <c r="B197" s="345" t="s">
        <v>3225</v>
      </c>
    </row>
    <row r="198" spans="1:2" x14ac:dyDescent="0.3">
      <c r="A198" s="227" t="s">
        <v>3124</v>
      </c>
      <c r="B198" s="346" t="s">
        <v>3226</v>
      </c>
    </row>
    <row r="199" spans="1:2" x14ac:dyDescent="0.3">
      <c r="A199" s="230" t="s">
        <v>1032</v>
      </c>
      <c r="B199" s="345" t="s">
        <v>3930</v>
      </c>
    </row>
    <row r="200" spans="1:2" x14ac:dyDescent="0.3">
      <c r="A200" s="227" t="s">
        <v>3128</v>
      </c>
      <c r="B200" s="346" t="s">
        <v>3227</v>
      </c>
    </row>
    <row r="201" spans="1:2" x14ac:dyDescent="0.3">
      <c r="A201" s="230" t="s">
        <v>3366</v>
      </c>
      <c r="B201" s="345" t="s">
        <v>3372</v>
      </c>
    </row>
    <row r="203" spans="1:2" x14ac:dyDescent="0.3">
      <c r="A203" s="344" t="s">
        <v>3228</v>
      </c>
      <c r="B203" s="344"/>
    </row>
    <row r="204" spans="1:2" x14ac:dyDescent="0.3">
      <c r="A204" s="227" t="s">
        <v>1118</v>
      </c>
      <c r="B204" s="346" t="s">
        <v>3229</v>
      </c>
    </row>
    <row r="205" spans="1:2" x14ac:dyDescent="0.3">
      <c r="A205" s="230" t="s">
        <v>3120</v>
      </c>
      <c r="B205" s="345" t="s">
        <v>3230</v>
      </c>
    </row>
    <row r="206" spans="1:2" x14ac:dyDescent="0.3">
      <c r="A206" s="227" t="s">
        <v>3119</v>
      </c>
      <c r="B206" s="346" t="s">
        <v>3231</v>
      </c>
    </row>
    <row r="207" spans="1:2" x14ac:dyDescent="0.3">
      <c r="A207" s="230" t="s">
        <v>3126</v>
      </c>
      <c r="B207" s="345" t="s">
        <v>3232</v>
      </c>
    </row>
    <row r="208" spans="1:2" x14ac:dyDescent="0.3">
      <c r="A208" s="227" t="s">
        <v>3125</v>
      </c>
      <c r="B208" s="346" t="s">
        <v>3866</v>
      </c>
    </row>
    <row r="209" spans="1:2" x14ac:dyDescent="0.3">
      <c r="A209" s="230" t="s">
        <v>1048</v>
      </c>
      <c r="B209" s="345" t="s">
        <v>3234</v>
      </c>
    </row>
    <row r="210" spans="1:2" x14ac:dyDescent="0.3">
      <c r="A210" s="227" t="s">
        <v>3121</v>
      </c>
      <c r="B210" s="346" t="s">
        <v>3931</v>
      </c>
    </row>
    <row r="211" spans="1:2" x14ac:dyDescent="0.3">
      <c r="A211" s="230" t="s">
        <v>3123</v>
      </c>
      <c r="B211" s="345" t="s">
        <v>3233</v>
      </c>
    </row>
    <row r="212" spans="1:2" x14ac:dyDescent="0.3">
      <c r="A212" s="227" t="s">
        <v>3122</v>
      </c>
      <c r="B212" s="346" t="s">
        <v>3235</v>
      </c>
    </row>
    <row r="213" spans="1:2" x14ac:dyDescent="0.3">
      <c r="A213" s="230" t="s">
        <v>3127</v>
      </c>
      <c r="B213" s="345" t="s">
        <v>3932</v>
      </c>
    </row>
    <row r="214" spans="1:2" x14ac:dyDescent="0.3">
      <c r="A214" s="227" t="s">
        <v>2785</v>
      </c>
      <c r="B214" s="346" t="s">
        <v>3236</v>
      </c>
    </row>
    <row r="215" spans="1:2" x14ac:dyDescent="0.3">
      <c r="A215" s="230" t="s">
        <v>3124</v>
      </c>
      <c r="B215" s="345" t="s">
        <v>3237</v>
      </c>
    </row>
    <row r="216" spans="1:2" x14ac:dyDescent="0.3">
      <c r="A216" s="227" t="s">
        <v>1032</v>
      </c>
      <c r="B216" s="346" t="s">
        <v>3238</v>
      </c>
    </row>
    <row r="217" spans="1:2" x14ac:dyDescent="0.3">
      <c r="A217" s="230" t="s">
        <v>3128</v>
      </c>
      <c r="B217" s="345" t="s">
        <v>3239</v>
      </c>
    </row>
    <row r="218" spans="1:2" x14ac:dyDescent="0.3">
      <c r="A218" s="227" t="s">
        <v>3366</v>
      </c>
      <c r="B218" s="346" t="s">
        <v>3373</v>
      </c>
    </row>
    <row r="220" spans="1:2" x14ac:dyDescent="0.3">
      <c r="A220" s="344" t="s">
        <v>1865</v>
      </c>
      <c r="B220" s="344"/>
    </row>
    <row r="221" spans="1:2" x14ac:dyDescent="0.3">
      <c r="A221" s="230" t="s">
        <v>1866</v>
      </c>
      <c r="B221" s="345" t="s">
        <v>4259</v>
      </c>
    </row>
    <row r="222" spans="1:2" x14ac:dyDescent="0.3">
      <c r="A222" s="227" t="s">
        <v>1867</v>
      </c>
      <c r="B222" s="346">
        <v>1966</v>
      </c>
    </row>
    <row r="223" spans="1:2" x14ac:dyDescent="0.3">
      <c r="A223" s="230" t="s">
        <v>1868</v>
      </c>
      <c r="B223" s="345">
        <v>2026</v>
      </c>
    </row>
    <row r="224" spans="1:2" x14ac:dyDescent="0.3">
      <c r="A224" s="227" t="s">
        <v>1869</v>
      </c>
      <c r="B224" s="346" t="s">
        <v>4207</v>
      </c>
    </row>
    <row r="225" spans="1:2" x14ac:dyDescent="0.3">
      <c r="A225" s="230" t="s">
        <v>1870</v>
      </c>
      <c r="B225" s="345" t="s">
        <v>3691</v>
      </c>
    </row>
    <row r="227" spans="1:2" x14ac:dyDescent="0.3">
      <c r="A227" s="344" t="s">
        <v>1871</v>
      </c>
      <c r="B227" s="344"/>
    </row>
    <row r="228" spans="1:2" x14ac:dyDescent="0.3">
      <c r="A228" s="227" t="s">
        <v>1872</v>
      </c>
      <c r="B228" s="346" t="s">
        <v>3933</v>
      </c>
    </row>
    <row r="229" spans="1:2" x14ac:dyDescent="0.3">
      <c r="A229" s="230" t="s">
        <v>1873</v>
      </c>
      <c r="B229" s="345" t="s">
        <v>3692</v>
      </c>
    </row>
    <row r="230" spans="1:2" x14ac:dyDescent="0.3">
      <c r="A230" s="227" t="s">
        <v>1874</v>
      </c>
      <c r="B230" s="346" t="s">
        <v>3941</v>
      </c>
    </row>
    <row r="231" spans="1:2" x14ac:dyDescent="0.3">
      <c r="A231" s="230" t="s">
        <v>1875</v>
      </c>
      <c r="B231" s="345" t="s">
        <v>4263</v>
      </c>
    </row>
    <row r="232" spans="1:2" x14ac:dyDescent="0.3">
      <c r="A232" s="227" t="s">
        <v>1876</v>
      </c>
      <c r="B232" s="346" t="s">
        <v>4208</v>
      </c>
    </row>
    <row r="233" spans="1:2" x14ac:dyDescent="0.3">
      <c r="A233" s="230" t="s">
        <v>1877</v>
      </c>
      <c r="B233" s="345" t="s">
        <v>4123</v>
      </c>
    </row>
    <row r="234" spans="1:2" x14ac:dyDescent="0.3">
      <c r="A234" s="227" t="s">
        <v>1878</v>
      </c>
      <c r="B234" s="346" t="s">
        <v>3934</v>
      </c>
    </row>
    <row r="236" spans="1:2" x14ac:dyDescent="0.3">
      <c r="A236" s="344" t="s">
        <v>1879</v>
      </c>
      <c r="B236" s="344"/>
    </row>
    <row r="237" spans="1:2" x14ac:dyDescent="0.3">
      <c r="A237" s="230" t="s">
        <v>1880</v>
      </c>
      <c r="B237" s="345" t="s">
        <v>4259</v>
      </c>
    </row>
    <row r="238" spans="1:2" x14ac:dyDescent="0.3">
      <c r="A238" s="227" t="s">
        <v>1881</v>
      </c>
      <c r="B238" s="346" t="s">
        <v>1813</v>
      </c>
    </row>
    <row r="239" spans="1:2" x14ac:dyDescent="0.3">
      <c r="A239" s="230" t="s">
        <v>1882</v>
      </c>
      <c r="B239" s="345" t="s">
        <v>3608</v>
      </c>
    </row>
    <row r="240" spans="1:2" x14ac:dyDescent="0.3">
      <c r="A240" s="227" t="s">
        <v>1883</v>
      </c>
      <c r="B240" s="346" t="s">
        <v>2894</v>
      </c>
    </row>
    <row r="242" spans="1:2" x14ac:dyDescent="0.3">
      <c r="A242" s="344" t="s">
        <v>1884</v>
      </c>
      <c r="B242" s="344"/>
    </row>
    <row r="243" spans="1:2" x14ac:dyDescent="0.3">
      <c r="A243" s="230" t="s">
        <v>1885</v>
      </c>
      <c r="B243" s="345"/>
    </row>
    <row r="244" spans="1:2" x14ac:dyDescent="0.3">
      <c r="A244" s="227" t="s">
        <v>989</v>
      </c>
      <c r="B244" s="346" t="s">
        <v>4183</v>
      </c>
    </row>
    <row r="245" spans="1:2" x14ac:dyDescent="0.3">
      <c r="A245" s="230" t="s">
        <v>1886</v>
      </c>
      <c r="B245" s="345" t="s">
        <v>4224</v>
      </c>
    </row>
    <row r="246" spans="1:2" x14ac:dyDescent="0.3">
      <c r="A246" s="227" t="s">
        <v>992</v>
      </c>
      <c r="B246" s="346" t="s">
        <v>4225</v>
      </c>
    </row>
    <row r="247" spans="1:2" x14ac:dyDescent="0.3">
      <c r="A247" s="230" t="s">
        <v>998</v>
      </c>
      <c r="B247" s="345" t="s">
        <v>4184</v>
      </c>
    </row>
    <row r="248" spans="1:2" x14ac:dyDescent="0.3">
      <c r="A248" s="227" t="s">
        <v>289</v>
      </c>
      <c r="B248" s="346" t="s">
        <v>4264</v>
      </c>
    </row>
    <row r="249" spans="1:2" x14ac:dyDescent="0.3">
      <c r="A249" s="230" t="s">
        <v>1887</v>
      </c>
      <c r="B249" s="345" t="s">
        <v>4265</v>
      </c>
    </row>
    <row r="250" spans="1:2" x14ac:dyDescent="0.3">
      <c r="A250" s="227" t="s">
        <v>1888</v>
      </c>
      <c r="B250" s="346" t="s">
        <v>4266</v>
      </c>
    </row>
    <row r="252" spans="1:2" x14ac:dyDescent="0.3">
      <c r="A252" s="227" t="s">
        <v>1889</v>
      </c>
      <c r="B252" s="346" t="s">
        <v>4267</v>
      </c>
    </row>
    <row r="253" spans="1:2" x14ac:dyDescent="0.3">
      <c r="A253" s="230" t="s">
        <v>1890</v>
      </c>
      <c r="B253" s="345" t="s">
        <v>4268</v>
      </c>
    </row>
    <row r="255" spans="1:2" x14ac:dyDescent="0.3">
      <c r="A255" s="344" t="s">
        <v>3298</v>
      </c>
      <c r="B255" s="344"/>
    </row>
    <row r="256" spans="1:2" x14ac:dyDescent="0.3">
      <c r="A256" s="227" t="s">
        <v>4269</v>
      </c>
      <c r="B256" s="346" t="s">
        <v>3903</v>
      </c>
    </row>
    <row r="257" spans="1:2" x14ac:dyDescent="0.3">
      <c r="A257" s="230" t="s">
        <v>4270</v>
      </c>
      <c r="B257" s="345" t="s">
        <v>4271</v>
      </c>
    </row>
    <row r="258" spans="1:2" x14ac:dyDescent="0.3">
      <c r="A258" s="227" t="s">
        <v>4272</v>
      </c>
      <c r="B258" s="346" t="s">
        <v>3858</v>
      </c>
    </row>
    <row r="259" spans="1:2" x14ac:dyDescent="0.3">
      <c r="A259" s="230" t="s">
        <v>4273</v>
      </c>
      <c r="B259" s="345" t="s">
        <v>4226</v>
      </c>
    </row>
    <row r="260" spans="1:2" x14ac:dyDescent="0.3">
      <c r="A260" s="227" t="s">
        <v>4274</v>
      </c>
      <c r="B260" s="346" t="s">
        <v>4275</v>
      </c>
    </row>
    <row r="261" spans="1:2" x14ac:dyDescent="0.3">
      <c r="A261" s="230" t="s">
        <v>4276</v>
      </c>
      <c r="B261" s="345" t="s">
        <v>4185</v>
      </c>
    </row>
    <row r="262" spans="1:2" x14ac:dyDescent="0.3">
      <c r="A262" s="227" t="s">
        <v>4277</v>
      </c>
      <c r="B262" s="346" t="s">
        <v>4278</v>
      </c>
    </row>
    <row r="263" spans="1:2" x14ac:dyDescent="0.3">
      <c r="A263" s="230" t="s">
        <v>4279</v>
      </c>
      <c r="B263" s="345" t="s">
        <v>3936</v>
      </c>
    </row>
    <row r="264" spans="1:2" x14ac:dyDescent="0.3">
      <c r="A264" s="227" t="s">
        <v>4280</v>
      </c>
      <c r="B264" s="346" t="s">
        <v>4227</v>
      </c>
    </row>
    <row r="265" spans="1:2" x14ac:dyDescent="0.3">
      <c r="A265" s="230" t="s">
        <v>4281</v>
      </c>
      <c r="B265" s="345" t="s">
        <v>3859</v>
      </c>
    </row>
    <row r="266" spans="1:2" x14ac:dyDescent="0.3">
      <c r="A266" s="227" t="s">
        <v>4282</v>
      </c>
      <c r="B266" s="346" t="s">
        <v>4283</v>
      </c>
    </row>
    <row r="267" spans="1:2" x14ac:dyDescent="0.3">
      <c r="A267" s="230" t="s">
        <v>4186</v>
      </c>
      <c r="B267" s="345" t="s">
        <v>4187</v>
      </c>
    </row>
    <row r="268" spans="1:2" x14ac:dyDescent="0.3">
      <c r="A268" s="227" t="s">
        <v>4188</v>
      </c>
      <c r="B268" s="346" t="s">
        <v>3904</v>
      </c>
    </row>
    <row r="269" spans="1:2" x14ac:dyDescent="0.3">
      <c r="A269" s="230" t="s">
        <v>4189</v>
      </c>
      <c r="B269" s="345" t="s">
        <v>3788</v>
      </c>
    </row>
    <row r="270" spans="1:2" x14ac:dyDescent="0.3">
      <c r="A270" s="227" t="s">
        <v>4190</v>
      </c>
      <c r="B270" s="346" t="s">
        <v>4191</v>
      </c>
    </row>
    <row r="271" spans="1:2" x14ac:dyDescent="0.3">
      <c r="A271" s="230" t="s">
        <v>4192</v>
      </c>
      <c r="B271" s="345" t="s">
        <v>4209</v>
      </c>
    </row>
    <row r="272" spans="1:2" x14ac:dyDescent="0.3">
      <c r="A272" s="227" t="s">
        <v>4193</v>
      </c>
      <c r="B272" s="346" t="s">
        <v>4194</v>
      </c>
    </row>
    <row r="274" spans="1:2" x14ac:dyDescent="0.3">
      <c r="A274" s="344" t="s">
        <v>3302</v>
      </c>
      <c r="B274" s="344"/>
    </row>
    <row r="275" spans="1:2" x14ac:dyDescent="0.3">
      <c r="A275" s="230" t="s">
        <v>3303</v>
      </c>
      <c r="B275" s="345" t="s">
        <v>4284</v>
      </c>
    </row>
    <row r="276" spans="1:2" x14ac:dyDescent="0.3">
      <c r="A276" s="227" t="s">
        <v>3304</v>
      </c>
      <c r="B276" s="346" t="s">
        <v>4285</v>
      </c>
    </row>
    <row r="277" spans="1:2" x14ac:dyDescent="0.3">
      <c r="A277" s="230" t="s">
        <v>3305</v>
      </c>
      <c r="B277" s="345" t="s">
        <v>4286</v>
      </c>
    </row>
    <row r="278" spans="1:2" x14ac:dyDescent="0.3">
      <c r="A278" s="227" t="s">
        <v>3306</v>
      </c>
      <c r="B278" s="346" t="s">
        <v>4114</v>
      </c>
    </row>
    <row r="279" spans="1:2" x14ac:dyDescent="0.3">
      <c r="A279" s="230" t="s">
        <v>3307</v>
      </c>
      <c r="B279" s="345" t="s">
        <v>4287</v>
      </c>
    </row>
    <row r="280" spans="1:2" x14ac:dyDescent="0.3">
      <c r="A280" s="227" t="s">
        <v>3308</v>
      </c>
      <c r="B280" s="346" t="s">
        <v>4288</v>
      </c>
    </row>
    <row r="281" spans="1:2" x14ac:dyDescent="0.3">
      <c r="A281" s="230" t="s">
        <v>3309</v>
      </c>
      <c r="B281" s="345" t="s">
        <v>4115</v>
      </c>
    </row>
    <row r="282" spans="1:2" x14ac:dyDescent="0.3">
      <c r="A282" s="227" t="s">
        <v>3310</v>
      </c>
      <c r="B282" s="346" t="s">
        <v>4228</v>
      </c>
    </row>
    <row r="283" spans="1:2" x14ac:dyDescent="0.3">
      <c r="A283" s="230" t="s">
        <v>3311</v>
      </c>
      <c r="B283" s="345" t="s">
        <v>4229</v>
      </c>
    </row>
    <row r="284" spans="1:2" x14ac:dyDescent="0.3">
      <c r="A284" s="227" t="s">
        <v>3312</v>
      </c>
      <c r="B284" s="346" t="s">
        <v>4230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Graficos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2026-06-30T11:03:12Z</dcterms:modified>
</cp:coreProperties>
</file>